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3CDFADFD-1749-4E32-8DB6-DF56A250CD75}" xr6:coauthVersionLast="47" xr6:coauthVersionMax="47" xr10:uidLastSave="{00000000-0000-0000-0000-000000000000}"/>
  <bookViews>
    <workbookView xWindow="-120" yWindow="-120" windowWidth="29040" windowHeight="15840" tabRatio="864" firstSheet="1" activeTab="4" xr2:uid="{00000000-000D-0000-FFFF-FFFF00000000}"/>
  </bookViews>
  <sheets>
    <sheet name="Sheet2" sheetId="48" state="hidden" r:id="rId1"/>
    <sheet name="总纲" sheetId="65" r:id="rId2"/>
    <sheet name="其他调用" sheetId="92" r:id="rId3"/>
    <sheet name="将星点产出" sheetId="93" r:id="rId4"/>
    <sheet name="星阵点亮" sheetId="94" r:id="rId5"/>
    <sheet name="圣人主推（去掉）" sheetId="86" state="hidden" r:id="rId6"/>
  </sheets>
  <functionGroups builtInGroupCount="19"/>
  <externalReferences>
    <externalReference r:id="rId7"/>
    <externalReference r:id="rId8"/>
    <externalReference r:id="rId9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EM6" i="94" l="1"/>
  <c r="EN6" i="94"/>
  <c r="EO6" i="94"/>
  <c r="EP6" i="94"/>
  <c r="EQ6" i="94"/>
  <c r="EM7" i="94"/>
  <c r="EN7" i="94"/>
  <c r="EO7" i="94"/>
  <c r="EP7" i="94"/>
  <c r="EQ7" i="94"/>
  <c r="EM8" i="94"/>
  <c r="EN8" i="94"/>
  <c r="EO8" i="94"/>
  <c r="EP8" i="94"/>
  <c r="EQ8" i="94"/>
  <c r="EM9" i="94"/>
  <c r="EN9" i="94"/>
  <c r="EO9" i="94"/>
  <c r="EP9" i="94"/>
  <c r="EQ9" i="94"/>
  <c r="EM10" i="94"/>
  <c r="EN10" i="94"/>
  <c r="EO10" i="94"/>
  <c r="EP10" i="94"/>
  <c r="EQ10" i="94"/>
  <c r="EM11" i="94"/>
  <c r="EN11" i="94"/>
  <c r="EO11" i="94"/>
  <c r="EP11" i="94"/>
  <c r="EQ11" i="94"/>
  <c r="EM12" i="94"/>
  <c r="EN12" i="94"/>
  <c r="EO12" i="94"/>
  <c r="EP12" i="94"/>
  <c r="EQ12" i="94"/>
  <c r="EM13" i="94"/>
  <c r="EN13" i="94"/>
  <c r="EO13" i="94"/>
  <c r="EP13" i="94"/>
  <c r="EQ13" i="94"/>
  <c r="EM14" i="94"/>
  <c r="EN14" i="94"/>
  <c r="EO14" i="94"/>
  <c r="EP14" i="94"/>
  <c r="EQ14" i="94"/>
  <c r="EM15" i="94"/>
  <c r="EN15" i="94"/>
  <c r="EO15" i="94"/>
  <c r="EP15" i="94"/>
  <c r="EQ15" i="94"/>
  <c r="EM16" i="94"/>
  <c r="EN16" i="94"/>
  <c r="EO16" i="94"/>
  <c r="EP16" i="94"/>
  <c r="EQ16" i="94"/>
  <c r="EM17" i="94"/>
  <c r="EN17" i="94"/>
  <c r="EO17" i="94"/>
  <c r="EP17" i="94"/>
  <c r="EQ17" i="94"/>
  <c r="EM18" i="94"/>
  <c r="EN18" i="94"/>
  <c r="EO18" i="94"/>
  <c r="EP18" i="94"/>
  <c r="EQ18" i="94"/>
  <c r="EM19" i="94"/>
  <c r="EN19" i="94"/>
  <c r="EO19" i="94"/>
  <c r="EP19" i="94"/>
  <c r="EQ19" i="94"/>
  <c r="EM20" i="94"/>
  <c r="EN20" i="94"/>
  <c r="EO20" i="94"/>
  <c r="EP20" i="94"/>
  <c r="EQ20" i="94"/>
  <c r="EM21" i="94"/>
  <c r="EN21" i="94"/>
  <c r="EO21" i="94"/>
  <c r="EP21" i="94"/>
  <c r="EQ21" i="94"/>
  <c r="EM22" i="94"/>
  <c r="EN22" i="94"/>
  <c r="EO22" i="94"/>
  <c r="EP22" i="94"/>
  <c r="EQ22" i="94"/>
  <c r="EM23" i="94"/>
  <c r="EN23" i="94"/>
  <c r="EO23" i="94"/>
  <c r="EP23" i="94"/>
  <c r="EQ23" i="94"/>
  <c r="EM24" i="94"/>
  <c r="EN24" i="94"/>
  <c r="EO24" i="94"/>
  <c r="EP24" i="94"/>
  <c r="EQ24" i="94"/>
  <c r="EM25" i="94"/>
  <c r="EN25" i="94"/>
  <c r="EO25" i="94"/>
  <c r="EP25" i="94"/>
  <c r="EQ25" i="94"/>
  <c r="EM26" i="94"/>
  <c r="EN26" i="94"/>
  <c r="EO26" i="94"/>
  <c r="EP26" i="94"/>
  <c r="EQ26" i="94"/>
  <c r="EM27" i="94"/>
  <c r="EN27" i="94"/>
  <c r="EO27" i="94"/>
  <c r="EP27" i="94"/>
  <c r="EQ27" i="94"/>
  <c r="EM28" i="94"/>
  <c r="EN28" i="94"/>
  <c r="EO28" i="94"/>
  <c r="EP28" i="94"/>
  <c r="EQ28" i="94"/>
  <c r="EM29" i="94"/>
  <c r="EN29" i="94"/>
  <c r="EO29" i="94"/>
  <c r="EP29" i="94"/>
  <c r="EQ29" i="94"/>
  <c r="EM30" i="94"/>
  <c r="EN30" i="94"/>
  <c r="EO30" i="94"/>
  <c r="EP30" i="94"/>
  <c r="EQ30" i="94"/>
  <c r="EM31" i="94"/>
  <c r="EN31" i="94"/>
  <c r="EO31" i="94"/>
  <c r="EP31" i="94"/>
  <c r="EQ31" i="94"/>
  <c r="EM32" i="94"/>
  <c r="EN32" i="94"/>
  <c r="EO32" i="94"/>
  <c r="EP32" i="94"/>
  <c r="EQ32" i="94"/>
  <c r="EM33" i="94"/>
  <c r="EN33" i="94"/>
  <c r="EO33" i="94"/>
  <c r="EP33" i="94"/>
  <c r="EQ33" i="94"/>
  <c r="EM34" i="94"/>
  <c r="EN34" i="94"/>
  <c r="EO34" i="94"/>
  <c r="EP34" i="94"/>
  <c r="EQ34" i="94"/>
  <c r="EM35" i="94"/>
  <c r="EN35" i="94"/>
  <c r="EO35" i="94"/>
  <c r="EP35" i="94"/>
  <c r="EQ35" i="94"/>
  <c r="EM36" i="94"/>
  <c r="EN36" i="94"/>
  <c r="EO36" i="94"/>
  <c r="EP36" i="94"/>
  <c r="EQ36" i="94"/>
  <c r="EM37" i="94"/>
  <c r="EN37" i="94"/>
  <c r="EO37" i="94"/>
  <c r="EP37" i="94"/>
  <c r="EQ37" i="94"/>
  <c r="EM38" i="94"/>
  <c r="EN38" i="94"/>
  <c r="EO38" i="94"/>
  <c r="EP38" i="94"/>
  <c r="EQ38" i="94"/>
  <c r="EM39" i="94"/>
  <c r="EN39" i="94"/>
  <c r="EO39" i="94"/>
  <c r="EP39" i="94"/>
  <c r="EQ39" i="94"/>
  <c r="EM40" i="94"/>
  <c r="EN40" i="94"/>
  <c r="EO40" i="94"/>
  <c r="EP40" i="94"/>
  <c r="EQ40" i="94"/>
  <c r="EM41" i="94"/>
  <c r="EN41" i="94"/>
  <c r="EO41" i="94"/>
  <c r="EP41" i="94"/>
  <c r="EQ41" i="94"/>
  <c r="EM42" i="94"/>
  <c r="EN42" i="94"/>
  <c r="EO42" i="94"/>
  <c r="EP42" i="94"/>
  <c r="EQ42" i="94"/>
  <c r="EM43" i="94"/>
  <c r="EN43" i="94"/>
  <c r="EO43" i="94"/>
  <c r="EP43" i="94"/>
  <c r="EQ43" i="94"/>
  <c r="EM44" i="94"/>
  <c r="EN44" i="94"/>
  <c r="EO44" i="94"/>
  <c r="EP44" i="94"/>
  <c r="EQ44" i="94"/>
  <c r="EM45" i="94"/>
  <c r="EN45" i="94"/>
  <c r="EO45" i="94"/>
  <c r="EP45" i="94"/>
  <c r="EQ45" i="94"/>
  <c r="EM46" i="94"/>
  <c r="EN46" i="94"/>
  <c r="EO46" i="94"/>
  <c r="EP46" i="94"/>
  <c r="EQ46" i="94"/>
  <c r="EM47" i="94"/>
  <c r="EN47" i="94"/>
  <c r="EO47" i="94"/>
  <c r="EP47" i="94"/>
  <c r="EQ47" i="94"/>
  <c r="EM48" i="94"/>
  <c r="EN48" i="94"/>
  <c r="EO48" i="94"/>
  <c r="EP48" i="94"/>
  <c r="EQ48" i="94"/>
  <c r="EM49" i="94"/>
  <c r="EN49" i="94"/>
  <c r="EO49" i="94"/>
  <c r="EP49" i="94"/>
  <c r="EQ49" i="94"/>
  <c r="EM50" i="94"/>
  <c r="EN50" i="94"/>
  <c r="EO50" i="94"/>
  <c r="EP50" i="94"/>
  <c r="EQ50" i="94"/>
  <c r="EM51" i="94"/>
  <c r="EN51" i="94"/>
  <c r="EO51" i="94"/>
  <c r="EP51" i="94"/>
  <c r="EQ51" i="94"/>
  <c r="EM52" i="94"/>
  <c r="EN52" i="94"/>
  <c r="EO52" i="94"/>
  <c r="EP52" i="94"/>
  <c r="EQ52" i="94"/>
  <c r="EM53" i="94"/>
  <c r="EN53" i="94"/>
  <c r="EO53" i="94"/>
  <c r="EP53" i="94"/>
  <c r="EQ53" i="94"/>
  <c r="EM54" i="94"/>
  <c r="EN54" i="94"/>
  <c r="EO54" i="94"/>
  <c r="EP54" i="94"/>
  <c r="EQ54" i="94"/>
  <c r="EM55" i="94"/>
  <c r="EN55" i="94"/>
  <c r="EO55" i="94"/>
  <c r="EP55" i="94"/>
  <c r="EQ55" i="94"/>
  <c r="EM56" i="94"/>
  <c r="EN56" i="94"/>
  <c r="EO56" i="94"/>
  <c r="EP56" i="94"/>
  <c r="EQ56" i="94"/>
  <c r="EM57" i="94"/>
  <c r="EN57" i="94"/>
  <c r="EO57" i="94"/>
  <c r="EP57" i="94"/>
  <c r="EQ57" i="94"/>
  <c r="EM58" i="94"/>
  <c r="EN58" i="94"/>
  <c r="EO58" i="94"/>
  <c r="EP58" i="94"/>
  <c r="EQ58" i="94"/>
  <c r="EM59" i="94"/>
  <c r="EN59" i="94"/>
  <c r="EO59" i="94"/>
  <c r="EP59" i="94"/>
  <c r="EQ59" i="94"/>
  <c r="EM60" i="94"/>
  <c r="EN60" i="94"/>
  <c r="EO60" i="94"/>
  <c r="EP60" i="94"/>
  <c r="EQ60" i="94"/>
  <c r="EM61" i="94"/>
  <c r="EN61" i="94"/>
  <c r="EO61" i="94"/>
  <c r="EP61" i="94"/>
  <c r="EQ61" i="94"/>
  <c r="EM62" i="94"/>
  <c r="EN62" i="94"/>
  <c r="EO62" i="94"/>
  <c r="EP62" i="94"/>
  <c r="EQ62" i="94"/>
  <c r="EM63" i="94"/>
  <c r="EN63" i="94"/>
  <c r="EO63" i="94"/>
  <c r="EP63" i="94"/>
  <c r="EQ63" i="94"/>
  <c r="EM64" i="94"/>
  <c r="EN64" i="94"/>
  <c r="EO64" i="94"/>
  <c r="EP64" i="94"/>
  <c r="EQ64" i="94"/>
  <c r="EM65" i="94"/>
  <c r="EN65" i="94"/>
  <c r="EO65" i="94"/>
  <c r="EP65" i="94"/>
  <c r="EQ65" i="94"/>
  <c r="EM66" i="94"/>
  <c r="EN66" i="94"/>
  <c r="EO66" i="94"/>
  <c r="EP66" i="94"/>
  <c r="EQ66" i="94"/>
  <c r="EM67" i="94"/>
  <c r="EN67" i="94"/>
  <c r="EO67" i="94"/>
  <c r="EP67" i="94"/>
  <c r="EQ67" i="94"/>
  <c r="EM68" i="94"/>
  <c r="EN68" i="94"/>
  <c r="EO68" i="94"/>
  <c r="EP68" i="94"/>
  <c r="EQ68" i="94"/>
  <c r="EM69" i="94"/>
  <c r="EN69" i="94"/>
  <c r="EO69" i="94"/>
  <c r="EP69" i="94"/>
  <c r="EQ69" i="94"/>
  <c r="EM70" i="94"/>
  <c r="EN70" i="94"/>
  <c r="EO70" i="94"/>
  <c r="EP70" i="94"/>
  <c r="EQ70" i="94"/>
  <c r="EM71" i="94"/>
  <c r="EN71" i="94"/>
  <c r="EO71" i="94"/>
  <c r="EP71" i="94"/>
  <c r="EQ71" i="94"/>
  <c r="EM72" i="94"/>
  <c r="EN72" i="94"/>
  <c r="EO72" i="94"/>
  <c r="EP72" i="94"/>
  <c r="EQ72" i="94"/>
  <c r="EM73" i="94"/>
  <c r="EN73" i="94"/>
  <c r="EO73" i="94"/>
  <c r="EP73" i="94"/>
  <c r="EQ73" i="94"/>
  <c r="EM74" i="94"/>
  <c r="EN74" i="94"/>
  <c r="EO74" i="94"/>
  <c r="EP74" i="94"/>
  <c r="EQ74" i="94"/>
  <c r="EM75" i="94"/>
  <c r="EN75" i="94"/>
  <c r="EO75" i="94"/>
  <c r="EP75" i="94"/>
  <c r="EQ75" i="94"/>
  <c r="EM76" i="94"/>
  <c r="EN76" i="94"/>
  <c r="EO76" i="94"/>
  <c r="EP76" i="94"/>
  <c r="EQ76" i="94"/>
  <c r="EM77" i="94"/>
  <c r="EN77" i="94"/>
  <c r="EO77" i="94"/>
  <c r="EP77" i="94"/>
  <c r="EQ77" i="94"/>
  <c r="EM78" i="94"/>
  <c r="EN78" i="94"/>
  <c r="EO78" i="94"/>
  <c r="EP78" i="94"/>
  <c r="EQ78" i="94"/>
  <c r="EM79" i="94"/>
  <c r="EN79" i="94"/>
  <c r="EO79" i="94"/>
  <c r="EP79" i="94"/>
  <c r="EQ79" i="94"/>
  <c r="EM80" i="94"/>
  <c r="EN80" i="94"/>
  <c r="EO80" i="94"/>
  <c r="EP80" i="94"/>
  <c r="EQ80" i="94"/>
  <c r="EM81" i="94"/>
  <c r="EN81" i="94"/>
  <c r="EO81" i="94"/>
  <c r="EP81" i="94"/>
  <c r="EQ81" i="94"/>
  <c r="EM82" i="94"/>
  <c r="EN82" i="94"/>
  <c r="EO82" i="94"/>
  <c r="EP82" i="94"/>
  <c r="EQ82" i="94"/>
  <c r="EM83" i="94"/>
  <c r="EN83" i="94"/>
  <c r="EO83" i="94"/>
  <c r="EP83" i="94"/>
  <c r="EQ83" i="94"/>
  <c r="EM84" i="94"/>
  <c r="EN84" i="94"/>
  <c r="EO84" i="94"/>
  <c r="EP84" i="94"/>
  <c r="EQ84" i="94"/>
  <c r="EM85" i="94"/>
  <c r="EN85" i="94"/>
  <c r="EO85" i="94"/>
  <c r="EP85" i="94"/>
  <c r="EQ85" i="94"/>
  <c r="EM86" i="94"/>
  <c r="EN86" i="94"/>
  <c r="EO86" i="94"/>
  <c r="EP86" i="94"/>
  <c r="EQ86" i="94"/>
  <c r="EM87" i="94"/>
  <c r="EN87" i="94"/>
  <c r="EO87" i="94"/>
  <c r="EP87" i="94"/>
  <c r="EQ87" i="94"/>
  <c r="EM88" i="94"/>
  <c r="EN88" i="94"/>
  <c r="EO88" i="94"/>
  <c r="EP88" i="94"/>
  <c r="EQ88" i="94"/>
  <c r="EM89" i="94"/>
  <c r="EN89" i="94"/>
  <c r="EO89" i="94"/>
  <c r="EP89" i="94"/>
  <c r="EQ89" i="94"/>
  <c r="EM90" i="94"/>
  <c r="EN90" i="94"/>
  <c r="EO90" i="94"/>
  <c r="EP90" i="94"/>
  <c r="EQ90" i="94"/>
  <c r="EM91" i="94"/>
  <c r="EN91" i="94"/>
  <c r="EO91" i="94"/>
  <c r="EP91" i="94"/>
  <c r="EQ91" i="94"/>
  <c r="EM92" i="94"/>
  <c r="EN92" i="94"/>
  <c r="EO92" i="94"/>
  <c r="EP92" i="94"/>
  <c r="EQ92" i="94"/>
  <c r="EM93" i="94"/>
  <c r="EN93" i="94"/>
  <c r="EO93" i="94"/>
  <c r="EP93" i="94"/>
  <c r="EQ93" i="94"/>
  <c r="EM94" i="94"/>
  <c r="EN94" i="94"/>
  <c r="EO94" i="94"/>
  <c r="EP94" i="94"/>
  <c r="EQ94" i="94"/>
  <c r="EM95" i="94"/>
  <c r="EN95" i="94"/>
  <c r="EO95" i="94"/>
  <c r="EP95" i="94"/>
  <c r="EQ95" i="94"/>
  <c r="EM96" i="94"/>
  <c r="EN96" i="94"/>
  <c r="EO96" i="94"/>
  <c r="EP96" i="94"/>
  <c r="EQ96" i="94"/>
  <c r="EM97" i="94"/>
  <c r="EN97" i="94"/>
  <c r="EO97" i="94"/>
  <c r="EP97" i="94"/>
  <c r="EQ97" i="94"/>
  <c r="EM98" i="94"/>
  <c r="EN98" i="94"/>
  <c r="EO98" i="94"/>
  <c r="EP98" i="94"/>
  <c r="EQ98" i="94"/>
  <c r="EM99" i="94"/>
  <c r="EN99" i="94"/>
  <c r="EO99" i="94"/>
  <c r="EP99" i="94"/>
  <c r="EQ99" i="94"/>
  <c r="EM100" i="94"/>
  <c r="EN100" i="94"/>
  <c r="EO100" i="94"/>
  <c r="EP100" i="94"/>
  <c r="EQ100" i="94"/>
  <c r="EM101" i="94"/>
  <c r="EN101" i="94"/>
  <c r="EO101" i="94"/>
  <c r="EP101" i="94"/>
  <c r="EQ101" i="94"/>
  <c r="EM102" i="94"/>
  <c r="EN102" i="94"/>
  <c r="EO102" i="94"/>
  <c r="EP102" i="94"/>
  <c r="EQ102" i="94"/>
  <c r="EM103" i="94"/>
  <c r="EN103" i="94"/>
  <c r="EO103" i="94"/>
  <c r="EP103" i="94"/>
  <c r="EQ103" i="94"/>
  <c r="EM104" i="94"/>
  <c r="EN104" i="94"/>
  <c r="EO104" i="94"/>
  <c r="EP104" i="94"/>
  <c r="EQ104" i="94"/>
  <c r="EM105" i="94"/>
  <c r="EN105" i="94"/>
  <c r="EO105" i="94"/>
  <c r="EP105" i="94"/>
  <c r="EQ105" i="94"/>
  <c r="EM106" i="94"/>
  <c r="EN106" i="94"/>
  <c r="EO106" i="94"/>
  <c r="EP106" i="94"/>
  <c r="EQ106" i="94"/>
  <c r="EM107" i="94"/>
  <c r="EN107" i="94"/>
  <c r="EO107" i="94"/>
  <c r="EP107" i="94"/>
  <c r="EQ107" i="94"/>
  <c r="EM108" i="94"/>
  <c r="EN108" i="94"/>
  <c r="EO108" i="94"/>
  <c r="EP108" i="94"/>
  <c r="EQ108" i="94"/>
  <c r="EM109" i="94"/>
  <c r="EN109" i="94"/>
  <c r="EO109" i="94"/>
  <c r="EP109" i="94"/>
  <c r="EQ109" i="94"/>
  <c r="EM110" i="94"/>
  <c r="EN110" i="94"/>
  <c r="EO110" i="94"/>
  <c r="EP110" i="94"/>
  <c r="EQ110" i="94"/>
  <c r="EM111" i="94"/>
  <c r="EN111" i="94"/>
  <c r="EO111" i="94"/>
  <c r="EP111" i="94"/>
  <c r="EQ111" i="94"/>
  <c r="EM112" i="94"/>
  <c r="EN112" i="94"/>
  <c r="EO112" i="94"/>
  <c r="EP112" i="94"/>
  <c r="EQ112" i="94"/>
  <c r="EM113" i="94"/>
  <c r="EN113" i="94"/>
  <c r="EO113" i="94"/>
  <c r="EP113" i="94"/>
  <c r="EQ113" i="94"/>
  <c r="EM114" i="94"/>
  <c r="EN114" i="94"/>
  <c r="EO114" i="94"/>
  <c r="EP114" i="94"/>
  <c r="EQ114" i="94"/>
  <c r="EM115" i="94"/>
  <c r="EN115" i="94"/>
  <c r="EO115" i="94"/>
  <c r="EP115" i="94"/>
  <c r="EQ115" i="94"/>
  <c r="EM116" i="94"/>
  <c r="EN116" i="94"/>
  <c r="EO116" i="94"/>
  <c r="EP116" i="94"/>
  <c r="EQ116" i="94"/>
  <c r="EM117" i="94"/>
  <c r="EN117" i="94"/>
  <c r="EO117" i="94"/>
  <c r="EP117" i="94"/>
  <c r="EQ117" i="94"/>
  <c r="EM118" i="94"/>
  <c r="EN118" i="94"/>
  <c r="EO118" i="94"/>
  <c r="EP118" i="94"/>
  <c r="EQ118" i="94"/>
  <c r="EM119" i="94"/>
  <c r="EN119" i="94"/>
  <c r="EO119" i="94"/>
  <c r="EP119" i="94"/>
  <c r="EQ119" i="94"/>
  <c r="EM120" i="94"/>
  <c r="EN120" i="94"/>
  <c r="EO120" i="94"/>
  <c r="EP120" i="94"/>
  <c r="EQ120" i="94"/>
  <c r="EM121" i="94"/>
  <c r="EN121" i="94"/>
  <c r="EO121" i="94"/>
  <c r="EP121" i="94"/>
  <c r="EQ121" i="94"/>
  <c r="EM122" i="94"/>
  <c r="EN122" i="94"/>
  <c r="EO122" i="94"/>
  <c r="EP122" i="94"/>
  <c r="EQ122" i="94"/>
  <c r="EM123" i="94"/>
  <c r="EN123" i="94"/>
  <c r="EO123" i="94"/>
  <c r="EP123" i="94"/>
  <c r="EQ123" i="94"/>
  <c r="EM124" i="94"/>
  <c r="EN124" i="94"/>
  <c r="EO124" i="94"/>
  <c r="EP124" i="94"/>
  <c r="EQ124" i="94"/>
  <c r="EM125" i="94"/>
  <c r="EN125" i="94"/>
  <c r="EO125" i="94"/>
  <c r="EP125" i="94"/>
  <c r="EQ125" i="94"/>
  <c r="EM126" i="94"/>
  <c r="EN126" i="94"/>
  <c r="EO126" i="94"/>
  <c r="EP126" i="94"/>
  <c r="EQ126" i="94"/>
  <c r="EM127" i="94"/>
  <c r="EN127" i="94"/>
  <c r="EO127" i="94"/>
  <c r="EP127" i="94"/>
  <c r="EQ127" i="94"/>
  <c r="EM128" i="94"/>
  <c r="EN128" i="94"/>
  <c r="EO128" i="94"/>
  <c r="EP128" i="94"/>
  <c r="EQ128" i="94"/>
  <c r="EM129" i="94"/>
  <c r="EN129" i="94"/>
  <c r="EO129" i="94"/>
  <c r="EP129" i="94"/>
  <c r="EQ129" i="94"/>
  <c r="EM130" i="94"/>
  <c r="EN130" i="94"/>
  <c r="EO130" i="94"/>
  <c r="EP130" i="94"/>
  <c r="EQ130" i="94"/>
  <c r="EM131" i="94"/>
  <c r="EN131" i="94"/>
  <c r="EO131" i="94"/>
  <c r="EP131" i="94"/>
  <c r="EQ131" i="94"/>
  <c r="EM132" i="94"/>
  <c r="EN132" i="94"/>
  <c r="EO132" i="94"/>
  <c r="EP132" i="94"/>
  <c r="EQ132" i="94"/>
  <c r="EM133" i="94"/>
  <c r="EN133" i="94"/>
  <c r="EO133" i="94"/>
  <c r="EP133" i="94"/>
  <c r="EQ133" i="94"/>
  <c r="EM134" i="94"/>
  <c r="EN134" i="94"/>
  <c r="EO134" i="94"/>
  <c r="EP134" i="94"/>
  <c r="EQ134" i="94"/>
  <c r="EM135" i="94"/>
  <c r="EN135" i="94"/>
  <c r="EO135" i="94"/>
  <c r="EP135" i="94"/>
  <c r="EQ135" i="94"/>
  <c r="EM136" i="94"/>
  <c r="EN136" i="94"/>
  <c r="EO136" i="94"/>
  <c r="EP136" i="94"/>
  <c r="EQ136" i="94"/>
  <c r="EM137" i="94"/>
  <c r="EN137" i="94"/>
  <c r="EO137" i="94"/>
  <c r="EP137" i="94"/>
  <c r="EQ137" i="94"/>
  <c r="EM138" i="94"/>
  <c r="EN138" i="94"/>
  <c r="EO138" i="94"/>
  <c r="EP138" i="94"/>
  <c r="EQ138" i="94"/>
  <c r="EM139" i="94"/>
  <c r="EN139" i="94"/>
  <c r="EO139" i="94"/>
  <c r="EP139" i="94"/>
  <c r="EQ139" i="94"/>
  <c r="EM140" i="94"/>
  <c r="EN140" i="94"/>
  <c r="EO140" i="94"/>
  <c r="EP140" i="94"/>
  <c r="EQ140" i="94"/>
  <c r="EM141" i="94"/>
  <c r="EN141" i="94"/>
  <c r="EO141" i="94"/>
  <c r="EP141" i="94"/>
  <c r="EQ141" i="94"/>
  <c r="EM142" i="94"/>
  <c r="EN142" i="94"/>
  <c r="EO142" i="94"/>
  <c r="EP142" i="94"/>
  <c r="EQ142" i="94"/>
  <c r="EM143" i="94"/>
  <c r="EN143" i="94"/>
  <c r="EO143" i="94"/>
  <c r="EP143" i="94"/>
  <c r="EQ143" i="94"/>
  <c r="EM144" i="94"/>
  <c r="EN144" i="94"/>
  <c r="EO144" i="94"/>
  <c r="EP144" i="94"/>
  <c r="EQ144" i="94"/>
  <c r="EM145" i="94"/>
  <c r="EN145" i="94"/>
  <c r="EO145" i="94"/>
  <c r="EP145" i="94"/>
  <c r="EQ145" i="94"/>
  <c r="EM146" i="94"/>
  <c r="EN146" i="94"/>
  <c r="EO146" i="94"/>
  <c r="EP146" i="94"/>
  <c r="EQ146" i="94"/>
  <c r="EM147" i="94"/>
  <c r="EN147" i="94"/>
  <c r="EO147" i="94"/>
  <c r="EP147" i="94"/>
  <c r="EQ147" i="94"/>
  <c r="EM148" i="94"/>
  <c r="EN148" i="94"/>
  <c r="EO148" i="94"/>
  <c r="EP148" i="94"/>
  <c r="EQ148" i="94"/>
  <c r="EM149" i="94"/>
  <c r="EN149" i="94"/>
  <c r="EO149" i="94"/>
  <c r="EP149" i="94"/>
  <c r="EQ149" i="94"/>
  <c r="EM150" i="94"/>
  <c r="EN150" i="94"/>
  <c r="EO150" i="94"/>
  <c r="EP150" i="94"/>
  <c r="EQ150" i="94"/>
  <c r="EM151" i="94"/>
  <c r="EN151" i="94"/>
  <c r="EO151" i="94"/>
  <c r="EP151" i="94"/>
  <c r="EQ151" i="94"/>
  <c r="EM152" i="94"/>
  <c r="EN152" i="94"/>
  <c r="EO152" i="94"/>
  <c r="EP152" i="94"/>
  <c r="EQ152" i="94"/>
  <c r="EM153" i="94"/>
  <c r="EN153" i="94"/>
  <c r="EO153" i="94"/>
  <c r="EP153" i="94"/>
  <c r="EQ153" i="94"/>
  <c r="EM154" i="94"/>
  <c r="EN154" i="94"/>
  <c r="EO154" i="94"/>
  <c r="EP154" i="94"/>
  <c r="EQ154" i="94"/>
  <c r="EM155" i="94"/>
  <c r="EN155" i="94"/>
  <c r="EO155" i="94"/>
  <c r="EP155" i="94"/>
  <c r="EQ155" i="94"/>
  <c r="EM156" i="94"/>
  <c r="EN156" i="94"/>
  <c r="EO156" i="94"/>
  <c r="EP156" i="94"/>
  <c r="EQ156" i="94"/>
  <c r="EM157" i="94"/>
  <c r="EN157" i="94"/>
  <c r="EO157" i="94"/>
  <c r="EP157" i="94"/>
  <c r="EQ157" i="94"/>
  <c r="EM158" i="94"/>
  <c r="EN158" i="94"/>
  <c r="EO158" i="94"/>
  <c r="EP158" i="94"/>
  <c r="EQ158" i="94"/>
  <c r="EM159" i="94"/>
  <c r="EN159" i="94"/>
  <c r="EO159" i="94"/>
  <c r="EP159" i="94"/>
  <c r="EQ159" i="94"/>
  <c r="EM160" i="94"/>
  <c r="EN160" i="94"/>
  <c r="EO160" i="94"/>
  <c r="EP160" i="94"/>
  <c r="EQ160" i="94"/>
  <c r="EM161" i="94"/>
  <c r="EN161" i="94"/>
  <c r="EO161" i="94"/>
  <c r="EP161" i="94"/>
  <c r="EQ161" i="94"/>
  <c r="EM162" i="94"/>
  <c r="EN162" i="94"/>
  <c r="EO162" i="94"/>
  <c r="EP162" i="94"/>
  <c r="EQ162" i="94"/>
  <c r="EM163" i="94"/>
  <c r="EN163" i="94"/>
  <c r="EO163" i="94"/>
  <c r="EP163" i="94"/>
  <c r="EQ163" i="94"/>
  <c r="EM164" i="94"/>
  <c r="EN164" i="94"/>
  <c r="EO164" i="94"/>
  <c r="EP164" i="94"/>
  <c r="EQ164" i="94"/>
  <c r="EQ5" i="94"/>
  <c r="EP5" i="94"/>
  <c r="EO5" i="94"/>
  <c r="EN5" i="94"/>
  <c r="EL5" i="94"/>
  <c r="EM5" i="94"/>
  <c r="L35" i="94"/>
  <c r="L34" i="94"/>
  <c r="L33" i="94"/>
  <c r="L32" i="94"/>
  <c r="L31" i="94"/>
  <c r="L30" i="94"/>
  <c r="L29" i="94"/>
  <c r="L28" i="94"/>
  <c r="L27" i="94"/>
  <c r="L26" i="94"/>
  <c r="L25" i="94"/>
  <c r="L24" i="94"/>
  <c r="L23" i="94"/>
  <c r="L22" i="94"/>
  <c r="L21" i="94"/>
  <c r="L20" i="94"/>
  <c r="L19" i="94"/>
  <c r="L18" i="94"/>
  <c r="L17" i="94"/>
  <c r="L16" i="94"/>
  <c r="L15" i="94"/>
  <c r="L14" i="94"/>
  <c r="L13" i="94"/>
  <c r="L12" i="94"/>
  <c r="L11" i="94"/>
  <c r="L10" i="94"/>
  <c r="L9" i="94"/>
  <c r="L8" i="94"/>
  <c r="L7" i="94"/>
  <c r="L6" i="94"/>
  <c r="L5" i="94"/>
  <c r="L36" i="94" s="1"/>
  <c r="L37" i="94" s="1"/>
  <c r="L38" i="94" s="1"/>
  <c r="L39" i="94" s="1"/>
  <c r="L40" i="94" s="1"/>
  <c r="L41" i="94" s="1"/>
  <c r="L42" i="94" s="1"/>
  <c r="L43" i="94" s="1"/>
  <c r="L44" i="94" s="1"/>
  <c r="L45" i="94" s="1"/>
  <c r="L46" i="94" s="1"/>
  <c r="L47" i="94" s="1"/>
  <c r="L48" i="94" s="1"/>
  <c r="L49" i="94" s="1"/>
  <c r="L50" i="94" s="1"/>
  <c r="L51" i="94" s="1"/>
  <c r="L52" i="94" s="1"/>
  <c r="L53" i="94" s="1"/>
  <c r="L54" i="94" s="1"/>
  <c r="L55" i="94" s="1"/>
  <c r="L56" i="94" s="1"/>
  <c r="L57" i="94" s="1"/>
  <c r="L58" i="94" s="1"/>
  <c r="L59" i="94" s="1"/>
  <c r="L60" i="94" s="1"/>
  <c r="L61" i="94" s="1"/>
  <c r="L62" i="94" s="1"/>
  <c r="L63" i="94" s="1"/>
  <c r="L64" i="94" s="1"/>
  <c r="L65" i="94" s="1"/>
  <c r="L66" i="94" s="1"/>
  <c r="L67" i="94" s="1"/>
  <c r="L68" i="94" s="1"/>
  <c r="L69" i="94" s="1"/>
  <c r="L70" i="94" s="1"/>
  <c r="L71" i="94" s="1"/>
  <c r="L72" i="94" s="1"/>
  <c r="L73" i="94" s="1"/>
  <c r="L74" i="94" s="1"/>
  <c r="L75" i="94" s="1"/>
  <c r="L76" i="94" s="1"/>
  <c r="F76" i="94" l="1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F13" i="94"/>
  <c r="F12" i="94"/>
  <c r="F11" i="94"/>
  <c r="F10" i="94"/>
  <c r="F9" i="94"/>
  <c r="F8" i="94"/>
  <c r="F7" i="94"/>
  <c r="F6" i="94"/>
  <c r="F5" i="94"/>
  <c r="G5" i="94" s="1"/>
  <c r="E6" i="94"/>
  <c r="O5" i="94"/>
  <c r="E7" i="94" l="1"/>
  <c r="E8" i="94" s="1"/>
  <c r="E9" i="94" s="1"/>
  <c r="E10" i="94" s="1"/>
  <c r="E11" i="94" s="1"/>
  <c r="E12" i="94" s="1"/>
  <c r="E13" i="94" s="1"/>
  <c r="E14" i="94" s="1"/>
  <c r="E15" i="94" s="1"/>
  <c r="E16" i="94" s="1"/>
  <c r="E17" i="94" s="1"/>
  <c r="E18" i="94" s="1"/>
  <c r="E19" i="94" s="1"/>
  <c r="E20" i="94" s="1"/>
  <c r="E21" i="94" s="1"/>
  <c r="E22" i="94" s="1"/>
  <c r="E23" i="94" s="1"/>
  <c r="E24" i="94" s="1"/>
  <c r="E25" i="94" s="1"/>
  <c r="E26" i="94" s="1"/>
  <c r="E27" i="94" s="1"/>
  <c r="E28" i="94" s="1"/>
  <c r="E29" i="94" s="1"/>
  <c r="E30" i="94" s="1"/>
  <c r="E31" i="94" s="1"/>
  <c r="E32" i="94" s="1"/>
  <c r="E33" i="94" s="1"/>
  <c r="E34" i="94" s="1"/>
  <c r="E35" i="94" s="1"/>
  <c r="E36" i="94" s="1"/>
  <c r="E37" i="94" s="1"/>
  <c r="E38" i="94" s="1"/>
  <c r="E39" i="94" s="1"/>
  <c r="E40" i="94" s="1"/>
  <c r="E41" i="94" s="1"/>
  <c r="E42" i="94" s="1"/>
  <c r="E43" i="94" s="1"/>
  <c r="E44" i="94" s="1"/>
  <c r="E45" i="94" s="1"/>
  <c r="E46" i="94" s="1"/>
  <c r="E47" i="94" s="1"/>
  <c r="E48" i="94" s="1"/>
  <c r="E49" i="94" s="1"/>
  <c r="E50" i="94" s="1"/>
  <c r="E51" i="94" s="1"/>
  <c r="E52" i="94" s="1"/>
  <c r="E53" i="94" s="1"/>
  <c r="E54" i="94" s="1"/>
  <c r="E55" i="94" s="1"/>
  <c r="E56" i="94" s="1"/>
  <c r="E57" i="94" s="1"/>
  <c r="E58" i="94" s="1"/>
  <c r="E59" i="94" s="1"/>
  <c r="E60" i="94" s="1"/>
  <c r="E61" i="94" s="1"/>
  <c r="E62" i="94" s="1"/>
  <c r="E63" i="94" s="1"/>
  <c r="E64" i="94" s="1"/>
  <c r="E65" i="94" s="1"/>
  <c r="E66" i="94" s="1"/>
  <c r="E67" i="94" s="1"/>
  <c r="E68" i="94" s="1"/>
  <c r="E69" i="94" s="1"/>
  <c r="E70" i="94" s="1"/>
  <c r="E71" i="94" s="1"/>
  <c r="E72" i="94" s="1"/>
  <c r="E73" i="94" s="1"/>
  <c r="E74" i="94" s="1"/>
  <c r="E75" i="94" s="1"/>
  <c r="E76" i="94" s="1"/>
  <c r="G6" i="94"/>
  <c r="K47" i="94"/>
  <c r="K76" i="94"/>
  <c r="K75" i="94"/>
  <c r="K74" i="94"/>
  <c r="K73" i="94"/>
  <c r="K72" i="94"/>
  <c r="K71" i="94"/>
  <c r="K70" i="94"/>
  <c r="K69" i="94"/>
  <c r="K68" i="94"/>
  <c r="K67" i="94"/>
  <c r="K66" i="94"/>
  <c r="K65" i="94"/>
  <c r="K64" i="94"/>
  <c r="K63" i="94"/>
  <c r="K62" i="94"/>
  <c r="K61" i="94"/>
  <c r="K60" i="94"/>
  <c r="K59" i="94"/>
  <c r="K58" i="94"/>
  <c r="K57" i="94"/>
  <c r="K56" i="94"/>
  <c r="K55" i="94"/>
  <c r="K54" i="94"/>
  <c r="K53" i="94"/>
  <c r="K52" i="94"/>
  <c r="K51" i="94"/>
  <c r="K50" i="94"/>
  <c r="K49" i="94"/>
  <c r="K48" i="94"/>
  <c r="K46" i="94"/>
  <c r="K45" i="94"/>
  <c r="K44" i="94"/>
  <c r="K43" i="94"/>
  <c r="K42" i="94"/>
  <c r="K41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K27" i="94"/>
  <c r="K26" i="94"/>
  <c r="K25" i="94"/>
  <c r="K24" i="94"/>
  <c r="K23" i="94"/>
  <c r="K22" i="94"/>
  <c r="K21" i="94"/>
  <c r="K20" i="94"/>
  <c r="K19" i="94"/>
  <c r="K18" i="94"/>
  <c r="K17" i="94"/>
  <c r="K16" i="94"/>
  <c r="K15" i="94"/>
  <c r="K14" i="94"/>
  <c r="K13" i="94"/>
  <c r="K12" i="94"/>
  <c r="K11" i="94"/>
  <c r="K10" i="94"/>
  <c r="K9" i="94"/>
  <c r="K8" i="94"/>
  <c r="K7" i="94"/>
  <c r="K6" i="94"/>
  <c r="K5" i="94"/>
  <c r="G7" i="94" l="1"/>
  <c r="O6" i="94"/>
  <c r="O7" i="94"/>
  <c r="O8" i="94"/>
  <c r="O9" i="94"/>
  <c r="O10" i="94"/>
  <c r="O11" i="94"/>
  <c r="O12" i="94"/>
  <c r="O13" i="94"/>
  <c r="O14" i="94"/>
  <c r="O15" i="94"/>
  <c r="O16" i="94"/>
  <c r="O17" i="94"/>
  <c r="O18" i="94"/>
  <c r="O19" i="94"/>
  <c r="O20" i="94"/>
  <c r="O21" i="94"/>
  <c r="O22" i="94"/>
  <c r="O23" i="94"/>
  <c r="O24" i="94"/>
  <c r="O25" i="94"/>
  <c r="O26" i="94"/>
  <c r="G8" i="94" l="1"/>
  <c r="H6" i="94"/>
  <c r="H7" i="94" s="1"/>
  <c r="H8" i="94" s="1"/>
  <c r="H9" i="94" s="1"/>
  <c r="H10" i="94" s="1"/>
  <c r="H11" i="94" s="1"/>
  <c r="H12" i="94" s="1"/>
  <c r="H13" i="94" s="1"/>
  <c r="H14" i="94" s="1"/>
  <c r="H15" i="94" s="1"/>
  <c r="H16" i="94" s="1"/>
  <c r="H17" i="94" s="1"/>
  <c r="H18" i="94" s="1"/>
  <c r="H19" i="94" s="1"/>
  <c r="H20" i="94" s="1"/>
  <c r="H21" i="94" s="1"/>
  <c r="H22" i="94" s="1"/>
  <c r="H23" i="94" s="1"/>
  <c r="H24" i="94" s="1"/>
  <c r="H25" i="94" s="1"/>
  <c r="H26" i="94" s="1"/>
  <c r="H27" i="94" s="1"/>
  <c r="H28" i="94" s="1"/>
  <c r="H29" i="94" s="1"/>
  <c r="H30" i="94" s="1"/>
  <c r="H31" i="94" s="1"/>
  <c r="H32" i="94" s="1"/>
  <c r="H33" i="94" s="1"/>
  <c r="H34" i="94" s="1"/>
  <c r="H35" i="94" s="1"/>
  <c r="H36" i="94" s="1"/>
  <c r="H37" i="94" s="1"/>
  <c r="H38" i="94" s="1"/>
  <c r="H39" i="94" s="1"/>
  <c r="H40" i="94" s="1"/>
  <c r="H41" i="94" s="1"/>
  <c r="H42" i="94" s="1"/>
  <c r="H43" i="94" s="1"/>
  <c r="H44" i="94" s="1"/>
  <c r="H45" i="94" s="1"/>
  <c r="H46" i="94" s="1"/>
  <c r="H47" i="94" s="1"/>
  <c r="H48" i="94" s="1"/>
  <c r="H49" i="94" s="1"/>
  <c r="H50" i="94" s="1"/>
  <c r="H51" i="94" s="1"/>
  <c r="H52" i="94" s="1"/>
  <c r="H53" i="94" s="1"/>
  <c r="H54" i="94" s="1"/>
  <c r="H55" i="94" s="1"/>
  <c r="H56" i="94" s="1"/>
  <c r="H57" i="94" s="1"/>
  <c r="H58" i="94" s="1"/>
  <c r="H59" i="94" s="1"/>
  <c r="H60" i="94" s="1"/>
  <c r="H61" i="94" s="1"/>
  <c r="H62" i="94" s="1"/>
  <c r="H63" i="94" s="1"/>
  <c r="H64" i="94" s="1"/>
  <c r="H65" i="94" s="1"/>
  <c r="H66" i="94" s="1"/>
  <c r="H67" i="94" s="1"/>
  <c r="H68" i="94" s="1"/>
  <c r="H69" i="94" s="1"/>
  <c r="H70" i="94" s="1"/>
  <c r="H71" i="94" s="1"/>
  <c r="H72" i="94" s="1"/>
  <c r="H73" i="94" s="1"/>
  <c r="H74" i="94" s="1"/>
  <c r="H75" i="94" s="1"/>
  <c r="H76" i="94" s="1"/>
  <c r="BE224" i="92"/>
  <c r="BE223" i="92"/>
  <c r="BE222" i="92"/>
  <c r="BE221" i="92"/>
  <c r="BE220" i="92"/>
  <c r="BE219" i="92"/>
  <c r="BE218" i="92"/>
  <c r="BE217" i="92"/>
  <c r="BE216" i="92"/>
  <c r="BE215" i="92"/>
  <c r="BE214" i="92"/>
  <c r="BE213" i="92"/>
  <c r="BE212" i="92"/>
  <c r="BE211" i="92"/>
  <c r="BE210" i="92"/>
  <c r="BE209" i="92"/>
  <c r="BE208" i="92"/>
  <c r="BE207" i="92"/>
  <c r="BE206" i="92"/>
  <c r="BE205" i="92"/>
  <c r="BE204" i="92"/>
  <c r="BE203" i="92"/>
  <c r="BE202" i="92"/>
  <c r="BE201" i="92"/>
  <c r="BE200" i="92"/>
  <c r="BE199" i="92"/>
  <c r="BE198" i="92"/>
  <c r="BE197" i="92"/>
  <c r="BE196" i="92"/>
  <c r="BE195" i="92"/>
  <c r="BE179" i="92"/>
  <c r="BE178" i="92"/>
  <c r="BE177" i="92"/>
  <c r="BE176" i="92"/>
  <c r="BE175" i="92"/>
  <c r="BE174" i="92"/>
  <c r="BE173" i="92"/>
  <c r="BE172" i="92"/>
  <c r="BE171" i="92"/>
  <c r="BE170" i="92"/>
  <c r="BE169" i="92"/>
  <c r="BE168" i="92"/>
  <c r="BE167" i="92"/>
  <c r="BE166" i="92"/>
  <c r="BE165" i="92"/>
  <c r="BE164" i="92"/>
  <c r="BE163" i="92"/>
  <c r="BE162" i="92"/>
  <c r="BE161" i="92"/>
  <c r="BE160" i="92"/>
  <c r="BE159" i="92"/>
  <c r="BE158" i="92"/>
  <c r="BE157" i="92"/>
  <c r="BE156" i="92"/>
  <c r="BE155" i="92"/>
  <c r="BE154" i="92"/>
  <c r="BE153" i="92"/>
  <c r="BE152" i="92"/>
  <c r="BE151" i="92"/>
  <c r="BE150" i="92"/>
  <c r="BE149" i="92"/>
  <c r="V7" i="93"/>
  <c r="V8" i="93"/>
  <c r="V9" i="93"/>
  <c r="V10" i="93"/>
  <c r="V11" i="93"/>
  <c r="V12" i="93"/>
  <c r="V13" i="93"/>
  <c r="V14" i="93"/>
  <c r="V15" i="93"/>
  <c r="V16" i="93"/>
  <c r="V17" i="93"/>
  <c r="V18" i="93"/>
  <c r="V19" i="93"/>
  <c r="V20" i="93"/>
  <c r="V21" i="93"/>
  <c r="V22" i="93"/>
  <c r="V23" i="93"/>
  <c r="V24" i="93"/>
  <c r="V25" i="93"/>
  <c r="V26" i="93"/>
  <c r="V27" i="93"/>
  <c r="V28" i="93"/>
  <c r="V29" i="93"/>
  <c r="V30" i="93"/>
  <c r="V31" i="93"/>
  <c r="V32" i="93"/>
  <c r="V33" i="93"/>
  <c r="V34" i="93"/>
  <c r="V35" i="93"/>
  <c r="V36" i="93"/>
  <c r="V37" i="93"/>
  <c r="V38" i="93"/>
  <c r="V39" i="93"/>
  <c r="V40" i="93"/>
  <c r="V41" i="93"/>
  <c r="V42" i="93"/>
  <c r="V43" i="93"/>
  <c r="V44" i="93"/>
  <c r="V6" i="93"/>
  <c r="AL224" i="92"/>
  <c r="AK224" i="92"/>
  <c r="AJ224" i="92"/>
  <c r="AI224" i="92"/>
  <c r="AL223" i="92"/>
  <c r="AK223" i="92"/>
  <c r="AJ223" i="92"/>
  <c r="AI223" i="92"/>
  <c r="AL222" i="92"/>
  <c r="AK222" i="92"/>
  <c r="AJ222" i="92"/>
  <c r="AI222" i="92"/>
  <c r="AL221" i="92"/>
  <c r="AK221" i="92"/>
  <c r="AJ221" i="92"/>
  <c r="AI221" i="92"/>
  <c r="AL220" i="92"/>
  <c r="AK220" i="92"/>
  <c r="AJ220" i="92"/>
  <c r="AI220" i="92"/>
  <c r="AL219" i="92"/>
  <c r="AK219" i="92"/>
  <c r="AJ219" i="92"/>
  <c r="AI219" i="92"/>
  <c r="AL218" i="92"/>
  <c r="AK218" i="92"/>
  <c r="AJ218" i="92"/>
  <c r="AI218" i="92"/>
  <c r="AL217" i="92"/>
  <c r="AK217" i="92"/>
  <c r="AJ217" i="92"/>
  <c r="AI217" i="92"/>
  <c r="AL216" i="92"/>
  <c r="AK216" i="92"/>
  <c r="AJ216" i="92"/>
  <c r="AI216" i="92"/>
  <c r="AL215" i="92"/>
  <c r="AK215" i="92"/>
  <c r="AJ215" i="92"/>
  <c r="AI215" i="92"/>
  <c r="AL214" i="92"/>
  <c r="AK214" i="92"/>
  <c r="AJ214" i="92"/>
  <c r="AI214" i="92"/>
  <c r="AL213" i="92"/>
  <c r="AK213" i="92"/>
  <c r="AJ213" i="92"/>
  <c r="AI213" i="92"/>
  <c r="AL212" i="92"/>
  <c r="AK212" i="92"/>
  <c r="AJ212" i="92"/>
  <c r="AI212" i="92"/>
  <c r="AL211" i="92"/>
  <c r="AK211" i="92"/>
  <c r="AJ211" i="92"/>
  <c r="AI211" i="92"/>
  <c r="AL210" i="92"/>
  <c r="AK210" i="92"/>
  <c r="AJ210" i="92"/>
  <c r="AI210" i="92"/>
  <c r="AL209" i="92"/>
  <c r="AK209" i="92"/>
  <c r="AJ209" i="92"/>
  <c r="AI209" i="92"/>
  <c r="AL208" i="92"/>
  <c r="AK208" i="92"/>
  <c r="AJ208" i="92"/>
  <c r="AI208" i="92"/>
  <c r="AL207" i="92"/>
  <c r="AK207" i="92"/>
  <c r="AJ207" i="92"/>
  <c r="AI207" i="92"/>
  <c r="AL206" i="92"/>
  <c r="AK206" i="92"/>
  <c r="AJ206" i="92"/>
  <c r="AI206" i="92"/>
  <c r="AL205" i="92"/>
  <c r="AK205" i="92"/>
  <c r="AJ205" i="92"/>
  <c r="AI205" i="92"/>
  <c r="AL204" i="92"/>
  <c r="AK204" i="92"/>
  <c r="AJ204" i="92"/>
  <c r="AI204" i="92"/>
  <c r="AL203" i="92"/>
  <c r="AK203" i="92"/>
  <c r="AJ203" i="92"/>
  <c r="AI203" i="92"/>
  <c r="AL202" i="92"/>
  <c r="AK202" i="92"/>
  <c r="AJ202" i="92"/>
  <c r="AI202" i="92"/>
  <c r="AL201" i="92"/>
  <c r="AK201" i="92"/>
  <c r="AJ201" i="92"/>
  <c r="AI201" i="92"/>
  <c r="AL200" i="92"/>
  <c r="AK200" i="92"/>
  <c r="AJ200" i="92"/>
  <c r="AI200" i="92"/>
  <c r="AL199" i="92"/>
  <c r="AK199" i="92"/>
  <c r="AJ199" i="92"/>
  <c r="AI199" i="92"/>
  <c r="AL198" i="92"/>
  <c r="AK198" i="92"/>
  <c r="AJ198" i="92"/>
  <c r="AI198" i="92"/>
  <c r="AL197" i="92"/>
  <c r="AK197" i="92"/>
  <c r="AJ197" i="92"/>
  <c r="AI197" i="92"/>
  <c r="AL196" i="92"/>
  <c r="AK196" i="92"/>
  <c r="AJ196" i="92"/>
  <c r="AI196" i="92"/>
  <c r="AL195" i="92"/>
  <c r="AK195" i="92"/>
  <c r="AJ195" i="92"/>
  <c r="AI195" i="92"/>
  <c r="AL194" i="92"/>
  <c r="AK194" i="92"/>
  <c r="AJ194" i="92"/>
  <c r="AI194" i="92"/>
  <c r="AL193" i="92"/>
  <c r="AK193" i="92"/>
  <c r="AJ193" i="92"/>
  <c r="AI193" i="92"/>
  <c r="AP192" i="92"/>
  <c r="AL192" i="92"/>
  <c r="AK192" i="92"/>
  <c r="AJ192" i="92"/>
  <c r="AI192" i="92"/>
  <c r="AP191" i="92"/>
  <c r="AL191" i="92"/>
  <c r="AK191" i="92"/>
  <c r="AJ191" i="92"/>
  <c r="AI191" i="92"/>
  <c r="AP190" i="92"/>
  <c r="AL190" i="92"/>
  <c r="AK190" i="92"/>
  <c r="AJ190" i="92"/>
  <c r="AI190" i="92"/>
  <c r="AP189" i="92"/>
  <c r="AL189" i="92"/>
  <c r="AK189" i="92"/>
  <c r="AJ189" i="92"/>
  <c r="AI189" i="92"/>
  <c r="AP188" i="92"/>
  <c r="AL188" i="92"/>
  <c r="AK188" i="92"/>
  <c r="AJ188" i="92"/>
  <c r="AI188" i="92"/>
  <c r="AP187" i="92"/>
  <c r="AL187" i="92"/>
  <c r="AK187" i="92"/>
  <c r="AJ187" i="92"/>
  <c r="AI187" i="92"/>
  <c r="AP186" i="92"/>
  <c r="AL186" i="92"/>
  <c r="AK186" i="92"/>
  <c r="AJ186" i="92"/>
  <c r="AI186" i="92"/>
  <c r="AL179" i="92"/>
  <c r="AK179" i="92"/>
  <c r="AJ179" i="92"/>
  <c r="AI179" i="92"/>
  <c r="AL178" i="92"/>
  <c r="AK178" i="92"/>
  <c r="AJ178" i="92"/>
  <c r="AI178" i="92"/>
  <c r="AL177" i="92"/>
  <c r="AK177" i="92"/>
  <c r="AJ177" i="92"/>
  <c r="AI177" i="92"/>
  <c r="AL176" i="92"/>
  <c r="AK176" i="92"/>
  <c r="AJ176" i="92"/>
  <c r="AI176" i="92"/>
  <c r="AL175" i="92"/>
  <c r="AK175" i="92"/>
  <c r="AJ175" i="92"/>
  <c r="AI175" i="92"/>
  <c r="AL174" i="92"/>
  <c r="AK174" i="92"/>
  <c r="AJ174" i="92"/>
  <c r="AI174" i="92"/>
  <c r="AL173" i="92"/>
  <c r="AK173" i="92"/>
  <c r="AJ173" i="92"/>
  <c r="AI173" i="92"/>
  <c r="AL172" i="92"/>
  <c r="AK172" i="92"/>
  <c r="AJ172" i="92"/>
  <c r="AI172" i="92"/>
  <c r="AL171" i="92"/>
  <c r="AK171" i="92"/>
  <c r="AJ171" i="92"/>
  <c r="AI171" i="92"/>
  <c r="AL170" i="92"/>
  <c r="AK170" i="92"/>
  <c r="AJ170" i="92"/>
  <c r="AI170" i="92"/>
  <c r="AL169" i="92"/>
  <c r="AK169" i="92"/>
  <c r="AJ169" i="92"/>
  <c r="AI169" i="92"/>
  <c r="AL168" i="92"/>
  <c r="AK168" i="92"/>
  <c r="AJ168" i="92"/>
  <c r="AI168" i="92"/>
  <c r="AL167" i="92"/>
  <c r="AK167" i="92"/>
  <c r="AJ167" i="92"/>
  <c r="AI167" i="92"/>
  <c r="AL166" i="92"/>
  <c r="AK166" i="92"/>
  <c r="AJ166" i="92"/>
  <c r="AI166" i="92"/>
  <c r="AL165" i="92"/>
  <c r="AK165" i="92"/>
  <c r="AJ165" i="92"/>
  <c r="AI165" i="92"/>
  <c r="AL164" i="92"/>
  <c r="AK164" i="92"/>
  <c r="AJ164" i="92"/>
  <c r="AI164" i="92"/>
  <c r="AL163" i="92"/>
  <c r="AK163" i="92"/>
  <c r="AJ163" i="92"/>
  <c r="AI163" i="92"/>
  <c r="AL162" i="92"/>
  <c r="AK162" i="92"/>
  <c r="AJ162" i="92"/>
  <c r="AI162" i="92"/>
  <c r="AL161" i="92"/>
  <c r="AK161" i="92"/>
  <c r="AJ161" i="92"/>
  <c r="AI161" i="92"/>
  <c r="AL160" i="92"/>
  <c r="AK160" i="92"/>
  <c r="AJ160" i="92"/>
  <c r="AI160" i="92"/>
  <c r="AL159" i="92"/>
  <c r="AK159" i="92"/>
  <c r="AJ159" i="92"/>
  <c r="AI159" i="92"/>
  <c r="AL158" i="92"/>
  <c r="AK158" i="92"/>
  <c r="AJ158" i="92"/>
  <c r="AI158" i="92"/>
  <c r="AL157" i="92"/>
  <c r="AK157" i="92"/>
  <c r="AJ157" i="92"/>
  <c r="AI157" i="92"/>
  <c r="AL156" i="92"/>
  <c r="AK156" i="92"/>
  <c r="AJ156" i="92"/>
  <c r="AI156" i="92"/>
  <c r="AL155" i="92"/>
  <c r="AK155" i="92"/>
  <c r="AJ155" i="92"/>
  <c r="AI155" i="92"/>
  <c r="AL154" i="92"/>
  <c r="AK154" i="92"/>
  <c r="AJ154" i="92"/>
  <c r="AI154" i="92"/>
  <c r="AL153" i="92"/>
  <c r="AK153" i="92"/>
  <c r="AJ153" i="92"/>
  <c r="AI153" i="92"/>
  <c r="AL152" i="92"/>
  <c r="AK152" i="92"/>
  <c r="AJ152" i="92"/>
  <c r="AI152" i="92"/>
  <c r="AL151" i="92"/>
  <c r="AK151" i="92"/>
  <c r="AJ151" i="92"/>
  <c r="AI151" i="92"/>
  <c r="AL150" i="92"/>
  <c r="AK150" i="92"/>
  <c r="AJ150" i="92"/>
  <c r="AI150" i="92"/>
  <c r="AL149" i="92"/>
  <c r="AK149" i="92"/>
  <c r="AJ149" i="92"/>
  <c r="AI149" i="92"/>
  <c r="AL148" i="92"/>
  <c r="AK148" i="92"/>
  <c r="AJ148" i="92"/>
  <c r="AI148" i="92"/>
  <c r="AP147" i="92"/>
  <c r="AL147" i="92"/>
  <c r="AK147" i="92"/>
  <c r="AJ147" i="92"/>
  <c r="AI147" i="92"/>
  <c r="AP146" i="92"/>
  <c r="AL146" i="92"/>
  <c r="AK146" i="92"/>
  <c r="AJ146" i="92"/>
  <c r="AI146" i="92"/>
  <c r="AP145" i="92"/>
  <c r="AL145" i="92"/>
  <c r="AK145" i="92"/>
  <c r="AJ145" i="92"/>
  <c r="AI145" i="92"/>
  <c r="AP144" i="92"/>
  <c r="AL144" i="92"/>
  <c r="AK144" i="92"/>
  <c r="AJ144" i="92"/>
  <c r="AI144" i="92"/>
  <c r="AP143" i="92"/>
  <c r="AL143" i="92"/>
  <c r="AK143" i="92"/>
  <c r="AJ143" i="92"/>
  <c r="AI143" i="92"/>
  <c r="AP142" i="92"/>
  <c r="AL142" i="92"/>
  <c r="AK142" i="92"/>
  <c r="AJ142" i="92"/>
  <c r="AI142" i="92"/>
  <c r="AP141" i="92"/>
  <c r="AL141" i="92"/>
  <c r="AK141" i="92"/>
  <c r="AJ141" i="92"/>
  <c r="AI141" i="92"/>
  <c r="AL134" i="92"/>
  <c r="AK134" i="92"/>
  <c r="AJ134" i="92"/>
  <c r="AI134" i="92"/>
  <c r="AL133" i="92"/>
  <c r="AK133" i="92"/>
  <c r="AJ133" i="92"/>
  <c r="AI133" i="92"/>
  <c r="AL132" i="92"/>
  <c r="AK132" i="92"/>
  <c r="AJ132" i="92"/>
  <c r="AI132" i="92"/>
  <c r="AL131" i="92"/>
  <c r="AK131" i="92"/>
  <c r="AJ131" i="92"/>
  <c r="AI131" i="92"/>
  <c r="AL130" i="92"/>
  <c r="AK130" i="92"/>
  <c r="AJ130" i="92"/>
  <c r="AI130" i="92"/>
  <c r="AL129" i="92"/>
  <c r="AK129" i="92"/>
  <c r="AJ129" i="92"/>
  <c r="AI129" i="92"/>
  <c r="AL128" i="92"/>
  <c r="AK128" i="92"/>
  <c r="AJ128" i="92"/>
  <c r="AI128" i="92"/>
  <c r="AL127" i="92"/>
  <c r="AK127" i="92"/>
  <c r="AJ127" i="92"/>
  <c r="AI127" i="92"/>
  <c r="AL126" i="92"/>
  <c r="AK126" i="92"/>
  <c r="AJ126" i="92"/>
  <c r="AI126" i="92"/>
  <c r="AL125" i="92"/>
  <c r="AK125" i="92"/>
  <c r="AJ125" i="92"/>
  <c r="AI125" i="92"/>
  <c r="AL124" i="92"/>
  <c r="AK124" i="92"/>
  <c r="AJ124" i="92"/>
  <c r="AI124" i="92"/>
  <c r="AL123" i="92"/>
  <c r="AK123" i="92"/>
  <c r="AJ123" i="92"/>
  <c r="AI123" i="92"/>
  <c r="AL122" i="92"/>
  <c r="AK122" i="92"/>
  <c r="AJ122" i="92"/>
  <c r="AI122" i="92"/>
  <c r="AL121" i="92"/>
  <c r="AK121" i="92"/>
  <c r="AJ121" i="92"/>
  <c r="AI121" i="92"/>
  <c r="AL120" i="92"/>
  <c r="AK120" i="92"/>
  <c r="AJ120" i="92"/>
  <c r="AI120" i="92"/>
  <c r="AL119" i="92"/>
  <c r="AK119" i="92"/>
  <c r="AJ119" i="92"/>
  <c r="AI119" i="92"/>
  <c r="AL118" i="92"/>
  <c r="AK118" i="92"/>
  <c r="AJ118" i="92"/>
  <c r="AI118" i="92"/>
  <c r="AL117" i="92"/>
  <c r="AK117" i="92"/>
  <c r="AJ117" i="92"/>
  <c r="AI117" i="92"/>
  <c r="AL116" i="92"/>
  <c r="AK116" i="92"/>
  <c r="AJ116" i="92"/>
  <c r="AI116" i="92"/>
  <c r="AL115" i="92"/>
  <c r="AK115" i="92"/>
  <c r="AJ115" i="92"/>
  <c r="AI115" i="92"/>
  <c r="AL114" i="92"/>
  <c r="AK114" i="92"/>
  <c r="AJ114" i="92"/>
  <c r="AI114" i="92"/>
  <c r="AL113" i="92"/>
  <c r="AK113" i="92"/>
  <c r="AJ113" i="92"/>
  <c r="AI113" i="92"/>
  <c r="AL112" i="92"/>
  <c r="AK112" i="92"/>
  <c r="AJ112" i="92"/>
  <c r="AI112" i="92"/>
  <c r="AL111" i="92"/>
  <c r="AK111" i="92"/>
  <c r="AJ111" i="92"/>
  <c r="AI111" i="92"/>
  <c r="AL110" i="92"/>
  <c r="AK110" i="92"/>
  <c r="AJ110" i="92"/>
  <c r="AI110" i="92"/>
  <c r="AL109" i="92"/>
  <c r="AK109" i="92"/>
  <c r="AJ109" i="92"/>
  <c r="AI109" i="92"/>
  <c r="AL108" i="92"/>
  <c r="AK108" i="92"/>
  <c r="AJ108" i="92"/>
  <c r="AI108" i="92"/>
  <c r="AL107" i="92"/>
  <c r="AK107" i="92"/>
  <c r="AJ107" i="92"/>
  <c r="AI107" i="92"/>
  <c r="AL106" i="92"/>
  <c r="AK106" i="92"/>
  <c r="AJ106" i="92"/>
  <c r="AI106" i="92"/>
  <c r="AL105" i="92"/>
  <c r="AK105" i="92"/>
  <c r="AJ105" i="92"/>
  <c r="AI105" i="92"/>
  <c r="AL104" i="92"/>
  <c r="AK104" i="92"/>
  <c r="AJ104" i="92"/>
  <c r="AI104" i="92"/>
  <c r="AL103" i="92"/>
  <c r="AK103" i="92"/>
  <c r="AJ103" i="92"/>
  <c r="AI103" i="92"/>
  <c r="AP102" i="92"/>
  <c r="AL102" i="92"/>
  <c r="AK102" i="92"/>
  <c r="AJ102" i="92"/>
  <c r="AI102" i="92"/>
  <c r="AP101" i="92"/>
  <c r="AL101" i="92"/>
  <c r="AK101" i="92"/>
  <c r="AJ101" i="92"/>
  <c r="AI101" i="92"/>
  <c r="AP100" i="92"/>
  <c r="AL100" i="92"/>
  <c r="AK100" i="92"/>
  <c r="AJ100" i="92"/>
  <c r="AI100" i="92"/>
  <c r="AP99" i="92"/>
  <c r="AL99" i="92"/>
  <c r="AK99" i="92"/>
  <c r="AJ99" i="92"/>
  <c r="AI99" i="92"/>
  <c r="AP98" i="92"/>
  <c r="AL98" i="92"/>
  <c r="AK98" i="92"/>
  <c r="AJ98" i="92"/>
  <c r="AI98" i="92"/>
  <c r="AP97" i="92"/>
  <c r="AL97" i="92"/>
  <c r="AK97" i="92"/>
  <c r="AJ97" i="92"/>
  <c r="AI97" i="92"/>
  <c r="AP96" i="92"/>
  <c r="AL96" i="92"/>
  <c r="AK96" i="92"/>
  <c r="AJ96" i="92"/>
  <c r="AI96" i="92"/>
  <c r="AL89" i="92"/>
  <c r="AK89" i="92"/>
  <c r="AJ89" i="92"/>
  <c r="AI89" i="92"/>
  <c r="AL88" i="92"/>
  <c r="AK88" i="92"/>
  <c r="AJ88" i="92"/>
  <c r="AI88" i="92"/>
  <c r="AL87" i="92"/>
  <c r="AK87" i="92"/>
  <c r="AJ87" i="92"/>
  <c r="AI87" i="92"/>
  <c r="AL86" i="92"/>
  <c r="AK86" i="92"/>
  <c r="AJ86" i="92"/>
  <c r="AI86" i="92"/>
  <c r="AL85" i="92"/>
  <c r="AK85" i="92"/>
  <c r="AJ85" i="92"/>
  <c r="AI85" i="92"/>
  <c r="AL84" i="92"/>
  <c r="AK84" i="92"/>
  <c r="AJ84" i="92"/>
  <c r="AI84" i="92"/>
  <c r="AL83" i="92"/>
  <c r="AK83" i="92"/>
  <c r="AJ83" i="92"/>
  <c r="AI83" i="92"/>
  <c r="AL82" i="92"/>
  <c r="AK82" i="92"/>
  <c r="AJ82" i="92"/>
  <c r="AI82" i="92"/>
  <c r="AL81" i="92"/>
  <c r="AK81" i="92"/>
  <c r="AJ81" i="92"/>
  <c r="AI81" i="92"/>
  <c r="AL80" i="92"/>
  <c r="AK80" i="92"/>
  <c r="AJ80" i="92"/>
  <c r="AI80" i="92"/>
  <c r="AL79" i="92"/>
  <c r="AK79" i="92"/>
  <c r="AJ79" i="92"/>
  <c r="AI79" i="92"/>
  <c r="AL78" i="92"/>
  <c r="AK78" i="92"/>
  <c r="AJ78" i="92"/>
  <c r="AI78" i="92"/>
  <c r="AL77" i="92"/>
  <c r="AK77" i="92"/>
  <c r="AJ77" i="92"/>
  <c r="AI77" i="92"/>
  <c r="AL76" i="92"/>
  <c r="AK76" i="92"/>
  <c r="AJ76" i="92"/>
  <c r="AI76" i="92"/>
  <c r="AL75" i="92"/>
  <c r="AK75" i="92"/>
  <c r="AJ75" i="92"/>
  <c r="AI75" i="92"/>
  <c r="AL74" i="92"/>
  <c r="AK74" i="92"/>
  <c r="AJ74" i="92"/>
  <c r="AI74" i="92"/>
  <c r="AL73" i="92"/>
  <c r="AK73" i="92"/>
  <c r="AJ73" i="92"/>
  <c r="AI73" i="92"/>
  <c r="AL72" i="92"/>
  <c r="AK72" i="92"/>
  <c r="AJ72" i="92"/>
  <c r="AI72" i="92"/>
  <c r="AL71" i="92"/>
  <c r="AK71" i="92"/>
  <c r="AJ71" i="92"/>
  <c r="AI71" i="92"/>
  <c r="AL70" i="92"/>
  <c r="AK70" i="92"/>
  <c r="AJ70" i="92"/>
  <c r="AI70" i="92"/>
  <c r="AL69" i="92"/>
  <c r="AK69" i="92"/>
  <c r="AJ69" i="92"/>
  <c r="AI69" i="92"/>
  <c r="AL68" i="92"/>
  <c r="AK68" i="92"/>
  <c r="AJ68" i="92"/>
  <c r="AI68" i="92"/>
  <c r="AL67" i="92"/>
  <c r="AK67" i="92"/>
  <c r="AJ67" i="92"/>
  <c r="AI67" i="92"/>
  <c r="AL66" i="92"/>
  <c r="AK66" i="92"/>
  <c r="AJ66" i="92"/>
  <c r="AI66" i="92"/>
  <c r="AL65" i="92"/>
  <c r="AK65" i="92"/>
  <c r="AJ65" i="92"/>
  <c r="AI65" i="92"/>
  <c r="AL64" i="92"/>
  <c r="AK64" i="92"/>
  <c r="AJ64" i="92"/>
  <c r="AI64" i="92"/>
  <c r="AL63" i="92"/>
  <c r="AK63" i="92"/>
  <c r="AJ63" i="92"/>
  <c r="AI63" i="92"/>
  <c r="AL62" i="92"/>
  <c r="AK62" i="92"/>
  <c r="AJ62" i="92"/>
  <c r="AI62" i="92"/>
  <c r="AL61" i="92"/>
  <c r="AK61" i="92"/>
  <c r="AJ61" i="92"/>
  <c r="AI61" i="92"/>
  <c r="AL60" i="92"/>
  <c r="AK60" i="92"/>
  <c r="AJ60" i="92"/>
  <c r="AI60" i="92"/>
  <c r="AL59" i="92"/>
  <c r="AK59" i="92"/>
  <c r="AJ59" i="92"/>
  <c r="AI59" i="92"/>
  <c r="AL58" i="92"/>
  <c r="AK58" i="92"/>
  <c r="AJ58" i="92"/>
  <c r="AI58" i="92"/>
  <c r="AP57" i="92"/>
  <c r="AL57" i="92"/>
  <c r="AK57" i="92"/>
  <c r="AJ57" i="92"/>
  <c r="AI57" i="92"/>
  <c r="AP56" i="92"/>
  <c r="AL56" i="92"/>
  <c r="AK56" i="92"/>
  <c r="AJ56" i="92"/>
  <c r="AI56" i="92"/>
  <c r="AP55" i="92"/>
  <c r="AL55" i="92"/>
  <c r="AK55" i="92"/>
  <c r="AJ55" i="92"/>
  <c r="AI55" i="92"/>
  <c r="AP54" i="92"/>
  <c r="AL54" i="92"/>
  <c r="AK54" i="92"/>
  <c r="AJ54" i="92"/>
  <c r="AI54" i="92"/>
  <c r="AP53" i="92"/>
  <c r="AL53" i="92"/>
  <c r="AK53" i="92"/>
  <c r="AJ53" i="92"/>
  <c r="AI53" i="92"/>
  <c r="AP52" i="92"/>
  <c r="AL52" i="92"/>
  <c r="AK52" i="92"/>
  <c r="AJ52" i="92"/>
  <c r="AI52" i="92"/>
  <c r="AP51" i="92"/>
  <c r="AL51" i="92"/>
  <c r="AK51" i="92"/>
  <c r="AJ51" i="92"/>
  <c r="AI51" i="92"/>
  <c r="AI7" i="92"/>
  <c r="AJ7" i="92"/>
  <c r="AK7" i="92"/>
  <c r="AL7" i="92"/>
  <c r="AP7" i="92"/>
  <c r="AI8" i="92"/>
  <c r="AJ8" i="92"/>
  <c r="AK8" i="92"/>
  <c r="AL8" i="92"/>
  <c r="AP8" i="92"/>
  <c r="AI9" i="92"/>
  <c r="AJ9" i="92"/>
  <c r="AK9" i="92"/>
  <c r="AL9" i="92"/>
  <c r="AP9" i="92"/>
  <c r="AI10" i="92"/>
  <c r="AJ10" i="92"/>
  <c r="AK10" i="92"/>
  <c r="AL10" i="92"/>
  <c r="AP10" i="92"/>
  <c r="AI11" i="92"/>
  <c r="AJ11" i="92"/>
  <c r="AK11" i="92"/>
  <c r="AL11" i="92"/>
  <c r="AP11" i="92"/>
  <c r="AI12" i="92"/>
  <c r="AJ12" i="92"/>
  <c r="AK12" i="92"/>
  <c r="AL12" i="92"/>
  <c r="AP12" i="92"/>
  <c r="AI13" i="92"/>
  <c r="AJ13" i="92"/>
  <c r="AK13" i="92"/>
  <c r="AL13" i="92"/>
  <c r="AI14" i="92"/>
  <c r="AJ14" i="92"/>
  <c r="AK14" i="92"/>
  <c r="AL14" i="92"/>
  <c r="AI15" i="92"/>
  <c r="AJ15" i="92"/>
  <c r="AK15" i="92"/>
  <c r="AL15" i="92"/>
  <c r="AI16" i="92"/>
  <c r="AJ16" i="92"/>
  <c r="AK16" i="92"/>
  <c r="AL16" i="92"/>
  <c r="AI17" i="92"/>
  <c r="AJ17" i="92"/>
  <c r="AK17" i="92"/>
  <c r="AL17" i="92"/>
  <c r="AI18" i="92"/>
  <c r="AJ18" i="92"/>
  <c r="AK18" i="92"/>
  <c r="AL18" i="92"/>
  <c r="AI19" i="92"/>
  <c r="AJ19" i="92"/>
  <c r="AK19" i="92"/>
  <c r="AL19" i="92"/>
  <c r="AI20" i="92"/>
  <c r="AJ20" i="92"/>
  <c r="AK20" i="92"/>
  <c r="AL20" i="92"/>
  <c r="AI21" i="92"/>
  <c r="AJ21" i="92"/>
  <c r="AK21" i="92"/>
  <c r="AL21" i="92"/>
  <c r="AI22" i="92"/>
  <c r="AJ22" i="92"/>
  <c r="AK22" i="92"/>
  <c r="AL22" i="92"/>
  <c r="AI23" i="92"/>
  <c r="AJ23" i="92"/>
  <c r="AK23" i="92"/>
  <c r="AL23" i="92"/>
  <c r="AI24" i="92"/>
  <c r="AJ24" i="92"/>
  <c r="AK24" i="92"/>
  <c r="AL24" i="92"/>
  <c r="AI25" i="92"/>
  <c r="AJ25" i="92"/>
  <c r="AK25" i="92"/>
  <c r="AL25" i="92"/>
  <c r="AI26" i="92"/>
  <c r="AJ26" i="92"/>
  <c r="AK26" i="92"/>
  <c r="AL26" i="92"/>
  <c r="AI27" i="92"/>
  <c r="AJ27" i="92"/>
  <c r="AK27" i="92"/>
  <c r="AL27" i="92"/>
  <c r="AI28" i="92"/>
  <c r="AJ28" i="92"/>
  <c r="AK28" i="92"/>
  <c r="AL28" i="92"/>
  <c r="AI29" i="92"/>
  <c r="AJ29" i="92"/>
  <c r="AK29" i="92"/>
  <c r="AL29" i="92"/>
  <c r="AI30" i="92"/>
  <c r="AJ30" i="92"/>
  <c r="AK30" i="92"/>
  <c r="AL30" i="92"/>
  <c r="AI31" i="92"/>
  <c r="AJ31" i="92"/>
  <c r="AK31" i="92"/>
  <c r="AL31" i="92"/>
  <c r="AI32" i="92"/>
  <c r="AJ32" i="92"/>
  <c r="AK32" i="92"/>
  <c r="AL32" i="92"/>
  <c r="AI33" i="92"/>
  <c r="AJ33" i="92"/>
  <c r="AK33" i="92"/>
  <c r="AL33" i="92"/>
  <c r="AI34" i="92"/>
  <c r="AJ34" i="92"/>
  <c r="AK34" i="92"/>
  <c r="AL34" i="92"/>
  <c r="AI35" i="92"/>
  <c r="AJ35" i="92"/>
  <c r="AK35" i="92"/>
  <c r="AL35" i="92"/>
  <c r="AI36" i="92"/>
  <c r="AJ36" i="92"/>
  <c r="AK36" i="92"/>
  <c r="AL36" i="92"/>
  <c r="AI37" i="92"/>
  <c r="AJ37" i="92"/>
  <c r="AK37" i="92"/>
  <c r="AL37" i="92"/>
  <c r="AI38" i="92"/>
  <c r="AJ38" i="92"/>
  <c r="AK38" i="92"/>
  <c r="AL38" i="92"/>
  <c r="AI39" i="92"/>
  <c r="AJ39" i="92"/>
  <c r="AK39" i="92"/>
  <c r="AL39" i="92"/>
  <c r="AI40" i="92"/>
  <c r="AJ40" i="92"/>
  <c r="AK40" i="92"/>
  <c r="AL40" i="92"/>
  <c r="AI41" i="92"/>
  <c r="AJ41" i="92"/>
  <c r="AK41" i="92"/>
  <c r="AL41" i="92"/>
  <c r="AI42" i="92"/>
  <c r="AJ42" i="92"/>
  <c r="AK42" i="92"/>
  <c r="AL42" i="92"/>
  <c r="AI43" i="92"/>
  <c r="AJ43" i="92"/>
  <c r="AK43" i="92"/>
  <c r="AL43" i="92"/>
  <c r="AI44" i="92"/>
  <c r="AJ44" i="92"/>
  <c r="AK44" i="92"/>
  <c r="AL44" i="92"/>
  <c r="AJ6" i="92"/>
  <c r="AK6" i="92"/>
  <c r="AL6" i="92"/>
  <c r="AP6" i="92"/>
  <c r="AI6" i="92"/>
  <c r="AC224" i="92"/>
  <c r="AB224" i="92"/>
  <c r="AA224" i="92"/>
  <c r="Z224" i="92"/>
  <c r="Y224" i="92"/>
  <c r="AC223" i="92"/>
  <c r="AB223" i="92"/>
  <c r="AA223" i="92"/>
  <c r="Z223" i="92"/>
  <c r="Y223" i="92"/>
  <c r="AC222" i="92"/>
  <c r="AB222" i="92"/>
  <c r="AA222" i="92"/>
  <c r="Z222" i="92"/>
  <c r="Y222" i="92"/>
  <c r="AC221" i="92"/>
  <c r="AB221" i="92"/>
  <c r="AA221" i="92"/>
  <c r="Z221" i="92"/>
  <c r="Y221" i="92"/>
  <c r="AC220" i="92"/>
  <c r="AB220" i="92"/>
  <c r="AA220" i="92"/>
  <c r="Z220" i="92"/>
  <c r="Y220" i="92"/>
  <c r="AC219" i="92"/>
  <c r="AB219" i="92"/>
  <c r="AA219" i="92"/>
  <c r="Z219" i="92"/>
  <c r="Y219" i="92"/>
  <c r="AC218" i="92"/>
  <c r="AB218" i="92"/>
  <c r="AA218" i="92"/>
  <c r="Z218" i="92"/>
  <c r="Y218" i="92"/>
  <c r="AC217" i="92"/>
  <c r="AB217" i="92"/>
  <c r="AA217" i="92"/>
  <c r="Z217" i="92"/>
  <c r="Y217" i="92"/>
  <c r="AC216" i="92"/>
  <c r="AB216" i="92"/>
  <c r="AA216" i="92"/>
  <c r="Z216" i="92"/>
  <c r="Y216" i="92"/>
  <c r="AC215" i="92"/>
  <c r="AB215" i="92"/>
  <c r="AA215" i="92"/>
  <c r="Z215" i="92"/>
  <c r="Y215" i="92"/>
  <c r="AC214" i="92"/>
  <c r="AB214" i="92"/>
  <c r="AA214" i="92"/>
  <c r="Z214" i="92"/>
  <c r="Y214" i="92"/>
  <c r="AC213" i="92"/>
  <c r="AB213" i="92"/>
  <c r="AA213" i="92"/>
  <c r="Z213" i="92"/>
  <c r="Y213" i="92"/>
  <c r="AC212" i="92"/>
  <c r="AB212" i="92"/>
  <c r="AA212" i="92"/>
  <c r="Z212" i="92"/>
  <c r="Y212" i="92"/>
  <c r="AC211" i="92"/>
  <c r="AB211" i="92"/>
  <c r="AA211" i="92"/>
  <c r="Z211" i="92"/>
  <c r="Y211" i="92"/>
  <c r="AC210" i="92"/>
  <c r="AB210" i="92"/>
  <c r="AA210" i="92"/>
  <c r="Z210" i="92"/>
  <c r="Y210" i="92"/>
  <c r="AC209" i="92"/>
  <c r="AB209" i="92"/>
  <c r="AA209" i="92"/>
  <c r="Z209" i="92"/>
  <c r="Y209" i="92"/>
  <c r="AC208" i="92"/>
  <c r="AB208" i="92"/>
  <c r="AA208" i="92"/>
  <c r="Z208" i="92"/>
  <c r="Y208" i="92"/>
  <c r="AC207" i="92"/>
  <c r="AB207" i="92"/>
  <c r="AA207" i="92"/>
  <c r="Z207" i="92"/>
  <c r="Y207" i="92"/>
  <c r="AC206" i="92"/>
  <c r="AB206" i="92"/>
  <c r="AA206" i="92"/>
  <c r="Z206" i="92"/>
  <c r="Y206" i="92"/>
  <c r="AC205" i="92"/>
  <c r="AB205" i="92"/>
  <c r="AA205" i="92"/>
  <c r="Z205" i="92"/>
  <c r="Y205" i="92"/>
  <c r="AC204" i="92"/>
  <c r="AB204" i="92"/>
  <c r="AA204" i="92"/>
  <c r="Z204" i="92"/>
  <c r="Y204" i="92"/>
  <c r="AC203" i="92"/>
  <c r="AB203" i="92"/>
  <c r="AA203" i="92"/>
  <c r="Z203" i="92"/>
  <c r="Y203" i="92"/>
  <c r="AC202" i="92"/>
  <c r="AB202" i="92"/>
  <c r="AA202" i="92"/>
  <c r="Z202" i="92"/>
  <c r="Y202" i="92"/>
  <c r="AC201" i="92"/>
  <c r="AB201" i="92"/>
  <c r="AA201" i="92"/>
  <c r="Z201" i="92"/>
  <c r="Y201" i="92"/>
  <c r="AC200" i="92"/>
  <c r="AB200" i="92"/>
  <c r="AA200" i="92"/>
  <c r="Z200" i="92"/>
  <c r="Y200" i="92"/>
  <c r="AC199" i="92"/>
  <c r="AB199" i="92"/>
  <c r="AA199" i="92"/>
  <c r="Z199" i="92"/>
  <c r="Y199" i="92"/>
  <c r="AC198" i="92"/>
  <c r="AB198" i="92"/>
  <c r="AA198" i="92"/>
  <c r="Z198" i="92"/>
  <c r="Y198" i="92"/>
  <c r="AC197" i="92"/>
  <c r="AB197" i="92"/>
  <c r="AA197" i="92"/>
  <c r="Z197" i="92"/>
  <c r="Y197" i="92"/>
  <c r="AC196" i="92"/>
  <c r="AB196" i="92"/>
  <c r="AA196" i="92"/>
  <c r="Z196" i="92"/>
  <c r="Y196" i="92"/>
  <c r="AC195" i="92"/>
  <c r="AB195" i="92"/>
  <c r="AA195" i="92"/>
  <c r="Z195" i="92"/>
  <c r="Y195" i="92"/>
  <c r="AC194" i="92"/>
  <c r="AB194" i="92"/>
  <c r="AA194" i="92"/>
  <c r="Z194" i="92"/>
  <c r="Y194" i="92"/>
  <c r="AC193" i="92"/>
  <c r="AB193" i="92"/>
  <c r="AA193" i="92"/>
  <c r="Z193" i="92"/>
  <c r="Y193" i="92"/>
  <c r="AC192" i="92"/>
  <c r="AB192" i="92"/>
  <c r="AA192" i="92"/>
  <c r="Z192" i="92"/>
  <c r="Y192" i="92"/>
  <c r="AC191" i="92"/>
  <c r="AB191" i="92"/>
  <c r="AA191" i="92"/>
  <c r="Z191" i="92"/>
  <c r="Y191" i="92"/>
  <c r="AC190" i="92"/>
  <c r="AB190" i="92"/>
  <c r="AA190" i="92"/>
  <c r="Z190" i="92"/>
  <c r="Y190" i="92"/>
  <c r="AC189" i="92"/>
  <c r="AB189" i="92"/>
  <c r="AA189" i="92"/>
  <c r="Z189" i="92"/>
  <c r="Y189" i="92"/>
  <c r="AC188" i="92"/>
  <c r="AB188" i="92"/>
  <c r="AA188" i="92"/>
  <c r="Z188" i="92"/>
  <c r="Y188" i="92"/>
  <c r="AC187" i="92"/>
  <c r="AB187" i="92"/>
  <c r="AA187" i="92"/>
  <c r="Z187" i="92"/>
  <c r="Y187" i="92"/>
  <c r="AC186" i="92"/>
  <c r="AB186" i="92"/>
  <c r="AA186" i="92"/>
  <c r="Z186" i="92"/>
  <c r="Y186" i="92"/>
  <c r="AC179" i="92"/>
  <c r="AB179" i="92"/>
  <c r="AA179" i="92"/>
  <c r="Z179" i="92"/>
  <c r="Y179" i="92"/>
  <c r="AC178" i="92"/>
  <c r="AB178" i="92"/>
  <c r="AA178" i="92"/>
  <c r="Z178" i="92"/>
  <c r="Y178" i="92"/>
  <c r="AC177" i="92"/>
  <c r="AB177" i="92"/>
  <c r="AA177" i="92"/>
  <c r="Z177" i="92"/>
  <c r="Y177" i="92"/>
  <c r="AC176" i="92"/>
  <c r="AB176" i="92"/>
  <c r="AA176" i="92"/>
  <c r="Z176" i="92"/>
  <c r="Y176" i="92"/>
  <c r="AC175" i="92"/>
  <c r="AB175" i="92"/>
  <c r="AA175" i="92"/>
  <c r="Z175" i="92"/>
  <c r="Y175" i="92"/>
  <c r="AC174" i="92"/>
  <c r="AB174" i="92"/>
  <c r="AA174" i="92"/>
  <c r="Z174" i="92"/>
  <c r="Y174" i="92"/>
  <c r="AC173" i="92"/>
  <c r="AB173" i="92"/>
  <c r="AA173" i="92"/>
  <c r="Z173" i="92"/>
  <c r="Y173" i="92"/>
  <c r="AC172" i="92"/>
  <c r="AB172" i="92"/>
  <c r="AA172" i="92"/>
  <c r="Z172" i="92"/>
  <c r="Y172" i="92"/>
  <c r="AC171" i="92"/>
  <c r="AB171" i="92"/>
  <c r="AA171" i="92"/>
  <c r="Z171" i="92"/>
  <c r="Y171" i="92"/>
  <c r="AC170" i="92"/>
  <c r="AB170" i="92"/>
  <c r="AA170" i="92"/>
  <c r="Z170" i="92"/>
  <c r="Y170" i="92"/>
  <c r="AC169" i="92"/>
  <c r="AB169" i="92"/>
  <c r="AA169" i="92"/>
  <c r="Z169" i="92"/>
  <c r="Y169" i="92"/>
  <c r="AC168" i="92"/>
  <c r="AB168" i="92"/>
  <c r="AA168" i="92"/>
  <c r="Z168" i="92"/>
  <c r="Y168" i="92"/>
  <c r="AC167" i="92"/>
  <c r="AB167" i="92"/>
  <c r="AA167" i="92"/>
  <c r="Z167" i="92"/>
  <c r="Y167" i="92"/>
  <c r="AC166" i="92"/>
  <c r="AB166" i="92"/>
  <c r="AA166" i="92"/>
  <c r="Z166" i="92"/>
  <c r="Y166" i="92"/>
  <c r="AC165" i="92"/>
  <c r="AB165" i="92"/>
  <c r="AA165" i="92"/>
  <c r="Z165" i="92"/>
  <c r="Y165" i="92"/>
  <c r="AC164" i="92"/>
  <c r="AB164" i="92"/>
  <c r="AA164" i="92"/>
  <c r="Z164" i="92"/>
  <c r="Y164" i="92"/>
  <c r="AC163" i="92"/>
  <c r="AB163" i="92"/>
  <c r="AA163" i="92"/>
  <c r="Z163" i="92"/>
  <c r="Y163" i="92"/>
  <c r="AC162" i="92"/>
  <c r="AB162" i="92"/>
  <c r="AA162" i="92"/>
  <c r="Z162" i="92"/>
  <c r="Y162" i="92"/>
  <c r="AC161" i="92"/>
  <c r="AB161" i="92"/>
  <c r="AA161" i="92"/>
  <c r="Z161" i="92"/>
  <c r="Y161" i="92"/>
  <c r="AC160" i="92"/>
  <c r="AB160" i="92"/>
  <c r="AA160" i="92"/>
  <c r="Z160" i="92"/>
  <c r="Y160" i="92"/>
  <c r="AC159" i="92"/>
  <c r="AB159" i="92"/>
  <c r="AA159" i="92"/>
  <c r="Z159" i="92"/>
  <c r="Y159" i="92"/>
  <c r="AC158" i="92"/>
  <c r="AB158" i="92"/>
  <c r="AA158" i="92"/>
  <c r="Z158" i="92"/>
  <c r="Y158" i="92"/>
  <c r="AC157" i="92"/>
  <c r="AB157" i="92"/>
  <c r="AA157" i="92"/>
  <c r="Z157" i="92"/>
  <c r="Y157" i="92"/>
  <c r="AC156" i="92"/>
  <c r="AB156" i="92"/>
  <c r="AA156" i="92"/>
  <c r="Z156" i="92"/>
  <c r="Y156" i="92"/>
  <c r="AC155" i="92"/>
  <c r="AB155" i="92"/>
  <c r="AA155" i="92"/>
  <c r="Z155" i="92"/>
  <c r="Y155" i="92"/>
  <c r="AC154" i="92"/>
  <c r="AB154" i="92"/>
  <c r="AA154" i="92"/>
  <c r="Z154" i="92"/>
  <c r="Y154" i="92"/>
  <c r="AC153" i="92"/>
  <c r="AB153" i="92"/>
  <c r="AA153" i="92"/>
  <c r="Z153" i="92"/>
  <c r="Y153" i="92"/>
  <c r="AC152" i="92"/>
  <c r="AB152" i="92"/>
  <c r="AA152" i="92"/>
  <c r="Z152" i="92"/>
  <c r="Y152" i="92"/>
  <c r="AC151" i="92"/>
  <c r="AB151" i="92"/>
  <c r="AA151" i="92"/>
  <c r="Z151" i="92"/>
  <c r="Y151" i="92"/>
  <c r="AC150" i="92"/>
  <c r="AB150" i="92"/>
  <c r="AA150" i="92"/>
  <c r="Z150" i="92"/>
  <c r="Y150" i="92"/>
  <c r="AC149" i="92"/>
  <c r="AB149" i="92"/>
  <c r="AA149" i="92"/>
  <c r="Z149" i="92"/>
  <c r="Y149" i="92"/>
  <c r="AC148" i="92"/>
  <c r="AB148" i="92"/>
  <c r="AA148" i="92"/>
  <c r="Z148" i="92"/>
  <c r="Y148" i="92"/>
  <c r="AC147" i="92"/>
  <c r="AB147" i="92"/>
  <c r="AA147" i="92"/>
  <c r="Z147" i="92"/>
  <c r="Y147" i="92"/>
  <c r="AC146" i="92"/>
  <c r="AB146" i="92"/>
  <c r="AA146" i="92"/>
  <c r="Z146" i="92"/>
  <c r="Y146" i="92"/>
  <c r="AC145" i="92"/>
  <c r="AB145" i="92"/>
  <c r="AA145" i="92"/>
  <c r="Z145" i="92"/>
  <c r="Y145" i="92"/>
  <c r="AC144" i="92"/>
  <c r="AB144" i="92"/>
  <c r="AA144" i="92"/>
  <c r="Z144" i="92"/>
  <c r="Y144" i="92"/>
  <c r="AC143" i="92"/>
  <c r="AB143" i="92"/>
  <c r="AA143" i="92"/>
  <c r="Z143" i="92"/>
  <c r="Y143" i="92"/>
  <c r="AC142" i="92"/>
  <c r="AB142" i="92"/>
  <c r="AA142" i="92"/>
  <c r="Z142" i="92"/>
  <c r="Y142" i="92"/>
  <c r="AC141" i="92"/>
  <c r="AB141" i="92"/>
  <c r="AA141" i="92"/>
  <c r="Z141" i="92"/>
  <c r="Y141" i="92"/>
  <c r="AC134" i="92"/>
  <c r="AB134" i="92"/>
  <c r="AA134" i="92"/>
  <c r="Z134" i="92"/>
  <c r="Y134" i="92"/>
  <c r="AC133" i="92"/>
  <c r="AB133" i="92"/>
  <c r="AA133" i="92"/>
  <c r="Z133" i="92"/>
  <c r="Y133" i="92"/>
  <c r="AC132" i="92"/>
  <c r="AB132" i="92"/>
  <c r="AA132" i="92"/>
  <c r="Z132" i="92"/>
  <c r="Y132" i="92"/>
  <c r="AC131" i="92"/>
  <c r="AB131" i="92"/>
  <c r="AA131" i="92"/>
  <c r="Z131" i="92"/>
  <c r="Y131" i="92"/>
  <c r="AC130" i="92"/>
  <c r="AB130" i="92"/>
  <c r="AA130" i="92"/>
  <c r="Z130" i="92"/>
  <c r="Y130" i="92"/>
  <c r="AC129" i="92"/>
  <c r="AB129" i="92"/>
  <c r="AA129" i="92"/>
  <c r="Z129" i="92"/>
  <c r="Y129" i="92"/>
  <c r="AC128" i="92"/>
  <c r="AB128" i="92"/>
  <c r="AA128" i="92"/>
  <c r="Z128" i="92"/>
  <c r="Y128" i="92"/>
  <c r="AC127" i="92"/>
  <c r="AB127" i="92"/>
  <c r="AA127" i="92"/>
  <c r="Z127" i="92"/>
  <c r="Y127" i="92"/>
  <c r="AC126" i="92"/>
  <c r="AB126" i="92"/>
  <c r="AA126" i="92"/>
  <c r="Z126" i="92"/>
  <c r="Y126" i="92"/>
  <c r="AC125" i="92"/>
  <c r="AB125" i="92"/>
  <c r="AA125" i="92"/>
  <c r="Z125" i="92"/>
  <c r="Y125" i="92"/>
  <c r="AC124" i="92"/>
  <c r="AB124" i="92"/>
  <c r="AA124" i="92"/>
  <c r="Z124" i="92"/>
  <c r="Y124" i="92"/>
  <c r="AC123" i="92"/>
  <c r="AB123" i="92"/>
  <c r="AA123" i="92"/>
  <c r="Z123" i="92"/>
  <c r="Y123" i="92"/>
  <c r="AC122" i="92"/>
  <c r="AB122" i="92"/>
  <c r="AA122" i="92"/>
  <c r="Z122" i="92"/>
  <c r="Y122" i="92"/>
  <c r="AC121" i="92"/>
  <c r="AB121" i="92"/>
  <c r="AA121" i="92"/>
  <c r="Z121" i="92"/>
  <c r="Y121" i="92"/>
  <c r="AC120" i="92"/>
  <c r="AB120" i="92"/>
  <c r="AA120" i="92"/>
  <c r="Z120" i="92"/>
  <c r="Y120" i="92"/>
  <c r="AC119" i="92"/>
  <c r="AB119" i="92"/>
  <c r="AA119" i="92"/>
  <c r="Z119" i="92"/>
  <c r="Y119" i="92"/>
  <c r="AC118" i="92"/>
  <c r="AB118" i="92"/>
  <c r="AA118" i="92"/>
  <c r="Z118" i="92"/>
  <c r="Y118" i="92"/>
  <c r="AC117" i="92"/>
  <c r="AB117" i="92"/>
  <c r="AA117" i="92"/>
  <c r="Z117" i="92"/>
  <c r="Y117" i="92"/>
  <c r="AC116" i="92"/>
  <c r="AB116" i="92"/>
  <c r="AA116" i="92"/>
  <c r="Z116" i="92"/>
  <c r="Y116" i="92"/>
  <c r="AC115" i="92"/>
  <c r="AB115" i="92"/>
  <c r="AA115" i="92"/>
  <c r="Z115" i="92"/>
  <c r="Y115" i="92"/>
  <c r="AC114" i="92"/>
  <c r="AB114" i="92"/>
  <c r="AA114" i="92"/>
  <c r="Z114" i="92"/>
  <c r="Y114" i="92"/>
  <c r="AC113" i="92"/>
  <c r="AB113" i="92"/>
  <c r="AA113" i="92"/>
  <c r="Z113" i="92"/>
  <c r="Y113" i="92"/>
  <c r="AC112" i="92"/>
  <c r="AB112" i="92"/>
  <c r="AA112" i="92"/>
  <c r="Z112" i="92"/>
  <c r="Y112" i="92"/>
  <c r="AC111" i="92"/>
  <c r="AB111" i="92"/>
  <c r="AA111" i="92"/>
  <c r="Z111" i="92"/>
  <c r="Y111" i="92"/>
  <c r="AC110" i="92"/>
  <c r="AB110" i="92"/>
  <c r="AA110" i="92"/>
  <c r="Z110" i="92"/>
  <c r="Y110" i="92"/>
  <c r="AC109" i="92"/>
  <c r="AB109" i="92"/>
  <c r="AA109" i="92"/>
  <c r="Z109" i="92"/>
  <c r="Y109" i="92"/>
  <c r="AC108" i="92"/>
  <c r="AB108" i="92"/>
  <c r="AA108" i="92"/>
  <c r="Z108" i="92"/>
  <c r="Y108" i="92"/>
  <c r="AC107" i="92"/>
  <c r="AB107" i="92"/>
  <c r="AA107" i="92"/>
  <c r="Z107" i="92"/>
  <c r="Y107" i="92"/>
  <c r="AC106" i="92"/>
  <c r="AB106" i="92"/>
  <c r="AA106" i="92"/>
  <c r="Z106" i="92"/>
  <c r="Y106" i="92"/>
  <c r="AC105" i="92"/>
  <c r="AB105" i="92"/>
  <c r="AA105" i="92"/>
  <c r="Z105" i="92"/>
  <c r="Y105" i="92"/>
  <c r="AC104" i="92"/>
  <c r="AB104" i="92"/>
  <c r="AA104" i="92"/>
  <c r="Z104" i="92"/>
  <c r="Y104" i="92"/>
  <c r="AC103" i="92"/>
  <c r="AB103" i="92"/>
  <c r="AA103" i="92"/>
  <c r="Z103" i="92"/>
  <c r="Y103" i="92"/>
  <c r="AC102" i="92"/>
  <c r="AB102" i="92"/>
  <c r="AA102" i="92"/>
  <c r="Z102" i="92"/>
  <c r="Y102" i="92"/>
  <c r="AC101" i="92"/>
  <c r="AB101" i="92"/>
  <c r="AA101" i="92"/>
  <c r="Z101" i="92"/>
  <c r="Y101" i="92"/>
  <c r="AC100" i="92"/>
  <c r="AB100" i="92"/>
  <c r="AA100" i="92"/>
  <c r="Z100" i="92"/>
  <c r="Y100" i="92"/>
  <c r="AC99" i="92"/>
  <c r="AB99" i="92"/>
  <c r="AA99" i="92"/>
  <c r="Z99" i="92"/>
  <c r="Y99" i="92"/>
  <c r="AC98" i="92"/>
  <c r="AB98" i="92"/>
  <c r="AA98" i="92"/>
  <c r="Z98" i="92"/>
  <c r="Y98" i="92"/>
  <c r="AC97" i="92"/>
  <c r="AB97" i="92"/>
  <c r="AA97" i="92"/>
  <c r="Z97" i="92"/>
  <c r="Y97" i="92"/>
  <c r="AC96" i="92"/>
  <c r="AB96" i="92"/>
  <c r="AA96" i="92"/>
  <c r="Z96" i="92"/>
  <c r="Y96" i="92"/>
  <c r="AC89" i="92"/>
  <c r="AB89" i="92"/>
  <c r="AA89" i="92"/>
  <c r="Z89" i="92"/>
  <c r="Y89" i="92"/>
  <c r="AC88" i="92"/>
  <c r="AB88" i="92"/>
  <c r="AA88" i="92"/>
  <c r="Z88" i="92"/>
  <c r="Y88" i="92"/>
  <c r="AC87" i="92"/>
  <c r="AB87" i="92"/>
  <c r="AA87" i="92"/>
  <c r="Z87" i="92"/>
  <c r="Y87" i="92"/>
  <c r="AC86" i="92"/>
  <c r="AB86" i="92"/>
  <c r="AA86" i="92"/>
  <c r="Z86" i="92"/>
  <c r="Y86" i="92"/>
  <c r="AC85" i="92"/>
  <c r="AB85" i="92"/>
  <c r="AA85" i="92"/>
  <c r="Z85" i="92"/>
  <c r="Y85" i="92"/>
  <c r="AC84" i="92"/>
  <c r="AB84" i="92"/>
  <c r="AA84" i="92"/>
  <c r="Z84" i="92"/>
  <c r="Y84" i="92"/>
  <c r="AC83" i="92"/>
  <c r="AB83" i="92"/>
  <c r="AA83" i="92"/>
  <c r="Z83" i="92"/>
  <c r="Y83" i="92"/>
  <c r="AC82" i="92"/>
  <c r="AB82" i="92"/>
  <c r="AA82" i="92"/>
  <c r="Z82" i="92"/>
  <c r="Y82" i="92"/>
  <c r="AC81" i="92"/>
  <c r="AB81" i="92"/>
  <c r="AA81" i="92"/>
  <c r="Z81" i="92"/>
  <c r="Y81" i="92"/>
  <c r="AC80" i="92"/>
  <c r="AB80" i="92"/>
  <c r="AA80" i="92"/>
  <c r="Z80" i="92"/>
  <c r="Y80" i="92"/>
  <c r="AC79" i="92"/>
  <c r="AB79" i="92"/>
  <c r="AA79" i="92"/>
  <c r="Z79" i="92"/>
  <c r="Y79" i="92"/>
  <c r="AC78" i="92"/>
  <c r="AB78" i="92"/>
  <c r="AA78" i="92"/>
  <c r="Z78" i="92"/>
  <c r="Y78" i="92"/>
  <c r="AC77" i="92"/>
  <c r="AB77" i="92"/>
  <c r="AA77" i="92"/>
  <c r="Z77" i="92"/>
  <c r="Y77" i="92"/>
  <c r="AC76" i="92"/>
  <c r="AB76" i="92"/>
  <c r="AA76" i="92"/>
  <c r="Z76" i="92"/>
  <c r="Y76" i="92"/>
  <c r="AC75" i="92"/>
  <c r="AB75" i="92"/>
  <c r="AA75" i="92"/>
  <c r="Z75" i="92"/>
  <c r="Y75" i="92"/>
  <c r="AC74" i="92"/>
  <c r="AB74" i="92"/>
  <c r="AA74" i="92"/>
  <c r="Z74" i="92"/>
  <c r="Y74" i="92"/>
  <c r="AC73" i="92"/>
  <c r="AB73" i="92"/>
  <c r="AA73" i="92"/>
  <c r="Z73" i="92"/>
  <c r="Y73" i="92"/>
  <c r="AC72" i="92"/>
  <c r="AB72" i="92"/>
  <c r="AA72" i="92"/>
  <c r="Z72" i="92"/>
  <c r="Y72" i="92"/>
  <c r="AC71" i="92"/>
  <c r="AB71" i="92"/>
  <c r="AA71" i="92"/>
  <c r="Z71" i="92"/>
  <c r="Y71" i="92"/>
  <c r="AC70" i="92"/>
  <c r="AB70" i="92"/>
  <c r="AA70" i="92"/>
  <c r="Z70" i="92"/>
  <c r="Y70" i="92"/>
  <c r="AC69" i="92"/>
  <c r="AB69" i="92"/>
  <c r="AA69" i="92"/>
  <c r="Z69" i="92"/>
  <c r="Y69" i="92"/>
  <c r="AC68" i="92"/>
  <c r="AB68" i="92"/>
  <c r="AA68" i="92"/>
  <c r="Z68" i="92"/>
  <c r="Y68" i="92"/>
  <c r="AC67" i="92"/>
  <c r="AB67" i="92"/>
  <c r="AA67" i="92"/>
  <c r="Z67" i="92"/>
  <c r="Y67" i="92"/>
  <c r="AC66" i="92"/>
  <c r="AB66" i="92"/>
  <c r="AA66" i="92"/>
  <c r="Z66" i="92"/>
  <c r="Y66" i="92"/>
  <c r="AC65" i="92"/>
  <c r="AB65" i="92"/>
  <c r="AA65" i="92"/>
  <c r="Z65" i="92"/>
  <c r="Y65" i="92"/>
  <c r="AC64" i="92"/>
  <c r="AB64" i="92"/>
  <c r="AA64" i="92"/>
  <c r="Z64" i="92"/>
  <c r="Y64" i="92"/>
  <c r="AC63" i="92"/>
  <c r="AB63" i="92"/>
  <c r="AA63" i="92"/>
  <c r="Z63" i="92"/>
  <c r="Y63" i="92"/>
  <c r="AC62" i="92"/>
  <c r="AB62" i="92"/>
  <c r="AA62" i="92"/>
  <c r="Z62" i="92"/>
  <c r="Y62" i="92"/>
  <c r="AC61" i="92"/>
  <c r="AB61" i="92"/>
  <c r="AA61" i="92"/>
  <c r="Z61" i="92"/>
  <c r="Y61" i="92"/>
  <c r="AC60" i="92"/>
  <c r="AB60" i="92"/>
  <c r="AA60" i="92"/>
  <c r="Z60" i="92"/>
  <c r="Y60" i="92"/>
  <c r="AC59" i="92"/>
  <c r="AB59" i="92"/>
  <c r="AA59" i="92"/>
  <c r="Z59" i="92"/>
  <c r="Y59" i="92"/>
  <c r="AC58" i="92"/>
  <c r="AB58" i="92"/>
  <c r="AA58" i="92"/>
  <c r="Z58" i="92"/>
  <c r="Y58" i="92"/>
  <c r="AC57" i="92"/>
  <c r="AB57" i="92"/>
  <c r="AA57" i="92"/>
  <c r="Z57" i="92"/>
  <c r="Y57" i="92"/>
  <c r="AC56" i="92"/>
  <c r="AB56" i="92"/>
  <c r="AA56" i="92"/>
  <c r="Z56" i="92"/>
  <c r="Y56" i="92"/>
  <c r="AC55" i="92"/>
  <c r="AB55" i="92"/>
  <c r="AA55" i="92"/>
  <c r="Z55" i="92"/>
  <c r="Y55" i="92"/>
  <c r="AC54" i="92"/>
  <c r="AB54" i="92"/>
  <c r="AA54" i="92"/>
  <c r="Z54" i="92"/>
  <c r="Y54" i="92"/>
  <c r="AC53" i="92"/>
  <c r="AB53" i="92"/>
  <c r="AA53" i="92"/>
  <c r="Z53" i="92"/>
  <c r="Y53" i="92"/>
  <c r="AC52" i="92"/>
  <c r="AB52" i="92"/>
  <c r="AA52" i="92"/>
  <c r="Z52" i="92"/>
  <c r="Y52" i="92"/>
  <c r="AC51" i="92"/>
  <c r="AB51" i="92"/>
  <c r="AA51" i="92"/>
  <c r="Z51" i="92"/>
  <c r="Y51" i="92"/>
  <c r="Y7" i="92"/>
  <c r="Z7" i="92"/>
  <c r="AA7" i="92"/>
  <c r="AB7" i="92"/>
  <c r="AC7" i="92"/>
  <c r="Y8" i="92"/>
  <c r="Z8" i="92"/>
  <c r="AA8" i="92"/>
  <c r="AB8" i="92"/>
  <c r="AC8" i="92"/>
  <c r="Y9" i="92"/>
  <c r="Z9" i="92"/>
  <c r="AA9" i="92"/>
  <c r="AB9" i="92"/>
  <c r="AC9" i="92"/>
  <c r="Y10" i="92"/>
  <c r="Z10" i="92"/>
  <c r="AA10" i="92"/>
  <c r="AB10" i="92"/>
  <c r="AC10" i="92"/>
  <c r="Y11" i="92"/>
  <c r="Z11" i="92"/>
  <c r="AA11" i="92"/>
  <c r="AB11" i="92"/>
  <c r="AC11" i="92"/>
  <c r="Y12" i="92"/>
  <c r="Z12" i="92"/>
  <c r="AA12" i="92"/>
  <c r="AB12" i="92"/>
  <c r="AC12" i="92"/>
  <c r="Y13" i="92"/>
  <c r="Z13" i="92"/>
  <c r="AA13" i="92"/>
  <c r="AB13" i="92"/>
  <c r="AC13" i="92"/>
  <c r="Y14" i="92"/>
  <c r="Z14" i="92"/>
  <c r="AA14" i="92"/>
  <c r="AB14" i="92"/>
  <c r="AC14" i="92"/>
  <c r="Y15" i="92"/>
  <c r="Z15" i="92"/>
  <c r="AA15" i="92"/>
  <c r="AB15" i="92"/>
  <c r="AC15" i="92"/>
  <c r="Y16" i="92"/>
  <c r="Z16" i="92"/>
  <c r="AA16" i="92"/>
  <c r="AB16" i="92"/>
  <c r="AC16" i="92"/>
  <c r="Y17" i="92"/>
  <c r="Z17" i="92"/>
  <c r="AA17" i="92"/>
  <c r="AB17" i="92"/>
  <c r="AC17" i="92"/>
  <c r="Y18" i="92"/>
  <c r="Z18" i="92"/>
  <c r="AA18" i="92"/>
  <c r="AB18" i="92"/>
  <c r="AC18" i="92"/>
  <c r="Y19" i="92"/>
  <c r="Z19" i="92"/>
  <c r="AA19" i="92"/>
  <c r="AB19" i="92"/>
  <c r="AC19" i="92"/>
  <c r="Y20" i="92"/>
  <c r="Z20" i="92"/>
  <c r="AA20" i="92"/>
  <c r="AB20" i="92"/>
  <c r="AC20" i="92"/>
  <c r="Y21" i="92"/>
  <c r="Z21" i="92"/>
  <c r="AA21" i="92"/>
  <c r="AB21" i="92"/>
  <c r="AC21" i="92"/>
  <c r="Y22" i="92"/>
  <c r="Z22" i="92"/>
  <c r="AA22" i="92"/>
  <c r="AB22" i="92"/>
  <c r="AC22" i="92"/>
  <c r="Y23" i="92"/>
  <c r="Z23" i="92"/>
  <c r="AA23" i="92"/>
  <c r="AB23" i="92"/>
  <c r="AC23" i="92"/>
  <c r="Y24" i="92"/>
  <c r="Z24" i="92"/>
  <c r="AA24" i="92"/>
  <c r="AB24" i="92"/>
  <c r="AC24" i="92"/>
  <c r="Y25" i="92"/>
  <c r="Z25" i="92"/>
  <c r="AA25" i="92"/>
  <c r="AB25" i="92"/>
  <c r="AC25" i="92"/>
  <c r="Y26" i="92"/>
  <c r="Z26" i="92"/>
  <c r="AA26" i="92"/>
  <c r="AB26" i="92"/>
  <c r="AC26" i="92"/>
  <c r="Y27" i="92"/>
  <c r="Z27" i="92"/>
  <c r="AA27" i="92"/>
  <c r="AB27" i="92"/>
  <c r="AC27" i="92"/>
  <c r="Y28" i="92"/>
  <c r="Z28" i="92"/>
  <c r="AA28" i="92"/>
  <c r="AB28" i="92"/>
  <c r="AC28" i="92"/>
  <c r="Y29" i="92"/>
  <c r="Z29" i="92"/>
  <c r="AA29" i="92"/>
  <c r="AB29" i="92"/>
  <c r="AC29" i="92"/>
  <c r="Y30" i="92"/>
  <c r="Z30" i="92"/>
  <c r="AA30" i="92"/>
  <c r="AB30" i="92"/>
  <c r="AC30" i="92"/>
  <c r="Y31" i="92"/>
  <c r="Z31" i="92"/>
  <c r="AA31" i="92"/>
  <c r="AB31" i="92"/>
  <c r="AC31" i="92"/>
  <c r="Y32" i="92"/>
  <c r="Z32" i="92"/>
  <c r="AA32" i="92"/>
  <c r="AB32" i="92"/>
  <c r="AC32" i="92"/>
  <c r="Y33" i="92"/>
  <c r="Z33" i="92"/>
  <c r="AA33" i="92"/>
  <c r="AB33" i="92"/>
  <c r="AC33" i="92"/>
  <c r="Y34" i="92"/>
  <c r="Z34" i="92"/>
  <c r="AA34" i="92"/>
  <c r="AB34" i="92"/>
  <c r="AC34" i="92"/>
  <c r="Y35" i="92"/>
  <c r="Z35" i="92"/>
  <c r="AA35" i="92"/>
  <c r="AB35" i="92"/>
  <c r="AC35" i="92"/>
  <c r="Y36" i="92"/>
  <c r="Z36" i="92"/>
  <c r="AA36" i="92"/>
  <c r="AB36" i="92"/>
  <c r="AC36" i="92"/>
  <c r="Y37" i="92"/>
  <c r="Z37" i="92"/>
  <c r="AA37" i="92"/>
  <c r="AB37" i="92"/>
  <c r="AC37" i="92"/>
  <c r="Y38" i="92"/>
  <c r="Z38" i="92"/>
  <c r="AA38" i="92"/>
  <c r="AB38" i="92"/>
  <c r="AC38" i="92"/>
  <c r="Y39" i="92"/>
  <c r="Z39" i="92"/>
  <c r="AA39" i="92"/>
  <c r="AB39" i="92"/>
  <c r="AC39" i="92"/>
  <c r="Y40" i="92"/>
  <c r="Z40" i="92"/>
  <c r="AA40" i="92"/>
  <c r="AB40" i="92"/>
  <c r="AC40" i="92"/>
  <c r="Y41" i="92"/>
  <c r="Z41" i="92"/>
  <c r="AA41" i="92"/>
  <c r="AB41" i="92"/>
  <c r="AC41" i="92"/>
  <c r="Y42" i="92"/>
  <c r="Z42" i="92"/>
  <c r="AA42" i="92"/>
  <c r="AB42" i="92"/>
  <c r="AC42" i="92"/>
  <c r="Y43" i="92"/>
  <c r="Z43" i="92"/>
  <c r="AA43" i="92"/>
  <c r="AB43" i="92"/>
  <c r="AC43" i="92"/>
  <c r="Y44" i="92"/>
  <c r="Z44" i="92"/>
  <c r="AA44" i="92"/>
  <c r="AB44" i="92"/>
  <c r="AC44" i="92"/>
  <c r="Z6" i="92"/>
  <c r="AA6" i="92"/>
  <c r="AB6" i="92"/>
  <c r="AC6" i="92"/>
  <c r="Y6" i="92"/>
  <c r="F30" i="93"/>
  <c r="F33" i="93"/>
  <c r="G33" i="93"/>
  <c r="G34" i="93"/>
  <c r="F34" i="93"/>
  <c r="E34" i="93"/>
  <c r="E33" i="93"/>
  <c r="F32" i="93"/>
  <c r="E32" i="93"/>
  <c r="F31" i="93"/>
  <c r="E31" i="93"/>
  <c r="E30" i="93"/>
  <c r="E29" i="93"/>
  <c r="E28" i="93"/>
  <c r="E27" i="93"/>
  <c r="E26" i="93"/>
  <c r="BA224" i="92"/>
  <c r="AZ224" i="92"/>
  <c r="AG224" i="92"/>
  <c r="AF224" i="92"/>
  <c r="AE224" i="92"/>
  <c r="AD224" i="92"/>
  <c r="W224" i="92"/>
  <c r="V224" i="93" s="1"/>
  <c r="BA223" i="92"/>
  <c r="AZ223" i="92"/>
  <c r="AG223" i="92"/>
  <c r="AF223" i="92"/>
  <c r="AE223" i="92"/>
  <c r="AD223" i="92"/>
  <c r="W223" i="92"/>
  <c r="V223" i="93" s="1"/>
  <c r="BA222" i="92"/>
  <c r="AZ222" i="92"/>
  <c r="AG222" i="92"/>
  <c r="AF222" i="92"/>
  <c r="AE222" i="92"/>
  <c r="AD222" i="92"/>
  <c r="W222" i="92"/>
  <c r="V222" i="93" s="1"/>
  <c r="BA221" i="92"/>
  <c r="AZ221" i="92"/>
  <c r="AG221" i="92"/>
  <c r="AF221" i="92"/>
  <c r="AE221" i="92"/>
  <c r="AD221" i="92"/>
  <c r="W221" i="92"/>
  <c r="V221" i="93" s="1"/>
  <c r="BA220" i="92"/>
  <c r="AZ220" i="92"/>
  <c r="AG220" i="92"/>
  <c r="AF220" i="92"/>
  <c r="AE220" i="92"/>
  <c r="AD220" i="92"/>
  <c r="W220" i="92"/>
  <c r="V220" i="93" s="1"/>
  <c r="BA219" i="92"/>
  <c r="AZ219" i="92"/>
  <c r="AG219" i="92"/>
  <c r="AF219" i="92"/>
  <c r="AE219" i="92"/>
  <c r="AD219" i="92"/>
  <c r="W219" i="92"/>
  <c r="V219" i="93" s="1"/>
  <c r="BA218" i="92"/>
  <c r="AZ218" i="92"/>
  <c r="AG218" i="92"/>
  <c r="AF218" i="92"/>
  <c r="AE218" i="92"/>
  <c r="AD218" i="92"/>
  <c r="W218" i="92"/>
  <c r="V218" i="93" s="1"/>
  <c r="BA217" i="92"/>
  <c r="AZ217" i="92"/>
  <c r="AG217" i="92"/>
  <c r="AF217" i="92"/>
  <c r="AE217" i="92"/>
  <c r="AD217" i="92"/>
  <c r="W217" i="92"/>
  <c r="V217" i="93" s="1"/>
  <c r="BA216" i="92"/>
  <c r="AZ216" i="92"/>
  <c r="AG216" i="92"/>
  <c r="AF216" i="92"/>
  <c r="AE216" i="92"/>
  <c r="AD216" i="92"/>
  <c r="W216" i="92"/>
  <c r="V216" i="93" s="1"/>
  <c r="BA215" i="92"/>
  <c r="AZ215" i="92"/>
  <c r="AG215" i="92"/>
  <c r="AF215" i="92"/>
  <c r="AE215" i="92"/>
  <c r="AD215" i="92"/>
  <c r="W215" i="92"/>
  <c r="V215" i="93" s="1"/>
  <c r="BA214" i="92"/>
  <c r="AZ214" i="92"/>
  <c r="AG214" i="92"/>
  <c r="AF214" i="92"/>
  <c r="AE214" i="92"/>
  <c r="AD214" i="92"/>
  <c r="W214" i="92"/>
  <c r="V214" i="93" s="1"/>
  <c r="BA213" i="92"/>
  <c r="AZ213" i="92"/>
  <c r="AG213" i="92"/>
  <c r="AF213" i="92"/>
  <c r="AE213" i="92"/>
  <c r="AD213" i="92"/>
  <c r="W213" i="92"/>
  <c r="V213" i="93" s="1"/>
  <c r="BA212" i="92"/>
  <c r="AZ212" i="92"/>
  <c r="AG212" i="92"/>
  <c r="AF212" i="92"/>
  <c r="AE212" i="92"/>
  <c r="AD212" i="92"/>
  <c r="W212" i="92"/>
  <c r="V212" i="93" s="1"/>
  <c r="BA211" i="92"/>
  <c r="AZ211" i="92"/>
  <c r="AG211" i="92"/>
  <c r="AF211" i="92"/>
  <c r="AE211" i="92"/>
  <c r="AD211" i="92"/>
  <c r="W211" i="92"/>
  <c r="V211" i="93" s="1"/>
  <c r="BA210" i="92"/>
  <c r="AZ210" i="92"/>
  <c r="AG210" i="92"/>
  <c r="AF210" i="92"/>
  <c r="AE210" i="92"/>
  <c r="AD210" i="92"/>
  <c r="W210" i="92"/>
  <c r="V210" i="93" s="1"/>
  <c r="BA209" i="92"/>
  <c r="AZ209" i="92"/>
  <c r="AG209" i="92"/>
  <c r="AF209" i="92"/>
  <c r="AE209" i="92"/>
  <c r="AD209" i="92"/>
  <c r="W209" i="92"/>
  <c r="V209" i="93" s="1"/>
  <c r="BA208" i="92"/>
  <c r="AZ208" i="92"/>
  <c r="AG208" i="92"/>
  <c r="AF208" i="92"/>
  <c r="AE208" i="92"/>
  <c r="AD208" i="92"/>
  <c r="W208" i="92"/>
  <c r="V208" i="93" s="1"/>
  <c r="BA207" i="92"/>
  <c r="AZ207" i="92"/>
  <c r="AG207" i="92"/>
  <c r="AF207" i="92"/>
  <c r="AE207" i="92"/>
  <c r="AD207" i="92"/>
  <c r="W207" i="92"/>
  <c r="V207" i="93" s="1"/>
  <c r="BA206" i="92"/>
  <c r="AZ206" i="92"/>
  <c r="AG206" i="92"/>
  <c r="AF206" i="92"/>
  <c r="AE206" i="92"/>
  <c r="AD206" i="92"/>
  <c r="W206" i="92"/>
  <c r="V206" i="93" s="1"/>
  <c r="BA205" i="92"/>
  <c r="AZ205" i="92"/>
  <c r="AG205" i="92"/>
  <c r="AF205" i="92"/>
  <c r="AE205" i="92"/>
  <c r="AD205" i="92"/>
  <c r="W205" i="92"/>
  <c r="V205" i="93" s="1"/>
  <c r="BA204" i="92"/>
  <c r="AZ204" i="92"/>
  <c r="AG204" i="92"/>
  <c r="AF204" i="92"/>
  <c r="AE204" i="92"/>
  <c r="AD204" i="92"/>
  <c r="W204" i="92"/>
  <c r="V204" i="93" s="1"/>
  <c r="BA203" i="92"/>
  <c r="AZ203" i="92"/>
  <c r="AG203" i="92"/>
  <c r="AF203" i="92"/>
  <c r="AE203" i="92"/>
  <c r="AD203" i="92"/>
  <c r="W203" i="92"/>
  <c r="V203" i="93" s="1"/>
  <c r="BA202" i="92"/>
  <c r="AZ202" i="92"/>
  <c r="AG202" i="92"/>
  <c r="AF202" i="92"/>
  <c r="AE202" i="92"/>
  <c r="AD202" i="92"/>
  <c r="W202" i="92"/>
  <c r="V202" i="93" s="1"/>
  <c r="BA201" i="92"/>
  <c r="AZ201" i="92"/>
  <c r="AG201" i="92"/>
  <c r="AF201" i="92"/>
  <c r="AE201" i="92"/>
  <c r="AD201" i="92"/>
  <c r="W201" i="92"/>
  <c r="V201" i="93" s="1"/>
  <c r="BA200" i="92"/>
  <c r="AZ200" i="92"/>
  <c r="AG200" i="92"/>
  <c r="AF200" i="92"/>
  <c r="AE200" i="92"/>
  <c r="AD200" i="92"/>
  <c r="W200" i="92"/>
  <c r="V200" i="93" s="1"/>
  <c r="BA199" i="92"/>
  <c r="AZ199" i="92"/>
  <c r="AG199" i="92"/>
  <c r="AF199" i="92"/>
  <c r="AE199" i="92"/>
  <c r="AD199" i="92"/>
  <c r="W199" i="92"/>
  <c r="V199" i="93" s="1"/>
  <c r="BA198" i="92"/>
  <c r="AZ198" i="92"/>
  <c r="AF198" i="92"/>
  <c r="AE198" i="92"/>
  <c r="AD198" i="92"/>
  <c r="W198" i="92"/>
  <c r="V198" i="93" s="1"/>
  <c r="BA197" i="92"/>
  <c r="AZ197" i="92"/>
  <c r="AF197" i="92"/>
  <c r="AE197" i="92"/>
  <c r="AD197" i="92"/>
  <c r="W197" i="92"/>
  <c r="V197" i="93" s="1"/>
  <c r="BA196" i="92"/>
  <c r="AZ196" i="92"/>
  <c r="AF196" i="92"/>
  <c r="AE196" i="92"/>
  <c r="AD196" i="92"/>
  <c r="W196" i="92"/>
  <c r="V196" i="93" s="1"/>
  <c r="BA195" i="92"/>
  <c r="AZ195" i="92"/>
  <c r="AF195" i="92"/>
  <c r="AE195" i="92"/>
  <c r="AD195" i="92"/>
  <c r="W195" i="92"/>
  <c r="V195" i="93" s="1"/>
  <c r="BA194" i="92"/>
  <c r="AZ194" i="92"/>
  <c r="AF194" i="92"/>
  <c r="AE194" i="92"/>
  <c r="AD194" i="92"/>
  <c r="W194" i="92"/>
  <c r="V194" i="93" s="1"/>
  <c r="BA193" i="92"/>
  <c r="AZ193" i="92"/>
  <c r="AF193" i="92"/>
  <c r="AE193" i="92"/>
  <c r="AD193" i="92"/>
  <c r="W193" i="92"/>
  <c r="V193" i="93" s="1"/>
  <c r="BA192" i="92"/>
  <c r="AZ192" i="92"/>
  <c r="AH192" i="92"/>
  <c r="AF192" i="92"/>
  <c r="AE192" i="92"/>
  <c r="AD192" i="92"/>
  <c r="W192" i="92"/>
  <c r="V192" i="93" s="1"/>
  <c r="BA191" i="92"/>
  <c r="AZ191" i="92"/>
  <c r="AH191" i="92"/>
  <c r="AF191" i="92"/>
  <c r="AE191" i="92"/>
  <c r="AD191" i="92"/>
  <c r="W191" i="92"/>
  <c r="V191" i="93" s="1"/>
  <c r="BA190" i="92"/>
  <c r="AZ190" i="92"/>
  <c r="AH190" i="92"/>
  <c r="AF190" i="92"/>
  <c r="AE190" i="92"/>
  <c r="AD190" i="92"/>
  <c r="W190" i="92"/>
  <c r="V190" i="93" s="1"/>
  <c r="BA189" i="92"/>
  <c r="AZ189" i="92"/>
  <c r="AH189" i="92"/>
  <c r="AF189" i="92"/>
  <c r="AE189" i="92"/>
  <c r="AD189" i="92"/>
  <c r="W189" i="92"/>
  <c r="V189" i="93" s="1"/>
  <c r="BA188" i="92"/>
  <c r="AZ188" i="92"/>
  <c r="AH188" i="92"/>
  <c r="AF188" i="92"/>
  <c r="AE188" i="92"/>
  <c r="AD188" i="92"/>
  <c r="W188" i="92"/>
  <c r="V188" i="93" s="1"/>
  <c r="BA187" i="92"/>
  <c r="AZ187" i="92"/>
  <c r="AH187" i="92"/>
  <c r="AF187" i="92"/>
  <c r="AE187" i="92"/>
  <c r="AD187" i="92"/>
  <c r="W187" i="92"/>
  <c r="V187" i="93" s="1"/>
  <c r="BA186" i="92"/>
  <c r="AZ186" i="92"/>
  <c r="AH186" i="92"/>
  <c r="AF186" i="92"/>
  <c r="AE186" i="92"/>
  <c r="AD186" i="92"/>
  <c r="W186" i="92"/>
  <c r="V186" i="93" s="1"/>
  <c r="BA179" i="92"/>
  <c r="AZ179" i="92"/>
  <c r="AG179" i="92"/>
  <c r="AF179" i="92"/>
  <c r="AE179" i="92"/>
  <c r="AD179" i="92"/>
  <c r="W179" i="92"/>
  <c r="V179" i="93" s="1"/>
  <c r="BA178" i="92"/>
  <c r="AZ178" i="92"/>
  <c r="AG178" i="92"/>
  <c r="AF178" i="92"/>
  <c r="AE178" i="92"/>
  <c r="AD178" i="92"/>
  <c r="W178" i="92"/>
  <c r="V178" i="93" s="1"/>
  <c r="BA177" i="92"/>
  <c r="AZ177" i="92"/>
  <c r="AG177" i="92"/>
  <c r="AF177" i="92"/>
  <c r="AE177" i="92"/>
  <c r="AD177" i="92"/>
  <c r="W177" i="92"/>
  <c r="V177" i="93" s="1"/>
  <c r="BA176" i="92"/>
  <c r="AZ176" i="92"/>
  <c r="AG176" i="92"/>
  <c r="AF176" i="92"/>
  <c r="AE176" i="92"/>
  <c r="AD176" i="92"/>
  <c r="W176" i="92"/>
  <c r="V176" i="93" s="1"/>
  <c r="BA175" i="92"/>
  <c r="AZ175" i="92"/>
  <c r="AG175" i="92"/>
  <c r="AF175" i="92"/>
  <c r="AE175" i="92"/>
  <c r="AD175" i="92"/>
  <c r="W175" i="92"/>
  <c r="V175" i="93" s="1"/>
  <c r="BA174" i="92"/>
  <c r="AZ174" i="92"/>
  <c r="AG174" i="92"/>
  <c r="AF174" i="92"/>
  <c r="AE174" i="92"/>
  <c r="AD174" i="92"/>
  <c r="W174" i="92"/>
  <c r="V174" i="93" s="1"/>
  <c r="BA173" i="92"/>
  <c r="AZ173" i="92"/>
  <c r="AG173" i="92"/>
  <c r="AF173" i="92"/>
  <c r="AE173" i="92"/>
  <c r="AD173" i="92"/>
  <c r="W173" i="92"/>
  <c r="V173" i="93" s="1"/>
  <c r="BA172" i="92"/>
  <c r="AZ172" i="92"/>
  <c r="AG172" i="92"/>
  <c r="AF172" i="92"/>
  <c r="AE172" i="92"/>
  <c r="AD172" i="92"/>
  <c r="W172" i="92"/>
  <c r="V172" i="93" s="1"/>
  <c r="BA171" i="92"/>
  <c r="AZ171" i="92"/>
  <c r="AG171" i="92"/>
  <c r="AF171" i="92"/>
  <c r="AE171" i="92"/>
  <c r="AD171" i="92"/>
  <c r="W171" i="92"/>
  <c r="V171" i="93" s="1"/>
  <c r="BA170" i="92"/>
  <c r="AZ170" i="92"/>
  <c r="AG170" i="92"/>
  <c r="AF170" i="92"/>
  <c r="AE170" i="92"/>
  <c r="AD170" i="92"/>
  <c r="W170" i="92"/>
  <c r="V170" i="93" s="1"/>
  <c r="BA169" i="92"/>
  <c r="AZ169" i="92"/>
  <c r="AG169" i="92"/>
  <c r="AF169" i="92"/>
  <c r="AE169" i="92"/>
  <c r="AD169" i="92"/>
  <c r="W169" i="92"/>
  <c r="V169" i="93" s="1"/>
  <c r="BA168" i="92"/>
  <c r="AZ168" i="92"/>
  <c r="AG168" i="92"/>
  <c r="AF168" i="92"/>
  <c r="AE168" i="92"/>
  <c r="AD168" i="92"/>
  <c r="W168" i="92"/>
  <c r="V168" i="93" s="1"/>
  <c r="BA167" i="92"/>
  <c r="AZ167" i="92"/>
  <c r="AG167" i="92"/>
  <c r="AF167" i="92"/>
  <c r="AE167" i="92"/>
  <c r="AD167" i="92"/>
  <c r="W167" i="92"/>
  <c r="V167" i="93" s="1"/>
  <c r="BA166" i="92"/>
  <c r="AZ166" i="92"/>
  <c r="AG166" i="92"/>
  <c r="AF166" i="92"/>
  <c r="AE166" i="92"/>
  <c r="AD166" i="92"/>
  <c r="W166" i="92"/>
  <c r="V166" i="93" s="1"/>
  <c r="BA165" i="92"/>
  <c r="AZ165" i="92"/>
  <c r="AG165" i="92"/>
  <c r="AF165" i="92"/>
  <c r="AE165" i="92"/>
  <c r="AD165" i="92"/>
  <c r="W165" i="92"/>
  <c r="V165" i="93" s="1"/>
  <c r="BA164" i="92"/>
  <c r="AZ164" i="92"/>
  <c r="AG164" i="92"/>
  <c r="AF164" i="92"/>
  <c r="AE164" i="92"/>
  <c r="AD164" i="92"/>
  <c r="W164" i="92"/>
  <c r="V164" i="93" s="1"/>
  <c r="BA163" i="92"/>
  <c r="AZ163" i="92"/>
  <c r="AG163" i="92"/>
  <c r="AF163" i="92"/>
  <c r="AE163" i="92"/>
  <c r="AD163" i="92"/>
  <c r="W163" i="92"/>
  <c r="V163" i="93" s="1"/>
  <c r="BA162" i="92"/>
  <c r="AZ162" i="92"/>
  <c r="AG162" i="92"/>
  <c r="AF162" i="92"/>
  <c r="AE162" i="92"/>
  <c r="AD162" i="92"/>
  <c r="W162" i="92"/>
  <c r="V162" i="93" s="1"/>
  <c r="BA161" i="92"/>
  <c r="AZ161" i="92"/>
  <c r="AG161" i="92"/>
  <c r="AF161" i="92"/>
  <c r="AE161" i="92"/>
  <c r="AD161" i="92"/>
  <c r="W161" i="92"/>
  <c r="V161" i="93" s="1"/>
  <c r="BA160" i="92"/>
  <c r="AZ160" i="92"/>
  <c r="AG160" i="92"/>
  <c r="AF160" i="92"/>
  <c r="AE160" i="92"/>
  <c r="AD160" i="92"/>
  <c r="W160" i="92"/>
  <c r="V160" i="93" s="1"/>
  <c r="BA159" i="92"/>
  <c r="AZ159" i="92"/>
  <c r="AG159" i="92"/>
  <c r="AF159" i="92"/>
  <c r="AE159" i="92"/>
  <c r="AD159" i="92"/>
  <c r="W159" i="92"/>
  <c r="V159" i="93" s="1"/>
  <c r="BA158" i="92"/>
  <c r="AZ158" i="92"/>
  <c r="AG158" i="92"/>
  <c r="AF158" i="92"/>
  <c r="AE158" i="92"/>
  <c r="AD158" i="92"/>
  <c r="W158" i="92"/>
  <c r="V158" i="93" s="1"/>
  <c r="BA157" i="92"/>
  <c r="AZ157" i="92"/>
  <c r="AG157" i="92"/>
  <c r="AF157" i="92"/>
  <c r="AE157" i="92"/>
  <c r="AD157" i="92"/>
  <c r="W157" i="92"/>
  <c r="V157" i="93" s="1"/>
  <c r="BA156" i="92"/>
  <c r="AZ156" i="92"/>
  <c r="AG156" i="92"/>
  <c r="AF156" i="92"/>
  <c r="AE156" i="92"/>
  <c r="AD156" i="92"/>
  <c r="W156" i="92"/>
  <c r="V156" i="93" s="1"/>
  <c r="BA155" i="92"/>
  <c r="AZ155" i="92"/>
  <c r="AG155" i="92"/>
  <c r="AF155" i="92"/>
  <c r="AE155" i="92"/>
  <c r="AD155" i="92"/>
  <c r="W155" i="92"/>
  <c r="V155" i="93" s="1"/>
  <c r="BA154" i="92"/>
  <c r="AZ154" i="92"/>
  <c r="AG154" i="92"/>
  <c r="AF154" i="92"/>
  <c r="AE154" i="92"/>
  <c r="AD154" i="92"/>
  <c r="W154" i="92"/>
  <c r="V154" i="93" s="1"/>
  <c r="BA153" i="92"/>
  <c r="AZ153" i="92"/>
  <c r="AF153" i="92"/>
  <c r="AE153" i="92"/>
  <c r="AD153" i="92"/>
  <c r="W153" i="92"/>
  <c r="V153" i="93" s="1"/>
  <c r="BA152" i="92"/>
  <c r="AZ152" i="92"/>
  <c r="AF152" i="92"/>
  <c r="AE152" i="92"/>
  <c r="AD152" i="92"/>
  <c r="W152" i="92"/>
  <c r="V152" i="93" s="1"/>
  <c r="BA151" i="92"/>
  <c r="AZ151" i="92"/>
  <c r="AF151" i="92"/>
  <c r="AE151" i="92"/>
  <c r="AD151" i="92"/>
  <c r="W151" i="92"/>
  <c r="V151" i="93" s="1"/>
  <c r="BA150" i="92"/>
  <c r="AZ150" i="92"/>
  <c r="AF150" i="92"/>
  <c r="AE150" i="92"/>
  <c r="AD150" i="92"/>
  <c r="W150" i="92"/>
  <c r="V150" i="93" s="1"/>
  <c r="BA149" i="92"/>
  <c r="AZ149" i="92"/>
  <c r="AF149" i="92"/>
  <c r="AE149" i="92"/>
  <c r="AD149" i="92"/>
  <c r="W149" i="92"/>
  <c r="V149" i="93" s="1"/>
  <c r="BA148" i="92"/>
  <c r="AZ148" i="92"/>
  <c r="AF148" i="92"/>
  <c r="AE148" i="92"/>
  <c r="AD148" i="92"/>
  <c r="W148" i="92"/>
  <c r="V148" i="93" s="1"/>
  <c r="BA147" i="92"/>
  <c r="AZ147" i="92"/>
  <c r="AH147" i="92"/>
  <c r="AF147" i="92"/>
  <c r="AE147" i="92"/>
  <c r="AD147" i="92"/>
  <c r="W147" i="92"/>
  <c r="V147" i="93" s="1"/>
  <c r="BA146" i="92"/>
  <c r="AZ146" i="92"/>
  <c r="AH146" i="92"/>
  <c r="AF146" i="92"/>
  <c r="AE146" i="92"/>
  <c r="AD146" i="92"/>
  <c r="W146" i="92"/>
  <c r="V146" i="93" s="1"/>
  <c r="BA145" i="92"/>
  <c r="AZ145" i="92"/>
  <c r="AH145" i="92"/>
  <c r="AF145" i="92"/>
  <c r="AE145" i="92"/>
  <c r="AD145" i="92"/>
  <c r="W145" i="92"/>
  <c r="V145" i="93" s="1"/>
  <c r="BA144" i="92"/>
  <c r="AZ144" i="92"/>
  <c r="AH144" i="92"/>
  <c r="AF144" i="92"/>
  <c r="AE144" i="92"/>
  <c r="AD144" i="92"/>
  <c r="W144" i="92"/>
  <c r="V144" i="93" s="1"/>
  <c r="BA143" i="92"/>
  <c r="AZ143" i="92"/>
  <c r="AH143" i="92"/>
  <c r="AF143" i="92"/>
  <c r="AE143" i="92"/>
  <c r="AD143" i="92"/>
  <c r="W143" i="92"/>
  <c r="V143" i="93" s="1"/>
  <c r="BA142" i="92"/>
  <c r="AZ142" i="92"/>
  <c r="AH142" i="92"/>
  <c r="AF142" i="92"/>
  <c r="AE142" i="92"/>
  <c r="AD142" i="92"/>
  <c r="W142" i="92"/>
  <c r="V142" i="93" s="1"/>
  <c r="BA141" i="92"/>
  <c r="AZ141" i="92"/>
  <c r="AH141" i="92"/>
  <c r="AF141" i="92"/>
  <c r="AE141" i="92"/>
  <c r="AD141" i="92"/>
  <c r="W141" i="92"/>
  <c r="V141" i="93" s="1"/>
  <c r="BA134" i="92"/>
  <c r="AZ134" i="92"/>
  <c r="AG134" i="92"/>
  <c r="AF134" i="92"/>
  <c r="AE134" i="92"/>
  <c r="AD134" i="92"/>
  <c r="W134" i="92"/>
  <c r="V134" i="93" s="1"/>
  <c r="BA133" i="92"/>
  <c r="AZ133" i="92"/>
  <c r="AG133" i="92"/>
  <c r="AF133" i="92"/>
  <c r="AE133" i="92"/>
  <c r="AD133" i="92"/>
  <c r="W133" i="92"/>
  <c r="V133" i="93" s="1"/>
  <c r="BA132" i="92"/>
  <c r="AZ132" i="92"/>
  <c r="AG132" i="92"/>
  <c r="AF132" i="92"/>
  <c r="AE132" i="92"/>
  <c r="AD132" i="92"/>
  <c r="W132" i="92"/>
  <c r="V132" i="93" s="1"/>
  <c r="BA131" i="92"/>
  <c r="AZ131" i="92"/>
  <c r="AG131" i="92"/>
  <c r="AF131" i="92"/>
  <c r="AE131" i="92"/>
  <c r="AD131" i="92"/>
  <c r="W131" i="92"/>
  <c r="V131" i="93" s="1"/>
  <c r="BA130" i="92"/>
  <c r="AZ130" i="92"/>
  <c r="AG130" i="92"/>
  <c r="AF130" i="92"/>
  <c r="AE130" i="92"/>
  <c r="AD130" i="92"/>
  <c r="W130" i="92"/>
  <c r="V130" i="93" s="1"/>
  <c r="BA129" i="92"/>
  <c r="AZ129" i="92"/>
  <c r="AG129" i="92"/>
  <c r="AF129" i="92"/>
  <c r="AE129" i="92"/>
  <c r="AD129" i="92"/>
  <c r="W129" i="92"/>
  <c r="V129" i="93" s="1"/>
  <c r="BA128" i="92"/>
  <c r="AZ128" i="92"/>
  <c r="AG128" i="92"/>
  <c r="AF128" i="92"/>
  <c r="AE128" i="92"/>
  <c r="AD128" i="92"/>
  <c r="W128" i="92"/>
  <c r="V128" i="93" s="1"/>
  <c r="BA127" i="92"/>
  <c r="AZ127" i="92"/>
  <c r="AG127" i="92"/>
  <c r="AF127" i="92"/>
  <c r="AE127" i="92"/>
  <c r="AD127" i="92"/>
  <c r="W127" i="92"/>
  <c r="V127" i="93" s="1"/>
  <c r="BA126" i="92"/>
  <c r="AZ126" i="92"/>
  <c r="AG126" i="92"/>
  <c r="AF126" i="92"/>
  <c r="AE126" i="92"/>
  <c r="AD126" i="92"/>
  <c r="W126" i="92"/>
  <c r="V126" i="93" s="1"/>
  <c r="BA125" i="92"/>
  <c r="AZ125" i="92"/>
  <c r="AG125" i="92"/>
  <c r="AF125" i="92"/>
  <c r="AE125" i="92"/>
  <c r="AD125" i="92"/>
  <c r="W125" i="92"/>
  <c r="V125" i="93" s="1"/>
  <c r="BA124" i="92"/>
  <c r="AZ124" i="92"/>
  <c r="AG124" i="92"/>
  <c r="AF124" i="92"/>
  <c r="AE124" i="92"/>
  <c r="AD124" i="92"/>
  <c r="W124" i="92"/>
  <c r="V124" i="93" s="1"/>
  <c r="BA123" i="92"/>
  <c r="AZ123" i="92"/>
  <c r="AG123" i="92"/>
  <c r="AF123" i="92"/>
  <c r="AE123" i="92"/>
  <c r="AD123" i="92"/>
  <c r="W123" i="92"/>
  <c r="V123" i="93" s="1"/>
  <c r="BA122" i="92"/>
  <c r="AZ122" i="92"/>
  <c r="AG122" i="92"/>
  <c r="AF122" i="92"/>
  <c r="AE122" i="92"/>
  <c r="AD122" i="92"/>
  <c r="W122" i="92"/>
  <c r="V122" i="93" s="1"/>
  <c r="BA121" i="92"/>
  <c r="AZ121" i="92"/>
  <c r="AG121" i="92"/>
  <c r="AF121" i="92"/>
  <c r="AE121" i="92"/>
  <c r="AD121" i="92"/>
  <c r="W121" i="92"/>
  <c r="V121" i="93" s="1"/>
  <c r="BA120" i="92"/>
  <c r="AZ120" i="92"/>
  <c r="AG120" i="92"/>
  <c r="AF120" i="92"/>
  <c r="AE120" i="92"/>
  <c r="AD120" i="92"/>
  <c r="W120" i="92"/>
  <c r="V120" i="93" s="1"/>
  <c r="BA119" i="92"/>
  <c r="AZ119" i="92"/>
  <c r="AG119" i="92"/>
  <c r="AF119" i="92"/>
  <c r="AE119" i="92"/>
  <c r="AD119" i="92"/>
  <c r="W119" i="92"/>
  <c r="V119" i="93" s="1"/>
  <c r="BA118" i="92"/>
  <c r="AZ118" i="92"/>
  <c r="AG118" i="92"/>
  <c r="AF118" i="92"/>
  <c r="AE118" i="92"/>
  <c r="AD118" i="92"/>
  <c r="W118" i="92"/>
  <c r="V118" i="93" s="1"/>
  <c r="BA117" i="92"/>
  <c r="AZ117" i="92"/>
  <c r="AG117" i="92"/>
  <c r="AF117" i="92"/>
  <c r="AE117" i="92"/>
  <c r="AD117" i="92"/>
  <c r="W117" i="92"/>
  <c r="V117" i="93" s="1"/>
  <c r="BA116" i="92"/>
  <c r="AZ116" i="92"/>
  <c r="AG116" i="92"/>
  <c r="AF116" i="92"/>
  <c r="AE116" i="92"/>
  <c r="AD116" i="92"/>
  <c r="W116" i="92"/>
  <c r="V116" i="93" s="1"/>
  <c r="BA115" i="92"/>
  <c r="AZ115" i="92"/>
  <c r="AG115" i="92"/>
  <c r="AF115" i="92"/>
  <c r="AE115" i="92"/>
  <c r="AD115" i="92"/>
  <c r="W115" i="92"/>
  <c r="V115" i="93" s="1"/>
  <c r="BA114" i="92"/>
  <c r="AZ114" i="92"/>
  <c r="AG114" i="92"/>
  <c r="AF114" i="92"/>
  <c r="AE114" i="92"/>
  <c r="AD114" i="92"/>
  <c r="W114" i="92"/>
  <c r="V114" i="93" s="1"/>
  <c r="BA113" i="92"/>
  <c r="AZ113" i="92"/>
  <c r="AG113" i="92"/>
  <c r="AF113" i="92"/>
  <c r="AE113" i="92"/>
  <c r="AD113" i="92"/>
  <c r="W113" i="92"/>
  <c r="V113" i="93" s="1"/>
  <c r="BA112" i="92"/>
  <c r="AZ112" i="92"/>
  <c r="AG112" i="92"/>
  <c r="AF112" i="92"/>
  <c r="AE112" i="92"/>
  <c r="AD112" i="92"/>
  <c r="W112" i="92"/>
  <c r="V112" i="93" s="1"/>
  <c r="BA111" i="92"/>
  <c r="AZ111" i="92"/>
  <c r="AG111" i="92"/>
  <c r="AF111" i="92"/>
  <c r="AE111" i="92"/>
  <c r="AD111" i="92"/>
  <c r="W111" i="92"/>
  <c r="V111" i="93" s="1"/>
  <c r="BA110" i="92"/>
  <c r="AZ110" i="92"/>
  <c r="AG110" i="92"/>
  <c r="AF110" i="92"/>
  <c r="AE110" i="92"/>
  <c r="AD110" i="92"/>
  <c r="W110" i="92"/>
  <c r="V110" i="93" s="1"/>
  <c r="BA109" i="92"/>
  <c r="AZ109" i="92"/>
  <c r="AG109" i="92"/>
  <c r="AF109" i="92"/>
  <c r="AE109" i="92"/>
  <c r="AD109" i="92"/>
  <c r="W109" i="92"/>
  <c r="V109" i="93" s="1"/>
  <c r="BA108" i="92"/>
  <c r="AZ108" i="92"/>
  <c r="AF108" i="92"/>
  <c r="AE108" i="92"/>
  <c r="AD108" i="92"/>
  <c r="W108" i="92"/>
  <c r="V108" i="93" s="1"/>
  <c r="BA107" i="92"/>
  <c r="AZ107" i="92"/>
  <c r="AF107" i="92"/>
  <c r="AE107" i="92"/>
  <c r="AD107" i="92"/>
  <c r="W107" i="92"/>
  <c r="V107" i="93" s="1"/>
  <c r="BA106" i="92"/>
  <c r="AZ106" i="92"/>
  <c r="AF106" i="92"/>
  <c r="AE106" i="92"/>
  <c r="AD106" i="92"/>
  <c r="W106" i="92"/>
  <c r="V106" i="93" s="1"/>
  <c r="BA105" i="92"/>
  <c r="AZ105" i="92"/>
  <c r="AF105" i="92"/>
  <c r="AE105" i="92"/>
  <c r="AD105" i="92"/>
  <c r="W105" i="92"/>
  <c r="V105" i="93" s="1"/>
  <c r="BA104" i="92"/>
  <c r="AZ104" i="92"/>
  <c r="AF104" i="92"/>
  <c r="AE104" i="92"/>
  <c r="AD104" i="92"/>
  <c r="W104" i="92"/>
  <c r="V104" i="93" s="1"/>
  <c r="BA103" i="92"/>
  <c r="AZ103" i="92"/>
  <c r="AF103" i="92"/>
  <c r="AE103" i="92"/>
  <c r="AD103" i="92"/>
  <c r="W103" i="92"/>
  <c r="V103" i="93" s="1"/>
  <c r="BA102" i="92"/>
  <c r="AZ102" i="92"/>
  <c r="AH102" i="92"/>
  <c r="AF102" i="92"/>
  <c r="AE102" i="92"/>
  <c r="AD102" i="92"/>
  <c r="W102" i="92"/>
  <c r="V102" i="93" s="1"/>
  <c r="BA101" i="92"/>
  <c r="AZ101" i="92"/>
  <c r="AH101" i="92"/>
  <c r="AF101" i="92"/>
  <c r="AE101" i="92"/>
  <c r="AD101" i="92"/>
  <c r="W101" i="92"/>
  <c r="V101" i="93" s="1"/>
  <c r="BA100" i="92"/>
  <c r="AZ100" i="92"/>
  <c r="AH100" i="92"/>
  <c r="AF100" i="92"/>
  <c r="AE100" i="92"/>
  <c r="AD100" i="92"/>
  <c r="W100" i="92"/>
  <c r="V100" i="93" s="1"/>
  <c r="BA99" i="92"/>
  <c r="AZ99" i="92"/>
  <c r="AH99" i="92"/>
  <c r="AF99" i="92"/>
  <c r="AE99" i="92"/>
  <c r="AD99" i="92"/>
  <c r="W99" i="92"/>
  <c r="V99" i="93" s="1"/>
  <c r="BA98" i="92"/>
  <c r="AZ98" i="92"/>
  <c r="AH98" i="92"/>
  <c r="AF98" i="92"/>
  <c r="AE98" i="92"/>
  <c r="AD98" i="92"/>
  <c r="W98" i="92"/>
  <c r="V98" i="93" s="1"/>
  <c r="BA97" i="92"/>
  <c r="AZ97" i="92"/>
  <c r="AH97" i="92"/>
  <c r="AF97" i="92"/>
  <c r="AE97" i="92"/>
  <c r="AD97" i="92"/>
  <c r="W97" i="92"/>
  <c r="V97" i="93" s="1"/>
  <c r="BA96" i="92"/>
  <c r="AZ96" i="92"/>
  <c r="AH96" i="92"/>
  <c r="AE96" i="92"/>
  <c r="AD96" i="92"/>
  <c r="W96" i="92"/>
  <c r="V96" i="93" s="1"/>
  <c r="BA89" i="92"/>
  <c r="AZ89" i="92"/>
  <c r="AG89" i="92"/>
  <c r="AF89" i="92"/>
  <c r="AE89" i="92"/>
  <c r="AD89" i="92"/>
  <c r="W89" i="92"/>
  <c r="V89" i="93" s="1"/>
  <c r="BA88" i="92"/>
  <c r="AZ88" i="92"/>
  <c r="AG88" i="92"/>
  <c r="AF88" i="92"/>
  <c r="AE88" i="92"/>
  <c r="AD88" i="92"/>
  <c r="W88" i="92"/>
  <c r="V88" i="93" s="1"/>
  <c r="BA87" i="92"/>
  <c r="AZ87" i="92"/>
  <c r="AG87" i="92"/>
  <c r="AF87" i="92"/>
  <c r="AE87" i="92"/>
  <c r="AD87" i="92"/>
  <c r="W87" i="92"/>
  <c r="V87" i="93" s="1"/>
  <c r="BA86" i="92"/>
  <c r="AZ86" i="92"/>
  <c r="AG86" i="92"/>
  <c r="AF86" i="92"/>
  <c r="AE86" i="92"/>
  <c r="AD86" i="92"/>
  <c r="W86" i="92"/>
  <c r="V86" i="93" s="1"/>
  <c r="BA85" i="92"/>
  <c r="AZ85" i="92"/>
  <c r="AG85" i="92"/>
  <c r="AF85" i="92"/>
  <c r="AE85" i="92"/>
  <c r="AD85" i="92"/>
  <c r="W85" i="92"/>
  <c r="V85" i="93" s="1"/>
  <c r="BA84" i="92"/>
  <c r="AZ84" i="92"/>
  <c r="AG84" i="92"/>
  <c r="AF84" i="92"/>
  <c r="AE84" i="92"/>
  <c r="AD84" i="92"/>
  <c r="W84" i="92"/>
  <c r="V84" i="93" s="1"/>
  <c r="BA83" i="92"/>
  <c r="AZ83" i="92"/>
  <c r="AG83" i="92"/>
  <c r="AF83" i="92"/>
  <c r="AE83" i="92"/>
  <c r="AD83" i="92"/>
  <c r="W83" i="92"/>
  <c r="V83" i="93" s="1"/>
  <c r="BA82" i="92"/>
  <c r="AZ82" i="92"/>
  <c r="AG82" i="92"/>
  <c r="AF82" i="92"/>
  <c r="AE82" i="92"/>
  <c r="AD82" i="92"/>
  <c r="W82" i="92"/>
  <c r="V82" i="93" s="1"/>
  <c r="BA81" i="92"/>
  <c r="AZ81" i="92"/>
  <c r="AG81" i="92"/>
  <c r="AF81" i="92"/>
  <c r="AE81" i="92"/>
  <c r="AD81" i="92"/>
  <c r="W81" i="92"/>
  <c r="V81" i="93" s="1"/>
  <c r="BA80" i="92"/>
  <c r="AZ80" i="92"/>
  <c r="AG80" i="92"/>
  <c r="AF80" i="92"/>
  <c r="AE80" i="92"/>
  <c r="AD80" i="92"/>
  <c r="W80" i="92"/>
  <c r="V80" i="93" s="1"/>
  <c r="BA79" i="92"/>
  <c r="AZ79" i="92"/>
  <c r="AG79" i="92"/>
  <c r="AF79" i="92"/>
  <c r="AE79" i="92"/>
  <c r="AD79" i="92"/>
  <c r="W79" i="92"/>
  <c r="V79" i="93" s="1"/>
  <c r="BA78" i="92"/>
  <c r="AZ78" i="92"/>
  <c r="AG78" i="92"/>
  <c r="AF78" i="92"/>
  <c r="AE78" i="92"/>
  <c r="AD78" i="92"/>
  <c r="W78" i="92"/>
  <c r="V78" i="93" s="1"/>
  <c r="BA77" i="92"/>
  <c r="AZ77" i="92"/>
  <c r="AG77" i="92"/>
  <c r="AF77" i="92"/>
  <c r="AE77" i="92"/>
  <c r="AD77" i="92"/>
  <c r="W77" i="92"/>
  <c r="V77" i="93" s="1"/>
  <c r="BA76" i="92"/>
  <c r="AZ76" i="92"/>
  <c r="AG76" i="92"/>
  <c r="AF76" i="92"/>
  <c r="AE76" i="92"/>
  <c r="AD76" i="92"/>
  <c r="W76" i="92"/>
  <c r="V76" i="93" s="1"/>
  <c r="BA75" i="92"/>
  <c r="AZ75" i="92"/>
  <c r="AG75" i="92"/>
  <c r="AF75" i="92"/>
  <c r="AE75" i="92"/>
  <c r="AD75" i="92"/>
  <c r="W75" i="92"/>
  <c r="V75" i="93" s="1"/>
  <c r="BA74" i="92"/>
  <c r="AZ74" i="92"/>
  <c r="AG74" i="92"/>
  <c r="AF74" i="92"/>
  <c r="AE74" i="92"/>
  <c r="AD74" i="92"/>
  <c r="W74" i="92"/>
  <c r="V74" i="93" s="1"/>
  <c r="BA73" i="92"/>
  <c r="AZ73" i="92"/>
  <c r="AG73" i="92"/>
  <c r="AF73" i="92"/>
  <c r="AE73" i="92"/>
  <c r="AD73" i="92"/>
  <c r="W73" i="92"/>
  <c r="V73" i="93" s="1"/>
  <c r="BA72" i="92"/>
  <c r="AZ72" i="92"/>
  <c r="AG72" i="92"/>
  <c r="AF72" i="92"/>
  <c r="AE72" i="92"/>
  <c r="AD72" i="92"/>
  <c r="W72" i="92"/>
  <c r="V72" i="93" s="1"/>
  <c r="BA71" i="92"/>
  <c r="AZ71" i="92"/>
  <c r="AG71" i="92"/>
  <c r="AF71" i="92"/>
  <c r="AE71" i="92"/>
  <c r="AD71" i="92"/>
  <c r="W71" i="92"/>
  <c r="V71" i="93" s="1"/>
  <c r="BA70" i="92"/>
  <c r="AZ70" i="92"/>
  <c r="AG70" i="92"/>
  <c r="AF70" i="92"/>
  <c r="AE70" i="92"/>
  <c r="AD70" i="92"/>
  <c r="W70" i="92"/>
  <c r="V70" i="93" s="1"/>
  <c r="BA69" i="92"/>
  <c r="AZ69" i="92"/>
  <c r="AG69" i="92"/>
  <c r="AF69" i="92"/>
  <c r="AE69" i="92"/>
  <c r="AD69" i="92"/>
  <c r="W69" i="92"/>
  <c r="V69" i="93" s="1"/>
  <c r="BA68" i="92"/>
  <c r="AZ68" i="92"/>
  <c r="AG68" i="92"/>
  <c r="AF68" i="92"/>
  <c r="AE68" i="92"/>
  <c r="AD68" i="92"/>
  <c r="W68" i="92"/>
  <c r="V68" i="93" s="1"/>
  <c r="BA67" i="92"/>
  <c r="AZ67" i="92"/>
  <c r="AG67" i="92"/>
  <c r="AF67" i="92"/>
  <c r="AE67" i="92"/>
  <c r="AD67" i="92"/>
  <c r="W67" i="92"/>
  <c r="V67" i="93" s="1"/>
  <c r="BA66" i="92"/>
  <c r="AZ66" i="92"/>
  <c r="AG66" i="92"/>
  <c r="AF66" i="92"/>
  <c r="AE66" i="92"/>
  <c r="AD66" i="92"/>
  <c r="W66" i="92"/>
  <c r="V66" i="93" s="1"/>
  <c r="BA65" i="92"/>
  <c r="AZ65" i="92"/>
  <c r="AG65" i="92"/>
  <c r="AF65" i="92"/>
  <c r="AE65" i="92"/>
  <c r="AD65" i="92"/>
  <c r="W65" i="92"/>
  <c r="V65" i="93" s="1"/>
  <c r="BA64" i="92"/>
  <c r="AZ64" i="92"/>
  <c r="AG64" i="92"/>
  <c r="AF64" i="92"/>
  <c r="AE64" i="92"/>
  <c r="AD64" i="92"/>
  <c r="W64" i="92"/>
  <c r="V64" i="93" s="1"/>
  <c r="BA63" i="92"/>
  <c r="AZ63" i="92"/>
  <c r="AF63" i="92"/>
  <c r="AE63" i="92"/>
  <c r="AD63" i="92"/>
  <c r="W63" i="92"/>
  <c r="V63" i="93" s="1"/>
  <c r="BA62" i="92"/>
  <c r="AZ62" i="92"/>
  <c r="AF62" i="92"/>
  <c r="AE62" i="92"/>
  <c r="AD62" i="92"/>
  <c r="W62" i="92"/>
  <c r="V62" i="93" s="1"/>
  <c r="BA61" i="92"/>
  <c r="AZ61" i="92"/>
  <c r="AF61" i="92"/>
  <c r="AE61" i="92"/>
  <c r="AD61" i="92"/>
  <c r="W61" i="92"/>
  <c r="V61" i="93" s="1"/>
  <c r="BA60" i="92"/>
  <c r="AZ60" i="92"/>
  <c r="AF60" i="92"/>
  <c r="AE60" i="92"/>
  <c r="AD60" i="92"/>
  <c r="W60" i="92"/>
  <c r="V60" i="93" s="1"/>
  <c r="BA59" i="92"/>
  <c r="AZ59" i="92"/>
  <c r="AF59" i="92"/>
  <c r="AE59" i="92"/>
  <c r="AD59" i="92"/>
  <c r="W59" i="92"/>
  <c r="V59" i="93" s="1"/>
  <c r="BA58" i="92"/>
  <c r="AZ58" i="92"/>
  <c r="AF58" i="92"/>
  <c r="AE58" i="92"/>
  <c r="AD58" i="92"/>
  <c r="W58" i="92"/>
  <c r="V58" i="93" s="1"/>
  <c r="BA57" i="92"/>
  <c r="AZ57" i="92"/>
  <c r="AH57" i="92"/>
  <c r="AF57" i="92"/>
  <c r="AE57" i="92"/>
  <c r="AD57" i="92"/>
  <c r="W57" i="92"/>
  <c r="V57" i="93" s="1"/>
  <c r="BA56" i="92"/>
  <c r="AZ56" i="92"/>
  <c r="AH56" i="92"/>
  <c r="AF56" i="92"/>
  <c r="AE56" i="92"/>
  <c r="AD56" i="92"/>
  <c r="W56" i="92"/>
  <c r="V56" i="93" s="1"/>
  <c r="BA55" i="92"/>
  <c r="AZ55" i="92"/>
  <c r="AH55" i="92"/>
  <c r="AF55" i="92"/>
  <c r="AE55" i="92"/>
  <c r="AD55" i="92"/>
  <c r="W55" i="92"/>
  <c r="V55" i="93" s="1"/>
  <c r="BA54" i="92"/>
  <c r="AZ54" i="92"/>
  <c r="AH54" i="92"/>
  <c r="AF54" i="92"/>
  <c r="AE54" i="92"/>
  <c r="AD54" i="92"/>
  <c r="W54" i="92"/>
  <c r="V54" i="93" s="1"/>
  <c r="BA53" i="92"/>
  <c r="AZ53" i="92"/>
  <c r="AH53" i="92"/>
  <c r="AF53" i="92"/>
  <c r="AE53" i="92"/>
  <c r="AD53" i="92"/>
  <c r="W53" i="92"/>
  <c r="V53" i="93" s="1"/>
  <c r="BA52" i="92"/>
  <c r="AZ52" i="92"/>
  <c r="AH52" i="92"/>
  <c r="AF52" i="92"/>
  <c r="AE52" i="92"/>
  <c r="AD52" i="92"/>
  <c r="W52" i="92"/>
  <c r="V52" i="93" s="1"/>
  <c r="BA51" i="92"/>
  <c r="AZ51" i="92"/>
  <c r="AH51" i="92"/>
  <c r="AE51" i="92"/>
  <c r="AD51" i="92"/>
  <c r="W51" i="92"/>
  <c r="V51" i="93" s="1"/>
  <c r="BA44" i="92"/>
  <c r="AZ44" i="92"/>
  <c r="AG44" i="92"/>
  <c r="AF44" i="92"/>
  <c r="AE44" i="92"/>
  <c r="AD44" i="92"/>
  <c r="I44" i="92"/>
  <c r="H44" i="92"/>
  <c r="G44" i="92"/>
  <c r="F44" i="92"/>
  <c r="E44" i="92"/>
  <c r="D44" i="92"/>
  <c r="C44" i="92"/>
  <c r="BA43" i="92"/>
  <c r="AZ43" i="92"/>
  <c r="AG43" i="92"/>
  <c r="AF43" i="92"/>
  <c r="AE43" i="92"/>
  <c r="AD43" i="92"/>
  <c r="I43" i="92"/>
  <c r="H43" i="92"/>
  <c r="G43" i="92"/>
  <c r="F43" i="92"/>
  <c r="E43" i="92"/>
  <c r="D43" i="92"/>
  <c r="C43" i="92"/>
  <c r="BA42" i="92"/>
  <c r="AZ42" i="92"/>
  <c r="AG42" i="92"/>
  <c r="AF42" i="92"/>
  <c r="AE42" i="92"/>
  <c r="AD42" i="92"/>
  <c r="I42" i="92"/>
  <c r="H42" i="92"/>
  <c r="G42" i="92"/>
  <c r="F42" i="92"/>
  <c r="E42" i="92"/>
  <c r="D42" i="92"/>
  <c r="C42" i="92"/>
  <c r="BA41" i="92"/>
  <c r="AZ41" i="92"/>
  <c r="AG41" i="92"/>
  <c r="AF41" i="92"/>
  <c r="AE41" i="92"/>
  <c r="AD41" i="92"/>
  <c r="I41" i="92"/>
  <c r="H41" i="92"/>
  <c r="G41" i="92"/>
  <c r="F41" i="92"/>
  <c r="E41" i="92"/>
  <c r="D41" i="92"/>
  <c r="C41" i="92"/>
  <c r="BA40" i="92"/>
  <c r="AZ40" i="92"/>
  <c r="AG40" i="92"/>
  <c r="AF40" i="92"/>
  <c r="AE40" i="92"/>
  <c r="AD40" i="92"/>
  <c r="I40" i="92"/>
  <c r="H40" i="92"/>
  <c r="G40" i="92"/>
  <c r="F40" i="92"/>
  <c r="E40" i="92"/>
  <c r="D40" i="92"/>
  <c r="C40" i="92"/>
  <c r="BA39" i="92"/>
  <c r="AZ39" i="92"/>
  <c r="AG39" i="92"/>
  <c r="AF39" i="92"/>
  <c r="AE39" i="92"/>
  <c r="AD39" i="92"/>
  <c r="I39" i="92"/>
  <c r="H39" i="92"/>
  <c r="G39" i="92"/>
  <c r="F39" i="92"/>
  <c r="E39" i="92"/>
  <c r="D39" i="92"/>
  <c r="C39" i="92"/>
  <c r="BA38" i="92"/>
  <c r="AZ38" i="92"/>
  <c r="AG38" i="92"/>
  <c r="AF38" i="92"/>
  <c r="AE38" i="92"/>
  <c r="AD38" i="92"/>
  <c r="I38" i="92"/>
  <c r="H38" i="92"/>
  <c r="G38" i="92"/>
  <c r="F38" i="92"/>
  <c r="E38" i="92"/>
  <c r="D38" i="92"/>
  <c r="C38" i="92"/>
  <c r="BA37" i="92"/>
  <c r="AZ37" i="92"/>
  <c r="AG37" i="92"/>
  <c r="AF37" i="92"/>
  <c r="AE37" i="92"/>
  <c r="AD37" i="92"/>
  <c r="I37" i="92"/>
  <c r="H37" i="92"/>
  <c r="G37" i="92"/>
  <c r="F37" i="92"/>
  <c r="E37" i="92"/>
  <c r="D37" i="92"/>
  <c r="C37" i="92"/>
  <c r="BA36" i="92"/>
  <c r="AZ36" i="92"/>
  <c r="AG36" i="92"/>
  <c r="AF36" i="92"/>
  <c r="AE36" i="92"/>
  <c r="AD36" i="92"/>
  <c r="I36" i="92"/>
  <c r="H36" i="92"/>
  <c r="G36" i="92"/>
  <c r="F36" i="92"/>
  <c r="E36" i="92"/>
  <c r="D36" i="92"/>
  <c r="C36" i="92"/>
  <c r="BA35" i="92"/>
  <c r="AZ35" i="92"/>
  <c r="AG35" i="92"/>
  <c r="AF35" i="92"/>
  <c r="AE35" i="92"/>
  <c r="AD35" i="92"/>
  <c r="I35" i="92"/>
  <c r="H35" i="92"/>
  <c r="G35" i="92"/>
  <c r="F35" i="92"/>
  <c r="E35" i="92"/>
  <c r="D35" i="92"/>
  <c r="C35" i="92"/>
  <c r="BA34" i="92"/>
  <c r="AZ34" i="92"/>
  <c r="AG34" i="92"/>
  <c r="AF34" i="92"/>
  <c r="AE34" i="92"/>
  <c r="AD34" i="92"/>
  <c r="I34" i="92"/>
  <c r="H34" i="92"/>
  <c r="G34" i="92"/>
  <c r="F34" i="92"/>
  <c r="E34" i="92"/>
  <c r="D34" i="92"/>
  <c r="C34" i="92"/>
  <c r="BA33" i="92"/>
  <c r="AZ33" i="92"/>
  <c r="AG33" i="92"/>
  <c r="AF33" i="92"/>
  <c r="AE33" i="92"/>
  <c r="AD33" i="92"/>
  <c r="I33" i="92"/>
  <c r="H33" i="92"/>
  <c r="G33" i="92"/>
  <c r="F33" i="92"/>
  <c r="E33" i="92"/>
  <c r="D33" i="92"/>
  <c r="C33" i="92"/>
  <c r="BA32" i="92"/>
  <c r="AZ32" i="92"/>
  <c r="AG32" i="92"/>
  <c r="AF32" i="92"/>
  <c r="AE32" i="92"/>
  <c r="AD32" i="92"/>
  <c r="I32" i="92"/>
  <c r="H32" i="92"/>
  <c r="G32" i="92"/>
  <c r="F32" i="92"/>
  <c r="E32" i="92"/>
  <c r="D32" i="92"/>
  <c r="C32" i="92"/>
  <c r="BA31" i="92"/>
  <c r="AZ31" i="92"/>
  <c r="AG31" i="92"/>
  <c r="AF31" i="92"/>
  <c r="AE31" i="92"/>
  <c r="AD31" i="92"/>
  <c r="I31" i="92"/>
  <c r="H31" i="92"/>
  <c r="G31" i="92"/>
  <c r="F31" i="92"/>
  <c r="E31" i="92"/>
  <c r="D31" i="92"/>
  <c r="C31" i="92"/>
  <c r="BA30" i="92"/>
  <c r="AZ30" i="92"/>
  <c r="AG30" i="92"/>
  <c r="AF30" i="92"/>
  <c r="AE30" i="92"/>
  <c r="AD30" i="92"/>
  <c r="I30" i="92"/>
  <c r="H30" i="92"/>
  <c r="G30" i="92"/>
  <c r="F30" i="92"/>
  <c r="E30" i="92"/>
  <c r="D30" i="92"/>
  <c r="C30" i="92"/>
  <c r="BA29" i="92"/>
  <c r="AZ29" i="92"/>
  <c r="AG29" i="92"/>
  <c r="AF29" i="92"/>
  <c r="AE29" i="92"/>
  <c r="AD29" i="92"/>
  <c r="I29" i="92"/>
  <c r="H29" i="92"/>
  <c r="G29" i="92"/>
  <c r="F29" i="92"/>
  <c r="E29" i="92"/>
  <c r="D29" i="92"/>
  <c r="C29" i="92"/>
  <c r="BA28" i="92"/>
  <c r="AZ28" i="92"/>
  <c r="AG28" i="92"/>
  <c r="AF28" i="92"/>
  <c r="AE28" i="92"/>
  <c r="AD28" i="92"/>
  <c r="I28" i="92"/>
  <c r="H28" i="92"/>
  <c r="G28" i="92"/>
  <c r="F28" i="92"/>
  <c r="E28" i="92"/>
  <c r="D28" i="92"/>
  <c r="C28" i="92"/>
  <c r="BA27" i="92"/>
  <c r="AZ27" i="92"/>
  <c r="AG27" i="92"/>
  <c r="AF27" i="92"/>
  <c r="AE27" i="92"/>
  <c r="AD27" i="92"/>
  <c r="I27" i="92"/>
  <c r="H27" i="92"/>
  <c r="G27" i="92"/>
  <c r="F27" i="92"/>
  <c r="E27" i="92"/>
  <c r="D27" i="92"/>
  <c r="C27" i="92"/>
  <c r="BA26" i="92"/>
  <c r="AZ26" i="92"/>
  <c r="AG26" i="92"/>
  <c r="AF26" i="92"/>
  <c r="AE26" i="92"/>
  <c r="AD26" i="92"/>
  <c r="I26" i="92"/>
  <c r="H26" i="92"/>
  <c r="G26" i="92"/>
  <c r="F26" i="92"/>
  <c r="E26" i="92"/>
  <c r="D26" i="92"/>
  <c r="C26" i="92"/>
  <c r="BA25" i="92"/>
  <c r="AZ25" i="92"/>
  <c r="AG25" i="92"/>
  <c r="AF25" i="92"/>
  <c r="AE25" i="92"/>
  <c r="AD25" i="92"/>
  <c r="I25" i="92"/>
  <c r="H25" i="92"/>
  <c r="G25" i="92"/>
  <c r="F25" i="92"/>
  <c r="E25" i="92"/>
  <c r="D25" i="92"/>
  <c r="C25" i="92"/>
  <c r="BA24" i="92"/>
  <c r="AZ24" i="92"/>
  <c r="AG24" i="92"/>
  <c r="AF24" i="92"/>
  <c r="AE24" i="92"/>
  <c r="AD24" i="92"/>
  <c r="I24" i="92"/>
  <c r="H24" i="92"/>
  <c r="G24" i="92"/>
  <c r="F24" i="92"/>
  <c r="E24" i="92"/>
  <c r="D24" i="92"/>
  <c r="C24" i="92"/>
  <c r="BA23" i="92"/>
  <c r="AZ23" i="92"/>
  <c r="AG23" i="92"/>
  <c r="AF23" i="92"/>
  <c r="AE23" i="92"/>
  <c r="AD23" i="92"/>
  <c r="I23" i="92"/>
  <c r="H23" i="92"/>
  <c r="G23" i="92"/>
  <c r="F23" i="92"/>
  <c r="E23" i="92"/>
  <c r="D23" i="92"/>
  <c r="C23" i="92"/>
  <c r="BA22" i="92"/>
  <c r="AZ22" i="92"/>
  <c r="AG22" i="92"/>
  <c r="AF22" i="92"/>
  <c r="AE22" i="92"/>
  <c r="AD22" i="92"/>
  <c r="I22" i="92"/>
  <c r="H22" i="92"/>
  <c r="G22" i="92"/>
  <c r="F22" i="92"/>
  <c r="E22" i="92"/>
  <c r="D22" i="92"/>
  <c r="C22" i="92"/>
  <c r="BA21" i="92"/>
  <c r="AZ21" i="92"/>
  <c r="AG21" i="92"/>
  <c r="AF21" i="92"/>
  <c r="AE21" i="92"/>
  <c r="AD21" i="92"/>
  <c r="I21" i="92"/>
  <c r="H21" i="92"/>
  <c r="G21" i="92"/>
  <c r="F21" i="92"/>
  <c r="E21" i="92"/>
  <c r="D21" i="92"/>
  <c r="C21" i="92"/>
  <c r="BA20" i="92"/>
  <c r="AZ20" i="92"/>
  <c r="AG20" i="92"/>
  <c r="AF20" i="92"/>
  <c r="AE20" i="92"/>
  <c r="AD20" i="92"/>
  <c r="I20" i="92"/>
  <c r="H20" i="92"/>
  <c r="G20" i="92"/>
  <c r="F20" i="92"/>
  <c r="E20" i="92"/>
  <c r="D20" i="92"/>
  <c r="C20" i="92"/>
  <c r="BA19" i="92"/>
  <c r="AZ19" i="92"/>
  <c r="AG19" i="92"/>
  <c r="AF19" i="92"/>
  <c r="AE19" i="92"/>
  <c r="AD19" i="92"/>
  <c r="I19" i="92"/>
  <c r="H19" i="92"/>
  <c r="G19" i="92"/>
  <c r="F19" i="92"/>
  <c r="E19" i="92"/>
  <c r="D19" i="92"/>
  <c r="C19" i="92"/>
  <c r="BA18" i="92"/>
  <c r="AZ18" i="92"/>
  <c r="AF18" i="92"/>
  <c r="AE18" i="92"/>
  <c r="AD18" i="92"/>
  <c r="I18" i="92"/>
  <c r="H18" i="92"/>
  <c r="G18" i="92"/>
  <c r="F18" i="92"/>
  <c r="E18" i="92"/>
  <c r="D18" i="92"/>
  <c r="C18" i="92"/>
  <c r="BA17" i="92"/>
  <c r="AZ17" i="92"/>
  <c r="AF17" i="92"/>
  <c r="AE17" i="92"/>
  <c r="AD17" i="92"/>
  <c r="I17" i="92"/>
  <c r="H17" i="92"/>
  <c r="G17" i="92"/>
  <c r="F17" i="92"/>
  <c r="E17" i="92"/>
  <c r="D17" i="92"/>
  <c r="C17" i="92"/>
  <c r="BA16" i="92"/>
  <c r="AZ16" i="92"/>
  <c r="AF16" i="92"/>
  <c r="AE16" i="92"/>
  <c r="AD16" i="92"/>
  <c r="I16" i="92"/>
  <c r="H16" i="92"/>
  <c r="G16" i="92"/>
  <c r="F16" i="92"/>
  <c r="E16" i="92"/>
  <c r="D16" i="92"/>
  <c r="C16" i="92"/>
  <c r="BA15" i="92"/>
  <c r="AZ15" i="92"/>
  <c r="AF15" i="92"/>
  <c r="AE15" i="92"/>
  <c r="AD15" i="92"/>
  <c r="I15" i="92"/>
  <c r="H15" i="92"/>
  <c r="G15" i="92"/>
  <c r="F15" i="92"/>
  <c r="E15" i="92"/>
  <c r="D15" i="92"/>
  <c r="C15" i="92"/>
  <c r="BA14" i="92"/>
  <c r="AZ14" i="92"/>
  <c r="AF14" i="92"/>
  <c r="AE14" i="92"/>
  <c r="AD14" i="92"/>
  <c r="I14" i="92"/>
  <c r="I21" i="93" s="1"/>
  <c r="J34" i="93" s="1"/>
  <c r="H14" i="92"/>
  <c r="G14" i="92"/>
  <c r="F14" i="92"/>
  <c r="E14" i="92"/>
  <c r="D14" i="92"/>
  <c r="C14" i="92"/>
  <c r="BA13" i="92"/>
  <c r="AZ13" i="92"/>
  <c r="AF13" i="92"/>
  <c r="AE13" i="92"/>
  <c r="AD13" i="92"/>
  <c r="I13" i="92"/>
  <c r="H13" i="92"/>
  <c r="G13" i="92"/>
  <c r="F13" i="92"/>
  <c r="E13" i="92"/>
  <c r="D13" i="92"/>
  <c r="C13" i="92"/>
  <c r="BA12" i="92"/>
  <c r="AZ12" i="92"/>
  <c r="AH12" i="92"/>
  <c r="AF12" i="92"/>
  <c r="AE12" i="92"/>
  <c r="AD12" i="92"/>
  <c r="R12" i="92"/>
  <c r="R19" i="93" s="1"/>
  <c r="S32" i="93" s="1"/>
  <c r="Q12" i="92"/>
  <c r="Q19" i="93" s="1"/>
  <c r="R32" i="93" s="1"/>
  <c r="P12" i="92"/>
  <c r="P19" i="93" s="1"/>
  <c r="Q32" i="93" s="1"/>
  <c r="O12" i="92"/>
  <c r="O19" i="93" s="1"/>
  <c r="P32" i="93" s="1"/>
  <c r="I12" i="92"/>
  <c r="H12" i="92"/>
  <c r="G12" i="92"/>
  <c r="F12" i="92"/>
  <c r="F19" i="93" s="1"/>
  <c r="G32" i="93" s="1"/>
  <c r="E12" i="92"/>
  <c r="D12" i="92"/>
  <c r="C12" i="92"/>
  <c r="BA11" i="92"/>
  <c r="AZ11" i="92"/>
  <c r="AH11" i="92"/>
  <c r="AF11" i="92"/>
  <c r="AE11" i="92"/>
  <c r="AD11" i="92"/>
  <c r="R11" i="92"/>
  <c r="R18" i="93" s="1"/>
  <c r="S31" i="93" s="1"/>
  <c r="Q11" i="92"/>
  <c r="Q18" i="93" s="1"/>
  <c r="R31" i="93" s="1"/>
  <c r="P11" i="92"/>
  <c r="P18" i="93" s="1"/>
  <c r="Q31" i="93" s="1"/>
  <c r="O11" i="92"/>
  <c r="O18" i="93" s="1"/>
  <c r="P31" i="93" s="1"/>
  <c r="I11" i="92"/>
  <c r="H11" i="92"/>
  <c r="G11" i="92"/>
  <c r="F11" i="92"/>
  <c r="E11" i="92"/>
  <c r="D11" i="92"/>
  <c r="C11" i="92"/>
  <c r="BA10" i="92"/>
  <c r="AZ10" i="92"/>
  <c r="AH10" i="92"/>
  <c r="AF10" i="92"/>
  <c r="AE10" i="92"/>
  <c r="AD10" i="92"/>
  <c r="R10" i="92"/>
  <c r="R17" i="93" s="1"/>
  <c r="S30" i="93" s="1"/>
  <c r="Q10" i="92"/>
  <c r="Q17" i="93" s="1"/>
  <c r="R30" i="93" s="1"/>
  <c r="P10" i="92"/>
  <c r="P17" i="93" s="1"/>
  <c r="Q30" i="93" s="1"/>
  <c r="O10" i="92"/>
  <c r="O17" i="93" s="1"/>
  <c r="P30" i="93" s="1"/>
  <c r="I10" i="92"/>
  <c r="H10" i="92"/>
  <c r="G10" i="92"/>
  <c r="F10" i="92"/>
  <c r="E10" i="92"/>
  <c r="D10" i="92"/>
  <c r="C10" i="92"/>
  <c r="BA9" i="92"/>
  <c r="AZ9" i="92"/>
  <c r="AH9" i="92"/>
  <c r="AF9" i="92"/>
  <c r="AE9" i="92"/>
  <c r="AD9" i="92"/>
  <c r="R9" i="92"/>
  <c r="R16" i="93" s="1"/>
  <c r="S29" i="93" s="1"/>
  <c r="Q9" i="92"/>
  <c r="Q16" i="93" s="1"/>
  <c r="R29" i="93" s="1"/>
  <c r="P9" i="92"/>
  <c r="P16" i="93" s="1"/>
  <c r="Q29" i="93" s="1"/>
  <c r="O9" i="92"/>
  <c r="O16" i="93" s="1"/>
  <c r="P29" i="93" s="1"/>
  <c r="I9" i="92"/>
  <c r="H9" i="92"/>
  <c r="G9" i="92"/>
  <c r="G16" i="93" s="1"/>
  <c r="H29" i="93" s="1"/>
  <c r="F9" i="92"/>
  <c r="E9" i="92"/>
  <c r="E16" i="93" s="1"/>
  <c r="F29" i="93" s="1"/>
  <c r="D9" i="92"/>
  <c r="C9" i="92"/>
  <c r="BA8" i="92"/>
  <c r="AZ8" i="92"/>
  <c r="AH8" i="92"/>
  <c r="AF8" i="92"/>
  <c r="AE8" i="92"/>
  <c r="AD8" i="92"/>
  <c r="R8" i="92"/>
  <c r="R15" i="93" s="1"/>
  <c r="S28" i="93" s="1"/>
  <c r="Q8" i="92"/>
  <c r="Q15" i="93" s="1"/>
  <c r="R28" i="93" s="1"/>
  <c r="P8" i="92"/>
  <c r="P15" i="93" s="1"/>
  <c r="Q28" i="93" s="1"/>
  <c r="O8" i="92"/>
  <c r="O15" i="93" s="1"/>
  <c r="P28" i="93" s="1"/>
  <c r="I8" i="92"/>
  <c r="H8" i="92"/>
  <c r="G8" i="92"/>
  <c r="F8" i="92"/>
  <c r="E8" i="92"/>
  <c r="E15" i="93" s="1"/>
  <c r="F28" i="93" s="1"/>
  <c r="D8" i="92"/>
  <c r="C8" i="92"/>
  <c r="BA7" i="92"/>
  <c r="AZ7" i="92"/>
  <c r="AH7" i="92"/>
  <c r="AF7" i="92"/>
  <c r="AE7" i="92"/>
  <c r="AD7" i="92"/>
  <c r="R7" i="92"/>
  <c r="R14" i="93" s="1"/>
  <c r="S27" i="93" s="1"/>
  <c r="Q7" i="92"/>
  <c r="Q14" i="93" s="1"/>
  <c r="R27" i="93" s="1"/>
  <c r="P7" i="92"/>
  <c r="P14" i="93" s="1"/>
  <c r="Q27" i="93" s="1"/>
  <c r="O7" i="92"/>
  <c r="O14" i="93" s="1"/>
  <c r="P27" i="93" s="1"/>
  <c r="I7" i="92"/>
  <c r="I14" i="93" s="1"/>
  <c r="J27" i="93" s="1"/>
  <c r="H7" i="92"/>
  <c r="G7" i="92"/>
  <c r="F7" i="92"/>
  <c r="E7" i="92"/>
  <c r="E14" i="93" s="1"/>
  <c r="F27" i="93" s="1"/>
  <c r="D7" i="92"/>
  <c r="C7" i="92"/>
  <c r="BA6" i="92"/>
  <c r="AZ6" i="92"/>
  <c r="AH6" i="92"/>
  <c r="AE6" i="92"/>
  <c r="AD6" i="92"/>
  <c r="R6" i="92"/>
  <c r="R13" i="93" s="1"/>
  <c r="S26" i="93" s="1"/>
  <c r="Q6" i="92"/>
  <c r="Q13" i="93" s="1"/>
  <c r="R26" i="93" s="1"/>
  <c r="P6" i="92"/>
  <c r="P13" i="93" s="1"/>
  <c r="Q26" i="93" s="1"/>
  <c r="O6" i="92"/>
  <c r="O13" i="93" s="1"/>
  <c r="P26" i="93" s="1"/>
  <c r="I6" i="92"/>
  <c r="H6" i="92"/>
  <c r="G6" i="92"/>
  <c r="F6" i="92"/>
  <c r="E6" i="92"/>
  <c r="E13" i="93" s="1"/>
  <c r="F26" i="93" s="1"/>
  <c r="D6" i="92"/>
  <c r="C6" i="92"/>
  <c r="I5" i="92"/>
  <c r="H5" i="92"/>
  <c r="G5" i="92"/>
  <c r="F5" i="92"/>
  <c r="E5" i="92"/>
  <c r="D5" i="92"/>
  <c r="C5" i="92"/>
  <c r="Y103" i="93"/>
  <c r="Y40" i="93"/>
  <c r="Y81" i="93"/>
  <c r="X107" i="93"/>
  <c r="X171" i="93"/>
  <c r="Y88" i="93"/>
  <c r="X176" i="93"/>
  <c r="Y124" i="93"/>
  <c r="X132" i="93"/>
  <c r="Y44" i="93"/>
  <c r="X162" i="93"/>
  <c r="Y143" i="93"/>
  <c r="Y152" i="93"/>
  <c r="Y59" i="93"/>
  <c r="Y27" i="93"/>
  <c r="X151" i="93"/>
  <c r="Y116" i="93"/>
  <c r="Y190" i="93"/>
  <c r="Y209" i="93"/>
  <c r="X223" i="93"/>
  <c r="Y15" i="93"/>
  <c r="Y160" i="93"/>
  <c r="Y156" i="93"/>
  <c r="Y9" i="93"/>
  <c r="X141" i="93"/>
  <c r="Y204" i="93"/>
  <c r="X62" i="93"/>
  <c r="Y29" i="93"/>
  <c r="Y31" i="93"/>
  <c r="Y215" i="93"/>
  <c r="X218" i="93"/>
  <c r="X152" i="93"/>
  <c r="X70" i="93"/>
  <c r="Y109" i="93"/>
  <c r="Y170" i="93"/>
  <c r="Y125" i="93"/>
  <c r="Y51" i="93"/>
  <c r="X20" i="93"/>
  <c r="X124" i="93"/>
  <c r="Y57" i="93"/>
  <c r="X134" i="93"/>
  <c r="Y120" i="93"/>
  <c r="X219" i="93"/>
  <c r="X75" i="93"/>
  <c r="Y18" i="93"/>
  <c r="X153" i="93"/>
  <c r="X188" i="93"/>
  <c r="Y118" i="93"/>
  <c r="X120" i="93"/>
  <c r="Y97" i="93"/>
  <c r="X198" i="93"/>
  <c r="X13" i="93"/>
  <c r="Y221" i="93"/>
  <c r="Y212" i="93"/>
  <c r="Y104" i="93"/>
  <c r="X224" i="93"/>
  <c r="Y157" i="93"/>
  <c r="X88" i="93"/>
  <c r="Y114" i="93"/>
  <c r="Y36" i="93"/>
  <c r="X145" i="93"/>
  <c r="Y113" i="93"/>
  <c r="Y101" i="93"/>
  <c r="Y73" i="93"/>
  <c r="X122" i="93"/>
  <c r="Y178" i="93"/>
  <c r="X66" i="93"/>
  <c r="X170" i="93"/>
  <c r="Y213" i="93"/>
  <c r="X115" i="93"/>
  <c r="Y77" i="93"/>
  <c r="X81" i="93"/>
  <c r="X16" i="93"/>
  <c r="X38" i="93"/>
  <c r="Y41" i="93"/>
  <c r="X143" i="93"/>
  <c r="Y56" i="93"/>
  <c r="Y153" i="93"/>
  <c r="Y151" i="93"/>
  <c r="Y186" i="93"/>
  <c r="Y39" i="93"/>
  <c r="Y53" i="93"/>
  <c r="Y132" i="93"/>
  <c r="Y164" i="93"/>
  <c r="Y129" i="93"/>
  <c r="Y211" i="93"/>
  <c r="Y66" i="93"/>
  <c r="X89" i="93"/>
  <c r="Y70" i="93"/>
  <c r="Y200" i="93"/>
  <c r="X189" i="93"/>
  <c r="X7" i="93"/>
  <c r="X168" i="93"/>
  <c r="X110" i="93"/>
  <c r="X18" i="93"/>
  <c r="Y24" i="93"/>
  <c r="X77" i="93"/>
  <c r="X19" i="93"/>
  <c r="X12" i="93"/>
  <c r="Y220" i="93"/>
  <c r="X10" i="93"/>
  <c r="Y128" i="93"/>
  <c r="X125" i="93"/>
  <c r="Y133" i="93"/>
  <c r="Y43" i="93"/>
  <c r="Y89" i="93"/>
  <c r="Y198" i="93"/>
  <c r="Y203" i="93"/>
  <c r="Y174" i="93"/>
  <c r="Y169" i="93"/>
  <c r="X196" i="93"/>
  <c r="Y26" i="93"/>
  <c r="X210" i="93"/>
  <c r="Y117" i="93"/>
  <c r="X154" i="93"/>
  <c r="Y110" i="93"/>
  <c r="X33" i="93"/>
  <c r="X209" i="93"/>
  <c r="Y87" i="93"/>
  <c r="X211" i="93"/>
  <c r="Y34" i="93"/>
  <c r="Y35" i="93"/>
  <c r="Y210" i="93"/>
  <c r="X44" i="93"/>
  <c r="X217" i="93"/>
  <c r="X204" i="93"/>
  <c r="X121" i="93"/>
  <c r="X119" i="93"/>
  <c r="X178" i="93"/>
  <c r="X193" i="93"/>
  <c r="X68" i="93"/>
  <c r="Y202" i="93"/>
  <c r="Y224" i="93"/>
  <c r="Y165" i="93"/>
  <c r="X194" i="93"/>
  <c r="X212" i="93"/>
  <c r="Y189" i="93"/>
  <c r="Y206" i="93"/>
  <c r="X54" i="93"/>
  <c r="X78" i="93"/>
  <c r="Y142" i="93"/>
  <c r="X221" i="93"/>
  <c r="X14" i="93"/>
  <c r="X34" i="93"/>
  <c r="Y126" i="93"/>
  <c r="X142" i="93"/>
  <c r="X117" i="93"/>
  <c r="Y162" i="93"/>
  <c r="X28" i="93"/>
  <c r="Y102" i="93"/>
  <c r="Y115" i="93"/>
  <c r="X179" i="93"/>
  <c r="Y99" i="93"/>
  <c r="Y105" i="93"/>
  <c r="X6" i="93"/>
  <c r="Y192" i="93"/>
  <c r="Y134" i="93"/>
  <c r="Y146" i="93"/>
  <c r="X15" i="93"/>
  <c r="X21" i="93"/>
  <c r="X175" i="93"/>
  <c r="X101" i="93"/>
  <c r="X215" i="93"/>
  <c r="X165" i="93"/>
  <c r="X25" i="93"/>
  <c r="Y74" i="93"/>
  <c r="Y196" i="93"/>
  <c r="Y127" i="93"/>
  <c r="Y171" i="93"/>
  <c r="Y147" i="93"/>
  <c r="Y98" i="93"/>
  <c r="X100" i="93"/>
  <c r="X118" i="93"/>
  <c r="Y62" i="93"/>
  <c r="X111" i="93"/>
  <c r="X60" i="93"/>
  <c r="Y100" i="93"/>
  <c r="Y223" i="93"/>
  <c r="Y122" i="93"/>
  <c r="X207" i="93"/>
  <c r="X163" i="93"/>
  <c r="Y22" i="93"/>
  <c r="X186" i="93"/>
  <c r="Y173" i="93"/>
  <c r="X35" i="93"/>
  <c r="X177" i="93"/>
  <c r="X51" i="93"/>
  <c r="Y68" i="93"/>
  <c r="X57" i="93"/>
  <c r="Y63" i="93"/>
  <c r="X41" i="93"/>
  <c r="Y121" i="93"/>
  <c r="X65" i="93"/>
  <c r="X133" i="93"/>
  <c r="X149" i="93"/>
  <c r="Y75" i="93"/>
  <c r="X105" i="93"/>
  <c r="X126" i="93"/>
  <c r="Y13" i="93"/>
  <c r="X39" i="93"/>
  <c r="Y161" i="93"/>
  <c r="X72" i="93"/>
  <c r="X208" i="93"/>
  <c r="Y167" i="93"/>
  <c r="Y148" i="93"/>
  <c r="X86" i="93"/>
  <c r="X128" i="93"/>
  <c r="Y191" i="93"/>
  <c r="Y80" i="93"/>
  <c r="Y150" i="93"/>
  <c r="Y172" i="93"/>
  <c r="X147" i="93"/>
  <c r="Y20" i="93"/>
  <c r="X8" i="93"/>
  <c r="X220" i="93"/>
  <c r="Y83" i="93"/>
  <c r="Y55" i="93"/>
  <c r="X127" i="93"/>
  <c r="Y177" i="93"/>
  <c r="Y17" i="93"/>
  <c r="X155" i="93"/>
  <c r="Y52" i="93"/>
  <c r="Y85" i="93"/>
  <c r="Y130" i="93"/>
  <c r="Y195" i="93"/>
  <c r="Y199" i="93"/>
  <c r="Y166" i="93"/>
  <c r="X130" i="93"/>
  <c r="X98" i="93"/>
  <c r="Y11" i="93"/>
  <c r="X36" i="93"/>
  <c r="X69" i="93"/>
  <c r="Y163" i="93"/>
  <c r="X167" i="93"/>
  <c r="X123" i="93"/>
  <c r="X74" i="93"/>
  <c r="X173" i="93"/>
  <c r="X32" i="93"/>
  <c r="X61" i="93"/>
  <c r="X199" i="93"/>
  <c r="Y84" i="93"/>
  <c r="X64" i="93"/>
  <c r="Y25" i="93"/>
  <c r="X129" i="93"/>
  <c r="Y158" i="93"/>
  <c r="X201" i="93"/>
  <c r="Y145" i="93"/>
  <c r="X187" i="93"/>
  <c r="X106" i="93"/>
  <c r="Y208" i="93"/>
  <c r="X53" i="93"/>
  <c r="X146" i="93"/>
  <c r="X23" i="93"/>
  <c r="X159" i="93"/>
  <c r="Y149" i="93"/>
  <c r="X79" i="93"/>
  <c r="X58" i="93"/>
  <c r="X37" i="93"/>
  <c r="Y155" i="93"/>
  <c r="X73" i="93"/>
  <c r="Y205" i="93"/>
  <c r="Y12" i="93"/>
  <c r="X52" i="93"/>
  <c r="X102" i="93"/>
  <c r="Y218" i="93"/>
  <c r="X169" i="93"/>
  <c r="X112" i="93"/>
  <c r="X195" i="93"/>
  <c r="Y112" i="93"/>
  <c r="Y19" i="93"/>
  <c r="X29" i="93"/>
  <c r="Y119" i="93"/>
  <c r="X202" i="93"/>
  <c r="X166" i="93"/>
  <c r="X104" i="93"/>
  <c r="X174" i="93"/>
  <c r="Y6" i="93"/>
  <c r="X84" i="93"/>
  <c r="X213" i="93"/>
  <c r="X192" i="93"/>
  <c r="X172" i="93"/>
  <c r="Y216" i="93"/>
  <c r="X156" i="93"/>
  <c r="Y7" i="93"/>
  <c r="Y10" i="93"/>
  <c r="X114" i="93"/>
  <c r="Y188" i="93"/>
  <c r="X108" i="93"/>
  <c r="X17" i="93"/>
  <c r="X205" i="93"/>
  <c r="X26" i="93"/>
  <c r="X113" i="93"/>
  <c r="X158" i="93"/>
  <c r="Y32" i="93"/>
  <c r="X82" i="93"/>
  <c r="X131" i="93"/>
  <c r="Y38" i="93"/>
  <c r="Y144" i="93"/>
  <c r="X109" i="93"/>
  <c r="X222" i="93"/>
  <c r="Y21" i="93"/>
  <c r="Y82" i="93"/>
  <c r="X87" i="93"/>
  <c r="Y23" i="93"/>
  <c r="Y67" i="93"/>
  <c r="X148" i="93"/>
  <c r="Y78" i="93"/>
  <c r="Y217" i="93"/>
  <c r="Y141" i="93"/>
  <c r="Y8" i="93"/>
  <c r="Y159" i="93"/>
  <c r="Y222" i="93"/>
  <c r="Y193" i="93"/>
  <c r="X190" i="93"/>
  <c r="X67" i="93"/>
  <c r="X116" i="93"/>
  <c r="Y179" i="93"/>
  <c r="Y108" i="93"/>
  <c r="X150" i="93"/>
  <c r="X85" i="93"/>
  <c r="X200" i="93"/>
  <c r="Y33" i="93"/>
  <c r="X203" i="93"/>
  <c r="X24" i="93"/>
  <c r="X99" i="93"/>
  <c r="Y194" i="93"/>
  <c r="X103" i="93"/>
  <c r="Y96" i="93"/>
  <c r="Y54" i="93"/>
  <c r="X216" i="93"/>
  <c r="X80" i="93"/>
  <c r="Y64" i="93"/>
  <c r="X59" i="93"/>
  <c r="X197" i="93"/>
  <c r="X160" i="93"/>
  <c r="Y187" i="93"/>
  <c r="Y16" i="93"/>
  <c r="Y72" i="93"/>
  <c r="Y71" i="93"/>
  <c r="Y219" i="93"/>
  <c r="X164" i="93"/>
  <c r="X56" i="93"/>
  <c r="X30" i="93"/>
  <c r="X97" i="93"/>
  <c r="X11" i="93"/>
  <c r="X83" i="93"/>
  <c r="Y123" i="93"/>
  <c r="X206" i="93"/>
  <c r="Y79" i="93"/>
  <c r="Y37" i="93"/>
  <c r="Y42" i="93"/>
  <c r="X144" i="93"/>
  <c r="Y207" i="93"/>
  <c r="X157" i="93"/>
  <c r="X96" i="93"/>
  <c r="Y131" i="93"/>
  <c r="Y58" i="93"/>
  <c r="X161" i="93"/>
  <c r="Y86" i="93"/>
  <c r="X42" i="93"/>
  <c r="Y168" i="93"/>
  <c r="X31" i="93"/>
  <c r="Y214" i="93"/>
  <c r="Y154" i="93"/>
  <c r="Y107" i="93"/>
  <c r="X40" i="93"/>
  <c r="Y111" i="93"/>
  <c r="X71" i="93"/>
  <c r="X76" i="93"/>
  <c r="Y197" i="93"/>
  <c r="X214" i="93"/>
  <c r="Y65" i="93"/>
  <c r="X63" i="93"/>
  <c r="Y60" i="93"/>
  <c r="Y201" i="93"/>
  <c r="X9" i="93"/>
  <c r="Y28" i="93"/>
  <c r="Y61" i="93"/>
  <c r="Y106" i="93"/>
  <c r="Y176" i="93"/>
  <c r="X191" i="93"/>
  <c r="X55" i="93"/>
  <c r="X22" i="93"/>
  <c r="Y175" i="93"/>
  <c r="Y76" i="93"/>
  <c r="Y69" i="93"/>
  <c r="Y14" i="93"/>
  <c r="X27" i="93"/>
  <c r="Y30" i="93"/>
  <c r="X43" i="93"/>
  <c r="G9" i="94" l="1"/>
  <c r="H16" i="93"/>
  <c r="I29" i="93" s="1"/>
  <c r="H20" i="93"/>
  <c r="I33" i="93" s="1"/>
  <c r="G21" i="93"/>
  <c r="H34" i="93" s="1"/>
  <c r="I17" i="93"/>
  <c r="J30" i="93" s="1"/>
  <c r="G19" i="93"/>
  <c r="H32" i="93" s="1"/>
  <c r="H18" i="93"/>
  <c r="I31" i="93" s="1"/>
  <c r="I18" i="93"/>
  <c r="J31" i="93" s="1"/>
  <c r="H19" i="93"/>
  <c r="I32" i="93" s="1"/>
  <c r="G20" i="93"/>
  <c r="H33" i="93" s="1"/>
  <c r="G13" i="93"/>
  <c r="H26" i="93" s="1"/>
  <c r="F16" i="93"/>
  <c r="G29" i="93" s="1"/>
  <c r="I13" i="93"/>
  <c r="J26" i="93" s="1"/>
  <c r="I16" i="93"/>
  <c r="J29" i="93" s="1"/>
  <c r="I20" i="93"/>
  <c r="J33" i="93" s="1"/>
  <c r="G14" i="93"/>
  <c r="H27" i="93" s="1"/>
  <c r="H13" i="93"/>
  <c r="I26" i="93" s="1"/>
  <c r="H14" i="93"/>
  <c r="I27" i="93" s="1"/>
  <c r="H15" i="93"/>
  <c r="I28" i="93" s="1"/>
  <c r="F14" i="93"/>
  <c r="G27" i="93" s="1"/>
  <c r="I15" i="93"/>
  <c r="J28" i="93" s="1"/>
  <c r="G17" i="93"/>
  <c r="H30" i="93" s="1"/>
  <c r="F15" i="93"/>
  <c r="G28" i="93" s="1"/>
  <c r="G15" i="93"/>
  <c r="H28" i="93" s="1"/>
  <c r="F13" i="93"/>
  <c r="G26" i="93" s="1"/>
  <c r="F18" i="93"/>
  <c r="G31" i="93" s="1"/>
  <c r="G18" i="93"/>
  <c r="H31" i="93" s="1"/>
  <c r="H21" i="93"/>
  <c r="I34" i="93" s="1"/>
  <c r="I19" i="93"/>
  <c r="J32" i="93" s="1"/>
  <c r="F17" i="93"/>
  <c r="G30" i="93" s="1"/>
  <c r="H17" i="93"/>
  <c r="I30" i="93" s="1"/>
  <c r="BM104" i="65"/>
  <c r="BN104" i="65"/>
  <c r="BO104" i="65"/>
  <c r="BP104" i="65"/>
  <c r="BQ104" i="65"/>
  <c r="BM105" i="65"/>
  <c r="BN105" i="65"/>
  <c r="BO105" i="65"/>
  <c r="BP105" i="65"/>
  <c r="BQ105" i="65"/>
  <c r="BM106" i="65"/>
  <c r="BN106" i="65"/>
  <c r="BO106" i="65"/>
  <c r="BP106" i="65"/>
  <c r="BQ106" i="65"/>
  <c r="BM107" i="65"/>
  <c r="BN107" i="65"/>
  <c r="BO107" i="65"/>
  <c r="BP107" i="65"/>
  <c r="BQ107" i="65"/>
  <c r="BM108" i="65"/>
  <c r="BN108" i="65"/>
  <c r="BO108" i="65"/>
  <c r="BP108" i="65"/>
  <c r="BQ108" i="65"/>
  <c r="BM109" i="65"/>
  <c r="BN109" i="65"/>
  <c r="BO109" i="65"/>
  <c r="BP109" i="65"/>
  <c r="BQ109" i="65"/>
  <c r="BM110" i="65"/>
  <c r="BN110" i="65"/>
  <c r="BO110" i="65"/>
  <c r="BP110" i="65"/>
  <c r="BQ110" i="65"/>
  <c r="BM111" i="65"/>
  <c r="BN111" i="65"/>
  <c r="BO111" i="65"/>
  <c r="BP111" i="65"/>
  <c r="BQ111" i="65"/>
  <c r="BM112" i="65"/>
  <c r="BN112" i="65"/>
  <c r="BO112" i="65"/>
  <c r="BP112" i="65"/>
  <c r="BQ112" i="65"/>
  <c r="BM113" i="65"/>
  <c r="BN113" i="65"/>
  <c r="BO113" i="65"/>
  <c r="BP113" i="65"/>
  <c r="BQ113" i="65"/>
  <c r="BM114" i="65"/>
  <c r="BN114" i="65"/>
  <c r="BO114" i="65"/>
  <c r="BP114" i="65"/>
  <c r="BQ114" i="65"/>
  <c r="BM115" i="65"/>
  <c r="BN115" i="65"/>
  <c r="BO115" i="65"/>
  <c r="BP115" i="65"/>
  <c r="BQ115" i="65"/>
  <c r="BM116" i="65"/>
  <c r="BN116" i="65"/>
  <c r="BO116" i="65"/>
  <c r="BP116" i="65"/>
  <c r="BQ116" i="65"/>
  <c r="BM117" i="65"/>
  <c r="BN117" i="65"/>
  <c r="BO117" i="65"/>
  <c r="BP117" i="65"/>
  <c r="BQ117" i="65"/>
  <c r="BM118" i="65"/>
  <c r="BN118" i="65"/>
  <c r="BO118" i="65"/>
  <c r="BP118" i="65"/>
  <c r="BQ118" i="65"/>
  <c r="BM119" i="65"/>
  <c r="BN119" i="65"/>
  <c r="BO119" i="65"/>
  <c r="BP119" i="65"/>
  <c r="BQ119" i="65"/>
  <c r="BM120" i="65"/>
  <c r="BN120" i="65"/>
  <c r="BO120" i="65"/>
  <c r="BP120" i="65"/>
  <c r="BQ120" i="65"/>
  <c r="BM121" i="65"/>
  <c r="BN121" i="65"/>
  <c r="BO121" i="65"/>
  <c r="BP121" i="65"/>
  <c r="BQ121" i="65"/>
  <c r="BM122" i="65"/>
  <c r="BN122" i="65"/>
  <c r="BO122" i="65"/>
  <c r="BP122" i="65"/>
  <c r="BQ122" i="65"/>
  <c r="BM123" i="65"/>
  <c r="BN123" i="65"/>
  <c r="BO123" i="65"/>
  <c r="BP123" i="65"/>
  <c r="BQ123" i="65"/>
  <c r="BM124" i="65"/>
  <c r="BN124" i="65"/>
  <c r="BO124" i="65"/>
  <c r="BP124" i="65"/>
  <c r="BQ124" i="65"/>
  <c r="BM125" i="65"/>
  <c r="BN125" i="65"/>
  <c r="BO125" i="65"/>
  <c r="BP125" i="65"/>
  <c r="BQ125" i="65"/>
  <c r="BM126" i="65"/>
  <c r="BN126" i="65"/>
  <c r="BO126" i="65"/>
  <c r="BP126" i="65"/>
  <c r="BQ126" i="65"/>
  <c r="BM127" i="65"/>
  <c r="BN127" i="65"/>
  <c r="BO127" i="65"/>
  <c r="BP127" i="65"/>
  <c r="BQ127" i="65"/>
  <c r="BM128" i="65"/>
  <c r="BN128" i="65"/>
  <c r="BO128" i="65"/>
  <c r="BP128" i="65"/>
  <c r="BQ128" i="65"/>
  <c r="BM129" i="65"/>
  <c r="BN129" i="65"/>
  <c r="BO129" i="65"/>
  <c r="BP129" i="65"/>
  <c r="BQ129" i="65"/>
  <c r="BM130" i="65"/>
  <c r="BN130" i="65"/>
  <c r="BO130" i="65"/>
  <c r="BP130" i="65"/>
  <c r="BQ130" i="65"/>
  <c r="BM131" i="65"/>
  <c r="BN131" i="65"/>
  <c r="BO131" i="65"/>
  <c r="BP131" i="65"/>
  <c r="BQ131" i="65"/>
  <c r="BM132" i="65"/>
  <c r="BN132" i="65"/>
  <c r="BO132" i="65"/>
  <c r="BP132" i="65"/>
  <c r="BQ132" i="65"/>
  <c r="BM133" i="65"/>
  <c r="BN133" i="65"/>
  <c r="BO133" i="65"/>
  <c r="BP133" i="65"/>
  <c r="BQ133" i="65"/>
  <c r="BM134" i="65"/>
  <c r="BN134" i="65"/>
  <c r="BO134" i="65"/>
  <c r="BP134" i="65"/>
  <c r="BQ134" i="65"/>
  <c r="BM135" i="65"/>
  <c r="BN135" i="65"/>
  <c r="BO135" i="65"/>
  <c r="BP135" i="65"/>
  <c r="BQ135" i="65"/>
  <c r="BM136" i="65"/>
  <c r="BN136" i="65"/>
  <c r="BO136" i="65"/>
  <c r="BP136" i="65"/>
  <c r="BQ136" i="65"/>
  <c r="BM137" i="65"/>
  <c r="BN137" i="65"/>
  <c r="BO137" i="65"/>
  <c r="BP137" i="65"/>
  <c r="BQ137" i="65"/>
  <c r="BM138" i="65"/>
  <c r="BN138" i="65"/>
  <c r="BO138" i="65"/>
  <c r="BP138" i="65"/>
  <c r="BQ138" i="65"/>
  <c r="BM139" i="65"/>
  <c r="BN139" i="65"/>
  <c r="BO139" i="65"/>
  <c r="BP139" i="65"/>
  <c r="BQ139" i="65"/>
  <c r="BM140" i="65"/>
  <c r="BN140" i="65"/>
  <c r="BO140" i="65"/>
  <c r="BP140" i="65"/>
  <c r="BQ140" i="65"/>
  <c r="BM141" i="65"/>
  <c r="BN141" i="65"/>
  <c r="BO141" i="65"/>
  <c r="BP141" i="65"/>
  <c r="BQ141" i="65"/>
  <c r="BM142" i="65"/>
  <c r="BN142" i="65"/>
  <c r="BO142" i="65"/>
  <c r="BP142" i="65"/>
  <c r="BQ142" i="65"/>
  <c r="BM143" i="65"/>
  <c r="BN143" i="65"/>
  <c r="BO143" i="65"/>
  <c r="BP143" i="65"/>
  <c r="BQ143" i="65"/>
  <c r="BM144" i="65"/>
  <c r="BN144" i="65"/>
  <c r="BO144" i="65"/>
  <c r="BP144" i="65"/>
  <c r="BQ144" i="65"/>
  <c r="BM145" i="65"/>
  <c r="BN145" i="65"/>
  <c r="BO145" i="65"/>
  <c r="BP145" i="65"/>
  <c r="BQ145" i="65"/>
  <c r="BM146" i="65"/>
  <c r="BN146" i="65"/>
  <c r="BO146" i="65"/>
  <c r="BP146" i="65"/>
  <c r="BQ146" i="65"/>
  <c r="BM147" i="65"/>
  <c r="BN147" i="65"/>
  <c r="BO147" i="65"/>
  <c r="BP147" i="65"/>
  <c r="BQ147" i="65"/>
  <c r="BM148" i="65"/>
  <c r="BN148" i="65"/>
  <c r="BO148" i="65"/>
  <c r="BP148" i="65"/>
  <c r="BQ148" i="65"/>
  <c r="BM149" i="65"/>
  <c r="BN149" i="65"/>
  <c r="BO149" i="65"/>
  <c r="BP149" i="65"/>
  <c r="BQ149" i="65"/>
  <c r="BM150" i="65"/>
  <c r="BN150" i="65"/>
  <c r="BO150" i="65"/>
  <c r="BP150" i="65"/>
  <c r="BQ150" i="65"/>
  <c r="BM151" i="65"/>
  <c r="BN151" i="65"/>
  <c r="BO151" i="65"/>
  <c r="BP151" i="65"/>
  <c r="BQ151" i="65"/>
  <c r="BM152" i="65"/>
  <c r="BN152" i="65"/>
  <c r="BO152" i="65"/>
  <c r="BP152" i="65"/>
  <c r="BQ152" i="65"/>
  <c r="BM153" i="65"/>
  <c r="BN153" i="65"/>
  <c r="BO153" i="65"/>
  <c r="BP153" i="65"/>
  <c r="BQ153" i="65"/>
  <c r="BM154" i="65"/>
  <c r="BN154" i="65"/>
  <c r="BO154" i="65"/>
  <c r="BP154" i="65"/>
  <c r="BQ154" i="65"/>
  <c r="BM155" i="65"/>
  <c r="BN155" i="65"/>
  <c r="BO155" i="65"/>
  <c r="BP155" i="65"/>
  <c r="BQ155" i="65"/>
  <c r="BM156" i="65"/>
  <c r="BN156" i="65"/>
  <c r="BO156" i="65"/>
  <c r="BP156" i="65"/>
  <c r="BQ156" i="65"/>
  <c r="BM157" i="65"/>
  <c r="BN157" i="65"/>
  <c r="BO157" i="65"/>
  <c r="BP157" i="65"/>
  <c r="BQ157" i="65"/>
  <c r="BM158" i="65"/>
  <c r="BN158" i="65"/>
  <c r="BO158" i="65"/>
  <c r="BP158" i="65"/>
  <c r="BQ158" i="65"/>
  <c r="BM159" i="65"/>
  <c r="BN159" i="65"/>
  <c r="BO159" i="65"/>
  <c r="BP159" i="65"/>
  <c r="BQ159" i="65"/>
  <c r="BM160" i="65"/>
  <c r="BN160" i="65"/>
  <c r="BO160" i="65"/>
  <c r="BP160" i="65"/>
  <c r="BQ160" i="65"/>
  <c r="BM161" i="65"/>
  <c r="BN161" i="65"/>
  <c r="BO161" i="65"/>
  <c r="BP161" i="65"/>
  <c r="BQ161" i="65"/>
  <c r="BM162" i="65"/>
  <c r="BN162" i="65"/>
  <c r="BO162" i="65"/>
  <c r="BP162" i="65"/>
  <c r="BQ162" i="65"/>
  <c r="BM163" i="65"/>
  <c r="BN163" i="65"/>
  <c r="BO163" i="65"/>
  <c r="BP163" i="65"/>
  <c r="BQ163" i="65"/>
  <c r="BM164" i="65"/>
  <c r="BN164" i="65"/>
  <c r="BO164" i="65"/>
  <c r="BP164" i="65"/>
  <c r="BQ164" i="65"/>
  <c r="BH54" i="65"/>
  <c r="BH55" i="65"/>
  <c r="BH56" i="65"/>
  <c r="BH57" i="65"/>
  <c r="BH58" i="65"/>
  <c r="BH59" i="65"/>
  <c r="BH60" i="65"/>
  <c r="BH61" i="65"/>
  <c r="BH62" i="65"/>
  <c r="BH63" i="65"/>
  <c r="BH64" i="65"/>
  <c r="BH65" i="65"/>
  <c r="BH66" i="65"/>
  <c r="BH67" i="65"/>
  <c r="BH68" i="65"/>
  <c r="BH69" i="65"/>
  <c r="BH70" i="65"/>
  <c r="BH71" i="65"/>
  <c r="BH72" i="65"/>
  <c r="BH73" i="65"/>
  <c r="BH74" i="65"/>
  <c r="BH75" i="65"/>
  <c r="BH76" i="65"/>
  <c r="BH77" i="65"/>
  <c r="BH78" i="65"/>
  <c r="BH79" i="65"/>
  <c r="BH80" i="65"/>
  <c r="BH81" i="65"/>
  <c r="BH82" i="65"/>
  <c r="BH83" i="65"/>
  <c r="BH84" i="65"/>
  <c r="AX83" i="65"/>
  <c r="AY83" i="65"/>
  <c r="AZ83" i="65"/>
  <c r="BA83" i="65"/>
  <c r="BB83" i="65"/>
  <c r="AX84" i="65"/>
  <c r="AY84" i="65"/>
  <c r="AZ84" i="65"/>
  <c r="BA84" i="65"/>
  <c r="BB84" i="65"/>
  <c r="AX54" i="65"/>
  <c r="AY54" i="65"/>
  <c r="AZ54" i="65"/>
  <c r="BA54" i="65"/>
  <c r="BB54" i="65"/>
  <c r="AX55" i="65"/>
  <c r="AY55" i="65"/>
  <c r="AZ55" i="65"/>
  <c r="BA55" i="65"/>
  <c r="BB55" i="65"/>
  <c r="AX56" i="65"/>
  <c r="AY56" i="65"/>
  <c r="AZ56" i="65"/>
  <c r="BA56" i="65"/>
  <c r="BB56" i="65"/>
  <c r="AX57" i="65"/>
  <c r="AY57" i="65"/>
  <c r="AZ57" i="65"/>
  <c r="BA57" i="65"/>
  <c r="BB57" i="65"/>
  <c r="AX58" i="65"/>
  <c r="AY58" i="65"/>
  <c r="AZ58" i="65"/>
  <c r="BA58" i="65"/>
  <c r="BB58" i="65"/>
  <c r="AX59" i="65"/>
  <c r="AY59" i="65"/>
  <c r="AZ59" i="65"/>
  <c r="BA59" i="65"/>
  <c r="BB59" i="65"/>
  <c r="AX60" i="65"/>
  <c r="AY60" i="65"/>
  <c r="AZ60" i="65"/>
  <c r="BA60" i="65"/>
  <c r="BB60" i="65"/>
  <c r="AX61" i="65"/>
  <c r="AY61" i="65"/>
  <c r="AZ61" i="65"/>
  <c r="BA61" i="65"/>
  <c r="BB61" i="65"/>
  <c r="AX62" i="65"/>
  <c r="AY62" i="65"/>
  <c r="AZ62" i="65"/>
  <c r="BA62" i="65"/>
  <c r="BB62" i="65"/>
  <c r="AX63" i="65"/>
  <c r="AY63" i="65"/>
  <c r="AZ63" i="65"/>
  <c r="BA63" i="65"/>
  <c r="BB63" i="65"/>
  <c r="AX64" i="65"/>
  <c r="AY64" i="65"/>
  <c r="AZ64" i="65"/>
  <c r="BA64" i="65"/>
  <c r="BB64" i="65"/>
  <c r="AX65" i="65"/>
  <c r="AY65" i="65"/>
  <c r="AZ65" i="65"/>
  <c r="BA65" i="65"/>
  <c r="BB65" i="65"/>
  <c r="AX66" i="65"/>
  <c r="AY66" i="65"/>
  <c r="AZ66" i="65"/>
  <c r="BA66" i="65"/>
  <c r="BB66" i="65"/>
  <c r="AX67" i="65"/>
  <c r="AY67" i="65"/>
  <c r="AZ67" i="65"/>
  <c r="BA67" i="65"/>
  <c r="BB67" i="65"/>
  <c r="AX68" i="65"/>
  <c r="AY68" i="65"/>
  <c r="AZ68" i="65"/>
  <c r="BA68" i="65"/>
  <c r="BB68" i="65"/>
  <c r="AX69" i="65"/>
  <c r="AY69" i="65"/>
  <c r="AZ69" i="65"/>
  <c r="BA69" i="65"/>
  <c r="BB69" i="65"/>
  <c r="AX70" i="65"/>
  <c r="AY70" i="65"/>
  <c r="AZ70" i="65"/>
  <c r="BA70" i="65"/>
  <c r="BB70" i="65"/>
  <c r="AX71" i="65"/>
  <c r="AY71" i="65"/>
  <c r="AZ71" i="65"/>
  <c r="BA71" i="65"/>
  <c r="BB71" i="65"/>
  <c r="AX72" i="65"/>
  <c r="AY72" i="65"/>
  <c r="AZ72" i="65"/>
  <c r="BA72" i="65"/>
  <c r="BB72" i="65"/>
  <c r="AX73" i="65"/>
  <c r="AY73" i="65"/>
  <c r="AZ73" i="65"/>
  <c r="BA73" i="65"/>
  <c r="BB73" i="65"/>
  <c r="AX74" i="65"/>
  <c r="AY74" i="65"/>
  <c r="AZ74" i="65"/>
  <c r="BA74" i="65"/>
  <c r="BB74" i="65"/>
  <c r="AX75" i="65"/>
  <c r="AY75" i="65"/>
  <c r="AZ75" i="65"/>
  <c r="BA75" i="65"/>
  <c r="BB75" i="65"/>
  <c r="AX76" i="65"/>
  <c r="AY76" i="65"/>
  <c r="AZ76" i="65"/>
  <c r="BA76" i="65"/>
  <c r="BB76" i="65"/>
  <c r="AX77" i="65"/>
  <c r="AY77" i="65"/>
  <c r="AZ77" i="65"/>
  <c r="BA77" i="65"/>
  <c r="BB77" i="65"/>
  <c r="AX78" i="65"/>
  <c r="AY78" i="65"/>
  <c r="AZ78" i="65"/>
  <c r="BA78" i="65"/>
  <c r="BB78" i="65"/>
  <c r="AX79" i="65"/>
  <c r="AY79" i="65"/>
  <c r="AZ79" i="65"/>
  <c r="BA79" i="65"/>
  <c r="BB79" i="65"/>
  <c r="AX80" i="65"/>
  <c r="AY80" i="65"/>
  <c r="AZ80" i="65"/>
  <c r="BA80" i="65"/>
  <c r="BB80" i="65"/>
  <c r="AX81" i="65"/>
  <c r="AY81" i="65"/>
  <c r="AZ81" i="65"/>
  <c r="BA81" i="65"/>
  <c r="BB81" i="65"/>
  <c r="AX82" i="65"/>
  <c r="AY82" i="65"/>
  <c r="AZ82" i="65"/>
  <c r="BA82" i="65"/>
  <c r="BB82" i="65"/>
  <c r="AA54" i="65"/>
  <c r="AB54" i="65"/>
  <c r="AC54" i="65"/>
  <c r="AD54" i="65"/>
  <c r="AE54" i="65"/>
  <c r="AA55" i="65"/>
  <c r="AB55" i="65"/>
  <c r="AC55" i="65"/>
  <c r="AD55" i="65"/>
  <c r="AE55" i="65"/>
  <c r="AA56" i="65"/>
  <c r="AB56" i="65"/>
  <c r="AC56" i="65"/>
  <c r="AD56" i="65"/>
  <c r="AE56" i="65"/>
  <c r="AA57" i="65"/>
  <c r="AB57" i="65"/>
  <c r="AC57" i="65"/>
  <c r="AD57" i="65"/>
  <c r="AE57" i="65"/>
  <c r="AA58" i="65"/>
  <c r="AB58" i="65"/>
  <c r="AC58" i="65"/>
  <c r="AD58" i="65"/>
  <c r="AE58" i="65"/>
  <c r="AA59" i="65"/>
  <c r="AB59" i="65"/>
  <c r="AC59" i="65"/>
  <c r="AD59" i="65"/>
  <c r="AE59" i="65"/>
  <c r="AA60" i="65"/>
  <c r="AB60" i="65"/>
  <c r="AC60" i="65"/>
  <c r="AD60" i="65"/>
  <c r="AE60" i="65"/>
  <c r="AA61" i="65"/>
  <c r="AB61" i="65"/>
  <c r="AC61" i="65"/>
  <c r="AD61" i="65"/>
  <c r="AE61" i="65"/>
  <c r="AA62" i="65"/>
  <c r="AB62" i="65"/>
  <c r="AC62" i="65"/>
  <c r="AD62" i="65"/>
  <c r="AE62" i="65"/>
  <c r="AA63" i="65"/>
  <c r="AB63" i="65"/>
  <c r="AC63" i="65"/>
  <c r="AD63" i="65"/>
  <c r="AE63" i="65"/>
  <c r="AA64" i="65"/>
  <c r="AB64" i="65"/>
  <c r="AC64" i="65"/>
  <c r="AD64" i="65"/>
  <c r="AE64" i="65"/>
  <c r="AA65" i="65"/>
  <c r="AB65" i="65"/>
  <c r="AC65" i="65"/>
  <c r="AD65" i="65"/>
  <c r="AE65" i="65"/>
  <c r="AA66" i="65"/>
  <c r="AB66" i="65"/>
  <c r="AC66" i="65"/>
  <c r="AD66" i="65"/>
  <c r="AE66" i="65"/>
  <c r="AA67" i="65"/>
  <c r="AB67" i="65"/>
  <c r="AC67" i="65"/>
  <c r="AD67" i="65"/>
  <c r="AE67" i="65"/>
  <c r="AA68" i="65"/>
  <c r="AB68" i="65"/>
  <c r="AC68" i="65"/>
  <c r="AD68" i="65"/>
  <c r="AE68" i="65"/>
  <c r="AA69" i="65"/>
  <c r="AB69" i="65"/>
  <c r="AC69" i="65"/>
  <c r="AD69" i="65"/>
  <c r="AE69" i="65"/>
  <c r="AA70" i="65"/>
  <c r="AB70" i="65"/>
  <c r="AC70" i="65"/>
  <c r="AD70" i="65"/>
  <c r="AE70" i="65"/>
  <c r="AA71" i="65"/>
  <c r="AB71" i="65"/>
  <c r="AC71" i="65"/>
  <c r="AD71" i="65"/>
  <c r="AE71" i="65"/>
  <c r="AA72" i="65"/>
  <c r="AB72" i="65"/>
  <c r="AC72" i="65"/>
  <c r="AD72" i="65"/>
  <c r="AE72" i="65"/>
  <c r="AA73" i="65"/>
  <c r="AB73" i="65"/>
  <c r="AC73" i="65"/>
  <c r="AD73" i="65"/>
  <c r="AE73" i="65"/>
  <c r="AA74" i="65"/>
  <c r="AB74" i="65"/>
  <c r="AC74" i="65"/>
  <c r="AD74" i="65"/>
  <c r="AE74" i="65"/>
  <c r="AA75" i="65"/>
  <c r="AB75" i="65"/>
  <c r="AC75" i="65"/>
  <c r="AD75" i="65"/>
  <c r="AE75" i="65"/>
  <c r="AA76" i="65"/>
  <c r="AB76" i="65"/>
  <c r="AC76" i="65"/>
  <c r="AD76" i="65"/>
  <c r="AE76" i="65"/>
  <c r="AA77" i="65"/>
  <c r="AB77" i="65"/>
  <c r="AC77" i="65"/>
  <c r="AD77" i="65"/>
  <c r="AE77" i="65"/>
  <c r="AA78" i="65"/>
  <c r="AB78" i="65"/>
  <c r="AC78" i="65"/>
  <c r="AD78" i="65"/>
  <c r="AE78" i="65"/>
  <c r="AA79" i="65"/>
  <c r="AB79" i="65"/>
  <c r="AC79" i="65"/>
  <c r="AD79" i="65"/>
  <c r="AE79" i="65"/>
  <c r="AA80" i="65"/>
  <c r="AB80" i="65"/>
  <c r="AC80" i="65"/>
  <c r="AD80" i="65"/>
  <c r="AE80" i="65"/>
  <c r="AA81" i="65"/>
  <c r="AB81" i="65"/>
  <c r="AC81" i="65"/>
  <c r="AD81" i="65"/>
  <c r="AE81" i="65"/>
  <c r="AA82" i="65"/>
  <c r="AB82" i="65"/>
  <c r="AC82" i="65"/>
  <c r="AD82" i="65"/>
  <c r="AE82" i="65"/>
  <c r="AA83" i="65"/>
  <c r="AB83" i="65"/>
  <c r="AC83" i="65"/>
  <c r="AD83" i="65"/>
  <c r="AE83" i="65"/>
  <c r="AA84" i="65"/>
  <c r="AB84" i="65"/>
  <c r="AC84" i="65"/>
  <c r="AD84" i="65"/>
  <c r="AE84" i="65"/>
  <c r="D114" i="65"/>
  <c r="R114" i="94" s="1"/>
  <c r="E114" i="65"/>
  <c r="U114" i="94" s="1"/>
  <c r="F114" i="65"/>
  <c r="X114" i="94" s="1"/>
  <c r="G114" i="65"/>
  <c r="AA114" i="94" s="1"/>
  <c r="H114" i="65"/>
  <c r="AD114" i="94" s="1"/>
  <c r="D115" i="65"/>
  <c r="R115" i="94" s="1"/>
  <c r="E115" i="65"/>
  <c r="U115" i="94" s="1"/>
  <c r="F115" i="65"/>
  <c r="X115" i="94" s="1"/>
  <c r="G115" i="65"/>
  <c r="AA115" i="94" s="1"/>
  <c r="H115" i="65"/>
  <c r="AD115" i="94" s="1"/>
  <c r="D116" i="65"/>
  <c r="R116" i="94" s="1"/>
  <c r="E116" i="65"/>
  <c r="U116" i="94" s="1"/>
  <c r="F116" i="65"/>
  <c r="X116" i="94" s="1"/>
  <c r="G116" i="65"/>
  <c r="AA116" i="94" s="1"/>
  <c r="H116" i="65"/>
  <c r="AD116" i="94" s="1"/>
  <c r="D117" i="65"/>
  <c r="R117" i="94" s="1"/>
  <c r="E117" i="65"/>
  <c r="U117" i="94" s="1"/>
  <c r="F117" i="65"/>
  <c r="X117" i="94" s="1"/>
  <c r="G117" i="65"/>
  <c r="AA117" i="94" s="1"/>
  <c r="H117" i="65"/>
  <c r="AD117" i="94" s="1"/>
  <c r="D118" i="65"/>
  <c r="R118" i="94" s="1"/>
  <c r="E118" i="65"/>
  <c r="U118" i="94" s="1"/>
  <c r="F118" i="65"/>
  <c r="X118" i="94" s="1"/>
  <c r="G118" i="65"/>
  <c r="AA118" i="94" s="1"/>
  <c r="H118" i="65"/>
  <c r="AD118" i="94" s="1"/>
  <c r="D119" i="65"/>
  <c r="R119" i="94" s="1"/>
  <c r="E119" i="65"/>
  <c r="U119" i="94" s="1"/>
  <c r="F119" i="65"/>
  <c r="X119" i="94" s="1"/>
  <c r="G119" i="65"/>
  <c r="AA119" i="94" s="1"/>
  <c r="H119" i="65"/>
  <c r="AD119" i="94" s="1"/>
  <c r="D120" i="65"/>
  <c r="R120" i="94" s="1"/>
  <c r="E120" i="65"/>
  <c r="U120" i="94" s="1"/>
  <c r="F120" i="65"/>
  <c r="X120" i="94" s="1"/>
  <c r="G120" i="65"/>
  <c r="AA120" i="94" s="1"/>
  <c r="H120" i="65"/>
  <c r="AD120" i="94" s="1"/>
  <c r="D121" i="65"/>
  <c r="R121" i="94" s="1"/>
  <c r="E121" i="65"/>
  <c r="U121" i="94" s="1"/>
  <c r="F121" i="65"/>
  <c r="X121" i="94" s="1"/>
  <c r="G121" i="65"/>
  <c r="AA121" i="94" s="1"/>
  <c r="H121" i="65"/>
  <c r="AD121" i="94" s="1"/>
  <c r="D122" i="65"/>
  <c r="R122" i="94" s="1"/>
  <c r="E122" i="65"/>
  <c r="U122" i="94" s="1"/>
  <c r="F122" i="65"/>
  <c r="X122" i="94" s="1"/>
  <c r="G122" i="65"/>
  <c r="AA122" i="94" s="1"/>
  <c r="H122" i="65"/>
  <c r="AD122" i="94" s="1"/>
  <c r="D123" i="65"/>
  <c r="R123" i="94" s="1"/>
  <c r="E123" i="65"/>
  <c r="U123" i="94" s="1"/>
  <c r="F123" i="65"/>
  <c r="X123" i="94" s="1"/>
  <c r="G123" i="65"/>
  <c r="AA123" i="94" s="1"/>
  <c r="H123" i="65"/>
  <c r="AD123" i="94" s="1"/>
  <c r="D124" i="65"/>
  <c r="R124" i="94" s="1"/>
  <c r="E124" i="65"/>
  <c r="U124" i="94" s="1"/>
  <c r="F124" i="65"/>
  <c r="X124" i="94" s="1"/>
  <c r="G124" i="65"/>
  <c r="AA124" i="94" s="1"/>
  <c r="H124" i="65"/>
  <c r="AD124" i="94" s="1"/>
  <c r="D125" i="65"/>
  <c r="R125" i="94" s="1"/>
  <c r="E125" i="65"/>
  <c r="U125" i="94" s="1"/>
  <c r="F125" i="65"/>
  <c r="X125" i="94" s="1"/>
  <c r="G125" i="65"/>
  <c r="AA125" i="94" s="1"/>
  <c r="H125" i="65"/>
  <c r="AD125" i="94" s="1"/>
  <c r="D126" i="65"/>
  <c r="R126" i="94" s="1"/>
  <c r="E126" i="65"/>
  <c r="U126" i="94" s="1"/>
  <c r="F126" i="65"/>
  <c r="X126" i="94" s="1"/>
  <c r="G126" i="65"/>
  <c r="AA126" i="94" s="1"/>
  <c r="H126" i="65"/>
  <c r="AD126" i="94" s="1"/>
  <c r="D127" i="65"/>
  <c r="R127" i="94" s="1"/>
  <c r="E127" i="65"/>
  <c r="U127" i="94" s="1"/>
  <c r="F127" i="65"/>
  <c r="X127" i="94" s="1"/>
  <c r="G127" i="65"/>
  <c r="AA127" i="94" s="1"/>
  <c r="H127" i="65"/>
  <c r="AD127" i="94" s="1"/>
  <c r="D128" i="65"/>
  <c r="R128" i="94" s="1"/>
  <c r="E128" i="65"/>
  <c r="U128" i="94" s="1"/>
  <c r="F128" i="65"/>
  <c r="X128" i="94" s="1"/>
  <c r="G128" i="65"/>
  <c r="AA128" i="94" s="1"/>
  <c r="H128" i="65"/>
  <c r="AD128" i="94" s="1"/>
  <c r="D129" i="65"/>
  <c r="R129" i="94" s="1"/>
  <c r="E129" i="65"/>
  <c r="U129" i="94" s="1"/>
  <c r="F129" i="65"/>
  <c r="X129" i="94" s="1"/>
  <c r="G129" i="65"/>
  <c r="AA129" i="94" s="1"/>
  <c r="H129" i="65"/>
  <c r="AD129" i="94" s="1"/>
  <c r="D130" i="65"/>
  <c r="R130" i="94" s="1"/>
  <c r="E130" i="65"/>
  <c r="U130" i="94" s="1"/>
  <c r="F130" i="65"/>
  <c r="X130" i="94" s="1"/>
  <c r="G130" i="65"/>
  <c r="AA130" i="94" s="1"/>
  <c r="H130" i="65"/>
  <c r="AD130" i="94" s="1"/>
  <c r="D131" i="65"/>
  <c r="R131" i="94" s="1"/>
  <c r="E131" i="65"/>
  <c r="U131" i="94" s="1"/>
  <c r="F131" i="65"/>
  <c r="X131" i="94" s="1"/>
  <c r="G131" i="65"/>
  <c r="AA131" i="94" s="1"/>
  <c r="H131" i="65"/>
  <c r="AD131" i="94" s="1"/>
  <c r="D132" i="65"/>
  <c r="R132" i="94" s="1"/>
  <c r="E132" i="65"/>
  <c r="U132" i="94" s="1"/>
  <c r="F132" i="65"/>
  <c r="X132" i="94" s="1"/>
  <c r="G132" i="65"/>
  <c r="AA132" i="94" s="1"/>
  <c r="H132" i="65"/>
  <c r="AD132" i="94" s="1"/>
  <c r="D133" i="65"/>
  <c r="R133" i="94" s="1"/>
  <c r="E133" i="65"/>
  <c r="U133" i="94" s="1"/>
  <c r="F133" i="65"/>
  <c r="X133" i="94" s="1"/>
  <c r="G133" i="65"/>
  <c r="AA133" i="94" s="1"/>
  <c r="H133" i="65"/>
  <c r="AD133" i="94" s="1"/>
  <c r="D134" i="65"/>
  <c r="R134" i="94" s="1"/>
  <c r="E134" i="65"/>
  <c r="U134" i="94" s="1"/>
  <c r="F134" i="65"/>
  <c r="X134" i="94" s="1"/>
  <c r="G134" i="65"/>
  <c r="AA134" i="94" s="1"/>
  <c r="H134" i="65"/>
  <c r="AD134" i="94" s="1"/>
  <c r="D135" i="65"/>
  <c r="R135" i="94" s="1"/>
  <c r="E135" i="65"/>
  <c r="U135" i="94" s="1"/>
  <c r="F135" i="65"/>
  <c r="X135" i="94" s="1"/>
  <c r="G135" i="65"/>
  <c r="AA135" i="94" s="1"/>
  <c r="H135" i="65"/>
  <c r="AD135" i="94" s="1"/>
  <c r="D136" i="65"/>
  <c r="R136" i="94" s="1"/>
  <c r="E136" i="65"/>
  <c r="U136" i="94" s="1"/>
  <c r="F136" i="65"/>
  <c r="X136" i="94" s="1"/>
  <c r="G136" i="65"/>
  <c r="AA136" i="94" s="1"/>
  <c r="H136" i="65"/>
  <c r="AD136" i="94" s="1"/>
  <c r="D137" i="65"/>
  <c r="R137" i="94" s="1"/>
  <c r="E137" i="65"/>
  <c r="U137" i="94" s="1"/>
  <c r="F137" i="65"/>
  <c r="X137" i="94" s="1"/>
  <c r="G137" i="65"/>
  <c r="AA137" i="94" s="1"/>
  <c r="H137" i="65"/>
  <c r="AD137" i="94" s="1"/>
  <c r="D138" i="65"/>
  <c r="R138" i="94" s="1"/>
  <c r="E138" i="65"/>
  <c r="U138" i="94" s="1"/>
  <c r="F138" i="65"/>
  <c r="X138" i="94" s="1"/>
  <c r="G138" i="65"/>
  <c r="AA138" i="94" s="1"/>
  <c r="H138" i="65"/>
  <c r="AD138" i="94" s="1"/>
  <c r="D139" i="65"/>
  <c r="R139" i="94" s="1"/>
  <c r="E139" i="65"/>
  <c r="U139" i="94" s="1"/>
  <c r="F139" i="65"/>
  <c r="X139" i="94" s="1"/>
  <c r="G139" i="65"/>
  <c r="AA139" i="94" s="1"/>
  <c r="H139" i="65"/>
  <c r="AD139" i="94" s="1"/>
  <c r="D140" i="65"/>
  <c r="R140" i="94" s="1"/>
  <c r="E140" i="65"/>
  <c r="U140" i="94" s="1"/>
  <c r="F140" i="65"/>
  <c r="X140" i="94" s="1"/>
  <c r="G140" i="65"/>
  <c r="AA140" i="94" s="1"/>
  <c r="H140" i="65"/>
  <c r="AD140" i="94" s="1"/>
  <c r="D141" i="65"/>
  <c r="R141" i="94" s="1"/>
  <c r="E141" i="65"/>
  <c r="U141" i="94" s="1"/>
  <c r="F141" i="65"/>
  <c r="X141" i="94" s="1"/>
  <c r="G141" i="65"/>
  <c r="AA141" i="94" s="1"/>
  <c r="H141" i="65"/>
  <c r="AD141" i="94" s="1"/>
  <c r="D142" i="65"/>
  <c r="R142" i="94" s="1"/>
  <c r="E142" i="65"/>
  <c r="U142" i="94" s="1"/>
  <c r="F142" i="65"/>
  <c r="X142" i="94" s="1"/>
  <c r="G142" i="65"/>
  <c r="AA142" i="94" s="1"/>
  <c r="H142" i="65"/>
  <c r="AD142" i="94" s="1"/>
  <c r="D143" i="65"/>
  <c r="R143" i="94" s="1"/>
  <c r="E143" i="65"/>
  <c r="U143" i="94" s="1"/>
  <c r="F143" i="65"/>
  <c r="X143" i="94" s="1"/>
  <c r="G143" i="65"/>
  <c r="AA143" i="94" s="1"/>
  <c r="H143" i="65"/>
  <c r="AD143" i="94" s="1"/>
  <c r="D144" i="65"/>
  <c r="R144" i="94" s="1"/>
  <c r="E144" i="65"/>
  <c r="U144" i="94" s="1"/>
  <c r="F144" i="65"/>
  <c r="X144" i="94" s="1"/>
  <c r="G144" i="65"/>
  <c r="AA144" i="94" s="1"/>
  <c r="H144" i="65"/>
  <c r="AD144" i="94" s="1"/>
  <c r="D145" i="65"/>
  <c r="R145" i="94" s="1"/>
  <c r="E145" i="65"/>
  <c r="U145" i="94" s="1"/>
  <c r="F145" i="65"/>
  <c r="X145" i="94" s="1"/>
  <c r="G145" i="65"/>
  <c r="AA145" i="94" s="1"/>
  <c r="H145" i="65"/>
  <c r="AD145" i="94" s="1"/>
  <c r="D146" i="65"/>
  <c r="R146" i="94" s="1"/>
  <c r="E146" i="65"/>
  <c r="U146" i="94" s="1"/>
  <c r="F146" i="65"/>
  <c r="X146" i="94" s="1"/>
  <c r="G146" i="65"/>
  <c r="AA146" i="94" s="1"/>
  <c r="H146" i="65"/>
  <c r="AD146" i="94" s="1"/>
  <c r="D147" i="65"/>
  <c r="R147" i="94" s="1"/>
  <c r="E147" i="65"/>
  <c r="U147" i="94" s="1"/>
  <c r="F147" i="65"/>
  <c r="X147" i="94" s="1"/>
  <c r="G147" i="65"/>
  <c r="AA147" i="94" s="1"/>
  <c r="H147" i="65"/>
  <c r="AD147" i="94" s="1"/>
  <c r="D148" i="65"/>
  <c r="R148" i="94" s="1"/>
  <c r="E148" i="65"/>
  <c r="U148" i="94" s="1"/>
  <c r="F148" i="65"/>
  <c r="X148" i="94" s="1"/>
  <c r="G148" i="65"/>
  <c r="AA148" i="94" s="1"/>
  <c r="H148" i="65"/>
  <c r="AD148" i="94" s="1"/>
  <c r="D149" i="65"/>
  <c r="R149" i="94" s="1"/>
  <c r="E149" i="65"/>
  <c r="U149" i="94" s="1"/>
  <c r="F149" i="65"/>
  <c r="X149" i="94" s="1"/>
  <c r="G149" i="65"/>
  <c r="AA149" i="94" s="1"/>
  <c r="H149" i="65"/>
  <c r="AD149" i="94" s="1"/>
  <c r="D150" i="65"/>
  <c r="R150" i="94" s="1"/>
  <c r="E150" i="65"/>
  <c r="U150" i="94" s="1"/>
  <c r="F150" i="65"/>
  <c r="X150" i="94" s="1"/>
  <c r="G150" i="65"/>
  <c r="AA150" i="94" s="1"/>
  <c r="H150" i="65"/>
  <c r="AD150" i="94" s="1"/>
  <c r="D151" i="65"/>
  <c r="R151" i="94" s="1"/>
  <c r="E151" i="65"/>
  <c r="U151" i="94" s="1"/>
  <c r="F151" i="65"/>
  <c r="X151" i="94" s="1"/>
  <c r="G151" i="65"/>
  <c r="AA151" i="94" s="1"/>
  <c r="H151" i="65"/>
  <c r="AD151" i="94" s="1"/>
  <c r="D152" i="65"/>
  <c r="R152" i="94" s="1"/>
  <c r="E152" i="65"/>
  <c r="U152" i="94" s="1"/>
  <c r="F152" i="65"/>
  <c r="X152" i="94" s="1"/>
  <c r="G152" i="65"/>
  <c r="AA152" i="94" s="1"/>
  <c r="H152" i="65"/>
  <c r="AD152" i="94" s="1"/>
  <c r="D153" i="65"/>
  <c r="R153" i="94" s="1"/>
  <c r="E153" i="65"/>
  <c r="U153" i="94" s="1"/>
  <c r="F153" i="65"/>
  <c r="X153" i="94" s="1"/>
  <c r="G153" i="65"/>
  <c r="AA153" i="94" s="1"/>
  <c r="H153" i="65"/>
  <c r="AD153" i="94" s="1"/>
  <c r="D154" i="65"/>
  <c r="R154" i="94" s="1"/>
  <c r="E154" i="65"/>
  <c r="U154" i="94" s="1"/>
  <c r="F154" i="65"/>
  <c r="X154" i="94" s="1"/>
  <c r="G154" i="65"/>
  <c r="AA154" i="94" s="1"/>
  <c r="H154" i="65"/>
  <c r="AD154" i="94" s="1"/>
  <c r="D155" i="65"/>
  <c r="R155" i="94" s="1"/>
  <c r="E155" i="65"/>
  <c r="U155" i="94" s="1"/>
  <c r="F155" i="65"/>
  <c r="X155" i="94" s="1"/>
  <c r="G155" i="65"/>
  <c r="AA155" i="94" s="1"/>
  <c r="H155" i="65"/>
  <c r="AD155" i="94" s="1"/>
  <c r="D156" i="65"/>
  <c r="R156" i="94" s="1"/>
  <c r="E156" i="65"/>
  <c r="U156" i="94" s="1"/>
  <c r="F156" i="65"/>
  <c r="X156" i="94" s="1"/>
  <c r="G156" i="65"/>
  <c r="AA156" i="94" s="1"/>
  <c r="H156" i="65"/>
  <c r="AD156" i="94" s="1"/>
  <c r="D157" i="65"/>
  <c r="R157" i="94" s="1"/>
  <c r="E157" i="65"/>
  <c r="U157" i="94" s="1"/>
  <c r="F157" i="65"/>
  <c r="X157" i="94" s="1"/>
  <c r="G157" i="65"/>
  <c r="AA157" i="94" s="1"/>
  <c r="H157" i="65"/>
  <c r="AD157" i="94" s="1"/>
  <c r="D158" i="65"/>
  <c r="R158" i="94" s="1"/>
  <c r="E158" i="65"/>
  <c r="U158" i="94" s="1"/>
  <c r="F158" i="65"/>
  <c r="X158" i="94" s="1"/>
  <c r="G158" i="65"/>
  <c r="AA158" i="94" s="1"/>
  <c r="H158" i="65"/>
  <c r="AD158" i="94" s="1"/>
  <c r="D159" i="65"/>
  <c r="R159" i="94" s="1"/>
  <c r="E159" i="65"/>
  <c r="U159" i="94" s="1"/>
  <c r="F159" i="65"/>
  <c r="X159" i="94" s="1"/>
  <c r="G159" i="65"/>
  <c r="AA159" i="94" s="1"/>
  <c r="H159" i="65"/>
  <c r="AD159" i="94" s="1"/>
  <c r="D160" i="65"/>
  <c r="R160" i="94" s="1"/>
  <c r="E160" i="65"/>
  <c r="U160" i="94" s="1"/>
  <c r="F160" i="65"/>
  <c r="X160" i="94" s="1"/>
  <c r="G160" i="65"/>
  <c r="AA160" i="94" s="1"/>
  <c r="H160" i="65"/>
  <c r="AD160" i="94" s="1"/>
  <c r="D161" i="65"/>
  <c r="R161" i="94" s="1"/>
  <c r="E161" i="65"/>
  <c r="U161" i="94" s="1"/>
  <c r="F161" i="65"/>
  <c r="X161" i="94" s="1"/>
  <c r="G161" i="65"/>
  <c r="AA161" i="94" s="1"/>
  <c r="H161" i="65"/>
  <c r="AD161" i="94" s="1"/>
  <c r="D162" i="65"/>
  <c r="R162" i="94" s="1"/>
  <c r="E162" i="65"/>
  <c r="F162" i="65"/>
  <c r="X162" i="94" s="1"/>
  <c r="G162" i="65"/>
  <c r="AA162" i="94" s="1"/>
  <c r="H162" i="65"/>
  <c r="AD162" i="94" s="1"/>
  <c r="D163" i="65"/>
  <c r="R163" i="94" s="1"/>
  <c r="E163" i="65"/>
  <c r="U163" i="94" s="1"/>
  <c r="F163" i="65"/>
  <c r="X163" i="94" s="1"/>
  <c r="G163" i="65"/>
  <c r="AA163" i="94" s="1"/>
  <c r="H163" i="65"/>
  <c r="AD163" i="94" s="1"/>
  <c r="D164" i="65"/>
  <c r="R164" i="94" s="1"/>
  <c r="E164" i="65"/>
  <c r="U164" i="94" s="1"/>
  <c r="F164" i="65"/>
  <c r="X164" i="94" s="1"/>
  <c r="G164" i="65"/>
  <c r="AA164" i="94" s="1"/>
  <c r="H164" i="65"/>
  <c r="AD164" i="94" s="1"/>
  <c r="Z164" i="93"/>
  <c r="Z117" i="93"/>
  <c r="Z25" i="93"/>
  <c r="AA112" i="93"/>
  <c r="Z187" i="93"/>
  <c r="Z216" i="93"/>
  <c r="AB189" i="93"/>
  <c r="AA111" i="93"/>
  <c r="Z127" i="93"/>
  <c r="AA158" i="93"/>
  <c r="AA73" i="93"/>
  <c r="AF96" i="93"/>
  <c r="AB54" i="93"/>
  <c r="AA130" i="93"/>
  <c r="Z53" i="93"/>
  <c r="AB188" i="93"/>
  <c r="Z82" i="93"/>
  <c r="Z121" i="93"/>
  <c r="Z147" i="93"/>
  <c r="Z28" i="93"/>
  <c r="Z198" i="93"/>
  <c r="AF12" i="93"/>
  <c r="AF101" i="93"/>
  <c r="AF54" i="93"/>
  <c r="Z110" i="93"/>
  <c r="Z70" i="93"/>
  <c r="Z160" i="93"/>
  <c r="Z141" i="93"/>
  <c r="Z161" i="93"/>
  <c r="AB102" i="93"/>
  <c r="Z113" i="93"/>
  <c r="Z197" i="93"/>
  <c r="AA117" i="93"/>
  <c r="AA87" i="93"/>
  <c r="AA64" i="93"/>
  <c r="AF97" i="93"/>
  <c r="Z190" i="93"/>
  <c r="AA169" i="93"/>
  <c r="Z72" i="93"/>
  <c r="AB55" i="93"/>
  <c r="AA163" i="93"/>
  <c r="AA216" i="93"/>
  <c r="Z167" i="93"/>
  <c r="Z212" i="93"/>
  <c r="Z56" i="93"/>
  <c r="Z9" i="93"/>
  <c r="Z221" i="93"/>
  <c r="Z122" i="93"/>
  <c r="Z109" i="93"/>
  <c r="Z74" i="93"/>
  <c r="AA119" i="93"/>
  <c r="AA212" i="93"/>
  <c r="AA160" i="93"/>
  <c r="AF55" i="93"/>
  <c r="AA81" i="93"/>
  <c r="Z66" i="93"/>
  <c r="AA204" i="93"/>
  <c r="AB6" i="93"/>
  <c r="AF11" i="93"/>
  <c r="AA203" i="93"/>
  <c r="Z156" i="93"/>
  <c r="AA173" i="93"/>
  <c r="Z7" i="93"/>
  <c r="Z152" i="93"/>
  <c r="AA165" i="93"/>
  <c r="AA21" i="93"/>
  <c r="Z134" i="93"/>
  <c r="AA156" i="93"/>
  <c r="AA86" i="93"/>
  <c r="Z195" i="93"/>
  <c r="Z105" i="93"/>
  <c r="Z126" i="93"/>
  <c r="AA79" i="93"/>
  <c r="AA161" i="93"/>
  <c r="Z143" i="93"/>
  <c r="Z62" i="93"/>
  <c r="AB146" i="93"/>
  <c r="AA22" i="93"/>
  <c r="AF56" i="93"/>
  <c r="AA207" i="93"/>
  <c r="AA170" i="93"/>
  <c r="Z97" i="93"/>
  <c r="Z35" i="93"/>
  <c r="Z192" i="93"/>
  <c r="AA210" i="93"/>
  <c r="Z168" i="93"/>
  <c r="AB99" i="93"/>
  <c r="AA76" i="93"/>
  <c r="Z217" i="93"/>
  <c r="AF141" i="93"/>
  <c r="Z61" i="93"/>
  <c r="AF143" i="93"/>
  <c r="AA28" i="93"/>
  <c r="Z22" i="93"/>
  <c r="AA82" i="93"/>
  <c r="Z172" i="93"/>
  <c r="AA78" i="93"/>
  <c r="AA84" i="93"/>
  <c r="Z118" i="93"/>
  <c r="Z24" i="93"/>
  <c r="AA217" i="93"/>
  <c r="Z23" i="93"/>
  <c r="AA224" i="93"/>
  <c r="Z125" i="93"/>
  <c r="Z191" i="93"/>
  <c r="AA122" i="93"/>
  <c r="Z80" i="93"/>
  <c r="Z123" i="93"/>
  <c r="Z100" i="93"/>
  <c r="Z36" i="93"/>
  <c r="AA115" i="93"/>
  <c r="AA40" i="93"/>
  <c r="Z145" i="93"/>
  <c r="Z44" i="93"/>
  <c r="Z166" i="93"/>
  <c r="AB11" i="93"/>
  <c r="Z201" i="93"/>
  <c r="Z157" i="93"/>
  <c r="Z211" i="93"/>
  <c r="Z67" i="93"/>
  <c r="AA174" i="93"/>
  <c r="Z119" i="93"/>
  <c r="AA172" i="93"/>
  <c r="Z68" i="93"/>
  <c r="AB96" i="93"/>
  <c r="AA199" i="93"/>
  <c r="Z111" i="93"/>
  <c r="Z33" i="93"/>
  <c r="Z177" i="93"/>
  <c r="Z17" i="93"/>
  <c r="Z43" i="93"/>
  <c r="Z210" i="93"/>
  <c r="AA171" i="93"/>
  <c r="Z162" i="93"/>
  <c r="Z10" i="93"/>
  <c r="AB100" i="93"/>
  <c r="AA41" i="93"/>
  <c r="Z108" i="93"/>
  <c r="Z169" i="93"/>
  <c r="Z124" i="93"/>
  <c r="Z60" i="93"/>
  <c r="AA205" i="93"/>
  <c r="AA69" i="93"/>
  <c r="Z77" i="93"/>
  <c r="AA177" i="93"/>
  <c r="Z120" i="93"/>
  <c r="Z27" i="93"/>
  <c r="AB8" i="93"/>
  <c r="AF98" i="93"/>
  <c r="Z16" i="93"/>
  <c r="Z213" i="93"/>
  <c r="Z13" i="93"/>
  <c r="Z71" i="93"/>
  <c r="AA134" i="93"/>
  <c r="AB101" i="93"/>
  <c r="Z106" i="93"/>
  <c r="Z38" i="93"/>
  <c r="AA116" i="93"/>
  <c r="Z165" i="93"/>
  <c r="Z142" i="93"/>
  <c r="AF52" i="93"/>
  <c r="Z149" i="93"/>
  <c r="Z14" i="93"/>
  <c r="Z171" i="93"/>
  <c r="Z205" i="93"/>
  <c r="AA30" i="93"/>
  <c r="Z41" i="93"/>
  <c r="Z86" i="93"/>
  <c r="AA215" i="93"/>
  <c r="AB147" i="93"/>
  <c r="AA109" i="93"/>
  <c r="AA176" i="93"/>
  <c r="AA164" i="93"/>
  <c r="Z18" i="93"/>
  <c r="AA208" i="93"/>
  <c r="Z200" i="93"/>
  <c r="AA113" i="93"/>
  <c r="Z174" i="93"/>
  <c r="Z146" i="93"/>
  <c r="AA42" i="93"/>
  <c r="Z193" i="93"/>
  <c r="AB98" i="93"/>
  <c r="Z78" i="93"/>
  <c r="AA80" i="93"/>
  <c r="AA202" i="93"/>
  <c r="AA71" i="93"/>
  <c r="AA131" i="93"/>
  <c r="AA175" i="93"/>
  <c r="AA162" i="93"/>
  <c r="AA128" i="93"/>
  <c r="Z87" i="93"/>
  <c r="AB141" i="93"/>
  <c r="AF187" i="93"/>
  <c r="AF100" i="93"/>
  <c r="AA178" i="93"/>
  <c r="Z88" i="93"/>
  <c r="AA35" i="93"/>
  <c r="AF53" i="93"/>
  <c r="Z203" i="93"/>
  <c r="AA89" i="93"/>
  <c r="AF190" i="93"/>
  <c r="Z37" i="93"/>
  <c r="Z15" i="93"/>
  <c r="AA118" i="93"/>
  <c r="AA83" i="93"/>
  <c r="Z196" i="93"/>
  <c r="Z170" i="93"/>
  <c r="AF51" i="93"/>
  <c r="Z69" i="93"/>
  <c r="Z75" i="93"/>
  <c r="AB143" i="93"/>
  <c r="Z64" i="93"/>
  <c r="AF8" i="93"/>
  <c r="Z89" i="93"/>
  <c r="Z133" i="93"/>
  <c r="AA77" i="93"/>
  <c r="AA213" i="93"/>
  <c r="Z20" i="93"/>
  <c r="AA220" i="93"/>
  <c r="Z224" i="93"/>
  <c r="Z130" i="93"/>
  <c r="AA209" i="93"/>
  <c r="AA157" i="93"/>
  <c r="AF7" i="93"/>
  <c r="Z58" i="93"/>
  <c r="Z132" i="93"/>
  <c r="Z219" i="93"/>
  <c r="AA19" i="93"/>
  <c r="Z54" i="93"/>
  <c r="AF102" i="93"/>
  <c r="AF188" i="93"/>
  <c r="Z199" i="93"/>
  <c r="AA126" i="93"/>
  <c r="AA124" i="93"/>
  <c r="AB52" i="93"/>
  <c r="AA222" i="93"/>
  <c r="AA44" i="93"/>
  <c r="Z52" i="93"/>
  <c r="AB187" i="93"/>
  <c r="Z59" i="93"/>
  <c r="AB144" i="93"/>
  <c r="Z204" i="93"/>
  <c r="Z11" i="93"/>
  <c r="Z30" i="93"/>
  <c r="AB190" i="93"/>
  <c r="AB97" i="93"/>
  <c r="AB186" i="93"/>
  <c r="Z150" i="93"/>
  <c r="Z206" i="93"/>
  <c r="Z176" i="93"/>
  <c r="Z83" i="93"/>
  <c r="AA68" i="93"/>
  <c r="Z163" i="93"/>
  <c r="Z222" i="93"/>
  <c r="Z76" i="93"/>
  <c r="AF6" i="93"/>
  <c r="AA155" i="93"/>
  <c r="Z81" i="93"/>
  <c r="AB142" i="93"/>
  <c r="Z73" i="93"/>
  <c r="AA36" i="93"/>
  <c r="Z104" i="93"/>
  <c r="Z115" i="93"/>
  <c r="Z34" i="93"/>
  <c r="AA75" i="93"/>
  <c r="AA121" i="93"/>
  <c r="Z202" i="93"/>
  <c r="AF186" i="93"/>
  <c r="Z98" i="93"/>
  <c r="AB192" i="93"/>
  <c r="Z19" i="93"/>
  <c r="Z12" i="93"/>
  <c r="Z208" i="93"/>
  <c r="AA67" i="93"/>
  <c r="Z55" i="93"/>
  <c r="Z128" i="93"/>
  <c r="Z65" i="93"/>
  <c r="Z103" i="93"/>
  <c r="AA32" i="93"/>
  <c r="Z207" i="93"/>
  <c r="AA168" i="93"/>
  <c r="AF146" i="93"/>
  <c r="AF142" i="93"/>
  <c r="Z116" i="93"/>
  <c r="AA166" i="93"/>
  <c r="AF10" i="93"/>
  <c r="AA154" i="93"/>
  <c r="AA125" i="93"/>
  <c r="Z79" i="93"/>
  <c r="AA33" i="93"/>
  <c r="AF145" i="93"/>
  <c r="AA72" i="93"/>
  <c r="Z26" i="93"/>
  <c r="AF192" i="93"/>
  <c r="AA179" i="93"/>
  <c r="AA24" i="93"/>
  <c r="AA23" i="93"/>
  <c r="AF57" i="93"/>
  <c r="Z99" i="93"/>
  <c r="AA34" i="93"/>
  <c r="AA159" i="93"/>
  <c r="AA29" i="93"/>
  <c r="AA219" i="93"/>
  <c r="Z186" i="93"/>
  <c r="AF99" i="93"/>
  <c r="AA223" i="93"/>
  <c r="AA114" i="93"/>
  <c r="AB57" i="93"/>
  <c r="AA26" i="93"/>
  <c r="AF191" i="93"/>
  <c r="AA221" i="93"/>
  <c r="AA123" i="93"/>
  <c r="AA31" i="93"/>
  <c r="Z40" i="93"/>
  <c r="Z194" i="93"/>
  <c r="AB10" i="93"/>
  <c r="Z179" i="93"/>
  <c r="Z57" i="93"/>
  <c r="Z131" i="93"/>
  <c r="AA88" i="93"/>
  <c r="AB56" i="93"/>
  <c r="Z189" i="93"/>
  <c r="Z42" i="93"/>
  <c r="Z102" i="93"/>
  <c r="AA133" i="93"/>
  <c r="AA120" i="93"/>
  <c r="Z173" i="93"/>
  <c r="Z8" i="93"/>
  <c r="Z85" i="93"/>
  <c r="Z114" i="93"/>
  <c r="AA218" i="93"/>
  <c r="Z159" i="93"/>
  <c r="Z32" i="93"/>
  <c r="Z155" i="93"/>
  <c r="Z223" i="93"/>
  <c r="Z158" i="93"/>
  <c r="Z220" i="93"/>
  <c r="AA25" i="93"/>
  <c r="AA38" i="93"/>
  <c r="Z144" i="93"/>
  <c r="AA66" i="93"/>
  <c r="AA37" i="93"/>
  <c r="AB53" i="93"/>
  <c r="Z178" i="93"/>
  <c r="AA200" i="93"/>
  <c r="AA201" i="93"/>
  <c r="AA211" i="93"/>
  <c r="Z153" i="93"/>
  <c r="Z148" i="93"/>
  <c r="Z209" i="93"/>
  <c r="Z215" i="93"/>
  <c r="Z175" i="93"/>
  <c r="AF147" i="93"/>
  <c r="AA167" i="93"/>
  <c r="Z218" i="93"/>
  <c r="AA43" i="93"/>
  <c r="Z214" i="93"/>
  <c r="AB12" i="93"/>
  <c r="AA127" i="93"/>
  <c r="AA20" i="93"/>
  <c r="AA214" i="93"/>
  <c r="Z129" i="93"/>
  <c r="AA65" i="93"/>
  <c r="AB145" i="93"/>
  <c r="Z31" i="93"/>
  <c r="Z21" i="93"/>
  <c r="AA39" i="93"/>
  <c r="AA206" i="93"/>
  <c r="AF9" i="93"/>
  <c r="AA70" i="93"/>
  <c r="AA27" i="93"/>
  <c r="Z63" i="93"/>
  <c r="AB7" i="93"/>
  <c r="AB191" i="93"/>
  <c r="Z188" i="93"/>
  <c r="AB51" i="93"/>
  <c r="Z154" i="93"/>
  <c r="Z101" i="93"/>
  <c r="Z107" i="93"/>
  <c r="AB9" i="93"/>
  <c r="AA129" i="93"/>
  <c r="Z151" i="93"/>
  <c r="Z39" i="93"/>
  <c r="AF189" i="93"/>
  <c r="AA110" i="93"/>
  <c r="Z29" i="93"/>
  <c r="Z84" i="93"/>
  <c r="Z112" i="93"/>
  <c r="AA74" i="93"/>
  <c r="AA132" i="93"/>
  <c r="AA85" i="93"/>
  <c r="AF144" i="93"/>
  <c r="G10" i="94" l="1"/>
  <c r="L162" i="65"/>
  <c r="U162" i="94"/>
  <c r="N162" i="65"/>
  <c r="K162" i="65"/>
  <c r="O161" i="65"/>
  <c r="K164" i="65"/>
  <c r="M141" i="65"/>
  <c r="N161" i="65"/>
  <c r="M160" i="65"/>
  <c r="L159" i="65"/>
  <c r="M154" i="65"/>
  <c r="N149" i="65"/>
  <c r="M148" i="65"/>
  <c r="N143" i="65"/>
  <c r="M142" i="65"/>
  <c r="N137" i="65"/>
  <c r="M136" i="65"/>
  <c r="N131" i="65"/>
  <c r="M130" i="65"/>
  <c r="N125" i="65"/>
  <c r="M124" i="65"/>
  <c r="M118" i="65"/>
  <c r="AK84" i="65"/>
  <c r="AH81" i="65"/>
  <c r="AK78" i="65"/>
  <c r="AJ59" i="65"/>
  <c r="O158" i="65"/>
  <c r="M144" i="65"/>
  <c r="M132" i="65"/>
  <c r="N115" i="65"/>
  <c r="AI58" i="65"/>
  <c r="AL84" i="65"/>
  <c r="AK83" i="65"/>
  <c r="AJ82" i="65"/>
  <c r="AI81" i="65"/>
  <c r="AL78" i="65"/>
  <c r="AK77" i="65"/>
  <c r="AI75" i="65"/>
  <c r="AJ64" i="65"/>
  <c r="O164" i="65"/>
  <c r="N163" i="65"/>
  <c r="L160" i="65"/>
  <c r="K159" i="65"/>
  <c r="N156" i="65"/>
  <c r="L154" i="65"/>
  <c r="K153" i="65"/>
  <c r="L148" i="65"/>
  <c r="K147" i="65"/>
  <c r="K141" i="65"/>
  <c r="L136" i="65"/>
  <c r="K135" i="65"/>
  <c r="K129" i="65"/>
  <c r="L124" i="65"/>
  <c r="K123" i="65"/>
  <c r="L118" i="65"/>
  <c r="K117" i="65"/>
  <c r="AL55" i="65"/>
  <c r="L150" i="65"/>
  <c r="L132" i="65"/>
  <c r="M163" i="65"/>
  <c r="AI84" i="65"/>
  <c r="AL82" i="65"/>
  <c r="AI78" i="65"/>
  <c r="AI55" i="65"/>
  <c r="AK65" i="65"/>
  <c r="AI63" i="65"/>
  <c r="AL60" i="65"/>
  <c r="AK59" i="65"/>
  <c r="AI56" i="65"/>
  <c r="AL59" i="65"/>
  <c r="AK57" i="65"/>
  <c r="AJ77" i="65"/>
  <c r="AI76" i="65"/>
  <c r="AH75" i="65"/>
  <c r="AK72" i="65"/>
  <c r="AI70" i="65"/>
  <c r="AH69" i="65"/>
  <c r="AK66" i="65"/>
  <c r="AH63" i="65"/>
  <c r="AK60" i="65"/>
  <c r="AL80" i="65"/>
  <c r="AK80" i="65"/>
  <c r="AI77" i="65"/>
  <c r="AI74" i="65"/>
  <c r="AH68" i="65"/>
  <c r="AL57" i="65"/>
  <c r="AK56" i="65"/>
  <c r="M164" i="65"/>
  <c r="N116" i="65"/>
  <c r="M115" i="65"/>
  <c r="AH84" i="65"/>
  <c r="AK81" i="65"/>
  <c r="AH78" i="65"/>
  <c r="AL74" i="65"/>
  <c r="AL62" i="65"/>
  <c r="AK62" i="65"/>
  <c r="AI57" i="65"/>
  <c r="L164" i="65"/>
  <c r="L157" i="65"/>
  <c r="K156" i="65"/>
  <c r="L151" i="65"/>
  <c r="K150" i="65"/>
  <c r="L145" i="65"/>
  <c r="K144" i="65"/>
  <c r="L139" i="65"/>
  <c r="K138" i="65"/>
  <c r="L133" i="65"/>
  <c r="K132" i="65"/>
  <c r="L127" i="65"/>
  <c r="K126" i="65"/>
  <c r="L121" i="65"/>
  <c r="K120" i="65"/>
  <c r="AL75" i="65"/>
  <c r="AK74" i="65"/>
  <c r="AI66" i="65"/>
  <c r="AL63" i="65"/>
  <c r="AI60" i="65"/>
  <c r="AI59" i="65"/>
  <c r="AH57" i="65"/>
  <c r="AL77" i="65"/>
  <c r="AK75" i="65"/>
  <c r="AJ74" i="65"/>
  <c r="AI73" i="65"/>
  <c r="AH72" i="65"/>
  <c r="AI67" i="65"/>
  <c r="AH66" i="65"/>
  <c r="AK63" i="65"/>
  <c r="AH60" i="65"/>
  <c r="AL56" i="65"/>
  <c r="AL68" i="65"/>
  <c r="N164" i="65"/>
  <c r="O157" i="65"/>
  <c r="O151" i="65"/>
  <c r="O145" i="65"/>
  <c r="O139" i="65"/>
  <c r="O133" i="65"/>
  <c r="O127" i="65"/>
  <c r="O121" i="65"/>
  <c r="N119" i="65"/>
  <c r="AL83" i="65"/>
  <c r="AK82" i="65"/>
  <c r="AJ80" i="65"/>
  <c r="AI79" i="65"/>
  <c r="AL73" i="65"/>
  <c r="AK71" i="65"/>
  <c r="AI69" i="65"/>
  <c r="AL65" i="65"/>
  <c r="AJ62" i="65"/>
  <c r="AI61" i="65"/>
  <c r="AH58" i="65"/>
  <c r="AH55" i="65"/>
  <c r="AI71" i="65"/>
  <c r="AK67" i="65"/>
  <c r="M157" i="65"/>
  <c r="O154" i="65"/>
  <c r="N152" i="65"/>
  <c r="M151" i="65"/>
  <c r="O148" i="65"/>
  <c r="N146" i="65"/>
  <c r="M145" i="65"/>
  <c r="O142" i="65"/>
  <c r="N140" i="65"/>
  <c r="M139" i="65"/>
  <c r="O136" i="65"/>
  <c r="N134" i="65"/>
  <c r="M133" i="65"/>
  <c r="O130" i="65"/>
  <c r="N128" i="65"/>
  <c r="M127" i="65"/>
  <c r="O124" i="65"/>
  <c r="N122" i="65"/>
  <c r="M121" i="65"/>
  <c r="AI83" i="65"/>
  <c r="AI72" i="65"/>
  <c r="AI65" i="65"/>
  <c r="AH65" i="65"/>
  <c r="AJ56" i="65"/>
  <c r="L158" i="65"/>
  <c r="O155" i="65"/>
  <c r="O149" i="65"/>
  <c r="O143" i="65"/>
  <c r="AJ79" i="65"/>
  <c r="AI68" i="65"/>
  <c r="AH77" i="65"/>
  <c r="AI80" i="65"/>
  <c r="L161" i="65"/>
  <c r="O152" i="65"/>
  <c r="O146" i="65"/>
  <c r="O128" i="65"/>
  <c r="AJ83" i="65"/>
  <c r="AI82" i="65"/>
  <c r="AI64" i="65"/>
  <c r="N158" i="65"/>
  <c r="O116" i="65"/>
  <c r="AK68" i="65"/>
  <c r="N159" i="65"/>
  <c r="N160" i="65"/>
  <c r="M159" i="65"/>
  <c r="O118" i="65"/>
  <c r="AK69" i="65"/>
  <c r="AI62" i="65"/>
  <c r="N157" i="65"/>
  <c r="O140" i="65"/>
  <c r="O134" i="65"/>
  <c r="O122" i="65"/>
  <c r="AJ66" i="65"/>
  <c r="O137" i="65"/>
  <c r="O131" i="65"/>
  <c r="O125" i="65"/>
  <c r="O119" i="65"/>
  <c r="AL71" i="65"/>
  <c r="N151" i="65"/>
  <c r="N142" i="65"/>
  <c r="N136" i="65"/>
  <c r="N127" i="65"/>
  <c r="N124" i="65"/>
  <c r="N118" i="65"/>
  <c r="AH80" i="65"/>
  <c r="AJ69" i="65"/>
  <c r="M150" i="65"/>
  <c r="M138" i="65"/>
  <c r="M135" i="65"/>
  <c r="M123" i="65"/>
  <c r="M120" i="65"/>
  <c r="AH82" i="65"/>
  <c r="AJ72" i="65"/>
  <c r="L153" i="65"/>
  <c r="L147" i="65"/>
  <c r="L142" i="65"/>
  <c r="L141" i="65"/>
  <c r="L130" i="65"/>
  <c r="L129" i="65"/>
  <c r="L123" i="65"/>
  <c r="L117" i="65"/>
  <c r="AK58" i="65"/>
  <c r="AK55" i="65"/>
  <c r="K158" i="65"/>
  <c r="K155" i="65"/>
  <c r="K152" i="65"/>
  <c r="K149" i="65"/>
  <c r="K146" i="65"/>
  <c r="K143" i="65"/>
  <c r="K140" i="65"/>
  <c r="K137" i="65"/>
  <c r="K134" i="65"/>
  <c r="K131" i="65"/>
  <c r="K128" i="65"/>
  <c r="K125" i="65"/>
  <c r="K122" i="65"/>
  <c r="K119" i="65"/>
  <c r="K116" i="65"/>
  <c r="AK79" i="65"/>
  <c r="AJ76" i="65"/>
  <c r="AH71" i="65"/>
  <c r="AL67" i="65"/>
  <c r="AK61" i="65"/>
  <c r="AJ58" i="65"/>
  <c r="AJ55" i="65"/>
  <c r="N155" i="65"/>
  <c r="N154" i="65"/>
  <c r="N148" i="65"/>
  <c r="N145" i="65"/>
  <c r="N139" i="65"/>
  <c r="N133" i="65"/>
  <c r="N130" i="65"/>
  <c r="N121" i="65"/>
  <c r="AK70" i="65"/>
  <c r="AJ67" i="65"/>
  <c r="AH61" i="65"/>
  <c r="K161" i="65"/>
  <c r="M156" i="65"/>
  <c r="M153" i="65"/>
  <c r="M147" i="65"/>
  <c r="M129" i="65"/>
  <c r="M126" i="65"/>
  <c r="M117" i="65"/>
  <c r="AK73" i="65"/>
  <c r="AJ70" i="65"/>
  <c r="O163" i="65"/>
  <c r="L156" i="65"/>
  <c r="L144" i="65"/>
  <c r="L138" i="65"/>
  <c r="L135" i="65"/>
  <c r="L126" i="65"/>
  <c r="L120" i="65"/>
  <c r="L115" i="65"/>
  <c r="AK76" i="65"/>
  <c r="AJ73" i="65"/>
  <c r="L163" i="65"/>
  <c r="M162" i="65"/>
  <c r="O160" i="65"/>
  <c r="O115" i="65"/>
  <c r="AH74" i="65"/>
  <c r="AL70" i="65"/>
  <c r="AK64" i="65"/>
  <c r="AJ61" i="65"/>
  <c r="AJ84" i="65"/>
  <c r="AH83" i="65"/>
  <c r="AJ81" i="65"/>
  <c r="AL79" i="65"/>
  <c r="AJ78" i="65"/>
  <c r="AL76" i="65"/>
  <c r="AJ75" i="65"/>
  <c r="AL64" i="65"/>
  <c r="AJ63" i="65"/>
  <c r="AH62" i="65"/>
  <c r="AL61" i="65"/>
  <c r="AJ60" i="65"/>
  <c r="AH59" i="65"/>
  <c r="AL58" i="65"/>
  <c r="AJ57" i="65"/>
  <c r="AH56" i="65"/>
  <c r="AL81" i="65"/>
  <c r="AH79" i="65"/>
  <c r="AH76" i="65"/>
  <c r="AH73" i="65"/>
  <c r="AL72" i="65"/>
  <c r="AJ71" i="65"/>
  <c r="AH70" i="65"/>
  <c r="AL69" i="65"/>
  <c r="AJ68" i="65"/>
  <c r="AH67" i="65"/>
  <c r="AL66" i="65"/>
  <c r="AJ65" i="65"/>
  <c r="AH64" i="65"/>
  <c r="K163" i="65"/>
  <c r="O162" i="65"/>
  <c r="M161" i="65"/>
  <c r="K160" i="65"/>
  <c r="O159" i="65"/>
  <c r="M158" i="65"/>
  <c r="K157" i="65"/>
  <c r="O156" i="65"/>
  <c r="M155" i="65"/>
  <c r="K154" i="65"/>
  <c r="O153" i="65"/>
  <c r="M152" i="65"/>
  <c r="K151" i="65"/>
  <c r="O150" i="65"/>
  <c r="M149" i="65"/>
  <c r="K148" i="65"/>
  <c r="O147" i="65"/>
  <c r="M146" i="65"/>
  <c r="K145" i="65"/>
  <c r="O144" i="65"/>
  <c r="M143" i="65"/>
  <c r="K142" i="65"/>
  <c r="O141" i="65"/>
  <c r="M140" i="65"/>
  <c r="K139" i="65"/>
  <c r="O138" i="65"/>
  <c r="M137" i="65"/>
  <c r="K136" i="65"/>
  <c r="O135" i="65"/>
  <c r="M134" i="65"/>
  <c r="K133" i="65"/>
  <c r="O132" i="65"/>
  <c r="M131" i="65"/>
  <c r="K130" i="65"/>
  <c r="O129" i="65"/>
  <c r="M128" i="65"/>
  <c r="K127" i="65"/>
  <c r="O126" i="65"/>
  <c r="M125" i="65"/>
  <c r="K124" i="65"/>
  <c r="O123" i="65"/>
  <c r="M122" i="65"/>
  <c r="K121" i="65"/>
  <c r="O120" i="65"/>
  <c r="M119" i="65"/>
  <c r="K118" i="65"/>
  <c r="O117" i="65"/>
  <c r="M116" i="65"/>
  <c r="K115" i="65"/>
  <c r="L155" i="65"/>
  <c r="N153" i="65"/>
  <c r="L152" i="65"/>
  <c r="N150" i="65"/>
  <c r="L149" i="65"/>
  <c r="N147" i="65"/>
  <c r="L146" i="65"/>
  <c r="N144" i="65"/>
  <c r="L143" i="65"/>
  <c r="N141" i="65"/>
  <c r="L140" i="65"/>
  <c r="N138" i="65"/>
  <c r="L137" i="65"/>
  <c r="N135" i="65"/>
  <c r="L134" i="65"/>
  <c r="N132" i="65"/>
  <c r="L131" i="65"/>
  <c r="N129" i="65"/>
  <c r="L128" i="65"/>
  <c r="N126" i="65"/>
  <c r="L125" i="65"/>
  <c r="N123" i="65"/>
  <c r="L122" i="65"/>
  <c r="N120" i="65"/>
  <c r="L119" i="65"/>
  <c r="N117" i="65"/>
  <c r="L116" i="65"/>
  <c r="BM87" i="65" l="1"/>
  <c r="BN87" i="65"/>
  <c r="BO87" i="65"/>
  <c r="BP87" i="65"/>
  <c r="BQ87" i="65"/>
  <c r="BM88" i="65"/>
  <c r="BN88" i="65"/>
  <c r="BO88" i="65"/>
  <c r="BP88" i="65"/>
  <c r="BQ88" i="65"/>
  <c r="BM89" i="65"/>
  <c r="BN89" i="65"/>
  <c r="BO89" i="65"/>
  <c r="BP89" i="65"/>
  <c r="BQ89" i="65"/>
  <c r="BM90" i="65"/>
  <c r="BN90" i="65"/>
  <c r="BO90" i="65"/>
  <c r="BP90" i="65"/>
  <c r="BQ90" i="65"/>
  <c r="BM91" i="65"/>
  <c r="BN91" i="65"/>
  <c r="BO91" i="65"/>
  <c r="BP91" i="65"/>
  <c r="BQ91" i="65"/>
  <c r="BM92" i="65"/>
  <c r="BN92" i="65"/>
  <c r="BO92" i="65"/>
  <c r="BP92" i="65"/>
  <c r="BQ92" i="65"/>
  <c r="BM93" i="65"/>
  <c r="BN93" i="65"/>
  <c r="BO93" i="65"/>
  <c r="BP93" i="65"/>
  <c r="BQ93" i="65"/>
  <c r="BM94" i="65"/>
  <c r="BN94" i="65"/>
  <c r="BO94" i="65"/>
  <c r="BP94" i="65"/>
  <c r="BQ94" i="65"/>
  <c r="BM95" i="65"/>
  <c r="BN95" i="65"/>
  <c r="BO95" i="65"/>
  <c r="BP95" i="65"/>
  <c r="BQ95" i="65"/>
  <c r="BM96" i="65"/>
  <c r="BN96" i="65"/>
  <c r="BO96" i="65"/>
  <c r="BP96" i="65"/>
  <c r="BQ96" i="65"/>
  <c r="BM97" i="65"/>
  <c r="BN97" i="65"/>
  <c r="BO97" i="65"/>
  <c r="BP97" i="65"/>
  <c r="BQ97" i="65"/>
  <c r="BM98" i="65"/>
  <c r="BN98" i="65"/>
  <c r="BO98" i="65"/>
  <c r="BP98" i="65"/>
  <c r="BQ98" i="65"/>
  <c r="BM99" i="65"/>
  <c r="BN99" i="65"/>
  <c r="BO99" i="65"/>
  <c r="BP99" i="65"/>
  <c r="BQ99" i="65"/>
  <c r="BM100" i="65"/>
  <c r="BN100" i="65"/>
  <c r="BO100" i="65"/>
  <c r="BP100" i="65"/>
  <c r="BQ100" i="65"/>
  <c r="BM101" i="65"/>
  <c r="BN101" i="65"/>
  <c r="BO101" i="65"/>
  <c r="BP101" i="65"/>
  <c r="BQ101" i="65"/>
  <c r="BM102" i="65"/>
  <c r="BN102" i="65"/>
  <c r="BO102" i="65"/>
  <c r="BP102" i="65"/>
  <c r="BQ102" i="65"/>
  <c r="BM103" i="65"/>
  <c r="BN103" i="65"/>
  <c r="BO103" i="65"/>
  <c r="BP103" i="65"/>
  <c r="BQ103" i="65"/>
  <c r="BM7" i="65"/>
  <c r="BN7" i="65"/>
  <c r="BO7" i="65"/>
  <c r="BP7" i="65"/>
  <c r="BQ7" i="65"/>
  <c r="BM8" i="65"/>
  <c r="BN8" i="65"/>
  <c r="BO8" i="65"/>
  <c r="BP8" i="65"/>
  <c r="BQ8" i="65"/>
  <c r="BM9" i="65"/>
  <c r="BN9" i="65"/>
  <c r="BO9" i="65"/>
  <c r="BP9" i="65"/>
  <c r="BQ9" i="65"/>
  <c r="BM10" i="65"/>
  <c r="BN10" i="65"/>
  <c r="BO10" i="65"/>
  <c r="BP10" i="65"/>
  <c r="BQ10" i="65"/>
  <c r="BM11" i="65"/>
  <c r="BN11" i="65"/>
  <c r="BO11" i="65"/>
  <c r="BP11" i="65"/>
  <c r="BQ11" i="65"/>
  <c r="BM12" i="65"/>
  <c r="BN12" i="65"/>
  <c r="BO12" i="65"/>
  <c r="BP12" i="65"/>
  <c r="BQ12" i="65"/>
  <c r="BM13" i="65"/>
  <c r="BN13" i="65"/>
  <c r="BO13" i="65"/>
  <c r="BP13" i="65"/>
  <c r="BQ13" i="65"/>
  <c r="BM14" i="65"/>
  <c r="BN14" i="65"/>
  <c r="BO14" i="65"/>
  <c r="BP14" i="65"/>
  <c r="BQ14" i="65"/>
  <c r="BM15" i="65"/>
  <c r="BN15" i="65"/>
  <c r="BO15" i="65"/>
  <c r="BP15" i="65"/>
  <c r="BQ15" i="65"/>
  <c r="BM16" i="65"/>
  <c r="BN16" i="65"/>
  <c r="BO16" i="65"/>
  <c r="BP16" i="65"/>
  <c r="BQ16" i="65"/>
  <c r="BM17" i="65"/>
  <c r="BN17" i="65"/>
  <c r="BO17" i="65"/>
  <c r="BP17" i="65"/>
  <c r="BQ17" i="65"/>
  <c r="BM18" i="65"/>
  <c r="BN18" i="65"/>
  <c r="BO18" i="65"/>
  <c r="BP18" i="65"/>
  <c r="BQ18" i="65"/>
  <c r="BM19" i="65"/>
  <c r="BN19" i="65"/>
  <c r="BO19" i="65"/>
  <c r="BP19" i="65"/>
  <c r="BQ19" i="65"/>
  <c r="BM20" i="65"/>
  <c r="BN20" i="65"/>
  <c r="BO20" i="65"/>
  <c r="BP20" i="65"/>
  <c r="BQ20" i="65"/>
  <c r="BM21" i="65"/>
  <c r="BN21" i="65"/>
  <c r="BO21" i="65"/>
  <c r="BP21" i="65"/>
  <c r="BQ21" i="65"/>
  <c r="BM22" i="65"/>
  <c r="BN22" i="65"/>
  <c r="BO22" i="65"/>
  <c r="BP22" i="65"/>
  <c r="BQ22" i="65"/>
  <c r="BM23" i="65"/>
  <c r="BN23" i="65"/>
  <c r="BO23" i="65"/>
  <c r="BP23" i="65"/>
  <c r="BQ23" i="65"/>
  <c r="BM24" i="65"/>
  <c r="BN24" i="65"/>
  <c r="BO24" i="65"/>
  <c r="BP24" i="65"/>
  <c r="BQ24" i="65"/>
  <c r="BM25" i="65"/>
  <c r="BN25" i="65"/>
  <c r="BO25" i="65"/>
  <c r="BP25" i="65"/>
  <c r="BQ25" i="65"/>
  <c r="BM26" i="65"/>
  <c r="BN26" i="65"/>
  <c r="BO26" i="65"/>
  <c r="BP26" i="65"/>
  <c r="BQ26" i="65"/>
  <c r="BM27" i="65"/>
  <c r="BN27" i="65"/>
  <c r="BO27" i="65"/>
  <c r="BP27" i="65"/>
  <c r="BQ27" i="65"/>
  <c r="BM28" i="65"/>
  <c r="BN28" i="65"/>
  <c r="BO28" i="65"/>
  <c r="BP28" i="65"/>
  <c r="BQ28" i="65"/>
  <c r="BM29" i="65"/>
  <c r="BN29" i="65"/>
  <c r="BO29" i="65"/>
  <c r="BP29" i="65"/>
  <c r="BQ29" i="65"/>
  <c r="BM30" i="65"/>
  <c r="BN30" i="65"/>
  <c r="BO30" i="65"/>
  <c r="BP30" i="65"/>
  <c r="BQ30" i="65"/>
  <c r="BM31" i="65"/>
  <c r="BN31" i="65"/>
  <c r="BO31" i="65"/>
  <c r="BP31" i="65"/>
  <c r="BQ31" i="65"/>
  <c r="BM32" i="65"/>
  <c r="BN32" i="65"/>
  <c r="BO32" i="65"/>
  <c r="BP32" i="65"/>
  <c r="BQ32" i="65"/>
  <c r="BM33" i="65"/>
  <c r="BN33" i="65"/>
  <c r="BO33" i="65"/>
  <c r="BP33" i="65"/>
  <c r="BQ33" i="65"/>
  <c r="BM34" i="65"/>
  <c r="BN34" i="65"/>
  <c r="BO34" i="65"/>
  <c r="BP34" i="65"/>
  <c r="BQ34" i="65"/>
  <c r="BM35" i="65"/>
  <c r="BN35" i="65"/>
  <c r="BO35" i="65"/>
  <c r="BP35" i="65"/>
  <c r="BQ35" i="65"/>
  <c r="BM36" i="65"/>
  <c r="BN36" i="65"/>
  <c r="BO36" i="65"/>
  <c r="BP36" i="65"/>
  <c r="BQ36" i="65"/>
  <c r="BM37" i="65"/>
  <c r="BN37" i="65"/>
  <c r="BO37" i="65"/>
  <c r="BP37" i="65"/>
  <c r="BQ37" i="65"/>
  <c r="BM38" i="65"/>
  <c r="BN38" i="65"/>
  <c r="BO38" i="65"/>
  <c r="BP38" i="65"/>
  <c r="BQ38" i="65"/>
  <c r="BM39" i="65"/>
  <c r="BN39" i="65"/>
  <c r="BO39" i="65"/>
  <c r="BP39" i="65"/>
  <c r="BQ39" i="65"/>
  <c r="BM40" i="65"/>
  <c r="BN40" i="65"/>
  <c r="BO40" i="65"/>
  <c r="BP40" i="65"/>
  <c r="BQ40" i="65"/>
  <c r="BM41" i="65"/>
  <c r="BN41" i="65"/>
  <c r="BO41" i="65"/>
  <c r="BP41" i="65"/>
  <c r="BQ41" i="65"/>
  <c r="BM42" i="65"/>
  <c r="BN42" i="65"/>
  <c r="BO42" i="65"/>
  <c r="BP42" i="65"/>
  <c r="BQ42" i="65"/>
  <c r="BM43" i="65"/>
  <c r="BN43" i="65"/>
  <c r="BO43" i="65"/>
  <c r="BP43" i="65"/>
  <c r="BQ43" i="65"/>
  <c r="BM44" i="65"/>
  <c r="BN44" i="65"/>
  <c r="BO44" i="65"/>
  <c r="BP44" i="65"/>
  <c r="BQ44" i="65"/>
  <c r="BM45" i="65"/>
  <c r="BN45" i="65"/>
  <c r="BO45" i="65"/>
  <c r="BP45" i="65"/>
  <c r="BQ45" i="65"/>
  <c r="BM46" i="65"/>
  <c r="BN46" i="65"/>
  <c r="BO46" i="65"/>
  <c r="BP46" i="65"/>
  <c r="BQ46" i="65"/>
  <c r="BM47" i="65"/>
  <c r="BN47" i="65"/>
  <c r="BO47" i="65"/>
  <c r="BP47" i="65"/>
  <c r="BQ47" i="65"/>
  <c r="BM48" i="65"/>
  <c r="BN48" i="65"/>
  <c r="BO48" i="65"/>
  <c r="BP48" i="65"/>
  <c r="BQ48" i="65"/>
  <c r="BM49" i="65"/>
  <c r="BN49" i="65"/>
  <c r="BO49" i="65"/>
  <c r="BP49" i="65"/>
  <c r="BQ49" i="65"/>
  <c r="BM50" i="65"/>
  <c r="BN50" i="65"/>
  <c r="BO50" i="65"/>
  <c r="BP50" i="65"/>
  <c r="BQ50" i="65"/>
  <c r="BM51" i="65"/>
  <c r="BN51" i="65"/>
  <c r="BO51" i="65"/>
  <c r="BP51" i="65"/>
  <c r="BQ51" i="65"/>
  <c r="BM52" i="65"/>
  <c r="BN52" i="65"/>
  <c r="BO52" i="65"/>
  <c r="BP52" i="65"/>
  <c r="BQ52" i="65"/>
  <c r="BM53" i="65"/>
  <c r="BN53" i="65"/>
  <c r="BO53" i="65"/>
  <c r="BP53" i="65"/>
  <c r="BQ53" i="65"/>
  <c r="BM54" i="65"/>
  <c r="BN54" i="65"/>
  <c r="BO54" i="65"/>
  <c r="BP54" i="65"/>
  <c r="BQ54" i="65"/>
  <c r="BM55" i="65"/>
  <c r="BN55" i="65"/>
  <c r="BO55" i="65"/>
  <c r="BP55" i="65"/>
  <c r="BQ55" i="65"/>
  <c r="BM56" i="65"/>
  <c r="BN56" i="65"/>
  <c r="BO56" i="65"/>
  <c r="BP56" i="65"/>
  <c r="BQ56" i="65"/>
  <c r="BM57" i="65"/>
  <c r="BN57" i="65"/>
  <c r="BO57" i="65"/>
  <c r="BP57" i="65"/>
  <c r="BQ57" i="65"/>
  <c r="BM58" i="65"/>
  <c r="BN58" i="65"/>
  <c r="BO58" i="65"/>
  <c r="BP58" i="65"/>
  <c r="BQ58" i="65"/>
  <c r="BM59" i="65"/>
  <c r="BN59" i="65"/>
  <c r="BO59" i="65"/>
  <c r="BP59" i="65"/>
  <c r="BQ59" i="65"/>
  <c r="BM60" i="65"/>
  <c r="BN60" i="65"/>
  <c r="BO60" i="65"/>
  <c r="BP60" i="65"/>
  <c r="BQ60" i="65"/>
  <c r="BM61" i="65"/>
  <c r="BN61" i="65"/>
  <c r="BO61" i="65"/>
  <c r="BP61" i="65"/>
  <c r="BQ61" i="65"/>
  <c r="BM62" i="65"/>
  <c r="BN62" i="65"/>
  <c r="BO62" i="65"/>
  <c r="BP62" i="65"/>
  <c r="BQ62" i="65"/>
  <c r="BM63" i="65"/>
  <c r="BN63" i="65"/>
  <c r="BO63" i="65"/>
  <c r="BP63" i="65"/>
  <c r="BQ63" i="65"/>
  <c r="BM64" i="65"/>
  <c r="BN64" i="65"/>
  <c r="BO64" i="65"/>
  <c r="BP64" i="65"/>
  <c r="BQ64" i="65"/>
  <c r="BM65" i="65"/>
  <c r="BN65" i="65"/>
  <c r="BO65" i="65"/>
  <c r="BP65" i="65"/>
  <c r="BQ65" i="65"/>
  <c r="BM66" i="65"/>
  <c r="BN66" i="65"/>
  <c r="BO66" i="65"/>
  <c r="BP66" i="65"/>
  <c r="BQ66" i="65"/>
  <c r="BM67" i="65"/>
  <c r="BN67" i="65"/>
  <c r="BO67" i="65"/>
  <c r="BP67" i="65"/>
  <c r="BQ67" i="65"/>
  <c r="BM68" i="65"/>
  <c r="BN68" i="65"/>
  <c r="BO68" i="65"/>
  <c r="BP68" i="65"/>
  <c r="BQ68" i="65"/>
  <c r="BM69" i="65"/>
  <c r="BN69" i="65"/>
  <c r="BO69" i="65"/>
  <c r="BP69" i="65"/>
  <c r="BQ69" i="65"/>
  <c r="BM70" i="65"/>
  <c r="BN70" i="65"/>
  <c r="BO70" i="65"/>
  <c r="BP70" i="65"/>
  <c r="BQ70" i="65"/>
  <c r="BM71" i="65"/>
  <c r="BN71" i="65"/>
  <c r="BO71" i="65"/>
  <c r="BP71" i="65"/>
  <c r="BQ71" i="65"/>
  <c r="BM72" i="65"/>
  <c r="BN72" i="65"/>
  <c r="BO72" i="65"/>
  <c r="BP72" i="65"/>
  <c r="BQ72" i="65"/>
  <c r="BM73" i="65"/>
  <c r="BN73" i="65"/>
  <c r="BO73" i="65"/>
  <c r="BP73" i="65"/>
  <c r="BQ73" i="65"/>
  <c r="BM74" i="65"/>
  <c r="BN74" i="65"/>
  <c r="BO74" i="65"/>
  <c r="BP74" i="65"/>
  <c r="BQ74" i="65"/>
  <c r="BM75" i="65"/>
  <c r="BN75" i="65"/>
  <c r="BO75" i="65"/>
  <c r="BP75" i="65"/>
  <c r="BQ75" i="65"/>
  <c r="BM76" i="65"/>
  <c r="BN76" i="65"/>
  <c r="BO76" i="65"/>
  <c r="BP76" i="65"/>
  <c r="BQ76" i="65"/>
  <c r="BM77" i="65"/>
  <c r="BN77" i="65"/>
  <c r="BO77" i="65"/>
  <c r="BP77" i="65"/>
  <c r="BQ77" i="65"/>
  <c r="BM78" i="65"/>
  <c r="BN78" i="65"/>
  <c r="BO78" i="65"/>
  <c r="BP78" i="65"/>
  <c r="BQ78" i="65"/>
  <c r="BM79" i="65"/>
  <c r="BN79" i="65"/>
  <c r="BO79" i="65"/>
  <c r="BP79" i="65"/>
  <c r="BQ79" i="65"/>
  <c r="BM80" i="65"/>
  <c r="BN80" i="65"/>
  <c r="BO80" i="65"/>
  <c r="BP80" i="65"/>
  <c r="BQ80" i="65"/>
  <c r="BM81" i="65"/>
  <c r="BN81" i="65"/>
  <c r="BO81" i="65"/>
  <c r="BP81" i="65"/>
  <c r="BQ81" i="65"/>
  <c r="BM82" i="65"/>
  <c r="BN82" i="65"/>
  <c r="BO82" i="65"/>
  <c r="BP82" i="65"/>
  <c r="BQ82" i="65"/>
  <c r="BM83" i="65"/>
  <c r="BN83" i="65"/>
  <c r="BO83" i="65"/>
  <c r="BP83" i="65"/>
  <c r="BQ83" i="65"/>
  <c r="BM84" i="65"/>
  <c r="BN84" i="65"/>
  <c r="BO84" i="65"/>
  <c r="BP84" i="65"/>
  <c r="BQ84" i="65"/>
  <c r="BM85" i="65"/>
  <c r="BN85" i="65"/>
  <c r="BO85" i="65"/>
  <c r="BP85" i="65"/>
  <c r="BQ85" i="65"/>
  <c r="BM86" i="65"/>
  <c r="BN86" i="65"/>
  <c r="BO86" i="65"/>
  <c r="BP86" i="65"/>
  <c r="BQ86" i="65"/>
  <c r="BM6" i="65"/>
  <c r="BN6" i="65"/>
  <c r="BO6" i="65"/>
  <c r="BP6" i="65"/>
  <c r="BQ6" i="65"/>
  <c r="BN5" i="65"/>
  <c r="BO5" i="65"/>
  <c r="BP5" i="65"/>
  <c r="BQ5" i="65"/>
  <c r="BM5" i="65"/>
  <c r="G11" i="94" l="1"/>
  <c r="T6" i="86"/>
  <c r="U6" i="86"/>
  <c r="V6" i="86"/>
  <c r="W6" i="86"/>
  <c r="G12" i="94" l="1"/>
  <c r="G13" i="94"/>
  <c r="S6" i="86"/>
  <c r="G14" i="94" l="1"/>
  <c r="BH5" i="65"/>
  <c r="BH6" i="65"/>
  <c r="BH7" i="65"/>
  <c r="BH8" i="65"/>
  <c r="BH9" i="65"/>
  <c r="BH10" i="65"/>
  <c r="BH11" i="65"/>
  <c r="BH12" i="65"/>
  <c r="BH13" i="65"/>
  <c r="BH14" i="65"/>
  <c r="BH15" i="65"/>
  <c r="BH16" i="65"/>
  <c r="BH17" i="65"/>
  <c r="BH18" i="65"/>
  <c r="BH19" i="65"/>
  <c r="BH20" i="65"/>
  <c r="BH21" i="65"/>
  <c r="BH22" i="65"/>
  <c r="BH23" i="65"/>
  <c r="BH24" i="65"/>
  <c r="BH25" i="65"/>
  <c r="BH26" i="65"/>
  <c r="BH27" i="65"/>
  <c r="BH28" i="65"/>
  <c r="BH29" i="65"/>
  <c r="BH30" i="65"/>
  <c r="BH31" i="65"/>
  <c r="BH32" i="65"/>
  <c r="BH33" i="65"/>
  <c r="BH34" i="65"/>
  <c r="BH35" i="65"/>
  <c r="BH36" i="65"/>
  <c r="BH37" i="65"/>
  <c r="BH38" i="65"/>
  <c r="BH39" i="65"/>
  <c r="BH40" i="65"/>
  <c r="BH41" i="65"/>
  <c r="BH42" i="65"/>
  <c r="BH43" i="65"/>
  <c r="BH44" i="65"/>
  <c r="BH45" i="65"/>
  <c r="BH46" i="65"/>
  <c r="BH47" i="65"/>
  <c r="BH48" i="65"/>
  <c r="BH49" i="65"/>
  <c r="BH50" i="65"/>
  <c r="BH51" i="65"/>
  <c r="BH52" i="65"/>
  <c r="BH53" i="65"/>
  <c r="G15" i="94" l="1"/>
  <c r="AA6" i="65"/>
  <c r="AB6" i="65"/>
  <c r="AC6" i="65"/>
  <c r="AD6" i="65"/>
  <c r="AE6" i="65"/>
  <c r="AA7" i="65"/>
  <c r="AB7" i="65"/>
  <c r="AC7" i="65"/>
  <c r="AD7" i="65"/>
  <c r="AE7" i="65"/>
  <c r="AA8" i="65"/>
  <c r="AB8" i="65"/>
  <c r="AC8" i="65"/>
  <c r="AD8" i="65"/>
  <c r="AE8" i="65"/>
  <c r="AA9" i="65"/>
  <c r="AB9" i="65"/>
  <c r="AC9" i="65"/>
  <c r="AD9" i="65"/>
  <c r="AE9" i="65"/>
  <c r="AA10" i="65"/>
  <c r="AB10" i="65"/>
  <c r="AC10" i="65"/>
  <c r="AD10" i="65"/>
  <c r="AE10" i="65"/>
  <c r="AA11" i="65"/>
  <c r="AB11" i="65"/>
  <c r="AC11" i="65"/>
  <c r="AD11" i="65"/>
  <c r="AE11" i="65"/>
  <c r="AA12" i="65"/>
  <c r="AB12" i="65"/>
  <c r="AC12" i="65"/>
  <c r="AD12" i="65"/>
  <c r="AE12" i="65"/>
  <c r="AA13" i="65"/>
  <c r="AB13" i="65"/>
  <c r="AC13" i="65"/>
  <c r="AD13" i="65"/>
  <c r="AE13" i="65"/>
  <c r="AA14" i="65"/>
  <c r="AB14" i="65"/>
  <c r="AC14" i="65"/>
  <c r="AD14" i="65"/>
  <c r="AE14" i="65"/>
  <c r="AA15" i="65"/>
  <c r="AB15" i="65"/>
  <c r="AC15" i="65"/>
  <c r="AD15" i="65"/>
  <c r="AE15" i="65"/>
  <c r="AA16" i="65"/>
  <c r="AB16" i="65"/>
  <c r="AC16" i="65"/>
  <c r="AD16" i="65"/>
  <c r="AE16" i="65"/>
  <c r="AA17" i="65"/>
  <c r="AB17" i="65"/>
  <c r="AC17" i="65"/>
  <c r="AD17" i="65"/>
  <c r="AE17" i="65"/>
  <c r="AA18" i="65"/>
  <c r="AB18" i="65"/>
  <c r="AC18" i="65"/>
  <c r="AD18" i="65"/>
  <c r="AE18" i="65"/>
  <c r="AA19" i="65"/>
  <c r="AB19" i="65"/>
  <c r="AC19" i="65"/>
  <c r="AD19" i="65"/>
  <c r="AE19" i="65"/>
  <c r="AA20" i="65"/>
  <c r="AB20" i="65"/>
  <c r="AC20" i="65"/>
  <c r="AD20" i="65"/>
  <c r="AE20" i="65"/>
  <c r="AA21" i="65"/>
  <c r="AB21" i="65"/>
  <c r="AC21" i="65"/>
  <c r="AD21" i="65"/>
  <c r="AE21" i="65"/>
  <c r="AA22" i="65"/>
  <c r="AB22" i="65"/>
  <c r="AC22" i="65"/>
  <c r="AD22" i="65"/>
  <c r="AE22" i="65"/>
  <c r="AA23" i="65"/>
  <c r="AB23" i="65"/>
  <c r="AC23" i="65"/>
  <c r="AD23" i="65"/>
  <c r="AE23" i="65"/>
  <c r="AA24" i="65"/>
  <c r="AB24" i="65"/>
  <c r="AC24" i="65"/>
  <c r="AD24" i="65"/>
  <c r="AE24" i="65"/>
  <c r="AA25" i="65"/>
  <c r="AB25" i="65"/>
  <c r="AC25" i="65"/>
  <c r="AD25" i="65"/>
  <c r="AE25" i="65"/>
  <c r="AA26" i="65"/>
  <c r="AB26" i="65"/>
  <c r="AC26" i="65"/>
  <c r="AD26" i="65"/>
  <c r="AE26" i="65"/>
  <c r="AA27" i="65"/>
  <c r="AB27" i="65"/>
  <c r="AC27" i="65"/>
  <c r="AD27" i="65"/>
  <c r="AE27" i="65"/>
  <c r="AA28" i="65"/>
  <c r="AB28" i="65"/>
  <c r="AC28" i="65"/>
  <c r="AD28" i="65"/>
  <c r="AE28" i="65"/>
  <c r="AA29" i="65"/>
  <c r="AB29" i="65"/>
  <c r="AC29" i="65"/>
  <c r="AD29" i="65"/>
  <c r="AE29" i="65"/>
  <c r="AA30" i="65"/>
  <c r="AB30" i="65"/>
  <c r="AC30" i="65"/>
  <c r="AD30" i="65"/>
  <c r="AE30" i="65"/>
  <c r="AA31" i="65"/>
  <c r="AB31" i="65"/>
  <c r="AC31" i="65"/>
  <c r="AD31" i="65"/>
  <c r="AE31" i="65"/>
  <c r="AA32" i="65"/>
  <c r="AB32" i="65"/>
  <c r="AC32" i="65"/>
  <c r="AD32" i="65"/>
  <c r="AE32" i="65"/>
  <c r="AA33" i="65"/>
  <c r="AB33" i="65"/>
  <c r="AC33" i="65"/>
  <c r="AD33" i="65"/>
  <c r="AE33" i="65"/>
  <c r="AA34" i="65"/>
  <c r="AB34" i="65"/>
  <c r="AC34" i="65"/>
  <c r="AD34" i="65"/>
  <c r="AE34" i="65"/>
  <c r="AA35" i="65"/>
  <c r="AB35" i="65"/>
  <c r="AC35" i="65"/>
  <c r="AD35" i="65"/>
  <c r="AE35" i="65"/>
  <c r="AA36" i="65"/>
  <c r="AB36" i="65"/>
  <c r="AC36" i="65"/>
  <c r="AD36" i="65"/>
  <c r="AE36" i="65"/>
  <c r="AA37" i="65"/>
  <c r="AB37" i="65"/>
  <c r="AC37" i="65"/>
  <c r="AD37" i="65"/>
  <c r="AE37" i="65"/>
  <c r="AA38" i="65"/>
  <c r="AB38" i="65"/>
  <c r="AC38" i="65"/>
  <c r="AD38" i="65"/>
  <c r="AE38" i="65"/>
  <c r="AA39" i="65"/>
  <c r="AB39" i="65"/>
  <c r="AC39" i="65"/>
  <c r="AD39" i="65"/>
  <c r="AE39" i="65"/>
  <c r="AA40" i="65"/>
  <c r="AB40" i="65"/>
  <c r="AC40" i="65"/>
  <c r="AD40" i="65"/>
  <c r="AE40" i="65"/>
  <c r="AA41" i="65"/>
  <c r="AB41" i="65"/>
  <c r="AC41" i="65"/>
  <c r="AD41" i="65"/>
  <c r="AE41" i="65"/>
  <c r="AA42" i="65"/>
  <c r="AB42" i="65"/>
  <c r="AC42" i="65"/>
  <c r="AD42" i="65"/>
  <c r="AE42" i="65"/>
  <c r="AA43" i="65"/>
  <c r="AB43" i="65"/>
  <c r="AC43" i="65"/>
  <c r="AD43" i="65"/>
  <c r="AE43" i="65"/>
  <c r="AA44" i="65"/>
  <c r="AB44" i="65"/>
  <c r="AC44" i="65"/>
  <c r="AD44" i="65"/>
  <c r="AE44" i="65"/>
  <c r="AA45" i="65"/>
  <c r="AB45" i="65"/>
  <c r="AC45" i="65"/>
  <c r="AD45" i="65"/>
  <c r="AE45" i="65"/>
  <c r="AA46" i="65"/>
  <c r="AB46" i="65"/>
  <c r="AC46" i="65"/>
  <c r="AD46" i="65"/>
  <c r="AE46" i="65"/>
  <c r="AA47" i="65"/>
  <c r="AB47" i="65"/>
  <c r="AC47" i="65"/>
  <c r="AD47" i="65"/>
  <c r="AE47" i="65"/>
  <c r="AA48" i="65"/>
  <c r="AB48" i="65"/>
  <c r="AC48" i="65"/>
  <c r="AD48" i="65"/>
  <c r="AE48" i="65"/>
  <c r="AA49" i="65"/>
  <c r="AB49" i="65"/>
  <c r="AC49" i="65"/>
  <c r="AD49" i="65"/>
  <c r="AE49" i="65"/>
  <c r="AA50" i="65"/>
  <c r="AB50" i="65"/>
  <c r="AC50" i="65"/>
  <c r="AD50" i="65"/>
  <c r="AE50" i="65"/>
  <c r="AA51" i="65"/>
  <c r="AB51" i="65"/>
  <c r="AC51" i="65"/>
  <c r="AD51" i="65"/>
  <c r="AE51" i="65"/>
  <c r="AA52" i="65"/>
  <c r="AB52" i="65"/>
  <c r="AC52" i="65"/>
  <c r="AD52" i="65"/>
  <c r="AE52" i="65"/>
  <c r="AA53" i="65"/>
  <c r="AB53" i="65"/>
  <c r="AC53" i="65"/>
  <c r="AD53" i="65"/>
  <c r="AE53" i="65"/>
  <c r="AB5" i="65"/>
  <c r="AC5" i="65"/>
  <c r="AD5" i="65"/>
  <c r="AE5" i="65"/>
  <c r="AA5" i="65"/>
  <c r="G16" i="94" l="1"/>
  <c r="AL54" i="65"/>
  <c r="AK54" i="65"/>
  <c r="AJ54" i="65"/>
  <c r="AI54" i="65"/>
  <c r="AH54" i="65"/>
  <c r="AL5" i="65"/>
  <c r="AK5" i="65"/>
  <c r="AJ5" i="65"/>
  <c r="AI5" i="65"/>
  <c r="AH5" i="65"/>
  <c r="G17" i="94" l="1"/>
  <c r="AK34" i="65"/>
  <c r="AL11" i="65"/>
  <c r="G18" i="94" l="1"/>
  <c r="AI10" i="65"/>
  <c r="AK33" i="65"/>
  <c r="AH12" i="65"/>
  <c r="AK36" i="65"/>
  <c r="AH32" i="65"/>
  <c r="AK31" i="65"/>
  <c r="AJ34" i="65"/>
  <c r="AI40" i="65"/>
  <c r="AJ12" i="65"/>
  <c r="AK53" i="65"/>
  <c r="AJ40" i="65"/>
  <c r="AI31" i="65"/>
  <c r="AJ30" i="65"/>
  <c r="AK28" i="65"/>
  <c r="AH39" i="65"/>
  <c r="AJ31" i="65"/>
  <c r="AH45" i="65"/>
  <c r="AH48" i="65"/>
  <c r="AL45" i="65"/>
  <c r="AL29" i="65"/>
  <c r="AH36" i="65"/>
  <c r="AK37" i="65"/>
  <c r="AK38" i="65"/>
  <c r="AK15" i="65"/>
  <c r="AI51" i="65"/>
  <c r="AH51" i="65"/>
  <c r="AI37" i="65"/>
  <c r="AK35" i="65"/>
  <c r="AJ51" i="65"/>
  <c r="AI12" i="65"/>
  <c r="AH27" i="65"/>
  <c r="AH40" i="65"/>
  <c r="AK41" i="65"/>
  <c r="AI49" i="65"/>
  <c r="AJ42" i="65"/>
  <c r="AI42" i="65"/>
  <c r="AJ49" i="65"/>
  <c r="AK30" i="65"/>
  <c r="AI28" i="65"/>
  <c r="AJ27" i="65"/>
  <c r="AH11" i="65"/>
  <c r="AH31" i="65"/>
  <c r="AI53" i="65"/>
  <c r="AI47" i="65"/>
  <c r="AI34" i="65"/>
  <c r="AJ48" i="65"/>
  <c r="AH42" i="65"/>
  <c r="AL46" i="65"/>
  <c r="AL42" i="65"/>
  <c r="AK51" i="65"/>
  <c r="AH33" i="65"/>
  <c r="AI52" i="65"/>
  <c r="AI46" i="65"/>
  <c r="AJ39" i="65"/>
  <c r="AJ33" i="65"/>
  <c r="AJ53" i="65"/>
  <c r="AJ47" i="65"/>
  <c r="AI33" i="65"/>
  <c r="AI11" i="65"/>
  <c r="AK21" i="65"/>
  <c r="AH35" i="65"/>
  <c r="AK49" i="65"/>
  <c r="AK50" i="65"/>
  <c r="AH41" i="65"/>
  <c r="AL51" i="65"/>
  <c r="AJ36" i="65"/>
  <c r="AI36" i="65"/>
  <c r="AI30" i="65"/>
  <c r="AK12" i="65"/>
  <c r="AH47" i="65"/>
  <c r="AH21" i="65"/>
  <c r="AH53" i="65"/>
  <c r="AK32" i="65"/>
  <c r="AH34" i="65"/>
  <c r="AK52" i="65"/>
  <c r="AL33" i="65"/>
  <c r="AL44" i="65"/>
  <c r="AI44" i="65"/>
  <c r="AH44" i="65"/>
  <c r="AL32" i="65"/>
  <c r="AI45" i="65"/>
  <c r="AJ35" i="65"/>
  <c r="AI41" i="65"/>
  <c r="AI35" i="65"/>
  <c r="AI50" i="65"/>
  <c r="AL37" i="65"/>
  <c r="AL31" i="65"/>
  <c r="AK27" i="65"/>
  <c r="AK19" i="65"/>
  <c r="AJ19" i="65"/>
  <c r="AL12" i="65"/>
  <c r="AI21" i="65"/>
  <c r="AL36" i="65"/>
  <c r="AK17" i="65"/>
  <c r="AI17" i="65"/>
  <c r="AL30" i="65"/>
  <c r="AL50" i="65"/>
  <c r="AL35" i="65"/>
  <c r="AI15" i="65"/>
  <c r="AJ26" i="65"/>
  <c r="AH52" i="65"/>
  <c r="AH15" i="65"/>
  <c r="AK11" i="65"/>
  <c r="AI16" i="65"/>
  <c r="AI6" i="65"/>
  <c r="AK6" i="65"/>
  <c r="AJ6" i="65"/>
  <c r="AH6" i="65"/>
  <c r="AJ32" i="65"/>
  <c r="AL53" i="65"/>
  <c r="AL47" i="65"/>
  <c r="AI32" i="65"/>
  <c r="AI48" i="65"/>
  <c r="AL40" i="65"/>
  <c r="AL34" i="65"/>
  <c r="AJ44" i="65"/>
  <c r="AI29" i="65"/>
  <c r="AK45" i="65"/>
  <c r="AL27" i="65"/>
  <c r="AJ15" i="65"/>
  <c r="AH28" i="65"/>
  <c r="AJ21" i="65"/>
  <c r="AL10" i="65"/>
  <c r="AL21" i="65"/>
  <c r="AK29" i="65"/>
  <c r="AJ13" i="65"/>
  <c r="AL26" i="65"/>
  <c r="AI22" i="65"/>
  <c r="AH22" i="65"/>
  <c r="AH10" i="65"/>
  <c r="G19" i="94" l="1"/>
  <c r="AH13" i="65"/>
  <c r="AH46" i="65"/>
  <c r="AJ50" i="65"/>
  <c r="AH18" i="65"/>
  <c r="AI39" i="65"/>
  <c r="AJ29" i="65"/>
  <c r="AJ22" i="65"/>
  <c r="AI38" i="65"/>
  <c r="AJ38" i="65"/>
  <c r="AK10" i="65"/>
  <c r="AI26" i="65"/>
  <c r="AH37" i="65"/>
  <c r="AI18" i="65"/>
  <c r="AJ45" i="65"/>
  <c r="AJ11" i="65"/>
  <c r="AK22" i="65"/>
  <c r="AI27" i="65"/>
  <c r="AH49" i="65"/>
  <c r="AJ46" i="65"/>
  <c r="AL41" i="65"/>
  <c r="AL52" i="65"/>
  <c r="AJ24" i="65"/>
  <c r="AJ28" i="65"/>
  <c r="AL39" i="65"/>
  <c r="AL38" i="65"/>
  <c r="AL49" i="65"/>
  <c r="AL48" i="65"/>
  <c r="AL28" i="65"/>
  <c r="AH23" i="65"/>
  <c r="AH19" i="65"/>
  <c r="AK20" i="65"/>
  <c r="AJ41" i="65"/>
  <c r="AH38" i="65"/>
  <c r="AL16" i="65"/>
  <c r="AI8" i="65"/>
  <c r="AK16" i="65"/>
  <c r="AK9" i="65"/>
  <c r="AJ20" i="65"/>
  <c r="AK42" i="65"/>
  <c r="AK46" i="65"/>
  <c r="AK47" i="65"/>
  <c r="AI13" i="65"/>
  <c r="AJ10" i="65"/>
  <c r="AJ37" i="65"/>
  <c r="AJ52" i="65"/>
  <c r="AH17" i="65"/>
  <c r="AH30" i="65"/>
  <c r="AK39" i="65"/>
  <c r="AK40" i="65"/>
  <c r="AJ16" i="65"/>
  <c r="AH16" i="65"/>
  <c r="AI19" i="65"/>
  <c r="AI14" i="65"/>
  <c r="AH29" i="65"/>
  <c r="AJ7" i="65"/>
  <c r="AK13" i="65"/>
  <c r="AK24" i="65"/>
  <c r="AJ8" i="65"/>
  <c r="AJ23" i="65"/>
  <c r="AH20" i="65"/>
  <c r="AH50" i="65"/>
  <c r="AI20" i="65"/>
  <c r="AK14" i="65"/>
  <c r="AH8" i="65"/>
  <c r="AL22" i="65"/>
  <c r="AK7" i="65"/>
  <c r="AL19" i="65"/>
  <c r="AH9" i="65"/>
  <c r="AH14" i="65"/>
  <c r="AJ25" i="65"/>
  <c r="AI43" i="65"/>
  <c r="AL24" i="65"/>
  <c r="AK25" i="65"/>
  <c r="AK43" i="65"/>
  <c r="AH24" i="65"/>
  <c r="AH25" i="65"/>
  <c r="AH26" i="65"/>
  <c r="AK26" i="65"/>
  <c r="AJ9" i="65"/>
  <c r="AJ14" i="65"/>
  <c r="AL43" i="65"/>
  <c r="AL23" i="65"/>
  <c r="AL13" i="65"/>
  <c r="AL14" i="65"/>
  <c r="AL17" i="65"/>
  <c r="AH43" i="65"/>
  <c r="AL6" i="65"/>
  <c r="AI9" i="65"/>
  <c r="AL18" i="65"/>
  <c r="AL25" i="65"/>
  <c r="AH7" i="65"/>
  <c r="AK18" i="65"/>
  <c r="AJ43" i="65"/>
  <c r="AI24" i="65"/>
  <c r="AI25" i="65"/>
  <c r="AI7" i="65"/>
  <c r="AL8" i="65"/>
  <c r="AL9" i="65"/>
  <c r="AJ17" i="65"/>
  <c r="AJ18" i="65"/>
  <c r="AK44" i="65"/>
  <c r="AK23" i="65"/>
  <c r="AL7" i="65"/>
  <c r="AL20" i="65"/>
  <c r="AK8" i="65"/>
  <c r="AI23" i="65"/>
  <c r="G20" i="94" l="1"/>
  <c r="H37" i="65"/>
  <c r="AD37" i="94" s="1"/>
  <c r="F98" i="65"/>
  <c r="X98" i="94" s="1"/>
  <c r="F19" i="65"/>
  <c r="X19" i="94" s="1"/>
  <c r="E31" i="65"/>
  <c r="U31" i="94" s="1"/>
  <c r="F79" i="65"/>
  <c r="X79" i="94" s="1"/>
  <c r="E91" i="65"/>
  <c r="U91" i="94" s="1"/>
  <c r="E20" i="65"/>
  <c r="U20" i="94" s="1"/>
  <c r="D44" i="65"/>
  <c r="R44" i="94" s="1"/>
  <c r="F68" i="65"/>
  <c r="X68" i="94" s="1"/>
  <c r="G113" i="65"/>
  <c r="AA113" i="94" s="1"/>
  <c r="H112" i="65"/>
  <c r="AD112" i="94" s="1"/>
  <c r="D111" i="65"/>
  <c r="R111" i="94" s="1"/>
  <c r="F109" i="65"/>
  <c r="X109" i="94" s="1"/>
  <c r="D108" i="65"/>
  <c r="R108" i="94" s="1"/>
  <c r="G107" i="65"/>
  <c r="AA107" i="94" s="1"/>
  <c r="E106" i="65"/>
  <c r="U106" i="94" s="1"/>
  <c r="E103" i="65"/>
  <c r="U103" i="94" s="1"/>
  <c r="H102" i="65"/>
  <c r="AD102" i="94" s="1"/>
  <c r="E101" i="65"/>
  <c r="U101" i="94" s="1"/>
  <c r="H99" i="65"/>
  <c r="AD99" i="94" s="1"/>
  <c r="D98" i="65"/>
  <c r="R98" i="94" s="1"/>
  <c r="D95" i="65"/>
  <c r="R95" i="94" s="1"/>
  <c r="F94" i="65"/>
  <c r="X94" i="94" s="1"/>
  <c r="F93" i="65"/>
  <c r="X93" i="94" s="1"/>
  <c r="D92" i="65"/>
  <c r="R92" i="94" s="1"/>
  <c r="G91" i="65"/>
  <c r="AA91" i="94" s="1"/>
  <c r="E90" i="65"/>
  <c r="U90" i="94" s="1"/>
  <c r="E89" i="65"/>
  <c r="U89" i="94" s="1"/>
  <c r="G88" i="65"/>
  <c r="AA88" i="94" s="1"/>
  <c r="E87" i="65"/>
  <c r="U87" i="94" s="1"/>
  <c r="D85" i="65"/>
  <c r="R85" i="94" s="1"/>
  <c r="H83" i="65"/>
  <c r="AD83" i="94" s="1"/>
  <c r="D82" i="65"/>
  <c r="R82" i="94" s="1"/>
  <c r="D79" i="65"/>
  <c r="R79" i="94" s="1"/>
  <c r="F78" i="65"/>
  <c r="X78" i="94" s="1"/>
  <c r="F77" i="65"/>
  <c r="X77" i="94" s="1"/>
  <c r="E76" i="65"/>
  <c r="U76" i="94" s="1"/>
  <c r="E75" i="65"/>
  <c r="U75" i="94" s="1"/>
  <c r="E74" i="65"/>
  <c r="U74" i="94" s="1"/>
  <c r="D71" i="65"/>
  <c r="R71" i="94" s="1"/>
  <c r="G70" i="65"/>
  <c r="AA70" i="94" s="1"/>
  <c r="G69" i="65"/>
  <c r="AA69" i="94" s="1"/>
  <c r="D68" i="65"/>
  <c r="R68" i="94" s="1"/>
  <c r="G67" i="65"/>
  <c r="AA67" i="94" s="1"/>
  <c r="F66" i="65"/>
  <c r="X66" i="94" s="1"/>
  <c r="H65" i="65"/>
  <c r="AD65" i="94" s="1"/>
  <c r="F63" i="65"/>
  <c r="X63" i="94" s="1"/>
  <c r="H62" i="65"/>
  <c r="AD62" i="94" s="1"/>
  <c r="E60" i="65"/>
  <c r="U60" i="94" s="1"/>
  <c r="E59" i="65"/>
  <c r="U59" i="94" s="1"/>
  <c r="D57" i="65"/>
  <c r="R57" i="94" s="1"/>
  <c r="D55" i="65"/>
  <c r="R55" i="94" s="1"/>
  <c r="G54" i="65"/>
  <c r="AA54" i="94" s="1"/>
  <c r="F53" i="65"/>
  <c r="X53" i="94" s="1"/>
  <c r="D52" i="65"/>
  <c r="R52" i="94" s="1"/>
  <c r="G51" i="65"/>
  <c r="AA51" i="94" s="1"/>
  <c r="F50" i="65"/>
  <c r="X50" i="94" s="1"/>
  <c r="F47" i="65"/>
  <c r="X47" i="94" s="1"/>
  <c r="H46" i="65"/>
  <c r="AD46" i="94" s="1"/>
  <c r="F45" i="65"/>
  <c r="X45" i="94" s="1"/>
  <c r="E44" i="65"/>
  <c r="U44" i="94" s="1"/>
  <c r="E43" i="65"/>
  <c r="U43" i="94" s="1"/>
  <c r="D42" i="65"/>
  <c r="R42" i="94" s="1"/>
  <c r="E41" i="65"/>
  <c r="U41" i="94" s="1"/>
  <c r="H40" i="65"/>
  <c r="AD40" i="94" s="1"/>
  <c r="D39" i="65"/>
  <c r="R39" i="94" s="1"/>
  <c r="G35" i="65"/>
  <c r="AA35" i="94" s="1"/>
  <c r="F34" i="65"/>
  <c r="X34" i="94" s="1"/>
  <c r="D33" i="65"/>
  <c r="R33" i="94" s="1"/>
  <c r="F31" i="65"/>
  <c r="X31" i="94" s="1"/>
  <c r="H30" i="65"/>
  <c r="AD30" i="94" s="1"/>
  <c r="G29" i="65"/>
  <c r="AA29" i="94" s="1"/>
  <c r="E27" i="65"/>
  <c r="U27" i="94" s="1"/>
  <c r="E25" i="65"/>
  <c r="U25" i="94" s="1"/>
  <c r="H24" i="65"/>
  <c r="AD24" i="94" s="1"/>
  <c r="D23" i="65"/>
  <c r="R23" i="94" s="1"/>
  <c r="H21" i="65"/>
  <c r="AD21" i="94" s="1"/>
  <c r="D20" i="65"/>
  <c r="R20" i="94" s="1"/>
  <c r="G19" i="65"/>
  <c r="AA19" i="94" s="1"/>
  <c r="F18" i="65"/>
  <c r="X18" i="94" s="1"/>
  <c r="D17" i="65"/>
  <c r="R17" i="94" s="1"/>
  <c r="F15" i="65"/>
  <c r="X15" i="94" s="1"/>
  <c r="H14" i="65"/>
  <c r="AD14" i="94" s="1"/>
  <c r="G13" i="65"/>
  <c r="AA13" i="94" s="1"/>
  <c r="E11" i="65"/>
  <c r="U11" i="94" s="1"/>
  <c r="E9" i="65"/>
  <c r="U9" i="94" s="1"/>
  <c r="H8" i="65"/>
  <c r="AD8" i="94" s="1"/>
  <c r="D7" i="65"/>
  <c r="R7" i="94" s="1"/>
  <c r="G6" i="65"/>
  <c r="AA6" i="94" s="1"/>
  <c r="G21" i="94" l="1"/>
  <c r="N114" i="65"/>
  <c r="M79" i="65"/>
  <c r="M94" i="65"/>
  <c r="L44" i="65"/>
  <c r="L76" i="65"/>
  <c r="M78" i="65"/>
  <c r="L60" i="65"/>
  <c r="L91" i="65"/>
  <c r="N70" i="65"/>
  <c r="L90" i="65"/>
  <c r="M19" i="65"/>
  <c r="L75" i="65"/>
  <c r="G98" i="65"/>
  <c r="AA98" i="94" s="1"/>
  <c r="G82" i="65"/>
  <c r="AA82" i="94" s="1"/>
  <c r="E66" i="65"/>
  <c r="U66" i="94" s="1"/>
  <c r="E50" i="65"/>
  <c r="U50" i="94" s="1"/>
  <c r="D110" i="65"/>
  <c r="R110" i="94" s="1"/>
  <c r="G110" i="65"/>
  <c r="AA110" i="94" s="1"/>
  <c r="F106" i="65"/>
  <c r="X106" i="94" s="1"/>
  <c r="E102" i="65"/>
  <c r="U102" i="94" s="1"/>
  <c r="H98" i="65"/>
  <c r="AD98" i="94" s="1"/>
  <c r="D94" i="65"/>
  <c r="R94" i="94" s="1"/>
  <c r="G94" i="65"/>
  <c r="AA94" i="94" s="1"/>
  <c r="F90" i="65"/>
  <c r="X90" i="94" s="1"/>
  <c r="E86" i="65"/>
  <c r="U86" i="94" s="1"/>
  <c r="H82" i="65"/>
  <c r="AD82" i="94" s="1"/>
  <c r="D78" i="65"/>
  <c r="R78" i="94" s="1"/>
  <c r="G78" i="65"/>
  <c r="AA78" i="94" s="1"/>
  <c r="G74" i="65"/>
  <c r="AA74" i="94" s="1"/>
  <c r="D70" i="65"/>
  <c r="R70" i="94" s="1"/>
  <c r="G66" i="65"/>
  <c r="AA66" i="94" s="1"/>
  <c r="F62" i="65"/>
  <c r="X62" i="94" s="1"/>
  <c r="E62" i="65"/>
  <c r="U62" i="94" s="1"/>
  <c r="H58" i="65"/>
  <c r="AD58" i="94" s="1"/>
  <c r="D54" i="65"/>
  <c r="R54" i="94" s="1"/>
  <c r="G50" i="65"/>
  <c r="AA50" i="94" s="1"/>
  <c r="F46" i="65"/>
  <c r="X46" i="94" s="1"/>
  <c r="E46" i="65"/>
  <c r="U46" i="94" s="1"/>
  <c r="H42" i="65"/>
  <c r="AD42" i="94" s="1"/>
  <c r="D113" i="65"/>
  <c r="R113" i="94" s="1"/>
  <c r="F105" i="65"/>
  <c r="X105" i="94" s="1"/>
  <c r="H101" i="65"/>
  <c r="AD101" i="94" s="1"/>
  <c r="G93" i="65"/>
  <c r="AA93" i="94" s="1"/>
  <c r="E85" i="65"/>
  <c r="U85" i="94" s="1"/>
  <c r="D49" i="65"/>
  <c r="R49" i="94" s="1"/>
  <c r="G49" i="65"/>
  <c r="AA49" i="94" s="1"/>
  <c r="H53" i="65"/>
  <c r="AD53" i="94" s="1"/>
  <c r="D53" i="65"/>
  <c r="R53" i="94" s="1"/>
  <c r="E57" i="65"/>
  <c r="U57" i="94" s="1"/>
  <c r="H57" i="65"/>
  <c r="AD57" i="94" s="1"/>
  <c r="F61" i="65"/>
  <c r="X61" i="94" s="1"/>
  <c r="G61" i="65"/>
  <c r="AA61" i="94" s="1"/>
  <c r="E61" i="65"/>
  <c r="U61" i="94" s="1"/>
  <c r="D65" i="65"/>
  <c r="R65" i="94" s="1"/>
  <c r="F65" i="65"/>
  <c r="X65" i="94" s="1"/>
  <c r="G65" i="65"/>
  <c r="AA65" i="94" s="1"/>
  <c r="H69" i="65"/>
  <c r="AD69" i="94" s="1"/>
  <c r="D69" i="65"/>
  <c r="R69" i="94" s="1"/>
  <c r="F73" i="65"/>
  <c r="X73" i="94" s="1"/>
  <c r="E73" i="65"/>
  <c r="U73" i="94" s="1"/>
  <c r="H77" i="65"/>
  <c r="AD77" i="94" s="1"/>
  <c r="E77" i="65"/>
  <c r="U77" i="94" s="1"/>
  <c r="D77" i="65"/>
  <c r="R77" i="94" s="1"/>
  <c r="F81" i="65"/>
  <c r="X81" i="94" s="1"/>
  <c r="H81" i="65"/>
  <c r="AD81" i="94" s="1"/>
  <c r="E81" i="65"/>
  <c r="U81" i="94" s="1"/>
  <c r="G85" i="65"/>
  <c r="AA85" i="94" s="1"/>
  <c r="F85" i="65"/>
  <c r="X85" i="94" s="1"/>
  <c r="D89" i="65"/>
  <c r="R89" i="94" s="1"/>
  <c r="G89" i="65"/>
  <c r="AA89" i="94" s="1"/>
  <c r="H93" i="65"/>
  <c r="AD93" i="94" s="1"/>
  <c r="E93" i="65"/>
  <c r="U93" i="94" s="1"/>
  <c r="D93" i="65"/>
  <c r="R93" i="94" s="1"/>
  <c r="F97" i="65"/>
  <c r="X97" i="94" s="1"/>
  <c r="H97" i="65"/>
  <c r="AD97" i="94" s="1"/>
  <c r="E97" i="65"/>
  <c r="U97" i="94" s="1"/>
  <c r="G101" i="65"/>
  <c r="AA101" i="94" s="1"/>
  <c r="F101" i="65"/>
  <c r="X101" i="94" s="1"/>
  <c r="D105" i="65"/>
  <c r="R105" i="94" s="1"/>
  <c r="G105" i="65"/>
  <c r="AA105" i="94" s="1"/>
  <c r="H109" i="65"/>
  <c r="AD109" i="94" s="1"/>
  <c r="E109" i="65"/>
  <c r="U109" i="94" s="1"/>
  <c r="D109" i="65"/>
  <c r="R109" i="94" s="1"/>
  <c r="F113" i="65"/>
  <c r="X113" i="94" s="1"/>
  <c r="H113" i="65"/>
  <c r="AD113" i="94" s="1"/>
  <c r="E113" i="65"/>
  <c r="U113" i="94" s="1"/>
  <c r="E100" i="65"/>
  <c r="U100" i="94" s="1"/>
  <c r="E84" i="65"/>
  <c r="U84" i="94" s="1"/>
  <c r="G68" i="65"/>
  <c r="AA68" i="94" s="1"/>
  <c r="G52" i="65"/>
  <c r="AA52" i="94" s="1"/>
  <c r="G36" i="65"/>
  <c r="AA36" i="94" s="1"/>
  <c r="G20" i="65"/>
  <c r="AA20" i="94" s="1"/>
  <c r="D106" i="65"/>
  <c r="R106" i="94" s="1"/>
  <c r="F102" i="65"/>
  <c r="X102" i="94" s="1"/>
  <c r="H94" i="65"/>
  <c r="AD94" i="94" s="1"/>
  <c r="G90" i="65"/>
  <c r="AA90" i="94" s="1"/>
  <c r="E82" i="65"/>
  <c r="U82" i="94" s="1"/>
  <c r="F74" i="65"/>
  <c r="X74" i="94" s="1"/>
  <c r="H70" i="65"/>
  <c r="AD70" i="94" s="1"/>
  <c r="G62" i="65"/>
  <c r="AA62" i="94" s="1"/>
  <c r="E58" i="65"/>
  <c r="U58" i="94" s="1"/>
  <c r="D50" i="65"/>
  <c r="R50" i="94" s="1"/>
  <c r="F42" i="65"/>
  <c r="X42" i="94" s="1"/>
  <c r="E34" i="65"/>
  <c r="U34" i="94" s="1"/>
  <c r="E18" i="65"/>
  <c r="U18" i="94" s="1"/>
  <c r="H106" i="65"/>
  <c r="AD106" i="94" s="1"/>
  <c r="G102" i="65"/>
  <c r="AA102" i="94" s="1"/>
  <c r="E94" i="65"/>
  <c r="U94" i="94" s="1"/>
  <c r="D86" i="65"/>
  <c r="R86" i="94" s="1"/>
  <c r="F82" i="65"/>
  <c r="X82" i="94" s="1"/>
  <c r="D74" i="65"/>
  <c r="R74" i="94" s="1"/>
  <c r="E70" i="65"/>
  <c r="U70" i="94" s="1"/>
  <c r="D62" i="65"/>
  <c r="R62" i="94" s="1"/>
  <c r="F54" i="65"/>
  <c r="X54" i="94" s="1"/>
  <c r="H50" i="65"/>
  <c r="AD50" i="94" s="1"/>
  <c r="G42" i="65"/>
  <c r="AA42" i="94" s="1"/>
  <c r="D38" i="65"/>
  <c r="R38" i="94" s="1"/>
  <c r="G34" i="65"/>
  <c r="AA34" i="94" s="1"/>
  <c r="F30" i="65"/>
  <c r="X30" i="94" s="1"/>
  <c r="E30" i="65"/>
  <c r="U30" i="94" s="1"/>
  <c r="H26" i="65"/>
  <c r="AD26" i="94" s="1"/>
  <c r="D22" i="65"/>
  <c r="R22" i="94" s="1"/>
  <c r="G18" i="65"/>
  <c r="AA18" i="94" s="1"/>
  <c r="F14" i="65"/>
  <c r="X14" i="94" s="1"/>
  <c r="E14" i="65"/>
  <c r="U14" i="94" s="1"/>
  <c r="H10" i="65"/>
  <c r="AD10" i="94" s="1"/>
  <c r="D6" i="65"/>
  <c r="R6" i="94" s="1"/>
  <c r="H9" i="65"/>
  <c r="AD9" i="94" s="1"/>
  <c r="D9" i="65"/>
  <c r="R9" i="94" s="1"/>
  <c r="F9" i="65"/>
  <c r="X9" i="94" s="1"/>
  <c r="G9" i="65"/>
  <c r="AA9" i="94" s="1"/>
  <c r="E13" i="65"/>
  <c r="U13" i="94" s="1"/>
  <c r="H13" i="65"/>
  <c r="AD13" i="94" s="1"/>
  <c r="D13" i="65"/>
  <c r="R13" i="94" s="1"/>
  <c r="F17" i="65"/>
  <c r="X17" i="94" s="1"/>
  <c r="G17" i="65"/>
  <c r="AA17" i="94" s="1"/>
  <c r="E17" i="65"/>
  <c r="U17" i="94" s="1"/>
  <c r="H17" i="65"/>
  <c r="AD17" i="94" s="1"/>
  <c r="D21" i="65"/>
  <c r="R21" i="94" s="1"/>
  <c r="F21" i="65"/>
  <c r="X21" i="94" s="1"/>
  <c r="G21" i="65"/>
  <c r="AA21" i="94" s="1"/>
  <c r="E21" i="65"/>
  <c r="U21" i="94" s="1"/>
  <c r="H25" i="65"/>
  <c r="AD25" i="94" s="1"/>
  <c r="D25" i="65"/>
  <c r="R25" i="94" s="1"/>
  <c r="F25" i="65"/>
  <c r="X25" i="94" s="1"/>
  <c r="G25" i="65"/>
  <c r="AA25" i="94" s="1"/>
  <c r="E29" i="65"/>
  <c r="U29" i="94" s="1"/>
  <c r="H29" i="65"/>
  <c r="AD29" i="94" s="1"/>
  <c r="D29" i="65"/>
  <c r="R29" i="94" s="1"/>
  <c r="F33" i="65"/>
  <c r="X33" i="94" s="1"/>
  <c r="G33" i="65"/>
  <c r="AA33" i="94" s="1"/>
  <c r="E33" i="65"/>
  <c r="U33" i="94" s="1"/>
  <c r="H33" i="65"/>
  <c r="AD33" i="94" s="1"/>
  <c r="D37" i="65"/>
  <c r="R37" i="94" s="1"/>
  <c r="F37" i="65"/>
  <c r="X37" i="94" s="1"/>
  <c r="G37" i="65"/>
  <c r="AA37" i="94" s="1"/>
  <c r="E37" i="65"/>
  <c r="U37" i="94" s="1"/>
  <c r="H41" i="65"/>
  <c r="AD41" i="94" s="1"/>
  <c r="D41" i="65"/>
  <c r="R41" i="94" s="1"/>
  <c r="F41" i="65"/>
  <c r="X41" i="94" s="1"/>
  <c r="G41" i="65"/>
  <c r="AA41" i="94" s="1"/>
  <c r="E45" i="65"/>
  <c r="U45" i="94" s="1"/>
  <c r="H45" i="65"/>
  <c r="AD45" i="94" s="1"/>
  <c r="D45" i="65"/>
  <c r="R45" i="94" s="1"/>
  <c r="F49" i="65"/>
  <c r="X49" i="94" s="1"/>
  <c r="E49" i="65"/>
  <c r="U49" i="94" s="1"/>
  <c r="H49" i="65"/>
  <c r="AD49" i="94" s="1"/>
  <c r="E53" i="65"/>
  <c r="U53" i="94" s="1"/>
  <c r="G53" i="65"/>
  <c r="AA53" i="94" s="1"/>
  <c r="G57" i="65"/>
  <c r="AA57" i="94" s="1"/>
  <c r="F57" i="65"/>
  <c r="X57" i="94" s="1"/>
  <c r="H61" i="65"/>
  <c r="AD61" i="94" s="1"/>
  <c r="D61" i="65"/>
  <c r="R61" i="94" s="1"/>
  <c r="F69" i="65"/>
  <c r="X69" i="94" s="1"/>
  <c r="E69" i="65"/>
  <c r="U69" i="94" s="1"/>
  <c r="H73" i="65"/>
  <c r="AD73" i="94" s="1"/>
  <c r="D73" i="65"/>
  <c r="R73" i="94" s="1"/>
  <c r="G73" i="65"/>
  <c r="AA73" i="94" s="1"/>
  <c r="D81" i="65"/>
  <c r="R81" i="94" s="1"/>
  <c r="G81" i="65"/>
  <c r="AA81" i="94" s="1"/>
  <c r="H89" i="65"/>
  <c r="AD89" i="94" s="1"/>
  <c r="F89" i="65"/>
  <c r="X89" i="94" s="1"/>
  <c r="D97" i="65"/>
  <c r="R97" i="94" s="1"/>
  <c r="G97" i="65"/>
  <c r="AA97" i="94" s="1"/>
  <c r="H105" i="65"/>
  <c r="AD105" i="94" s="1"/>
  <c r="E105" i="65"/>
  <c r="U105" i="94" s="1"/>
  <c r="E65" i="65"/>
  <c r="U65" i="94" s="1"/>
  <c r="H85" i="65"/>
  <c r="AD85" i="94" s="1"/>
  <c r="F29" i="65"/>
  <c r="X29" i="94" s="1"/>
  <c r="G112" i="65"/>
  <c r="AA112" i="94" s="1"/>
  <c r="G108" i="65"/>
  <c r="AA108" i="94" s="1"/>
  <c r="D104" i="65"/>
  <c r="R104" i="94" s="1"/>
  <c r="D100" i="65"/>
  <c r="R100" i="94" s="1"/>
  <c r="D96" i="65"/>
  <c r="R96" i="94" s="1"/>
  <c r="H92" i="65"/>
  <c r="AD92" i="94" s="1"/>
  <c r="H88" i="65"/>
  <c r="AD88" i="94" s="1"/>
  <c r="H84" i="65"/>
  <c r="AD84" i="94" s="1"/>
  <c r="E80" i="65"/>
  <c r="U80" i="94" s="1"/>
  <c r="G76" i="65"/>
  <c r="AA76" i="94" s="1"/>
  <c r="G72" i="65"/>
  <c r="AA72" i="94" s="1"/>
  <c r="D64" i="65"/>
  <c r="R64" i="94" s="1"/>
  <c r="D60" i="65"/>
  <c r="R60" i="94" s="1"/>
  <c r="D56" i="65"/>
  <c r="R56" i="94" s="1"/>
  <c r="H52" i="65"/>
  <c r="AD52" i="94" s="1"/>
  <c r="H48" i="65"/>
  <c r="AD48" i="94" s="1"/>
  <c r="H44" i="65"/>
  <c r="AD44" i="94" s="1"/>
  <c r="E40" i="65"/>
  <c r="U40" i="94" s="1"/>
  <c r="E36" i="65"/>
  <c r="U36" i="94" s="1"/>
  <c r="E32" i="65"/>
  <c r="U32" i="94" s="1"/>
  <c r="F28" i="65"/>
  <c r="X28" i="94" s="1"/>
  <c r="F24" i="65"/>
  <c r="X24" i="94" s="1"/>
  <c r="F20" i="65"/>
  <c r="X20" i="94" s="1"/>
  <c r="G16" i="65"/>
  <c r="AA16" i="94" s="1"/>
  <c r="G12" i="65"/>
  <c r="AA12" i="94" s="1"/>
  <c r="G8" i="65"/>
  <c r="AA8" i="94" s="1"/>
  <c r="D112" i="65"/>
  <c r="R112" i="94" s="1"/>
  <c r="H108" i="65"/>
  <c r="AD108" i="94" s="1"/>
  <c r="H104" i="65"/>
  <c r="AD104" i="94" s="1"/>
  <c r="H100" i="65"/>
  <c r="AD100" i="94" s="1"/>
  <c r="E96" i="65"/>
  <c r="U96" i="94" s="1"/>
  <c r="E92" i="65"/>
  <c r="U92" i="94" s="1"/>
  <c r="E88" i="65"/>
  <c r="U88" i="94" s="1"/>
  <c r="F80" i="65"/>
  <c r="X80" i="94" s="1"/>
  <c r="D76" i="65"/>
  <c r="R76" i="94" s="1"/>
  <c r="D72" i="65"/>
  <c r="R72" i="94" s="1"/>
  <c r="H68" i="65"/>
  <c r="AD68" i="94" s="1"/>
  <c r="H64" i="65"/>
  <c r="AD64" i="94" s="1"/>
  <c r="H60" i="65"/>
  <c r="AD60" i="94" s="1"/>
  <c r="E56" i="65"/>
  <c r="U56" i="94" s="1"/>
  <c r="E52" i="65"/>
  <c r="U52" i="94" s="1"/>
  <c r="E48" i="65"/>
  <c r="U48" i="94" s="1"/>
  <c r="F44" i="65"/>
  <c r="X44" i="94" s="1"/>
  <c r="F40" i="65"/>
  <c r="X40" i="94" s="1"/>
  <c r="F36" i="65"/>
  <c r="X36" i="94" s="1"/>
  <c r="G32" i="65"/>
  <c r="AA32" i="94" s="1"/>
  <c r="G28" i="65"/>
  <c r="AA28" i="94" s="1"/>
  <c r="G24" i="65"/>
  <c r="AA24" i="94" s="1"/>
  <c r="D16" i="65"/>
  <c r="R16" i="94" s="1"/>
  <c r="D12" i="65"/>
  <c r="R12" i="94" s="1"/>
  <c r="D8" i="65"/>
  <c r="R8" i="94" s="1"/>
  <c r="E112" i="65"/>
  <c r="U112" i="94" s="1"/>
  <c r="E108" i="65"/>
  <c r="U108" i="94" s="1"/>
  <c r="E104" i="65"/>
  <c r="U104" i="94" s="1"/>
  <c r="F96" i="65"/>
  <c r="X96" i="94" s="1"/>
  <c r="F88" i="65"/>
  <c r="X88" i="94" s="1"/>
  <c r="G84" i="65"/>
  <c r="AA84" i="94" s="1"/>
  <c r="G80" i="65"/>
  <c r="AA80" i="94" s="1"/>
  <c r="H76" i="65"/>
  <c r="AD76" i="94" s="1"/>
  <c r="E72" i="65"/>
  <c r="U72" i="94" s="1"/>
  <c r="E68" i="65"/>
  <c r="U68" i="94" s="1"/>
  <c r="E64" i="65"/>
  <c r="U64" i="94" s="1"/>
  <c r="F60" i="65"/>
  <c r="X60" i="94" s="1"/>
  <c r="F56" i="65"/>
  <c r="X56" i="94" s="1"/>
  <c r="F52" i="65"/>
  <c r="X52" i="94" s="1"/>
  <c r="G48" i="65"/>
  <c r="AA48" i="94" s="1"/>
  <c r="G40" i="65"/>
  <c r="AA40" i="94" s="1"/>
  <c r="D32" i="65"/>
  <c r="R32" i="94" s="1"/>
  <c r="D28" i="65"/>
  <c r="R28" i="94" s="1"/>
  <c r="D24" i="65"/>
  <c r="R24" i="94" s="1"/>
  <c r="H20" i="65"/>
  <c r="AD20" i="94" s="1"/>
  <c r="H16" i="65"/>
  <c r="AD16" i="94" s="1"/>
  <c r="H12" i="65"/>
  <c r="AD12" i="94" s="1"/>
  <c r="E8" i="65"/>
  <c r="U8" i="94" s="1"/>
  <c r="F107" i="65"/>
  <c r="X107" i="94" s="1"/>
  <c r="F91" i="65"/>
  <c r="X91" i="94" s="1"/>
  <c r="H75" i="65"/>
  <c r="AD75" i="94" s="1"/>
  <c r="H59" i="65"/>
  <c r="AD59" i="94" s="1"/>
  <c r="H43" i="65"/>
  <c r="AD43" i="94" s="1"/>
  <c r="H27" i="65"/>
  <c r="AD27" i="94" s="1"/>
  <c r="H11" i="65"/>
  <c r="AD11" i="94" s="1"/>
  <c r="G106" i="65"/>
  <c r="AA106" i="94" s="1"/>
  <c r="D90" i="65"/>
  <c r="R90" i="94" s="1"/>
  <c r="H78" i="65"/>
  <c r="AD78" i="94" s="1"/>
  <c r="D66" i="65"/>
  <c r="R66" i="94" s="1"/>
  <c r="H54" i="65"/>
  <c r="AD54" i="94" s="1"/>
  <c r="E42" i="65"/>
  <c r="U42" i="94" s="1"/>
  <c r="D34" i="65"/>
  <c r="R34" i="94" s="1"/>
  <c r="F26" i="65"/>
  <c r="X26" i="94" s="1"/>
  <c r="H22" i="65"/>
  <c r="AD22" i="94" s="1"/>
  <c r="G14" i="65"/>
  <c r="AA14" i="94" s="1"/>
  <c r="E10" i="65"/>
  <c r="U10" i="94" s="1"/>
  <c r="G109" i="65"/>
  <c r="AA109" i="94" s="1"/>
  <c r="F5" i="65"/>
  <c r="X5" i="94" s="1"/>
  <c r="H111" i="65"/>
  <c r="AD111" i="94" s="1"/>
  <c r="D107" i="65"/>
  <c r="R107" i="94" s="1"/>
  <c r="F103" i="65"/>
  <c r="X103" i="94" s="1"/>
  <c r="E99" i="65"/>
  <c r="U99" i="94" s="1"/>
  <c r="H95" i="65"/>
  <c r="AD95" i="94" s="1"/>
  <c r="D91" i="65"/>
  <c r="R91" i="94" s="1"/>
  <c r="G87" i="65"/>
  <c r="AA87" i="94" s="1"/>
  <c r="E83" i="65"/>
  <c r="U83" i="94" s="1"/>
  <c r="H79" i="65"/>
  <c r="AD79" i="94" s="1"/>
  <c r="D75" i="65"/>
  <c r="R75" i="94" s="1"/>
  <c r="E71" i="65"/>
  <c r="U71" i="94" s="1"/>
  <c r="H71" i="65"/>
  <c r="AD71" i="94" s="1"/>
  <c r="D67" i="65"/>
  <c r="R67" i="94" s="1"/>
  <c r="G63" i="65"/>
  <c r="AA63" i="94" s="1"/>
  <c r="F59" i="65"/>
  <c r="X59" i="94" s="1"/>
  <c r="E55" i="65"/>
  <c r="U55" i="94" s="1"/>
  <c r="H55" i="65"/>
  <c r="AD55" i="94" s="1"/>
  <c r="D51" i="65"/>
  <c r="R51" i="94" s="1"/>
  <c r="F43" i="65"/>
  <c r="X43" i="94" s="1"/>
  <c r="E39" i="65"/>
  <c r="U39" i="94" s="1"/>
  <c r="H39" i="65"/>
  <c r="AD39" i="94" s="1"/>
  <c r="D35" i="65"/>
  <c r="R35" i="94" s="1"/>
  <c r="G31" i="65"/>
  <c r="AA31" i="94" s="1"/>
  <c r="F27" i="65"/>
  <c r="X27" i="94" s="1"/>
  <c r="E23" i="65"/>
  <c r="U23" i="94" s="1"/>
  <c r="H23" i="65"/>
  <c r="AD23" i="94" s="1"/>
  <c r="D19" i="65"/>
  <c r="R19" i="94" s="1"/>
  <c r="G15" i="65"/>
  <c r="AA15" i="94" s="1"/>
  <c r="F11" i="65"/>
  <c r="X11" i="94" s="1"/>
  <c r="H7" i="65"/>
  <c r="AD7" i="94" s="1"/>
  <c r="D102" i="65"/>
  <c r="R102" i="94" s="1"/>
  <c r="H90" i="65"/>
  <c r="AD90" i="94" s="1"/>
  <c r="E78" i="65"/>
  <c r="U78" i="94" s="1"/>
  <c r="H66" i="65"/>
  <c r="AD66" i="94" s="1"/>
  <c r="E54" i="65"/>
  <c r="U54" i="94" s="1"/>
  <c r="F38" i="65"/>
  <c r="X38" i="94" s="1"/>
  <c r="H34" i="65"/>
  <c r="AD34" i="94" s="1"/>
  <c r="G26" i="65"/>
  <c r="AA26" i="94" s="1"/>
  <c r="E22" i="65"/>
  <c r="U22" i="94" s="1"/>
  <c r="D14" i="65"/>
  <c r="R14" i="94" s="1"/>
  <c r="F108" i="65"/>
  <c r="X108" i="94" s="1"/>
  <c r="G92" i="65"/>
  <c r="AA92" i="94" s="1"/>
  <c r="F76" i="65"/>
  <c r="X76" i="94" s="1"/>
  <c r="G60" i="65"/>
  <c r="AA60" i="94" s="1"/>
  <c r="D40" i="65"/>
  <c r="R40" i="94" s="1"/>
  <c r="E24" i="65"/>
  <c r="U24" i="94" s="1"/>
  <c r="F8" i="65"/>
  <c r="X8" i="94" s="1"/>
  <c r="G111" i="65"/>
  <c r="AA111" i="94" s="1"/>
  <c r="E107" i="65"/>
  <c r="U107" i="94" s="1"/>
  <c r="D99" i="65"/>
  <c r="R99" i="94" s="1"/>
  <c r="F95" i="65"/>
  <c r="X95" i="94" s="1"/>
  <c r="H87" i="65"/>
  <c r="AD87" i="94" s="1"/>
  <c r="G79" i="65"/>
  <c r="AA79" i="94" s="1"/>
  <c r="G75" i="65"/>
  <c r="AA75" i="94" s="1"/>
  <c r="F67" i="65"/>
  <c r="X67" i="94" s="1"/>
  <c r="H63" i="65"/>
  <c r="AD63" i="94" s="1"/>
  <c r="G55" i="65"/>
  <c r="AA55" i="94" s="1"/>
  <c r="E47" i="65"/>
  <c r="U47" i="94" s="1"/>
  <c r="D43" i="65"/>
  <c r="R43" i="94" s="1"/>
  <c r="F35" i="65"/>
  <c r="X35" i="94" s="1"/>
  <c r="H31" i="65"/>
  <c r="AD31" i="94" s="1"/>
  <c r="G23" i="65"/>
  <c r="AA23" i="94" s="1"/>
  <c r="E15" i="65"/>
  <c r="U15" i="94" s="1"/>
  <c r="D11" i="65"/>
  <c r="R11" i="94" s="1"/>
  <c r="G5" i="65"/>
  <c r="AA5" i="94" s="1"/>
  <c r="H107" i="65"/>
  <c r="AD107" i="94" s="1"/>
  <c r="G99" i="65"/>
  <c r="AA99" i="94" s="1"/>
  <c r="E95" i="65"/>
  <c r="U95" i="94" s="1"/>
  <c r="D87" i="65"/>
  <c r="R87" i="94" s="1"/>
  <c r="F83" i="65"/>
  <c r="X83" i="94" s="1"/>
  <c r="F75" i="65"/>
  <c r="X75" i="94" s="1"/>
  <c r="E67" i="65"/>
  <c r="U67" i="94" s="1"/>
  <c r="D63" i="65"/>
  <c r="R63" i="94" s="1"/>
  <c r="F55" i="65"/>
  <c r="X55" i="94" s="1"/>
  <c r="H51" i="65"/>
  <c r="AD51" i="94" s="1"/>
  <c r="G43" i="65"/>
  <c r="AA43" i="94" s="1"/>
  <c r="E35" i="65"/>
  <c r="U35" i="94" s="1"/>
  <c r="D31" i="65"/>
  <c r="R31" i="94" s="1"/>
  <c r="F23" i="65"/>
  <c r="X23" i="94" s="1"/>
  <c r="H19" i="65"/>
  <c r="AD19" i="94" s="1"/>
  <c r="G11" i="65"/>
  <c r="AA11" i="94" s="1"/>
  <c r="F10" i="65"/>
  <c r="X10" i="94" s="1"/>
  <c r="G10" i="65"/>
  <c r="AA10" i="94" s="1"/>
  <c r="D10" i="65"/>
  <c r="R10" i="94" s="1"/>
  <c r="F22" i="65"/>
  <c r="X22" i="94" s="1"/>
  <c r="G22" i="65"/>
  <c r="AA22" i="94" s="1"/>
  <c r="E26" i="65"/>
  <c r="U26" i="94" s="1"/>
  <c r="D26" i="65"/>
  <c r="R26" i="94" s="1"/>
  <c r="H38" i="65"/>
  <c r="AD38" i="94" s="1"/>
  <c r="E38" i="65"/>
  <c r="U38" i="94" s="1"/>
  <c r="G38" i="65"/>
  <c r="AA38" i="94" s="1"/>
  <c r="F58" i="65"/>
  <c r="X58" i="94" s="1"/>
  <c r="G58" i="65"/>
  <c r="AA58" i="94" s="1"/>
  <c r="D58" i="65"/>
  <c r="R58" i="94" s="1"/>
  <c r="F86" i="65"/>
  <c r="X86" i="94" s="1"/>
  <c r="G86" i="65"/>
  <c r="AA86" i="94" s="1"/>
  <c r="H86" i="65"/>
  <c r="AD86" i="94" s="1"/>
  <c r="H110" i="65"/>
  <c r="AD110" i="94" s="1"/>
  <c r="E110" i="65"/>
  <c r="U110" i="94" s="1"/>
  <c r="F110" i="65"/>
  <c r="X110" i="94" s="1"/>
  <c r="H74" i="65"/>
  <c r="AD74" i="94" s="1"/>
  <c r="G30" i="65"/>
  <c r="AA30" i="94" s="1"/>
  <c r="H6" i="65"/>
  <c r="AD6" i="94" s="1"/>
  <c r="E98" i="65"/>
  <c r="U98" i="94" s="1"/>
  <c r="G46" i="65"/>
  <c r="AA46" i="94" s="1"/>
  <c r="D18" i="65"/>
  <c r="R18" i="94" s="1"/>
  <c r="F12" i="65"/>
  <c r="X12" i="94" s="1"/>
  <c r="E12" i="65"/>
  <c r="U12" i="94" s="1"/>
  <c r="E16" i="65"/>
  <c r="U16" i="94" s="1"/>
  <c r="F16" i="65"/>
  <c r="X16" i="94" s="1"/>
  <c r="H28" i="65"/>
  <c r="AD28" i="94" s="1"/>
  <c r="E28" i="65"/>
  <c r="U28" i="94" s="1"/>
  <c r="H32" i="65"/>
  <c r="AD32" i="94" s="1"/>
  <c r="F32" i="65"/>
  <c r="X32" i="94" s="1"/>
  <c r="H36" i="65"/>
  <c r="AD36" i="94" s="1"/>
  <c r="D36" i="65"/>
  <c r="R36" i="94" s="1"/>
  <c r="D48" i="65"/>
  <c r="R48" i="94" s="1"/>
  <c r="F48" i="65"/>
  <c r="X48" i="94" s="1"/>
  <c r="G56" i="65"/>
  <c r="AA56" i="94" s="1"/>
  <c r="H56" i="65"/>
  <c r="AD56" i="94" s="1"/>
  <c r="G64" i="65"/>
  <c r="AA64" i="94" s="1"/>
  <c r="F64" i="65"/>
  <c r="X64" i="94" s="1"/>
  <c r="F72" i="65"/>
  <c r="X72" i="94" s="1"/>
  <c r="H72" i="65"/>
  <c r="AD72" i="94" s="1"/>
  <c r="D80" i="65"/>
  <c r="R80" i="94" s="1"/>
  <c r="H80" i="65"/>
  <c r="AD80" i="94" s="1"/>
  <c r="D84" i="65"/>
  <c r="R84" i="94" s="1"/>
  <c r="F84" i="65"/>
  <c r="X84" i="94" s="1"/>
  <c r="G96" i="65"/>
  <c r="AA96" i="94" s="1"/>
  <c r="H96" i="65"/>
  <c r="AD96" i="94" s="1"/>
  <c r="G100" i="65"/>
  <c r="AA100" i="94" s="1"/>
  <c r="F100" i="65"/>
  <c r="X100" i="94" s="1"/>
  <c r="F104" i="65"/>
  <c r="X104" i="94" s="1"/>
  <c r="F99" i="65"/>
  <c r="X99" i="94" s="1"/>
  <c r="F39" i="65"/>
  <c r="X39" i="94" s="1"/>
  <c r="E5" i="65"/>
  <c r="U5" i="94" s="1"/>
  <c r="G39" i="65"/>
  <c r="AA39" i="94" s="1"/>
  <c r="E111" i="65"/>
  <c r="U111" i="94" s="1"/>
  <c r="E51" i="65"/>
  <c r="U51" i="94" s="1"/>
  <c r="D15" i="65"/>
  <c r="R15" i="94" s="1"/>
  <c r="F111" i="65"/>
  <c r="X111" i="94" s="1"/>
  <c r="F51" i="65"/>
  <c r="X51" i="94" s="1"/>
  <c r="H15" i="65"/>
  <c r="AD15" i="94" s="1"/>
  <c r="G45" i="65"/>
  <c r="AA45" i="94" s="1"/>
  <c r="D103" i="65"/>
  <c r="R103" i="94" s="1"/>
  <c r="G27" i="65"/>
  <c r="AA27" i="94" s="1"/>
  <c r="E63" i="65"/>
  <c r="U63" i="94" s="1"/>
  <c r="F112" i="65"/>
  <c r="X112" i="94" s="1"/>
  <c r="F70" i="65"/>
  <c r="X70" i="94" s="1"/>
  <c r="D46" i="65"/>
  <c r="R46" i="94" s="1"/>
  <c r="D30" i="65"/>
  <c r="R30" i="94" s="1"/>
  <c r="H18" i="65"/>
  <c r="AD18" i="94" s="1"/>
  <c r="E6" i="65"/>
  <c r="U6" i="94" s="1"/>
  <c r="G95" i="65"/>
  <c r="AA95" i="94" s="1"/>
  <c r="D47" i="65"/>
  <c r="R47" i="94" s="1"/>
  <c r="G71" i="65"/>
  <c r="AA71" i="94" s="1"/>
  <c r="H35" i="65"/>
  <c r="AD35" i="94" s="1"/>
  <c r="G83" i="65"/>
  <c r="AA83" i="94" s="1"/>
  <c r="D101" i="65"/>
  <c r="R101" i="94" s="1"/>
  <c r="D83" i="65"/>
  <c r="R83" i="94" s="1"/>
  <c r="G59" i="65"/>
  <c r="AA59" i="94" s="1"/>
  <c r="G77" i="65"/>
  <c r="AA77" i="94" s="1"/>
  <c r="D59" i="65"/>
  <c r="R59" i="94" s="1"/>
  <c r="E79" i="65"/>
  <c r="U79" i="94" s="1"/>
  <c r="E19" i="65"/>
  <c r="U19" i="94" s="1"/>
  <c r="F13" i="65"/>
  <c r="X13" i="94" s="1"/>
  <c r="D5" i="65"/>
  <c r="R5" i="94" s="1"/>
  <c r="F71" i="65"/>
  <c r="X71" i="94" s="1"/>
  <c r="F7" i="65"/>
  <c r="X7" i="94" s="1"/>
  <c r="H103" i="65"/>
  <c r="AD103" i="94" s="1"/>
  <c r="G7" i="65"/>
  <c r="AA7" i="94" s="1"/>
  <c r="H91" i="65"/>
  <c r="AD91" i="94" s="1"/>
  <c r="H47" i="65"/>
  <c r="AD47" i="94" s="1"/>
  <c r="F92" i="65"/>
  <c r="X92" i="94" s="1"/>
  <c r="G44" i="65"/>
  <c r="AA44" i="94" s="1"/>
  <c r="G103" i="65"/>
  <c r="AA103" i="94" s="1"/>
  <c r="F87" i="65"/>
  <c r="X87" i="94" s="1"/>
  <c r="G47" i="65"/>
  <c r="AA47" i="94" s="1"/>
  <c r="E7" i="65"/>
  <c r="U7" i="94" s="1"/>
  <c r="F6" i="65"/>
  <c r="X6" i="94" s="1"/>
  <c r="G104" i="65"/>
  <c r="AA104" i="94" s="1"/>
  <c r="D27" i="65"/>
  <c r="R27" i="94" s="1"/>
  <c r="D88" i="65"/>
  <c r="R88" i="94" s="1"/>
  <c r="H5" i="65"/>
  <c r="AD5" i="94" s="1"/>
  <c r="H67" i="65"/>
  <c r="AD67" i="94" s="1"/>
  <c r="G22" i="94" l="1"/>
  <c r="L114" i="65"/>
  <c r="O114" i="65"/>
  <c r="K114" i="65"/>
  <c r="M114" i="65"/>
  <c r="K112" i="65"/>
  <c r="M110" i="65"/>
  <c r="N108" i="65"/>
  <c r="O113" i="65"/>
  <c r="K109" i="65"/>
  <c r="L107" i="65"/>
  <c r="O99" i="65"/>
  <c r="O96" i="65"/>
  <c r="K33" i="65"/>
  <c r="L32" i="65"/>
  <c r="O25" i="65"/>
  <c r="M31" i="65"/>
  <c r="M66" i="65"/>
  <c r="M95" i="65"/>
  <c r="N14" i="65"/>
  <c r="L92" i="65"/>
  <c r="L12" i="65"/>
  <c r="N31" i="65"/>
  <c r="M36" i="65"/>
  <c r="O8" i="65"/>
  <c r="K52" i="65"/>
  <c r="K34" i="65"/>
  <c r="L66" i="65"/>
  <c r="N54" i="65"/>
  <c r="O46" i="65"/>
  <c r="O14" i="65"/>
  <c r="K7" i="65"/>
  <c r="L101" i="65"/>
  <c r="K79" i="65"/>
  <c r="K58" i="65"/>
  <c r="M47" i="65"/>
  <c r="K80" i="65"/>
  <c r="M12" i="65"/>
  <c r="N6" i="65"/>
  <c r="K44" i="65"/>
  <c r="L43" i="65"/>
  <c r="L46" i="65"/>
  <c r="M54" i="65"/>
  <c r="M98" i="65"/>
  <c r="L86" i="65"/>
  <c r="M63" i="65"/>
  <c r="L103" i="65"/>
  <c r="L9" i="65"/>
  <c r="O84" i="65"/>
  <c r="N67" i="65"/>
  <c r="K66" i="65"/>
  <c r="M45" i="65"/>
  <c r="N13" i="65"/>
  <c r="N35" i="65"/>
  <c r="L74" i="65"/>
  <c r="L28" i="65"/>
  <c r="O66" i="65"/>
  <c r="L10" i="65"/>
  <c r="K82" i="65"/>
  <c r="K93" i="65"/>
  <c r="L78" i="65"/>
  <c r="O103" i="65"/>
  <c r="N23" i="65"/>
  <c r="O63" i="65"/>
  <c r="K99" i="65"/>
  <c r="O24" i="65"/>
  <c r="N63" i="65"/>
  <c r="N49" i="65"/>
  <c r="K72" i="65"/>
  <c r="K98" i="65"/>
  <c r="M50" i="65"/>
  <c r="M18" i="65"/>
  <c r="N19" i="65"/>
  <c r="N69" i="65"/>
  <c r="O93" i="65"/>
  <c r="L61" i="65"/>
  <c r="L25" i="65"/>
  <c r="K57" i="65"/>
  <c r="N91" i="65"/>
  <c r="L87" i="65"/>
  <c r="K5" i="65"/>
  <c r="L26" i="65"/>
  <c r="K20" i="65"/>
  <c r="L52" i="65"/>
  <c r="O37" i="65"/>
  <c r="M68" i="65"/>
  <c r="O21" i="65"/>
  <c r="O41" i="65"/>
  <c r="M82" i="65"/>
  <c r="K69" i="65"/>
  <c r="K95" i="65"/>
  <c r="K64" i="65"/>
  <c r="K47" i="65"/>
  <c r="L80" i="65"/>
  <c r="O91" i="65"/>
  <c r="N16" i="65"/>
  <c r="N94" i="65"/>
  <c r="M25" i="65"/>
  <c r="L110" i="65"/>
  <c r="K41" i="65"/>
  <c r="M103" i="65"/>
  <c r="L97" i="65"/>
  <c r="N74" i="65"/>
  <c r="K38" i="65"/>
  <c r="N11" i="65"/>
  <c r="O80" i="65"/>
  <c r="L37" i="65"/>
  <c r="M42" i="65"/>
  <c r="M13" i="65"/>
  <c r="O97" i="65"/>
  <c r="L47" i="65"/>
  <c r="L65" i="65"/>
  <c r="K50" i="65"/>
  <c r="K101" i="65"/>
  <c r="N46" i="65"/>
  <c r="O51" i="65"/>
  <c r="O39" i="65"/>
  <c r="M97" i="65"/>
  <c r="N84" i="65"/>
  <c r="O60" i="65"/>
  <c r="L99" i="65"/>
  <c r="M37" i="65"/>
  <c r="N9" i="65"/>
  <c r="K62" i="65"/>
  <c r="K70" i="65"/>
  <c r="N60" i="65"/>
  <c r="L48" i="65"/>
  <c r="O33" i="65"/>
  <c r="N8" i="65"/>
  <c r="M111" i="65"/>
  <c r="O88" i="65"/>
  <c r="O26" i="65"/>
  <c r="N66" i="65"/>
  <c r="L40" i="65"/>
  <c r="M30" i="65"/>
  <c r="L41" i="65"/>
  <c r="K56" i="65"/>
  <c r="K81" i="65"/>
  <c r="M46" i="65"/>
  <c r="K11" i="65"/>
  <c r="K32" i="65"/>
  <c r="N75" i="65"/>
  <c r="N93" i="65"/>
  <c r="M38" i="65"/>
  <c r="N80" i="65"/>
  <c r="L56" i="65"/>
  <c r="O49" i="65"/>
  <c r="O50" i="65"/>
  <c r="M62" i="65"/>
  <c r="K51" i="65"/>
  <c r="L64" i="65"/>
  <c r="M40" i="65"/>
  <c r="O78" i="65"/>
  <c r="M49" i="65"/>
  <c r="O67" i="65"/>
  <c r="L8" i="65"/>
  <c r="L11" i="65"/>
  <c r="O65" i="65"/>
  <c r="N109" i="65"/>
  <c r="M107" i="65"/>
  <c r="K29" i="65"/>
  <c r="L30" i="65"/>
  <c r="O106" i="65"/>
  <c r="L58" i="65"/>
  <c r="K59" i="65"/>
  <c r="L17" i="65"/>
  <c r="K63" i="65"/>
  <c r="O32" i="65"/>
  <c r="M76" i="65"/>
  <c r="O34" i="65"/>
  <c r="L24" i="65"/>
  <c r="M43" i="65"/>
  <c r="K106" i="65"/>
  <c r="N76" i="65"/>
  <c r="N33" i="65"/>
  <c r="K6" i="65"/>
  <c r="M74" i="65"/>
  <c r="O98" i="65"/>
  <c r="K24" i="65"/>
  <c r="N68" i="65"/>
  <c r="L27" i="65"/>
  <c r="M65" i="65"/>
  <c r="O48" i="65"/>
  <c r="K78" i="65"/>
  <c r="O110" i="65"/>
  <c r="O90" i="65"/>
  <c r="L39" i="65"/>
  <c r="N24" i="65"/>
  <c r="M17" i="65"/>
  <c r="O54" i="65"/>
  <c r="M101" i="65"/>
  <c r="K10" i="65"/>
  <c r="M104" i="65"/>
  <c r="O7" i="65"/>
  <c r="M24" i="65"/>
  <c r="N99" i="65"/>
  <c r="M27" i="65"/>
  <c r="K91" i="65"/>
  <c r="M52" i="65"/>
  <c r="N28" i="65"/>
  <c r="K77" i="65"/>
  <c r="N72" i="65"/>
  <c r="N57" i="65"/>
  <c r="K46" i="65"/>
  <c r="N26" i="65"/>
  <c r="N43" i="65"/>
  <c r="N61" i="65"/>
  <c r="K113" i="65"/>
  <c r="O58" i="65"/>
  <c r="M96" i="65"/>
  <c r="K89" i="65"/>
  <c r="L36" i="65"/>
  <c r="L100" i="65"/>
  <c r="M85" i="65"/>
  <c r="M77" i="65"/>
  <c r="M7" i="65"/>
  <c r="M8" i="65"/>
  <c r="K103" i="65"/>
  <c r="O15" i="65"/>
  <c r="O16" i="65"/>
  <c r="N101" i="65"/>
  <c r="N100" i="65"/>
  <c r="M108" i="65"/>
  <c r="M109" i="65"/>
  <c r="K68" i="65"/>
  <c r="K67" i="65"/>
  <c r="N41" i="65"/>
  <c r="N40" i="65"/>
  <c r="L68" i="65"/>
  <c r="L69" i="65"/>
  <c r="O76" i="65"/>
  <c r="O77" i="65"/>
  <c r="K8" i="65"/>
  <c r="K17" i="65"/>
  <c r="K16" i="65"/>
  <c r="O69" i="65"/>
  <c r="O68" i="65"/>
  <c r="L89" i="65"/>
  <c r="L88" i="65"/>
  <c r="O45" i="65"/>
  <c r="O52" i="65"/>
  <c r="K104" i="65"/>
  <c r="N112" i="65"/>
  <c r="N113" i="65"/>
  <c r="O85" i="65"/>
  <c r="O86" i="65"/>
  <c r="L105" i="65"/>
  <c r="L106" i="65"/>
  <c r="M89" i="65"/>
  <c r="N81" i="65"/>
  <c r="O74" i="65"/>
  <c r="O73" i="65"/>
  <c r="M69" i="65"/>
  <c r="O62" i="65"/>
  <c r="O61" i="65"/>
  <c r="L53" i="65"/>
  <c r="L54" i="65"/>
  <c r="L49" i="65"/>
  <c r="L50" i="65"/>
  <c r="N37" i="65"/>
  <c r="L33" i="65"/>
  <c r="L34" i="65"/>
  <c r="M34" i="65"/>
  <c r="M33" i="65"/>
  <c r="O30" i="65"/>
  <c r="O29" i="65"/>
  <c r="L21" i="65"/>
  <c r="M21" i="65"/>
  <c r="K14" i="65"/>
  <c r="K13" i="65"/>
  <c r="L13" i="65"/>
  <c r="L14" i="65"/>
  <c r="M9" i="65"/>
  <c r="M10" i="65"/>
  <c r="N34" i="65"/>
  <c r="L94" i="65"/>
  <c r="O94" i="65"/>
  <c r="N20" i="65"/>
  <c r="N21" i="65"/>
  <c r="N52" i="65"/>
  <c r="N53" i="65"/>
  <c r="N79" i="65"/>
  <c r="N78" i="65"/>
  <c r="O107" i="65"/>
  <c r="K107" i="65"/>
  <c r="K108" i="65"/>
  <c r="N106" i="65"/>
  <c r="N107" i="65"/>
  <c r="K55" i="65"/>
  <c r="K110" i="65"/>
  <c r="K111" i="65"/>
  <c r="L20" i="65"/>
  <c r="L113" i="65"/>
  <c r="M113" i="65"/>
  <c r="L109" i="65"/>
  <c r="N105" i="65"/>
  <c r="M71" i="65"/>
  <c r="M112" i="65"/>
  <c r="L112" i="65"/>
  <c r="O105" i="65"/>
  <c r="K42" i="65"/>
  <c r="K39" i="65"/>
  <c r="O47" i="65"/>
  <c r="O111" i="65"/>
  <c r="O112" i="65"/>
  <c r="K71" i="65"/>
  <c r="N110" i="65"/>
  <c r="K92" i="65"/>
  <c r="O108" i="65"/>
  <c r="O109" i="65"/>
  <c r="K105" i="65"/>
  <c r="M105" i="65"/>
  <c r="K88" i="65"/>
  <c r="K27" i="65"/>
  <c r="M6" i="65"/>
  <c r="L7" i="65"/>
  <c r="N47" i="65"/>
  <c r="N77" i="65"/>
  <c r="N59" i="65"/>
  <c r="K83" i="65"/>
  <c r="N83" i="65"/>
  <c r="O35" i="65"/>
  <c r="N71" i="65"/>
  <c r="N95" i="65"/>
  <c r="L6" i="65"/>
  <c r="O18" i="65"/>
  <c r="K30" i="65"/>
  <c r="M70" i="65"/>
  <c r="L63" i="65"/>
  <c r="N27" i="65"/>
  <c r="N45" i="65"/>
  <c r="M51" i="65"/>
  <c r="K15" i="65"/>
  <c r="L51" i="65"/>
  <c r="N39" i="65"/>
  <c r="L5" i="65"/>
  <c r="M39" i="65"/>
  <c r="M99" i="65"/>
  <c r="M100" i="65"/>
  <c r="N96" i="65"/>
  <c r="O72" i="65"/>
  <c r="M72" i="65"/>
  <c r="O56" i="65"/>
  <c r="N56" i="65"/>
  <c r="M48" i="65"/>
  <c r="K48" i="65"/>
  <c r="K36" i="65"/>
  <c r="M32" i="65"/>
  <c r="O28" i="65"/>
  <c r="M16" i="65"/>
  <c r="L16" i="65"/>
  <c r="K18" i="65"/>
  <c r="L98" i="65"/>
  <c r="N30" i="65"/>
  <c r="N86" i="65"/>
  <c r="M86" i="65"/>
  <c r="N58" i="65"/>
  <c r="M58" i="65"/>
  <c r="N38" i="65"/>
  <c r="L38" i="65"/>
  <c r="O38" i="65"/>
  <c r="N22" i="65"/>
  <c r="M22" i="65"/>
  <c r="N10" i="65"/>
  <c r="O19" i="65"/>
  <c r="M23" i="65"/>
  <c r="K31" i="65"/>
  <c r="L35" i="65"/>
  <c r="M55" i="65"/>
  <c r="L67" i="65"/>
  <c r="M75" i="65"/>
  <c r="M83" i="65"/>
  <c r="K87" i="65"/>
  <c r="L95" i="65"/>
  <c r="N5" i="65"/>
  <c r="L15" i="65"/>
  <c r="O31" i="65"/>
  <c r="M35" i="65"/>
  <c r="N55" i="65"/>
  <c r="O87" i="65"/>
  <c r="K40" i="65"/>
  <c r="N92" i="65"/>
  <c r="L22" i="65"/>
  <c r="K102" i="65"/>
  <c r="M11" i="65"/>
  <c r="N15" i="65"/>
  <c r="K19" i="65"/>
  <c r="L23" i="65"/>
  <c r="K35" i="65"/>
  <c r="O55" i="65"/>
  <c r="L55" i="65"/>
  <c r="M59" i="65"/>
  <c r="O71" i="65"/>
  <c r="L71" i="65"/>
  <c r="K75" i="65"/>
  <c r="O79" i="65"/>
  <c r="L83" i="65"/>
  <c r="O95" i="65"/>
  <c r="M5" i="65"/>
  <c r="O22" i="65"/>
  <c r="M26" i="65"/>
  <c r="K90" i="65"/>
  <c r="O11" i="65"/>
  <c r="O27" i="65"/>
  <c r="O43" i="65"/>
  <c r="O75" i="65"/>
  <c r="M91" i="65"/>
  <c r="K28" i="65"/>
  <c r="N48" i="65"/>
  <c r="M56" i="65"/>
  <c r="M60" i="65"/>
  <c r="L72" i="65"/>
  <c r="M88" i="65"/>
  <c r="K12" i="65"/>
  <c r="N32" i="65"/>
  <c r="K76" i="65"/>
  <c r="M80" i="65"/>
  <c r="L96" i="65"/>
  <c r="O100" i="65"/>
  <c r="M20" i="65"/>
  <c r="M28" i="65"/>
  <c r="O92" i="65"/>
  <c r="K96" i="65"/>
  <c r="K100" i="65"/>
  <c r="M29" i="65"/>
  <c r="N97" i="65"/>
  <c r="O89" i="65"/>
  <c r="N73" i="65"/>
  <c r="K73" i="65"/>
  <c r="K61" i="65"/>
  <c r="M57" i="65"/>
  <c r="K45" i="65"/>
  <c r="L45" i="65"/>
  <c r="M41" i="65"/>
  <c r="K37" i="65"/>
  <c r="L29" i="65"/>
  <c r="N25" i="65"/>
  <c r="K25" i="65"/>
  <c r="K21" i="65"/>
  <c r="O17" i="65"/>
  <c r="N17" i="65"/>
  <c r="K9" i="65"/>
  <c r="O9" i="65"/>
  <c r="O10" i="65"/>
  <c r="N18" i="65"/>
  <c r="N42" i="65"/>
  <c r="L70" i="65"/>
  <c r="K86" i="65"/>
  <c r="N102" i="65"/>
  <c r="N62" i="65"/>
  <c r="O70" i="65"/>
  <c r="M102" i="65"/>
  <c r="N36" i="65"/>
  <c r="L93" i="65"/>
  <c r="N85" i="65"/>
  <c r="O81" i="65"/>
  <c r="M81" i="65"/>
  <c r="L73" i="65"/>
  <c r="M73" i="65"/>
  <c r="K65" i="65"/>
  <c r="M61" i="65"/>
  <c r="O57" i="65"/>
  <c r="L57" i="65"/>
  <c r="K53" i="65"/>
  <c r="O53" i="65"/>
  <c r="K49" i="65"/>
  <c r="O42" i="65"/>
  <c r="L62" i="65"/>
  <c r="M90" i="65"/>
  <c r="N82" i="65"/>
  <c r="N98" i="65"/>
  <c r="O5" i="65"/>
  <c r="N104" i="65"/>
  <c r="M87" i="65"/>
  <c r="N103" i="65"/>
  <c r="N44" i="65"/>
  <c r="M93" i="65"/>
  <c r="M92" i="65"/>
  <c r="G23" i="94" l="1"/>
  <c r="AL15" i="65"/>
  <c r="AK48" i="65"/>
  <c r="K43" i="65"/>
  <c r="L42" i="65"/>
  <c r="L31" i="65"/>
  <c r="L77" i="65"/>
  <c r="O83" i="65"/>
  <c r="L102" i="65"/>
  <c r="O12" i="65"/>
  <c r="O13" i="65"/>
  <c r="M44" i="65"/>
  <c r="K60" i="65"/>
  <c r="M15" i="65"/>
  <c r="M14" i="65"/>
  <c r="L81" i="65"/>
  <c r="L82" i="65"/>
  <c r="O102" i="65"/>
  <c r="O101" i="65"/>
  <c r="N51" i="65"/>
  <c r="N50" i="65"/>
  <c r="N7" i="65"/>
  <c r="O40" i="65"/>
  <c r="N12" i="65"/>
  <c r="L59" i="65"/>
  <c r="L79" i="65"/>
  <c r="K97" i="65"/>
  <c r="K54" i="65"/>
  <c r="K84" i="65"/>
  <c r="K85" i="65"/>
  <c r="N64" i="65"/>
  <c r="N65" i="65"/>
  <c r="O36" i="65"/>
  <c r="N88" i="65"/>
  <c r="N87" i="65"/>
  <c r="L108" i="65"/>
  <c r="O104" i="65"/>
  <c r="O44" i="65"/>
  <c r="K23" i="65"/>
  <c r="K22" i="65"/>
  <c r="L19" i="65"/>
  <c r="L84" i="65"/>
  <c r="L85" i="65"/>
  <c r="N90" i="65"/>
  <c r="N89" i="65"/>
  <c r="K94" i="65"/>
  <c r="O20" i="65"/>
  <c r="M53" i="65"/>
  <c r="M67" i="65"/>
  <c r="N29" i="65"/>
  <c r="L18" i="65"/>
  <c r="M84" i="65"/>
  <c r="M64" i="65"/>
  <c r="O59" i="65"/>
  <c r="L104" i="65"/>
  <c r="L111" i="65"/>
  <c r="N111" i="65"/>
  <c r="O6" i="65"/>
  <c r="O23" i="65"/>
  <c r="O64" i="65"/>
  <c r="K74" i="65"/>
  <c r="K26" i="65"/>
  <c r="O82" i="65"/>
  <c r="M106" i="65"/>
  <c r="G24" i="94" l="1"/>
  <c r="BA32" i="65"/>
  <c r="AX45" i="65"/>
  <c r="AX37" i="65"/>
  <c r="AX26" i="65"/>
  <c r="AX25" i="65"/>
  <c r="BB23" i="65"/>
  <c r="BB26" i="65"/>
  <c r="AX15" i="65"/>
  <c r="BB36" i="65"/>
  <c r="BA12" i="65"/>
  <c r="BA15" i="65"/>
  <c r="AX53" i="65"/>
  <c r="AX29" i="65"/>
  <c r="BA10" i="65"/>
  <c r="AX47" i="65"/>
  <c r="BB34" i="65"/>
  <c r="BB47" i="65"/>
  <c r="AX5" i="65"/>
  <c r="BB46" i="65"/>
  <c r="AX9" i="65"/>
  <c r="BB40" i="65"/>
  <c r="BB43" i="65"/>
  <c r="BA6" i="65"/>
  <c r="BB49" i="65"/>
  <c r="BB52" i="65"/>
  <c r="BA18" i="65"/>
  <c r="AX11" i="65"/>
  <c r="BB24" i="65"/>
  <c r="BB32" i="65"/>
  <c r="BA52" i="65"/>
  <c r="BA11" i="65"/>
  <c r="BB30" i="65"/>
  <c r="BB33" i="65"/>
  <c r="AX41" i="65"/>
  <c r="BA46" i="65"/>
  <c r="BB22" i="65"/>
  <c r="BA22" i="65"/>
  <c r="BB25" i="65"/>
  <c r="BA38" i="65"/>
  <c r="AX18" i="65"/>
  <c r="BB38" i="65"/>
  <c r="BB8" i="65"/>
  <c r="AX21" i="65"/>
  <c r="BA35" i="65"/>
  <c r="BA36" i="65"/>
  <c r="BA41" i="65"/>
  <c r="BB48" i="65"/>
  <c r="BA21" i="65"/>
  <c r="BA27" i="65"/>
  <c r="BA26" i="65"/>
  <c r="BA40" i="65"/>
  <c r="BA7" i="65"/>
  <c r="BB27" i="65"/>
  <c r="AX7" i="65"/>
  <c r="BB9" i="65"/>
  <c r="BB11" i="65"/>
  <c r="BB19" i="65"/>
  <c r="AX14" i="65"/>
  <c r="AX44" i="65"/>
  <c r="AX28" i="65"/>
  <c r="AX19" i="65"/>
  <c r="BA9" i="65"/>
  <c r="BB35" i="65"/>
  <c r="AX31" i="65"/>
  <c r="BA13" i="65"/>
  <c r="BB12" i="65"/>
  <c r="BB15" i="65"/>
  <c r="BA42" i="65"/>
  <c r="AX34" i="65"/>
  <c r="BA37" i="65"/>
  <c r="AX17" i="65"/>
  <c r="BB13" i="65"/>
  <c r="AX35" i="65"/>
  <c r="BB18" i="65"/>
  <c r="AX12" i="65"/>
  <c r="BA33" i="65"/>
  <c r="BB6" i="65"/>
  <c r="BB44" i="65"/>
  <c r="BA45" i="65"/>
  <c r="BB42" i="65"/>
  <c r="AX8" i="65"/>
  <c r="BB7" i="65"/>
  <c r="BA17" i="65"/>
  <c r="AX23" i="65"/>
  <c r="BB39" i="65"/>
  <c r="AX52" i="65"/>
  <c r="BB5" i="65"/>
  <c r="AX48" i="65"/>
  <c r="BB29" i="65"/>
  <c r="BB20" i="65"/>
  <c r="BA14" i="65"/>
  <c r="AX16" i="65"/>
  <c r="BA30" i="65"/>
  <c r="BB17" i="65"/>
  <c r="AX27" i="65"/>
  <c r="BA31" i="65"/>
  <c r="AX13" i="65"/>
  <c r="BA50" i="65"/>
  <c r="BA5" i="65"/>
  <c r="BA29" i="65"/>
  <c r="AX10" i="65"/>
  <c r="BA24" i="65"/>
  <c r="BA48" i="65"/>
  <c r="BA23" i="65"/>
  <c r="AX36" i="65"/>
  <c r="BB53" i="65"/>
  <c r="AX50" i="65"/>
  <c r="BA39" i="65"/>
  <c r="BA28" i="65"/>
  <c r="BA44" i="65"/>
  <c r="AX42" i="65"/>
  <c r="BB50" i="65"/>
  <c r="AX43" i="65"/>
  <c r="AX20" i="65"/>
  <c r="AX33" i="65"/>
  <c r="AX38" i="65"/>
  <c r="AX40" i="65"/>
  <c r="AX30" i="65"/>
  <c r="AX32" i="65"/>
  <c r="BA43" i="65"/>
  <c r="BA47" i="65"/>
  <c r="BB10" i="65"/>
  <c r="BB31" i="65"/>
  <c r="BA25" i="65"/>
  <c r="BB41" i="65"/>
  <c r="BA20" i="65"/>
  <c r="BB45" i="65"/>
  <c r="AX46" i="65"/>
  <c r="AX49" i="65"/>
  <c r="BA34" i="65"/>
  <c r="BB16" i="65"/>
  <c r="BA16" i="65"/>
  <c r="BB37" i="65"/>
  <c r="BA19" i="65"/>
  <c r="BA53" i="65"/>
  <c r="BB21" i="65"/>
  <c r="BA8" i="65"/>
  <c r="AX24" i="65"/>
  <c r="BB14" i="65"/>
  <c r="BB28" i="65"/>
  <c r="AX51" i="65"/>
  <c r="BA51" i="65"/>
  <c r="AX39" i="65"/>
  <c r="BB51" i="65"/>
  <c r="AX22" i="65"/>
  <c r="AX6" i="65"/>
  <c r="BA49" i="65"/>
  <c r="G25" i="94" l="1"/>
  <c r="D2" i="86"/>
  <c r="G26" i="94" l="1"/>
  <c r="E19" i="86"/>
  <c r="C38" i="86"/>
  <c r="C68" i="86"/>
  <c r="G48" i="86"/>
  <c r="H66" i="86"/>
  <c r="F84" i="86"/>
  <c r="C49" i="86"/>
  <c r="E74" i="86"/>
  <c r="E72" i="86"/>
  <c r="H86" i="86"/>
  <c r="F66" i="86"/>
  <c r="C52" i="86"/>
  <c r="F104" i="86"/>
  <c r="D16" i="86"/>
  <c r="F30" i="86"/>
  <c r="D74" i="86"/>
  <c r="G19" i="86"/>
  <c r="E16" i="86"/>
  <c r="C32" i="86"/>
  <c r="E25" i="86"/>
  <c r="D25" i="86"/>
  <c r="D40" i="86"/>
  <c r="E94" i="86"/>
  <c r="C20" i="86"/>
  <c r="F44" i="86"/>
  <c r="H41" i="86"/>
  <c r="E86" i="86"/>
  <c r="G51" i="86"/>
  <c r="H13" i="86"/>
  <c r="E104" i="86"/>
  <c r="C42" i="86"/>
  <c r="E44" i="86"/>
  <c r="E87" i="86"/>
  <c r="F81" i="86"/>
  <c r="E96" i="86"/>
  <c r="F31" i="86"/>
  <c r="D47" i="86"/>
  <c r="G35" i="86"/>
  <c r="E52" i="86"/>
  <c r="F63" i="86"/>
  <c r="D59" i="86"/>
  <c r="D70" i="86"/>
  <c r="D35" i="86"/>
  <c r="C93" i="86"/>
  <c r="G78" i="86"/>
  <c r="C16" i="86"/>
  <c r="C48" i="86"/>
  <c r="E47" i="86"/>
  <c r="F62" i="86"/>
  <c r="H97" i="86"/>
  <c r="C99" i="86"/>
  <c r="H14" i="86"/>
  <c r="H35" i="86"/>
  <c r="E37" i="86"/>
  <c r="D48" i="86"/>
  <c r="E42" i="86"/>
  <c r="H51" i="86"/>
  <c r="D53" i="86"/>
  <c r="C83" i="86"/>
  <c r="D56" i="86"/>
  <c r="D18" i="86"/>
  <c r="F82" i="86"/>
  <c r="D76" i="86"/>
  <c r="D78" i="86"/>
  <c r="D10" i="86"/>
  <c r="H39" i="86"/>
  <c r="C11" i="86"/>
  <c r="G76" i="86"/>
  <c r="C59" i="86"/>
  <c r="F51" i="86"/>
  <c r="F15" i="86"/>
  <c r="E22" i="86"/>
  <c r="H78" i="86"/>
  <c r="D28" i="86"/>
  <c r="F95" i="86"/>
  <c r="E58" i="86"/>
  <c r="C77" i="86"/>
  <c r="D38" i="86"/>
  <c r="G31" i="86"/>
  <c r="F42" i="86"/>
  <c r="G10" i="86"/>
  <c r="H67" i="86"/>
  <c r="C35" i="86"/>
  <c r="D67" i="86"/>
  <c r="C14" i="86"/>
  <c r="D73" i="86"/>
  <c r="G29" i="86"/>
  <c r="D45" i="86"/>
  <c r="H33" i="86"/>
  <c r="C40" i="86"/>
  <c r="G22" i="86"/>
  <c r="E59" i="86"/>
  <c r="F54" i="86"/>
  <c r="E75" i="86"/>
  <c r="C75" i="86"/>
  <c r="G95" i="86"/>
  <c r="G36" i="86"/>
  <c r="F27" i="86"/>
  <c r="G72" i="86"/>
  <c r="D20" i="86"/>
  <c r="C84" i="86"/>
  <c r="F60" i="86"/>
  <c r="H52" i="86"/>
  <c r="F34" i="86"/>
  <c r="E100" i="86"/>
  <c r="E73" i="86"/>
  <c r="C27" i="86"/>
  <c r="G13" i="86"/>
  <c r="H32" i="86"/>
  <c r="C15" i="86"/>
  <c r="F37" i="86"/>
  <c r="G32" i="86"/>
  <c r="H26" i="86"/>
  <c r="G97" i="86"/>
  <c r="F69" i="86"/>
  <c r="H19" i="86"/>
  <c r="H36" i="86"/>
  <c r="C45" i="86"/>
  <c r="C78" i="86"/>
  <c r="G68" i="86"/>
  <c r="F89" i="86"/>
  <c r="E88" i="86"/>
  <c r="F79" i="86"/>
  <c r="D88" i="86"/>
  <c r="D103" i="86"/>
  <c r="E56" i="86"/>
  <c r="D54" i="86"/>
  <c r="E97" i="86"/>
  <c r="D87" i="86"/>
  <c r="G27" i="86"/>
  <c r="E31" i="86"/>
  <c r="F71" i="86"/>
  <c r="C50" i="86"/>
  <c r="G98" i="86"/>
  <c r="H22" i="86"/>
  <c r="C18" i="86"/>
  <c r="H71" i="86"/>
  <c r="F50" i="86"/>
  <c r="D51" i="86"/>
  <c r="E11" i="86"/>
  <c r="E26" i="86"/>
  <c r="F29" i="86"/>
  <c r="D33" i="86"/>
  <c r="H40" i="86"/>
  <c r="H103" i="86"/>
  <c r="F14" i="86"/>
  <c r="G44" i="86"/>
  <c r="D26" i="86"/>
  <c r="C36" i="86"/>
  <c r="H58" i="86"/>
  <c r="H83" i="86"/>
  <c r="D106" i="86"/>
  <c r="E106" i="86"/>
  <c r="F33" i="86"/>
  <c r="C21" i="86"/>
  <c r="D23" i="86"/>
  <c r="H49" i="86"/>
  <c r="D50" i="86"/>
  <c r="G104" i="86"/>
  <c r="H38" i="86"/>
  <c r="G52" i="86"/>
  <c r="E66" i="86"/>
  <c r="F76" i="86"/>
  <c r="F36" i="86"/>
  <c r="D104" i="86"/>
  <c r="F55" i="86"/>
  <c r="G41" i="86"/>
  <c r="F85" i="86"/>
  <c r="C71" i="86"/>
  <c r="E49" i="86"/>
  <c r="E80" i="86"/>
  <c r="C101" i="86"/>
  <c r="D65" i="86"/>
  <c r="D61" i="86"/>
  <c r="C13" i="86"/>
  <c r="G83" i="86"/>
  <c r="C72" i="86"/>
  <c r="G23" i="86"/>
  <c r="C26" i="86"/>
  <c r="H56" i="86"/>
  <c r="H63" i="86"/>
  <c r="E61" i="86"/>
  <c r="E99" i="86"/>
  <c r="H76" i="86"/>
  <c r="D72" i="86"/>
  <c r="C51" i="86"/>
  <c r="G47" i="86"/>
  <c r="D31" i="86"/>
  <c r="D44" i="86"/>
  <c r="G101" i="86"/>
  <c r="F107" i="86"/>
  <c r="C29" i="86"/>
  <c r="D52" i="86"/>
  <c r="F38" i="86"/>
  <c r="D92" i="86"/>
  <c r="F68" i="86"/>
  <c r="F100" i="86"/>
  <c r="D29" i="86"/>
  <c r="C33" i="86"/>
  <c r="H100" i="86"/>
  <c r="H10" i="86"/>
  <c r="G42" i="86"/>
  <c r="F39" i="86"/>
  <c r="D32" i="86"/>
  <c r="C73" i="86"/>
  <c r="F32" i="86"/>
  <c r="D24" i="86"/>
  <c r="F80" i="86"/>
  <c r="C103" i="86"/>
  <c r="H88" i="86"/>
  <c r="G33" i="86"/>
  <c r="E32" i="86"/>
  <c r="D60" i="86"/>
  <c r="D36" i="86"/>
  <c r="H94" i="86"/>
  <c r="E40" i="86"/>
  <c r="D55" i="86"/>
  <c r="F96" i="86"/>
  <c r="F61" i="86"/>
  <c r="C34" i="86"/>
  <c r="F87" i="86"/>
  <c r="G80" i="86"/>
  <c r="G54" i="86"/>
  <c r="E57" i="86"/>
  <c r="G46" i="86"/>
  <c r="E28" i="86"/>
  <c r="H64" i="86"/>
  <c r="G59" i="86"/>
  <c r="E55" i="86"/>
  <c r="F41" i="86"/>
  <c r="F21" i="86"/>
  <c r="H8" i="86"/>
  <c r="H55" i="86"/>
  <c r="G30" i="86"/>
  <c r="E35" i="86"/>
  <c r="G81" i="86"/>
  <c r="C88" i="86"/>
  <c r="E29" i="86"/>
  <c r="G99" i="86"/>
  <c r="C92" i="86"/>
  <c r="F22" i="86"/>
  <c r="D37" i="86"/>
  <c r="H62" i="86"/>
  <c r="E46" i="86"/>
  <c r="C57" i="86"/>
  <c r="H101" i="86"/>
  <c r="E101" i="86"/>
  <c r="H89" i="86"/>
  <c r="D75" i="86"/>
  <c r="D64" i="86"/>
  <c r="C61" i="86"/>
  <c r="E90" i="86"/>
  <c r="G25" i="86"/>
  <c r="C58" i="86"/>
  <c r="G43" i="86"/>
  <c r="D96" i="86"/>
  <c r="H69" i="86"/>
  <c r="H92" i="86"/>
  <c r="D41" i="86"/>
  <c r="H106" i="86"/>
  <c r="F86" i="86"/>
  <c r="G64" i="86"/>
  <c r="C30" i="86"/>
  <c r="C28" i="86"/>
  <c r="C81" i="86"/>
  <c r="F97" i="86"/>
  <c r="F74" i="86"/>
  <c r="E71" i="86"/>
  <c r="E105" i="86"/>
  <c r="F90" i="86"/>
  <c r="D11" i="86"/>
  <c r="G71" i="86"/>
  <c r="E13" i="86"/>
  <c r="H47" i="86"/>
  <c r="C53" i="86"/>
  <c r="G100" i="86"/>
  <c r="D101" i="86"/>
  <c r="H98" i="86"/>
  <c r="G105" i="86"/>
  <c r="C47" i="86"/>
  <c r="H23" i="86"/>
  <c r="H54" i="86"/>
  <c r="H79" i="86"/>
  <c r="D82" i="86"/>
  <c r="D81" i="86"/>
  <c r="G70" i="86"/>
  <c r="H73" i="86"/>
  <c r="H90" i="86"/>
  <c r="C23" i="86"/>
  <c r="G16" i="86"/>
  <c r="D27" i="86"/>
  <c r="F23" i="86"/>
  <c r="G28" i="86"/>
  <c r="C63" i="86"/>
  <c r="H37" i="86"/>
  <c r="C31" i="86"/>
  <c r="F102" i="86"/>
  <c r="F91" i="86"/>
  <c r="G85" i="86"/>
  <c r="G88" i="86"/>
  <c r="G12" i="86"/>
  <c r="M11" i="86"/>
  <c r="M35" i="86"/>
  <c r="M59" i="86"/>
  <c r="M83" i="86"/>
  <c r="M107" i="86"/>
  <c r="L37" i="86"/>
  <c r="L66" i="86"/>
  <c r="M94" i="86"/>
  <c r="M27" i="86"/>
  <c r="L56" i="86"/>
  <c r="L85" i="86"/>
  <c r="M13" i="86"/>
  <c r="M42" i="86"/>
  <c r="L71" i="86"/>
  <c r="L100" i="86"/>
  <c r="L51" i="86"/>
  <c r="L8" i="86"/>
  <c r="L59" i="86"/>
  <c r="M10" i="86"/>
  <c r="L68" i="86"/>
  <c r="M25" i="86"/>
  <c r="L83" i="86"/>
  <c r="M105" i="86"/>
  <c r="J23" i="86"/>
  <c r="J39" i="86"/>
  <c r="M48" i="86"/>
  <c r="I20" i="86"/>
  <c r="I36" i="86"/>
  <c r="I52" i="86"/>
  <c r="I68" i="86"/>
  <c r="I84" i="86"/>
  <c r="I100" i="86"/>
  <c r="M93" i="86"/>
  <c r="J24" i="86"/>
  <c r="J40" i="86"/>
  <c r="J56" i="86"/>
  <c r="J72" i="86"/>
  <c r="J88" i="86"/>
  <c r="H72" i="86"/>
  <c r="C39" i="86"/>
  <c r="D83" i="86"/>
  <c r="H59" i="86"/>
  <c r="F52" i="86"/>
  <c r="H105" i="86"/>
  <c r="G107" i="86"/>
  <c r="C105" i="86"/>
  <c r="E76" i="86"/>
  <c r="H82" i="86"/>
  <c r="H84" i="86"/>
  <c r="C25" i="86"/>
  <c r="E39" i="86"/>
  <c r="G53" i="86"/>
  <c r="C107" i="86"/>
  <c r="H20" i="86"/>
  <c r="H12" i="86"/>
  <c r="H102" i="86"/>
  <c r="E50" i="86"/>
  <c r="G37" i="86"/>
  <c r="C9" i="86"/>
  <c r="C94" i="86"/>
  <c r="C76" i="86"/>
  <c r="D79" i="86"/>
  <c r="D91" i="86"/>
  <c r="E78" i="86"/>
  <c r="C102" i="86"/>
  <c r="G79" i="86"/>
  <c r="H29" i="86"/>
  <c r="G38" i="86"/>
  <c r="H34" i="86"/>
  <c r="D58" i="86"/>
  <c r="F65" i="86"/>
  <c r="H27" i="86"/>
  <c r="H44" i="86"/>
  <c r="H9" i="86"/>
  <c r="C85" i="86"/>
  <c r="C96" i="86"/>
  <c r="F92" i="86"/>
  <c r="F20" i="86"/>
  <c r="M14" i="86"/>
  <c r="M38" i="86"/>
  <c r="M62" i="86"/>
  <c r="M86" i="86"/>
  <c r="L12" i="86"/>
  <c r="M40" i="86"/>
  <c r="M69" i="86"/>
  <c r="L98" i="86"/>
  <c r="L31" i="86"/>
  <c r="L60" i="86"/>
  <c r="M88" i="86"/>
  <c r="L17" i="86"/>
  <c r="L46" i="86"/>
  <c r="L75" i="86"/>
  <c r="M103" i="86"/>
  <c r="L58" i="86"/>
  <c r="L9" i="86"/>
  <c r="M66" i="86"/>
  <c r="L18" i="86"/>
  <c r="M75" i="86"/>
  <c r="L33" i="86"/>
  <c r="M90" i="86"/>
  <c r="J9" i="86"/>
  <c r="J25" i="86"/>
  <c r="J41" i="86"/>
  <c r="L70" i="86"/>
  <c r="I22" i="86"/>
  <c r="I38" i="86"/>
  <c r="I54" i="86"/>
  <c r="I70" i="86"/>
  <c r="I86" i="86"/>
  <c r="I102" i="86"/>
  <c r="J10" i="86"/>
  <c r="J26" i="86"/>
  <c r="J42" i="86"/>
  <c r="J58" i="86"/>
  <c r="J74" i="86"/>
  <c r="J90" i="86"/>
  <c r="J106" i="86"/>
  <c r="C24" i="86"/>
  <c r="E30" i="86"/>
  <c r="G73" i="86"/>
  <c r="D46" i="86"/>
  <c r="C17" i="86"/>
  <c r="F75" i="86"/>
  <c r="E34" i="86"/>
  <c r="C64" i="86"/>
  <c r="G61" i="86"/>
  <c r="D95" i="86"/>
  <c r="H11" i="86"/>
  <c r="H21" i="86"/>
  <c r="H87" i="86"/>
  <c r="H53" i="86"/>
  <c r="F99" i="86"/>
  <c r="F59" i="86"/>
  <c r="G74" i="86"/>
  <c r="C67" i="86"/>
  <c r="D42" i="86"/>
  <c r="H65" i="86"/>
  <c r="C37" i="86"/>
  <c r="C98" i="86"/>
  <c r="G87" i="86"/>
  <c r="G91" i="86"/>
  <c r="H68" i="86"/>
  <c r="D14" i="86"/>
  <c r="F45" i="86"/>
  <c r="E102" i="86"/>
  <c r="G92" i="86"/>
  <c r="C12" i="86"/>
  <c r="H31" i="86"/>
  <c r="F48" i="86"/>
  <c r="G106" i="86"/>
  <c r="H48" i="86"/>
  <c r="H107" i="86"/>
  <c r="E70" i="86"/>
  <c r="C90" i="86"/>
  <c r="E69" i="86"/>
  <c r="G40" i="86"/>
  <c r="G58" i="86"/>
  <c r="C79" i="86"/>
  <c r="G45" i="86"/>
  <c r="F49" i="86"/>
  <c r="E107" i="86"/>
  <c r="D105" i="86"/>
  <c r="M29" i="86"/>
  <c r="M65" i="86"/>
  <c r="M95" i="86"/>
  <c r="L30" i="86"/>
  <c r="L73" i="86"/>
  <c r="L13" i="86"/>
  <c r="L49" i="86"/>
  <c r="L92" i="86"/>
  <c r="L28" i="86"/>
  <c r="L64" i="86"/>
  <c r="L107" i="86"/>
  <c r="M79" i="86"/>
  <c r="L45" i="86"/>
  <c r="L25" i="86"/>
  <c r="L97" i="86"/>
  <c r="L69" i="86"/>
  <c r="J11" i="86"/>
  <c r="J31" i="86"/>
  <c r="L106" i="86"/>
  <c r="I24" i="86"/>
  <c r="I44" i="86"/>
  <c r="I64" i="86"/>
  <c r="I88" i="86"/>
  <c r="I8" i="86"/>
  <c r="J20" i="86"/>
  <c r="J44" i="86"/>
  <c r="J64" i="86"/>
  <c r="J84" i="86"/>
  <c r="J104" i="86"/>
  <c r="L36" i="86"/>
  <c r="K38" i="86"/>
  <c r="J63" i="86"/>
  <c r="J87" i="86"/>
  <c r="I15" i="86"/>
  <c r="M57" i="86"/>
  <c r="K27" i="86"/>
  <c r="J55" i="86"/>
  <c r="J79" i="86"/>
  <c r="J103" i="86"/>
  <c r="K37" i="86"/>
  <c r="K89" i="86"/>
  <c r="K57" i="86"/>
  <c r="K20" i="86"/>
  <c r="K49" i="86"/>
  <c r="K73" i="86"/>
  <c r="K97" i="86"/>
  <c r="I25" i="86"/>
  <c r="J53" i="86"/>
  <c r="J77" i="86"/>
  <c r="K9" i="86"/>
  <c r="H50" i="86"/>
  <c r="F35" i="86"/>
  <c r="E27" i="86"/>
  <c r="G66" i="86"/>
  <c r="H60" i="86"/>
  <c r="D43" i="86"/>
  <c r="D100" i="86"/>
  <c r="D93" i="86"/>
  <c r="E85" i="86"/>
  <c r="C43" i="86"/>
  <c r="F57" i="86"/>
  <c r="F67" i="86"/>
  <c r="C87" i="86"/>
  <c r="H61" i="86"/>
  <c r="E38" i="86"/>
  <c r="C70" i="86"/>
  <c r="E33" i="86"/>
  <c r="C56" i="86"/>
  <c r="F47" i="86"/>
  <c r="E83" i="86"/>
  <c r="D97" i="86"/>
  <c r="C8" i="86"/>
  <c r="H70" i="86"/>
  <c r="D86" i="86"/>
  <c r="D98" i="86"/>
  <c r="G57" i="86"/>
  <c r="F77" i="86"/>
  <c r="F72" i="86"/>
  <c r="H17" i="86"/>
  <c r="M32" i="86"/>
  <c r="M68" i="86"/>
  <c r="M98" i="86"/>
  <c r="M33" i="86"/>
  <c r="M76" i="86"/>
  <c r="M16" i="86"/>
  <c r="M52" i="86"/>
  <c r="L96" i="86"/>
  <c r="M31" i="86"/>
  <c r="M67" i="86"/>
  <c r="L15" i="86"/>
  <c r="L87" i="86"/>
  <c r="L52" i="86"/>
  <c r="L32" i="86"/>
  <c r="L104" i="86"/>
  <c r="L76" i="86"/>
  <c r="J13" i="86"/>
  <c r="J33" i="86"/>
  <c r="L27" i="86"/>
  <c r="I26" i="86"/>
  <c r="I46" i="86"/>
  <c r="I66" i="86"/>
  <c r="I90" i="86"/>
  <c r="M28" i="86"/>
  <c r="J22" i="86"/>
  <c r="J46" i="86"/>
  <c r="J66" i="86"/>
  <c r="J86" i="86"/>
  <c r="J8" i="86"/>
  <c r="K10" i="86"/>
  <c r="K42" i="86"/>
  <c r="K66" i="86"/>
  <c r="K90" i="86"/>
  <c r="I31" i="86"/>
  <c r="I43" i="86"/>
  <c r="K31" i="86"/>
  <c r="K58" i="86"/>
  <c r="K82" i="86"/>
  <c r="K106" i="86"/>
  <c r="I45" i="86"/>
  <c r="K95" i="86"/>
  <c r="K63" i="86"/>
  <c r="K24" i="86"/>
  <c r="I53" i="86"/>
  <c r="I77" i="86"/>
  <c r="I101" i="86"/>
  <c r="I29" i="86"/>
  <c r="K56" i="86"/>
  <c r="K80" i="86"/>
  <c r="K17" i="86"/>
  <c r="I69" i="86"/>
  <c r="I23" i="86"/>
  <c r="K99" i="86"/>
  <c r="F10" i="86"/>
  <c r="E18" i="86"/>
  <c r="D80" i="86"/>
  <c r="C65" i="86"/>
  <c r="H45" i="86"/>
  <c r="F53" i="86"/>
  <c r="G102" i="86"/>
  <c r="D62" i="86"/>
  <c r="F103" i="86"/>
  <c r="E95" i="86"/>
  <c r="E14" i="86"/>
  <c r="D69" i="86"/>
  <c r="C54" i="86"/>
  <c r="E41" i="86"/>
  <c r="H16" i="86"/>
  <c r="E91" i="86"/>
  <c r="D30" i="86"/>
  <c r="F40" i="86"/>
  <c r="F93" i="86"/>
  <c r="G50" i="86"/>
  <c r="C106" i="86"/>
  <c r="C97" i="86"/>
  <c r="F8" i="86"/>
  <c r="M23" i="86"/>
  <c r="M71" i="86"/>
  <c r="M15" i="86"/>
  <c r="M58" i="86"/>
  <c r="L20" i="86"/>
  <c r="M70" i="86"/>
  <c r="L21" i="86"/>
  <c r="M78" i="86"/>
  <c r="M36" i="86"/>
  <c r="M30" i="86"/>
  <c r="M39" i="86"/>
  <c r="L40" i="86"/>
  <c r="L63" i="86"/>
  <c r="J35" i="86"/>
  <c r="I12" i="86"/>
  <c r="I40" i="86"/>
  <c r="I72" i="86"/>
  <c r="I96" i="86"/>
  <c r="J16" i="86"/>
  <c r="J48" i="86"/>
  <c r="J76" i="86"/>
  <c r="J100" i="86"/>
  <c r="K14" i="86"/>
  <c r="J51" i="86"/>
  <c r="J81" i="86"/>
  <c r="K45" i="86"/>
  <c r="K11" i="86"/>
  <c r="J49" i="86"/>
  <c r="J85" i="86"/>
  <c r="K104" i="86"/>
  <c r="K77" i="86"/>
  <c r="I73" i="86"/>
  <c r="K36" i="86"/>
  <c r="K67" i="86"/>
  <c r="K103" i="86"/>
  <c r="I41" i="86"/>
  <c r="J71" i="86"/>
  <c r="K25" i="86"/>
  <c r="I81" i="86"/>
  <c r="I61" i="86"/>
  <c r="D34" i="86"/>
  <c r="E15" i="86"/>
  <c r="E93" i="86"/>
  <c r="C19" i="86"/>
  <c r="G56" i="86"/>
  <c r="E92" i="86"/>
  <c r="D13" i="86"/>
  <c r="H74" i="86"/>
  <c r="H18" i="86"/>
  <c r="C89" i="86"/>
  <c r="E24" i="86"/>
  <c r="E103" i="86"/>
  <c r="D71" i="86"/>
  <c r="E48" i="86"/>
  <c r="D94" i="86"/>
  <c r="H99" i="86"/>
  <c r="F11" i="86"/>
  <c r="E63" i="86"/>
  <c r="F46" i="86"/>
  <c r="F58" i="86"/>
  <c r="H15" i="86"/>
  <c r="G96" i="86"/>
  <c r="F24" i="86"/>
  <c r="M26" i="86"/>
  <c r="M74" i="86"/>
  <c r="L19" i="86"/>
  <c r="L62" i="86"/>
  <c r="L24" i="86"/>
  <c r="L74" i="86"/>
  <c r="M24" i="86"/>
  <c r="L82" i="86"/>
  <c r="M43" i="86"/>
  <c r="M37" i="86"/>
  <c r="M46" i="86"/>
  <c r="L47" i="86"/>
  <c r="M84" i="86"/>
  <c r="J37" i="86"/>
  <c r="I14" i="86"/>
  <c r="I42" i="86"/>
  <c r="I74" i="86"/>
  <c r="I98" i="86"/>
  <c r="J18" i="86"/>
  <c r="J50" i="86"/>
  <c r="J78" i="86"/>
  <c r="J102" i="86"/>
  <c r="K18" i="86"/>
  <c r="K54" i="86"/>
  <c r="K84" i="86"/>
  <c r="I55" i="86"/>
  <c r="K15" i="86"/>
  <c r="K52" i="86"/>
  <c r="K88" i="86"/>
  <c r="K13" i="86"/>
  <c r="K83" i="86"/>
  <c r="K81" i="86"/>
  <c r="K40" i="86"/>
  <c r="I71" i="86"/>
  <c r="I107" i="86"/>
  <c r="K44" i="86"/>
  <c r="K74" i="86"/>
  <c r="K33" i="86"/>
  <c r="I87" i="86"/>
  <c r="K69" i="86"/>
  <c r="H30" i="86"/>
  <c r="F16" i="86"/>
  <c r="E54" i="86"/>
  <c r="D49" i="86"/>
  <c r="G69" i="86"/>
  <c r="D68" i="86"/>
  <c r="F64" i="86"/>
  <c r="G90" i="86"/>
  <c r="C104" i="86"/>
  <c r="C69" i="86"/>
  <c r="G65" i="86"/>
  <c r="F106" i="86"/>
  <c r="E10" i="86"/>
  <c r="H42" i="86"/>
  <c r="G62" i="86"/>
  <c r="H93" i="86"/>
  <c r="E67" i="86"/>
  <c r="D8" i="86"/>
  <c r="G18" i="86"/>
  <c r="D84" i="86"/>
  <c r="D90" i="86"/>
  <c r="C74" i="86"/>
  <c r="C80" i="86"/>
  <c r="D99" i="86"/>
  <c r="M41" i="86"/>
  <c r="M77" i="86"/>
  <c r="M22" i="86"/>
  <c r="L80" i="86"/>
  <c r="M34" i="86"/>
  <c r="L78" i="86"/>
  <c r="L35" i="86"/>
  <c r="M85" i="86"/>
  <c r="L65" i="86"/>
  <c r="M73" i="86"/>
  <c r="L54" i="86"/>
  <c r="M54" i="86"/>
  <c r="J15" i="86"/>
  <c r="M21" i="86"/>
  <c r="I16" i="86"/>
  <c r="I48" i="86"/>
  <c r="I76" i="86"/>
  <c r="I104" i="86"/>
  <c r="J28" i="86"/>
  <c r="G82" i="86"/>
  <c r="G63" i="86"/>
  <c r="G77" i="86"/>
  <c r="G49" i="86"/>
  <c r="D63" i="86"/>
  <c r="F12" i="86"/>
  <c r="F78" i="86"/>
  <c r="E77" i="86"/>
  <c r="D107" i="86"/>
  <c r="F17" i="86"/>
  <c r="E65" i="86"/>
  <c r="G94" i="86"/>
  <c r="D9" i="86"/>
  <c r="D89" i="86"/>
  <c r="F105" i="86"/>
  <c r="G39" i="86"/>
  <c r="H28" i="86"/>
  <c r="C55" i="86"/>
  <c r="F98" i="86"/>
  <c r="F70" i="86"/>
  <c r="D19" i="86"/>
  <c r="M44" i="86"/>
  <c r="M80" i="86"/>
  <c r="L26" i="86"/>
  <c r="L84" i="86"/>
  <c r="L38" i="86"/>
  <c r="M81" i="86"/>
  <c r="L39" i="86"/>
  <c r="L89" i="86"/>
  <c r="M72" i="86"/>
  <c r="L81" i="86"/>
  <c r="L61" i="86"/>
  <c r="M61" i="86"/>
  <c r="J17" i="86"/>
  <c r="L43" i="86"/>
  <c r="I18" i="86"/>
  <c r="I50" i="86"/>
  <c r="I78" i="86"/>
  <c r="I106" i="86"/>
  <c r="J30" i="86"/>
  <c r="J54" i="86"/>
  <c r="G9" i="86"/>
  <c r="C95" i="86"/>
  <c r="D77" i="86"/>
  <c r="D85" i="86"/>
  <c r="E17" i="86"/>
  <c r="E60" i="86"/>
  <c r="H81" i="86"/>
  <c r="C10" i="86"/>
  <c r="E36" i="86"/>
  <c r="D66" i="86"/>
  <c r="C100" i="86"/>
  <c r="G55" i="86"/>
  <c r="H91" i="86"/>
  <c r="H77" i="86"/>
  <c r="C44" i="86"/>
  <c r="G21" i="86"/>
  <c r="F56" i="86"/>
  <c r="E64" i="86"/>
  <c r="F101" i="86"/>
  <c r="G67" i="86"/>
  <c r="M47" i="86"/>
  <c r="M89" i="86"/>
  <c r="L44" i="86"/>
  <c r="M87" i="86"/>
  <c r="L42" i="86"/>
  <c r="M99" i="86"/>
  <c r="M49" i="86"/>
  <c r="L93" i="86"/>
  <c r="L94" i="86"/>
  <c r="L88" i="86"/>
  <c r="M82" i="86"/>
  <c r="M97" i="86"/>
  <c r="J19" i="86"/>
  <c r="G24" i="86"/>
  <c r="D39" i="86"/>
  <c r="C60" i="86"/>
  <c r="E79" i="86"/>
  <c r="G89" i="86"/>
  <c r="G15" i="86"/>
  <c r="E68" i="86"/>
  <c r="F88" i="86"/>
  <c r="G75" i="86"/>
  <c r="C41" i="86"/>
  <c r="G26" i="86"/>
  <c r="E53" i="86"/>
  <c r="E62" i="86"/>
  <c r="D102" i="86"/>
  <c r="G86" i="86"/>
  <c r="H75" i="86"/>
  <c r="D22" i="86"/>
  <c r="G60" i="86"/>
  <c r="F73" i="86"/>
  <c r="D15" i="86"/>
  <c r="H85" i="86"/>
  <c r="G20" i="86"/>
  <c r="M50" i="86"/>
  <c r="M92" i="86"/>
  <c r="L48" i="86"/>
  <c r="L91" i="86"/>
  <c r="M45" i="86"/>
  <c r="L103" i="86"/>
  <c r="L53" i="86"/>
  <c r="M96" i="86"/>
  <c r="L101" i="86"/>
  <c r="L95" i="86"/>
  <c r="L90" i="86"/>
  <c r="L105" i="86"/>
  <c r="J21" i="86"/>
  <c r="L86" i="86"/>
  <c r="I30" i="86"/>
  <c r="I58" i="86"/>
  <c r="I82" i="86"/>
  <c r="L72" i="86"/>
  <c r="J34" i="86"/>
  <c r="J62" i="86"/>
  <c r="J94" i="86"/>
  <c r="L77" i="86"/>
  <c r="K34" i="86"/>
  <c r="K72" i="86"/>
  <c r="K102" i="86"/>
  <c r="I103" i="86"/>
  <c r="K39" i="86"/>
  <c r="K70" i="86"/>
  <c r="K100" i="86"/>
  <c r="K59" i="86"/>
  <c r="I27" i="86"/>
  <c r="K16" i="86"/>
  <c r="I59" i="86"/>
  <c r="I89" i="86"/>
  <c r="I21" i="86"/>
  <c r="K62" i="86"/>
  <c r="J95" i="86"/>
  <c r="I57" i="86"/>
  <c r="I11" i="86"/>
  <c r="K105" i="86"/>
  <c r="E12" i="86"/>
  <c r="E45" i="86"/>
  <c r="H80" i="86"/>
  <c r="G34" i="86"/>
  <c r="H57" i="86"/>
  <c r="H104" i="86"/>
  <c r="C66" i="86"/>
  <c r="E84" i="86"/>
  <c r="E81" i="86"/>
  <c r="F18" i="86"/>
  <c r="C62" i="86"/>
  <c r="F43" i="86"/>
  <c r="H24" i="86"/>
  <c r="C91" i="86"/>
  <c r="D17" i="86"/>
  <c r="H46" i="86"/>
  <c r="F94" i="86"/>
  <c r="C46" i="86"/>
  <c r="F28" i="86"/>
  <c r="E82" i="86"/>
  <c r="G84" i="86"/>
  <c r="E8" i="86"/>
  <c r="M17" i="86"/>
  <c r="M53" i="86"/>
  <c r="M101" i="86"/>
  <c r="M51" i="86"/>
  <c r="L102" i="86"/>
  <c r="M63" i="86"/>
  <c r="M106" i="86"/>
  <c r="L57" i="86"/>
  <c r="L22" i="86"/>
  <c r="L16" i="86"/>
  <c r="M102" i="86"/>
  <c r="L11" i="86"/>
  <c r="M19" i="86"/>
  <c r="J27" i="86"/>
  <c r="M91" i="86"/>
  <c r="I32" i="86"/>
  <c r="I60" i="86"/>
  <c r="I92" i="86"/>
  <c r="J12" i="86"/>
  <c r="J36" i="86"/>
  <c r="J68" i="86"/>
  <c r="J96" i="86"/>
  <c r="L99" i="86"/>
  <c r="J45" i="86"/>
  <c r="J75" i="86"/>
  <c r="J105" i="86"/>
  <c r="K87" i="86"/>
  <c r="J43" i="86"/>
  <c r="J73" i="86"/>
  <c r="K92" i="86"/>
  <c r="K65" i="86"/>
  <c r="I35" i="86"/>
  <c r="K28" i="86"/>
  <c r="K61" i="86"/>
  <c r="K91" i="86"/>
  <c r="I33" i="86"/>
  <c r="J65" i="86"/>
  <c r="J101" i="86"/>
  <c r="I63" i="86"/>
  <c r="I39" i="86"/>
  <c r="E23" i="86"/>
  <c r="F13" i="86"/>
  <c r="D12" i="86"/>
  <c r="E89" i="86"/>
  <c r="C22" i="86"/>
  <c r="M56" i="86"/>
  <c r="L23" i="86"/>
  <c r="I34" i="86"/>
  <c r="J38" i="86"/>
  <c r="M12" i="86"/>
  <c r="J57" i="86"/>
  <c r="I67" i="86"/>
  <c r="J61" i="86"/>
  <c r="K21" i="86"/>
  <c r="I97" i="86"/>
  <c r="K79" i="86"/>
  <c r="J47" i="86"/>
  <c r="K41" i="86"/>
  <c r="I79" i="86"/>
  <c r="G17" i="86"/>
  <c r="H96" i="86"/>
  <c r="H25" i="86"/>
  <c r="M104" i="86"/>
  <c r="M8" i="86"/>
  <c r="I56" i="86"/>
  <c r="D21" i="86"/>
  <c r="F9" i="86"/>
  <c r="E51" i="86"/>
  <c r="L55" i="86"/>
  <c r="M18" i="86"/>
  <c r="I62" i="86"/>
  <c r="J60" i="86"/>
  <c r="M55" i="86"/>
  <c r="J69" i="86"/>
  <c r="I91" i="86"/>
  <c r="J67" i="86"/>
  <c r="K53" i="86"/>
  <c r="K12" i="86"/>
  <c r="K85" i="86"/>
  <c r="J59" i="86"/>
  <c r="I51" i="86"/>
  <c r="K93" i="86"/>
  <c r="C82" i="86"/>
  <c r="D57" i="86"/>
  <c r="H43" i="86"/>
  <c r="C86" i="86"/>
  <c r="L67" i="86"/>
  <c r="J29" i="86"/>
  <c r="I94" i="86"/>
  <c r="J80" i="86"/>
  <c r="K22" i="86"/>
  <c r="J93" i="86"/>
  <c r="K19" i="86"/>
  <c r="J91" i="86"/>
  <c r="K101" i="86"/>
  <c r="K43" i="86"/>
  <c r="I9" i="86"/>
  <c r="J83" i="86"/>
  <c r="I93" i="86"/>
  <c r="G8" i="86"/>
  <c r="G93" i="86"/>
  <c r="F26" i="86"/>
  <c r="E98" i="86"/>
  <c r="L10" i="86"/>
  <c r="M64" i="86"/>
  <c r="L50" i="86"/>
  <c r="J82" i="86"/>
  <c r="K26" i="86"/>
  <c r="K96" i="86"/>
  <c r="K23" i="86"/>
  <c r="K94" i="86"/>
  <c r="K107" i="86"/>
  <c r="I47" i="86"/>
  <c r="I13" i="86"/>
  <c r="K86" i="86"/>
  <c r="I99" i="86"/>
  <c r="E9" i="86"/>
  <c r="H95" i="86"/>
  <c r="M60" i="86"/>
  <c r="J52" i="86"/>
  <c r="K60" i="86"/>
  <c r="K64" i="86"/>
  <c r="M100" i="86"/>
  <c r="K50" i="86"/>
  <c r="I85" i="86"/>
  <c r="E21" i="86"/>
  <c r="L29" i="86"/>
  <c r="J70" i="86"/>
  <c r="K78" i="86"/>
  <c r="K76" i="86"/>
  <c r="K32" i="86"/>
  <c r="K68" i="86"/>
  <c r="F25" i="86"/>
  <c r="G103" i="86"/>
  <c r="L41" i="86"/>
  <c r="J92" i="86"/>
  <c r="J99" i="86"/>
  <c r="J97" i="86"/>
  <c r="K55" i="86"/>
  <c r="J89" i="86"/>
  <c r="G11" i="86"/>
  <c r="F83" i="86"/>
  <c r="I10" i="86"/>
  <c r="J98" i="86"/>
  <c r="K8" i="86"/>
  <c r="K98" i="86"/>
  <c r="I65" i="86"/>
  <c r="J107" i="86"/>
  <c r="G14" i="86"/>
  <c r="E43" i="86"/>
  <c r="I28" i="86"/>
  <c r="L34" i="86"/>
  <c r="K75" i="86"/>
  <c r="K29" i="86"/>
  <c r="I83" i="86"/>
  <c r="K47" i="86"/>
  <c r="F19" i="86"/>
  <c r="E20" i="86"/>
  <c r="I80" i="86"/>
  <c r="L14" i="86"/>
  <c r="L79" i="86"/>
  <c r="K71" i="86"/>
  <c r="I95" i="86"/>
  <c r="I75" i="86"/>
  <c r="M20" i="86"/>
  <c r="J14" i="86"/>
  <c r="K30" i="86"/>
  <c r="K35" i="86"/>
  <c r="I19" i="86"/>
  <c r="I17" i="86"/>
  <c r="I105" i="86"/>
  <c r="M9" i="86"/>
  <c r="J32" i="86"/>
  <c r="K48" i="86"/>
  <c r="K46" i="86"/>
  <c r="I49" i="86"/>
  <c r="I37" i="86"/>
  <c r="K51" i="86"/>
  <c r="G27" i="94" l="1"/>
  <c r="CF103" i="86"/>
  <c r="CG103" i="86"/>
  <c r="CH103" i="86"/>
  <c r="CJ103" i="86"/>
  <c r="CI103" i="86"/>
  <c r="CI93" i="86"/>
  <c r="CF93" i="86"/>
  <c r="CG93" i="86"/>
  <c r="CJ93" i="86"/>
  <c r="CH93" i="86"/>
  <c r="CG81" i="86"/>
  <c r="CF81" i="86"/>
  <c r="CI81" i="86"/>
  <c r="CJ81" i="86"/>
  <c r="CH81" i="86"/>
  <c r="CF63" i="86"/>
  <c r="CI63" i="86"/>
  <c r="CG63" i="86"/>
  <c r="CJ63" i="86"/>
  <c r="CH63" i="86"/>
  <c r="CZ53" i="86"/>
  <c r="CY53" i="86"/>
  <c r="DA53" i="86"/>
  <c r="DB53" i="86"/>
  <c r="CX53" i="86"/>
  <c r="CZ30" i="86"/>
  <c r="DA30" i="86"/>
  <c r="CX30" i="86"/>
  <c r="DB30" i="86"/>
  <c r="CY30" i="86"/>
  <c r="DT98" i="86"/>
  <c r="DS98" i="86"/>
  <c r="DR98" i="86"/>
  <c r="DQ98" i="86"/>
  <c r="DP98" i="86"/>
  <c r="CZ84" i="86"/>
  <c r="CY84" i="86"/>
  <c r="CX84" i="86"/>
  <c r="DA84" i="86"/>
  <c r="DB84" i="86"/>
  <c r="CS80" i="86"/>
  <c r="CP80" i="86"/>
  <c r="CQ80" i="86"/>
  <c r="CR80" i="86"/>
  <c r="CO80" i="86"/>
  <c r="CH91" i="86"/>
  <c r="CI91" i="86"/>
  <c r="CG91" i="86"/>
  <c r="CJ91" i="86"/>
  <c r="CF91" i="86"/>
  <c r="CY20" i="86"/>
  <c r="DB20" i="86"/>
  <c r="CZ20" i="86"/>
  <c r="DA20" i="86"/>
  <c r="CX20" i="86"/>
  <c r="CF89" i="86"/>
  <c r="CH89" i="86"/>
  <c r="CI89" i="86"/>
  <c r="CJ89" i="86"/>
  <c r="CG89" i="86"/>
  <c r="BG7" i="86"/>
  <c r="BE7" i="86"/>
  <c r="BH7" i="86"/>
  <c r="BF7" i="86"/>
  <c r="BI7" i="86"/>
  <c r="CF77" i="86"/>
  <c r="CJ77" i="86"/>
  <c r="CH77" i="86"/>
  <c r="CI77" i="86"/>
  <c r="CG77" i="86"/>
  <c r="CO55" i="86"/>
  <c r="CQ55" i="86"/>
  <c r="CR55" i="86"/>
  <c r="CP55" i="86"/>
  <c r="CS55" i="86"/>
  <c r="CY89" i="86"/>
  <c r="CZ89" i="86"/>
  <c r="DA89" i="86"/>
  <c r="DB89" i="86"/>
  <c r="CX89" i="86"/>
  <c r="DA85" i="86"/>
  <c r="CY85" i="86"/>
  <c r="DB85" i="86"/>
  <c r="CZ85" i="86"/>
  <c r="CX85" i="86"/>
  <c r="CR10" i="86"/>
  <c r="CS10" i="86"/>
  <c r="CP10" i="86"/>
  <c r="CQ10" i="86"/>
  <c r="CO10" i="86"/>
  <c r="DP100" i="86"/>
  <c r="DR100" i="86"/>
  <c r="DS100" i="86"/>
  <c r="DT100" i="86"/>
  <c r="DQ100" i="86"/>
  <c r="DR99" i="86"/>
  <c r="DQ99" i="86"/>
  <c r="DP99" i="86"/>
  <c r="DT99" i="86"/>
  <c r="DS99" i="86"/>
  <c r="BH92" i="86"/>
  <c r="BI92" i="86"/>
  <c r="BF92" i="86"/>
  <c r="BG92" i="86"/>
  <c r="BE92" i="86"/>
  <c r="CJ57" i="86"/>
  <c r="CI57" i="86"/>
  <c r="CG57" i="86"/>
  <c r="CF57" i="86"/>
  <c r="CH57" i="86"/>
  <c r="CX100" i="86"/>
  <c r="CZ100" i="86"/>
  <c r="CY100" i="86"/>
  <c r="DB100" i="86"/>
  <c r="DA100" i="86"/>
  <c r="CG80" i="86"/>
  <c r="CH80" i="86"/>
  <c r="CJ80" i="86"/>
  <c r="CF80" i="86"/>
  <c r="CI80" i="86"/>
  <c r="DG99" i="86"/>
  <c r="DH99" i="86"/>
  <c r="DK99" i="86"/>
  <c r="DJ99" i="86"/>
  <c r="DI99" i="86"/>
  <c r="DS48" i="86"/>
  <c r="DR48" i="86"/>
  <c r="DP48" i="86"/>
  <c r="DQ48" i="86"/>
  <c r="DT48" i="86"/>
  <c r="BQ84" i="86"/>
  <c r="BN84" i="86"/>
  <c r="BO84" i="86"/>
  <c r="BR84" i="86"/>
  <c r="BP84" i="86"/>
  <c r="DT95" i="86"/>
  <c r="DS95" i="86"/>
  <c r="DQ95" i="86"/>
  <c r="DP95" i="86"/>
  <c r="DR95" i="86"/>
  <c r="DQ85" i="86"/>
  <c r="DP85" i="86"/>
  <c r="DT85" i="86"/>
  <c r="DS85" i="86"/>
  <c r="DR85" i="86"/>
  <c r="BR19" i="86"/>
  <c r="BQ19" i="86"/>
  <c r="BP19" i="86"/>
  <c r="BN19" i="86"/>
  <c r="BO19" i="86"/>
  <c r="CR52" i="86"/>
  <c r="CQ52" i="86"/>
  <c r="CO52" i="86"/>
  <c r="CP52" i="86"/>
  <c r="CS52" i="86"/>
  <c r="DQ59" i="86"/>
  <c r="DT59" i="86"/>
  <c r="DS59" i="86"/>
  <c r="DR59" i="86"/>
  <c r="DP59" i="86"/>
  <c r="DK82" i="86"/>
  <c r="DH82" i="86"/>
  <c r="DJ82" i="86"/>
  <c r="DG82" i="86"/>
  <c r="DI82" i="86"/>
  <c r="BX26" i="86"/>
  <c r="CA26" i="86"/>
  <c r="BW26" i="86"/>
  <c r="BZ26" i="86"/>
  <c r="BY26" i="86"/>
  <c r="BN80" i="86"/>
  <c r="BR80" i="86"/>
  <c r="BP80" i="86"/>
  <c r="BO80" i="86"/>
  <c r="BQ80" i="86"/>
  <c r="DQ52" i="86"/>
  <c r="DP52" i="86"/>
  <c r="DT52" i="86"/>
  <c r="DS52" i="86"/>
  <c r="DR52" i="86"/>
  <c r="DG78" i="86"/>
  <c r="DI78" i="86"/>
  <c r="DH78" i="86"/>
  <c r="DJ78" i="86"/>
  <c r="DK78" i="86"/>
  <c r="BG104" i="86"/>
  <c r="BE104" i="86"/>
  <c r="BH104" i="86"/>
  <c r="BF104" i="86"/>
  <c r="BI104" i="86"/>
  <c r="CZ42" i="86"/>
  <c r="CY42" i="86"/>
  <c r="DA42" i="86"/>
  <c r="CX42" i="86"/>
  <c r="DB42" i="86"/>
  <c r="DA50" i="86"/>
  <c r="DB50" i="86"/>
  <c r="CY50" i="86"/>
  <c r="CZ50" i="86"/>
  <c r="CX50" i="86"/>
  <c r="CO48" i="86"/>
  <c r="CR48" i="86"/>
  <c r="CQ48" i="86"/>
  <c r="CP48" i="86"/>
  <c r="CS48" i="86"/>
  <c r="DI45" i="86"/>
  <c r="DH45" i="86"/>
  <c r="DJ45" i="86"/>
  <c r="DG45" i="86"/>
  <c r="DK45" i="86"/>
  <c r="DK60" i="86"/>
  <c r="DG60" i="86"/>
  <c r="DJ60" i="86"/>
  <c r="DH60" i="86"/>
  <c r="DI60" i="86"/>
  <c r="BE44" i="86"/>
  <c r="BH44" i="86"/>
  <c r="BI44" i="86"/>
  <c r="BF44" i="86"/>
  <c r="BG44" i="86"/>
  <c r="CY101" i="86"/>
  <c r="CX101" i="86"/>
  <c r="DA101" i="86"/>
  <c r="DB101" i="86"/>
  <c r="CZ101" i="86"/>
  <c r="CZ9" i="86"/>
  <c r="DB9" i="86"/>
  <c r="CX9" i="86"/>
  <c r="CY9" i="86"/>
  <c r="DA9" i="86"/>
  <c r="CS14" i="86"/>
  <c r="CP14" i="86"/>
  <c r="CO14" i="86"/>
  <c r="CQ14" i="86"/>
  <c r="CR14" i="86"/>
  <c r="DQ37" i="86"/>
  <c r="DR37" i="86"/>
  <c r="DT37" i="86"/>
  <c r="DP37" i="86"/>
  <c r="DS37" i="86"/>
  <c r="DQ13" i="86"/>
  <c r="DR13" i="86"/>
  <c r="DS13" i="86"/>
  <c r="DP13" i="86"/>
  <c r="DT13" i="86"/>
  <c r="BG38" i="86"/>
  <c r="BE38" i="86"/>
  <c r="BI38" i="86"/>
  <c r="BF38" i="86"/>
  <c r="BH38" i="86"/>
  <c r="CJ27" i="86"/>
  <c r="CH27" i="86"/>
  <c r="CF27" i="86"/>
  <c r="CI27" i="86"/>
  <c r="CG27" i="86"/>
  <c r="CY104" i="86"/>
  <c r="DB104" i="86"/>
  <c r="CZ104" i="86"/>
  <c r="DA104" i="86"/>
  <c r="CX104" i="86"/>
  <c r="CX40" i="86"/>
  <c r="CY40" i="86"/>
  <c r="DB40" i="86"/>
  <c r="CZ40" i="86"/>
  <c r="DA40" i="86"/>
  <c r="CH88" i="86"/>
  <c r="CF88" i="86"/>
  <c r="CJ88" i="86"/>
  <c r="CG88" i="86"/>
  <c r="CI88" i="86"/>
  <c r="DH102" i="86"/>
  <c r="DJ102" i="86"/>
  <c r="DG102" i="86"/>
  <c r="DI102" i="86"/>
  <c r="DK102" i="86"/>
  <c r="DQ50" i="86"/>
  <c r="DR50" i="86"/>
  <c r="DS50" i="86"/>
  <c r="DP50" i="86"/>
  <c r="DT50" i="86"/>
  <c r="BI70" i="86"/>
  <c r="BF70" i="86"/>
  <c r="BG70" i="86"/>
  <c r="BE70" i="86"/>
  <c r="BH70" i="86"/>
  <c r="BH65" i="86"/>
  <c r="BI65" i="86"/>
  <c r="BE65" i="86"/>
  <c r="BG65" i="86"/>
  <c r="BF65" i="86"/>
  <c r="BO64" i="86"/>
  <c r="BN64" i="86"/>
  <c r="BP64" i="86"/>
  <c r="BR64" i="86"/>
  <c r="BQ64" i="86"/>
  <c r="CY95" i="86"/>
  <c r="DB95" i="86"/>
  <c r="CX95" i="86"/>
  <c r="DA95" i="86"/>
  <c r="CZ95" i="86"/>
  <c r="CP77" i="86"/>
  <c r="CQ77" i="86"/>
  <c r="CO77" i="86"/>
  <c r="CR77" i="86"/>
  <c r="CS77" i="86"/>
  <c r="DG34" i="86"/>
  <c r="DJ34" i="86"/>
  <c r="DI34" i="86"/>
  <c r="DK34" i="86"/>
  <c r="DH34" i="86"/>
  <c r="CH62" i="86"/>
  <c r="CJ62" i="86"/>
  <c r="CG62" i="86"/>
  <c r="CI62" i="86"/>
  <c r="CF62" i="86"/>
  <c r="DI23" i="86"/>
  <c r="DK23" i="86"/>
  <c r="DH23" i="86"/>
  <c r="DG23" i="86"/>
  <c r="DJ23" i="86"/>
  <c r="DH11" i="86"/>
  <c r="DK11" i="86"/>
  <c r="DG11" i="86"/>
  <c r="DI11" i="86"/>
  <c r="DJ11" i="86"/>
  <c r="BE47" i="86"/>
  <c r="BG47" i="86"/>
  <c r="BF47" i="86"/>
  <c r="BH47" i="86"/>
  <c r="BI47" i="86"/>
  <c r="BZ105" i="86"/>
  <c r="BX105" i="86"/>
  <c r="BW105" i="86"/>
  <c r="BY105" i="86"/>
  <c r="CA105" i="86"/>
  <c r="BE43" i="86"/>
  <c r="BG43" i="86"/>
  <c r="BI43" i="86"/>
  <c r="BH43" i="86"/>
  <c r="BF43" i="86"/>
  <c r="BY9" i="86"/>
  <c r="BW9" i="86"/>
  <c r="BZ9" i="86"/>
  <c r="CA9" i="86"/>
  <c r="BX9" i="86"/>
  <c r="BQ71" i="86"/>
  <c r="BR71" i="86"/>
  <c r="BN71" i="86"/>
  <c r="BO71" i="86"/>
  <c r="BP71" i="86"/>
  <c r="CP24" i="86"/>
  <c r="CO24" i="86"/>
  <c r="CR24" i="86"/>
  <c r="CS24" i="86"/>
  <c r="CQ24" i="86"/>
  <c r="DJ68" i="86"/>
  <c r="DK68" i="86"/>
  <c r="DG68" i="86"/>
  <c r="DI68" i="86"/>
  <c r="DH68" i="86"/>
  <c r="DS64" i="86"/>
  <c r="DT64" i="86"/>
  <c r="DP64" i="86"/>
  <c r="DQ64" i="86"/>
  <c r="DR64" i="86"/>
  <c r="DH58" i="86"/>
  <c r="DJ58" i="86"/>
  <c r="DI58" i="86"/>
  <c r="DK58" i="86"/>
  <c r="DG58" i="86"/>
  <c r="DT36" i="86"/>
  <c r="DS36" i="86"/>
  <c r="DR36" i="86"/>
  <c r="DP36" i="86"/>
  <c r="DQ36" i="86"/>
  <c r="BX25" i="86"/>
  <c r="BZ25" i="86"/>
  <c r="BW25" i="86"/>
  <c r="CA25" i="86"/>
  <c r="BY25" i="86"/>
  <c r="BX100" i="86"/>
  <c r="BY100" i="86"/>
  <c r="BW100" i="86"/>
  <c r="BZ100" i="86"/>
  <c r="CA100" i="86"/>
  <c r="BZ80" i="86"/>
  <c r="BX80" i="86"/>
  <c r="BW80" i="86"/>
  <c r="BY80" i="86"/>
  <c r="CA80" i="86"/>
  <c r="CF98" i="86"/>
  <c r="CH98" i="86"/>
  <c r="CJ98" i="86"/>
  <c r="CI98" i="86"/>
  <c r="CG98" i="86"/>
  <c r="CR21" i="86"/>
  <c r="CP21" i="86"/>
  <c r="CS21" i="86"/>
  <c r="CQ21" i="86"/>
  <c r="CO21" i="86"/>
  <c r="DH49" i="86"/>
  <c r="DG49" i="86"/>
  <c r="DJ49" i="86"/>
  <c r="DK49" i="86"/>
  <c r="DI49" i="86"/>
  <c r="DP92" i="86"/>
  <c r="DS92" i="86"/>
  <c r="DR92" i="86"/>
  <c r="DQ92" i="86"/>
  <c r="DT92" i="86"/>
  <c r="BR10" i="86"/>
  <c r="BN10" i="86"/>
  <c r="BO10" i="86"/>
  <c r="BP10" i="86"/>
  <c r="BQ10" i="86"/>
  <c r="BO26" i="86"/>
  <c r="BP26" i="86"/>
  <c r="BN26" i="86"/>
  <c r="BQ26" i="86"/>
  <c r="BR26" i="86"/>
  <c r="BF84" i="86"/>
  <c r="BI84" i="86"/>
  <c r="BG84" i="86"/>
  <c r="BE84" i="86"/>
  <c r="BH84" i="86"/>
  <c r="BN23" i="86"/>
  <c r="BR23" i="86"/>
  <c r="BP23" i="86"/>
  <c r="BO23" i="86"/>
  <c r="BQ23" i="86"/>
  <c r="BF85" i="86"/>
  <c r="BE85" i="86"/>
  <c r="BI85" i="86"/>
  <c r="BG85" i="86"/>
  <c r="BH85" i="86"/>
  <c r="BE98" i="86"/>
  <c r="BG98" i="86"/>
  <c r="BI98" i="86"/>
  <c r="BH98" i="86"/>
  <c r="BF98" i="86"/>
  <c r="BY61" i="86"/>
  <c r="BZ61" i="86"/>
  <c r="CA61" i="86"/>
  <c r="BX61" i="86"/>
  <c r="BW61" i="86"/>
  <c r="BX47" i="86"/>
  <c r="BW47" i="86"/>
  <c r="CA47" i="86"/>
  <c r="BZ47" i="86"/>
  <c r="BY47" i="86"/>
  <c r="BY34" i="86"/>
  <c r="BX34" i="86"/>
  <c r="BZ34" i="86"/>
  <c r="BW34" i="86"/>
  <c r="CA34" i="86"/>
  <c r="BY30" i="86"/>
  <c r="CA30" i="86"/>
  <c r="BX30" i="86"/>
  <c r="BZ30" i="86"/>
  <c r="BW30" i="86"/>
  <c r="BF52" i="86"/>
  <c r="BG52" i="86"/>
  <c r="BI52" i="86"/>
  <c r="BH52" i="86"/>
  <c r="BE52" i="86"/>
  <c r="BY33" i="86"/>
  <c r="BZ33" i="86"/>
  <c r="BX33" i="86"/>
  <c r="CA33" i="86"/>
  <c r="BW33" i="86"/>
  <c r="BO76" i="86"/>
  <c r="BN76" i="86"/>
  <c r="BP76" i="86"/>
  <c r="BQ76" i="86"/>
  <c r="BR76" i="86"/>
  <c r="CA11" i="86"/>
  <c r="BW11" i="86"/>
  <c r="BX11" i="86"/>
  <c r="BY11" i="86"/>
  <c r="BZ11" i="86"/>
  <c r="BG102" i="86"/>
  <c r="BE102" i="86"/>
  <c r="BF102" i="86"/>
  <c r="BI102" i="86"/>
  <c r="BH102" i="86"/>
  <c r="BX64" i="86"/>
  <c r="BY64" i="86"/>
  <c r="BZ64" i="86"/>
  <c r="CA64" i="86"/>
  <c r="BW64" i="86"/>
  <c r="DB49" i="86"/>
  <c r="CX49" i="86"/>
  <c r="DA49" i="86"/>
  <c r="CY49" i="86"/>
  <c r="CZ49" i="86"/>
  <c r="CJ15" i="86"/>
  <c r="CF15" i="86"/>
  <c r="CH15" i="86"/>
  <c r="CG15" i="86"/>
  <c r="CI15" i="86"/>
  <c r="CZ69" i="86"/>
  <c r="CY69" i="86"/>
  <c r="DB69" i="86"/>
  <c r="CX69" i="86"/>
  <c r="DA69" i="86"/>
  <c r="DB27" i="86"/>
  <c r="CX27" i="86"/>
  <c r="CY27" i="86"/>
  <c r="CZ27" i="86"/>
  <c r="DA27" i="86"/>
  <c r="CY96" i="86"/>
  <c r="DA96" i="86"/>
  <c r="DB96" i="86"/>
  <c r="CZ96" i="86"/>
  <c r="CX96" i="86"/>
  <c r="CR95" i="86"/>
  <c r="CS95" i="86"/>
  <c r="CP95" i="86"/>
  <c r="CQ95" i="86"/>
  <c r="CO95" i="86"/>
  <c r="DB74" i="86"/>
  <c r="CY74" i="86"/>
  <c r="CZ74" i="86"/>
  <c r="DA74" i="86"/>
  <c r="CX74" i="86"/>
  <c r="DB62" i="86"/>
  <c r="CY62" i="86"/>
  <c r="CX62" i="86"/>
  <c r="DA62" i="86"/>
  <c r="CZ62" i="86"/>
  <c r="CF11" i="86"/>
  <c r="CJ11" i="86"/>
  <c r="CI11" i="86"/>
  <c r="CH11" i="86"/>
  <c r="CG11" i="86"/>
  <c r="DK48" i="86"/>
  <c r="DI48" i="86"/>
  <c r="DG48" i="86"/>
  <c r="DH48" i="86"/>
  <c r="DJ48" i="86"/>
  <c r="CS81" i="86"/>
  <c r="CP81" i="86"/>
  <c r="CQ81" i="86"/>
  <c r="CR81" i="86"/>
  <c r="CO81" i="86"/>
  <c r="CQ78" i="86"/>
  <c r="CR78" i="86"/>
  <c r="CS78" i="86"/>
  <c r="CP78" i="86"/>
  <c r="CO78" i="86"/>
  <c r="CZ91" i="86"/>
  <c r="DB91" i="86"/>
  <c r="CY91" i="86"/>
  <c r="DA91" i="86"/>
  <c r="CX91" i="86"/>
  <c r="CQ67" i="86"/>
  <c r="CP67" i="86"/>
  <c r="CR67" i="86"/>
  <c r="CS67" i="86"/>
  <c r="CO67" i="86"/>
  <c r="CZ39" i="86"/>
  <c r="CX39" i="86"/>
  <c r="CY39" i="86"/>
  <c r="DB39" i="86"/>
  <c r="DA39" i="86"/>
  <c r="DS10" i="86"/>
  <c r="DT10" i="86"/>
  <c r="DR10" i="86"/>
  <c r="DQ10" i="86"/>
  <c r="DP10" i="86"/>
  <c r="BH11" i="86"/>
  <c r="BG11" i="86"/>
  <c r="BI11" i="86"/>
  <c r="BE11" i="86"/>
  <c r="BF11" i="86"/>
  <c r="CY59" i="86"/>
  <c r="CZ59" i="86"/>
  <c r="DA59" i="86"/>
  <c r="CX59" i="86"/>
  <c r="DB59" i="86"/>
  <c r="CS103" i="86"/>
  <c r="CP103" i="86"/>
  <c r="CO103" i="86"/>
  <c r="CQ103" i="86"/>
  <c r="CR103" i="86"/>
  <c r="CJ90" i="86"/>
  <c r="CF90" i="86"/>
  <c r="CH90" i="86"/>
  <c r="CG90" i="86"/>
  <c r="CI90" i="86"/>
  <c r="DH14" i="86"/>
  <c r="DJ14" i="86"/>
  <c r="DI14" i="86"/>
  <c r="DK14" i="86"/>
  <c r="DG14" i="86"/>
  <c r="DR51" i="86"/>
  <c r="DT51" i="86"/>
  <c r="DS51" i="86"/>
  <c r="DP51" i="86"/>
  <c r="DQ51" i="86"/>
  <c r="BZ44" i="86"/>
  <c r="CA44" i="86"/>
  <c r="BW44" i="86"/>
  <c r="BY44" i="86"/>
  <c r="BX44" i="86"/>
  <c r="DA103" i="86"/>
  <c r="CX103" i="86"/>
  <c r="CY103" i="86"/>
  <c r="CZ103" i="86"/>
  <c r="DB103" i="86"/>
  <c r="DA14" i="86"/>
  <c r="DB14" i="86"/>
  <c r="CY14" i="86"/>
  <c r="CZ14" i="86"/>
  <c r="CX14" i="86"/>
  <c r="CX70" i="86"/>
  <c r="DB70" i="86"/>
  <c r="CZ70" i="86"/>
  <c r="CY70" i="86"/>
  <c r="DA70" i="86"/>
  <c r="CG56" i="86"/>
  <c r="CJ56" i="86"/>
  <c r="CF56" i="86"/>
  <c r="CH56" i="86"/>
  <c r="CI56" i="86"/>
  <c r="DS94" i="86"/>
  <c r="DR94" i="86"/>
  <c r="DQ94" i="86"/>
  <c r="DT94" i="86"/>
  <c r="DP94" i="86"/>
  <c r="BR18" i="86"/>
  <c r="BN18" i="86"/>
  <c r="BO18" i="86"/>
  <c r="BP18" i="86"/>
  <c r="BQ18" i="86"/>
  <c r="BN13" i="86"/>
  <c r="BP13" i="86"/>
  <c r="BO13" i="86"/>
  <c r="BR13" i="86"/>
  <c r="BQ13" i="86"/>
  <c r="DT80" i="86"/>
  <c r="DR80" i="86"/>
  <c r="DS80" i="86"/>
  <c r="DQ80" i="86"/>
  <c r="DP80" i="86"/>
  <c r="DG42" i="86"/>
  <c r="DI42" i="86"/>
  <c r="DJ42" i="86"/>
  <c r="DK42" i="86"/>
  <c r="DH42" i="86"/>
  <c r="BW79" i="86"/>
  <c r="BZ79" i="86"/>
  <c r="CA79" i="86"/>
  <c r="BY79" i="86"/>
  <c r="BX79" i="86"/>
  <c r="CQ28" i="86"/>
  <c r="CO28" i="86"/>
  <c r="CP28" i="86"/>
  <c r="CR28" i="86"/>
  <c r="CS28" i="86"/>
  <c r="DK59" i="86"/>
  <c r="DH59" i="86"/>
  <c r="DG59" i="86"/>
  <c r="DJ59" i="86"/>
  <c r="DI59" i="86"/>
  <c r="DG24" i="86"/>
  <c r="DI24" i="86"/>
  <c r="DK24" i="86"/>
  <c r="DJ24" i="86"/>
  <c r="DH24" i="86"/>
  <c r="BP37" i="86"/>
  <c r="BN37" i="86"/>
  <c r="BO37" i="86"/>
  <c r="BQ37" i="86"/>
  <c r="BR37" i="86"/>
  <c r="CQ26" i="86"/>
  <c r="CO26" i="86"/>
  <c r="CP26" i="86"/>
  <c r="CR26" i="86"/>
  <c r="CS26" i="86"/>
  <c r="DI52" i="86"/>
  <c r="DJ52" i="86"/>
  <c r="DG52" i="86"/>
  <c r="DK52" i="86"/>
  <c r="DH52" i="86"/>
  <c r="DP20" i="86"/>
  <c r="DS20" i="86"/>
  <c r="DT20" i="86"/>
  <c r="DQ20" i="86"/>
  <c r="DR20" i="86"/>
  <c r="BO16" i="86"/>
  <c r="BR16" i="86"/>
  <c r="BP16" i="86"/>
  <c r="BN16" i="86"/>
  <c r="BQ16" i="86"/>
  <c r="BQ63" i="86"/>
  <c r="BP63" i="86"/>
  <c r="BN63" i="86"/>
  <c r="BO63" i="86"/>
  <c r="BR63" i="86"/>
  <c r="CJ105" i="86"/>
  <c r="CF105" i="86"/>
  <c r="CG105" i="86"/>
  <c r="CH105" i="86"/>
  <c r="CI105" i="86"/>
  <c r="DA13" i="86"/>
  <c r="CZ13" i="86"/>
  <c r="CX13" i="86"/>
  <c r="DB13" i="86"/>
  <c r="CY13" i="86"/>
  <c r="CR16" i="86"/>
  <c r="CS16" i="86"/>
  <c r="CP16" i="86"/>
  <c r="CQ16" i="86"/>
  <c r="CO16" i="86"/>
  <c r="DQ44" i="86"/>
  <c r="DR44" i="86"/>
  <c r="DS44" i="86"/>
  <c r="DP44" i="86"/>
  <c r="DT44" i="86"/>
  <c r="DH17" i="86"/>
  <c r="DI17" i="86"/>
  <c r="DG17" i="86"/>
  <c r="DJ17" i="86"/>
  <c r="DK17" i="86"/>
  <c r="DB65" i="86"/>
  <c r="CZ65" i="86"/>
  <c r="CY65" i="86"/>
  <c r="CX65" i="86"/>
  <c r="DA65" i="86"/>
  <c r="DA43" i="86"/>
  <c r="CZ43" i="86"/>
  <c r="DB43" i="86"/>
  <c r="CX43" i="86"/>
  <c r="CY43" i="86"/>
  <c r="CI94" i="86"/>
  <c r="CF94" i="86"/>
  <c r="CG94" i="86"/>
  <c r="CH94" i="86"/>
  <c r="CJ94" i="86"/>
  <c r="DQ28" i="86"/>
  <c r="DS28" i="86"/>
  <c r="DT28" i="86"/>
  <c r="DR28" i="86"/>
  <c r="DP28" i="86"/>
  <c r="DP69" i="86"/>
  <c r="DT69" i="86"/>
  <c r="DS69" i="86"/>
  <c r="DQ69" i="86"/>
  <c r="DR69" i="86"/>
  <c r="BI101" i="86"/>
  <c r="BE101" i="86"/>
  <c r="BH101" i="86"/>
  <c r="BG101" i="86"/>
  <c r="BF101" i="86"/>
  <c r="BI8" i="86"/>
  <c r="BE8" i="86"/>
  <c r="BF8" i="86"/>
  <c r="BH8" i="86"/>
  <c r="BG8" i="86"/>
  <c r="CJ99" i="86"/>
  <c r="CF99" i="86"/>
  <c r="CH99" i="86"/>
  <c r="CI99" i="86"/>
  <c r="CG99" i="86"/>
  <c r="CZ80" i="86"/>
  <c r="DB80" i="86"/>
  <c r="CX80" i="86"/>
  <c r="CY80" i="86"/>
  <c r="DA80" i="86"/>
  <c r="DB8" i="86"/>
  <c r="CZ8" i="86"/>
  <c r="DA8" i="86"/>
  <c r="CY8" i="86"/>
  <c r="CX8" i="86"/>
  <c r="CH64" i="86"/>
  <c r="CI64" i="86"/>
  <c r="CF64" i="86"/>
  <c r="CJ64" i="86"/>
  <c r="CG64" i="86"/>
  <c r="DI30" i="86"/>
  <c r="DH30" i="86"/>
  <c r="DG30" i="86"/>
  <c r="DJ30" i="86"/>
  <c r="DK30" i="86"/>
  <c r="DP14" i="86"/>
  <c r="DT14" i="86"/>
  <c r="DQ14" i="86"/>
  <c r="DR14" i="86"/>
  <c r="DS14" i="86"/>
  <c r="BG75" i="86"/>
  <c r="BI75" i="86"/>
  <c r="BE75" i="86"/>
  <c r="BF75" i="86"/>
  <c r="BH75" i="86"/>
  <c r="BH45" i="86"/>
  <c r="BE45" i="86"/>
  <c r="BF45" i="86"/>
  <c r="BG45" i="86"/>
  <c r="BI45" i="86"/>
  <c r="BG55" i="86"/>
  <c r="BH55" i="86"/>
  <c r="BF55" i="86"/>
  <c r="BI55" i="86"/>
  <c r="BE55" i="86"/>
  <c r="CZ71" i="86"/>
  <c r="DA71" i="86"/>
  <c r="CX71" i="86"/>
  <c r="DB71" i="86"/>
  <c r="CY71" i="86"/>
  <c r="CS53" i="86"/>
  <c r="CP53" i="86"/>
  <c r="CO53" i="86"/>
  <c r="CQ53" i="86"/>
  <c r="CR53" i="86"/>
  <c r="CR102" i="86"/>
  <c r="CO102" i="86"/>
  <c r="CP102" i="86"/>
  <c r="CS102" i="86"/>
  <c r="CQ102" i="86"/>
  <c r="CI42" i="86"/>
  <c r="CF42" i="86"/>
  <c r="CG42" i="86"/>
  <c r="CH42" i="86"/>
  <c r="CJ42" i="86"/>
  <c r="DI43" i="86"/>
  <c r="DK43" i="86"/>
  <c r="DJ43" i="86"/>
  <c r="DG43" i="86"/>
  <c r="DH43" i="86"/>
  <c r="DG71" i="86"/>
  <c r="DH71" i="86"/>
  <c r="DK71" i="86"/>
  <c r="DI71" i="86"/>
  <c r="DJ71" i="86"/>
  <c r="BN43" i="86"/>
  <c r="BP43" i="86"/>
  <c r="BR43" i="86"/>
  <c r="BQ43" i="86"/>
  <c r="BO43" i="86"/>
  <c r="CA46" i="86"/>
  <c r="BW46" i="86"/>
  <c r="BY46" i="86"/>
  <c r="BZ46" i="86"/>
  <c r="BX46" i="86"/>
  <c r="CS8" i="86"/>
  <c r="CO8" i="86"/>
  <c r="CR8" i="86"/>
  <c r="CQ8" i="86"/>
  <c r="CP8" i="86"/>
  <c r="CO39" i="86"/>
  <c r="CP39" i="86"/>
  <c r="CQ39" i="86"/>
  <c r="CR39" i="86"/>
  <c r="CS39" i="86"/>
  <c r="DK7" i="86"/>
  <c r="DI7" i="86"/>
  <c r="DJ7" i="86"/>
  <c r="DG7" i="86"/>
  <c r="DH7" i="86"/>
  <c r="DG29" i="86"/>
  <c r="DI29" i="86"/>
  <c r="DH29" i="86"/>
  <c r="DK29" i="86"/>
  <c r="DJ29" i="86"/>
  <c r="DQ12" i="86"/>
  <c r="DT12" i="86"/>
  <c r="DS12" i="86"/>
  <c r="DP12" i="86"/>
  <c r="DR12" i="86"/>
  <c r="BF63" i="86"/>
  <c r="BE63" i="86"/>
  <c r="BI63" i="86"/>
  <c r="BH63" i="86"/>
  <c r="BG63" i="86"/>
  <c r="BX10" i="86"/>
  <c r="CA10" i="86"/>
  <c r="BZ10" i="86"/>
  <c r="BY10" i="86"/>
  <c r="BW10" i="86"/>
  <c r="CA70" i="86"/>
  <c r="BX70" i="86"/>
  <c r="BZ70" i="86"/>
  <c r="BY70" i="86"/>
  <c r="BW70" i="86"/>
  <c r="CG82" i="86"/>
  <c r="CI82" i="86"/>
  <c r="CJ82" i="86"/>
  <c r="CH82" i="86"/>
  <c r="CF82" i="86"/>
  <c r="DR103" i="86"/>
  <c r="DQ103" i="86"/>
  <c r="DS103" i="86"/>
  <c r="DP103" i="86"/>
  <c r="DT103" i="86"/>
  <c r="DI98" i="86"/>
  <c r="DG98" i="86"/>
  <c r="DJ98" i="86"/>
  <c r="DH98" i="86"/>
  <c r="DK98" i="86"/>
  <c r="DJ64" i="86"/>
  <c r="DI64" i="86"/>
  <c r="DK64" i="86"/>
  <c r="DG64" i="86"/>
  <c r="DH64" i="86"/>
  <c r="BQ86" i="86"/>
  <c r="BO86" i="86"/>
  <c r="BP86" i="86"/>
  <c r="BR86" i="86"/>
  <c r="BN86" i="86"/>
  <c r="BG21" i="86"/>
  <c r="BI21" i="86"/>
  <c r="BE21" i="86"/>
  <c r="BH21" i="86"/>
  <c r="BF21" i="86"/>
  <c r="BO98" i="86"/>
  <c r="BN98" i="86"/>
  <c r="BP98" i="86"/>
  <c r="BR98" i="86"/>
  <c r="BQ98" i="86"/>
  <c r="BY104" i="86"/>
  <c r="BX104" i="86"/>
  <c r="CA104" i="86"/>
  <c r="BW104" i="86"/>
  <c r="BZ104" i="86"/>
  <c r="BO79" i="86"/>
  <c r="BP79" i="86"/>
  <c r="BQ79" i="86"/>
  <c r="BR79" i="86"/>
  <c r="BN79" i="86"/>
  <c r="BO57" i="86"/>
  <c r="BR57" i="86"/>
  <c r="BQ57" i="86"/>
  <c r="BN57" i="86"/>
  <c r="BP57" i="86"/>
  <c r="BG66" i="86"/>
  <c r="BF66" i="86"/>
  <c r="BE66" i="86"/>
  <c r="BH66" i="86"/>
  <c r="BI66" i="86"/>
  <c r="CA54" i="86"/>
  <c r="BZ54" i="86"/>
  <c r="BY54" i="86"/>
  <c r="BX54" i="86"/>
  <c r="BW54" i="86"/>
  <c r="BF34" i="86"/>
  <c r="BI34" i="86"/>
  <c r="BH34" i="86"/>
  <c r="BE34" i="86"/>
  <c r="BG34" i="86"/>
  <c r="BF69" i="86"/>
  <c r="BE69" i="86"/>
  <c r="BG69" i="86"/>
  <c r="BI69" i="86"/>
  <c r="BH69" i="86"/>
  <c r="BW17" i="86"/>
  <c r="BX17" i="86"/>
  <c r="BZ17" i="86"/>
  <c r="CA17" i="86"/>
  <c r="BY17" i="86"/>
  <c r="BQ11" i="86"/>
  <c r="BO11" i="86"/>
  <c r="BP11" i="86"/>
  <c r="BN11" i="86"/>
  <c r="BR11" i="86"/>
  <c r="BQ74" i="86"/>
  <c r="BO74" i="86"/>
  <c r="BR74" i="86"/>
  <c r="BP74" i="86"/>
  <c r="BN74" i="86"/>
  <c r="BW12" i="86"/>
  <c r="BX12" i="86"/>
  <c r="BZ12" i="86"/>
  <c r="BY12" i="86"/>
  <c r="CA12" i="86"/>
  <c r="BH29" i="86"/>
  <c r="BF29" i="86"/>
  <c r="BE29" i="86"/>
  <c r="BI29" i="86"/>
  <c r="BG29" i="86"/>
  <c r="BO49" i="86"/>
  <c r="BP49" i="86"/>
  <c r="BN49" i="86"/>
  <c r="BR49" i="86"/>
  <c r="BQ49" i="86"/>
  <c r="BO46" i="86"/>
  <c r="BN46" i="86"/>
  <c r="BR46" i="86"/>
  <c r="BP46" i="86"/>
  <c r="BQ46" i="86"/>
  <c r="CI35" i="86"/>
  <c r="CJ35" i="86"/>
  <c r="CG35" i="86"/>
  <c r="CF35" i="86"/>
  <c r="CH35" i="86"/>
  <c r="CJ17" i="86"/>
  <c r="CI17" i="86"/>
  <c r="CF17" i="86"/>
  <c r="CH17" i="86"/>
  <c r="CG17" i="86"/>
  <c r="DJ77" i="86"/>
  <c r="DI77" i="86"/>
  <c r="DG77" i="86"/>
  <c r="DK77" i="86"/>
  <c r="DH77" i="86"/>
  <c r="DA73" i="86"/>
  <c r="CX73" i="86"/>
  <c r="CZ73" i="86"/>
  <c r="DB73" i="86"/>
  <c r="CY73" i="86"/>
  <c r="CX6" i="86"/>
  <c r="CZ6" i="86"/>
  <c r="DB6" i="86"/>
  <c r="CY6" i="86"/>
  <c r="DA6" i="86"/>
  <c r="CR97" i="86"/>
  <c r="CS97" i="86"/>
  <c r="CO97" i="86"/>
  <c r="CP97" i="86"/>
  <c r="CQ97" i="86"/>
  <c r="CZ76" i="86"/>
  <c r="DA76" i="86"/>
  <c r="CX76" i="86"/>
  <c r="DB76" i="86"/>
  <c r="CY76" i="86"/>
  <c r="CY58" i="86"/>
  <c r="CX58" i="86"/>
  <c r="DA58" i="86"/>
  <c r="DB58" i="86"/>
  <c r="CZ58" i="86"/>
  <c r="CG45" i="86"/>
  <c r="CH45" i="86"/>
  <c r="CI45" i="86"/>
  <c r="CF45" i="86"/>
  <c r="CJ45" i="86"/>
  <c r="DP62" i="86"/>
  <c r="DT62" i="86"/>
  <c r="DR62" i="86"/>
  <c r="DS62" i="86"/>
  <c r="DQ62" i="86"/>
  <c r="CJ7" i="86"/>
  <c r="CF7" i="86"/>
  <c r="CH7" i="86"/>
  <c r="CG7" i="86"/>
  <c r="CI7" i="86"/>
  <c r="CI92" i="86"/>
  <c r="CG92" i="86"/>
  <c r="CJ92" i="86"/>
  <c r="CF92" i="86"/>
  <c r="CH92" i="86"/>
  <c r="CJ49" i="86"/>
  <c r="CG49" i="86"/>
  <c r="CH49" i="86"/>
  <c r="CF49" i="86"/>
  <c r="CI49" i="86"/>
  <c r="DR53" i="86"/>
  <c r="DT53" i="86"/>
  <c r="DS53" i="86"/>
  <c r="DP53" i="86"/>
  <c r="DQ53" i="86"/>
  <c r="CF54" i="86"/>
  <c r="CH54" i="86"/>
  <c r="CI54" i="86"/>
  <c r="CG54" i="86"/>
  <c r="CJ54" i="86"/>
  <c r="CR45" i="86"/>
  <c r="CS45" i="86"/>
  <c r="CO45" i="86"/>
  <c r="CP45" i="86"/>
  <c r="CQ45" i="86"/>
  <c r="CQ36" i="86"/>
  <c r="CR36" i="86"/>
  <c r="CS36" i="86"/>
  <c r="CO36" i="86"/>
  <c r="CP36" i="86"/>
  <c r="CY26" i="86"/>
  <c r="CZ26" i="86"/>
  <c r="CX26" i="86"/>
  <c r="DA26" i="86"/>
  <c r="DB26" i="86"/>
  <c r="CP73" i="86"/>
  <c r="CR73" i="86"/>
  <c r="CS73" i="86"/>
  <c r="CQ73" i="86"/>
  <c r="CO73" i="86"/>
  <c r="CI58" i="86"/>
  <c r="CG58" i="86"/>
  <c r="CH58" i="86"/>
  <c r="CF58" i="86"/>
  <c r="CJ58" i="86"/>
  <c r="DK20" i="86"/>
  <c r="DJ20" i="86"/>
  <c r="DG20" i="86"/>
  <c r="DI20" i="86"/>
  <c r="DH20" i="86"/>
  <c r="DP15" i="86"/>
  <c r="DR15" i="86"/>
  <c r="DT15" i="86"/>
  <c r="DQ15" i="86"/>
  <c r="DS15" i="86"/>
  <c r="CJ9" i="86"/>
  <c r="CG9" i="86"/>
  <c r="CH9" i="86"/>
  <c r="CI9" i="86"/>
  <c r="CF9" i="86"/>
  <c r="CF25" i="86"/>
  <c r="CH25" i="86"/>
  <c r="CG25" i="86"/>
  <c r="CI25" i="86"/>
  <c r="CJ25" i="86"/>
  <c r="CX32" i="86"/>
  <c r="DB32" i="86"/>
  <c r="CZ32" i="86"/>
  <c r="CY32" i="86"/>
  <c r="DA32" i="86"/>
  <c r="CI28" i="86"/>
  <c r="CJ28" i="86"/>
  <c r="CG28" i="86"/>
  <c r="CF28" i="86"/>
  <c r="CH28" i="86"/>
  <c r="DK51" i="86"/>
  <c r="DI51" i="86"/>
  <c r="DH51" i="86"/>
  <c r="DJ51" i="86"/>
  <c r="DG51" i="86"/>
  <c r="BY83" i="86"/>
  <c r="BW83" i="86"/>
  <c r="BZ83" i="86"/>
  <c r="CA83" i="86"/>
  <c r="BX83" i="86"/>
  <c r="BO87" i="86"/>
  <c r="BQ87" i="86"/>
  <c r="BP87" i="86"/>
  <c r="BR87" i="86"/>
  <c r="BN87" i="86"/>
  <c r="DI86" i="86"/>
  <c r="DJ86" i="86"/>
  <c r="DK86" i="86"/>
  <c r="DH86" i="86"/>
  <c r="DG86" i="86"/>
  <c r="DR87" i="86"/>
  <c r="DQ87" i="86"/>
  <c r="DP87" i="86"/>
  <c r="DS87" i="86"/>
  <c r="DT87" i="86"/>
  <c r="BY75" i="86"/>
  <c r="BZ75" i="86"/>
  <c r="CA75" i="86"/>
  <c r="BW75" i="86"/>
  <c r="BX75" i="86"/>
  <c r="CJ104" i="86"/>
  <c r="CG104" i="86"/>
  <c r="CH104" i="86"/>
  <c r="CF104" i="86"/>
  <c r="CI104" i="86"/>
  <c r="DJ79" i="86"/>
  <c r="DH79" i="86"/>
  <c r="DI79" i="86"/>
  <c r="DK79" i="86"/>
  <c r="DG79" i="86"/>
  <c r="DT78" i="86"/>
  <c r="DQ78" i="86"/>
  <c r="DR78" i="86"/>
  <c r="DP78" i="86"/>
  <c r="DS78" i="86"/>
  <c r="BH103" i="86"/>
  <c r="BG103" i="86"/>
  <c r="BI103" i="86"/>
  <c r="BF103" i="86"/>
  <c r="BE103" i="86"/>
  <c r="BH76" i="86"/>
  <c r="BG76" i="86"/>
  <c r="BF76" i="86"/>
  <c r="BE76" i="86"/>
  <c r="BI76" i="86"/>
  <c r="CG102" i="86"/>
  <c r="CH102" i="86"/>
  <c r="CI102" i="86"/>
  <c r="CJ102" i="86"/>
  <c r="CF102" i="86"/>
  <c r="DT71" i="86"/>
  <c r="DS71" i="86"/>
  <c r="DP71" i="86"/>
  <c r="DR71" i="86"/>
  <c r="DQ71" i="86"/>
  <c r="DQ75" i="86"/>
  <c r="DT75" i="86"/>
  <c r="DR75" i="86"/>
  <c r="DP75" i="86"/>
  <c r="DS75" i="86"/>
  <c r="BE14" i="86"/>
  <c r="BH14" i="86"/>
  <c r="BF14" i="86"/>
  <c r="BI14" i="86"/>
  <c r="BG14" i="86"/>
  <c r="CG69" i="86"/>
  <c r="CI69" i="86"/>
  <c r="CF69" i="86"/>
  <c r="CJ69" i="86"/>
  <c r="CH69" i="86"/>
  <c r="CI53" i="86"/>
  <c r="CG53" i="86"/>
  <c r="CF53" i="86"/>
  <c r="CH53" i="86"/>
  <c r="CJ53" i="86"/>
  <c r="CG96" i="86"/>
  <c r="CJ96" i="86"/>
  <c r="CI96" i="86"/>
  <c r="CF96" i="86"/>
  <c r="CH96" i="86"/>
  <c r="DT35" i="86"/>
  <c r="DP35" i="86"/>
  <c r="DQ35" i="86"/>
  <c r="DS35" i="86"/>
  <c r="DR35" i="86"/>
  <c r="DR72" i="86"/>
  <c r="DP72" i="86"/>
  <c r="DS72" i="86"/>
  <c r="DT72" i="86"/>
  <c r="DQ72" i="86"/>
  <c r="BI9" i="86"/>
  <c r="BF9" i="86"/>
  <c r="BG9" i="86"/>
  <c r="BH9" i="86"/>
  <c r="BE9" i="86"/>
  <c r="BW16" i="86"/>
  <c r="BX16" i="86"/>
  <c r="BY16" i="86"/>
  <c r="BZ16" i="86"/>
  <c r="CA16" i="86"/>
  <c r="CX34" i="86"/>
  <c r="DB34" i="86"/>
  <c r="DA34" i="86"/>
  <c r="CZ34" i="86"/>
  <c r="CY34" i="86"/>
  <c r="CP79" i="86"/>
  <c r="CQ79" i="86"/>
  <c r="CR79" i="86"/>
  <c r="CS79" i="86"/>
  <c r="CO79" i="86"/>
  <c r="CI70" i="86"/>
  <c r="CG70" i="86"/>
  <c r="CH70" i="86"/>
  <c r="CF70" i="86"/>
  <c r="CJ70" i="86"/>
  <c r="DS34" i="86"/>
  <c r="DT34" i="86"/>
  <c r="DR34" i="86"/>
  <c r="DP34" i="86"/>
  <c r="DQ34" i="86"/>
  <c r="DP21" i="86"/>
  <c r="DR21" i="86"/>
  <c r="DT21" i="86"/>
  <c r="DQ21" i="86"/>
  <c r="DS21" i="86"/>
  <c r="DA97" i="86"/>
  <c r="CY97" i="86"/>
  <c r="CZ97" i="86"/>
  <c r="DB97" i="86"/>
  <c r="CX97" i="86"/>
  <c r="CG75" i="86"/>
  <c r="CJ75" i="86"/>
  <c r="CH75" i="86"/>
  <c r="CF75" i="86"/>
  <c r="CI75" i="86"/>
  <c r="DB56" i="86"/>
  <c r="CZ56" i="86"/>
  <c r="CX56" i="86"/>
  <c r="DA56" i="86"/>
  <c r="CY56" i="86"/>
  <c r="CQ6" i="86"/>
  <c r="CP6" i="86"/>
  <c r="CR6" i="86"/>
  <c r="CO6" i="86"/>
  <c r="CS6" i="86"/>
  <c r="CH44" i="86"/>
  <c r="CF44" i="86"/>
  <c r="CI44" i="86"/>
  <c r="CJ44" i="86"/>
  <c r="CG44" i="86"/>
  <c r="DG50" i="86"/>
  <c r="DK50" i="86"/>
  <c r="DI50" i="86"/>
  <c r="DH50" i="86"/>
  <c r="DJ50" i="86"/>
  <c r="DR74" i="86"/>
  <c r="DQ74" i="86"/>
  <c r="DT74" i="86"/>
  <c r="DS74" i="86"/>
  <c r="DP74" i="86"/>
  <c r="BQ55" i="86"/>
  <c r="BO55" i="86"/>
  <c r="BP55" i="86"/>
  <c r="BR55" i="86"/>
  <c r="BN55" i="86"/>
  <c r="BG33" i="86"/>
  <c r="BF33" i="86"/>
  <c r="BE33" i="86"/>
  <c r="BI33" i="86"/>
  <c r="BH33" i="86"/>
  <c r="CY47" i="86"/>
  <c r="DB47" i="86"/>
  <c r="CX47" i="86"/>
  <c r="CZ47" i="86"/>
  <c r="DA47" i="86"/>
  <c r="CX25" i="86"/>
  <c r="DA25" i="86"/>
  <c r="DB25" i="86"/>
  <c r="CY25" i="86"/>
  <c r="CZ25" i="86"/>
  <c r="CO82" i="86"/>
  <c r="CQ82" i="86"/>
  <c r="CP82" i="86"/>
  <c r="CR82" i="86"/>
  <c r="CS82" i="86"/>
  <c r="CF22" i="86"/>
  <c r="CH22" i="86"/>
  <c r="CI22" i="86"/>
  <c r="CJ22" i="86"/>
  <c r="CG22" i="86"/>
  <c r="DP77" i="86"/>
  <c r="DT77" i="86"/>
  <c r="DQ77" i="86"/>
  <c r="DR77" i="86"/>
  <c r="DS77" i="86"/>
  <c r="DK28" i="86"/>
  <c r="DG28" i="86"/>
  <c r="DI28" i="86"/>
  <c r="DJ28" i="86"/>
  <c r="DH28" i="86"/>
  <c r="BP104" i="86"/>
  <c r="BO104" i="86"/>
  <c r="BN104" i="86"/>
  <c r="BR104" i="86"/>
  <c r="BQ104" i="86"/>
  <c r="BY66" i="86"/>
  <c r="BW66" i="86"/>
  <c r="CA66" i="86"/>
  <c r="BZ66" i="86"/>
  <c r="BX66" i="86"/>
  <c r="BQ72" i="86"/>
  <c r="BO72" i="86"/>
  <c r="BN72" i="86"/>
  <c r="BP72" i="86"/>
  <c r="BR72" i="86"/>
  <c r="BO59" i="86"/>
  <c r="BR59" i="86"/>
  <c r="BQ59" i="86"/>
  <c r="BN59" i="86"/>
  <c r="BP59" i="86"/>
  <c r="CG100" i="86"/>
  <c r="CH100" i="86"/>
  <c r="CI100" i="86"/>
  <c r="CJ100" i="86"/>
  <c r="CF100" i="86"/>
  <c r="CP23" i="86"/>
  <c r="CQ23" i="86"/>
  <c r="CR23" i="86"/>
  <c r="CS23" i="86"/>
  <c r="CO23" i="86"/>
  <c r="DG56" i="86"/>
  <c r="DH56" i="86"/>
  <c r="DI56" i="86"/>
  <c r="DJ56" i="86"/>
  <c r="DK56" i="86"/>
  <c r="DH96" i="86"/>
  <c r="DI96" i="86"/>
  <c r="DK96" i="86"/>
  <c r="DG96" i="86"/>
  <c r="DJ96" i="86"/>
  <c r="BI18" i="86"/>
  <c r="BE18" i="86"/>
  <c r="BG18" i="86"/>
  <c r="BH18" i="86"/>
  <c r="BF18" i="86"/>
  <c r="BZ18" i="86"/>
  <c r="BY18" i="86"/>
  <c r="BX18" i="86"/>
  <c r="BW18" i="86"/>
  <c r="CA18" i="86"/>
  <c r="CO86" i="86"/>
  <c r="CP86" i="86"/>
  <c r="CQ86" i="86"/>
  <c r="CS86" i="86"/>
  <c r="CR86" i="86"/>
  <c r="CH66" i="86"/>
  <c r="CJ66" i="86"/>
  <c r="CF66" i="86"/>
  <c r="CG66" i="86"/>
  <c r="CI66" i="86"/>
  <c r="DH81" i="86"/>
  <c r="DG81" i="86"/>
  <c r="DK81" i="86"/>
  <c r="DJ81" i="86"/>
  <c r="DI81" i="86"/>
  <c r="DH69" i="86"/>
  <c r="DK69" i="86"/>
  <c r="DG69" i="86"/>
  <c r="DJ69" i="86"/>
  <c r="DI69" i="86"/>
  <c r="DJ35" i="86"/>
  <c r="DI35" i="86"/>
  <c r="DG35" i="86"/>
  <c r="DK35" i="86"/>
  <c r="DH35" i="86"/>
  <c r="BO83" i="86"/>
  <c r="BQ83" i="86"/>
  <c r="BP83" i="86"/>
  <c r="BN83" i="86"/>
  <c r="BR83" i="86"/>
  <c r="CA77" i="86"/>
  <c r="BY77" i="86"/>
  <c r="BW77" i="86"/>
  <c r="BX77" i="86"/>
  <c r="BZ77" i="86"/>
  <c r="BF72" i="86"/>
  <c r="BI72" i="86"/>
  <c r="BG72" i="86"/>
  <c r="BE72" i="86"/>
  <c r="BH72" i="86"/>
  <c r="BX60" i="86"/>
  <c r="CA60" i="86"/>
  <c r="BY60" i="86"/>
  <c r="BZ60" i="86"/>
  <c r="BW60" i="86"/>
  <c r="CA62" i="86"/>
  <c r="BX62" i="86"/>
  <c r="BY62" i="86"/>
  <c r="BW62" i="86"/>
  <c r="BZ62" i="86"/>
  <c r="BG59" i="86"/>
  <c r="BI59" i="86"/>
  <c r="BE59" i="86"/>
  <c r="BH59" i="86"/>
  <c r="BF59" i="86"/>
  <c r="BP31" i="86"/>
  <c r="BN31" i="86"/>
  <c r="BO31" i="86"/>
  <c r="BR31" i="86"/>
  <c r="BQ31" i="86"/>
  <c r="BE37" i="86"/>
  <c r="BF37" i="86"/>
  <c r="BH37" i="86"/>
  <c r="BI37" i="86"/>
  <c r="BG37" i="86"/>
  <c r="BN45" i="86"/>
  <c r="BQ45" i="86"/>
  <c r="BR45" i="86"/>
  <c r="BP45" i="86"/>
  <c r="BO45" i="86"/>
  <c r="BI74" i="86"/>
  <c r="BE74" i="86"/>
  <c r="BF74" i="86"/>
  <c r="BG74" i="86"/>
  <c r="BH74" i="86"/>
  <c r="BO42" i="86"/>
  <c r="BN42" i="86"/>
  <c r="BQ42" i="86"/>
  <c r="BP42" i="86"/>
  <c r="BR42" i="86"/>
  <c r="BH77" i="86"/>
  <c r="BF77" i="86"/>
  <c r="BI77" i="86"/>
  <c r="BE77" i="86"/>
  <c r="BG77" i="86"/>
  <c r="BI67" i="86"/>
  <c r="BF67" i="86"/>
  <c r="BG67" i="86"/>
  <c r="BE67" i="86"/>
  <c r="BH67" i="86"/>
  <c r="BN70" i="86"/>
  <c r="BR70" i="86"/>
  <c r="BQ70" i="86"/>
  <c r="BP70" i="86"/>
  <c r="BO70" i="86"/>
  <c r="BR20" i="86"/>
  <c r="BO20" i="86"/>
  <c r="BN20" i="86"/>
  <c r="BP20" i="86"/>
  <c r="BQ20" i="86"/>
  <c r="BE93" i="86"/>
  <c r="BF93" i="86"/>
  <c r="BG93" i="86"/>
  <c r="BH93" i="86"/>
  <c r="BI93" i="86"/>
  <c r="BG64" i="86"/>
  <c r="BE64" i="86"/>
  <c r="BI64" i="86"/>
  <c r="BH64" i="86"/>
  <c r="BF64" i="86"/>
  <c r="CI47" i="86"/>
  <c r="CF47" i="86"/>
  <c r="CG47" i="86"/>
  <c r="CH47" i="86"/>
  <c r="CJ47" i="86"/>
  <c r="DA33" i="86"/>
  <c r="CX33" i="86"/>
  <c r="CY33" i="86"/>
  <c r="CZ33" i="86"/>
  <c r="DB33" i="86"/>
  <c r="DK12" i="86"/>
  <c r="DI12" i="86"/>
  <c r="DH12" i="86"/>
  <c r="DG12" i="86"/>
  <c r="DJ12" i="86"/>
  <c r="DG32" i="86"/>
  <c r="DK32" i="86"/>
  <c r="DJ32" i="86"/>
  <c r="DI32" i="86"/>
  <c r="DH32" i="86"/>
  <c r="CS96" i="86"/>
  <c r="CO96" i="86"/>
  <c r="CQ96" i="86"/>
  <c r="CR96" i="86"/>
  <c r="CP96" i="86"/>
  <c r="CR90" i="86"/>
  <c r="CO90" i="86"/>
  <c r="CP90" i="86"/>
  <c r="CS90" i="86"/>
  <c r="CQ90" i="86"/>
  <c r="CP68" i="86"/>
  <c r="CR68" i="86"/>
  <c r="CQ68" i="86"/>
  <c r="CS68" i="86"/>
  <c r="CO68" i="86"/>
  <c r="CR50" i="86"/>
  <c r="CS50" i="86"/>
  <c r="CP50" i="86"/>
  <c r="CQ50" i="86"/>
  <c r="CO50" i="86"/>
  <c r="CY105" i="86"/>
  <c r="DA105" i="86"/>
  <c r="DB105" i="86"/>
  <c r="CX105" i="86"/>
  <c r="CZ105" i="86"/>
  <c r="DJ8" i="86"/>
  <c r="DH8" i="86"/>
  <c r="DG8" i="86"/>
  <c r="DI8" i="86"/>
  <c r="DK8" i="86"/>
  <c r="DB41" i="86"/>
  <c r="CZ41" i="86"/>
  <c r="DA41" i="86"/>
  <c r="CX41" i="86"/>
  <c r="CY41" i="86"/>
  <c r="CP27" i="86"/>
  <c r="CR27" i="86"/>
  <c r="CO27" i="86"/>
  <c r="CQ27" i="86"/>
  <c r="CS27" i="86"/>
  <c r="CO57" i="86"/>
  <c r="CQ57" i="86"/>
  <c r="CS57" i="86"/>
  <c r="CR57" i="86"/>
  <c r="CP57" i="86"/>
  <c r="CR58" i="86"/>
  <c r="CS58" i="86"/>
  <c r="CO58" i="86"/>
  <c r="CP58" i="86"/>
  <c r="CQ58" i="86"/>
  <c r="DR6" i="86"/>
  <c r="DP6" i="86"/>
  <c r="DS6" i="86"/>
  <c r="DT6" i="86"/>
  <c r="DQ6" i="86"/>
  <c r="DB77" i="86"/>
  <c r="CX77" i="86"/>
  <c r="CZ77" i="86"/>
  <c r="DA77" i="86"/>
  <c r="CY77" i="86"/>
  <c r="CI32" i="86"/>
  <c r="CG32" i="86"/>
  <c r="CH32" i="86"/>
  <c r="CJ32" i="86"/>
  <c r="CF32" i="86"/>
  <c r="CH37" i="86"/>
  <c r="CI37" i="86"/>
  <c r="CF37" i="86"/>
  <c r="CJ37" i="86"/>
  <c r="CG37" i="86"/>
  <c r="CJ33" i="86"/>
  <c r="CG33" i="86"/>
  <c r="CI33" i="86"/>
  <c r="CF33" i="86"/>
  <c r="CH33" i="86"/>
  <c r="CQ43" i="86"/>
  <c r="CR43" i="86"/>
  <c r="CO43" i="86"/>
  <c r="CS43" i="86"/>
  <c r="CP43" i="86"/>
  <c r="CG30" i="86"/>
  <c r="CH30" i="86"/>
  <c r="CJ30" i="86"/>
  <c r="CI30" i="86"/>
  <c r="CF30" i="86"/>
  <c r="DG55" i="86"/>
  <c r="DI55" i="86"/>
  <c r="DH55" i="86"/>
  <c r="DK55" i="86"/>
  <c r="DJ55" i="86"/>
  <c r="BX102" i="86"/>
  <c r="BW102" i="86"/>
  <c r="BY102" i="86"/>
  <c r="BZ102" i="86"/>
  <c r="CA102" i="86"/>
  <c r="CG55" i="86"/>
  <c r="CI55" i="86"/>
  <c r="CF55" i="86"/>
  <c r="CJ55" i="86"/>
  <c r="CH55" i="86"/>
  <c r="CZ57" i="86"/>
  <c r="DA57" i="86"/>
  <c r="DB57" i="86"/>
  <c r="CX57" i="86"/>
  <c r="CY57" i="86"/>
  <c r="DJ75" i="86"/>
  <c r="DG75" i="86"/>
  <c r="DI75" i="86"/>
  <c r="DH75" i="86"/>
  <c r="DK75" i="86"/>
  <c r="DG84" i="86"/>
  <c r="DH84" i="86"/>
  <c r="DI84" i="86"/>
  <c r="DJ84" i="86"/>
  <c r="DK84" i="86"/>
  <c r="DG101" i="86"/>
  <c r="DI101" i="86"/>
  <c r="DH101" i="86"/>
  <c r="DJ101" i="86"/>
  <c r="DK101" i="86"/>
  <c r="DJ92" i="86"/>
  <c r="DI92" i="86"/>
  <c r="DH92" i="86"/>
  <c r="DK92" i="86"/>
  <c r="DG92" i="86"/>
  <c r="DS45" i="86"/>
  <c r="DT45" i="86"/>
  <c r="DQ45" i="86"/>
  <c r="DP45" i="86"/>
  <c r="DR45" i="86"/>
  <c r="BZ89" i="86"/>
  <c r="CA89" i="86"/>
  <c r="BX89" i="86"/>
  <c r="BY89" i="86"/>
  <c r="BW89" i="86"/>
  <c r="CH76" i="86"/>
  <c r="CJ76" i="86"/>
  <c r="CI76" i="86"/>
  <c r="CG76" i="86"/>
  <c r="CF76" i="86"/>
  <c r="DT70" i="86"/>
  <c r="DR70" i="86"/>
  <c r="DQ70" i="86"/>
  <c r="DS70" i="86"/>
  <c r="DP70" i="86"/>
  <c r="DP42" i="86"/>
  <c r="DT42" i="86"/>
  <c r="DR42" i="86"/>
  <c r="DS42" i="86"/>
  <c r="DQ42" i="86"/>
  <c r="BH10" i="86"/>
  <c r="BE10" i="86"/>
  <c r="BG10" i="86"/>
  <c r="BI10" i="86"/>
  <c r="BF10" i="86"/>
  <c r="CI74" i="86"/>
  <c r="CF74" i="86"/>
  <c r="CH74" i="86"/>
  <c r="CG74" i="86"/>
  <c r="CJ74" i="86"/>
  <c r="DI63" i="86"/>
  <c r="DJ63" i="86"/>
  <c r="DH63" i="86"/>
  <c r="DK63" i="86"/>
  <c r="DG63" i="86"/>
  <c r="DS39" i="86"/>
  <c r="DR39" i="86"/>
  <c r="DT39" i="86"/>
  <c r="DQ39" i="86"/>
  <c r="DP39" i="86"/>
  <c r="BX28" i="86"/>
  <c r="BY28" i="86"/>
  <c r="BW28" i="86"/>
  <c r="BZ28" i="86"/>
  <c r="CA28" i="86"/>
  <c r="CZ38" i="86"/>
  <c r="DA38" i="86"/>
  <c r="CY38" i="86"/>
  <c r="DB38" i="86"/>
  <c r="CX38" i="86"/>
  <c r="CZ82" i="86"/>
  <c r="DB82" i="86"/>
  <c r="CY82" i="86"/>
  <c r="CX82" i="86"/>
  <c r="DA82" i="86"/>
  <c r="CH72" i="86"/>
  <c r="CG72" i="86"/>
  <c r="CF72" i="86"/>
  <c r="CI72" i="86"/>
  <c r="CJ72" i="86"/>
  <c r="DT41" i="86"/>
  <c r="DP41" i="86"/>
  <c r="DS41" i="86"/>
  <c r="DR41" i="86"/>
  <c r="DQ41" i="86"/>
  <c r="DS24" i="86"/>
  <c r="DQ24" i="86"/>
  <c r="DT24" i="86"/>
  <c r="DR24" i="86"/>
  <c r="DP24" i="86"/>
  <c r="BW97" i="86"/>
  <c r="BX97" i="86"/>
  <c r="CA97" i="86"/>
  <c r="BY97" i="86"/>
  <c r="BZ97" i="86"/>
  <c r="BX72" i="86"/>
  <c r="BY72" i="86"/>
  <c r="CA72" i="86"/>
  <c r="BZ72" i="86"/>
  <c r="BW72" i="86"/>
  <c r="CJ59" i="86"/>
  <c r="CH59" i="86"/>
  <c r="CF59" i="86"/>
  <c r="CG59" i="86"/>
  <c r="CI59" i="86"/>
  <c r="CG71" i="86"/>
  <c r="CH71" i="86"/>
  <c r="CI71" i="86"/>
  <c r="CJ71" i="86"/>
  <c r="CF71" i="86"/>
  <c r="CP49" i="86"/>
  <c r="CO49" i="86"/>
  <c r="CS49" i="86"/>
  <c r="CQ49" i="86"/>
  <c r="CR49" i="86"/>
  <c r="CI38" i="86"/>
  <c r="CF38" i="86"/>
  <c r="CG38" i="86"/>
  <c r="CJ38" i="86"/>
  <c r="CH38" i="86"/>
  <c r="DR76" i="86"/>
  <c r="DP76" i="86"/>
  <c r="DQ76" i="86"/>
  <c r="DS76" i="86"/>
  <c r="DT76" i="86"/>
  <c r="BH6" i="86"/>
  <c r="BF6" i="86"/>
  <c r="BG6" i="86"/>
  <c r="BI6" i="86"/>
  <c r="BE6" i="86"/>
  <c r="BW14" i="86"/>
  <c r="BY14" i="86"/>
  <c r="BX14" i="86"/>
  <c r="BZ14" i="86"/>
  <c r="CA14" i="86"/>
  <c r="BP100" i="86"/>
  <c r="BQ100" i="86"/>
  <c r="BO100" i="86"/>
  <c r="BR100" i="86"/>
  <c r="BN100" i="86"/>
  <c r="CJ21" i="86"/>
  <c r="CI21" i="86"/>
  <c r="CF21" i="86"/>
  <c r="CH21" i="86"/>
  <c r="CG21" i="86"/>
  <c r="CI51" i="86"/>
  <c r="CJ51" i="86"/>
  <c r="CF51" i="86"/>
  <c r="CG51" i="86"/>
  <c r="CH51" i="86"/>
  <c r="CY29" i="86"/>
  <c r="CX29" i="86"/>
  <c r="CZ29" i="86"/>
  <c r="DB29" i="86"/>
  <c r="DA29" i="86"/>
  <c r="CQ84" i="86"/>
  <c r="CO84" i="86"/>
  <c r="CR84" i="86"/>
  <c r="CP84" i="86"/>
  <c r="CS84" i="86"/>
  <c r="CG24" i="86"/>
  <c r="CI24" i="86"/>
  <c r="CJ24" i="86"/>
  <c r="CH24" i="86"/>
  <c r="CF24" i="86"/>
  <c r="DI85" i="86"/>
  <c r="DJ85" i="86"/>
  <c r="DH85" i="86"/>
  <c r="DK85" i="86"/>
  <c r="DG85" i="86"/>
  <c r="DS31" i="86"/>
  <c r="DT31" i="86"/>
  <c r="DQ31" i="86"/>
  <c r="DP31" i="86"/>
  <c r="DR31" i="86"/>
  <c r="BZ48" i="86"/>
  <c r="BY48" i="86"/>
  <c r="BX48" i="86"/>
  <c r="BW48" i="86"/>
  <c r="CA48" i="86"/>
  <c r="DB18" i="86"/>
  <c r="CZ18" i="86"/>
  <c r="CY18" i="86"/>
  <c r="DA18" i="86"/>
  <c r="CX18" i="86"/>
  <c r="DR55" i="86"/>
  <c r="DT55" i="86"/>
  <c r="DS55" i="86"/>
  <c r="DP55" i="86"/>
  <c r="DQ55" i="86"/>
  <c r="CQ62" i="86"/>
  <c r="CS62" i="86"/>
  <c r="CR62" i="86"/>
  <c r="CP62" i="86"/>
  <c r="CO62" i="86"/>
  <c r="DJ104" i="86"/>
  <c r="DI104" i="86"/>
  <c r="DH104" i="86"/>
  <c r="DG104" i="86"/>
  <c r="DK104" i="86"/>
  <c r="DI105" i="86"/>
  <c r="DG105" i="86"/>
  <c r="DJ105" i="86"/>
  <c r="DH105" i="86"/>
  <c r="DK105" i="86"/>
  <c r="DS93" i="86"/>
  <c r="DP93" i="86"/>
  <c r="DT93" i="86"/>
  <c r="DR93" i="86"/>
  <c r="DQ93" i="86"/>
  <c r="BN56" i="86"/>
  <c r="BR56" i="86"/>
  <c r="BO56" i="86"/>
  <c r="BP56" i="86"/>
  <c r="BQ56" i="86"/>
  <c r="BH46" i="86"/>
  <c r="BF46" i="86"/>
  <c r="BE46" i="86"/>
  <c r="BG46" i="86"/>
  <c r="BI46" i="86"/>
  <c r="BP89" i="86"/>
  <c r="BQ89" i="86"/>
  <c r="BN89" i="86"/>
  <c r="BO89" i="86"/>
  <c r="BR89" i="86"/>
  <c r="BH57" i="86"/>
  <c r="BF57" i="86"/>
  <c r="BG57" i="86"/>
  <c r="BI57" i="86"/>
  <c r="BE57" i="86"/>
  <c r="CS104" i="86"/>
  <c r="CO104" i="86"/>
  <c r="CP104" i="86"/>
  <c r="CQ104" i="86"/>
  <c r="CR104" i="86"/>
  <c r="CF84" i="86"/>
  <c r="CH84" i="86"/>
  <c r="CI84" i="86"/>
  <c r="CJ84" i="86"/>
  <c r="CG84" i="86"/>
  <c r="CP7" i="86"/>
  <c r="CR7" i="86"/>
  <c r="CQ7" i="86"/>
  <c r="CS7" i="86"/>
  <c r="CO7" i="86"/>
  <c r="DQ101" i="86"/>
  <c r="DP101" i="86"/>
  <c r="DR101" i="86"/>
  <c r="DT101" i="86"/>
  <c r="DS101" i="86"/>
  <c r="DQ67" i="86"/>
  <c r="DT67" i="86"/>
  <c r="DR67" i="86"/>
  <c r="DS67" i="86"/>
  <c r="DP67" i="86"/>
  <c r="BF90" i="86"/>
  <c r="BE90" i="86"/>
  <c r="BG90" i="86"/>
  <c r="BI90" i="86"/>
  <c r="BH90" i="86"/>
  <c r="CA32" i="86"/>
  <c r="BW32" i="86"/>
  <c r="BZ32" i="86"/>
  <c r="BY32" i="86"/>
  <c r="BX32" i="86"/>
  <c r="BR105" i="86"/>
  <c r="BO105" i="86"/>
  <c r="BQ105" i="86"/>
  <c r="BN105" i="86"/>
  <c r="BP105" i="86"/>
  <c r="CO70" i="86"/>
  <c r="CP70" i="86"/>
  <c r="CQ70" i="86"/>
  <c r="CR70" i="86"/>
  <c r="CS70" i="86"/>
  <c r="CH50" i="86"/>
  <c r="CI50" i="86"/>
  <c r="CG50" i="86"/>
  <c r="CF50" i="86"/>
  <c r="CJ50" i="86"/>
  <c r="DR23" i="86"/>
  <c r="DQ23" i="86"/>
  <c r="DT23" i="86"/>
  <c r="DP23" i="86"/>
  <c r="DS23" i="86"/>
  <c r="DS40" i="86"/>
  <c r="DT40" i="86"/>
  <c r="DR40" i="86"/>
  <c r="DP40" i="86"/>
  <c r="DQ40" i="86"/>
  <c r="DQ105" i="86"/>
  <c r="DR105" i="86"/>
  <c r="DP105" i="86"/>
  <c r="DS105" i="86"/>
  <c r="DT105" i="86"/>
  <c r="BI89" i="86"/>
  <c r="BH89" i="86"/>
  <c r="BF89" i="86"/>
  <c r="BE89" i="86"/>
  <c r="BG89" i="86"/>
  <c r="BR14" i="86"/>
  <c r="BP14" i="86"/>
  <c r="BN14" i="86"/>
  <c r="BQ14" i="86"/>
  <c r="BO14" i="86"/>
  <c r="BY52" i="86"/>
  <c r="CA52" i="86"/>
  <c r="BZ52" i="86"/>
  <c r="BX52" i="86"/>
  <c r="BW52" i="86"/>
  <c r="CA45" i="86"/>
  <c r="BY45" i="86"/>
  <c r="BX45" i="86"/>
  <c r="BW45" i="86"/>
  <c r="BZ45" i="86"/>
  <c r="BI95" i="86"/>
  <c r="BG95" i="86"/>
  <c r="BH95" i="86"/>
  <c r="BF95" i="86"/>
  <c r="BE95" i="86"/>
  <c r="CA90" i="86"/>
  <c r="BY90" i="86"/>
  <c r="BW90" i="86"/>
  <c r="BX90" i="86"/>
  <c r="BZ90" i="86"/>
  <c r="BO28" i="86"/>
  <c r="BP28" i="86"/>
  <c r="BR28" i="86"/>
  <c r="BQ28" i="86"/>
  <c r="BN28" i="86"/>
  <c r="BI94" i="86"/>
  <c r="BG94" i="86"/>
  <c r="BH94" i="86"/>
  <c r="BF94" i="86"/>
  <c r="BE94" i="86"/>
  <c r="BZ86" i="86"/>
  <c r="BX86" i="86"/>
  <c r="CA86" i="86"/>
  <c r="BY86" i="86"/>
  <c r="BW86" i="86"/>
  <c r="BO40" i="86"/>
  <c r="BP40" i="86"/>
  <c r="BQ40" i="86"/>
  <c r="BR40" i="86"/>
  <c r="BN40" i="86"/>
  <c r="BH36" i="86"/>
  <c r="BE36" i="86"/>
  <c r="BI36" i="86"/>
  <c r="BG36" i="86"/>
  <c r="BF36" i="86"/>
  <c r="BN21" i="86"/>
  <c r="BO21" i="86"/>
  <c r="BP21" i="86"/>
  <c r="BQ21" i="86"/>
  <c r="BR21" i="86"/>
  <c r="BF31" i="86"/>
  <c r="BE31" i="86"/>
  <c r="BI31" i="86"/>
  <c r="BG31" i="86"/>
  <c r="BH31" i="86"/>
  <c r="BE12" i="86"/>
  <c r="BF12" i="86"/>
  <c r="BG12" i="86"/>
  <c r="BH12" i="86"/>
  <c r="BI12" i="86"/>
  <c r="BI48" i="86"/>
  <c r="BG48" i="86"/>
  <c r="BH48" i="86"/>
  <c r="BE48" i="86"/>
  <c r="BF48" i="86"/>
  <c r="BN25" i="86"/>
  <c r="BQ25" i="86"/>
  <c r="BP25" i="86"/>
  <c r="BO25" i="86"/>
  <c r="BR25" i="86"/>
  <c r="BO95" i="86"/>
  <c r="BQ95" i="86"/>
  <c r="BP95" i="86"/>
  <c r="BR95" i="86"/>
  <c r="BN95" i="86"/>
  <c r="BG25" i="86"/>
  <c r="BH25" i="86"/>
  <c r="BE25" i="86"/>
  <c r="BI25" i="86"/>
  <c r="BF25" i="86"/>
  <c r="CA65" i="86"/>
  <c r="BW65" i="86"/>
  <c r="BZ65" i="86"/>
  <c r="BX65" i="86"/>
  <c r="BY65" i="86"/>
  <c r="BY37" i="86"/>
  <c r="BZ37" i="86"/>
  <c r="CA37" i="86"/>
  <c r="BX37" i="86"/>
  <c r="BW37" i="86"/>
  <c r="BX95" i="86"/>
  <c r="BZ95" i="86"/>
  <c r="BY95" i="86"/>
  <c r="CA95" i="86"/>
  <c r="BW95" i="86"/>
  <c r="BE79" i="86"/>
  <c r="BG79" i="86"/>
  <c r="BF79" i="86"/>
  <c r="BH79" i="86"/>
  <c r="BI79" i="86"/>
  <c r="BY39" i="86"/>
  <c r="CA39" i="86"/>
  <c r="BZ39" i="86"/>
  <c r="BX39" i="86"/>
  <c r="BW39" i="86"/>
  <c r="CA84" i="86"/>
  <c r="BZ84" i="86"/>
  <c r="BX84" i="86"/>
  <c r="BW84" i="86"/>
  <c r="BY84" i="86"/>
  <c r="CY44" i="86"/>
  <c r="CZ44" i="86"/>
  <c r="DA44" i="86"/>
  <c r="DB44" i="86"/>
  <c r="CX44" i="86"/>
  <c r="CZ28" i="86"/>
  <c r="DA28" i="86"/>
  <c r="DB28" i="86"/>
  <c r="CX28" i="86"/>
  <c r="CY28" i="86"/>
  <c r="CH78" i="86"/>
  <c r="CG78" i="86"/>
  <c r="CF78" i="86"/>
  <c r="CI78" i="86"/>
  <c r="CJ78" i="86"/>
  <c r="CJ26" i="86"/>
  <c r="CG26" i="86"/>
  <c r="CF26" i="86"/>
  <c r="CH26" i="86"/>
  <c r="CI26" i="86"/>
  <c r="CI8" i="86"/>
  <c r="CG8" i="86"/>
  <c r="CJ8" i="86"/>
  <c r="CH8" i="86"/>
  <c r="CF8" i="86"/>
  <c r="DH39" i="86"/>
  <c r="DJ39" i="86"/>
  <c r="DG39" i="86"/>
  <c r="DK39" i="86"/>
  <c r="DI39" i="86"/>
  <c r="DG27" i="86"/>
  <c r="DI27" i="86"/>
  <c r="DJ27" i="86"/>
  <c r="DH27" i="86"/>
  <c r="DK27" i="86"/>
  <c r="DS58" i="86"/>
  <c r="DT58" i="86"/>
  <c r="DR58" i="86"/>
  <c r="DQ58" i="86"/>
  <c r="DP58" i="86"/>
  <c r="DB92" i="86"/>
  <c r="CZ92" i="86"/>
  <c r="DA92" i="86"/>
  <c r="CX92" i="86"/>
  <c r="CY92" i="86"/>
  <c r="DA99" i="86"/>
  <c r="CX99" i="86"/>
  <c r="CY99" i="86"/>
  <c r="DB99" i="86"/>
  <c r="CZ99" i="86"/>
  <c r="DI65" i="86"/>
  <c r="DJ65" i="86"/>
  <c r="DH65" i="86"/>
  <c r="DK65" i="86"/>
  <c r="DG65" i="86"/>
  <c r="CY83" i="86"/>
  <c r="DB83" i="86"/>
  <c r="CX83" i="86"/>
  <c r="DA83" i="86"/>
  <c r="CZ83" i="86"/>
  <c r="CG60" i="86"/>
  <c r="CI60" i="86"/>
  <c r="CH60" i="86"/>
  <c r="CF60" i="86"/>
  <c r="CJ60" i="86"/>
  <c r="DP102" i="86"/>
  <c r="DQ102" i="86"/>
  <c r="DS102" i="86"/>
  <c r="DT102" i="86"/>
  <c r="DR102" i="86"/>
  <c r="CH95" i="86"/>
  <c r="CF95" i="86"/>
  <c r="CG95" i="86"/>
  <c r="CI95" i="86"/>
  <c r="CJ95" i="86"/>
  <c r="DG21" i="86"/>
  <c r="DJ21" i="86"/>
  <c r="DK21" i="86"/>
  <c r="DH21" i="86"/>
  <c r="DI21" i="86"/>
  <c r="CF61" i="86"/>
  <c r="CG61" i="86"/>
  <c r="CI61" i="86"/>
  <c r="CH61" i="86"/>
  <c r="CJ61" i="86"/>
  <c r="DB63" i="86"/>
  <c r="CY63" i="86"/>
  <c r="DA63" i="86"/>
  <c r="CX63" i="86"/>
  <c r="CZ63" i="86"/>
  <c r="DH97" i="86"/>
  <c r="DG97" i="86"/>
  <c r="DI97" i="86"/>
  <c r="DK97" i="86"/>
  <c r="DJ97" i="86"/>
  <c r="DR89" i="86"/>
  <c r="DT89" i="86"/>
  <c r="DP89" i="86"/>
  <c r="DS89" i="86"/>
  <c r="DQ89" i="86"/>
  <c r="DR104" i="86"/>
  <c r="DS104" i="86"/>
  <c r="DT104" i="86"/>
  <c r="DQ104" i="86"/>
  <c r="DP104" i="86"/>
  <c r="BP82" i="86"/>
  <c r="BQ82" i="86"/>
  <c r="BN82" i="86"/>
  <c r="BO82" i="86"/>
  <c r="BR82" i="86"/>
  <c r="BX22" i="86"/>
  <c r="BW22" i="86"/>
  <c r="CA22" i="86"/>
  <c r="BY22" i="86"/>
  <c r="BZ22" i="86"/>
  <c r="BZ55" i="86"/>
  <c r="BX55" i="86"/>
  <c r="CA55" i="86"/>
  <c r="BY55" i="86"/>
  <c r="BW55" i="86"/>
  <c r="CQ93" i="86"/>
  <c r="CR93" i="86"/>
  <c r="CS93" i="86"/>
  <c r="CO93" i="86"/>
  <c r="CP93" i="86"/>
  <c r="CY98" i="86"/>
  <c r="DA98" i="86"/>
  <c r="CX98" i="86"/>
  <c r="CZ98" i="86"/>
  <c r="DB98" i="86"/>
  <c r="CS92" i="86"/>
  <c r="CR92" i="86"/>
  <c r="CO92" i="86"/>
  <c r="CP92" i="86"/>
  <c r="CQ92" i="86"/>
  <c r="CQ19" i="86"/>
  <c r="CR19" i="86"/>
  <c r="CS19" i="86"/>
  <c r="CO19" i="86"/>
  <c r="CP19" i="86"/>
  <c r="DT43" i="86"/>
  <c r="DP43" i="86"/>
  <c r="DR43" i="86"/>
  <c r="DS43" i="86"/>
  <c r="DQ43" i="86"/>
  <c r="BF71" i="86"/>
  <c r="BI71" i="86"/>
  <c r="BE71" i="86"/>
  <c r="BG71" i="86"/>
  <c r="BH71" i="86"/>
  <c r="BR24" i="86"/>
  <c r="BQ24" i="86"/>
  <c r="BP24" i="86"/>
  <c r="BO24" i="86"/>
  <c r="BN24" i="86"/>
  <c r="DH91" i="86"/>
  <c r="DJ91" i="86"/>
  <c r="DI91" i="86"/>
  <c r="DG91" i="86"/>
  <c r="DK91" i="86"/>
  <c r="BN65" i="86"/>
  <c r="BP65" i="86"/>
  <c r="BQ65" i="86"/>
  <c r="BO65" i="86"/>
  <c r="BR65" i="86"/>
  <c r="BP53" i="86"/>
  <c r="BN53" i="86"/>
  <c r="BR53" i="86"/>
  <c r="BQ53" i="86"/>
  <c r="BO53" i="86"/>
  <c r="CH48" i="86"/>
  <c r="CI48" i="86"/>
  <c r="CJ48" i="86"/>
  <c r="CG48" i="86"/>
  <c r="CF48" i="86"/>
  <c r="DI87" i="86"/>
  <c r="DK87" i="86"/>
  <c r="DJ87" i="86"/>
  <c r="DG87" i="86"/>
  <c r="DH87" i="86"/>
  <c r="CJ46" i="86"/>
  <c r="CH46" i="86"/>
  <c r="CF46" i="86"/>
  <c r="CG46" i="86"/>
  <c r="CI46" i="86"/>
  <c r="DT83" i="86"/>
  <c r="DS83" i="86"/>
  <c r="DP83" i="86"/>
  <c r="DR83" i="86"/>
  <c r="DQ83" i="86"/>
  <c r="BW91" i="86"/>
  <c r="CA91" i="86"/>
  <c r="BZ91" i="86"/>
  <c r="BX91" i="86"/>
  <c r="BY91" i="86"/>
  <c r="BQ88" i="86"/>
  <c r="BR88" i="86"/>
  <c r="BN88" i="86"/>
  <c r="BO88" i="86"/>
  <c r="BP88" i="86"/>
  <c r="DA67" i="86"/>
  <c r="CY67" i="86"/>
  <c r="CX67" i="86"/>
  <c r="DB67" i="86"/>
  <c r="CZ67" i="86"/>
  <c r="DA79" i="86"/>
  <c r="CZ79" i="86"/>
  <c r="CX79" i="86"/>
  <c r="DB79" i="86"/>
  <c r="CY79" i="86"/>
  <c r="CZ52" i="86"/>
  <c r="DA52" i="86"/>
  <c r="DB52" i="86"/>
  <c r="CX52" i="86"/>
  <c r="CY52" i="86"/>
  <c r="CJ40" i="86"/>
  <c r="CF40" i="86"/>
  <c r="CG40" i="86"/>
  <c r="CH40" i="86"/>
  <c r="CI40" i="86"/>
  <c r="DI80" i="86"/>
  <c r="DJ80" i="86"/>
  <c r="DH80" i="86"/>
  <c r="DK80" i="86"/>
  <c r="DG80" i="86"/>
  <c r="BH22" i="86"/>
  <c r="BF22" i="86"/>
  <c r="BG22" i="86"/>
  <c r="BE22" i="86"/>
  <c r="BI22" i="86"/>
  <c r="CH79" i="86"/>
  <c r="CG79" i="86"/>
  <c r="CF79" i="86"/>
  <c r="CJ79" i="86"/>
  <c r="CI79" i="86"/>
  <c r="CY75" i="86"/>
  <c r="DA75" i="86"/>
  <c r="CX75" i="86"/>
  <c r="CZ75" i="86"/>
  <c r="DB75" i="86"/>
  <c r="CX12" i="86"/>
  <c r="DB12" i="86"/>
  <c r="CY12" i="86"/>
  <c r="CZ12" i="86"/>
  <c r="DA12" i="86"/>
  <c r="CG10" i="86"/>
  <c r="CH10" i="86"/>
  <c r="CI10" i="86"/>
  <c r="CJ10" i="86"/>
  <c r="CF10" i="86"/>
  <c r="DG19" i="86"/>
  <c r="DI19" i="86"/>
  <c r="DH19" i="86"/>
  <c r="DK19" i="86"/>
  <c r="DJ19" i="86"/>
  <c r="BE51" i="86"/>
  <c r="BG51" i="86"/>
  <c r="BH51" i="86"/>
  <c r="BF51" i="86"/>
  <c r="BI51" i="86"/>
  <c r="CI67" i="86"/>
  <c r="CH67" i="86"/>
  <c r="CF67" i="86"/>
  <c r="CG67" i="86"/>
  <c r="CJ67" i="86"/>
  <c r="CY22" i="86"/>
  <c r="CZ22" i="86"/>
  <c r="DA22" i="86"/>
  <c r="DB22" i="86"/>
  <c r="CX22" i="86"/>
  <c r="CF41" i="86"/>
  <c r="CJ41" i="86"/>
  <c r="CG41" i="86"/>
  <c r="CI41" i="86"/>
  <c r="CH41" i="86"/>
  <c r="CS64" i="86"/>
  <c r="CO64" i="86"/>
  <c r="CP64" i="86"/>
  <c r="CQ64" i="86"/>
  <c r="CR64" i="86"/>
  <c r="DG25" i="86"/>
  <c r="DK25" i="86"/>
  <c r="DI25" i="86"/>
  <c r="DH25" i="86"/>
  <c r="DJ25" i="86"/>
  <c r="DG13" i="86"/>
  <c r="DK13" i="86"/>
  <c r="DH13" i="86"/>
  <c r="DI13" i="86"/>
  <c r="DJ13" i="86"/>
  <c r="DQ96" i="86"/>
  <c r="DP96" i="86"/>
  <c r="DR96" i="86"/>
  <c r="DT96" i="86"/>
  <c r="DS96" i="86"/>
  <c r="DA7" i="86"/>
  <c r="CZ7" i="86"/>
  <c r="DB7" i="86"/>
  <c r="CX7" i="86"/>
  <c r="CY7" i="86"/>
  <c r="CX55" i="86"/>
  <c r="DA55" i="86"/>
  <c r="CY55" i="86"/>
  <c r="CZ55" i="86"/>
  <c r="DB55" i="86"/>
  <c r="CG13" i="86"/>
  <c r="CI13" i="86"/>
  <c r="CJ13" i="86"/>
  <c r="CH13" i="86"/>
  <c r="CF13" i="86"/>
  <c r="CR42" i="86"/>
  <c r="CO42" i="86"/>
  <c r="CS42" i="86"/>
  <c r="CP42" i="86"/>
  <c r="CQ42" i="86"/>
  <c r="CS29" i="86"/>
  <c r="CO29" i="86"/>
  <c r="CR29" i="86"/>
  <c r="CP29" i="86"/>
  <c r="CQ29" i="86"/>
  <c r="DI62" i="86"/>
  <c r="DJ62" i="86"/>
  <c r="DK62" i="86"/>
  <c r="DH62" i="86"/>
  <c r="DG62" i="86"/>
  <c r="DT63" i="86"/>
  <c r="DR63" i="86"/>
  <c r="DS63" i="86"/>
  <c r="DQ63" i="86"/>
  <c r="DP63" i="86"/>
  <c r="BN38" i="86"/>
  <c r="BR38" i="86"/>
  <c r="BO38" i="86"/>
  <c r="BQ38" i="86"/>
  <c r="BP38" i="86"/>
  <c r="BZ29" i="86"/>
  <c r="BY29" i="86"/>
  <c r="CA29" i="86"/>
  <c r="BX29" i="86"/>
  <c r="BW29" i="86"/>
  <c r="BN85" i="86"/>
  <c r="BQ85" i="86"/>
  <c r="BP85" i="86"/>
  <c r="BO85" i="86"/>
  <c r="BR85" i="86"/>
  <c r="BF97" i="86"/>
  <c r="BE97" i="86"/>
  <c r="BG97" i="86"/>
  <c r="BI97" i="86"/>
  <c r="BH97" i="86"/>
  <c r="CQ88" i="86"/>
  <c r="CR88" i="86"/>
  <c r="CS88" i="86"/>
  <c r="CO88" i="86"/>
  <c r="CP88" i="86"/>
  <c r="CI68" i="86"/>
  <c r="CG68" i="86"/>
  <c r="CF68" i="86"/>
  <c r="CJ68" i="86"/>
  <c r="CH68" i="86"/>
  <c r="DR88" i="86"/>
  <c r="DS88" i="86"/>
  <c r="DP88" i="86"/>
  <c r="DQ88" i="86"/>
  <c r="DT88" i="86"/>
  <c r="DG73" i="86"/>
  <c r="DI73" i="86"/>
  <c r="DK73" i="86"/>
  <c r="DH73" i="86"/>
  <c r="DJ73" i="86"/>
  <c r="DQ38" i="86"/>
  <c r="DR38" i="86"/>
  <c r="DT38" i="86"/>
  <c r="DS38" i="86"/>
  <c r="DP38" i="86"/>
  <c r="BQ36" i="86"/>
  <c r="BO36" i="86"/>
  <c r="BR36" i="86"/>
  <c r="BN36" i="86"/>
  <c r="BP36" i="86"/>
  <c r="BQ51" i="86"/>
  <c r="BO51" i="86"/>
  <c r="BR51" i="86"/>
  <c r="BN51" i="86"/>
  <c r="BP51" i="86"/>
  <c r="BX103" i="86"/>
  <c r="BW103" i="86"/>
  <c r="CA103" i="86"/>
  <c r="BY103" i="86"/>
  <c r="BZ103" i="86"/>
  <c r="CP54" i="86"/>
  <c r="CS54" i="86"/>
  <c r="CQ54" i="86"/>
  <c r="CR54" i="86"/>
  <c r="CO54" i="86"/>
  <c r="CF34" i="86"/>
  <c r="CI34" i="86"/>
  <c r="CG34" i="86"/>
  <c r="CH34" i="86"/>
  <c r="CJ34" i="86"/>
  <c r="DI66" i="86"/>
  <c r="DK66" i="86"/>
  <c r="DH66" i="86"/>
  <c r="DG66" i="86"/>
  <c r="DJ66" i="86"/>
  <c r="DQ11" i="86"/>
  <c r="DT11" i="86"/>
  <c r="DP11" i="86"/>
  <c r="DS11" i="86"/>
  <c r="DR11" i="86"/>
  <c r="DQ81" i="86"/>
  <c r="DT81" i="86"/>
  <c r="DS81" i="86"/>
  <c r="DP81" i="86"/>
  <c r="DR81" i="86"/>
  <c r="BH100" i="86"/>
  <c r="BI100" i="86"/>
  <c r="BG100" i="86"/>
  <c r="BF100" i="86"/>
  <c r="BE100" i="86"/>
  <c r="CA21" i="86"/>
  <c r="BX21" i="86"/>
  <c r="BW21" i="86"/>
  <c r="BY21" i="86"/>
  <c r="BZ21" i="86"/>
  <c r="CA67" i="86"/>
  <c r="BZ67" i="86"/>
  <c r="BX67" i="86"/>
  <c r="BY67" i="86"/>
  <c r="BW67" i="86"/>
  <c r="BI20" i="86"/>
  <c r="BG20" i="86"/>
  <c r="BE20" i="86"/>
  <c r="BF20" i="86"/>
  <c r="BH20" i="86"/>
  <c r="BW53" i="86"/>
  <c r="BZ53" i="86"/>
  <c r="CA53" i="86"/>
  <c r="BY53" i="86"/>
  <c r="BX53" i="86"/>
  <c r="BR44" i="86"/>
  <c r="BQ44" i="86"/>
  <c r="BO44" i="86"/>
  <c r="BN44" i="86"/>
  <c r="BP44" i="86"/>
  <c r="BX8" i="86"/>
  <c r="BW8" i="86"/>
  <c r="CA8" i="86"/>
  <c r="BZ8" i="86"/>
  <c r="BY8" i="86"/>
  <c r="BN50" i="86"/>
  <c r="BQ50" i="86"/>
  <c r="BO50" i="86"/>
  <c r="BP50" i="86"/>
  <c r="BR50" i="86"/>
  <c r="BY101" i="86"/>
  <c r="BW101" i="86"/>
  <c r="BZ101" i="86"/>
  <c r="BX101" i="86"/>
  <c r="CA101" i="86"/>
  <c r="BX69" i="86"/>
  <c r="BY69" i="86"/>
  <c r="BW69" i="86"/>
  <c r="CA69" i="86"/>
  <c r="BZ69" i="86"/>
  <c r="BI87" i="86"/>
  <c r="BH87" i="86"/>
  <c r="BE87" i="86"/>
  <c r="BG87" i="86"/>
  <c r="BF87" i="86"/>
  <c r="BW24" i="86"/>
  <c r="BY24" i="86"/>
  <c r="BX24" i="86"/>
  <c r="BZ24" i="86"/>
  <c r="CA24" i="86"/>
  <c r="BO34" i="86"/>
  <c r="BQ34" i="86"/>
  <c r="BP34" i="86"/>
  <c r="BR34" i="86"/>
  <c r="BN34" i="86"/>
  <c r="CA31" i="86"/>
  <c r="BX31" i="86"/>
  <c r="BW31" i="86"/>
  <c r="BZ31" i="86"/>
  <c r="BY31" i="86"/>
  <c r="BQ8" i="86"/>
  <c r="BP8" i="86"/>
  <c r="BN8" i="86"/>
  <c r="BR8" i="86"/>
  <c r="BO8" i="86"/>
  <c r="BW76" i="86"/>
  <c r="BX76" i="86"/>
  <c r="BY76" i="86"/>
  <c r="BZ76" i="86"/>
  <c r="CA76" i="86"/>
  <c r="BW49" i="86"/>
  <c r="BX49" i="86"/>
  <c r="BY49" i="86"/>
  <c r="BZ49" i="86"/>
  <c r="CA49" i="86"/>
  <c r="BH60" i="86"/>
  <c r="BG60" i="86"/>
  <c r="BE60" i="86"/>
  <c r="BF60" i="86"/>
  <c r="BI60" i="86"/>
  <c r="BF42" i="86"/>
  <c r="BH42" i="86"/>
  <c r="BI42" i="86"/>
  <c r="BE42" i="86"/>
  <c r="BG42" i="86"/>
  <c r="BP17" i="86"/>
  <c r="BN17" i="86"/>
  <c r="BQ17" i="86"/>
  <c r="BR17" i="86"/>
  <c r="BO17" i="86"/>
  <c r="CX46" i="86"/>
  <c r="CZ46" i="86"/>
  <c r="DB46" i="86"/>
  <c r="DA46" i="86"/>
  <c r="CY46" i="86"/>
  <c r="CO12" i="86"/>
  <c r="CR12" i="86"/>
  <c r="CQ12" i="86"/>
  <c r="CP12" i="86"/>
  <c r="CS12" i="86"/>
  <c r="BF81" i="86"/>
  <c r="BE81" i="86"/>
  <c r="BH81" i="86"/>
  <c r="BI81" i="86"/>
  <c r="BG81" i="86"/>
  <c r="BR101" i="86"/>
  <c r="BP101" i="86"/>
  <c r="BO101" i="86"/>
  <c r="BQ101" i="86"/>
  <c r="BN101" i="86"/>
  <c r="BY93" i="86"/>
  <c r="BW93" i="86"/>
  <c r="BX93" i="86"/>
  <c r="BZ93" i="86"/>
  <c r="CA93" i="86"/>
  <c r="CZ21" i="86"/>
  <c r="DB21" i="86"/>
  <c r="DA21" i="86"/>
  <c r="CX21" i="86"/>
  <c r="CY21" i="86"/>
  <c r="BE24" i="86"/>
  <c r="BG24" i="86"/>
  <c r="BF24" i="86"/>
  <c r="BH24" i="86"/>
  <c r="BI24" i="86"/>
  <c r="CP89" i="86"/>
  <c r="CQ89" i="86"/>
  <c r="CO89" i="86"/>
  <c r="CS89" i="86"/>
  <c r="CR89" i="86"/>
  <c r="DA10" i="86"/>
  <c r="DB10" i="86"/>
  <c r="CY10" i="86"/>
  <c r="CX10" i="86"/>
  <c r="CZ10" i="86"/>
  <c r="DS16" i="86"/>
  <c r="DT16" i="86"/>
  <c r="DQ16" i="86"/>
  <c r="DR16" i="86"/>
  <c r="DP16" i="86"/>
  <c r="BW23" i="86"/>
  <c r="BZ23" i="86"/>
  <c r="BX23" i="86"/>
  <c r="CA23" i="86"/>
  <c r="BY23" i="86"/>
  <c r="DA19" i="86"/>
  <c r="CY19" i="86"/>
  <c r="CX19" i="86"/>
  <c r="CZ19" i="86"/>
  <c r="DB19" i="86"/>
  <c r="DP54" i="86"/>
  <c r="DQ54" i="86"/>
  <c r="DS54" i="86"/>
  <c r="DT54" i="86"/>
  <c r="DR54" i="86"/>
  <c r="CS99" i="86"/>
  <c r="CQ99" i="86"/>
  <c r="CR99" i="86"/>
  <c r="CO99" i="86"/>
  <c r="CP99" i="86"/>
  <c r="DA90" i="86"/>
  <c r="CX90" i="86"/>
  <c r="CZ90" i="86"/>
  <c r="DB90" i="86"/>
  <c r="CY90" i="86"/>
  <c r="CS94" i="86"/>
  <c r="CQ94" i="86"/>
  <c r="CO94" i="86"/>
  <c r="CP94" i="86"/>
  <c r="CR94" i="86"/>
  <c r="CP25" i="86"/>
  <c r="CR25" i="86"/>
  <c r="CO25" i="86"/>
  <c r="CQ25" i="86"/>
  <c r="CS25" i="86"/>
  <c r="DP61" i="86"/>
  <c r="DQ61" i="86"/>
  <c r="DR61" i="86"/>
  <c r="DT61" i="86"/>
  <c r="DS61" i="86"/>
  <c r="BH41" i="86"/>
  <c r="BG41" i="86"/>
  <c r="BE41" i="86"/>
  <c r="BI41" i="86"/>
  <c r="BF41" i="86"/>
  <c r="BO32" i="86"/>
  <c r="BP32" i="86"/>
  <c r="BR32" i="86"/>
  <c r="BQ32" i="86"/>
  <c r="BN32" i="86"/>
  <c r="CX60" i="86"/>
  <c r="CY60" i="86"/>
  <c r="DA60" i="86"/>
  <c r="CZ60" i="86"/>
  <c r="DB60" i="86"/>
  <c r="CZ68" i="86"/>
  <c r="DA68" i="86"/>
  <c r="CY68" i="86"/>
  <c r="DB68" i="86"/>
  <c r="CX68" i="86"/>
  <c r="CS60" i="86"/>
  <c r="CO60" i="86"/>
  <c r="CQ60" i="86"/>
  <c r="CR60" i="86"/>
  <c r="CP60" i="86"/>
  <c r="DK103" i="86"/>
  <c r="DG103" i="86"/>
  <c r="DJ103" i="86"/>
  <c r="DI103" i="86"/>
  <c r="DH103" i="86"/>
  <c r="DI89" i="86"/>
  <c r="DH89" i="86"/>
  <c r="DK89" i="86"/>
  <c r="DJ89" i="86"/>
  <c r="DG89" i="86"/>
  <c r="BO58" i="86"/>
  <c r="BP58" i="86"/>
  <c r="BQ58" i="86"/>
  <c r="BN58" i="86"/>
  <c r="BR58" i="86"/>
  <c r="DQ47" i="86"/>
  <c r="DT47" i="86"/>
  <c r="DS47" i="86"/>
  <c r="DR47" i="86"/>
  <c r="DP47" i="86"/>
  <c r="BE99" i="86"/>
  <c r="BH99" i="86"/>
  <c r="BF99" i="86"/>
  <c r="BI99" i="86"/>
  <c r="BG99" i="86"/>
  <c r="CF16" i="86"/>
  <c r="CG16" i="86"/>
  <c r="CI16" i="86"/>
  <c r="CH16" i="86"/>
  <c r="CJ16" i="86"/>
  <c r="DH37" i="86"/>
  <c r="DK37" i="86"/>
  <c r="DI37" i="86"/>
  <c r="DG37" i="86"/>
  <c r="DJ37" i="86"/>
  <c r="BF68" i="86"/>
  <c r="BH68" i="86"/>
  <c r="BE68" i="86"/>
  <c r="BG68" i="86"/>
  <c r="BI68" i="86"/>
  <c r="BQ92" i="86"/>
  <c r="BR92" i="86"/>
  <c r="BO92" i="86"/>
  <c r="BN92" i="86"/>
  <c r="BP92" i="86"/>
  <c r="BO47" i="86"/>
  <c r="BP47" i="86"/>
  <c r="BN47" i="86"/>
  <c r="BQ47" i="86"/>
  <c r="BR47" i="86"/>
  <c r="CI14" i="86"/>
  <c r="CJ14" i="86"/>
  <c r="CH14" i="86"/>
  <c r="CG14" i="86"/>
  <c r="CF14" i="86"/>
  <c r="DK33" i="86"/>
  <c r="DJ33" i="86"/>
  <c r="DG33" i="86"/>
  <c r="DH33" i="86"/>
  <c r="DI33" i="86"/>
  <c r="BP60" i="86"/>
  <c r="BN60" i="86"/>
  <c r="BR60" i="86"/>
  <c r="BO60" i="86"/>
  <c r="BQ60" i="86"/>
  <c r="BH62" i="86"/>
  <c r="BF62" i="86"/>
  <c r="BI62" i="86"/>
  <c r="BE62" i="86"/>
  <c r="BG62" i="86"/>
  <c r="CH85" i="86"/>
  <c r="CF85" i="86"/>
  <c r="CI85" i="86"/>
  <c r="CJ85" i="86"/>
  <c r="CG85" i="86"/>
  <c r="DA81" i="86"/>
  <c r="DB81" i="86"/>
  <c r="CX81" i="86"/>
  <c r="CY81" i="86"/>
  <c r="CZ81" i="86"/>
  <c r="DB16" i="86"/>
  <c r="CX16" i="86"/>
  <c r="CZ16" i="86"/>
  <c r="CY16" i="86"/>
  <c r="DA16" i="86"/>
  <c r="CI12" i="86"/>
  <c r="CJ12" i="86"/>
  <c r="CG12" i="86"/>
  <c r="CF12" i="86"/>
  <c r="CH12" i="86"/>
  <c r="DQ22" i="86"/>
  <c r="DS22" i="86"/>
  <c r="DT22" i="86"/>
  <c r="DR22" i="86"/>
  <c r="DP22" i="86"/>
  <c r="BP94" i="86"/>
  <c r="BN94" i="86"/>
  <c r="BO94" i="86"/>
  <c r="BQ94" i="86"/>
  <c r="BR94" i="86"/>
  <c r="CX23" i="86"/>
  <c r="CY23" i="86"/>
  <c r="CZ23" i="86"/>
  <c r="DA23" i="86"/>
  <c r="DB23" i="86"/>
  <c r="CZ102" i="86"/>
  <c r="DA102" i="86"/>
  <c r="CX102" i="86"/>
  <c r="CY102" i="86"/>
  <c r="DB102" i="86"/>
  <c r="CS98" i="86"/>
  <c r="CQ98" i="86"/>
  <c r="CP98" i="86"/>
  <c r="CO98" i="86"/>
  <c r="CR98" i="86"/>
  <c r="CR33" i="86"/>
  <c r="CP33" i="86"/>
  <c r="CO33" i="86"/>
  <c r="CQ33" i="86"/>
  <c r="CS33" i="86"/>
  <c r="DS68" i="86"/>
  <c r="DQ68" i="86"/>
  <c r="DR68" i="86"/>
  <c r="DP68" i="86"/>
  <c r="DT68" i="86"/>
  <c r="BZ43" i="86"/>
  <c r="BX43" i="86"/>
  <c r="BY43" i="86"/>
  <c r="BW43" i="86"/>
  <c r="CA43" i="86"/>
  <c r="DB15" i="86"/>
  <c r="CX15" i="86"/>
  <c r="CY15" i="86"/>
  <c r="CZ15" i="86"/>
  <c r="DA15" i="86"/>
  <c r="DA61" i="86"/>
  <c r="CX61" i="86"/>
  <c r="CY61" i="86"/>
  <c r="DB61" i="86"/>
  <c r="CZ61" i="86"/>
  <c r="CG29" i="86"/>
  <c r="CJ29" i="86"/>
  <c r="CF29" i="86"/>
  <c r="CH29" i="86"/>
  <c r="CI29" i="86"/>
  <c r="CP44" i="86"/>
  <c r="CS44" i="86"/>
  <c r="CO44" i="86"/>
  <c r="CR44" i="86"/>
  <c r="CQ44" i="86"/>
  <c r="CP31" i="86"/>
  <c r="CQ31" i="86"/>
  <c r="CS31" i="86"/>
  <c r="CR31" i="86"/>
  <c r="CO31" i="86"/>
  <c r="DT65" i="86"/>
  <c r="DR65" i="86"/>
  <c r="DS65" i="86"/>
  <c r="DP65" i="86"/>
  <c r="DQ65" i="86"/>
  <c r="DP66" i="86"/>
  <c r="DT66" i="86"/>
  <c r="DR66" i="86"/>
  <c r="DS66" i="86"/>
  <c r="DQ66" i="86"/>
  <c r="BX68" i="86"/>
  <c r="BY68" i="86"/>
  <c r="CA68" i="86"/>
  <c r="BZ68" i="86"/>
  <c r="BW68" i="86"/>
  <c r="CS75" i="86"/>
  <c r="CR75" i="86"/>
  <c r="CP75" i="86"/>
  <c r="CO75" i="86"/>
  <c r="CQ75" i="86"/>
  <c r="CX87" i="86"/>
  <c r="DA87" i="86"/>
  <c r="DB87" i="86"/>
  <c r="CY87" i="86"/>
  <c r="CZ87" i="86"/>
  <c r="CS85" i="86"/>
  <c r="CQ85" i="86"/>
  <c r="CO85" i="86"/>
  <c r="CP85" i="86"/>
  <c r="CR85" i="86"/>
  <c r="CR18" i="86"/>
  <c r="CO18" i="86"/>
  <c r="CS18" i="86"/>
  <c r="CQ18" i="86"/>
  <c r="CP18" i="86"/>
  <c r="CR9" i="86"/>
  <c r="CS9" i="86"/>
  <c r="CQ9" i="86"/>
  <c r="CO9" i="86"/>
  <c r="CP9" i="86"/>
  <c r="DH26" i="86"/>
  <c r="DK26" i="86"/>
  <c r="DJ26" i="86"/>
  <c r="DG26" i="86"/>
  <c r="DI26" i="86"/>
  <c r="DT27" i="86"/>
  <c r="DR27" i="86"/>
  <c r="DS27" i="86"/>
  <c r="DQ27" i="86"/>
  <c r="DP27" i="86"/>
  <c r="BZ51" i="86"/>
  <c r="BW51" i="86"/>
  <c r="BX51" i="86"/>
  <c r="BY51" i="86"/>
  <c r="CA51" i="86"/>
  <c r="BE73" i="86"/>
  <c r="BH73" i="86"/>
  <c r="BI73" i="86"/>
  <c r="BF73" i="86"/>
  <c r="BG73" i="86"/>
  <c r="CQ72" i="86"/>
  <c r="CR72" i="86"/>
  <c r="CP72" i="86"/>
  <c r="CO72" i="86"/>
  <c r="CS72" i="86"/>
  <c r="CF52" i="86"/>
  <c r="CI52" i="86"/>
  <c r="CH52" i="86"/>
  <c r="CJ52" i="86"/>
  <c r="CG52" i="86"/>
  <c r="DJ31" i="86"/>
  <c r="DK31" i="86"/>
  <c r="DI31" i="86"/>
  <c r="DG31" i="86"/>
  <c r="DH31" i="86"/>
  <c r="DJ44" i="86"/>
  <c r="DK44" i="86"/>
  <c r="DI44" i="86"/>
  <c r="DH44" i="86"/>
  <c r="DG44" i="86"/>
  <c r="DJ10" i="86"/>
  <c r="DH10" i="86"/>
  <c r="DG10" i="86"/>
  <c r="DI10" i="86"/>
  <c r="DK10" i="86"/>
  <c r="CA27" i="86"/>
  <c r="BY27" i="86"/>
  <c r="BW27" i="86"/>
  <c r="BZ27" i="86"/>
  <c r="BX27" i="86"/>
  <c r="BH50" i="86"/>
  <c r="BG50" i="86"/>
  <c r="BF50" i="86"/>
  <c r="BI50" i="86"/>
  <c r="BE50" i="86"/>
  <c r="CR38" i="86"/>
  <c r="CS38" i="86"/>
  <c r="CO38" i="86"/>
  <c r="CQ38" i="86"/>
  <c r="CP38" i="86"/>
  <c r="CJ18" i="86"/>
  <c r="CG18" i="86"/>
  <c r="CF18" i="86"/>
  <c r="CH18" i="86"/>
  <c r="CI18" i="86"/>
  <c r="DR8" i="86"/>
  <c r="DS8" i="86"/>
  <c r="DP8" i="86"/>
  <c r="DT8" i="86"/>
  <c r="DQ8" i="86"/>
  <c r="DG83" i="86"/>
  <c r="DK83" i="86"/>
  <c r="DH83" i="86"/>
  <c r="DJ83" i="86"/>
  <c r="DI83" i="86"/>
  <c r="DS57" i="86"/>
  <c r="DR57" i="86"/>
  <c r="DT57" i="86"/>
  <c r="DQ57" i="86"/>
  <c r="DP57" i="86"/>
  <c r="BY88" i="86"/>
  <c r="BW88" i="86"/>
  <c r="CA88" i="86"/>
  <c r="BX88" i="86"/>
  <c r="BZ88" i="86"/>
  <c r="BO69" i="86"/>
  <c r="BR69" i="86"/>
  <c r="BP69" i="86"/>
  <c r="BN69" i="86"/>
  <c r="BQ69" i="86"/>
  <c r="CA87" i="86"/>
  <c r="BZ87" i="86"/>
  <c r="BY87" i="86"/>
  <c r="BX87" i="86"/>
  <c r="BW87" i="86"/>
  <c r="BY6" i="86"/>
  <c r="BZ6" i="86"/>
  <c r="CA6" i="86"/>
  <c r="BX6" i="86"/>
  <c r="BW6" i="86"/>
  <c r="BH78" i="86"/>
  <c r="BG78" i="86"/>
  <c r="BI78" i="86"/>
  <c r="BE78" i="86"/>
  <c r="BF78" i="86"/>
  <c r="BZ98" i="86"/>
  <c r="BX98" i="86"/>
  <c r="CA98" i="86"/>
  <c r="BW98" i="86"/>
  <c r="BY98" i="86"/>
  <c r="BX74" i="86"/>
  <c r="BW74" i="86"/>
  <c r="BY74" i="86"/>
  <c r="CA74" i="86"/>
  <c r="BZ74" i="86"/>
  <c r="BN81" i="86"/>
  <c r="BR81" i="86"/>
  <c r="BQ81" i="86"/>
  <c r="BO81" i="86"/>
  <c r="BP81" i="86"/>
  <c r="BG83" i="86"/>
  <c r="BI83" i="86"/>
  <c r="BE83" i="86"/>
  <c r="BF83" i="86"/>
  <c r="BH83" i="86"/>
  <c r="BW36" i="86"/>
  <c r="BZ36" i="86"/>
  <c r="CA36" i="86"/>
  <c r="BX36" i="86"/>
  <c r="BY36" i="86"/>
  <c r="BX38" i="86"/>
  <c r="BZ38" i="86"/>
  <c r="BW38" i="86"/>
  <c r="BY38" i="86"/>
  <c r="CA38" i="86"/>
  <c r="BN66" i="86"/>
  <c r="BO66" i="86"/>
  <c r="BQ66" i="86"/>
  <c r="BR66" i="86"/>
  <c r="BP66" i="86"/>
  <c r="BN30" i="86"/>
  <c r="BQ30" i="86"/>
  <c r="BP30" i="86"/>
  <c r="BR30" i="86"/>
  <c r="BO30" i="86"/>
  <c r="BE32" i="86"/>
  <c r="BH32" i="86"/>
  <c r="BI32" i="86"/>
  <c r="BF32" i="86"/>
  <c r="BG32" i="86"/>
  <c r="BN93" i="86"/>
  <c r="BR93" i="86"/>
  <c r="BO93" i="86"/>
  <c r="BP93" i="86"/>
  <c r="BQ93" i="86"/>
  <c r="BE40" i="86"/>
  <c r="BH40" i="86"/>
  <c r="BI40" i="86"/>
  <c r="BF40" i="86"/>
  <c r="BG40" i="86"/>
  <c r="BG61" i="86"/>
  <c r="BI61" i="86"/>
  <c r="BH61" i="86"/>
  <c r="BE61" i="86"/>
  <c r="BF61" i="86"/>
  <c r="CR30" i="86"/>
  <c r="CP30" i="86"/>
  <c r="CS30" i="86"/>
  <c r="CO30" i="86"/>
  <c r="CQ30" i="86"/>
  <c r="DQ18" i="86"/>
  <c r="DP18" i="86"/>
  <c r="DR18" i="86"/>
  <c r="DT18" i="86"/>
  <c r="DS18" i="86"/>
  <c r="BI17" i="86"/>
  <c r="BG17" i="86"/>
  <c r="BE17" i="86"/>
  <c r="BF17" i="86"/>
  <c r="BH17" i="86"/>
  <c r="BP12" i="86"/>
  <c r="BR12" i="86"/>
  <c r="BO12" i="86"/>
  <c r="BN12" i="86"/>
  <c r="BQ12" i="86"/>
  <c r="BN9" i="86"/>
  <c r="BR9" i="86"/>
  <c r="BP9" i="86"/>
  <c r="BO9" i="86"/>
  <c r="BQ9" i="86"/>
  <c r="BI23" i="86"/>
  <c r="BE23" i="86"/>
  <c r="BH23" i="86"/>
  <c r="BF23" i="86"/>
  <c r="BG23" i="86"/>
  <c r="CF83" i="86"/>
  <c r="CI83" i="86"/>
  <c r="CG83" i="86"/>
  <c r="CJ83" i="86"/>
  <c r="CH83" i="86"/>
  <c r="CZ94" i="86"/>
  <c r="DA94" i="86"/>
  <c r="CY94" i="86"/>
  <c r="CX94" i="86"/>
  <c r="DB94" i="86"/>
  <c r="BO91" i="86"/>
  <c r="BN91" i="86"/>
  <c r="BP91" i="86"/>
  <c r="BR91" i="86"/>
  <c r="BQ91" i="86"/>
  <c r="CY17" i="86"/>
  <c r="DA17" i="86"/>
  <c r="DB17" i="86"/>
  <c r="CX17" i="86"/>
  <c r="CZ17" i="86"/>
  <c r="CA41" i="86"/>
  <c r="BZ41" i="86"/>
  <c r="BY41" i="86"/>
  <c r="BX41" i="86"/>
  <c r="BW41" i="86"/>
  <c r="CX51" i="86"/>
  <c r="CY51" i="86"/>
  <c r="CZ51" i="86"/>
  <c r="DA51" i="86"/>
  <c r="DB51" i="86"/>
  <c r="DK53" i="86"/>
  <c r="DH53" i="86"/>
  <c r="DI53" i="86"/>
  <c r="DJ53" i="86"/>
  <c r="DG53" i="86"/>
  <c r="BW94" i="86"/>
  <c r="BY94" i="86"/>
  <c r="BZ94" i="86"/>
  <c r="BX94" i="86"/>
  <c r="CA94" i="86"/>
  <c r="CQ59" i="86"/>
  <c r="CS59" i="86"/>
  <c r="CO59" i="86"/>
  <c r="CR59" i="86"/>
  <c r="CP59" i="86"/>
  <c r="CS63" i="86"/>
  <c r="CR63" i="86"/>
  <c r="CO63" i="86"/>
  <c r="CP63" i="86"/>
  <c r="CQ63" i="86"/>
  <c r="CQ71" i="86"/>
  <c r="CO71" i="86"/>
  <c r="CR71" i="86"/>
  <c r="CP71" i="86"/>
  <c r="CS71" i="86"/>
  <c r="CQ66" i="86"/>
  <c r="CP66" i="86"/>
  <c r="CS66" i="86"/>
  <c r="CO66" i="86"/>
  <c r="CR66" i="86"/>
  <c r="DT17" i="86"/>
  <c r="DS17" i="86"/>
  <c r="DP17" i="86"/>
  <c r="DQ17" i="86"/>
  <c r="DR17" i="86"/>
  <c r="DI100" i="86"/>
  <c r="DK100" i="86"/>
  <c r="DH100" i="86"/>
  <c r="DJ100" i="86"/>
  <c r="DG100" i="86"/>
  <c r="BH26" i="86"/>
  <c r="BI26" i="86"/>
  <c r="BG26" i="86"/>
  <c r="BE26" i="86"/>
  <c r="BF26" i="86"/>
  <c r="BZ78" i="86"/>
  <c r="BX78" i="86"/>
  <c r="CA78" i="86"/>
  <c r="BY78" i="86"/>
  <c r="BW78" i="86"/>
  <c r="CF19" i="86"/>
  <c r="CH19" i="86"/>
  <c r="CI19" i="86"/>
  <c r="CG19" i="86"/>
  <c r="CJ19" i="86"/>
  <c r="DA37" i="86"/>
  <c r="CY37" i="86"/>
  <c r="DB37" i="86"/>
  <c r="CX37" i="86"/>
  <c r="CZ37" i="86"/>
  <c r="CP32" i="86"/>
  <c r="CQ32" i="86"/>
  <c r="CS32" i="86"/>
  <c r="CO32" i="86"/>
  <c r="CR32" i="86"/>
  <c r="DK88" i="86"/>
  <c r="DJ88" i="86"/>
  <c r="DI88" i="86"/>
  <c r="DH88" i="86"/>
  <c r="DG88" i="86"/>
  <c r="DI46" i="86"/>
  <c r="DJ46" i="86"/>
  <c r="DG46" i="86"/>
  <c r="DH46" i="86"/>
  <c r="DK46" i="86"/>
  <c r="BN73" i="86"/>
  <c r="BP73" i="86"/>
  <c r="BQ73" i="86"/>
  <c r="BR73" i="86"/>
  <c r="BO73" i="86"/>
  <c r="BN22" i="86"/>
  <c r="BO22" i="86"/>
  <c r="BQ22" i="86"/>
  <c r="BR22" i="86"/>
  <c r="BP22" i="86"/>
  <c r="DT97" i="86"/>
  <c r="DP97" i="86"/>
  <c r="DQ97" i="86"/>
  <c r="DS97" i="86"/>
  <c r="DR97" i="86"/>
  <c r="DJ41" i="86"/>
  <c r="DK41" i="86"/>
  <c r="DI41" i="86"/>
  <c r="DG41" i="86"/>
  <c r="DH41" i="86"/>
  <c r="DS79" i="86"/>
  <c r="DR79" i="86"/>
  <c r="DT79" i="86"/>
  <c r="DP79" i="86"/>
  <c r="DQ79" i="86"/>
  <c r="BG96" i="86"/>
  <c r="BE96" i="86"/>
  <c r="BH96" i="86"/>
  <c r="BI96" i="86"/>
  <c r="BF96" i="86"/>
  <c r="BO75" i="86"/>
  <c r="BN75" i="86"/>
  <c r="BQ75" i="86"/>
  <c r="BP75" i="86"/>
  <c r="BR75" i="86"/>
  <c r="DS19" i="86"/>
  <c r="DP19" i="86"/>
  <c r="DR19" i="86"/>
  <c r="DT19" i="86"/>
  <c r="DQ19" i="86"/>
  <c r="DI76" i="86"/>
  <c r="DG76" i="86"/>
  <c r="DH76" i="86"/>
  <c r="DJ76" i="86"/>
  <c r="DK76" i="86"/>
  <c r="BZ40" i="86"/>
  <c r="BY40" i="86"/>
  <c r="BW40" i="86"/>
  <c r="BX40" i="86"/>
  <c r="CA40" i="86"/>
  <c r="DA31" i="86"/>
  <c r="CX31" i="86"/>
  <c r="CZ31" i="86"/>
  <c r="CY31" i="86"/>
  <c r="DB31" i="86"/>
  <c r="CY11" i="86"/>
  <c r="CX11" i="86"/>
  <c r="DB11" i="86"/>
  <c r="CZ11" i="86"/>
  <c r="DA11" i="86"/>
  <c r="CO100" i="86"/>
  <c r="CP100" i="86"/>
  <c r="CR100" i="86"/>
  <c r="CQ100" i="86"/>
  <c r="CS100" i="86"/>
  <c r="CS35" i="86"/>
  <c r="CP35" i="86"/>
  <c r="CO35" i="86"/>
  <c r="CR35" i="86"/>
  <c r="CQ35" i="86"/>
  <c r="DI72" i="86"/>
  <c r="DJ72" i="86"/>
  <c r="DH72" i="86"/>
  <c r="DG72" i="86"/>
  <c r="DK72" i="86"/>
  <c r="BY13" i="86"/>
  <c r="BX13" i="86"/>
  <c r="BZ13" i="86"/>
  <c r="BW13" i="86"/>
  <c r="CA13" i="86"/>
  <c r="BQ54" i="86"/>
  <c r="BN54" i="86"/>
  <c r="BO54" i="86"/>
  <c r="BP54" i="86"/>
  <c r="BR54" i="86"/>
  <c r="CQ69" i="86"/>
  <c r="CS69" i="86"/>
  <c r="CP69" i="86"/>
  <c r="CR69" i="86"/>
  <c r="CO69" i="86"/>
  <c r="CR83" i="86"/>
  <c r="CP83" i="86"/>
  <c r="CQ83" i="86"/>
  <c r="CS83" i="86"/>
  <c r="CO83" i="86"/>
  <c r="CO74" i="86"/>
  <c r="CQ74" i="86"/>
  <c r="CP74" i="86"/>
  <c r="CR74" i="86"/>
  <c r="CS74" i="86"/>
  <c r="DG61" i="86"/>
  <c r="DJ61" i="86"/>
  <c r="DI61" i="86"/>
  <c r="DH61" i="86"/>
  <c r="DK61" i="86"/>
  <c r="DH18" i="86"/>
  <c r="DK18" i="86"/>
  <c r="DI18" i="86"/>
  <c r="DJ18" i="86"/>
  <c r="DG18" i="86"/>
  <c r="BP48" i="86"/>
  <c r="BO48" i="86"/>
  <c r="BR48" i="86"/>
  <c r="BN48" i="86"/>
  <c r="BQ48" i="86"/>
  <c r="DB78" i="86"/>
  <c r="CY78" i="86"/>
  <c r="CX78" i="86"/>
  <c r="DA78" i="86"/>
  <c r="CZ78" i="86"/>
  <c r="DB93" i="86"/>
  <c r="CX93" i="86"/>
  <c r="CY93" i="86"/>
  <c r="DA93" i="86"/>
  <c r="CZ93" i="86"/>
  <c r="CZ88" i="86"/>
  <c r="CX88" i="86"/>
  <c r="DA88" i="86"/>
  <c r="CY88" i="86"/>
  <c r="DB88" i="86"/>
  <c r="CQ20" i="86"/>
  <c r="CP20" i="86"/>
  <c r="CR20" i="86"/>
  <c r="CS20" i="86"/>
  <c r="CO20" i="86"/>
  <c r="CR11" i="86"/>
  <c r="CS11" i="86"/>
  <c r="CO11" i="86"/>
  <c r="CQ11" i="86"/>
  <c r="CP11" i="86"/>
  <c r="DT29" i="86"/>
  <c r="DP29" i="86"/>
  <c r="DS29" i="86"/>
  <c r="DR29" i="86"/>
  <c r="DQ29" i="86"/>
  <c r="DP30" i="86"/>
  <c r="DT30" i="86"/>
  <c r="DQ30" i="86"/>
  <c r="DS30" i="86"/>
  <c r="DR30" i="86"/>
  <c r="BY59" i="86"/>
  <c r="CA59" i="86"/>
  <c r="BX59" i="86"/>
  <c r="BW59" i="86"/>
  <c r="BZ59" i="86"/>
  <c r="CQ51" i="86"/>
  <c r="CR51" i="86"/>
  <c r="CO51" i="86"/>
  <c r="CP51" i="86"/>
  <c r="CS51" i="86"/>
  <c r="CY35" i="86"/>
  <c r="CZ35" i="86"/>
  <c r="DA35" i="86"/>
  <c r="DB35" i="86"/>
  <c r="CX35" i="86"/>
  <c r="CP61" i="86"/>
  <c r="CR61" i="86"/>
  <c r="CS61" i="86"/>
  <c r="CO61" i="86"/>
  <c r="CQ61" i="86"/>
  <c r="CG6" i="86"/>
  <c r="CI6" i="86"/>
  <c r="CJ6" i="86"/>
  <c r="CH6" i="86"/>
  <c r="CF6" i="86"/>
  <c r="DH67" i="86"/>
  <c r="DG67" i="86"/>
  <c r="DJ67" i="86"/>
  <c r="DI67" i="86"/>
  <c r="DK67" i="86"/>
  <c r="DK90" i="86"/>
  <c r="DI90" i="86"/>
  <c r="DJ90" i="86"/>
  <c r="DH90" i="86"/>
  <c r="DG90" i="86"/>
  <c r="BO90" i="86"/>
  <c r="BR90" i="86"/>
  <c r="BN90" i="86"/>
  <c r="BP90" i="86"/>
  <c r="BQ90" i="86"/>
  <c r="BY85" i="86"/>
  <c r="BW85" i="86"/>
  <c r="CA85" i="86"/>
  <c r="BX85" i="86"/>
  <c r="BZ85" i="86"/>
  <c r="CQ56" i="86"/>
  <c r="CS56" i="86"/>
  <c r="CO56" i="86"/>
  <c r="CP56" i="86"/>
  <c r="CR56" i="86"/>
  <c r="CF36" i="86"/>
  <c r="CG36" i="86"/>
  <c r="CI36" i="86"/>
  <c r="CJ36" i="86"/>
  <c r="CH36" i="86"/>
  <c r="DR73" i="86"/>
  <c r="DS73" i="86"/>
  <c r="DT73" i="86"/>
  <c r="DP73" i="86"/>
  <c r="DQ73" i="86"/>
  <c r="DI15" i="86"/>
  <c r="DH15" i="86"/>
  <c r="DJ15" i="86"/>
  <c r="DK15" i="86"/>
  <c r="DG15" i="86"/>
  <c r="DR84" i="86"/>
  <c r="DT84" i="86"/>
  <c r="DP84" i="86"/>
  <c r="DS84" i="86"/>
  <c r="DQ84" i="86"/>
  <c r="BY7" i="86"/>
  <c r="BZ7" i="86"/>
  <c r="BW7" i="86"/>
  <c r="BX7" i="86"/>
  <c r="CA7" i="86"/>
  <c r="BP77" i="86"/>
  <c r="BN77" i="86"/>
  <c r="BR77" i="86"/>
  <c r="BO77" i="86"/>
  <c r="BQ77" i="86"/>
  <c r="BR35" i="86"/>
  <c r="BQ35" i="86"/>
  <c r="BN35" i="86"/>
  <c r="BP35" i="86"/>
  <c r="BO35" i="86"/>
  <c r="BY57" i="86"/>
  <c r="CA57" i="86"/>
  <c r="BW57" i="86"/>
  <c r="BZ57" i="86"/>
  <c r="BX57" i="86"/>
  <c r="CR22" i="86"/>
  <c r="CS22" i="86"/>
  <c r="CO22" i="86"/>
  <c r="CP22" i="86"/>
  <c r="CQ22" i="86"/>
  <c r="DT46" i="86"/>
  <c r="DR46" i="86"/>
  <c r="DQ46" i="86"/>
  <c r="DS46" i="86"/>
  <c r="DP46" i="86"/>
  <c r="DJ57" i="86"/>
  <c r="DI57" i="86"/>
  <c r="DH57" i="86"/>
  <c r="DK57" i="86"/>
  <c r="DG57" i="86"/>
  <c r="DK54" i="86"/>
  <c r="DJ54" i="86"/>
  <c r="DG54" i="86"/>
  <c r="DH54" i="86"/>
  <c r="DI54" i="86"/>
  <c r="DS33" i="86"/>
  <c r="DT33" i="86"/>
  <c r="DQ33" i="86"/>
  <c r="DR33" i="86"/>
  <c r="DP33" i="86"/>
  <c r="CA35" i="86"/>
  <c r="BY35" i="86"/>
  <c r="BW35" i="86"/>
  <c r="BX35" i="86"/>
  <c r="BZ35" i="86"/>
  <c r="BX71" i="86"/>
  <c r="BY71" i="86"/>
  <c r="BZ71" i="86"/>
  <c r="BW71" i="86"/>
  <c r="CA71" i="86"/>
  <c r="BP103" i="86"/>
  <c r="BR103" i="86"/>
  <c r="BQ103" i="86"/>
  <c r="BN103" i="86"/>
  <c r="BO103" i="86"/>
  <c r="BR41" i="86"/>
  <c r="BQ41" i="86"/>
  <c r="BO41" i="86"/>
  <c r="BP41" i="86"/>
  <c r="BN41" i="86"/>
  <c r="BN97" i="86"/>
  <c r="BP97" i="86"/>
  <c r="BR97" i="86"/>
  <c r="BQ97" i="86"/>
  <c r="BO97" i="86"/>
  <c r="BG19" i="86"/>
  <c r="BF19" i="86"/>
  <c r="BE19" i="86"/>
  <c r="BH19" i="86"/>
  <c r="BI19" i="86"/>
  <c r="BN52" i="86"/>
  <c r="BP52" i="86"/>
  <c r="BR52" i="86"/>
  <c r="BO52" i="86"/>
  <c r="BQ52" i="86"/>
  <c r="BW92" i="86"/>
  <c r="BY92" i="86"/>
  <c r="CA92" i="86"/>
  <c r="BX92" i="86"/>
  <c r="BZ92" i="86"/>
  <c r="BH105" i="86"/>
  <c r="BE105" i="86"/>
  <c r="BG105" i="86"/>
  <c r="BF105" i="86"/>
  <c r="BI105" i="86"/>
  <c r="BQ39" i="86"/>
  <c r="BR39" i="86"/>
  <c r="BN39" i="86"/>
  <c r="BP39" i="86"/>
  <c r="BO39" i="86"/>
  <c r="BP102" i="86"/>
  <c r="BO102" i="86"/>
  <c r="BR102" i="86"/>
  <c r="BN102" i="86"/>
  <c r="BQ102" i="86"/>
  <c r="BZ81" i="86"/>
  <c r="BX81" i="86"/>
  <c r="BY81" i="86"/>
  <c r="CA81" i="86"/>
  <c r="BW81" i="86"/>
  <c r="BX20" i="86"/>
  <c r="CA20" i="86"/>
  <c r="BY20" i="86"/>
  <c r="BW20" i="86"/>
  <c r="BZ20" i="86"/>
  <c r="BF35" i="86"/>
  <c r="BE35" i="86"/>
  <c r="BI35" i="86"/>
  <c r="BG35" i="86"/>
  <c r="BH35" i="86"/>
  <c r="CA50" i="86"/>
  <c r="BZ50" i="86"/>
  <c r="BX50" i="86"/>
  <c r="BY50" i="86"/>
  <c r="BW50" i="86"/>
  <c r="BO27" i="86"/>
  <c r="BN27" i="86"/>
  <c r="BQ27" i="86"/>
  <c r="BP27" i="86"/>
  <c r="BR27" i="86"/>
  <c r="BQ29" i="86"/>
  <c r="BP29" i="86"/>
  <c r="BN29" i="86"/>
  <c r="BO29" i="86"/>
  <c r="BR29" i="86"/>
  <c r="BI13" i="86"/>
  <c r="BH13" i="86"/>
  <c r="BE13" i="86"/>
  <c r="BF13" i="86"/>
  <c r="BG13" i="86"/>
  <c r="BF28" i="86"/>
  <c r="BH28" i="86"/>
  <c r="BE28" i="86"/>
  <c r="BI28" i="86"/>
  <c r="BG28" i="86"/>
  <c r="DP7" i="86"/>
  <c r="DS7" i="86"/>
  <c r="DR7" i="86"/>
  <c r="DQ7" i="86"/>
  <c r="DT7" i="86"/>
  <c r="CG73" i="86"/>
  <c r="CI73" i="86"/>
  <c r="CH73" i="86"/>
  <c r="CF73" i="86"/>
  <c r="CJ73" i="86"/>
  <c r="DB45" i="86"/>
  <c r="CX45" i="86"/>
  <c r="CY45" i="86"/>
  <c r="CZ45" i="86"/>
  <c r="DA45" i="86"/>
  <c r="CS105" i="86"/>
  <c r="CQ105" i="86"/>
  <c r="CR105" i="86"/>
  <c r="CP105" i="86"/>
  <c r="CO105" i="86"/>
  <c r="CO87" i="86"/>
  <c r="CQ87" i="86"/>
  <c r="CS87" i="86"/>
  <c r="CR87" i="86"/>
  <c r="CP87" i="86"/>
  <c r="CY66" i="86"/>
  <c r="DB66" i="86"/>
  <c r="CX66" i="86"/>
  <c r="CZ66" i="86"/>
  <c r="DA66" i="86"/>
  <c r="CX48" i="86"/>
  <c r="CZ48" i="86"/>
  <c r="CY48" i="86"/>
  <c r="DA48" i="86"/>
  <c r="DB48" i="86"/>
  <c r="CH97" i="86"/>
  <c r="CG97" i="86"/>
  <c r="CF97" i="86"/>
  <c r="CI97" i="86"/>
  <c r="CJ97" i="86"/>
  <c r="CX24" i="86"/>
  <c r="CY24" i="86"/>
  <c r="DA24" i="86"/>
  <c r="CZ24" i="86"/>
  <c r="DB24" i="86"/>
  <c r="BR6" i="86"/>
  <c r="BN6" i="86"/>
  <c r="BQ6" i="86"/>
  <c r="BO6" i="86"/>
  <c r="BP6" i="86"/>
  <c r="CS91" i="86"/>
  <c r="CR91" i="86"/>
  <c r="CP91" i="86"/>
  <c r="CQ91" i="86"/>
  <c r="CO91" i="86"/>
  <c r="CP65" i="86"/>
  <c r="CQ65" i="86"/>
  <c r="CR65" i="86"/>
  <c r="CO65" i="86"/>
  <c r="CS65" i="86"/>
  <c r="BO15" i="86"/>
  <c r="BQ15" i="86"/>
  <c r="BR15" i="86"/>
  <c r="BN15" i="86"/>
  <c r="BP15" i="86"/>
  <c r="CJ65" i="86"/>
  <c r="CG65" i="86"/>
  <c r="CF65" i="86"/>
  <c r="CH65" i="86"/>
  <c r="CI65" i="86"/>
  <c r="CH31" i="86"/>
  <c r="CJ31" i="86"/>
  <c r="CF31" i="86"/>
  <c r="CI31" i="86"/>
  <c r="CG31" i="86"/>
  <c r="CO41" i="86"/>
  <c r="CQ41" i="86"/>
  <c r="CS41" i="86"/>
  <c r="CP41" i="86"/>
  <c r="CR41" i="86"/>
  <c r="CR34" i="86"/>
  <c r="CO34" i="86"/>
  <c r="CQ34" i="86"/>
  <c r="CS34" i="86"/>
  <c r="CP34" i="86"/>
  <c r="DI9" i="86"/>
  <c r="DH9" i="86"/>
  <c r="DG9" i="86"/>
  <c r="DJ9" i="86"/>
  <c r="DK9" i="86"/>
  <c r="DP49" i="86"/>
  <c r="DQ49" i="86"/>
  <c r="DT49" i="86"/>
  <c r="DR49" i="86"/>
  <c r="DS49" i="86"/>
  <c r="BI16" i="86"/>
  <c r="BH16" i="86"/>
  <c r="BF16" i="86"/>
  <c r="BE16" i="86"/>
  <c r="BG16" i="86"/>
  <c r="CJ87" i="86"/>
  <c r="CG87" i="86"/>
  <c r="CF87" i="86"/>
  <c r="CH87" i="86"/>
  <c r="CI87" i="86"/>
  <c r="CI101" i="86"/>
  <c r="CG101" i="86"/>
  <c r="CJ101" i="86"/>
  <c r="CF101" i="86"/>
  <c r="CH101" i="86"/>
  <c r="DK70" i="86"/>
  <c r="DJ70" i="86"/>
  <c r="DH70" i="86"/>
  <c r="DG70" i="86"/>
  <c r="DI70" i="86"/>
  <c r="DJ93" i="86"/>
  <c r="DK93" i="86"/>
  <c r="DG93" i="86"/>
  <c r="DI93" i="86"/>
  <c r="DH93" i="86"/>
  <c r="DP90" i="86"/>
  <c r="DR90" i="86"/>
  <c r="DQ90" i="86"/>
  <c r="DT90" i="86"/>
  <c r="DS90" i="86"/>
  <c r="BZ73" i="86"/>
  <c r="CA73" i="86"/>
  <c r="BW73" i="86"/>
  <c r="BX73" i="86"/>
  <c r="BY73" i="86"/>
  <c r="BG86" i="86"/>
  <c r="BF86" i="86"/>
  <c r="BH86" i="86"/>
  <c r="BE86" i="86"/>
  <c r="BI86" i="86"/>
  <c r="CR17" i="86"/>
  <c r="CP17" i="86"/>
  <c r="CS17" i="86"/>
  <c r="CO17" i="86"/>
  <c r="CQ17" i="86"/>
  <c r="DG40" i="86"/>
  <c r="DK40" i="86"/>
  <c r="DH40" i="86"/>
  <c r="DJ40" i="86"/>
  <c r="DI40" i="86"/>
  <c r="BF54" i="86"/>
  <c r="BE54" i="86"/>
  <c r="BH54" i="86"/>
  <c r="BG54" i="86"/>
  <c r="BI54" i="86"/>
  <c r="BN7" i="86"/>
  <c r="BP7" i="86"/>
  <c r="BO7" i="86"/>
  <c r="BQ7" i="86"/>
  <c r="BR7" i="86"/>
  <c r="CR15" i="86"/>
  <c r="CQ15" i="86"/>
  <c r="CS15" i="86"/>
  <c r="CP15" i="86"/>
  <c r="CO15" i="86"/>
  <c r="DG36" i="86"/>
  <c r="DH36" i="86"/>
  <c r="DJ36" i="86"/>
  <c r="DI36" i="86"/>
  <c r="DK36" i="86"/>
  <c r="BI15" i="86"/>
  <c r="BH15" i="86"/>
  <c r="BG15" i="86"/>
  <c r="BE15" i="86"/>
  <c r="BF15" i="86"/>
  <c r="BP61" i="86"/>
  <c r="BR61" i="86"/>
  <c r="BQ61" i="86"/>
  <c r="BO61" i="86"/>
  <c r="BN61" i="86"/>
  <c r="CR13" i="86"/>
  <c r="CS13" i="86"/>
  <c r="CP13" i="86"/>
  <c r="CO13" i="86"/>
  <c r="CQ13" i="86"/>
  <c r="DT32" i="86"/>
  <c r="DQ32" i="86"/>
  <c r="DR32" i="86"/>
  <c r="DS32" i="86"/>
  <c r="DP32" i="86"/>
  <c r="BR67" i="86"/>
  <c r="BQ67" i="86"/>
  <c r="BP67" i="86"/>
  <c r="BO67" i="86"/>
  <c r="BN67" i="86"/>
  <c r="CY72" i="86"/>
  <c r="CZ72" i="86"/>
  <c r="CX72" i="86"/>
  <c r="DA72" i="86"/>
  <c r="DB72" i="86"/>
  <c r="DB86" i="86"/>
  <c r="DA86" i="86"/>
  <c r="CZ86" i="86"/>
  <c r="CX86" i="86"/>
  <c r="CY86" i="86"/>
  <c r="CP76" i="86"/>
  <c r="CO76" i="86"/>
  <c r="CS76" i="86"/>
  <c r="CR76" i="86"/>
  <c r="CQ76" i="86"/>
  <c r="DT82" i="86"/>
  <c r="DQ82" i="86"/>
  <c r="DP82" i="86"/>
  <c r="DS82" i="86"/>
  <c r="DR82" i="86"/>
  <c r="DJ22" i="86"/>
  <c r="DI22" i="86"/>
  <c r="DK22" i="86"/>
  <c r="DH22" i="86"/>
  <c r="DG22" i="86"/>
  <c r="BI56" i="86"/>
  <c r="BH56" i="86"/>
  <c r="BG56" i="86"/>
  <c r="BE56" i="86"/>
  <c r="BF56" i="86"/>
  <c r="CH39" i="86"/>
  <c r="CG39" i="86"/>
  <c r="CJ39" i="86"/>
  <c r="CF39" i="86"/>
  <c r="CI39" i="86"/>
  <c r="CS47" i="86"/>
  <c r="CO47" i="86"/>
  <c r="CQ47" i="86"/>
  <c r="CP47" i="86"/>
  <c r="CR47" i="86"/>
  <c r="CS46" i="86"/>
  <c r="CP46" i="86"/>
  <c r="CO46" i="86"/>
  <c r="CQ46" i="86"/>
  <c r="CR46" i="86"/>
  <c r="DI38" i="86"/>
  <c r="DH38" i="86"/>
  <c r="DK38" i="86"/>
  <c r="DG38" i="86"/>
  <c r="DJ38" i="86"/>
  <c r="DR56" i="86"/>
  <c r="DS56" i="86"/>
  <c r="DP56" i="86"/>
  <c r="DT56" i="86"/>
  <c r="DQ56" i="86"/>
  <c r="BF91" i="86"/>
  <c r="BG91" i="86"/>
  <c r="BI91" i="86"/>
  <c r="BH91" i="86"/>
  <c r="BE91" i="86"/>
  <c r="CZ54" i="86"/>
  <c r="CX54" i="86"/>
  <c r="CY54" i="86"/>
  <c r="DB54" i="86"/>
  <c r="DA54" i="86"/>
  <c r="CI43" i="86"/>
  <c r="CH43" i="86"/>
  <c r="CJ43" i="86"/>
  <c r="CF43" i="86"/>
  <c r="CG43" i="86"/>
  <c r="DB64" i="86"/>
  <c r="CX64" i="86"/>
  <c r="CY64" i="86"/>
  <c r="CZ64" i="86"/>
  <c r="DA64" i="86"/>
  <c r="DP26" i="86"/>
  <c r="DT26" i="86"/>
  <c r="DQ26" i="86"/>
  <c r="DR26" i="86"/>
  <c r="DS26" i="86"/>
  <c r="DI74" i="86"/>
  <c r="DG74" i="86"/>
  <c r="DH74" i="86"/>
  <c r="DK74" i="86"/>
  <c r="DJ74" i="86"/>
  <c r="DH94" i="86"/>
  <c r="DI94" i="86"/>
  <c r="DJ94" i="86"/>
  <c r="DG94" i="86"/>
  <c r="DK94" i="86"/>
  <c r="BY15" i="86"/>
  <c r="CA15" i="86"/>
  <c r="BW15" i="86"/>
  <c r="BX15" i="86"/>
  <c r="BZ15" i="86"/>
  <c r="BY58" i="86"/>
  <c r="BW58" i="86"/>
  <c r="BX58" i="86"/>
  <c r="CA58" i="86"/>
  <c r="BZ58" i="86"/>
  <c r="CI23" i="86"/>
  <c r="CJ23" i="86"/>
  <c r="CH23" i="86"/>
  <c r="CF23" i="86"/>
  <c r="CG23" i="86"/>
  <c r="CR101" i="86"/>
  <c r="CS101" i="86"/>
  <c r="CO101" i="86"/>
  <c r="CQ101" i="86"/>
  <c r="CP101" i="86"/>
  <c r="CZ36" i="86"/>
  <c r="DA36" i="86"/>
  <c r="CY36" i="86"/>
  <c r="CX36" i="86"/>
  <c r="DB36" i="86"/>
  <c r="CG86" i="86"/>
  <c r="CI86" i="86"/>
  <c r="CF86" i="86"/>
  <c r="CH86" i="86"/>
  <c r="CJ86" i="86"/>
  <c r="DK95" i="86"/>
  <c r="DG95" i="86"/>
  <c r="DI95" i="86"/>
  <c r="DH95" i="86"/>
  <c r="DJ95" i="86"/>
  <c r="DK47" i="86"/>
  <c r="DJ47" i="86"/>
  <c r="DI47" i="86"/>
  <c r="DG47" i="86"/>
  <c r="DH47" i="86"/>
  <c r="BZ63" i="86"/>
  <c r="BW63" i="86"/>
  <c r="BY63" i="86"/>
  <c r="CA63" i="86"/>
  <c r="BX63" i="86"/>
  <c r="BY19" i="86"/>
  <c r="BW19" i="86"/>
  <c r="BZ19" i="86"/>
  <c r="BX19" i="86"/>
  <c r="CA19" i="86"/>
  <c r="CS40" i="86"/>
  <c r="CQ40" i="86"/>
  <c r="CO40" i="86"/>
  <c r="CP40" i="86"/>
  <c r="CR40" i="86"/>
  <c r="CJ20" i="86"/>
  <c r="CF20" i="86"/>
  <c r="CH20" i="86"/>
  <c r="CI20" i="86"/>
  <c r="CG20" i="86"/>
  <c r="DK16" i="86"/>
  <c r="DG16" i="86"/>
  <c r="DI16" i="86"/>
  <c r="DH16" i="86"/>
  <c r="DJ16" i="86"/>
  <c r="DQ86" i="86"/>
  <c r="DR86" i="86"/>
  <c r="DP86" i="86"/>
  <c r="DS86" i="86"/>
  <c r="DT86" i="86"/>
  <c r="DP60" i="86"/>
  <c r="DQ60" i="86"/>
  <c r="DS60" i="86"/>
  <c r="DT60" i="86"/>
  <c r="DR60" i="86"/>
  <c r="BX42" i="86"/>
  <c r="BW42" i="86"/>
  <c r="BY42" i="86"/>
  <c r="BZ42" i="86"/>
  <c r="CA42" i="86"/>
  <c r="BX82" i="86"/>
  <c r="BW82" i="86"/>
  <c r="CA82" i="86"/>
  <c r="BZ82" i="86"/>
  <c r="BY82" i="86"/>
  <c r="DP91" i="86"/>
  <c r="DQ91" i="86"/>
  <c r="DS91" i="86"/>
  <c r="DT91" i="86"/>
  <c r="DR91" i="86"/>
  <c r="CQ37" i="86"/>
  <c r="CP37" i="86"/>
  <c r="CO37" i="86"/>
  <c r="CR37" i="86"/>
  <c r="CS37" i="86"/>
  <c r="DK6" i="86"/>
  <c r="DG6" i="86"/>
  <c r="DJ6" i="86"/>
  <c r="DH6" i="86"/>
  <c r="DI6" i="86"/>
  <c r="DP25" i="86"/>
  <c r="DQ25" i="86"/>
  <c r="DT25" i="86"/>
  <c r="DR25" i="86"/>
  <c r="DS25" i="86"/>
  <c r="DR9" i="86"/>
  <c r="DS9" i="86"/>
  <c r="DT9" i="86"/>
  <c r="DQ9" i="86"/>
  <c r="DP9" i="86"/>
  <c r="BO68" i="86"/>
  <c r="BQ68" i="86"/>
  <c r="BN68" i="86"/>
  <c r="BR68" i="86"/>
  <c r="BP68" i="86"/>
  <c r="CA96" i="86"/>
  <c r="BZ96" i="86"/>
  <c r="BY96" i="86"/>
  <c r="BX96" i="86"/>
  <c r="BW96" i="86"/>
  <c r="BG88" i="86"/>
  <c r="BF88" i="86"/>
  <c r="BI88" i="86"/>
  <c r="BH88" i="86"/>
  <c r="BE88" i="86"/>
  <c r="BP62" i="86"/>
  <c r="BR62" i="86"/>
  <c r="BN62" i="86"/>
  <c r="BQ62" i="86"/>
  <c r="BO62" i="86"/>
  <c r="BY99" i="86"/>
  <c r="BX99" i="86"/>
  <c r="BW99" i="86"/>
  <c r="BZ99" i="86"/>
  <c r="CA99" i="86"/>
  <c r="BE39" i="86"/>
  <c r="BH39" i="86"/>
  <c r="BG39" i="86"/>
  <c r="BI39" i="86"/>
  <c r="BF39" i="86"/>
  <c r="BN78" i="86"/>
  <c r="BR78" i="86"/>
  <c r="BO78" i="86"/>
  <c r="BP78" i="86"/>
  <c r="BQ78" i="86"/>
  <c r="BH30" i="86"/>
  <c r="BG30" i="86"/>
  <c r="BF30" i="86"/>
  <c r="BI30" i="86"/>
  <c r="BE30" i="86"/>
  <c r="BN99" i="86"/>
  <c r="BR99" i="86"/>
  <c r="BP99" i="86"/>
  <c r="BO99" i="86"/>
  <c r="BQ99" i="86"/>
  <c r="BG53" i="86"/>
  <c r="BH53" i="86"/>
  <c r="BE53" i="86"/>
  <c r="BI53" i="86"/>
  <c r="BF53" i="86"/>
  <c r="BZ56" i="86"/>
  <c r="BX56" i="86"/>
  <c r="CA56" i="86"/>
  <c r="BW56" i="86"/>
  <c r="BY56" i="86"/>
  <c r="BH27" i="86"/>
  <c r="BF27" i="86"/>
  <c r="BI27" i="86"/>
  <c r="BG27" i="86"/>
  <c r="BE27" i="86"/>
  <c r="BO96" i="86"/>
  <c r="BR96" i="86"/>
  <c r="BP96" i="86"/>
  <c r="BN96" i="86"/>
  <c r="BQ96" i="86"/>
  <c r="BE58" i="86"/>
  <c r="BI58" i="86"/>
  <c r="BH58" i="86"/>
  <c r="BF58" i="86"/>
  <c r="BG58" i="86"/>
  <c r="BG49" i="86"/>
  <c r="BI49" i="86"/>
  <c r="BH49" i="86"/>
  <c r="BE49" i="86"/>
  <c r="BF49" i="86"/>
  <c r="BH80" i="86"/>
  <c r="BE80" i="86"/>
  <c r="BF80" i="86"/>
  <c r="BI80" i="86"/>
  <c r="BG80" i="86"/>
  <c r="BO33" i="86"/>
  <c r="BN33" i="86"/>
  <c r="BP33" i="86"/>
  <c r="BR33" i="86"/>
  <c r="BQ33" i="86"/>
  <c r="BF82" i="86"/>
  <c r="BG82" i="86"/>
  <c r="BE82" i="86"/>
  <c r="BI82" i="86"/>
  <c r="BH82" i="86"/>
  <c r="G28" i="94" l="1"/>
  <c r="V349" i="65"/>
  <c r="U37" i="65"/>
  <c r="V362" i="65"/>
  <c r="AQ267" i="65"/>
  <c r="U164" i="65"/>
  <c r="AS16" i="65"/>
  <c r="AP76" i="65"/>
  <c r="AR285" i="65"/>
  <c r="U226" i="65"/>
  <c r="U25" i="65"/>
  <c r="U243" i="65"/>
  <c r="AR80" i="65"/>
  <c r="V235" i="65"/>
  <c r="AO231" i="65"/>
  <c r="V200" i="65"/>
  <c r="V299" i="65"/>
  <c r="AR142" i="65"/>
  <c r="V302" i="65"/>
  <c r="AO317" i="65"/>
  <c r="AS73" i="65"/>
  <c r="R41" i="65"/>
  <c r="U145" i="65"/>
  <c r="R208" i="65"/>
  <c r="R152" i="65"/>
  <c r="U218" i="65"/>
  <c r="AS308" i="65"/>
  <c r="AS163" i="65"/>
  <c r="AS150" i="65"/>
  <c r="AP178" i="65"/>
  <c r="V320" i="65"/>
  <c r="U340" i="65"/>
  <c r="AQ141" i="65"/>
  <c r="AQ230" i="65"/>
  <c r="AO178" i="65"/>
  <c r="AS294" i="65"/>
  <c r="AP25" i="65"/>
  <c r="R129" i="65"/>
  <c r="AQ121" i="65"/>
  <c r="AP105" i="65"/>
  <c r="AO63" i="65"/>
  <c r="AR342" i="65"/>
  <c r="V49" i="65"/>
  <c r="AQ188" i="65"/>
  <c r="AP208" i="65"/>
  <c r="AQ238" i="65"/>
  <c r="V252" i="65"/>
  <c r="U149" i="65"/>
  <c r="U209" i="65"/>
  <c r="V17" i="65"/>
  <c r="U75" i="65"/>
  <c r="AR314" i="65"/>
  <c r="AQ224" i="65"/>
  <c r="AR43" i="65"/>
  <c r="AP186" i="65"/>
  <c r="U34" i="65"/>
  <c r="U181" i="65"/>
  <c r="V163" i="65"/>
  <c r="R220" i="65"/>
  <c r="R184" i="65"/>
  <c r="R359" i="65"/>
  <c r="U7" i="65"/>
  <c r="AS15" i="65"/>
  <c r="AO118" i="65"/>
  <c r="AO43" i="65"/>
  <c r="R268" i="65"/>
  <c r="V232" i="65"/>
  <c r="V210" i="65"/>
  <c r="AS311" i="65"/>
  <c r="AR53" i="65"/>
  <c r="AQ205" i="65"/>
  <c r="R226" i="65"/>
  <c r="AS35" i="65"/>
  <c r="AS152" i="65"/>
  <c r="AR5" i="65"/>
  <c r="AO80" i="65"/>
  <c r="AQ102" i="65"/>
  <c r="AQ125" i="65"/>
  <c r="AQ269" i="65"/>
  <c r="AR197" i="65"/>
  <c r="V256" i="65"/>
  <c r="V23" i="65"/>
  <c r="V106" i="65"/>
  <c r="V226" i="65"/>
  <c r="AP65" i="65"/>
  <c r="V294" i="65"/>
  <c r="R336" i="65"/>
  <c r="V311" i="65"/>
  <c r="AR204" i="65"/>
  <c r="AQ75" i="65"/>
  <c r="AQ283" i="65"/>
  <c r="AR206" i="65"/>
  <c r="V159" i="65"/>
  <c r="R321" i="65"/>
  <c r="U52" i="65"/>
  <c r="V98" i="65"/>
  <c r="V95" i="65"/>
  <c r="AR101" i="65"/>
  <c r="U113" i="65"/>
  <c r="U207" i="65"/>
  <c r="AO289" i="65"/>
  <c r="AS351" i="65"/>
  <c r="AQ14" i="65"/>
  <c r="R316" i="65"/>
  <c r="AO110" i="65"/>
  <c r="R322" i="65"/>
  <c r="U85" i="65"/>
  <c r="AQ180" i="65"/>
  <c r="AQ179" i="65"/>
  <c r="U294" i="65"/>
  <c r="V118" i="65"/>
  <c r="U280" i="65"/>
  <c r="U351" i="65"/>
  <c r="AP12" i="65"/>
  <c r="AP248" i="65"/>
  <c r="U173" i="65"/>
  <c r="V166" i="65"/>
  <c r="U103" i="65"/>
  <c r="V154" i="65"/>
  <c r="AP266" i="65"/>
  <c r="V37" i="65"/>
  <c r="V152" i="65"/>
  <c r="V97" i="65"/>
  <c r="AP89" i="65"/>
  <c r="V161" i="65"/>
  <c r="V132" i="65"/>
  <c r="U170" i="65"/>
  <c r="AP11" i="65"/>
  <c r="U251" i="65"/>
  <c r="U335" i="65"/>
  <c r="R265" i="65"/>
  <c r="V43" i="65"/>
  <c r="AQ222" i="65"/>
  <c r="U42" i="65"/>
  <c r="R149" i="65"/>
  <c r="V144" i="65"/>
  <c r="U98" i="65"/>
  <c r="AS162" i="65"/>
  <c r="AP156" i="65"/>
  <c r="U22" i="65"/>
  <c r="R290" i="65"/>
  <c r="AP228" i="65"/>
  <c r="AS195" i="65"/>
  <c r="R87" i="65"/>
  <c r="AP261" i="65"/>
  <c r="AO52" i="65"/>
  <c r="R125" i="65"/>
  <c r="R72" i="65"/>
  <c r="AR223" i="65"/>
  <c r="U183" i="65"/>
  <c r="AP164" i="65"/>
  <c r="AS77" i="65"/>
  <c r="AR258" i="65"/>
  <c r="U238" i="65"/>
  <c r="V316" i="65"/>
  <c r="AQ161" i="65"/>
  <c r="U143" i="65"/>
  <c r="AP326" i="65"/>
  <c r="R116" i="65"/>
  <c r="U101" i="65"/>
  <c r="V324" i="65"/>
  <c r="R357" i="65"/>
  <c r="AR93" i="65"/>
  <c r="R258" i="65"/>
  <c r="AQ18" i="65"/>
  <c r="AO244" i="65"/>
  <c r="U362" i="65"/>
  <c r="AR253" i="65"/>
  <c r="AO7" i="65"/>
  <c r="AQ191" i="65"/>
  <c r="AO308" i="65"/>
  <c r="V5" i="65"/>
  <c r="U255" i="65"/>
  <c r="U305" i="65"/>
  <c r="AQ227" i="65"/>
  <c r="AQ149" i="65"/>
  <c r="AP41" i="65"/>
  <c r="AO293" i="65"/>
  <c r="AO167" i="65"/>
  <c r="AS42" i="65"/>
  <c r="R285" i="65"/>
  <c r="AQ100" i="65"/>
  <c r="AR182" i="65"/>
  <c r="AO59" i="65"/>
  <c r="AQ13" i="65"/>
  <c r="AO224" i="65"/>
  <c r="AO284" i="65"/>
  <c r="U125" i="65"/>
  <c r="V348" i="65"/>
  <c r="V330" i="65"/>
  <c r="V128" i="65"/>
  <c r="AQ9" i="65"/>
  <c r="V314" i="65"/>
  <c r="V67" i="65"/>
  <c r="V363" i="65"/>
  <c r="AR177" i="65"/>
  <c r="V335" i="65"/>
  <c r="V28" i="65"/>
  <c r="AP285" i="65"/>
  <c r="V124" i="65"/>
  <c r="AO324" i="65"/>
  <c r="V227" i="65"/>
  <c r="U178" i="65"/>
  <c r="AQ164" i="65"/>
  <c r="V34" i="65"/>
  <c r="V293" i="65"/>
  <c r="V182" i="65"/>
  <c r="R317" i="65"/>
  <c r="AP246" i="65"/>
  <c r="AP98" i="65"/>
  <c r="U73" i="65"/>
  <c r="U276" i="65"/>
  <c r="AP291" i="65"/>
  <c r="AO305" i="65"/>
  <c r="AS298" i="65"/>
  <c r="AQ313" i="65"/>
  <c r="R40" i="65"/>
  <c r="V234" i="65"/>
  <c r="AO84" i="65"/>
  <c r="AS29" i="65"/>
  <c r="AQ16" i="65"/>
  <c r="R221" i="65"/>
  <c r="AQ86" i="65"/>
  <c r="U138" i="65"/>
  <c r="U68" i="65"/>
  <c r="AP301" i="65"/>
  <c r="AS218" i="65"/>
  <c r="R338" i="65"/>
  <c r="AR38" i="65"/>
  <c r="AR121" i="65"/>
  <c r="R20" i="65"/>
  <c r="R26" i="65"/>
  <c r="AQ20" i="65"/>
  <c r="AS261" i="65"/>
  <c r="R8" i="65"/>
  <c r="AO144" i="65"/>
  <c r="R262" i="65"/>
  <c r="AS153" i="65"/>
  <c r="AS45" i="65"/>
  <c r="AP69" i="65"/>
  <c r="AP247" i="65"/>
  <c r="AQ236" i="65"/>
  <c r="AQ49" i="65"/>
  <c r="V88" i="65"/>
  <c r="AR122" i="65"/>
  <c r="R326" i="65"/>
  <c r="AP22" i="65"/>
  <c r="AQ123" i="65"/>
  <c r="AQ166" i="65"/>
  <c r="AO215" i="65"/>
  <c r="AQ322" i="65"/>
  <c r="R76" i="65"/>
  <c r="AO96" i="65"/>
  <c r="AR335" i="65"/>
  <c r="AS99" i="65"/>
  <c r="AS66" i="65"/>
  <c r="AO100" i="65"/>
  <c r="AO226" i="65"/>
  <c r="AR311" i="65"/>
  <c r="AQ200" i="65"/>
  <c r="V155" i="65"/>
  <c r="AS97" i="65"/>
  <c r="AR149" i="65"/>
  <c r="AR333" i="65"/>
  <c r="R169" i="65"/>
  <c r="U327" i="65"/>
  <c r="AS108" i="65"/>
  <c r="AP151" i="65"/>
  <c r="R267" i="65"/>
  <c r="AQ138" i="65"/>
  <c r="AO138" i="65"/>
  <c r="R293" i="65"/>
  <c r="AO16" i="65"/>
  <c r="AQ354" i="65"/>
  <c r="AP234" i="65"/>
  <c r="R277" i="65"/>
  <c r="AP172" i="65"/>
  <c r="R342" i="65"/>
  <c r="AR84" i="65"/>
  <c r="AR346" i="65"/>
  <c r="R241" i="65"/>
  <c r="AO190" i="65"/>
  <c r="R327" i="65"/>
  <c r="R304" i="65"/>
  <c r="R313" i="65"/>
  <c r="AO253" i="65"/>
  <c r="R60" i="65"/>
  <c r="AQ281" i="65"/>
  <c r="AS177" i="65"/>
  <c r="AR28" i="65"/>
  <c r="AR345" i="65"/>
  <c r="AP360" i="65"/>
  <c r="V121" i="65"/>
  <c r="AR160" i="65"/>
  <c r="AQ202" i="65"/>
  <c r="AO320" i="65"/>
  <c r="R142" i="65"/>
  <c r="AO19" i="65"/>
  <c r="AR165" i="65"/>
  <c r="AO278" i="65"/>
  <c r="AP51" i="65"/>
  <c r="AP316" i="65"/>
  <c r="AR268" i="65"/>
  <c r="AS81" i="65"/>
  <c r="AS217" i="65"/>
  <c r="V85" i="65"/>
  <c r="U79" i="65"/>
  <c r="AR220" i="65"/>
  <c r="AO9" i="65"/>
  <c r="R245" i="65"/>
  <c r="AQ259" i="65"/>
  <c r="AQ204" i="65"/>
  <c r="AS106" i="65"/>
  <c r="AO170" i="65"/>
  <c r="AO272" i="65"/>
  <c r="AQ310" i="65"/>
  <c r="R244" i="65"/>
  <c r="AQ83" i="65"/>
  <c r="R238" i="65"/>
  <c r="AR185" i="65"/>
  <c r="AR266" i="65"/>
  <c r="AQ63" i="65"/>
  <c r="AO153" i="65"/>
  <c r="AS126" i="65"/>
  <c r="AP47" i="65"/>
  <c r="AP319" i="65"/>
  <c r="AR244" i="65"/>
  <c r="AS128" i="65"/>
  <c r="AO262" i="65"/>
  <c r="AR361" i="65"/>
  <c r="AO168" i="65"/>
  <c r="AS79" i="65"/>
  <c r="AQ64" i="65"/>
  <c r="AQ320" i="65"/>
  <c r="AS226" i="65"/>
  <c r="AR304" i="65"/>
  <c r="AO131" i="65"/>
  <c r="AS194" i="65"/>
  <c r="AP14" i="65"/>
  <c r="AP9" i="65"/>
  <c r="AQ357" i="65"/>
  <c r="AP131" i="65"/>
  <c r="AP81" i="65"/>
  <c r="AS199" i="65"/>
  <c r="R198" i="65"/>
  <c r="AQ169" i="65"/>
  <c r="R295" i="65"/>
  <c r="AQ220" i="65"/>
  <c r="AP304" i="65"/>
  <c r="AQ289" i="65"/>
  <c r="AS61" i="65"/>
  <c r="U343" i="65"/>
  <c r="R104" i="65"/>
  <c r="AR291" i="65"/>
  <c r="AR353" i="65"/>
  <c r="AO69" i="65"/>
  <c r="AS179" i="65"/>
  <c r="R303" i="65"/>
  <c r="V13" i="65"/>
  <c r="AO234" i="65"/>
  <c r="AQ174" i="65"/>
  <c r="AS147" i="65"/>
  <c r="AP56" i="65"/>
  <c r="AS110" i="65"/>
  <c r="AP101" i="65"/>
  <c r="V219" i="65"/>
  <c r="U333" i="65"/>
  <c r="U212" i="65"/>
  <c r="U80" i="65"/>
  <c r="AS262" i="65"/>
  <c r="AP299" i="65"/>
  <c r="AO57" i="65"/>
  <c r="AQ250" i="65"/>
  <c r="AQ324" i="65"/>
  <c r="V192" i="65"/>
  <c r="AO49" i="65"/>
  <c r="R309" i="65"/>
  <c r="AP284" i="65"/>
  <c r="AR175" i="65"/>
  <c r="AS107" i="65"/>
  <c r="AO103" i="65"/>
  <c r="R350" i="65"/>
  <c r="AR161" i="65"/>
  <c r="V230" i="65"/>
  <c r="AP362" i="65"/>
  <c r="AQ268" i="65"/>
  <c r="AO6" i="65"/>
  <c r="V281" i="65"/>
  <c r="AP354" i="65"/>
  <c r="AS46" i="65"/>
  <c r="AQ52" i="65"/>
  <c r="AO65" i="65"/>
  <c r="R270" i="65"/>
  <c r="R54" i="65"/>
  <c r="V20" i="65"/>
  <c r="V358" i="65"/>
  <c r="AQ353" i="65"/>
  <c r="AR170" i="65"/>
  <c r="AR325" i="65"/>
  <c r="AQ110" i="65"/>
  <c r="AO17" i="65"/>
  <c r="AQ131" i="65"/>
  <c r="AS198" i="65"/>
  <c r="AQ8" i="65"/>
  <c r="U271" i="65"/>
  <c r="V100" i="65"/>
  <c r="AQ228" i="65"/>
  <c r="AQ67" i="65"/>
  <c r="V225" i="65"/>
  <c r="AS91" i="65"/>
  <c r="U136" i="65"/>
  <c r="V223" i="65"/>
  <c r="U332" i="65"/>
  <c r="AO362" i="65"/>
  <c r="AR125" i="65"/>
  <c r="R71" i="65"/>
  <c r="AP259" i="65"/>
  <c r="U57" i="65"/>
  <c r="AS31" i="65"/>
  <c r="U198" i="65"/>
  <c r="R175" i="65"/>
  <c r="AS129" i="65"/>
  <c r="AS315" i="65"/>
  <c r="AR89" i="65"/>
  <c r="U71" i="65"/>
  <c r="AR133" i="65"/>
  <c r="U139" i="65"/>
  <c r="AO273" i="65"/>
  <c r="V109" i="65"/>
  <c r="AR144" i="65"/>
  <c r="AO326" i="65"/>
  <c r="R15" i="65"/>
  <c r="AP223" i="65"/>
  <c r="AR128" i="65"/>
  <c r="AQ76" i="65"/>
  <c r="AO181" i="65"/>
  <c r="AS266" i="65"/>
  <c r="R44" i="65"/>
  <c r="AO337" i="65"/>
  <c r="AP133" i="65"/>
  <c r="AQ103" i="65"/>
  <c r="AS188" i="65"/>
  <c r="AR322" i="65"/>
  <c r="AP271" i="65"/>
  <c r="AS102" i="65"/>
  <c r="AS225" i="65"/>
  <c r="AO360" i="65"/>
  <c r="V259" i="65"/>
  <c r="AQ127" i="65"/>
  <c r="AO261" i="65"/>
  <c r="AQ241" i="65"/>
  <c r="AP87" i="65"/>
  <c r="U65" i="65"/>
  <c r="V321" i="65"/>
  <c r="U12" i="65"/>
  <c r="V247" i="65"/>
  <c r="U227" i="65"/>
  <c r="U180" i="65"/>
  <c r="AR56" i="65"/>
  <c r="AS301" i="65"/>
  <c r="AO267" i="65"/>
  <c r="U84" i="65"/>
  <c r="V22" i="65"/>
  <c r="AP154" i="65"/>
  <c r="AO137" i="65"/>
  <c r="AQ264" i="65"/>
  <c r="U123" i="65"/>
  <c r="V196" i="65"/>
  <c r="V112" i="65"/>
  <c r="V79" i="65"/>
  <c r="AO292" i="65"/>
  <c r="V269" i="65"/>
  <c r="U349" i="65"/>
  <c r="U116" i="65"/>
  <c r="AO121" i="65"/>
  <c r="AS89" i="65"/>
  <c r="AQ173" i="65"/>
  <c r="AS293" i="65"/>
  <c r="AS282" i="65"/>
  <c r="R106" i="65"/>
  <c r="U165" i="65"/>
  <c r="AQ246" i="65"/>
  <c r="AP210" i="65"/>
  <c r="V285" i="65"/>
  <c r="AS7" i="65"/>
  <c r="AR166" i="65"/>
  <c r="R112" i="65"/>
  <c r="AP167" i="65"/>
  <c r="U361" i="65"/>
  <c r="V318" i="65"/>
  <c r="AQ309" i="65"/>
  <c r="U208" i="65"/>
  <c r="V153" i="65"/>
  <c r="V77" i="65"/>
  <c r="AP62" i="65"/>
  <c r="AO332" i="65"/>
  <c r="V298" i="65"/>
  <c r="AP213" i="65"/>
  <c r="AR34" i="65"/>
  <c r="V334" i="65"/>
  <c r="AS321" i="65"/>
  <c r="AR16" i="65"/>
  <c r="U160" i="65"/>
  <c r="U360" i="65"/>
  <c r="AS296" i="65"/>
  <c r="R98" i="65"/>
  <c r="U172" i="65"/>
  <c r="AO189" i="65"/>
  <c r="AR284" i="65"/>
  <c r="AR176" i="65"/>
  <c r="AQ38" i="65"/>
  <c r="AQ27" i="65"/>
  <c r="AP274" i="65"/>
  <c r="AS141" i="65"/>
  <c r="U49" i="65"/>
  <c r="AQ251" i="65"/>
  <c r="U88" i="65"/>
  <c r="AO126" i="65"/>
  <c r="AO112" i="65"/>
  <c r="R187" i="65"/>
  <c r="AO174" i="65"/>
  <c r="V228" i="65"/>
  <c r="U102" i="65"/>
  <c r="V258" i="65"/>
  <c r="AP195" i="65"/>
  <c r="R6" i="65"/>
  <c r="AQ45" i="65"/>
  <c r="R201" i="65"/>
  <c r="U30" i="65"/>
  <c r="AO255" i="65"/>
  <c r="AP80" i="65"/>
  <c r="U339" i="65"/>
  <c r="U59" i="65"/>
  <c r="V238" i="65"/>
  <c r="AP357" i="65"/>
  <c r="V123" i="65"/>
  <c r="V122" i="65"/>
  <c r="V237" i="65"/>
  <c r="AR92" i="65"/>
  <c r="AO343" i="65"/>
  <c r="U133" i="65"/>
  <c r="U323" i="65"/>
  <c r="AS135" i="65"/>
  <c r="V165" i="65"/>
  <c r="V180" i="65"/>
  <c r="AP253" i="65"/>
  <c r="AO72" i="65"/>
  <c r="AS132" i="65"/>
  <c r="U66" i="65"/>
  <c r="AO313" i="65"/>
  <c r="AS60" i="65"/>
  <c r="AO210" i="65"/>
  <c r="R99" i="65"/>
  <c r="AR297" i="65"/>
  <c r="AO352" i="65"/>
  <c r="V342" i="65"/>
  <c r="AP176" i="65"/>
  <c r="V46" i="65"/>
  <c r="V39" i="65"/>
  <c r="AP305" i="65"/>
  <c r="AP356" i="65"/>
  <c r="V323" i="65"/>
  <c r="U301" i="65"/>
  <c r="AQ33" i="65"/>
  <c r="V82" i="65"/>
  <c r="AS279" i="65"/>
  <c r="V274" i="65"/>
  <c r="AO28" i="65"/>
  <c r="V168" i="65"/>
  <c r="AO316" i="65"/>
  <c r="AO219" i="65"/>
  <c r="AQ326" i="65"/>
  <c r="AP86" i="65"/>
  <c r="U195" i="65"/>
  <c r="V350" i="65"/>
  <c r="V277" i="65"/>
  <c r="AQ158" i="65"/>
  <c r="U319" i="65"/>
  <c r="R235" i="65"/>
  <c r="AO225" i="65"/>
  <c r="U53" i="65"/>
  <c r="AR69" i="65"/>
  <c r="AQ306" i="65"/>
  <c r="AS290" i="65"/>
  <c r="AR214" i="65"/>
  <c r="AR357" i="65"/>
  <c r="AR120" i="65"/>
  <c r="AR293" i="65"/>
  <c r="AP102" i="65"/>
  <c r="AO147" i="65"/>
  <c r="U86" i="65"/>
  <c r="AO288" i="65"/>
  <c r="U239" i="65"/>
  <c r="U64" i="65"/>
  <c r="U38" i="65"/>
  <c r="U225" i="65"/>
  <c r="AO31" i="65"/>
  <c r="AS338" i="65"/>
  <c r="AP355" i="65"/>
  <c r="V207" i="65"/>
  <c r="AO229" i="65"/>
  <c r="V353" i="65"/>
  <c r="AQ301" i="65"/>
  <c r="V167" i="65"/>
  <c r="V289" i="65"/>
  <c r="AO271" i="65"/>
  <c r="AP237" i="65"/>
  <c r="U167" i="65"/>
  <c r="AS222" i="65"/>
  <c r="V61" i="65"/>
  <c r="AO33" i="65"/>
  <c r="U299" i="65"/>
  <c r="U50" i="65"/>
  <c r="AQ78" i="65"/>
  <c r="V7" i="65"/>
  <c r="V336" i="65"/>
  <c r="R251" i="65"/>
  <c r="U324" i="65"/>
  <c r="U21" i="65"/>
  <c r="AS149" i="65"/>
  <c r="U358" i="65"/>
  <c r="R278" i="65"/>
  <c r="V18" i="65"/>
  <c r="V171" i="65"/>
  <c r="U41" i="65"/>
  <c r="V351" i="65"/>
  <c r="AR124" i="65"/>
  <c r="AR231" i="65"/>
  <c r="U32" i="65"/>
  <c r="AQ325" i="65"/>
  <c r="AR192" i="65"/>
  <c r="AS116" i="65"/>
  <c r="AQ308" i="65"/>
  <c r="V89" i="65"/>
  <c r="AR263" i="65"/>
  <c r="AQ152" i="65"/>
  <c r="AO163" i="65"/>
  <c r="AR109" i="65"/>
  <c r="AR226" i="65"/>
  <c r="AO307" i="65"/>
  <c r="U291" i="65"/>
  <c r="AQ70" i="65"/>
  <c r="AQ19" i="65"/>
  <c r="AO363" i="65"/>
  <c r="AR58" i="65"/>
  <c r="AS171" i="65"/>
  <c r="AR138" i="65"/>
  <c r="AS316" i="65"/>
  <c r="AS57" i="65"/>
  <c r="AO143" i="65"/>
  <c r="AR302" i="65"/>
  <c r="AQ266" i="65"/>
  <c r="R68" i="65"/>
  <c r="AO335" i="65"/>
  <c r="AP260" i="65"/>
  <c r="AP123" i="65"/>
  <c r="AO134" i="65"/>
  <c r="AS359" i="65"/>
  <c r="AR296" i="65"/>
  <c r="V72" i="65"/>
  <c r="R248" i="65"/>
  <c r="AS103" i="65"/>
  <c r="R120" i="65"/>
  <c r="AO183" i="65"/>
  <c r="R33" i="65"/>
  <c r="AO230" i="65"/>
  <c r="AS281" i="65"/>
  <c r="AO97" i="65"/>
  <c r="R158" i="65"/>
  <c r="AO243" i="65"/>
  <c r="AO94" i="65"/>
  <c r="AQ255" i="65"/>
  <c r="AO264" i="65"/>
  <c r="AQ105" i="65"/>
  <c r="AO91" i="65"/>
  <c r="AR137" i="65"/>
  <c r="AO254" i="65"/>
  <c r="AR354" i="65"/>
  <c r="AP149" i="65"/>
  <c r="AO299" i="65"/>
  <c r="AS164" i="65"/>
  <c r="R25" i="65"/>
  <c r="AQ5" i="65"/>
  <c r="R139" i="65"/>
  <c r="AS8" i="65"/>
  <c r="AO358" i="65"/>
  <c r="V117" i="65"/>
  <c r="AQ210" i="65"/>
  <c r="AS154" i="65"/>
  <c r="AS247" i="65"/>
  <c r="AP194" i="65"/>
  <c r="AP34" i="65"/>
  <c r="AP132" i="65"/>
  <c r="AR336" i="65"/>
  <c r="V126" i="65"/>
  <c r="AP290" i="65"/>
  <c r="AO119" i="65"/>
  <c r="AP215" i="65"/>
  <c r="AS170" i="65"/>
  <c r="AR153" i="65"/>
  <c r="AR139" i="65"/>
  <c r="AO197" i="65"/>
  <c r="AO88" i="65"/>
  <c r="AR97" i="65"/>
  <c r="AP292" i="65"/>
  <c r="R135" i="65"/>
  <c r="V87" i="65"/>
  <c r="AP239" i="65"/>
  <c r="AR65" i="65"/>
  <c r="AS313" i="65"/>
  <c r="AP323" i="65"/>
  <c r="AP236" i="65"/>
  <c r="R272" i="65"/>
  <c r="AO86" i="65"/>
  <c r="AS166" i="65"/>
  <c r="AO227" i="65"/>
  <c r="AQ263" i="65"/>
  <c r="AR329" i="65"/>
  <c r="AO328" i="65"/>
  <c r="R105" i="65"/>
  <c r="AO36" i="65"/>
  <c r="AS286" i="65"/>
  <c r="AO342" i="65"/>
  <c r="V11" i="65"/>
  <c r="R287" i="65"/>
  <c r="AQ134" i="65"/>
  <c r="AS336" i="65"/>
  <c r="AR362" i="65"/>
  <c r="AQ317" i="65"/>
  <c r="AS255" i="65"/>
  <c r="AS123" i="65"/>
  <c r="AP314" i="65"/>
  <c r="U322" i="65"/>
  <c r="R123" i="65"/>
  <c r="AS229" i="65"/>
  <c r="AP235" i="65"/>
  <c r="AQ177" i="65"/>
  <c r="R23" i="65"/>
  <c r="V62" i="65"/>
  <c r="AP187" i="65"/>
  <c r="V33" i="65"/>
  <c r="AP200" i="65"/>
  <c r="R53" i="65"/>
  <c r="AQ25" i="65"/>
  <c r="AQ154" i="65"/>
  <c r="AO249" i="65"/>
  <c r="AP147" i="65"/>
  <c r="AS297" i="65"/>
  <c r="V141" i="65"/>
  <c r="AP159" i="65"/>
  <c r="AS54" i="65"/>
  <c r="AS240" i="65"/>
  <c r="AO295" i="65"/>
  <c r="AR81" i="65"/>
  <c r="AQ182" i="65"/>
  <c r="AR254" i="65"/>
  <c r="AP331" i="65"/>
  <c r="AQ209" i="65"/>
  <c r="AP345" i="65"/>
  <c r="U55" i="65"/>
  <c r="R217" i="65"/>
  <c r="AQ307" i="65"/>
  <c r="AP252" i="65"/>
  <c r="AQ231" i="65"/>
  <c r="AS320" i="65"/>
  <c r="AP157" i="65"/>
  <c r="AS11" i="65"/>
  <c r="AQ175" i="65"/>
  <c r="AQ139" i="65"/>
  <c r="AO90" i="65"/>
  <c r="AP231" i="65"/>
  <c r="AS360" i="65"/>
  <c r="AO323" i="65"/>
  <c r="V221" i="65"/>
  <c r="AS206" i="65"/>
  <c r="AR168" i="65"/>
  <c r="AS185" i="65"/>
  <c r="AP218" i="65"/>
  <c r="AS143" i="65"/>
  <c r="AP140" i="65"/>
  <c r="AR272" i="65"/>
  <c r="AP82" i="65"/>
  <c r="AS214" i="65"/>
  <c r="AR349" i="65"/>
  <c r="AO85" i="65"/>
  <c r="AS233" i="65"/>
  <c r="AP338" i="65"/>
  <c r="AO349" i="65"/>
  <c r="V322" i="65"/>
  <c r="V291" i="65"/>
  <c r="AQ130" i="65"/>
  <c r="AP161" i="65"/>
  <c r="AO78" i="65"/>
  <c r="AO193" i="65"/>
  <c r="R296" i="65"/>
  <c r="AP288" i="65"/>
  <c r="AQ55" i="65"/>
  <c r="AP122" i="65"/>
  <c r="AP251" i="65"/>
  <c r="U157" i="65"/>
  <c r="AS130" i="65"/>
  <c r="AQ215" i="65"/>
  <c r="AS238" i="65"/>
  <c r="AS318" i="65"/>
  <c r="AP96" i="65"/>
  <c r="AO260" i="65"/>
  <c r="R94" i="65"/>
  <c r="AP26" i="65"/>
  <c r="AO340" i="65"/>
  <c r="AS272" i="65"/>
  <c r="AR240" i="65"/>
  <c r="AO24" i="65"/>
  <c r="V162" i="65"/>
  <c r="AS310" i="65"/>
  <c r="AS95" i="65"/>
  <c r="AR126" i="65"/>
  <c r="AO142" i="65"/>
  <c r="R341" i="65"/>
  <c r="V57" i="65"/>
  <c r="U334" i="65"/>
  <c r="AO212" i="65"/>
  <c r="U182" i="65"/>
  <c r="V56" i="65"/>
  <c r="V146" i="65"/>
  <c r="V246" i="65"/>
  <c r="R165" i="65"/>
  <c r="AP229" i="65"/>
  <c r="AP311" i="65"/>
  <c r="AS314" i="65"/>
  <c r="V273" i="65"/>
  <c r="U216" i="65"/>
  <c r="AP318" i="65"/>
  <c r="AO124" i="65"/>
  <c r="AP155" i="65"/>
  <c r="AQ32" i="65"/>
  <c r="R83" i="65"/>
  <c r="V315" i="65"/>
  <c r="U121" i="65"/>
  <c r="AP280" i="65"/>
  <c r="U78" i="65"/>
  <c r="AP303" i="65"/>
  <c r="U303" i="65"/>
  <c r="R56" i="65"/>
  <c r="AO236" i="65"/>
  <c r="AP152" i="65"/>
  <c r="AP45" i="65"/>
  <c r="AS184" i="65"/>
  <c r="AP198" i="65"/>
  <c r="AR270" i="65"/>
  <c r="R269" i="65"/>
  <c r="AO206" i="65"/>
  <c r="R346" i="65"/>
  <c r="AQ140" i="65"/>
  <c r="AP8" i="65"/>
  <c r="AO107" i="65"/>
  <c r="U122" i="65"/>
  <c r="AQ157" i="65"/>
  <c r="AO217" i="65"/>
  <c r="AQ17" i="65"/>
  <c r="R124" i="65"/>
  <c r="AR46" i="65"/>
  <c r="AO259" i="65"/>
  <c r="AO257" i="65"/>
  <c r="AR242" i="65"/>
  <c r="AR186" i="65"/>
  <c r="AO211" i="65"/>
  <c r="AO83" i="65"/>
  <c r="AR70" i="65"/>
  <c r="R300" i="65"/>
  <c r="AS80" i="65"/>
  <c r="AQ286" i="65"/>
  <c r="R340" i="65"/>
  <c r="U96" i="65"/>
  <c r="R167" i="65"/>
  <c r="V345" i="65"/>
  <c r="V305" i="65"/>
  <c r="U223" i="65"/>
  <c r="U91" i="65"/>
  <c r="V233" i="65"/>
  <c r="U159" i="65"/>
  <c r="AS304" i="65"/>
  <c r="AQ288" i="65"/>
  <c r="V179" i="65"/>
  <c r="U200" i="65"/>
  <c r="AQ358" i="65"/>
  <c r="R292" i="65"/>
  <c r="R194" i="65"/>
  <c r="AQ278" i="65"/>
  <c r="AS43" i="65"/>
  <c r="U16" i="65"/>
  <c r="U237" i="65"/>
  <c r="U140" i="65"/>
  <c r="V229" i="65"/>
  <c r="R7" i="65"/>
  <c r="R42" i="65"/>
  <c r="AQ114" i="65"/>
  <c r="V142" i="65"/>
  <c r="AQ258" i="65"/>
  <c r="R176" i="65"/>
  <c r="AR287" i="65"/>
  <c r="R77" i="65"/>
  <c r="AQ185" i="65"/>
  <c r="R90" i="65"/>
  <c r="V332" i="65"/>
  <c r="AQ91" i="65"/>
  <c r="AO37" i="65"/>
  <c r="AR212" i="65"/>
  <c r="AP336" i="65"/>
  <c r="AS39" i="65"/>
  <c r="V224" i="65"/>
  <c r="V208" i="65"/>
  <c r="AQ235" i="65"/>
  <c r="AO347" i="65"/>
  <c r="AQ99" i="65"/>
  <c r="R36" i="65"/>
  <c r="U197" i="65"/>
  <c r="U70" i="65"/>
  <c r="U24" i="65"/>
  <c r="U241" i="65"/>
  <c r="V254" i="65"/>
  <c r="U69" i="65"/>
  <c r="AP320" i="65"/>
  <c r="AR219" i="65"/>
  <c r="R253" i="65"/>
  <c r="V292" i="65"/>
  <c r="V297" i="65"/>
  <c r="AR238" i="65"/>
  <c r="U48" i="65"/>
  <c r="AQ316" i="65"/>
  <c r="AS235" i="65"/>
  <c r="AR247" i="65"/>
  <c r="AR131" i="65"/>
  <c r="R361" i="65"/>
  <c r="AQ244" i="65"/>
  <c r="R298" i="65"/>
  <c r="AQ160" i="65"/>
  <c r="R21" i="65"/>
  <c r="AP294" i="65"/>
  <c r="AQ80" i="65"/>
  <c r="AP335" i="65"/>
  <c r="U325" i="65"/>
  <c r="AS263" i="65"/>
  <c r="U111" i="65"/>
  <c r="V206" i="65"/>
  <c r="AR115" i="65"/>
  <c r="V215" i="65"/>
  <c r="AS356" i="65"/>
  <c r="AP257" i="65"/>
  <c r="AQ273" i="65"/>
  <c r="AR74" i="65"/>
  <c r="AQ216" i="65"/>
  <c r="AO68" i="65"/>
  <c r="R188" i="65"/>
  <c r="V45" i="65"/>
  <c r="U346" i="65"/>
  <c r="V313" i="65"/>
  <c r="AP24" i="65"/>
  <c r="AS208" i="65"/>
  <c r="AR233" i="65"/>
  <c r="U329" i="65"/>
  <c r="AP343" i="65"/>
  <c r="R69" i="65"/>
  <c r="U341" i="65"/>
  <c r="V36" i="65"/>
  <c r="V361" i="65"/>
  <c r="U87" i="65"/>
  <c r="U35" i="65"/>
  <c r="AR283" i="65"/>
  <c r="AR95" i="65"/>
  <c r="U214" i="65"/>
  <c r="R168" i="65"/>
  <c r="AS168" i="65"/>
  <c r="U8" i="65"/>
  <c r="U350" i="65"/>
  <c r="AQ143" i="65"/>
  <c r="AS357" i="65"/>
  <c r="AR337" i="65"/>
  <c r="AP54" i="65"/>
  <c r="AQ217" i="65"/>
  <c r="AO156" i="65"/>
  <c r="AO149" i="65"/>
  <c r="R211" i="65"/>
  <c r="AS223" i="65"/>
  <c r="AQ11" i="65"/>
  <c r="AP227" i="65"/>
  <c r="U224" i="65"/>
  <c r="R138" i="65"/>
  <c r="U23" i="65"/>
  <c r="AP110" i="65"/>
  <c r="V19" i="65"/>
  <c r="V47" i="65"/>
  <c r="V74" i="65"/>
  <c r="AP120" i="65"/>
  <c r="V136" i="65"/>
  <c r="V111" i="65"/>
  <c r="R230" i="65"/>
  <c r="U249" i="65"/>
  <c r="U242" i="65"/>
  <c r="AP19" i="65"/>
  <c r="U250" i="65"/>
  <c r="AP204" i="65"/>
  <c r="U105" i="65"/>
  <c r="U296" i="65"/>
  <c r="R280" i="65"/>
  <c r="AQ361" i="65"/>
  <c r="AS27" i="65"/>
  <c r="V279" i="65"/>
  <c r="AQ30" i="65"/>
  <c r="AQ297" i="65"/>
  <c r="U89" i="65"/>
  <c r="V170" i="65"/>
  <c r="U293" i="65"/>
  <c r="U51" i="65"/>
  <c r="AR60" i="65"/>
  <c r="V211" i="65"/>
  <c r="U331" i="65"/>
  <c r="AR350" i="65"/>
  <c r="AR110" i="65"/>
  <c r="AR276" i="65"/>
  <c r="AS51" i="65"/>
  <c r="AS212" i="65"/>
  <c r="U187" i="65"/>
  <c r="V177" i="65"/>
  <c r="AR159" i="65"/>
  <c r="V24" i="65"/>
  <c r="AS113" i="65"/>
  <c r="AP216" i="65"/>
  <c r="AP53" i="65"/>
  <c r="AP39" i="65"/>
  <c r="V44" i="65"/>
  <c r="U97" i="65"/>
  <c r="AR32" i="65"/>
  <c r="V65" i="65"/>
  <c r="U246" i="65"/>
  <c r="AQ321" i="65"/>
  <c r="U93" i="65"/>
  <c r="V16" i="65"/>
  <c r="U74" i="65"/>
  <c r="AQ214" i="65"/>
  <c r="AO20" i="65"/>
  <c r="U60" i="65"/>
  <c r="V52" i="65"/>
  <c r="R113" i="65"/>
  <c r="AP57" i="65"/>
  <c r="AP29" i="65"/>
  <c r="AS258" i="65"/>
  <c r="V199" i="65"/>
  <c r="U330" i="65"/>
  <c r="AS245" i="65"/>
  <c r="AR207" i="65"/>
  <c r="AS12" i="65"/>
  <c r="AO286" i="65"/>
  <c r="AS271" i="65"/>
  <c r="AS352" i="65"/>
  <c r="AO111" i="65"/>
  <c r="AS334" i="65"/>
  <c r="R134" i="65"/>
  <c r="AR94" i="65"/>
  <c r="AR108" i="65"/>
  <c r="AP306" i="65"/>
  <c r="R89" i="65"/>
  <c r="U257" i="65"/>
  <c r="AO104" i="65"/>
  <c r="AR279" i="65"/>
  <c r="AS90" i="65"/>
  <c r="AO44" i="65"/>
  <c r="U231" i="65"/>
  <c r="AS285" i="65"/>
  <c r="AQ53" i="65"/>
  <c r="AO282" i="65"/>
  <c r="AO115" i="65"/>
  <c r="AS244" i="65"/>
  <c r="R144" i="65"/>
  <c r="AQ360" i="65"/>
  <c r="AO98" i="65"/>
  <c r="AR41" i="65"/>
  <c r="R354" i="65"/>
  <c r="AP32" i="65"/>
  <c r="AQ104" i="65"/>
  <c r="AQ72" i="65"/>
  <c r="AR85" i="65"/>
  <c r="R213" i="65"/>
  <c r="AS74" i="65"/>
  <c r="AS284" i="65"/>
  <c r="U141" i="65"/>
  <c r="AP295" i="65"/>
  <c r="AO247" i="65"/>
  <c r="AS341" i="65"/>
  <c r="R195" i="65"/>
  <c r="R70" i="65"/>
  <c r="AQ24" i="65"/>
  <c r="AO71" i="65"/>
  <c r="AR237" i="65"/>
  <c r="AO359" i="65"/>
  <c r="AO128" i="65"/>
  <c r="AQ124" i="65"/>
  <c r="R55" i="65"/>
  <c r="AR15" i="65"/>
  <c r="AS277" i="65"/>
  <c r="AO152" i="65"/>
  <c r="AS306" i="65"/>
  <c r="AQ128" i="65"/>
  <c r="AQ254" i="65"/>
  <c r="R141" i="65"/>
  <c r="AS200" i="65"/>
  <c r="AQ194" i="65"/>
  <c r="AP38" i="65"/>
  <c r="AP217" i="65"/>
  <c r="AO145" i="65"/>
  <c r="AR196" i="65"/>
  <c r="V191" i="65"/>
  <c r="R137" i="65"/>
  <c r="AP52" i="65"/>
  <c r="AQ73" i="65"/>
  <c r="U252" i="65"/>
  <c r="AS197" i="65"/>
  <c r="AO15" i="65"/>
  <c r="AS26" i="65"/>
  <c r="R126" i="65"/>
  <c r="R170" i="65"/>
  <c r="AP73" i="65"/>
  <c r="R351" i="65"/>
  <c r="AR222" i="65"/>
  <c r="AP16" i="65"/>
  <c r="AQ292" i="65"/>
  <c r="AO300" i="65"/>
  <c r="R289" i="65"/>
  <c r="AO75" i="65"/>
  <c r="AP201" i="65"/>
  <c r="AP143" i="65"/>
  <c r="R330" i="65"/>
  <c r="AP83" i="65"/>
  <c r="AP192" i="65"/>
  <c r="AQ107" i="65"/>
  <c r="AQ239" i="65"/>
  <c r="V360" i="65"/>
  <c r="V310" i="65"/>
  <c r="AP281" i="65"/>
  <c r="AP226" i="65"/>
  <c r="AR78" i="65"/>
  <c r="AP241" i="65"/>
  <c r="AP99" i="65"/>
  <c r="R27" i="65"/>
  <c r="AR73" i="65"/>
  <c r="R185" i="65"/>
  <c r="AP330" i="65"/>
  <c r="AQ344" i="65"/>
  <c r="AO116" i="65"/>
  <c r="AS64" i="65"/>
  <c r="AQ315" i="65"/>
  <c r="AR33" i="65"/>
  <c r="AQ58" i="65"/>
  <c r="R215" i="65"/>
  <c r="U27" i="65"/>
  <c r="U168" i="65"/>
  <c r="AQ136" i="65"/>
  <c r="AQ151" i="65"/>
  <c r="AS40" i="65"/>
  <c r="AQ189" i="65"/>
  <c r="AR148" i="65"/>
  <c r="R358" i="65"/>
  <c r="AP138" i="65"/>
  <c r="AR102" i="65"/>
  <c r="AR306" i="65"/>
  <c r="AP263" i="65"/>
  <c r="AP322" i="65"/>
  <c r="R102" i="65"/>
  <c r="AP160" i="65"/>
  <c r="AR230" i="65"/>
  <c r="R57" i="65"/>
  <c r="AP224" i="65"/>
  <c r="V268" i="65"/>
  <c r="AQ221" i="65"/>
  <c r="AR27" i="65"/>
  <c r="AS215" i="65"/>
  <c r="AS213" i="65"/>
  <c r="R66" i="65"/>
  <c r="AR8" i="65"/>
  <c r="AS346" i="65"/>
  <c r="AQ249" i="65"/>
  <c r="AO291" i="65"/>
  <c r="AP207" i="65"/>
  <c r="AS32" i="65"/>
  <c r="AR241" i="65"/>
  <c r="AO269" i="65"/>
  <c r="AR48" i="65"/>
  <c r="U355" i="65"/>
  <c r="AS158" i="65"/>
  <c r="AS117" i="65"/>
  <c r="AR300" i="65"/>
  <c r="AQ335" i="65"/>
  <c r="AR26" i="65"/>
  <c r="AP190" i="65"/>
  <c r="AQ362" i="65"/>
  <c r="AP113" i="65"/>
  <c r="AS172" i="65"/>
  <c r="AO179" i="65"/>
  <c r="AS121" i="65"/>
  <c r="AR17" i="65"/>
  <c r="AP109" i="65"/>
  <c r="AS30" i="65"/>
  <c r="AP165" i="65"/>
  <c r="AR98" i="65"/>
  <c r="AS122" i="65"/>
  <c r="AR334" i="65"/>
  <c r="AS55" i="65"/>
  <c r="U312" i="65"/>
  <c r="V75" i="65"/>
  <c r="AQ21" i="65"/>
  <c r="AO29" i="65"/>
  <c r="R243" i="65"/>
  <c r="AR217" i="65"/>
  <c r="AS231" i="65"/>
  <c r="AR274" i="65"/>
  <c r="AS319" i="65"/>
  <c r="AS205" i="65"/>
  <c r="R32" i="65"/>
  <c r="AR77" i="65"/>
  <c r="AO148" i="65"/>
  <c r="AR275" i="65"/>
  <c r="AO218" i="65"/>
  <c r="V222" i="65"/>
  <c r="AS354" i="65"/>
  <c r="AS340" i="65"/>
  <c r="AR59" i="65"/>
  <c r="AQ201" i="65"/>
  <c r="R210" i="65"/>
  <c r="AP121" i="65"/>
  <c r="AR52" i="65"/>
  <c r="AS331" i="65"/>
  <c r="U152" i="65"/>
  <c r="V140" i="65"/>
  <c r="AS256" i="65"/>
  <c r="AR326" i="65"/>
  <c r="U142" i="65"/>
  <c r="AS219" i="65"/>
  <c r="AP107" i="65"/>
  <c r="U272" i="65"/>
  <c r="U186" i="65"/>
  <c r="AO318" i="65"/>
  <c r="U177" i="65"/>
  <c r="V193" i="65"/>
  <c r="AR154" i="65"/>
  <c r="R88" i="65"/>
  <c r="V63" i="65"/>
  <c r="AR19" i="65"/>
  <c r="AP203" i="65"/>
  <c r="V131" i="65"/>
  <c r="AQ155" i="65"/>
  <c r="AS76" i="65"/>
  <c r="AO79" i="65"/>
  <c r="V282" i="65"/>
  <c r="V119" i="65"/>
  <c r="V231" i="65"/>
  <c r="U19" i="65"/>
  <c r="AR157" i="65"/>
  <c r="V248" i="65"/>
  <c r="AQ207" i="65"/>
  <c r="AR363" i="65"/>
  <c r="R288" i="65"/>
  <c r="AP232" i="65"/>
  <c r="AR280" i="65"/>
  <c r="AP100" i="65"/>
  <c r="AS41" i="65"/>
  <c r="AP298" i="65"/>
  <c r="R81" i="65"/>
  <c r="AS328" i="65"/>
  <c r="R297" i="65"/>
  <c r="AR164" i="65"/>
  <c r="AR359" i="65"/>
  <c r="R166" i="65"/>
  <c r="AR221" i="65"/>
  <c r="AP117" i="65"/>
  <c r="U127" i="65"/>
  <c r="AR313" i="65"/>
  <c r="AR72" i="65"/>
  <c r="AP114" i="65"/>
  <c r="AR303" i="65"/>
  <c r="R118" i="65"/>
  <c r="AP177" i="65"/>
  <c r="AQ300" i="65"/>
  <c r="AO275" i="65"/>
  <c r="AO123" i="65"/>
  <c r="AO242" i="65"/>
  <c r="AP163" i="65"/>
  <c r="V147" i="65"/>
  <c r="V257" i="65"/>
  <c r="V355" i="65"/>
  <c r="U47" i="65"/>
  <c r="U13" i="65"/>
  <c r="V287" i="65"/>
  <c r="V328" i="65"/>
  <c r="AP243" i="65"/>
  <c r="V38" i="65"/>
  <c r="AS5" i="65"/>
  <c r="AR216" i="65"/>
  <c r="R301" i="65"/>
  <c r="AS52" i="65"/>
  <c r="V218" i="65"/>
  <c r="AS317" i="65"/>
  <c r="U314" i="65"/>
  <c r="R103" i="65"/>
  <c r="V280" i="65"/>
  <c r="R347" i="65"/>
  <c r="AR315" i="65"/>
  <c r="U274" i="65"/>
  <c r="U354" i="65"/>
  <c r="AR294" i="65"/>
  <c r="AQ113" i="65"/>
  <c r="AS145" i="65"/>
  <c r="U40" i="65"/>
  <c r="AS175" i="65"/>
  <c r="AP206" i="65"/>
  <c r="AQ229" i="65"/>
  <c r="AS305" i="65"/>
  <c r="AO245" i="65"/>
  <c r="AS38" i="65"/>
  <c r="AS325" i="65"/>
  <c r="U215" i="65"/>
  <c r="V21" i="65"/>
  <c r="AR259" i="65"/>
  <c r="AO205" i="65"/>
  <c r="AQ291" i="65"/>
  <c r="U281" i="65"/>
  <c r="U112" i="65"/>
  <c r="V176" i="65"/>
  <c r="V271" i="65"/>
  <c r="AP171" i="65"/>
  <c r="AQ146" i="65"/>
  <c r="AR140" i="65"/>
  <c r="U18" i="65"/>
  <c r="AS276" i="65"/>
  <c r="AO102" i="65"/>
  <c r="U275" i="65"/>
  <c r="V139" i="65"/>
  <c r="V169" i="65"/>
  <c r="AS82" i="65"/>
  <c r="R196" i="65"/>
  <c r="U336" i="65"/>
  <c r="U6" i="65"/>
  <c r="R328" i="65"/>
  <c r="AQ318" i="65"/>
  <c r="AR42" i="65"/>
  <c r="AR136" i="65"/>
  <c r="AO353" i="65"/>
  <c r="AP222" i="65"/>
  <c r="AR12" i="65"/>
  <c r="AO268" i="65"/>
  <c r="AP125" i="65"/>
  <c r="R203" i="65"/>
  <c r="AR256" i="65"/>
  <c r="AP162" i="65"/>
  <c r="AO56" i="65"/>
  <c r="V188" i="65"/>
  <c r="R157" i="65"/>
  <c r="U240" i="65"/>
  <c r="V186" i="65"/>
  <c r="R246" i="65"/>
  <c r="R189" i="65"/>
  <c r="AQ35" i="65"/>
  <c r="U126" i="65"/>
  <c r="U118" i="65"/>
  <c r="V125" i="65"/>
  <c r="AR88" i="65"/>
  <c r="V116" i="65"/>
  <c r="V307" i="65"/>
  <c r="AS191" i="65"/>
  <c r="AP104" i="65"/>
  <c r="AP278" i="65"/>
  <c r="AQ346" i="65"/>
  <c r="AS88" i="65"/>
  <c r="V338" i="65"/>
  <c r="V15" i="65"/>
  <c r="V352" i="65"/>
  <c r="U130" i="65"/>
  <c r="AS267" i="65"/>
  <c r="AQ341" i="65"/>
  <c r="AQ262" i="65"/>
  <c r="R223" i="65"/>
  <c r="AO140" i="65"/>
  <c r="R162" i="65"/>
  <c r="AP196" i="65"/>
  <c r="AP312" i="65"/>
  <c r="AS324" i="65"/>
  <c r="AP142" i="65"/>
  <c r="AS327" i="65"/>
  <c r="AQ193" i="65"/>
  <c r="R62" i="65"/>
  <c r="U196" i="65"/>
  <c r="AQ223" i="65"/>
  <c r="AR317" i="65"/>
  <c r="R64" i="65"/>
  <c r="AS17" i="65"/>
  <c r="AR151" i="65"/>
  <c r="AO345" i="65"/>
  <c r="U58" i="65"/>
  <c r="U337" i="65"/>
  <c r="U28" i="65"/>
  <c r="V86" i="65"/>
  <c r="AS98" i="65"/>
  <c r="R181" i="65"/>
  <c r="U148" i="65"/>
  <c r="U282" i="65"/>
  <c r="U5" i="65"/>
  <c r="V245" i="65"/>
  <c r="AQ29" i="65"/>
  <c r="U228" i="65"/>
  <c r="V127" i="65"/>
  <c r="U45" i="65"/>
  <c r="V288" i="65"/>
  <c r="AS259" i="65"/>
  <c r="V194" i="65"/>
  <c r="AO209" i="65"/>
  <c r="V308" i="65"/>
  <c r="U199" i="65"/>
  <c r="V93" i="65"/>
  <c r="AP329" i="65"/>
  <c r="V185" i="65"/>
  <c r="AQ279" i="65"/>
  <c r="AO42" i="65"/>
  <c r="AO281" i="65"/>
  <c r="AQ226" i="65"/>
  <c r="AR184" i="65"/>
  <c r="AR278" i="65"/>
  <c r="AR183" i="65"/>
  <c r="U44" i="65"/>
  <c r="AR246" i="65"/>
  <c r="AS142" i="65"/>
  <c r="AQ192" i="65"/>
  <c r="U230" i="65"/>
  <c r="V296" i="65"/>
  <c r="AQ206" i="65"/>
  <c r="AP307" i="65"/>
  <c r="V92" i="65"/>
  <c r="AR158" i="65"/>
  <c r="AS335" i="65"/>
  <c r="AS50" i="65"/>
  <c r="AQ26" i="65"/>
  <c r="U313" i="65"/>
  <c r="V148" i="65"/>
  <c r="AQ74" i="65"/>
  <c r="AO133" i="65"/>
  <c r="R364" i="65"/>
  <c r="U311" i="65"/>
  <c r="AP245" i="65"/>
  <c r="U179" i="65"/>
  <c r="V187" i="65"/>
  <c r="R178" i="65"/>
  <c r="U171" i="65"/>
  <c r="AQ163" i="65"/>
  <c r="R47" i="65"/>
  <c r="U119" i="65"/>
  <c r="AR86" i="65"/>
  <c r="V104" i="65"/>
  <c r="R279" i="65"/>
  <c r="U256" i="65"/>
  <c r="R10" i="65"/>
  <c r="R97" i="65"/>
  <c r="V53" i="65"/>
  <c r="AQ42" i="65"/>
  <c r="V6" i="65"/>
  <c r="V346" i="65"/>
  <c r="R84" i="65"/>
  <c r="AO92" i="65"/>
  <c r="AR308" i="65"/>
  <c r="AR62" i="65"/>
  <c r="R200" i="65"/>
  <c r="R17" i="65"/>
  <c r="AS239" i="65"/>
  <c r="AS140" i="65"/>
  <c r="AS165" i="65"/>
  <c r="R325" i="65"/>
  <c r="AQ167" i="65"/>
  <c r="V303" i="65"/>
  <c r="AQ108" i="65"/>
  <c r="AO232" i="65"/>
  <c r="AO290" i="65"/>
  <c r="R79" i="65"/>
  <c r="AO8" i="65"/>
  <c r="AR211" i="65"/>
  <c r="AP269" i="65"/>
  <c r="AQ234" i="65"/>
  <c r="R147" i="65"/>
  <c r="AS257" i="65"/>
  <c r="R214" i="65"/>
  <c r="R127" i="65"/>
  <c r="AR21" i="65"/>
  <c r="AQ77" i="65"/>
  <c r="AQ304" i="65"/>
  <c r="AP126" i="65"/>
  <c r="AS119" i="65"/>
  <c r="AQ342" i="65"/>
  <c r="AO248" i="65"/>
  <c r="AP184" i="65"/>
  <c r="AS210" i="65"/>
  <c r="AR195" i="65"/>
  <c r="AS254" i="65"/>
  <c r="AP85" i="65"/>
  <c r="R177" i="65"/>
  <c r="AQ338" i="65"/>
  <c r="V120" i="65"/>
  <c r="AO93" i="65"/>
  <c r="R131" i="65"/>
  <c r="AS48" i="65"/>
  <c r="AO169" i="65"/>
  <c r="V69" i="65"/>
  <c r="U189" i="65"/>
  <c r="AR51" i="65"/>
  <c r="AQ43" i="65"/>
  <c r="AS337" i="65"/>
  <c r="AQ147" i="65"/>
  <c r="AS34" i="65"/>
  <c r="R273" i="65"/>
  <c r="AO113" i="65"/>
  <c r="R315" i="65"/>
  <c r="AQ334" i="65"/>
  <c r="AP185" i="65"/>
  <c r="AQ198" i="65"/>
  <c r="AO21" i="65"/>
  <c r="AP272" i="65"/>
  <c r="AR141" i="65"/>
  <c r="AR188" i="65"/>
  <c r="AR55" i="65"/>
  <c r="AP179" i="65"/>
  <c r="AQ271" i="65"/>
  <c r="AP359" i="65"/>
  <c r="AO263" i="65"/>
  <c r="AR351" i="65"/>
  <c r="R111" i="65"/>
  <c r="AR36" i="65"/>
  <c r="AS323" i="65"/>
  <c r="AO311" i="65"/>
  <c r="U347" i="65"/>
  <c r="V214" i="65"/>
  <c r="AS53" i="65"/>
  <c r="R13" i="65"/>
  <c r="AQ117" i="65"/>
  <c r="AP84" i="65"/>
  <c r="AR132" i="65"/>
  <c r="R264" i="65"/>
  <c r="V83" i="65"/>
  <c r="U29" i="65"/>
  <c r="AO150" i="65"/>
  <c r="AR10" i="65"/>
  <c r="AR277" i="65"/>
  <c r="AP225" i="65"/>
  <c r="AR13" i="65"/>
  <c r="AO45" i="65"/>
  <c r="AQ218" i="65"/>
  <c r="R85" i="65"/>
  <c r="AQ242" i="65"/>
  <c r="R11" i="65"/>
  <c r="AQ87" i="65"/>
  <c r="AS358" i="65"/>
  <c r="AO239" i="65"/>
  <c r="AO22" i="65"/>
  <c r="AO251" i="65"/>
  <c r="R136" i="65"/>
  <c r="AR67" i="65"/>
  <c r="AQ96" i="65"/>
  <c r="AS193" i="65"/>
  <c r="AO194" i="65"/>
  <c r="AR239" i="65"/>
  <c r="AP74" i="65"/>
  <c r="AS174" i="65"/>
  <c r="AO176" i="65"/>
  <c r="AP183" i="65"/>
  <c r="AS139" i="65"/>
  <c r="U284" i="65"/>
  <c r="AS180" i="65"/>
  <c r="R172" i="65"/>
  <c r="AO129" i="65"/>
  <c r="AO237" i="65"/>
  <c r="AR299" i="65"/>
  <c r="AO329" i="65"/>
  <c r="R274" i="65"/>
  <c r="R18" i="65"/>
  <c r="AQ15" i="65"/>
  <c r="AQ181" i="65"/>
  <c r="AR200" i="65"/>
  <c r="R191" i="65"/>
  <c r="V134" i="65"/>
  <c r="AS24" i="65"/>
  <c r="AP297" i="65"/>
  <c r="AP230" i="65"/>
  <c r="AP18" i="65"/>
  <c r="AP273" i="65"/>
  <c r="AQ39" i="65"/>
  <c r="AO82" i="65"/>
  <c r="AR203" i="65"/>
  <c r="AP324" i="65"/>
  <c r="R146" i="65"/>
  <c r="AO11" i="65"/>
  <c r="AR103" i="65"/>
  <c r="AO241" i="65"/>
  <c r="R49" i="65"/>
  <c r="AP249" i="65"/>
  <c r="AO5" i="65"/>
  <c r="AR96" i="65"/>
  <c r="AR202" i="65"/>
  <c r="AP70" i="65"/>
  <c r="AR356" i="65"/>
  <c r="AP43" i="65"/>
  <c r="AQ176" i="65"/>
  <c r="AO319" i="65"/>
  <c r="AO303" i="65"/>
  <c r="AR63" i="65"/>
  <c r="AO256" i="65"/>
  <c r="AS133" i="65"/>
  <c r="AS361" i="65"/>
  <c r="R130" i="65"/>
  <c r="R39" i="65"/>
  <c r="R148" i="65"/>
  <c r="AQ197" i="65"/>
  <c r="AR344" i="65"/>
  <c r="AQ171" i="65"/>
  <c r="AP267" i="65"/>
  <c r="AP348" i="65"/>
  <c r="AR328" i="65"/>
  <c r="R121" i="65"/>
  <c r="AP129" i="65"/>
  <c r="AP97" i="65"/>
  <c r="AO171" i="65"/>
  <c r="AQ69" i="65"/>
  <c r="AO50" i="65"/>
  <c r="AO125" i="65"/>
  <c r="R332" i="65"/>
  <c r="R91" i="65"/>
  <c r="AS23" i="65"/>
  <c r="AQ240" i="65"/>
  <c r="AS355" i="65"/>
  <c r="AP36" i="65"/>
  <c r="AP286" i="65"/>
  <c r="AO220" i="65"/>
  <c r="AS330" i="65"/>
  <c r="AQ302" i="65"/>
  <c r="AS260" i="65"/>
  <c r="AP94" i="65"/>
  <c r="AP106" i="65"/>
  <c r="AQ7" i="65"/>
  <c r="V240" i="65"/>
  <c r="AR145" i="65"/>
  <c r="AP310" i="65"/>
  <c r="AS347" i="65"/>
  <c r="AQ323" i="65"/>
  <c r="AR265" i="65"/>
  <c r="AP108" i="65"/>
  <c r="AP342" i="65"/>
  <c r="AP92" i="65"/>
  <c r="AO279" i="65"/>
  <c r="AP35" i="65"/>
  <c r="AO283" i="65"/>
  <c r="AP59" i="65"/>
  <c r="R92" i="65"/>
  <c r="AR234" i="65"/>
  <c r="U202" i="65"/>
  <c r="AQ118" i="65"/>
  <c r="R58" i="65"/>
  <c r="AQ28" i="65"/>
  <c r="U151" i="65"/>
  <c r="U61" i="65"/>
  <c r="AS269" i="65"/>
  <c r="AS13" i="65"/>
  <c r="R284" i="65"/>
  <c r="AR9" i="65"/>
  <c r="V58" i="65"/>
  <c r="AQ277" i="65"/>
  <c r="AO198" i="65"/>
  <c r="AR171" i="65"/>
  <c r="AO159" i="65"/>
  <c r="R45" i="65"/>
  <c r="R31" i="65"/>
  <c r="V90" i="65"/>
  <c r="R219" i="65"/>
  <c r="V156" i="65"/>
  <c r="AO74" i="65"/>
  <c r="AQ208" i="65"/>
  <c r="AS265" i="65"/>
  <c r="V101" i="65"/>
  <c r="AO276" i="65"/>
  <c r="AS176" i="65"/>
  <c r="R286" i="65"/>
  <c r="V157" i="65"/>
  <c r="AO70" i="65"/>
  <c r="U83" i="65"/>
  <c r="AS62" i="65"/>
  <c r="AP193" i="65"/>
  <c r="AO310" i="65"/>
  <c r="AQ347" i="65"/>
  <c r="AO355" i="65"/>
  <c r="AQ363" i="65"/>
  <c r="R156" i="65"/>
  <c r="AQ352" i="65"/>
  <c r="V343" i="65"/>
  <c r="AR324" i="65"/>
  <c r="AS160" i="65"/>
  <c r="AO13" i="65"/>
  <c r="R247" i="65"/>
  <c r="AQ79" i="65"/>
  <c r="AR243" i="65"/>
  <c r="V241" i="65"/>
  <c r="AP302" i="65"/>
  <c r="AO106" i="65"/>
  <c r="AR218" i="65"/>
  <c r="AR189" i="65"/>
  <c r="V189" i="65"/>
  <c r="V55" i="65"/>
  <c r="V250" i="65"/>
  <c r="V71" i="65"/>
  <c r="V51" i="65"/>
  <c r="V286" i="65"/>
  <c r="AO216" i="65"/>
  <c r="AP209" i="65"/>
  <c r="AR229" i="65"/>
  <c r="U364" i="65"/>
  <c r="U318" i="65"/>
  <c r="V217" i="65"/>
  <c r="R207" i="65"/>
  <c r="AP351" i="65"/>
  <c r="U260" i="65"/>
  <c r="V14" i="65"/>
  <c r="U132" i="65"/>
  <c r="U233" i="65"/>
  <c r="U267" i="65"/>
  <c r="V84" i="65"/>
  <c r="V59" i="65"/>
  <c r="AO221" i="65"/>
  <c r="AS36" i="65"/>
  <c r="AR355" i="65"/>
  <c r="AR298" i="65"/>
  <c r="AR187" i="65"/>
  <c r="AS207" i="65"/>
  <c r="AS189" i="65"/>
  <c r="U253" i="65"/>
  <c r="U163" i="65"/>
  <c r="AR208" i="65"/>
  <c r="AR50" i="65"/>
  <c r="AR310" i="65"/>
  <c r="R281" i="65"/>
  <c r="V145" i="65"/>
  <c r="U20" i="65"/>
  <c r="V265" i="65"/>
  <c r="U290" i="65"/>
  <c r="R205" i="65"/>
  <c r="AQ40" i="65"/>
  <c r="AR271" i="65"/>
  <c r="U67" i="65"/>
  <c r="AQ345" i="65"/>
  <c r="AR198" i="65"/>
  <c r="AO274" i="65"/>
  <c r="AQ275" i="65"/>
  <c r="V115" i="65"/>
  <c r="AO172" i="65"/>
  <c r="V10" i="65"/>
  <c r="U288" i="65"/>
  <c r="V354" i="65"/>
  <c r="R43" i="65"/>
  <c r="U232" i="65"/>
  <c r="U264" i="65"/>
  <c r="AQ65" i="65"/>
  <c r="AP202" i="65"/>
  <c r="AO298" i="65"/>
  <c r="V275" i="65"/>
  <c r="V295" i="65"/>
  <c r="U81" i="65"/>
  <c r="V9" i="65"/>
  <c r="AQ48" i="65"/>
  <c r="AO207" i="65"/>
  <c r="AP118" i="65"/>
  <c r="AP49" i="65"/>
  <c r="AO48" i="65"/>
  <c r="AP15" i="65"/>
  <c r="AO202" i="65"/>
  <c r="R12" i="65"/>
  <c r="AS349" i="65"/>
  <c r="AS124" i="65"/>
  <c r="U115" i="65"/>
  <c r="U46" i="65"/>
  <c r="AP75" i="65"/>
  <c r="V99" i="65"/>
  <c r="AR327" i="65"/>
  <c r="U261" i="65"/>
  <c r="U235" i="65"/>
  <c r="AR40" i="65"/>
  <c r="AS100" i="65"/>
  <c r="V68" i="65"/>
  <c r="V102" i="65"/>
  <c r="V290" i="65"/>
  <c r="U254" i="65"/>
  <c r="AP328" i="65"/>
  <c r="U269" i="65"/>
  <c r="AS333" i="65"/>
  <c r="AP211" i="65"/>
  <c r="V29" i="65"/>
  <c r="AP333" i="65"/>
  <c r="AR262" i="65"/>
  <c r="R114" i="65"/>
  <c r="V339" i="65"/>
  <c r="AS332" i="65"/>
  <c r="V181" i="65"/>
  <c r="U302" i="65"/>
  <c r="V64" i="65"/>
  <c r="R110" i="65"/>
  <c r="AQ112" i="65"/>
  <c r="V135" i="65"/>
  <c r="U39" i="65"/>
  <c r="U338" i="65"/>
  <c r="AO208" i="65"/>
  <c r="R74" i="65"/>
  <c r="AQ144" i="65"/>
  <c r="U169" i="65"/>
  <c r="R132" i="65"/>
  <c r="AQ296" i="65"/>
  <c r="AR118" i="65"/>
  <c r="AR289" i="65"/>
  <c r="AR152" i="65"/>
  <c r="R19" i="65"/>
  <c r="AS173" i="65"/>
  <c r="AO173" i="65"/>
  <c r="AR64" i="65"/>
  <c r="AS250" i="65"/>
  <c r="AR57" i="65"/>
  <c r="U175" i="65"/>
  <c r="V41" i="65"/>
  <c r="R128" i="65"/>
  <c r="AS182" i="65"/>
  <c r="AQ46" i="65"/>
  <c r="U306" i="65"/>
  <c r="V81" i="65"/>
  <c r="U192" i="65"/>
  <c r="V266" i="65"/>
  <c r="V220" i="65"/>
  <c r="R236" i="65"/>
  <c r="U266" i="65"/>
  <c r="V183" i="65"/>
  <c r="U155" i="65"/>
  <c r="AR113" i="65"/>
  <c r="V12" i="65"/>
  <c r="U36" i="65"/>
  <c r="V331" i="65"/>
  <c r="U150" i="65"/>
  <c r="V133" i="65"/>
  <c r="V164" i="65"/>
  <c r="R86" i="65"/>
  <c r="AR22" i="65"/>
  <c r="AP146" i="65"/>
  <c r="AQ199" i="65"/>
  <c r="AO38" i="65"/>
  <c r="U144" i="65"/>
  <c r="AR301" i="65"/>
  <c r="AP277" i="65"/>
  <c r="U137" i="65"/>
  <c r="U304" i="65"/>
  <c r="R107" i="65"/>
  <c r="V129" i="65"/>
  <c r="AQ298" i="65"/>
  <c r="AR47" i="65"/>
  <c r="V42" i="65"/>
  <c r="U9" i="65"/>
  <c r="AS309" i="65"/>
  <c r="AQ98" i="65"/>
  <c r="U153" i="65"/>
  <c r="V78" i="65"/>
  <c r="AO330" i="65"/>
  <c r="AR123" i="65"/>
  <c r="AP37" i="65"/>
  <c r="AS84" i="65"/>
  <c r="V347" i="65"/>
  <c r="AQ213" i="65"/>
  <c r="V249" i="65"/>
  <c r="AO338" i="65"/>
  <c r="R14" i="65"/>
  <c r="AR340" i="65"/>
  <c r="U114" i="65"/>
  <c r="V304" i="65"/>
  <c r="AO314" i="65"/>
  <c r="U14" i="65"/>
  <c r="AP327" i="65"/>
  <c r="AR255" i="65"/>
  <c r="AP91" i="65"/>
  <c r="AO47" i="65"/>
  <c r="AQ190" i="65"/>
  <c r="R362" i="65"/>
  <c r="AP20" i="65"/>
  <c r="U206" i="65"/>
  <c r="AQ183" i="65"/>
  <c r="AP119" i="65"/>
  <c r="AP68" i="65"/>
  <c r="AQ106" i="65"/>
  <c r="AO336" i="65"/>
  <c r="AP344" i="65"/>
  <c r="AO46" i="65"/>
  <c r="AR224" i="65"/>
  <c r="AS19" i="65"/>
  <c r="AS167" i="65"/>
  <c r="AQ50" i="65"/>
  <c r="V174" i="65"/>
  <c r="AP340" i="65"/>
  <c r="AP189" i="65"/>
  <c r="AP240" i="65"/>
  <c r="R9" i="65"/>
  <c r="AQ93" i="65"/>
  <c r="AR117" i="65"/>
  <c r="AS342" i="65"/>
  <c r="AP78" i="65"/>
  <c r="AQ356" i="65"/>
  <c r="R150" i="65"/>
  <c r="AR323" i="65"/>
  <c r="AS343" i="65"/>
  <c r="AP50" i="65"/>
  <c r="AQ148" i="65"/>
  <c r="AO25" i="65"/>
  <c r="AO252" i="65"/>
  <c r="AQ56" i="65"/>
  <c r="R193" i="65"/>
  <c r="R199" i="65"/>
  <c r="U317" i="65"/>
  <c r="AR199" i="65"/>
  <c r="R308" i="65"/>
  <c r="AS137" i="65"/>
  <c r="AQ129" i="65"/>
  <c r="AO108" i="65"/>
  <c r="AP88" i="65"/>
  <c r="AP341" i="65"/>
  <c r="AP219" i="65"/>
  <c r="U219" i="65"/>
  <c r="AR29" i="65"/>
  <c r="AQ12" i="65"/>
  <c r="R282" i="65"/>
  <c r="AR347" i="65"/>
  <c r="AP141" i="65"/>
  <c r="AR68" i="65"/>
  <c r="AO122" i="65"/>
  <c r="AS161" i="65"/>
  <c r="R231" i="65"/>
  <c r="AO105" i="65"/>
  <c r="AO23" i="65"/>
  <c r="AO87" i="65"/>
  <c r="AQ23" i="65"/>
  <c r="AR286" i="65"/>
  <c r="AR20" i="65"/>
  <c r="AR112" i="65"/>
  <c r="AS56" i="65"/>
  <c r="AS85" i="65"/>
  <c r="AQ37" i="65"/>
  <c r="V110" i="65"/>
  <c r="AQ132" i="65"/>
  <c r="U33" i="65"/>
  <c r="U270" i="65"/>
  <c r="AR269" i="65"/>
  <c r="AS178" i="65"/>
  <c r="AP191" i="65"/>
  <c r="U63" i="65"/>
  <c r="AP112" i="65"/>
  <c r="AS246" i="65"/>
  <c r="AO151" i="65"/>
  <c r="AP268" i="65"/>
  <c r="AS148" i="65"/>
  <c r="AP233" i="65"/>
  <c r="AS71" i="65"/>
  <c r="AR82" i="65"/>
  <c r="AO146" i="65"/>
  <c r="AP72" i="65"/>
  <c r="R334" i="65"/>
  <c r="AQ243" i="65"/>
  <c r="AP23" i="65"/>
  <c r="AO204" i="65"/>
  <c r="AR264" i="65"/>
  <c r="AP332" i="65"/>
  <c r="AP334" i="65"/>
  <c r="AQ359" i="65"/>
  <c r="AP103" i="65"/>
  <c r="R108" i="65"/>
  <c r="AO27" i="65"/>
  <c r="AR37" i="65"/>
  <c r="AQ153" i="65"/>
  <c r="R250" i="65"/>
  <c r="AP173" i="65"/>
  <c r="AS96" i="65"/>
  <c r="U210" i="65"/>
  <c r="R48" i="65"/>
  <c r="U90" i="65"/>
  <c r="V107" i="65"/>
  <c r="AQ253" i="65"/>
  <c r="AR348" i="65"/>
  <c r="AO162" i="65"/>
  <c r="AQ311" i="65"/>
  <c r="AO40" i="65"/>
  <c r="AR31" i="65"/>
  <c r="AQ150" i="65"/>
  <c r="AP21" i="65"/>
  <c r="AQ270" i="65"/>
  <c r="R65" i="65"/>
  <c r="AQ120" i="65"/>
  <c r="AR129" i="65"/>
  <c r="AR173" i="65"/>
  <c r="AR25" i="65"/>
  <c r="AP279" i="65"/>
  <c r="AQ81" i="65"/>
  <c r="AQ68" i="65"/>
  <c r="R249" i="65"/>
  <c r="R206" i="65"/>
  <c r="AQ349" i="65"/>
  <c r="AR236" i="65"/>
  <c r="AP220" i="65"/>
  <c r="AR150" i="65"/>
  <c r="U229" i="65"/>
  <c r="R5" i="65"/>
  <c r="R252" i="65"/>
  <c r="AQ178" i="65"/>
  <c r="AS203" i="65"/>
  <c r="AO214" i="65"/>
  <c r="AQ84" i="65"/>
  <c r="AR83" i="65"/>
  <c r="AS10" i="65"/>
  <c r="AQ248" i="65"/>
  <c r="AS362" i="65"/>
  <c r="AS155" i="65"/>
  <c r="AQ170" i="65"/>
  <c r="AO312" i="65"/>
  <c r="AO141" i="65"/>
  <c r="AQ276" i="65"/>
  <c r="AS289" i="65"/>
  <c r="V40" i="65"/>
  <c r="AR319" i="65"/>
  <c r="AQ97" i="65"/>
  <c r="AO356" i="65"/>
  <c r="R140" i="65"/>
  <c r="AO12" i="65"/>
  <c r="AP90" i="65"/>
  <c r="R117" i="65"/>
  <c r="R93" i="65"/>
  <c r="AQ196" i="65"/>
  <c r="AP254" i="65"/>
  <c r="AP44" i="65"/>
  <c r="AR209" i="65"/>
  <c r="AS75" i="65"/>
  <c r="AR261" i="65"/>
  <c r="AS303" i="65"/>
  <c r="AQ336" i="65"/>
  <c r="AS87" i="65"/>
  <c r="AP127" i="65"/>
  <c r="AR130" i="65"/>
  <c r="R257" i="65"/>
  <c r="AQ225" i="65"/>
  <c r="AQ66" i="65"/>
  <c r="R122" i="65"/>
  <c r="AO55" i="65"/>
  <c r="V184" i="65"/>
  <c r="V263" i="65"/>
  <c r="AP168" i="65"/>
  <c r="AQ122" i="65"/>
  <c r="AS127" i="65"/>
  <c r="AP205" i="65"/>
  <c r="AQ252" i="65"/>
  <c r="AO101" i="65"/>
  <c r="AP33" i="65"/>
  <c r="AP182" i="65"/>
  <c r="AS183" i="65"/>
  <c r="AO250" i="65"/>
  <c r="AP242" i="65"/>
  <c r="AS329" i="65"/>
  <c r="AP93" i="65"/>
  <c r="AQ90" i="65"/>
  <c r="U135" i="65"/>
  <c r="U277" i="65"/>
  <c r="U95" i="65"/>
  <c r="V8" i="65"/>
  <c r="AP64" i="65"/>
  <c r="U100" i="65"/>
  <c r="AP258" i="65"/>
  <c r="R349" i="65"/>
  <c r="R353" i="65"/>
  <c r="V80" i="65"/>
  <c r="V175" i="65"/>
  <c r="U10" i="65"/>
  <c r="R101" i="65"/>
  <c r="U345" i="65"/>
  <c r="AP175" i="65"/>
  <c r="AQ61" i="65"/>
  <c r="R174" i="65"/>
  <c r="AS94" i="65"/>
  <c r="AO348" i="65"/>
  <c r="V333" i="65"/>
  <c r="AS9" i="65"/>
  <c r="AO270" i="65"/>
  <c r="V270" i="65"/>
  <c r="AQ272" i="65"/>
  <c r="AP262" i="65"/>
  <c r="AO89" i="65"/>
  <c r="R266" i="65"/>
  <c r="AP283" i="65"/>
  <c r="U110" i="65"/>
  <c r="V143" i="65"/>
  <c r="AR14" i="65"/>
  <c r="AO39" i="65"/>
  <c r="AO195" i="65"/>
  <c r="AQ119" i="65"/>
  <c r="AO185" i="65"/>
  <c r="AQ165" i="65"/>
  <c r="R37" i="65"/>
  <c r="AR39" i="65"/>
  <c r="AR11" i="65"/>
  <c r="AO66" i="65"/>
  <c r="AR7" i="65"/>
  <c r="AP250" i="65"/>
  <c r="R22" i="65"/>
  <c r="AS156" i="65"/>
  <c r="AO258" i="65"/>
  <c r="AR201" i="65"/>
  <c r="AQ36" i="65"/>
  <c r="AO177" i="65"/>
  <c r="AR106" i="65"/>
  <c r="R209" i="65"/>
  <c r="U147" i="65"/>
  <c r="V337" i="65"/>
  <c r="AO164" i="65"/>
  <c r="AO333" i="65"/>
  <c r="U297" i="65"/>
  <c r="U279" i="65"/>
  <c r="V70" i="65"/>
  <c r="V103" i="65"/>
  <c r="V340" i="65"/>
  <c r="U247" i="65"/>
  <c r="R333" i="65"/>
  <c r="U77" i="65"/>
  <c r="U320" i="65"/>
  <c r="R239" i="65"/>
  <c r="AS221" i="65"/>
  <c r="AR341" i="65"/>
  <c r="AS196" i="65"/>
  <c r="U17" i="65"/>
  <c r="AS157" i="65"/>
  <c r="U134" i="65"/>
  <c r="U363" i="65"/>
  <c r="AS186" i="65"/>
  <c r="AQ355" i="65"/>
  <c r="R160" i="65"/>
  <c r="AO61" i="65"/>
  <c r="AP139" i="65"/>
  <c r="AS131" i="65"/>
  <c r="AO223" i="65"/>
  <c r="R337" i="65"/>
  <c r="AS243" i="65"/>
  <c r="AQ333" i="65"/>
  <c r="U174" i="65"/>
  <c r="V260" i="65"/>
  <c r="U131" i="65"/>
  <c r="R283" i="65"/>
  <c r="U190" i="65"/>
  <c r="U203" i="65"/>
  <c r="V312" i="65"/>
  <c r="AP17" i="65"/>
  <c r="AS37" i="65"/>
  <c r="AR228" i="65"/>
  <c r="AO364" i="65"/>
  <c r="U205" i="65"/>
  <c r="AO187" i="65"/>
  <c r="V201" i="65"/>
  <c r="AQ293" i="65"/>
  <c r="AQ350" i="65"/>
  <c r="AO200" i="65"/>
  <c r="AP116" i="65"/>
  <c r="V276" i="65"/>
  <c r="V114" i="65"/>
  <c r="AR172" i="65"/>
  <c r="V272" i="65"/>
  <c r="R355" i="65"/>
  <c r="AO235" i="65"/>
  <c r="U82" i="65"/>
  <c r="AQ274" i="65"/>
  <c r="AP166" i="65"/>
  <c r="AP28" i="65"/>
  <c r="AO354" i="65"/>
  <c r="AO114" i="65"/>
  <c r="R179" i="65"/>
  <c r="AR331" i="65"/>
  <c r="AP315" i="65"/>
  <c r="AO139" i="65"/>
  <c r="V204" i="65"/>
  <c r="AO26" i="65"/>
  <c r="AO120" i="65"/>
  <c r="AQ10" i="65"/>
  <c r="V54" i="65"/>
  <c r="U193" i="65"/>
  <c r="AR250" i="65"/>
  <c r="U278" i="65"/>
  <c r="V197" i="65"/>
  <c r="U120" i="65"/>
  <c r="U309" i="65"/>
  <c r="AP244" i="65"/>
  <c r="AR45" i="65"/>
  <c r="R59" i="65"/>
  <c r="AP148" i="65"/>
  <c r="AR49" i="65"/>
  <c r="R75" i="65"/>
  <c r="V32" i="65"/>
  <c r="AQ295" i="65"/>
  <c r="AS104" i="65"/>
  <c r="V239" i="65"/>
  <c r="R143" i="65"/>
  <c r="U265" i="65"/>
  <c r="AO166" i="65"/>
  <c r="AS248" i="65"/>
  <c r="U310" i="65"/>
  <c r="AQ232" i="65"/>
  <c r="R24" i="65"/>
  <c r="AR343" i="65"/>
  <c r="R35" i="65"/>
  <c r="U326" i="65"/>
  <c r="AQ145" i="65"/>
  <c r="AS22" i="65"/>
  <c r="AR44" i="65"/>
  <c r="AS344" i="65"/>
  <c r="U128" i="65"/>
  <c r="V326" i="65"/>
  <c r="U146" i="65"/>
  <c r="AS353" i="65"/>
  <c r="AQ59" i="65"/>
  <c r="V309" i="65"/>
  <c r="AP275" i="65"/>
  <c r="AR292" i="65"/>
  <c r="U342" i="65"/>
  <c r="U156" i="65"/>
  <c r="AS190" i="65"/>
  <c r="AP48" i="65"/>
  <c r="U166" i="65"/>
  <c r="U316" i="65"/>
  <c r="AO132" i="65"/>
  <c r="R299" i="65"/>
  <c r="AP270" i="65"/>
  <c r="U245" i="65"/>
  <c r="AO81" i="65"/>
  <c r="AQ305" i="65"/>
  <c r="AP27" i="65"/>
  <c r="V94" i="65"/>
  <c r="U273" i="65"/>
  <c r="R344" i="65"/>
  <c r="V344" i="65"/>
  <c r="AS252" i="65"/>
  <c r="V160" i="65"/>
  <c r="AS144" i="65"/>
  <c r="AR71" i="65"/>
  <c r="AR23" i="65"/>
  <c r="AQ284" i="65"/>
  <c r="R46" i="65"/>
  <c r="AP265" i="65"/>
  <c r="R227" i="65"/>
  <c r="U194" i="65"/>
  <c r="AO127" i="65"/>
  <c r="V30" i="65"/>
  <c r="AR163" i="65"/>
  <c r="R343" i="65"/>
  <c r="AQ142" i="65"/>
  <c r="AQ168" i="65"/>
  <c r="U54" i="65"/>
  <c r="U104" i="65"/>
  <c r="AQ85" i="65"/>
  <c r="V25" i="65"/>
  <c r="V213" i="65"/>
  <c r="AP124" i="65"/>
  <c r="AS134" i="65"/>
  <c r="AQ312" i="65"/>
  <c r="U221" i="65"/>
  <c r="V325" i="65"/>
  <c r="AR318" i="65"/>
  <c r="AP58" i="65"/>
  <c r="AR147" i="65"/>
  <c r="V212" i="65"/>
  <c r="AS278" i="65"/>
  <c r="AQ187" i="65"/>
  <c r="AQ137" i="65"/>
  <c r="AR249" i="65"/>
  <c r="U107" i="65"/>
  <c r="V359" i="65"/>
  <c r="AO322" i="65"/>
  <c r="R294" i="65"/>
  <c r="AR205" i="65"/>
  <c r="AQ44" i="65"/>
  <c r="AQ348" i="65"/>
  <c r="V137" i="65"/>
  <c r="V255" i="65"/>
  <c r="AS302" i="65"/>
  <c r="AQ60" i="65"/>
  <c r="AQ294" i="65"/>
  <c r="AR257" i="65"/>
  <c r="AS101" i="65"/>
  <c r="AQ327" i="65"/>
  <c r="AO76" i="65"/>
  <c r="AR156" i="65"/>
  <c r="AS93" i="65"/>
  <c r="V306" i="65"/>
  <c r="AO186" i="65"/>
  <c r="R271" i="65"/>
  <c r="AS280" i="65"/>
  <c r="AQ331" i="65"/>
  <c r="AP308" i="65"/>
  <c r="AR321" i="65"/>
  <c r="AS348" i="65"/>
  <c r="AQ303" i="65"/>
  <c r="AP63" i="65"/>
  <c r="AR281" i="65"/>
  <c r="AQ211" i="65"/>
  <c r="U248" i="65"/>
  <c r="U31" i="65"/>
  <c r="R331" i="65"/>
  <c r="AP111" i="65"/>
  <c r="AO99" i="65"/>
  <c r="AP296" i="65"/>
  <c r="AS251" i="65"/>
  <c r="R329" i="65"/>
  <c r="U191" i="65"/>
  <c r="AP95" i="65"/>
  <c r="AR6" i="65"/>
  <c r="R259" i="65"/>
  <c r="AR225" i="65"/>
  <c r="AP71" i="65"/>
  <c r="AR339" i="65"/>
  <c r="AP361" i="65"/>
  <c r="AQ280" i="65"/>
  <c r="AO327" i="65"/>
  <c r="V149" i="65"/>
  <c r="AQ47" i="65"/>
  <c r="R80" i="65"/>
  <c r="AO344" i="65"/>
  <c r="AS169" i="65"/>
  <c r="AR61" i="65"/>
  <c r="AR251" i="65"/>
  <c r="AO77" i="65"/>
  <c r="U184" i="65"/>
  <c r="AP5" i="65"/>
  <c r="AO10" i="65"/>
  <c r="AP349" i="65"/>
  <c r="AQ54" i="65"/>
  <c r="R363" i="65"/>
  <c r="AR75" i="65"/>
  <c r="AR178" i="65"/>
  <c r="AO161" i="65"/>
  <c r="R190" i="65"/>
  <c r="R115" i="65"/>
  <c r="AQ109" i="65"/>
  <c r="R256" i="65"/>
  <c r="AR116" i="65"/>
  <c r="AR18" i="65"/>
  <c r="AQ339" i="65"/>
  <c r="U11" i="65"/>
  <c r="U161" i="65"/>
  <c r="V108" i="65"/>
  <c r="U15" i="65"/>
  <c r="AS109" i="65"/>
  <c r="AS274" i="65"/>
  <c r="R51" i="65"/>
  <c r="R145" i="65"/>
  <c r="AO294" i="65"/>
  <c r="R233" i="65"/>
  <c r="AR290" i="65"/>
  <c r="AP282" i="65"/>
  <c r="AS18" i="65"/>
  <c r="R171" i="65"/>
  <c r="AS345" i="65"/>
  <c r="AS236" i="65"/>
  <c r="AS241" i="65"/>
  <c r="AQ247" i="65"/>
  <c r="AS125" i="65"/>
  <c r="AO53" i="65"/>
  <c r="AQ41" i="65"/>
  <c r="AP293" i="65"/>
  <c r="AP46" i="65"/>
  <c r="R261" i="65"/>
  <c r="AQ237" i="65"/>
  <c r="AS67" i="65"/>
  <c r="V198" i="65"/>
  <c r="AP7" i="65"/>
  <c r="AR288" i="65"/>
  <c r="AS14" i="65"/>
  <c r="AP31" i="65"/>
  <c r="AQ89" i="65"/>
  <c r="AO30" i="65"/>
  <c r="U94" i="65"/>
  <c r="U283" i="65"/>
  <c r="V242" i="65"/>
  <c r="AR352" i="65"/>
  <c r="AQ116" i="65"/>
  <c r="AS6" i="65"/>
  <c r="AR87" i="65"/>
  <c r="V195" i="65"/>
  <c r="AO222" i="65"/>
  <c r="AQ126" i="65"/>
  <c r="AS270" i="65"/>
  <c r="AR174" i="65"/>
  <c r="AR162" i="65"/>
  <c r="AP188" i="65"/>
  <c r="AS120" i="65"/>
  <c r="AR295" i="65"/>
  <c r="AS69" i="65"/>
  <c r="AQ88" i="65"/>
  <c r="AO135" i="65"/>
  <c r="R73" i="65"/>
  <c r="AS68" i="65"/>
  <c r="AQ343" i="65"/>
  <c r="AO184" i="65"/>
  <c r="AO73" i="65"/>
  <c r="AS181" i="65"/>
  <c r="AS201" i="65"/>
  <c r="AR358" i="65"/>
  <c r="AR215" i="65"/>
  <c r="AO266" i="65"/>
  <c r="AQ319" i="65"/>
  <c r="AO280" i="65"/>
  <c r="R229" i="65"/>
  <c r="AR309" i="65"/>
  <c r="AR66" i="65"/>
  <c r="AS232" i="65"/>
  <c r="R161" i="65"/>
  <c r="AS115" i="65"/>
  <c r="AO285" i="65"/>
  <c r="AO265" i="65"/>
  <c r="AQ219" i="65"/>
  <c r="AO51" i="65"/>
  <c r="AR245" i="65"/>
  <c r="AS192" i="65"/>
  <c r="AQ92" i="65"/>
  <c r="AP181" i="65"/>
  <c r="AS228" i="65"/>
  <c r="AS70" i="65"/>
  <c r="AO41" i="65"/>
  <c r="AS264" i="65"/>
  <c r="AR360" i="65"/>
  <c r="AR105" i="65"/>
  <c r="AS295" i="65"/>
  <c r="AO306" i="65"/>
  <c r="R153" i="65"/>
  <c r="R216" i="65"/>
  <c r="AS312" i="65"/>
  <c r="AP169" i="65"/>
  <c r="AO192" i="65"/>
  <c r="V113" i="65"/>
  <c r="AP358" i="65"/>
  <c r="AO346" i="65"/>
  <c r="R222" i="65"/>
  <c r="R30" i="65"/>
  <c r="R320" i="65"/>
  <c r="AS216" i="65"/>
  <c r="AQ340" i="65"/>
  <c r="AP350" i="65"/>
  <c r="AR167" i="65"/>
  <c r="AR190" i="65"/>
  <c r="AS227" i="65"/>
  <c r="AQ94" i="65"/>
  <c r="AS136" i="65"/>
  <c r="R218" i="65"/>
  <c r="AP130" i="65"/>
  <c r="AR54" i="65"/>
  <c r="AO95" i="65"/>
  <c r="V317" i="65"/>
  <c r="AP346" i="65"/>
  <c r="V96" i="65"/>
  <c r="U99" i="65"/>
  <c r="U344" i="65"/>
  <c r="AP10" i="65"/>
  <c r="AS363" i="65"/>
  <c r="R263" i="65"/>
  <c r="U292" i="65"/>
  <c r="AS224" i="65"/>
  <c r="V251" i="65"/>
  <c r="V253" i="65"/>
  <c r="AP30" i="65"/>
  <c r="AO334" i="65"/>
  <c r="V202" i="65"/>
  <c r="U359" i="65"/>
  <c r="AP339" i="65"/>
  <c r="AP353" i="65"/>
  <c r="R224" i="65"/>
  <c r="R82" i="65"/>
  <c r="AO35" i="65"/>
  <c r="AQ172" i="65"/>
  <c r="R240" i="65"/>
  <c r="AO228" i="65"/>
  <c r="AP321" i="65"/>
  <c r="AS237" i="65"/>
  <c r="AR111" i="65"/>
  <c r="AS299" i="65"/>
  <c r="AS220" i="65"/>
  <c r="AO350" i="65"/>
  <c r="AP317" i="65"/>
  <c r="R100" i="65"/>
  <c r="R28" i="65"/>
  <c r="AQ332" i="65"/>
  <c r="AQ31" i="65"/>
  <c r="AQ265" i="65"/>
  <c r="AS204" i="65"/>
  <c r="AP153" i="65"/>
  <c r="AR338" i="65"/>
  <c r="AO34" i="65"/>
  <c r="AO196" i="65"/>
  <c r="U295" i="65"/>
  <c r="AQ34" i="65"/>
  <c r="V356" i="65"/>
  <c r="AP347" i="65"/>
  <c r="AO357" i="65"/>
  <c r="U258" i="65"/>
  <c r="V261" i="65"/>
  <c r="U56" i="65"/>
  <c r="U26" i="65"/>
  <c r="R197" i="65"/>
  <c r="V190" i="65"/>
  <c r="U287" i="65"/>
  <c r="U356" i="65"/>
  <c r="R339" i="65"/>
  <c r="V48" i="65"/>
  <c r="AQ184" i="65"/>
  <c r="AO67" i="65"/>
  <c r="U43" i="65"/>
  <c r="AO154" i="65"/>
  <c r="R232" i="65"/>
  <c r="U213" i="65"/>
  <c r="U211" i="65"/>
  <c r="U300" i="65"/>
  <c r="AP158" i="65"/>
  <c r="AR227" i="65"/>
  <c r="V262" i="65"/>
  <c r="U154" i="65"/>
  <c r="AQ203" i="65"/>
  <c r="AR79" i="65"/>
  <c r="U268" i="65"/>
  <c r="AR316" i="65"/>
  <c r="U117" i="65"/>
  <c r="U188" i="65"/>
  <c r="U234" i="65"/>
  <c r="AS138" i="65"/>
  <c r="U158" i="65"/>
  <c r="AQ57" i="65"/>
  <c r="U108" i="65"/>
  <c r="AS322" i="65"/>
  <c r="AO175" i="65"/>
  <c r="AP180" i="65"/>
  <c r="AP13" i="65"/>
  <c r="AP55" i="65"/>
  <c r="AR107" i="65"/>
  <c r="AP238" i="65"/>
  <c r="V327" i="65"/>
  <c r="U106" i="65"/>
  <c r="V91" i="65"/>
  <c r="U220" i="65"/>
  <c r="AS283" i="65"/>
  <c r="AO14" i="65"/>
  <c r="AP79" i="65"/>
  <c r="AS58" i="65"/>
  <c r="U92" i="65"/>
  <c r="V300" i="65"/>
  <c r="AP136" i="65"/>
  <c r="AP128" i="65"/>
  <c r="R254" i="65"/>
  <c r="AQ51" i="65"/>
  <c r="AP256" i="65"/>
  <c r="AR135" i="65"/>
  <c r="V178" i="65"/>
  <c r="U285" i="65"/>
  <c r="AR193" i="65"/>
  <c r="V76" i="65"/>
  <c r="U321" i="65"/>
  <c r="AR248" i="65"/>
  <c r="AP60" i="65"/>
  <c r="AS28" i="65"/>
  <c r="U162" i="65"/>
  <c r="AR213" i="65"/>
  <c r="R119" i="65"/>
  <c r="AR114" i="65"/>
  <c r="AQ111" i="65"/>
  <c r="AP264" i="65"/>
  <c r="AQ261" i="65"/>
  <c r="AO165" i="65"/>
  <c r="R164" i="65"/>
  <c r="R275" i="65"/>
  <c r="U262" i="65"/>
  <c r="AO54" i="65"/>
  <c r="U357" i="65"/>
  <c r="AQ95" i="65"/>
  <c r="V138" i="65"/>
  <c r="V284" i="65"/>
  <c r="R356" i="65"/>
  <c r="U217" i="65"/>
  <c r="AR99" i="65"/>
  <c r="AS300" i="65"/>
  <c r="AS114" i="65"/>
  <c r="R133" i="65"/>
  <c r="V151" i="65"/>
  <c r="V66" i="65"/>
  <c r="U259" i="65"/>
  <c r="U353" i="65"/>
  <c r="AP67" i="65"/>
  <c r="AS275" i="65"/>
  <c r="R345" i="65"/>
  <c r="AO301" i="65"/>
  <c r="AS242" i="65"/>
  <c r="V244" i="65"/>
  <c r="AQ337" i="65"/>
  <c r="AO277" i="65"/>
  <c r="R312" i="65"/>
  <c r="U185" i="65"/>
  <c r="AR104" i="65"/>
  <c r="U244" i="65"/>
  <c r="AO191" i="65"/>
  <c r="V26" i="65"/>
  <c r="U307" i="65"/>
  <c r="V364" i="65"/>
  <c r="V283" i="65"/>
  <c r="AR100" i="65"/>
  <c r="AO302" i="65"/>
  <c r="R95" i="65"/>
  <c r="AO233" i="65"/>
  <c r="AO297" i="65"/>
  <c r="AO18" i="65"/>
  <c r="R109" i="65"/>
  <c r="R255" i="65"/>
  <c r="U308" i="65"/>
  <c r="V105" i="65"/>
  <c r="R61" i="65"/>
  <c r="U109" i="65"/>
  <c r="AR155" i="65"/>
  <c r="AP337" i="65"/>
  <c r="AO287" i="65"/>
  <c r="V158" i="65"/>
  <c r="AS268" i="65"/>
  <c r="AS202" i="65"/>
  <c r="U352" i="65"/>
  <c r="V130" i="65"/>
  <c r="V243" i="65"/>
  <c r="AQ101" i="65"/>
  <c r="AQ22" i="65"/>
  <c r="V236" i="65"/>
  <c r="U62" i="65"/>
  <c r="V27" i="65"/>
  <c r="AO109" i="65"/>
  <c r="AS21" i="65"/>
  <c r="V301" i="65"/>
  <c r="V73" i="65"/>
  <c r="V267" i="65"/>
  <c r="AS83" i="65"/>
  <c r="AO304" i="65"/>
  <c r="AO64" i="65"/>
  <c r="R323" i="65"/>
  <c r="V319" i="65"/>
  <c r="U222" i="65"/>
  <c r="R182" i="65"/>
  <c r="AR35" i="65"/>
  <c r="AR235" i="65"/>
  <c r="R186" i="65"/>
  <c r="R78" i="65"/>
  <c r="R63" i="65"/>
  <c r="AQ71" i="65"/>
  <c r="AR330" i="65"/>
  <c r="AQ282" i="65"/>
  <c r="AQ290" i="65"/>
  <c r="AQ329" i="65"/>
  <c r="AR332" i="65"/>
  <c r="U263" i="65"/>
  <c r="U76" i="65"/>
  <c r="U72" i="65"/>
  <c r="V278" i="65"/>
  <c r="V209" i="65"/>
  <c r="R319" i="65"/>
  <c r="AP197" i="65"/>
  <c r="U286" i="65"/>
  <c r="V216" i="65"/>
  <c r="R242" i="65"/>
  <c r="AS287" i="65"/>
  <c r="R260" i="65"/>
  <c r="AR119" i="65"/>
  <c r="R50" i="65"/>
  <c r="V172" i="65"/>
  <c r="U201" i="65"/>
  <c r="U348" i="65"/>
  <c r="V341" i="65"/>
  <c r="AP309" i="65"/>
  <c r="V205" i="65"/>
  <c r="V203" i="65"/>
  <c r="R192" i="65"/>
  <c r="R96" i="65"/>
  <c r="AQ314" i="65"/>
  <c r="V357" i="65"/>
  <c r="AR191" i="65"/>
  <c r="AS65" i="65"/>
  <c r="AS350" i="65"/>
  <c r="AP42" i="65"/>
  <c r="AP363" i="65"/>
  <c r="AS72" i="65"/>
  <c r="R310" i="65"/>
  <c r="AQ135" i="65"/>
  <c r="AO160" i="65"/>
  <c r="AS159" i="65"/>
  <c r="AR181" i="65"/>
  <c r="AR232" i="65"/>
  <c r="AP214" i="65"/>
  <c r="AS273" i="65"/>
  <c r="AP61" i="65"/>
  <c r="AS25" i="65"/>
  <c r="AR312" i="65"/>
  <c r="AQ6" i="65"/>
  <c r="AQ62" i="65"/>
  <c r="AO341" i="65"/>
  <c r="AQ287" i="65"/>
  <c r="R360" i="65"/>
  <c r="AQ186" i="65"/>
  <c r="AP352" i="65"/>
  <c r="AS291" i="65"/>
  <c r="AP212" i="65"/>
  <c r="U298" i="65"/>
  <c r="AP276" i="65"/>
  <c r="AO32" i="65"/>
  <c r="AR180" i="65"/>
  <c r="AP135" i="65"/>
  <c r="AR210" i="65"/>
  <c r="AR273" i="65"/>
  <c r="AP134" i="65"/>
  <c r="AQ260" i="65"/>
  <c r="R237" i="65"/>
  <c r="AO158" i="65"/>
  <c r="AR90" i="65"/>
  <c r="AO351" i="65"/>
  <c r="R305" i="65"/>
  <c r="AS234" i="65"/>
  <c r="AR282" i="65"/>
  <c r="R16" i="65"/>
  <c r="AP199" i="65"/>
  <c r="R180" i="65"/>
  <c r="AO203" i="65"/>
  <c r="AQ364" i="65"/>
  <c r="R225" i="65"/>
  <c r="R352" i="65"/>
  <c r="AQ162" i="65"/>
  <c r="AS78" i="65"/>
  <c r="AO155" i="65"/>
  <c r="AS20" i="65"/>
  <c r="R38" i="65"/>
  <c r="V50" i="65"/>
  <c r="AR134" i="65"/>
  <c r="AS339" i="65"/>
  <c r="AQ156" i="65"/>
  <c r="R212" i="65"/>
  <c r="AS44" i="65"/>
  <c r="V35" i="65"/>
  <c r="AP289" i="65"/>
  <c r="AS146" i="65"/>
  <c r="R307" i="65"/>
  <c r="R155" i="65"/>
  <c r="AO331" i="65"/>
  <c r="AQ285" i="65"/>
  <c r="AP313" i="65"/>
  <c r="AR179" i="65"/>
  <c r="AP145" i="65"/>
  <c r="AO62" i="65"/>
  <c r="AS151" i="65"/>
  <c r="R29" i="65"/>
  <c r="R291" i="65"/>
  <c r="AO246" i="65"/>
  <c r="U204" i="65"/>
  <c r="R228" i="65"/>
  <c r="U328" i="65"/>
  <c r="R159" i="65"/>
  <c r="AS33" i="65"/>
  <c r="R276" i="65"/>
  <c r="AO339" i="65"/>
  <c r="AR127" i="65"/>
  <c r="AS292" i="65"/>
  <c r="U315" i="65"/>
  <c r="U289" i="65"/>
  <c r="R318" i="65"/>
  <c r="AS209" i="65"/>
  <c r="R234" i="65"/>
  <c r="AS187" i="65"/>
  <c r="AQ299" i="65"/>
  <c r="AQ212" i="65"/>
  <c r="AP174" i="65"/>
  <c r="AS112" i="65"/>
  <c r="AQ256" i="65"/>
  <c r="AP66" i="65"/>
  <c r="R306" i="65"/>
  <c r="AR146" i="65"/>
  <c r="AR307" i="65"/>
  <c r="AQ257" i="65"/>
  <c r="AO315" i="65"/>
  <c r="AP40" i="65"/>
  <c r="AP150" i="65"/>
  <c r="V31" i="65"/>
  <c r="R202" i="65"/>
  <c r="AS288" i="65"/>
  <c r="AS86" i="65"/>
  <c r="AS230" i="65"/>
  <c r="R335" i="65"/>
  <c r="AR194" i="65"/>
  <c r="R311" i="65"/>
  <c r="R314" i="65"/>
  <c r="V173" i="65"/>
  <c r="V329" i="65"/>
  <c r="R348" i="65"/>
  <c r="AO296" i="65"/>
  <c r="R151" i="65"/>
  <c r="AO213" i="65"/>
  <c r="AS47" i="65"/>
  <c r="AQ330" i="65"/>
  <c r="R324" i="65"/>
  <c r="AS249" i="65"/>
  <c r="V264" i="65"/>
  <c r="R183" i="65"/>
  <c r="AR169" i="65"/>
  <c r="AR267" i="65"/>
  <c r="AQ328" i="65"/>
  <c r="AR76" i="65"/>
  <c r="V60" i="65"/>
  <c r="AP170" i="65"/>
  <c r="AP115" i="65"/>
  <c r="AO325" i="65"/>
  <c r="AP364" i="65"/>
  <c r="AR364" i="65"/>
  <c r="AS307" i="65"/>
  <c r="AO130" i="65"/>
  <c r="AO201" i="65"/>
  <c r="AP287" i="65"/>
  <c r="AP221" i="65"/>
  <c r="AQ245" i="65"/>
  <c r="AS253" i="65"/>
  <c r="AO199" i="65"/>
  <c r="AQ351" i="65"/>
  <c r="R34" i="65"/>
  <c r="R67" i="65"/>
  <c r="AO180" i="65"/>
  <c r="U176" i="65"/>
  <c r="AQ115" i="65"/>
  <c r="R302" i="65"/>
  <c r="AO117" i="65"/>
  <c r="AS211" i="65"/>
  <c r="AO58" i="65"/>
  <c r="AS49" i="65"/>
  <c r="AP325" i="65"/>
  <c r="AS364" i="65"/>
  <c r="U124" i="65"/>
  <c r="U236" i="65"/>
  <c r="U129" i="65"/>
  <c r="AR320" i="65"/>
  <c r="AQ133" i="65"/>
  <c r="AO309" i="65"/>
  <c r="AO157" i="65"/>
  <c r="AS326" i="65"/>
  <c r="AQ195" i="65"/>
  <c r="AR305" i="65"/>
  <c r="AS105" i="65"/>
  <c r="AS59" i="65"/>
  <c r="R173" i="65"/>
  <c r="AQ233" i="65"/>
  <c r="AS92" i="65"/>
  <c r="AR24" i="65"/>
  <c r="AO182" i="65"/>
  <c r="AP6" i="65"/>
  <c r="AS118" i="65"/>
  <c r="R204" i="65"/>
  <c r="AQ159" i="65"/>
  <c r="AR252" i="65"/>
  <c r="AQ82" i="65"/>
  <c r="AO321" i="65"/>
  <c r="AP137" i="65"/>
  <c r="AP255" i="65"/>
  <c r="R154" i="65"/>
  <c r="AO240" i="65"/>
  <c r="AP144" i="65"/>
  <c r="V150" i="65"/>
  <c r="AS63" i="65"/>
  <c r="AR260" i="65"/>
  <c r="AO238" i="65"/>
  <c r="R163" i="65"/>
  <c r="AO60" i="65"/>
  <c r="AR91" i="65"/>
  <c r="AR143" i="65"/>
  <c r="AO136" i="65"/>
  <c r="AO361" i="65"/>
  <c r="AP77" i="65"/>
  <c r="R52" i="65"/>
  <c r="AR30" i="65"/>
  <c r="AO188" i="65"/>
  <c r="AS111" i="65"/>
  <c r="AP300" i="65"/>
  <c r="AP6" i="86"/>
  <c r="AP7" i="86" s="1"/>
  <c r="AP8" i="86" s="1"/>
  <c r="AQ6" i="86"/>
  <c r="AQ7" i="86" s="1"/>
  <c r="AM6" i="86"/>
  <c r="AM7" i="86" s="1"/>
  <c r="AM8" i="86" s="1"/>
  <c r="AM9" i="86" s="1"/>
  <c r="AM10" i="86" s="1"/>
  <c r="AM11" i="86" s="1"/>
  <c r="AM12" i="86" s="1"/>
  <c r="AM13" i="86" s="1"/>
  <c r="G29" i="94" l="1"/>
  <c r="AM14" i="86"/>
  <c r="AM15" i="86" s="1"/>
  <c r="AM16" i="86" s="1"/>
  <c r="AM17" i="86" s="1"/>
  <c r="AM18" i="86" s="1"/>
  <c r="AM19" i="86" s="1"/>
  <c r="AM20" i="86" s="1"/>
  <c r="AM21" i="86" s="1"/>
  <c r="AM22" i="86" s="1"/>
  <c r="AM23" i="86" s="1"/>
  <c r="AM24" i="86" s="1"/>
  <c r="AM25" i="86" s="1"/>
  <c r="AM26" i="86" s="1"/>
  <c r="AM27" i="86" s="1"/>
  <c r="AM28" i="86" s="1"/>
  <c r="AM29" i="86" s="1"/>
  <c r="AM30" i="86" s="1"/>
  <c r="AM31" i="86" s="1"/>
  <c r="AM32" i="86" s="1"/>
  <c r="AM33" i="86" s="1"/>
  <c r="AM34" i="86" s="1"/>
  <c r="AM35" i="86" s="1"/>
  <c r="AM36" i="86" s="1"/>
  <c r="AM37" i="86" s="1"/>
  <c r="AM38" i="86" s="1"/>
  <c r="AM39" i="86" s="1"/>
  <c r="AM40" i="86" s="1"/>
  <c r="AM41" i="86" s="1"/>
  <c r="AM42" i="86" s="1"/>
  <c r="AM43" i="86" s="1"/>
  <c r="AM44" i="86" s="1"/>
  <c r="AM45" i="86" s="1"/>
  <c r="AM46" i="86" s="1"/>
  <c r="AM47" i="86" s="1"/>
  <c r="AM48" i="86" s="1"/>
  <c r="AM49" i="86" s="1"/>
  <c r="AM50" i="86" s="1"/>
  <c r="AM51" i="86" s="1"/>
  <c r="AM52" i="86" s="1"/>
  <c r="AM53" i="86" s="1"/>
  <c r="AM54" i="86" s="1"/>
  <c r="AM55" i="86" s="1"/>
  <c r="AM56" i="86" s="1"/>
  <c r="AM57" i="86" s="1"/>
  <c r="AM58" i="86" s="1"/>
  <c r="AM59" i="86" s="1"/>
  <c r="AM60" i="86" s="1"/>
  <c r="AM61" i="86" s="1"/>
  <c r="AM62" i="86" s="1"/>
  <c r="AM63" i="86" s="1"/>
  <c r="AM64" i="86" s="1"/>
  <c r="AM65" i="86" s="1"/>
  <c r="AM66" i="86" s="1"/>
  <c r="AM67" i="86" s="1"/>
  <c r="AM68" i="86" s="1"/>
  <c r="AM69" i="86" s="1"/>
  <c r="AM70" i="86" s="1"/>
  <c r="AM71" i="86" s="1"/>
  <c r="AM72" i="86" s="1"/>
  <c r="AM73" i="86" s="1"/>
  <c r="AM74" i="86" s="1"/>
  <c r="AM75" i="86" s="1"/>
  <c r="AM76" i="86" s="1"/>
  <c r="AM77" i="86" s="1"/>
  <c r="AM78" i="86" s="1"/>
  <c r="AM79" i="86" s="1"/>
  <c r="AM80" i="86" s="1"/>
  <c r="AM81" i="86" s="1"/>
  <c r="AM82" i="86" s="1"/>
  <c r="AM83" i="86" s="1"/>
  <c r="AM84" i="86" s="1"/>
  <c r="AM85" i="86" s="1"/>
  <c r="AM86" i="86" s="1"/>
  <c r="AM87" i="86" s="1"/>
  <c r="AM88" i="86" s="1"/>
  <c r="AM89" i="86" s="1"/>
  <c r="AM90" i="86" s="1"/>
  <c r="AM91" i="86" s="1"/>
  <c r="AM92" i="86" s="1"/>
  <c r="AM93" i="86" s="1"/>
  <c r="AM94" i="86" s="1"/>
  <c r="AM95" i="86" s="1"/>
  <c r="AM96" i="86" s="1"/>
  <c r="AM97" i="86" s="1"/>
  <c r="AM98" i="86" s="1"/>
  <c r="AM99" i="86" s="1"/>
  <c r="AM100" i="86" s="1"/>
  <c r="AM101" i="86" s="1"/>
  <c r="AM102" i="86" s="1"/>
  <c r="AM103" i="86" s="1"/>
  <c r="AM104" i="86" s="1"/>
  <c r="AM105" i="86" s="1"/>
  <c r="AP9" i="86"/>
  <c r="AP10" i="86" s="1"/>
  <c r="AP11" i="86" s="1"/>
  <c r="AP12" i="86" s="1"/>
  <c r="AP13" i="86" s="1"/>
  <c r="AP14" i="86" s="1"/>
  <c r="AP15" i="86" s="1"/>
  <c r="AP16" i="86" s="1"/>
  <c r="AP17" i="86" s="1"/>
  <c r="AP18" i="86" s="1"/>
  <c r="AP19" i="86" s="1"/>
  <c r="AP20" i="86" s="1"/>
  <c r="AP21" i="86" s="1"/>
  <c r="AP22" i="86" s="1"/>
  <c r="AP23" i="86" s="1"/>
  <c r="AP24" i="86" s="1"/>
  <c r="AP25" i="86" s="1"/>
  <c r="AP26" i="86" s="1"/>
  <c r="AP27" i="86" s="1"/>
  <c r="AP28" i="86" s="1"/>
  <c r="AP29" i="86" s="1"/>
  <c r="AP30" i="86" s="1"/>
  <c r="AP31" i="86" s="1"/>
  <c r="AP32" i="86" s="1"/>
  <c r="AP33" i="86" s="1"/>
  <c r="AP34" i="86" s="1"/>
  <c r="AP35" i="86" s="1"/>
  <c r="AP36" i="86" s="1"/>
  <c r="AP37" i="86" s="1"/>
  <c r="AP38" i="86" s="1"/>
  <c r="AP39" i="86" s="1"/>
  <c r="AP40" i="86" s="1"/>
  <c r="AP41" i="86" s="1"/>
  <c r="AP42" i="86" s="1"/>
  <c r="AP43" i="86" s="1"/>
  <c r="AP44" i="86" s="1"/>
  <c r="AP45" i="86" s="1"/>
  <c r="AP46" i="86" s="1"/>
  <c r="AP47" i="86" s="1"/>
  <c r="AP48" i="86" s="1"/>
  <c r="AP49" i="86" s="1"/>
  <c r="AP50" i="86" s="1"/>
  <c r="AP51" i="86" s="1"/>
  <c r="AP52" i="86" s="1"/>
  <c r="AP53" i="86" s="1"/>
  <c r="AP54" i="86" s="1"/>
  <c r="AP55" i="86" s="1"/>
  <c r="AP56" i="86" s="1"/>
  <c r="AP57" i="86" s="1"/>
  <c r="AP58" i="86" s="1"/>
  <c r="AP59" i="86" s="1"/>
  <c r="AP60" i="86" s="1"/>
  <c r="AP61" i="86" s="1"/>
  <c r="AP62" i="86" s="1"/>
  <c r="AP63" i="86" s="1"/>
  <c r="AP64" i="86" s="1"/>
  <c r="AP65" i="86" s="1"/>
  <c r="AP66" i="86" s="1"/>
  <c r="AP67" i="86" s="1"/>
  <c r="AP68" i="86" s="1"/>
  <c r="AP69" i="86" s="1"/>
  <c r="AP70" i="86" s="1"/>
  <c r="AP71" i="86" s="1"/>
  <c r="AP72" i="86" s="1"/>
  <c r="AP73" i="86" s="1"/>
  <c r="AP74" i="86" s="1"/>
  <c r="AP75" i="86" s="1"/>
  <c r="AP76" i="86" s="1"/>
  <c r="AP77" i="86" s="1"/>
  <c r="AP78" i="86" s="1"/>
  <c r="AP79" i="86" s="1"/>
  <c r="AP80" i="86" s="1"/>
  <c r="AP81" i="86" s="1"/>
  <c r="AP82" i="86" s="1"/>
  <c r="AP83" i="86" s="1"/>
  <c r="AP84" i="86" s="1"/>
  <c r="AP85" i="86" s="1"/>
  <c r="AP86" i="86" s="1"/>
  <c r="AP87" i="86" s="1"/>
  <c r="AP88" i="86" s="1"/>
  <c r="AP89" i="86" s="1"/>
  <c r="AP90" i="86" s="1"/>
  <c r="AP91" i="86" s="1"/>
  <c r="AP92" i="86" s="1"/>
  <c r="AP93" i="86" s="1"/>
  <c r="AP94" i="86" s="1"/>
  <c r="AP95" i="86" s="1"/>
  <c r="AP96" i="86" s="1"/>
  <c r="AP97" i="86" s="1"/>
  <c r="AP98" i="86" s="1"/>
  <c r="AP99" i="86" s="1"/>
  <c r="AP100" i="86" s="1"/>
  <c r="AP101" i="86" s="1"/>
  <c r="AP102" i="86" s="1"/>
  <c r="AP103" i="86" s="1"/>
  <c r="AP104" i="86" s="1"/>
  <c r="AP105" i="86" s="1"/>
  <c r="AQ8" i="86"/>
  <c r="AQ9" i="86" s="1"/>
  <c r="AQ10" i="86" s="1"/>
  <c r="AQ11" i="86" s="1"/>
  <c r="AQ12" i="86" s="1"/>
  <c r="AQ13" i="86" s="1"/>
  <c r="AQ14" i="86" s="1"/>
  <c r="AQ15" i="86" s="1"/>
  <c r="AQ16" i="86" s="1"/>
  <c r="AQ17" i="86" s="1"/>
  <c r="AQ18" i="86" s="1"/>
  <c r="AQ19" i="86" s="1"/>
  <c r="AQ20" i="86" s="1"/>
  <c r="AQ21" i="86" s="1"/>
  <c r="AQ22" i="86" s="1"/>
  <c r="AQ23" i="86" s="1"/>
  <c r="AQ24" i="86" s="1"/>
  <c r="AQ25" i="86" s="1"/>
  <c r="AQ26" i="86" s="1"/>
  <c r="AQ27" i="86" s="1"/>
  <c r="AQ28" i="86" s="1"/>
  <c r="AQ29" i="86" s="1"/>
  <c r="AQ30" i="86" s="1"/>
  <c r="AQ31" i="86" s="1"/>
  <c r="AQ32" i="86" s="1"/>
  <c r="AQ33" i="86" s="1"/>
  <c r="AQ34" i="86" s="1"/>
  <c r="AQ35" i="86" s="1"/>
  <c r="AQ36" i="86" s="1"/>
  <c r="AQ37" i="86" s="1"/>
  <c r="AQ38" i="86" s="1"/>
  <c r="AQ39" i="86" s="1"/>
  <c r="AQ40" i="86" s="1"/>
  <c r="AQ41" i="86" s="1"/>
  <c r="AQ42" i="86" s="1"/>
  <c r="AQ43" i="86" s="1"/>
  <c r="AQ44" i="86" s="1"/>
  <c r="AQ45" i="86" s="1"/>
  <c r="AQ46" i="86" s="1"/>
  <c r="AQ47" i="86" s="1"/>
  <c r="AQ48" i="86" s="1"/>
  <c r="AQ49" i="86" s="1"/>
  <c r="AQ50" i="86" s="1"/>
  <c r="AQ51" i="86" s="1"/>
  <c r="AQ52" i="86" s="1"/>
  <c r="AQ53" i="86" s="1"/>
  <c r="AQ54" i="86" s="1"/>
  <c r="AQ55" i="86" s="1"/>
  <c r="AQ56" i="86" s="1"/>
  <c r="AQ57" i="86" s="1"/>
  <c r="AQ58" i="86" s="1"/>
  <c r="AQ59" i="86" s="1"/>
  <c r="AQ60" i="86" s="1"/>
  <c r="AQ61" i="86" s="1"/>
  <c r="AQ62" i="86" s="1"/>
  <c r="AQ63" i="86" s="1"/>
  <c r="AQ64" i="86" s="1"/>
  <c r="AQ65" i="86" s="1"/>
  <c r="AQ66" i="86" s="1"/>
  <c r="AQ67" i="86" s="1"/>
  <c r="AQ68" i="86" s="1"/>
  <c r="AQ69" i="86" s="1"/>
  <c r="AQ70" i="86" s="1"/>
  <c r="AQ71" i="86" s="1"/>
  <c r="AQ72" i="86" s="1"/>
  <c r="AQ73" i="86" s="1"/>
  <c r="AQ74" i="86" s="1"/>
  <c r="AQ75" i="86" s="1"/>
  <c r="AQ76" i="86" s="1"/>
  <c r="AQ77" i="86" s="1"/>
  <c r="AQ78" i="86" s="1"/>
  <c r="AQ79" i="86" s="1"/>
  <c r="AQ80" i="86" s="1"/>
  <c r="AQ81" i="86" s="1"/>
  <c r="AQ82" i="86" s="1"/>
  <c r="AQ83" i="86" s="1"/>
  <c r="AQ84" i="86" s="1"/>
  <c r="AQ85" i="86" s="1"/>
  <c r="AQ86" i="86" s="1"/>
  <c r="AQ87" i="86" s="1"/>
  <c r="AQ88" i="86" s="1"/>
  <c r="AQ89" i="86" s="1"/>
  <c r="AQ90" i="86" s="1"/>
  <c r="AQ91" i="86" s="1"/>
  <c r="AQ92" i="86" s="1"/>
  <c r="AQ93" i="86" s="1"/>
  <c r="AQ94" i="86" s="1"/>
  <c r="AQ95" i="86" s="1"/>
  <c r="AQ96" i="86" s="1"/>
  <c r="AQ97" i="86" s="1"/>
  <c r="AQ98" i="86" s="1"/>
  <c r="AQ99" i="86" s="1"/>
  <c r="AQ100" i="86" s="1"/>
  <c r="AQ101" i="86" s="1"/>
  <c r="AQ102" i="86" s="1"/>
  <c r="AQ103" i="86" s="1"/>
  <c r="AQ104" i="86" s="1"/>
  <c r="AQ105" i="86" s="1"/>
  <c r="G30" i="94" l="1"/>
  <c r="S205" i="65"/>
  <c r="S249" i="65"/>
  <c r="S281" i="65"/>
  <c r="T184" i="65"/>
  <c r="S54" i="65"/>
  <c r="T259" i="65"/>
  <c r="T351" i="65"/>
  <c r="T238" i="65"/>
  <c r="S207" i="65"/>
  <c r="T352" i="65"/>
  <c r="T186" i="65"/>
  <c r="T91" i="65"/>
  <c r="S237" i="65"/>
  <c r="AZ22" i="65"/>
  <c r="T275" i="65"/>
  <c r="AZ52" i="65"/>
  <c r="T344" i="65"/>
  <c r="AY19" i="65"/>
  <c r="T337" i="65"/>
  <c r="S55" i="65"/>
  <c r="T110" i="65"/>
  <c r="AY31" i="65"/>
  <c r="T300" i="65"/>
  <c r="S128" i="65"/>
  <c r="S119" i="65"/>
  <c r="T205" i="65"/>
  <c r="AY29" i="65"/>
  <c r="S81" i="65"/>
  <c r="T69" i="65"/>
  <c r="AY13" i="65"/>
  <c r="S254" i="65"/>
  <c r="T104" i="65"/>
  <c r="T168" i="65"/>
  <c r="S313" i="65"/>
  <c r="T334" i="65"/>
  <c r="S275" i="65"/>
  <c r="T295" i="65"/>
  <c r="T19" i="65"/>
  <c r="T51" i="65"/>
  <c r="T173" i="65"/>
  <c r="T329" i="65"/>
  <c r="S325" i="65"/>
  <c r="AY49" i="65"/>
  <c r="S269" i="65"/>
  <c r="S33" i="65"/>
  <c r="S268" i="65"/>
  <c r="T150" i="65"/>
  <c r="T126" i="65"/>
  <c r="T185" i="65"/>
  <c r="T103" i="65"/>
  <c r="T264" i="65"/>
  <c r="T21" i="65"/>
  <c r="S84" i="65"/>
  <c r="AY32" i="65"/>
  <c r="AY38" i="65"/>
  <c r="S28" i="65"/>
  <c r="S178" i="65"/>
  <c r="S360" i="65"/>
  <c r="T354" i="65"/>
  <c r="S126" i="65"/>
  <c r="S282" i="65"/>
  <c r="T200" i="65"/>
  <c r="S188" i="65"/>
  <c r="S20" i="65"/>
  <c r="T35" i="65"/>
  <c r="AZ17" i="65"/>
  <c r="S72" i="65"/>
  <c r="S279" i="65"/>
  <c r="S277" i="65"/>
  <c r="S27" i="65"/>
  <c r="T52" i="65"/>
  <c r="S339" i="65"/>
  <c r="S22" i="65"/>
  <c r="T282" i="65"/>
  <c r="S185" i="65"/>
  <c r="AZ24" i="65"/>
  <c r="T46" i="65"/>
  <c r="T257" i="65"/>
  <c r="S288" i="65"/>
  <c r="T308" i="65"/>
  <c r="T48" i="65"/>
  <c r="S182" i="65"/>
  <c r="S278" i="65"/>
  <c r="AY9" i="65"/>
  <c r="T245" i="65"/>
  <c r="S35" i="65"/>
  <c r="S317" i="65"/>
  <c r="S331" i="65"/>
  <c r="T31" i="65"/>
  <c r="T98" i="65"/>
  <c r="T210" i="65"/>
  <c r="S344" i="65"/>
  <c r="AY14" i="65"/>
  <c r="S173" i="65"/>
  <c r="T76" i="65"/>
  <c r="S91" i="65"/>
  <c r="S48" i="65"/>
  <c r="S262" i="65"/>
  <c r="T204" i="65"/>
  <c r="T338" i="65"/>
  <c r="S285" i="65"/>
  <c r="S168" i="65"/>
  <c r="T324" i="65"/>
  <c r="AZ45" i="65"/>
  <c r="T36" i="65"/>
  <c r="T149" i="65"/>
  <c r="AZ14" i="65"/>
  <c r="S146" i="65"/>
  <c r="T320" i="65"/>
  <c r="S342" i="65"/>
  <c r="T155" i="65"/>
  <c r="AY26" i="65"/>
  <c r="T281" i="65"/>
  <c r="S176" i="65"/>
  <c r="S85" i="65"/>
  <c r="T100" i="65"/>
  <c r="T44" i="65"/>
  <c r="S44" i="65"/>
  <c r="S95" i="65"/>
  <c r="T87" i="65"/>
  <c r="S231" i="65"/>
  <c r="AZ43" i="65"/>
  <c r="S111" i="65"/>
  <c r="S327" i="65"/>
  <c r="S318" i="65"/>
  <c r="S143" i="65"/>
  <c r="S294" i="65"/>
  <c r="T27" i="65"/>
  <c r="T188" i="65"/>
  <c r="T175" i="65"/>
  <c r="S336" i="65"/>
  <c r="T191" i="65"/>
  <c r="S32" i="65"/>
  <c r="S52" i="65"/>
  <c r="T120" i="65"/>
  <c r="AZ50" i="65"/>
  <c r="T37" i="65"/>
  <c r="S286" i="65"/>
  <c r="T280" i="65"/>
  <c r="S153" i="65"/>
  <c r="T274" i="65"/>
  <c r="S16" i="65"/>
  <c r="T287" i="65"/>
  <c r="T148" i="65"/>
  <c r="AY18" i="65"/>
  <c r="T228" i="65"/>
  <c r="S142" i="65"/>
  <c r="T232" i="65"/>
  <c r="AZ8" i="65"/>
  <c r="T328" i="65"/>
  <c r="S257" i="65"/>
  <c r="AZ9" i="65"/>
  <c r="AZ21" i="65"/>
  <c r="AZ51" i="65"/>
  <c r="T109" i="65"/>
  <c r="T294" i="65"/>
  <c r="T26" i="65"/>
  <c r="S326" i="65"/>
  <c r="S174" i="65"/>
  <c r="S320" i="65"/>
  <c r="S242" i="65"/>
  <c r="T138" i="65"/>
  <c r="T256" i="65"/>
  <c r="S211" i="65"/>
  <c r="T247" i="65"/>
  <c r="S29" i="65"/>
  <c r="T97" i="65"/>
  <c r="T14" i="65"/>
  <c r="S24" i="65"/>
  <c r="S171" i="65"/>
  <c r="S139" i="65"/>
  <c r="S109" i="65"/>
  <c r="AY37" i="65"/>
  <c r="AZ39" i="65"/>
  <c r="T335" i="65"/>
  <c r="T284" i="65"/>
  <c r="S222" i="65"/>
  <c r="T266" i="65"/>
  <c r="T318" i="65"/>
  <c r="T326" i="65"/>
  <c r="S228" i="65"/>
  <c r="T343" i="65"/>
  <c r="S248" i="65"/>
  <c r="S267" i="65"/>
  <c r="T341" i="65"/>
  <c r="AZ23" i="65"/>
  <c r="T313" i="65"/>
  <c r="T9" i="65"/>
  <c r="T102" i="65"/>
  <c r="S306" i="65"/>
  <c r="S12" i="65"/>
  <c r="S274" i="65"/>
  <c r="T251" i="65"/>
  <c r="S302" i="65"/>
  <c r="T360" i="65"/>
  <c r="S63" i="65"/>
  <c r="S332" i="65"/>
  <c r="S8" i="65"/>
  <c r="S166" i="65"/>
  <c r="T89" i="65"/>
  <c r="T278" i="65"/>
  <c r="AY27" i="65"/>
  <c r="T22" i="65"/>
  <c r="S177" i="65"/>
  <c r="S351" i="65"/>
  <c r="S297" i="65"/>
  <c r="S252" i="65"/>
  <c r="S132" i="65"/>
  <c r="T179" i="65"/>
  <c r="T356" i="65"/>
  <c r="T147" i="65"/>
  <c r="T164" i="65"/>
  <c r="S114" i="65"/>
  <c r="T304" i="65"/>
  <c r="AY35" i="65"/>
  <c r="T10" i="65"/>
  <c r="T196" i="65"/>
  <c r="S103" i="65"/>
  <c r="T153" i="65"/>
  <c r="S189" i="65"/>
  <c r="S330" i="65"/>
  <c r="T162" i="65"/>
  <c r="S116" i="65"/>
  <c r="S264" i="65"/>
  <c r="S225" i="65"/>
  <c r="AZ15" i="65"/>
  <c r="S363" i="65"/>
  <c r="AZ49" i="65"/>
  <c r="S227" i="65"/>
  <c r="T20" i="65"/>
  <c r="T331" i="65"/>
  <c r="S49" i="65"/>
  <c r="S287" i="65"/>
  <c r="T358" i="65"/>
  <c r="AZ25" i="65"/>
  <c r="T298" i="65"/>
  <c r="S244" i="65"/>
  <c r="S78" i="65"/>
  <c r="T18" i="65"/>
  <c r="T268" i="65"/>
  <c r="T169" i="65"/>
  <c r="S94" i="65"/>
  <c r="S62" i="65"/>
  <c r="S263" i="65"/>
  <c r="AY24" i="65"/>
  <c r="S93" i="65"/>
  <c r="T235" i="65"/>
  <c r="S241" i="65"/>
  <c r="AZ18" i="65"/>
  <c r="T291" i="65"/>
  <c r="S350" i="65"/>
  <c r="T353" i="65"/>
  <c r="S184" i="65"/>
  <c r="S273" i="65"/>
  <c r="S127" i="65"/>
  <c r="T99" i="65"/>
  <c r="T226" i="65"/>
  <c r="S15" i="65"/>
  <c r="AZ16" i="65"/>
  <c r="AY47" i="65"/>
  <c r="T167" i="65"/>
  <c r="S71" i="65"/>
  <c r="S66" i="65"/>
  <c r="T134" i="65"/>
  <c r="T41" i="65"/>
  <c r="T161" i="65"/>
  <c r="T86" i="65"/>
  <c r="T314" i="65"/>
  <c r="S270" i="65"/>
  <c r="S187" i="65"/>
  <c r="S9" i="65"/>
  <c r="S161" i="65"/>
  <c r="S50" i="65"/>
  <c r="S309" i="65"/>
  <c r="T106" i="65"/>
  <c r="T78" i="65"/>
  <c r="T124" i="65"/>
  <c r="S34" i="65"/>
  <c r="T32" i="65"/>
  <c r="T277" i="65"/>
  <c r="S42" i="65"/>
  <c r="T273" i="65"/>
  <c r="S319" i="65"/>
  <c r="T250" i="65"/>
  <c r="S193" i="65"/>
  <c r="T309" i="65"/>
  <c r="S14" i="65"/>
  <c r="S68" i="65"/>
  <c r="AZ31" i="65"/>
  <c r="AZ36" i="65"/>
  <c r="T222" i="65"/>
  <c r="T243" i="65"/>
  <c r="S201" i="65"/>
  <c r="T79" i="65"/>
  <c r="S255" i="65"/>
  <c r="T57" i="65"/>
  <c r="AZ29" i="65"/>
  <c r="S150" i="65"/>
  <c r="AZ48" i="65"/>
  <c r="S106" i="65"/>
  <c r="S295" i="65"/>
  <c r="T136" i="65"/>
  <c r="S362" i="65"/>
  <c r="S236" i="65"/>
  <c r="S165" i="65"/>
  <c r="AZ12" i="65"/>
  <c r="S223" i="65"/>
  <c r="AZ46" i="65"/>
  <c r="T253" i="65"/>
  <c r="AY52" i="65"/>
  <c r="S40" i="65"/>
  <c r="S164" i="65"/>
  <c r="S229" i="65"/>
  <c r="AY25" i="65"/>
  <c r="AY48" i="65"/>
  <c r="S100" i="65"/>
  <c r="T246" i="65"/>
  <c r="S324" i="65"/>
  <c r="T94" i="65"/>
  <c r="T54" i="65"/>
  <c r="S203" i="65"/>
  <c r="T206" i="65"/>
  <c r="AZ35" i="65"/>
  <c r="T305" i="65"/>
  <c r="T350" i="65"/>
  <c r="S276" i="65"/>
  <c r="S299" i="65"/>
  <c r="T364" i="65"/>
  <c r="T319" i="65"/>
  <c r="T17" i="65"/>
  <c r="S98" i="65"/>
  <c r="T237" i="65"/>
  <c r="T50" i="65"/>
  <c r="T62" i="65"/>
  <c r="S129" i="65"/>
  <c r="T152" i="65"/>
  <c r="T49" i="65"/>
  <c r="T132" i="65"/>
  <c r="T85" i="65"/>
  <c r="S240" i="65"/>
  <c r="S136" i="65"/>
  <c r="T8" i="65"/>
  <c r="T267" i="65"/>
  <c r="T336" i="65"/>
  <c r="S163" i="65"/>
  <c r="T190" i="65"/>
  <c r="T234" i="65"/>
  <c r="S46" i="65"/>
  <c r="S209" i="65"/>
  <c r="S21" i="65"/>
  <c r="T183" i="65"/>
  <c r="S308" i="65"/>
  <c r="S214" i="65"/>
  <c r="AY45" i="65"/>
  <c r="T129" i="65"/>
  <c r="T219" i="65"/>
  <c r="S11" i="65"/>
  <c r="T283" i="65"/>
  <c r="S140" i="65"/>
  <c r="T215" i="65"/>
  <c r="T118" i="65"/>
  <c r="T176" i="65"/>
  <c r="S179" i="65"/>
  <c r="AZ11" i="65"/>
  <c r="T239" i="65"/>
  <c r="T260" i="65"/>
  <c r="T133" i="65"/>
  <c r="S349" i="65"/>
  <c r="S202" i="65"/>
  <c r="AY21" i="65"/>
  <c r="S41" i="65"/>
  <c r="S346" i="65"/>
  <c r="S215" i="65"/>
  <c r="AZ40" i="65"/>
  <c r="T40" i="65"/>
  <c r="S51" i="65"/>
  <c r="T111" i="65"/>
  <c r="S70" i="65"/>
  <c r="T271" i="65"/>
  <c r="T301" i="65"/>
  <c r="S137" i="65"/>
  <c r="T236" i="65"/>
  <c r="T306" i="65"/>
  <c r="T261" i="65"/>
  <c r="S230" i="65"/>
  <c r="T340" i="65"/>
  <c r="S124" i="65"/>
  <c r="T276" i="65"/>
  <c r="S144" i="65"/>
  <c r="T311" i="65"/>
  <c r="T151" i="65"/>
  <c r="S112" i="65"/>
  <c r="S92" i="65"/>
  <c r="S57" i="65"/>
  <c r="T170" i="65"/>
  <c r="AY50" i="65"/>
  <c r="S284" i="65"/>
  <c r="T159" i="65"/>
  <c r="AY39" i="65"/>
  <c r="T28" i="65"/>
  <c r="S218" i="65"/>
  <c r="AY8" i="65"/>
  <c r="T56" i="65"/>
  <c r="T67" i="65"/>
  <c r="S290" i="65"/>
  <c r="S170" i="65"/>
  <c r="T339" i="65"/>
  <c r="S340" i="65"/>
  <c r="T201" i="65"/>
  <c r="T349" i="65"/>
  <c r="S217" i="65"/>
  <c r="T74" i="65"/>
  <c r="T181" i="65"/>
  <c r="S329" i="65"/>
  <c r="S251" i="65"/>
  <c r="T330" i="65"/>
  <c r="T297" i="65"/>
  <c r="S197" i="65"/>
  <c r="S190" i="65"/>
  <c r="T128" i="65"/>
  <c r="S206" i="65"/>
  <c r="S196" i="65"/>
  <c r="AZ42" i="65"/>
  <c r="S151" i="65"/>
  <c r="T146" i="65"/>
  <c r="S304" i="65"/>
  <c r="T347" i="65"/>
  <c r="S30" i="65"/>
  <c r="S315" i="65"/>
  <c r="T187" i="65"/>
  <c r="S58" i="65"/>
  <c r="AY5" i="65"/>
  <c r="T327" i="65"/>
  <c r="T241" i="65"/>
  <c r="S86" i="65"/>
  <c r="T131" i="65"/>
  <c r="S83" i="65"/>
  <c r="AZ41" i="65"/>
  <c r="S74" i="65"/>
  <c r="S216" i="65"/>
  <c r="T225" i="65"/>
  <c r="S59" i="65"/>
  <c r="S183" i="65"/>
  <c r="AY44" i="65"/>
  <c r="S354" i="65"/>
  <c r="S338" i="65"/>
  <c r="S243" i="65"/>
  <c r="AY33" i="65"/>
  <c r="T244" i="65"/>
  <c r="S115" i="65"/>
  <c r="T16" i="65"/>
  <c r="S61" i="65"/>
  <c r="AY12" i="65"/>
  <c r="S102" i="65"/>
  <c r="T30" i="65"/>
  <c r="S73" i="65"/>
  <c r="T229" i="65"/>
  <c r="S213" i="65"/>
  <c r="T355" i="65"/>
  <c r="S328" i="65"/>
  <c r="S97" i="65"/>
  <c r="T13" i="65"/>
  <c r="T332" i="65"/>
  <c r="AY17" i="65"/>
  <c r="S272" i="65"/>
  <c r="T289" i="65"/>
  <c r="S167" i="65"/>
  <c r="T121" i="65"/>
  <c r="S204" i="65"/>
  <c r="T361" i="65"/>
  <c r="T348" i="65"/>
  <c r="T362" i="65"/>
  <c r="T101" i="65"/>
  <c r="T171" i="65"/>
  <c r="T140" i="65"/>
  <c r="S53" i="65"/>
  <c r="AZ37" i="65"/>
  <c r="S117" i="65"/>
  <c r="T265" i="65"/>
  <c r="AY28" i="65"/>
  <c r="T143" i="65"/>
  <c r="T157" i="65"/>
  <c r="T154" i="65"/>
  <c r="T254" i="65"/>
  <c r="AY7" i="65"/>
  <c r="T293" i="65"/>
  <c r="T258" i="65"/>
  <c r="S156" i="65"/>
  <c r="S364" i="65"/>
  <c r="T88" i="65"/>
  <c r="S355" i="65"/>
  <c r="S134" i="65"/>
  <c r="S120" i="65"/>
  <c r="T203" i="65"/>
  <c r="S38" i="65"/>
  <c r="T322" i="65"/>
  <c r="S247" i="65"/>
  <c r="S80" i="65"/>
  <c r="T11" i="65"/>
  <c r="T107" i="65"/>
  <c r="S154" i="65"/>
  <c r="S79" i="65"/>
  <c r="T223" i="65"/>
  <c r="S194" i="65"/>
  <c r="S130" i="65"/>
  <c r="T83" i="65"/>
  <c r="S250" i="65"/>
  <c r="T119" i="65"/>
  <c r="S289" i="65"/>
  <c r="AZ5" i="65"/>
  <c r="T216" i="65"/>
  <c r="T233" i="65"/>
  <c r="AZ27" i="65"/>
  <c r="AZ34" i="65"/>
  <c r="T63" i="65"/>
  <c r="S258" i="65"/>
  <c r="S65" i="65"/>
  <c r="S37" i="65"/>
  <c r="S238" i="65"/>
  <c r="T72" i="65"/>
  <c r="S199" i="65"/>
  <c r="T197" i="65"/>
  <c r="S261" i="65"/>
  <c r="T112" i="65"/>
  <c r="T325" i="65"/>
  <c r="S99" i="65"/>
  <c r="T310" i="65"/>
  <c r="S341" i="65"/>
  <c r="S110" i="65"/>
  <c r="T42" i="65"/>
  <c r="S23" i="65"/>
  <c r="S310" i="65"/>
  <c r="AZ26" i="65"/>
  <c r="S266" i="65"/>
  <c r="AY6" i="65"/>
  <c r="S259" i="65"/>
  <c r="T160" i="65"/>
  <c r="AZ38" i="65"/>
  <c r="S271" i="65"/>
  <c r="T166" i="65"/>
  <c r="T207" i="65"/>
  <c r="AZ28" i="65"/>
  <c r="AY16" i="65"/>
  <c r="T195" i="65"/>
  <c r="S148" i="65"/>
  <c r="S291" i="65"/>
  <c r="S89" i="65"/>
  <c r="T208" i="65"/>
  <c r="T279" i="65"/>
  <c r="T64" i="65"/>
  <c r="S343" i="65"/>
  <c r="T108" i="65"/>
  <c r="S334" i="65"/>
  <c r="S107" i="65"/>
  <c r="S122" i="65"/>
  <c r="S305" i="65"/>
  <c r="S298" i="65"/>
  <c r="T7" i="65"/>
  <c r="S152" i="65"/>
  <c r="T248" i="65"/>
  <c r="S333" i="65"/>
  <c r="T363" i="65"/>
  <c r="T174" i="65"/>
  <c r="T272" i="65"/>
  <c r="T105" i="65"/>
  <c r="S159" i="65"/>
  <c r="AY22" i="65"/>
  <c r="S361" i="65"/>
  <c r="AZ6" i="65"/>
  <c r="S125" i="65"/>
  <c r="AZ19" i="65"/>
  <c r="S145" i="65"/>
  <c r="S67" i="65"/>
  <c r="S296" i="65"/>
  <c r="T130" i="65"/>
  <c r="T240" i="65"/>
  <c r="T158" i="65"/>
  <c r="S314" i="65"/>
  <c r="T359" i="65"/>
  <c r="S256" i="65"/>
  <c r="AY40" i="65"/>
  <c r="S147" i="65"/>
  <c r="S138" i="65"/>
  <c r="S123" i="65"/>
  <c r="S233" i="65"/>
  <c r="T269" i="65"/>
  <c r="AZ30" i="65"/>
  <c r="AZ13" i="65"/>
  <c r="S200" i="65"/>
  <c r="T202" i="65"/>
  <c r="AZ47" i="65"/>
  <c r="S312" i="65"/>
  <c r="S160" i="65"/>
  <c r="AY46" i="65"/>
  <c r="T90" i="65"/>
  <c r="S25" i="65"/>
  <c r="T252" i="65"/>
  <c r="S300" i="65"/>
  <c r="T23" i="65"/>
  <c r="T6" i="65"/>
  <c r="T178" i="65"/>
  <c r="S347" i="65"/>
  <c r="T317" i="65"/>
  <c r="S293" i="65"/>
  <c r="T288" i="65"/>
  <c r="T71" i="65"/>
  <c r="T116" i="65"/>
  <c r="T198" i="65"/>
  <c r="S141" i="65"/>
  <c r="T156" i="65"/>
  <c r="S77" i="65"/>
  <c r="S186" i="65"/>
  <c r="S158" i="65"/>
  <c r="T33" i="65"/>
  <c r="T122" i="65"/>
  <c r="AZ44" i="65"/>
  <c r="S234" i="65"/>
  <c r="S358" i="65"/>
  <c r="S198" i="65"/>
  <c r="S105" i="65"/>
  <c r="S352" i="65"/>
  <c r="T82" i="65"/>
  <c r="T65" i="65"/>
  <c r="T29" i="65"/>
  <c r="AZ32" i="65"/>
  <c r="S212" i="65"/>
  <c r="T230" i="65"/>
  <c r="T263" i="65"/>
  <c r="S292" i="65"/>
  <c r="S322" i="65"/>
  <c r="T113" i="65"/>
  <c r="S311" i="65"/>
  <c r="S307" i="65"/>
  <c r="T192" i="65"/>
  <c r="T15" i="65"/>
  <c r="T220" i="65"/>
  <c r="S64" i="65"/>
  <c r="T224" i="65"/>
  <c r="T12" i="65"/>
  <c r="T182" i="65"/>
  <c r="S220" i="65"/>
  <c r="T290" i="65"/>
  <c r="S239" i="65"/>
  <c r="AY36" i="65"/>
  <c r="S47" i="65"/>
  <c r="S208" i="65"/>
  <c r="T357" i="65"/>
  <c r="T53" i="65"/>
  <c r="AZ7" i="65"/>
  <c r="AY34" i="65"/>
  <c r="T270" i="65"/>
  <c r="S191" i="65"/>
  <c r="S39" i="65"/>
  <c r="T123" i="65"/>
  <c r="S10" i="65"/>
  <c r="S232" i="65"/>
  <c r="T73" i="65"/>
  <c r="S90" i="65"/>
  <c r="T135" i="65"/>
  <c r="AY42" i="65"/>
  <c r="S26" i="65"/>
  <c r="T55" i="65"/>
  <c r="S118" i="65"/>
  <c r="AZ53" i="65"/>
  <c r="S356" i="65"/>
  <c r="S149" i="65"/>
  <c r="S219" i="65"/>
  <c r="T139" i="65"/>
  <c r="T77" i="65"/>
  <c r="T262" i="65"/>
  <c r="S60" i="65"/>
  <c r="T61" i="65"/>
  <c r="T302" i="65"/>
  <c r="AY43" i="65"/>
  <c r="S69" i="65"/>
  <c r="S195" i="65"/>
  <c r="T38" i="65"/>
  <c r="S108" i="65"/>
  <c r="S87" i="65"/>
  <c r="S157" i="65"/>
  <c r="S192" i="65"/>
  <c r="T323" i="65"/>
  <c r="S162" i="65"/>
  <c r="S104" i="65"/>
  <c r="T137" i="65"/>
  <c r="T180" i="65"/>
  <c r="T221" i="65"/>
  <c r="S210" i="65"/>
  <c r="S337" i="65"/>
  <c r="S221" i="65"/>
  <c r="T218" i="65"/>
  <c r="S345" i="65"/>
  <c r="S56" i="65"/>
  <c r="AZ10" i="65"/>
  <c r="T342" i="65"/>
  <c r="S6" i="65"/>
  <c r="S133" i="65"/>
  <c r="T145" i="65"/>
  <c r="T214" i="65"/>
  <c r="S245" i="65"/>
  <c r="T345" i="65"/>
  <c r="S335" i="65"/>
  <c r="S5" i="65"/>
  <c r="T75" i="65"/>
  <c r="S265" i="65"/>
  <c r="T299" i="65"/>
  <c r="T34" i="65"/>
  <c r="S75" i="65"/>
  <c r="AY51" i="65"/>
  <c r="T66" i="65"/>
  <c r="S17" i="65"/>
  <c r="S226" i="65"/>
  <c r="S246" i="65"/>
  <c r="S155" i="65"/>
  <c r="S101" i="65"/>
  <c r="T5" i="65"/>
  <c r="T189" i="65"/>
  <c r="T213" i="65"/>
  <c r="AY53" i="65"/>
  <c r="T141" i="65"/>
  <c r="T60" i="65"/>
  <c r="T39" i="65"/>
  <c r="S18" i="65"/>
  <c r="T242" i="65"/>
  <c r="T194" i="65"/>
  <c r="T117" i="65"/>
  <c r="T24" i="65"/>
  <c r="AY20" i="65"/>
  <c r="T70" i="65"/>
  <c r="T81" i="65"/>
  <c r="S175" i="65"/>
  <c r="S131" i="65"/>
  <c r="T96" i="65"/>
  <c r="S348" i="65"/>
  <c r="T163" i="65"/>
  <c r="S7" i="65"/>
  <c r="T95" i="65"/>
  <c r="T25" i="65"/>
  <c r="AZ20" i="65"/>
  <c r="S113" i="65"/>
  <c r="AY23" i="65"/>
  <c r="S36" i="65"/>
  <c r="T316" i="65"/>
  <c r="S323" i="65"/>
  <c r="T193" i="65"/>
  <c r="AY30" i="65"/>
  <c r="T227" i="65"/>
  <c r="T142" i="65"/>
  <c r="T231" i="65"/>
  <c r="T43" i="65"/>
  <c r="T315" i="65"/>
  <c r="S13" i="65"/>
  <c r="T209" i="65"/>
  <c r="S19" i="65"/>
  <c r="T58" i="65"/>
  <c r="T255" i="65"/>
  <c r="S31" i="65"/>
  <c r="S181" i="65"/>
  <c r="T211" i="65"/>
  <c r="T286" i="65"/>
  <c r="S96" i="65"/>
  <c r="T303" i="65"/>
  <c r="AZ33" i="65"/>
  <c r="T321" i="65"/>
  <c r="S135" i="65"/>
  <c r="T47" i="65"/>
  <c r="AY15" i="65"/>
  <c r="S43" i="65"/>
  <c r="T249" i="65"/>
  <c r="T127" i="65"/>
  <c r="S253" i="65"/>
  <c r="T115" i="65"/>
  <c r="S169" i="65"/>
  <c r="T84" i="65"/>
  <c r="S359" i="65"/>
  <c r="T45" i="65"/>
  <c r="S76" i="65"/>
  <c r="S357" i="65"/>
  <c r="AY41" i="65"/>
  <c r="S280" i="65"/>
  <c r="T346" i="65"/>
  <c r="T307" i="65"/>
  <c r="S301" i="65"/>
  <c r="S224" i="65"/>
  <c r="S260" i="65"/>
  <c r="S303" i="65"/>
  <c r="T93" i="65"/>
  <c r="T296" i="65"/>
  <c r="T80" i="65"/>
  <c r="T333" i="65"/>
  <c r="S121" i="65"/>
  <c r="T217" i="65"/>
  <c r="S88" i="65"/>
  <c r="S321" i="65"/>
  <c r="S235" i="65"/>
  <c r="T68" i="65"/>
  <c r="T125" i="65"/>
  <c r="T144" i="65"/>
  <c r="T92" i="65"/>
  <c r="T172" i="65"/>
  <c r="T312" i="65"/>
  <c r="T165" i="65"/>
  <c r="T292" i="65"/>
  <c r="S180" i="65"/>
  <c r="S353" i="65"/>
  <c r="S45" i="65"/>
  <c r="S316" i="65"/>
  <c r="S82" i="65"/>
  <c r="AY11" i="65"/>
  <c r="T285" i="65"/>
  <c r="AY10" i="65"/>
  <c r="T199" i="65"/>
  <c r="T212" i="65"/>
  <c r="T177" i="65"/>
  <c r="S172" i="65"/>
  <c r="T114" i="65"/>
  <c r="T59" i="65"/>
  <c r="S283" i="65"/>
  <c r="AO6" i="86"/>
  <c r="AO7" i="86" s="1"/>
  <c r="AO8" i="86" s="1"/>
  <c r="AO9" i="86" s="1"/>
  <c r="AO10" i="86" s="1"/>
  <c r="AO11" i="86" s="1"/>
  <c r="AO12" i="86" s="1"/>
  <c r="AO13" i="86" s="1"/>
  <c r="AO14" i="86" s="1"/>
  <c r="AO15" i="86" s="1"/>
  <c r="AN6" i="86"/>
  <c r="G31" i="94" l="1"/>
  <c r="AO16" i="86"/>
  <c r="AO17" i="86" s="1"/>
  <c r="AO18" i="86" s="1"/>
  <c r="AO19" i="86" s="1"/>
  <c r="AO20" i="86" s="1"/>
  <c r="AO21" i="86" s="1"/>
  <c r="AO22" i="86" s="1"/>
  <c r="AO23" i="86" s="1"/>
  <c r="AO24" i="86" s="1"/>
  <c r="AO25" i="86" s="1"/>
  <c r="AO26" i="86" s="1"/>
  <c r="AO27" i="86" s="1"/>
  <c r="AO28" i="86" s="1"/>
  <c r="AO29" i="86" s="1"/>
  <c r="AO30" i="86" s="1"/>
  <c r="AO31" i="86" s="1"/>
  <c r="AO32" i="86" s="1"/>
  <c r="AO33" i="86" s="1"/>
  <c r="AO34" i="86" s="1"/>
  <c r="AO35" i="86" s="1"/>
  <c r="AO36" i="86" s="1"/>
  <c r="AO37" i="86" s="1"/>
  <c r="AO38" i="86" s="1"/>
  <c r="AO39" i="86" s="1"/>
  <c r="AO40" i="86" s="1"/>
  <c r="AO41" i="86" s="1"/>
  <c r="AO42" i="86" s="1"/>
  <c r="AO43" i="86" s="1"/>
  <c r="AO44" i="86" s="1"/>
  <c r="AO45" i="86" s="1"/>
  <c r="AO46" i="86" s="1"/>
  <c r="AO47" i="86" s="1"/>
  <c r="AO48" i="86" s="1"/>
  <c r="AO49" i="86" s="1"/>
  <c r="AO50" i="86" s="1"/>
  <c r="AO51" i="86" s="1"/>
  <c r="AO52" i="86" s="1"/>
  <c r="AO53" i="86" s="1"/>
  <c r="AO54" i="86" s="1"/>
  <c r="AO55" i="86" s="1"/>
  <c r="AO56" i="86" s="1"/>
  <c r="AO57" i="86" s="1"/>
  <c r="AO58" i="86" s="1"/>
  <c r="AO59" i="86" s="1"/>
  <c r="AO60" i="86" s="1"/>
  <c r="AO61" i="86" s="1"/>
  <c r="AO62" i="86" s="1"/>
  <c r="AO63" i="86" s="1"/>
  <c r="AO64" i="86" s="1"/>
  <c r="AO65" i="86" s="1"/>
  <c r="AO66" i="86" s="1"/>
  <c r="AO67" i="86" s="1"/>
  <c r="AO68" i="86" s="1"/>
  <c r="AO69" i="86" s="1"/>
  <c r="AO70" i="86" s="1"/>
  <c r="AO71" i="86" s="1"/>
  <c r="AO72" i="86" s="1"/>
  <c r="AO73" i="86" s="1"/>
  <c r="AO74" i="86" s="1"/>
  <c r="AO75" i="86" s="1"/>
  <c r="AO76" i="86" s="1"/>
  <c r="AO77" i="86" s="1"/>
  <c r="AO78" i="86" s="1"/>
  <c r="AO79" i="86" s="1"/>
  <c r="AO80" i="86" s="1"/>
  <c r="AO81" i="86" s="1"/>
  <c r="AO82" i="86" s="1"/>
  <c r="AO83" i="86" s="1"/>
  <c r="AO84" i="86" s="1"/>
  <c r="AO85" i="86" s="1"/>
  <c r="AO86" i="86" s="1"/>
  <c r="AO87" i="86" s="1"/>
  <c r="AO88" i="86" s="1"/>
  <c r="AO89" i="86" s="1"/>
  <c r="AO90" i="86" s="1"/>
  <c r="AO91" i="86" s="1"/>
  <c r="AO92" i="86" s="1"/>
  <c r="AO93" i="86" s="1"/>
  <c r="AO94" i="86" s="1"/>
  <c r="AO95" i="86" s="1"/>
  <c r="AO96" i="86" s="1"/>
  <c r="AO97" i="86" s="1"/>
  <c r="AO98" i="86" s="1"/>
  <c r="AO99" i="86" s="1"/>
  <c r="AO100" i="86" s="1"/>
  <c r="AO101" i="86" s="1"/>
  <c r="AO102" i="86" s="1"/>
  <c r="AO103" i="86" s="1"/>
  <c r="AO104" i="86" s="1"/>
  <c r="AO105" i="86" s="1"/>
  <c r="AN7" i="86"/>
  <c r="AN8" i="86" s="1"/>
  <c r="AN9" i="86" s="1"/>
  <c r="AN10" i="86" s="1"/>
  <c r="AN11" i="86" s="1"/>
  <c r="AN12" i="86" s="1"/>
  <c r="AN13" i="86" s="1"/>
  <c r="AN14" i="86" s="1"/>
  <c r="AN15" i="86" s="1"/>
  <c r="AN16" i="86" s="1"/>
  <c r="AN17" i="86" s="1"/>
  <c r="AN18" i="86" s="1"/>
  <c r="AN19" i="86" s="1"/>
  <c r="AN20" i="86" s="1"/>
  <c r="AN21" i="86" s="1"/>
  <c r="AN22" i="86" s="1"/>
  <c r="AN23" i="86" s="1"/>
  <c r="AN24" i="86" s="1"/>
  <c r="AN25" i="86" s="1"/>
  <c r="AN26" i="86" s="1"/>
  <c r="AN27" i="86" s="1"/>
  <c r="AN28" i="86" s="1"/>
  <c r="AN29" i="86" s="1"/>
  <c r="AN30" i="86" s="1"/>
  <c r="AN31" i="86" s="1"/>
  <c r="AN32" i="86" s="1"/>
  <c r="AN33" i="86" s="1"/>
  <c r="AN34" i="86" s="1"/>
  <c r="AN35" i="86" s="1"/>
  <c r="AN36" i="86" s="1"/>
  <c r="AN37" i="86" s="1"/>
  <c r="AN38" i="86" s="1"/>
  <c r="AN39" i="86" s="1"/>
  <c r="AN40" i="86" s="1"/>
  <c r="AN41" i="86" s="1"/>
  <c r="AN42" i="86" s="1"/>
  <c r="AN43" i="86" s="1"/>
  <c r="AN44" i="86" s="1"/>
  <c r="AN45" i="86" s="1"/>
  <c r="AN46" i="86" s="1"/>
  <c r="AN47" i="86" s="1"/>
  <c r="AN48" i="86" s="1"/>
  <c r="AN49" i="86" s="1"/>
  <c r="AN50" i="86" s="1"/>
  <c r="AN51" i="86" s="1"/>
  <c r="AN52" i="86" s="1"/>
  <c r="AN53" i="86" s="1"/>
  <c r="AN54" i="86" s="1"/>
  <c r="AN55" i="86" s="1"/>
  <c r="AN56" i="86" s="1"/>
  <c r="AN57" i="86" s="1"/>
  <c r="AN58" i="86" s="1"/>
  <c r="AN59" i="86" s="1"/>
  <c r="AN60" i="86" s="1"/>
  <c r="AN61" i="86" s="1"/>
  <c r="AN62" i="86" s="1"/>
  <c r="AN63" i="86" s="1"/>
  <c r="AN64" i="86" s="1"/>
  <c r="AN65" i="86" s="1"/>
  <c r="AN66" i="86" s="1"/>
  <c r="AN67" i="86" s="1"/>
  <c r="AN68" i="86" s="1"/>
  <c r="AN69" i="86" s="1"/>
  <c r="AN70" i="86" s="1"/>
  <c r="AN71" i="86" s="1"/>
  <c r="AN72" i="86" s="1"/>
  <c r="AN73" i="86" s="1"/>
  <c r="AN74" i="86" s="1"/>
  <c r="AN75" i="86" s="1"/>
  <c r="AN76" i="86" s="1"/>
  <c r="AN77" i="86" s="1"/>
  <c r="AN78" i="86" s="1"/>
  <c r="AN79" i="86" s="1"/>
  <c r="AN80" i="86" s="1"/>
  <c r="AN81" i="86" s="1"/>
  <c r="AN82" i="86" s="1"/>
  <c r="AN83" i="86" s="1"/>
  <c r="AN84" i="86" s="1"/>
  <c r="AN85" i="86" s="1"/>
  <c r="AN86" i="86" s="1"/>
  <c r="AN87" i="86" s="1"/>
  <c r="AN88" i="86" s="1"/>
  <c r="AN89" i="86" s="1"/>
  <c r="AN90" i="86" s="1"/>
  <c r="AN91" i="86" s="1"/>
  <c r="AN92" i="86" s="1"/>
  <c r="AN93" i="86" s="1"/>
  <c r="AN94" i="86" s="1"/>
  <c r="AN95" i="86" s="1"/>
  <c r="AN96" i="86" s="1"/>
  <c r="AN97" i="86" s="1"/>
  <c r="AN98" i="86" s="1"/>
  <c r="AN99" i="86" s="1"/>
  <c r="AN100" i="86" s="1"/>
  <c r="AN101" i="86" s="1"/>
  <c r="AN102" i="86" s="1"/>
  <c r="AN103" i="86" s="1"/>
  <c r="AN104" i="86" s="1"/>
  <c r="AN105" i="86" s="1"/>
  <c r="G32" i="94" l="1"/>
  <c r="AV6" i="86"/>
  <c r="G33" i="94" l="1"/>
  <c r="AD6" i="86"/>
  <c r="AD7" i="86" s="1"/>
  <c r="AD8" i="86" s="1"/>
  <c r="AD9" i="86" s="1"/>
  <c r="AD10" i="86" s="1"/>
  <c r="AD11" i="86" s="1"/>
  <c r="AD12" i="86" s="1"/>
  <c r="AD13" i="86" s="1"/>
  <c r="AD14" i="86" s="1"/>
  <c r="AD15" i="86" s="1"/>
  <c r="AD16" i="86" s="1"/>
  <c r="AG6" i="86"/>
  <c r="AV7" i="86"/>
  <c r="AV8" i="86" s="1"/>
  <c r="AV9" i="86" s="1"/>
  <c r="AV10" i="86" s="1"/>
  <c r="AV11" i="86" s="1"/>
  <c r="AV12" i="86" s="1"/>
  <c r="AH6" i="86"/>
  <c r="G34" i="94" l="1"/>
  <c r="AY6" i="86"/>
  <c r="AY7" i="86" s="1"/>
  <c r="AY8" i="86" s="1"/>
  <c r="AY9" i="86" s="1"/>
  <c r="AY10" i="86" s="1"/>
  <c r="AY11" i="86" s="1"/>
  <c r="AY12" i="86" s="1"/>
  <c r="AY13" i="86" s="1"/>
  <c r="AY14" i="86" s="1"/>
  <c r="AY15" i="86" s="1"/>
  <c r="AY16" i="86" s="1"/>
  <c r="AY17" i="86" s="1"/>
  <c r="AY18" i="86" s="1"/>
  <c r="AY19" i="86" s="1"/>
  <c r="AY20" i="86" s="1"/>
  <c r="AY21" i="86" s="1"/>
  <c r="AY22" i="86" s="1"/>
  <c r="AY23" i="86" s="1"/>
  <c r="AY24" i="86" s="1"/>
  <c r="AY25" i="86" s="1"/>
  <c r="AY26" i="86" s="1"/>
  <c r="AY27" i="86" s="1"/>
  <c r="AY28" i="86" s="1"/>
  <c r="AY29" i="86" s="1"/>
  <c r="AY30" i="86" s="1"/>
  <c r="AY31" i="86" s="1"/>
  <c r="AY32" i="86" s="1"/>
  <c r="AY33" i="86" s="1"/>
  <c r="AY34" i="86" s="1"/>
  <c r="AY35" i="86" s="1"/>
  <c r="AY36" i="86" s="1"/>
  <c r="AY37" i="86" s="1"/>
  <c r="AY38" i="86" s="1"/>
  <c r="AY39" i="86" s="1"/>
  <c r="AY40" i="86" s="1"/>
  <c r="AY41" i="86" s="1"/>
  <c r="AY42" i="86" s="1"/>
  <c r="AY43" i="86" s="1"/>
  <c r="AY44" i="86" s="1"/>
  <c r="AY45" i="86" s="1"/>
  <c r="AY46" i="86" s="1"/>
  <c r="AY47" i="86" s="1"/>
  <c r="AY48" i="86" s="1"/>
  <c r="AY49" i="86" s="1"/>
  <c r="AY50" i="86" s="1"/>
  <c r="AY51" i="86" s="1"/>
  <c r="AY52" i="86" s="1"/>
  <c r="AY53" i="86" s="1"/>
  <c r="AY54" i="86" s="1"/>
  <c r="AY55" i="86" s="1"/>
  <c r="AY56" i="86" s="1"/>
  <c r="AY57" i="86" s="1"/>
  <c r="AY58" i="86" s="1"/>
  <c r="AY59" i="86" s="1"/>
  <c r="AY60" i="86" s="1"/>
  <c r="AY61" i="86" s="1"/>
  <c r="AY62" i="86" s="1"/>
  <c r="AY63" i="86" s="1"/>
  <c r="AY64" i="86" s="1"/>
  <c r="AY65" i="86" s="1"/>
  <c r="AY66" i="86" s="1"/>
  <c r="AY67" i="86" s="1"/>
  <c r="AY68" i="86" s="1"/>
  <c r="AY69" i="86" s="1"/>
  <c r="AY70" i="86" s="1"/>
  <c r="AY71" i="86" s="1"/>
  <c r="AY72" i="86" s="1"/>
  <c r="AY73" i="86" s="1"/>
  <c r="AY74" i="86" s="1"/>
  <c r="AY75" i="86" s="1"/>
  <c r="AY76" i="86" s="1"/>
  <c r="AY77" i="86" s="1"/>
  <c r="AY78" i="86" s="1"/>
  <c r="AY79" i="86" s="1"/>
  <c r="AY80" i="86" s="1"/>
  <c r="AY81" i="86" s="1"/>
  <c r="AY82" i="86" s="1"/>
  <c r="AY83" i="86" s="1"/>
  <c r="AY84" i="86" s="1"/>
  <c r="AY85" i="86" s="1"/>
  <c r="AY86" i="86" s="1"/>
  <c r="AY87" i="86" s="1"/>
  <c r="AY88" i="86" s="1"/>
  <c r="AY89" i="86" s="1"/>
  <c r="AY90" i="86" s="1"/>
  <c r="AY91" i="86" s="1"/>
  <c r="AY92" i="86" s="1"/>
  <c r="AY93" i="86" s="1"/>
  <c r="AY94" i="86" s="1"/>
  <c r="AY95" i="86" s="1"/>
  <c r="AY96" i="86" s="1"/>
  <c r="AY97" i="86" s="1"/>
  <c r="AY98" i="86" s="1"/>
  <c r="AY99" i="86" s="1"/>
  <c r="AY100" i="86" s="1"/>
  <c r="AY101" i="86" s="1"/>
  <c r="AY102" i="86" s="1"/>
  <c r="AY103" i="86" s="1"/>
  <c r="AY104" i="86" s="1"/>
  <c r="AY105" i="86" s="1"/>
  <c r="AZ6" i="86"/>
  <c r="AZ7" i="86" s="1"/>
  <c r="AZ8" i="86" s="1"/>
  <c r="AZ9" i="86" s="1"/>
  <c r="AZ10" i="86" s="1"/>
  <c r="AZ11" i="86" s="1"/>
  <c r="AZ12" i="86" s="1"/>
  <c r="AZ13" i="86" s="1"/>
  <c r="AZ14" i="86" s="1"/>
  <c r="AZ15" i="86" s="1"/>
  <c r="AZ16" i="86" s="1"/>
  <c r="AZ17" i="86" s="1"/>
  <c r="AZ18" i="86" s="1"/>
  <c r="AZ19" i="86" s="1"/>
  <c r="AZ20" i="86" s="1"/>
  <c r="AZ21" i="86" s="1"/>
  <c r="AZ22" i="86" s="1"/>
  <c r="AZ23" i="86" s="1"/>
  <c r="AZ24" i="86" s="1"/>
  <c r="AZ25" i="86" s="1"/>
  <c r="AZ26" i="86" s="1"/>
  <c r="AZ27" i="86" s="1"/>
  <c r="AZ28" i="86" s="1"/>
  <c r="AZ29" i="86" s="1"/>
  <c r="AZ30" i="86" s="1"/>
  <c r="AZ31" i="86" s="1"/>
  <c r="AZ32" i="86" s="1"/>
  <c r="AZ33" i="86" s="1"/>
  <c r="AZ34" i="86" s="1"/>
  <c r="AZ35" i="86" s="1"/>
  <c r="AZ36" i="86" s="1"/>
  <c r="AZ37" i="86" s="1"/>
  <c r="AZ38" i="86" s="1"/>
  <c r="AZ39" i="86" s="1"/>
  <c r="AZ40" i="86" s="1"/>
  <c r="AZ41" i="86" s="1"/>
  <c r="AZ42" i="86" s="1"/>
  <c r="AZ43" i="86" s="1"/>
  <c r="AZ44" i="86" s="1"/>
  <c r="AZ45" i="86" s="1"/>
  <c r="AZ46" i="86" s="1"/>
  <c r="AZ47" i="86" s="1"/>
  <c r="AZ48" i="86" s="1"/>
  <c r="AZ49" i="86" s="1"/>
  <c r="AZ50" i="86" s="1"/>
  <c r="AZ51" i="86" s="1"/>
  <c r="AZ52" i="86" s="1"/>
  <c r="AZ53" i="86" s="1"/>
  <c r="AZ54" i="86" s="1"/>
  <c r="AZ55" i="86" s="1"/>
  <c r="AZ56" i="86" s="1"/>
  <c r="AZ57" i="86" s="1"/>
  <c r="AZ58" i="86" s="1"/>
  <c r="AZ59" i="86" s="1"/>
  <c r="AZ60" i="86" s="1"/>
  <c r="AZ61" i="86" s="1"/>
  <c r="AZ62" i="86" s="1"/>
  <c r="AZ63" i="86" s="1"/>
  <c r="AZ64" i="86" s="1"/>
  <c r="AZ65" i="86" s="1"/>
  <c r="AZ66" i="86" s="1"/>
  <c r="AZ67" i="86" s="1"/>
  <c r="AZ68" i="86" s="1"/>
  <c r="AZ69" i="86" s="1"/>
  <c r="AZ70" i="86" s="1"/>
  <c r="AZ71" i="86" s="1"/>
  <c r="AZ72" i="86" s="1"/>
  <c r="AZ73" i="86" s="1"/>
  <c r="AZ74" i="86" s="1"/>
  <c r="AZ75" i="86" s="1"/>
  <c r="AZ76" i="86" s="1"/>
  <c r="AZ77" i="86" s="1"/>
  <c r="AZ78" i="86" s="1"/>
  <c r="AZ79" i="86" s="1"/>
  <c r="AZ80" i="86" s="1"/>
  <c r="AZ81" i="86" s="1"/>
  <c r="AZ82" i="86" s="1"/>
  <c r="AZ83" i="86" s="1"/>
  <c r="AZ84" i="86" s="1"/>
  <c r="AZ85" i="86" s="1"/>
  <c r="AZ86" i="86" s="1"/>
  <c r="AZ87" i="86" s="1"/>
  <c r="AZ88" i="86" s="1"/>
  <c r="AZ89" i="86" s="1"/>
  <c r="AZ90" i="86" s="1"/>
  <c r="AZ91" i="86" s="1"/>
  <c r="AZ92" i="86" s="1"/>
  <c r="AZ93" i="86" s="1"/>
  <c r="AZ94" i="86" s="1"/>
  <c r="AZ95" i="86" s="1"/>
  <c r="AZ96" i="86" s="1"/>
  <c r="AZ97" i="86" s="1"/>
  <c r="AZ98" i="86" s="1"/>
  <c r="AZ99" i="86" s="1"/>
  <c r="AZ100" i="86" s="1"/>
  <c r="AZ101" i="86" s="1"/>
  <c r="AZ102" i="86" s="1"/>
  <c r="AZ103" i="86" s="1"/>
  <c r="AZ104" i="86" s="1"/>
  <c r="AZ105" i="86" s="1"/>
  <c r="AV13" i="86"/>
  <c r="AV14" i="86" s="1"/>
  <c r="AV15" i="86" s="1"/>
  <c r="AV16" i="86" s="1"/>
  <c r="AV17" i="86" s="1"/>
  <c r="AV18" i="86" s="1"/>
  <c r="AV19" i="86" s="1"/>
  <c r="AV20" i="86" s="1"/>
  <c r="AV21" i="86" s="1"/>
  <c r="AV22" i="86" s="1"/>
  <c r="AV23" i="86" s="1"/>
  <c r="AV24" i="86" s="1"/>
  <c r="AV25" i="86" s="1"/>
  <c r="AV26" i="86" s="1"/>
  <c r="AV27" i="86" s="1"/>
  <c r="AV28" i="86" s="1"/>
  <c r="AV29" i="86" s="1"/>
  <c r="AV30" i="86" s="1"/>
  <c r="AV31" i="86" s="1"/>
  <c r="AV32" i="86" s="1"/>
  <c r="AV33" i="86" s="1"/>
  <c r="AV34" i="86" s="1"/>
  <c r="AV35" i="86" s="1"/>
  <c r="AV36" i="86" s="1"/>
  <c r="AV37" i="86" s="1"/>
  <c r="AV38" i="86" s="1"/>
  <c r="AV39" i="86" s="1"/>
  <c r="AV40" i="86" s="1"/>
  <c r="AV41" i="86" s="1"/>
  <c r="AV42" i="86" s="1"/>
  <c r="AV43" i="86" s="1"/>
  <c r="AV44" i="86" s="1"/>
  <c r="AV45" i="86" s="1"/>
  <c r="AV46" i="86" s="1"/>
  <c r="AV47" i="86" s="1"/>
  <c r="AV48" i="86" s="1"/>
  <c r="AV49" i="86" s="1"/>
  <c r="AV50" i="86" s="1"/>
  <c r="AV51" i="86" s="1"/>
  <c r="AV52" i="86" s="1"/>
  <c r="AV53" i="86" s="1"/>
  <c r="AV54" i="86" s="1"/>
  <c r="AV55" i="86" s="1"/>
  <c r="AV56" i="86" s="1"/>
  <c r="AV57" i="86" s="1"/>
  <c r="AV58" i="86" s="1"/>
  <c r="AV59" i="86" s="1"/>
  <c r="AV60" i="86" s="1"/>
  <c r="AV61" i="86" s="1"/>
  <c r="AV62" i="86" s="1"/>
  <c r="AV63" i="86" s="1"/>
  <c r="AV64" i="86" s="1"/>
  <c r="AV65" i="86" s="1"/>
  <c r="AV66" i="86" s="1"/>
  <c r="AV67" i="86" s="1"/>
  <c r="AV68" i="86" s="1"/>
  <c r="AV69" i="86" s="1"/>
  <c r="AV70" i="86" s="1"/>
  <c r="AV71" i="86" s="1"/>
  <c r="AV72" i="86" s="1"/>
  <c r="AV73" i="86" s="1"/>
  <c r="AV74" i="86" s="1"/>
  <c r="AV75" i="86" s="1"/>
  <c r="AV76" i="86" s="1"/>
  <c r="AV77" i="86" s="1"/>
  <c r="AV78" i="86" s="1"/>
  <c r="AV79" i="86" s="1"/>
  <c r="AV80" i="86" s="1"/>
  <c r="AV81" i="86" s="1"/>
  <c r="AV82" i="86" s="1"/>
  <c r="AV83" i="86" s="1"/>
  <c r="AV84" i="86" s="1"/>
  <c r="AV85" i="86" s="1"/>
  <c r="AV86" i="86" s="1"/>
  <c r="AV87" i="86" s="1"/>
  <c r="AV88" i="86" s="1"/>
  <c r="AV89" i="86" s="1"/>
  <c r="AV90" i="86" s="1"/>
  <c r="AV91" i="86" s="1"/>
  <c r="AV92" i="86" s="1"/>
  <c r="AV93" i="86" s="1"/>
  <c r="AV94" i="86" s="1"/>
  <c r="AV95" i="86" s="1"/>
  <c r="AV96" i="86" s="1"/>
  <c r="AV97" i="86" s="1"/>
  <c r="AV98" i="86" s="1"/>
  <c r="AV99" i="86" s="1"/>
  <c r="AV100" i="86" s="1"/>
  <c r="AV101" i="86" s="1"/>
  <c r="AV102" i="86" s="1"/>
  <c r="AV103" i="86" s="1"/>
  <c r="AV104" i="86" s="1"/>
  <c r="AV105" i="86" s="1"/>
  <c r="AH7" i="86"/>
  <c r="AH8" i="86" s="1"/>
  <c r="AH9" i="86" s="1"/>
  <c r="AH10" i="86" s="1"/>
  <c r="AH11" i="86" s="1"/>
  <c r="AH12" i="86" s="1"/>
  <c r="AH13" i="86" s="1"/>
  <c r="AH14" i="86" s="1"/>
  <c r="AH15" i="86" s="1"/>
  <c r="AH16" i="86" s="1"/>
  <c r="AH17" i="86" s="1"/>
  <c r="AH18" i="86" s="1"/>
  <c r="AH19" i="86" s="1"/>
  <c r="AH20" i="86" s="1"/>
  <c r="AH21" i="86" s="1"/>
  <c r="AH22" i="86" s="1"/>
  <c r="AH23" i="86" s="1"/>
  <c r="AH24" i="86" s="1"/>
  <c r="AH25" i="86" s="1"/>
  <c r="AH26" i="86" s="1"/>
  <c r="AH27" i="86" s="1"/>
  <c r="AH28" i="86" s="1"/>
  <c r="AH29" i="86" s="1"/>
  <c r="AH30" i="86" s="1"/>
  <c r="AH31" i="86" s="1"/>
  <c r="AH32" i="86" s="1"/>
  <c r="AH33" i="86" s="1"/>
  <c r="AH34" i="86" s="1"/>
  <c r="AH35" i="86" s="1"/>
  <c r="AH36" i="86" s="1"/>
  <c r="AH37" i="86" s="1"/>
  <c r="AH38" i="86" s="1"/>
  <c r="AH39" i="86" s="1"/>
  <c r="AH40" i="86" s="1"/>
  <c r="AH41" i="86" s="1"/>
  <c r="AH42" i="86" s="1"/>
  <c r="AH43" i="86" s="1"/>
  <c r="AH44" i="86" s="1"/>
  <c r="AH45" i="86" s="1"/>
  <c r="AH46" i="86" s="1"/>
  <c r="AH47" i="86" s="1"/>
  <c r="AH48" i="86" s="1"/>
  <c r="AH49" i="86" s="1"/>
  <c r="AH50" i="86" s="1"/>
  <c r="AH51" i="86" s="1"/>
  <c r="AH52" i="86" s="1"/>
  <c r="AH53" i="86" s="1"/>
  <c r="AH54" i="86" s="1"/>
  <c r="AH55" i="86" s="1"/>
  <c r="AH56" i="86" s="1"/>
  <c r="AH57" i="86" s="1"/>
  <c r="AH58" i="86" s="1"/>
  <c r="AH59" i="86" s="1"/>
  <c r="AH60" i="86" s="1"/>
  <c r="AH61" i="86" s="1"/>
  <c r="AH62" i="86" s="1"/>
  <c r="AH63" i="86" s="1"/>
  <c r="AH64" i="86" s="1"/>
  <c r="AH65" i="86" s="1"/>
  <c r="AH66" i="86" s="1"/>
  <c r="AH67" i="86" s="1"/>
  <c r="AH68" i="86" s="1"/>
  <c r="AH69" i="86" s="1"/>
  <c r="AH70" i="86" s="1"/>
  <c r="AH71" i="86" s="1"/>
  <c r="AH72" i="86" s="1"/>
  <c r="AH73" i="86" s="1"/>
  <c r="AH74" i="86" s="1"/>
  <c r="AH75" i="86" s="1"/>
  <c r="AH76" i="86" s="1"/>
  <c r="AH77" i="86" s="1"/>
  <c r="AH78" i="86" s="1"/>
  <c r="AH79" i="86" s="1"/>
  <c r="AH80" i="86" s="1"/>
  <c r="AH81" i="86" s="1"/>
  <c r="AH82" i="86" s="1"/>
  <c r="AH83" i="86" s="1"/>
  <c r="AH84" i="86" s="1"/>
  <c r="AH85" i="86" s="1"/>
  <c r="AH86" i="86" s="1"/>
  <c r="AH87" i="86" s="1"/>
  <c r="AH88" i="86" s="1"/>
  <c r="AH89" i="86" s="1"/>
  <c r="AH90" i="86" s="1"/>
  <c r="AH91" i="86" s="1"/>
  <c r="AH92" i="86" s="1"/>
  <c r="AH93" i="86" s="1"/>
  <c r="AH94" i="86" s="1"/>
  <c r="AH95" i="86" s="1"/>
  <c r="AH96" i="86" s="1"/>
  <c r="AH97" i="86" s="1"/>
  <c r="AH98" i="86" s="1"/>
  <c r="AH99" i="86" s="1"/>
  <c r="AH100" i="86" s="1"/>
  <c r="AH101" i="86" s="1"/>
  <c r="AH102" i="86" s="1"/>
  <c r="AH103" i="86" s="1"/>
  <c r="AH104" i="86" s="1"/>
  <c r="AH105" i="86" s="1"/>
  <c r="AD17" i="86"/>
  <c r="AD18" i="86" s="1"/>
  <c r="AD19" i="86" s="1"/>
  <c r="AD20" i="86" s="1"/>
  <c r="AD21" i="86" s="1"/>
  <c r="AD22" i="86" s="1"/>
  <c r="AD23" i="86" s="1"/>
  <c r="AD24" i="86" s="1"/>
  <c r="AD25" i="86" s="1"/>
  <c r="AD26" i="86" s="1"/>
  <c r="AD27" i="86" s="1"/>
  <c r="AD28" i="86" s="1"/>
  <c r="AD29" i="86" s="1"/>
  <c r="AD30" i="86" s="1"/>
  <c r="AD31" i="86" s="1"/>
  <c r="AD32" i="86" s="1"/>
  <c r="AD33" i="86" s="1"/>
  <c r="AD34" i="86" s="1"/>
  <c r="AD35" i="86" s="1"/>
  <c r="AD36" i="86" s="1"/>
  <c r="AD37" i="86" s="1"/>
  <c r="AD38" i="86" s="1"/>
  <c r="AD39" i="86" s="1"/>
  <c r="AD40" i="86" s="1"/>
  <c r="AD41" i="86" s="1"/>
  <c r="AD42" i="86" s="1"/>
  <c r="AD43" i="86" s="1"/>
  <c r="AD44" i="86" s="1"/>
  <c r="AD45" i="86" s="1"/>
  <c r="AD46" i="86" s="1"/>
  <c r="AD47" i="86" s="1"/>
  <c r="AD48" i="86" s="1"/>
  <c r="AD49" i="86" s="1"/>
  <c r="AD50" i="86" s="1"/>
  <c r="AD51" i="86" s="1"/>
  <c r="AD52" i="86" s="1"/>
  <c r="AD53" i="86" s="1"/>
  <c r="AD54" i="86" s="1"/>
  <c r="AD55" i="86" s="1"/>
  <c r="AD56" i="86" s="1"/>
  <c r="AD57" i="86" s="1"/>
  <c r="AD58" i="86" s="1"/>
  <c r="AD59" i="86" s="1"/>
  <c r="AD60" i="86" s="1"/>
  <c r="AD61" i="86" s="1"/>
  <c r="AD62" i="86" s="1"/>
  <c r="AD63" i="86" s="1"/>
  <c r="AD64" i="86" s="1"/>
  <c r="AD65" i="86" s="1"/>
  <c r="AD66" i="86" s="1"/>
  <c r="AD67" i="86" s="1"/>
  <c r="AD68" i="86" s="1"/>
  <c r="AD69" i="86" s="1"/>
  <c r="AD70" i="86" s="1"/>
  <c r="AD71" i="86" s="1"/>
  <c r="AD72" i="86" s="1"/>
  <c r="AD73" i="86" s="1"/>
  <c r="AD74" i="86" s="1"/>
  <c r="AD75" i="86" s="1"/>
  <c r="AD76" i="86" s="1"/>
  <c r="AD77" i="86" s="1"/>
  <c r="AD78" i="86" s="1"/>
  <c r="AD79" i="86" s="1"/>
  <c r="AD80" i="86" s="1"/>
  <c r="AD81" i="86" s="1"/>
  <c r="AD82" i="86" s="1"/>
  <c r="AD83" i="86" s="1"/>
  <c r="AD84" i="86" s="1"/>
  <c r="AD85" i="86" s="1"/>
  <c r="AD86" i="86" s="1"/>
  <c r="AD87" i="86" s="1"/>
  <c r="AD88" i="86" s="1"/>
  <c r="AD89" i="86" s="1"/>
  <c r="AD90" i="86" s="1"/>
  <c r="AD91" i="86" s="1"/>
  <c r="AD92" i="86" s="1"/>
  <c r="AD93" i="86" s="1"/>
  <c r="AD94" i="86" s="1"/>
  <c r="AD95" i="86" s="1"/>
  <c r="AD96" i="86" s="1"/>
  <c r="AD97" i="86" s="1"/>
  <c r="AD98" i="86" s="1"/>
  <c r="AD99" i="86" s="1"/>
  <c r="AD100" i="86" s="1"/>
  <c r="AD101" i="86" s="1"/>
  <c r="AD102" i="86" s="1"/>
  <c r="AD103" i="86" s="1"/>
  <c r="AD104" i="86" s="1"/>
  <c r="AD105" i="86" s="1"/>
  <c r="AG7" i="86"/>
  <c r="AG8" i="86" s="1"/>
  <c r="AG9" i="86" s="1"/>
  <c r="AG10" i="86" s="1"/>
  <c r="AG11" i="86" s="1"/>
  <c r="AG12" i="86" s="1"/>
  <c r="AG13" i="86" s="1"/>
  <c r="AG14" i="86" s="1"/>
  <c r="AG15" i="86" s="1"/>
  <c r="AG16" i="86" s="1"/>
  <c r="AG17" i="86" s="1"/>
  <c r="AG18" i="86" s="1"/>
  <c r="AG19" i="86" s="1"/>
  <c r="AG20" i="86" s="1"/>
  <c r="AG21" i="86" s="1"/>
  <c r="AG22" i="86" s="1"/>
  <c r="AG23" i="86" s="1"/>
  <c r="AG24" i="86" s="1"/>
  <c r="AG25" i="86" s="1"/>
  <c r="AG26" i="86" s="1"/>
  <c r="AG27" i="86" s="1"/>
  <c r="AG28" i="86" s="1"/>
  <c r="AG29" i="86" s="1"/>
  <c r="AG30" i="86" s="1"/>
  <c r="AG31" i="86" s="1"/>
  <c r="AG32" i="86" s="1"/>
  <c r="AG33" i="86" s="1"/>
  <c r="AG34" i="86" s="1"/>
  <c r="AG35" i="86" s="1"/>
  <c r="AG36" i="86" s="1"/>
  <c r="AG37" i="86" s="1"/>
  <c r="AG38" i="86" s="1"/>
  <c r="AG39" i="86" s="1"/>
  <c r="AG40" i="86" s="1"/>
  <c r="AG41" i="86" s="1"/>
  <c r="AG42" i="86" s="1"/>
  <c r="AG43" i="86" s="1"/>
  <c r="AG44" i="86" s="1"/>
  <c r="AG45" i="86" s="1"/>
  <c r="AG46" i="86" s="1"/>
  <c r="AG47" i="86" s="1"/>
  <c r="AG48" i="86" s="1"/>
  <c r="AG49" i="86" s="1"/>
  <c r="AG50" i="86" s="1"/>
  <c r="AG51" i="86" s="1"/>
  <c r="AG52" i="86" s="1"/>
  <c r="AG53" i="86" s="1"/>
  <c r="AG54" i="86" s="1"/>
  <c r="AG55" i="86" s="1"/>
  <c r="AG56" i="86" s="1"/>
  <c r="AG57" i="86" s="1"/>
  <c r="AG58" i="86" s="1"/>
  <c r="AG59" i="86" s="1"/>
  <c r="AG60" i="86" s="1"/>
  <c r="AG61" i="86" s="1"/>
  <c r="AG62" i="86" s="1"/>
  <c r="AG63" i="86" s="1"/>
  <c r="AG64" i="86" s="1"/>
  <c r="AG65" i="86" s="1"/>
  <c r="AG66" i="86" s="1"/>
  <c r="AG67" i="86" s="1"/>
  <c r="AG68" i="86" s="1"/>
  <c r="AG69" i="86" s="1"/>
  <c r="AG70" i="86" s="1"/>
  <c r="AG71" i="86" s="1"/>
  <c r="AG72" i="86" s="1"/>
  <c r="AG73" i="86" s="1"/>
  <c r="AG74" i="86" s="1"/>
  <c r="AG75" i="86" s="1"/>
  <c r="AG76" i="86" s="1"/>
  <c r="AG77" i="86" s="1"/>
  <c r="AG78" i="86" s="1"/>
  <c r="AG79" i="86" s="1"/>
  <c r="AG80" i="86" s="1"/>
  <c r="AG81" i="86" s="1"/>
  <c r="AG82" i="86" s="1"/>
  <c r="AG83" i="86" s="1"/>
  <c r="AG84" i="86" s="1"/>
  <c r="AG85" i="86" s="1"/>
  <c r="AG86" i="86" s="1"/>
  <c r="AG87" i="86" s="1"/>
  <c r="AG88" i="86" s="1"/>
  <c r="AG89" i="86" s="1"/>
  <c r="AG90" i="86" s="1"/>
  <c r="AG91" i="86" s="1"/>
  <c r="AG92" i="86" s="1"/>
  <c r="AG93" i="86" s="1"/>
  <c r="AG94" i="86" s="1"/>
  <c r="AG95" i="86" s="1"/>
  <c r="AG96" i="86" s="1"/>
  <c r="AG97" i="86" s="1"/>
  <c r="AG98" i="86" s="1"/>
  <c r="AG99" i="86" s="1"/>
  <c r="AG100" i="86" s="1"/>
  <c r="AG101" i="86" s="1"/>
  <c r="AG102" i="86" s="1"/>
  <c r="AG103" i="86" s="1"/>
  <c r="AG104" i="86" s="1"/>
  <c r="AG105" i="86" s="1"/>
  <c r="G35" i="94" l="1"/>
  <c r="AF6" i="86"/>
  <c r="AE6" i="86"/>
  <c r="AE7" i="86" s="1"/>
  <c r="AE8" i="86" s="1"/>
  <c r="AE9" i="86" s="1"/>
  <c r="AE10" i="86" s="1"/>
  <c r="AE11" i="86" s="1"/>
  <c r="AE12" i="86" s="1"/>
  <c r="AE13" i="86" s="1"/>
  <c r="AE14" i="86" s="1"/>
  <c r="AE15" i="86" s="1"/>
  <c r="AE16" i="86" s="1"/>
  <c r="AE17" i="86" s="1"/>
  <c r="AE18" i="86" s="1"/>
  <c r="AE19" i="86" s="1"/>
  <c r="AE20" i="86" s="1"/>
  <c r="AE21" i="86" s="1"/>
  <c r="AW6" i="86"/>
  <c r="G36" i="94" l="1"/>
  <c r="AW7" i="86"/>
  <c r="AW8" i="86" s="1"/>
  <c r="AW9" i="86" s="1"/>
  <c r="AW10" i="86" s="1"/>
  <c r="AW11" i="86" s="1"/>
  <c r="AW12" i="86" s="1"/>
  <c r="AW13" i="86" s="1"/>
  <c r="AW14" i="86" s="1"/>
  <c r="AW15" i="86" s="1"/>
  <c r="AW16" i="86" s="1"/>
  <c r="AW17" i="86" s="1"/>
  <c r="AW18" i="86" s="1"/>
  <c r="AW19" i="86" s="1"/>
  <c r="AW20" i="86" s="1"/>
  <c r="AW21" i="86" s="1"/>
  <c r="AW22" i="86" s="1"/>
  <c r="AW23" i="86" s="1"/>
  <c r="AW24" i="86" s="1"/>
  <c r="AW25" i="86" s="1"/>
  <c r="AW26" i="86" s="1"/>
  <c r="AW27" i="86" s="1"/>
  <c r="AW28" i="86" s="1"/>
  <c r="AW29" i="86" s="1"/>
  <c r="AW30" i="86" s="1"/>
  <c r="AW31" i="86" s="1"/>
  <c r="AW32" i="86" s="1"/>
  <c r="AW33" i="86" s="1"/>
  <c r="AW34" i="86" s="1"/>
  <c r="AW35" i="86" s="1"/>
  <c r="AW36" i="86" s="1"/>
  <c r="AW37" i="86" s="1"/>
  <c r="AW38" i="86" s="1"/>
  <c r="AW39" i="86" s="1"/>
  <c r="AW40" i="86" s="1"/>
  <c r="AW41" i="86" s="1"/>
  <c r="AW42" i="86" s="1"/>
  <c r="AW43" i="86" s="1"/>
  <c r="AW44" i="86" s="1"/>
  <c r="AW45" i="86" s="1"/>
  <c r="AW46" i="86" s="1"/>
  <c r="AW47" i="86" s="1"/>
  <c r="AW48" i="86" s="1"/>
  <c r="AW49" i="86" s="1"/>
  <c r="AW50" i="86" s="1"/>
  <c r="AW51" i="86" s="1"/>
  <c r="AW52" i="86" s="1"/>
  <c r="AW53" i="86" s="1"/>
  <c r="AW54" i="86" s="1"/>
  <c r="AW55" i="86" s="1"/>
  <c r="AW56" i="86" s="1"/>
  <c r="AW57" i="86" s="1"/>
  <c r="AW58" i="86" s="1"/>
  <c r="AW59" i="86" s="1"/>
  <c r="AW60" i="86" s="1"/>
  <c r="AW61" i="86" s="1"/>
  <c r="AW62" i="86" s="1"/>
  <c r="AW63" i="86" s="1"/>
  <c r="AW64" i="86" s="1"/>
  <c r="AW65" i="86" s="1"/>
  <c r="AW66" i="86" s="1"/>
  <c r="AW67" i="86" s="1"/>
  <c r="AW68" i="86" s="1"/>
  <c r="AW69" i="86" s="1"/>
  <c r="AW70" i="86" s="1"/>
  <c r="AW71" i="86" s="1"/>
  <c r="AW72" i="86" s="1"/>
  <c r="AW73" i="86" s="1"/>
  <c r="AW74" i="86" s="1"/>
  <c r="AW75" i="86" s="1"/>
  <c r="AW76" i="86" s="1"/>
  <c r="AW77" i="86" s="1"/>
  <c r="AW78" i="86" s="1"/>
  <c r="AW79" i="86" s="1"/>
  <c r="AW80" i="86" s="1"/>
  <c r="AW81" i="86" s="1"/>
  <c r="AW82" i="86" s="1"/>
  <c r="AW83" i="86" s="1"/>
  <c r="AW84" i="86" s="1"/>
  <c r="AW85" i="86" s="1"/>
  <c r="AW86" i="86" s="1"/>
  <c r="AW87" i="86" s="1"/>
  <c r="AW88" i="86" s="1"/>
  <c r="AW89" i="86" s="1"/>
  <c r="AW90" i="86" s="1"/>
  <c r="AW91" i="86" s="1"/>
  <c r="AW92" i="86" s="1"/>
  <c r="AW93" i="86" s="1"/>
  <c r="AW94" i="86" s="1"/>
  <c r="AW95" i="86" s="1"/>
  <c r="AW96" i="86" s="1"/>
  <c r="AW97" i="86" s="1"/>
  <c r="AW98" i="86" s="1"/>
  <c r="AW99" i="86" s="1"/>
  <c r="AW100" i="86" s="1"/>
  <c r="AW101" i="86" s="1"/>
  <c r="AW102" i="86" s="1"/>
  <c r="AW103" i="86" s="1"/>
  <c r="AW104" i="86" s="1"/>
  <c r="AW105" i="86" s="1"/>
  <c r="AX6" i="86"/>
  <c r="AX7" i="86" s="1"/>
  <c r="AX8" i="86" s="1"/>
  <c r="AX9" i="86" s="1"/>
  <c r="AX10" i="86" s="1"/>
  <c r="AX11" i="86" s="1"/>
  <c r="AX12" i="86" s="1"/>
  <c r="AX13" i="86" s="1"/>
  <c r="AX14" i="86" s="1"/>
  <c r="AX15" i="86" s="1"/>
  <c r="AX16" i="86" s="1"/>
  <c r="AX17" i="86" s="1"/>
  <c r="AX18" i="86" s="1"/>
  <c r="AX19" i="86" s="1"/>
  <c r="AX20" i="86" s="1"/>
  <c r="AX21" i="86" s="1"/>
  <c r="AX22" i="86" s="1"/>
  <c r="AX23" i="86" s="1"/>
  <c r="AX24" i="86" s="1"/>
  <c r="AX25" i="86" s="1"/>
  <c r="AX26" i="86" s="1"/>
  <c r="AX27" i="86" s="1"/>
  <c r="AX28" i="86" s="1"/>
  <c r="AX29" i="86" s="1"/>
  <c r="AX30" i="86" s="1"/>
  <c r="AX31" i="86" s="1"/>
  <c r="AX32" i="86" s="1"/>
  <c r="AX33" i="86" s="1"/>
  <c r="AX34" i="86" s="1"/>
  <c r="AX35" i="86" s="1"/>
  <c r="AX36" i="86" s="1"/>
  <c r="AX37" i="86" s="1"/>
  <c r="AX38" i="86" s="1"/>
  <c r="AX39" i="86" s="1"/>
  <c r="AX40" i="86" s="1"/>
  <c r="AX41" i="86" s="1"/>
  <c r="AX42" i="86" s="1"/>
  <c r="AX43" i="86" s="1"/>
  <c r="AX44" i="86" s="1"/>
  <c r="AX45" i="86" s="1"/>
  <c r="AX46" i="86" s="1"/>
  <c r="AX47" i="86" s="1"/>
  <c r="AX48" i="86" s="1"/>
  <c r="AX49" i="86" s="1"/>
  <c r="AX50" i="86" s="1"/>
  <c r="AX51" i="86" s="1"/>
  <c r="AX52" i="86" s="1"/>
  <c r="AX53" i="86" s="1"/>
  <c r="AX54" i="86" s="1"/>
  <c r="AX55" i="86" s="1"/>
  <c r="AX56" i="86" s="1"/>
  <c r="AX57" i="86" s="1"/>
  <c r="AX58" i="86" s="1"/>
  <c r="AX59" i="86" s="1"/>
  <c r="AX60" i="86" s="1"/>
  <c r="AX61" i="86" s="1"/>
  <c r="AX62" i="86" s="1"/>
  <c r="AX63" i="86" s="1"/>
  <c r="AX64" i="86" s="1"/>
  <c r="AX65" i="86" s="1"/>
  <c r="AX66" i="86" s="1"/>
  <c r="AX67" i="86" s="1"/>
  <c r="AX68" i="86" s="1"/>
  <c r="AX69" i="86" s="1"/>
  <c r="AX70" i="86" s="1"/>
  <c r="AX71" i="86" s="1"/>
  <c r="AX72" i="86" s="1"/>
  <c r="AX73" i="86" s="1"/>
  <c r="AX74" i="86" s="1"/>
  <c r="AX75" i="86" s="1"/>
  <c r="AX76" i="86" s="1"/>
  <c r="AX77" i="86" s="1"/>
  <c r="AX78" i="86" s="1"/>
  <c r="AX79" i="86" s="1"/>
  <c r="AX80" i="86" s="1"/>
  <c r="AX81" i="86" s="1"/>
  <c r="AX82" i="86" s="1"/>
  <c r="AX83" i="86" s="1"/>
  <c r="AX84" i="86" s="1"/>
  <c r="AX85" i="86" s="1"/>
  <c r="AX86" i="86" s="1"/>
  <c r="AX87" i="86" s="1"/>
  <c r="AX88" i="86" s="1"/>
  <c r="AX89" i="86" s="1"/>
  <c r="AX90" i="86" s="1"/>
  <c r="AX91" i="86" s="1"/>
  <c r="AX92" i="86" s="1"/>
  <c r="AX93" i="86" s="1"/>
  <c r="AX94" i="86" s="1"/>
  <c r="AX95" i="86" s="1"/>
  <c r="AX96" i="86" s="1"/>
  <c r="AX97" i="86" s="1"/>
  <c r="AX98" i="86" s="1"/>
  <c r="AX99" i="86" s="1"/>
  <c r="AX100" i="86" s="1"/>
  <c r="AX101" i="86" s="1"/>
  <c r="AX102" i="86" s="1"/>
  <c r="AX103" i="86" s="1"/>
  <c r="AX104" i="86" s="1"/>
  <c r="AX105" i="86" s="1"/>
  <c r="AE22" i="86"/>
  <c r="AE23" i="86" s="1"/>
  <c r="AE24" i="86" s="1"/>
  <c r="AE25" i="86" s="1"/>
  <c r="AE26" i="86" s="1"/>
  <c r="AE27" i="86" s="1"/>
  <c r="AE28" i="86" s="1"/>
  <c r="AE29" i="86" s="1"/>
  <c r="AE30" i="86" s="1"/>
  <c r="AE31" i="86" s="1"/>
  <c r="AE32" i="86" s="1"/>
  <c r="AE33" i="86" s="1"/>
  <c r="AE34" i="86" s="1"/>
  <c r="AE35" i="86" s="1"/>
  <c r="AE36" i="86" s="1"/>
  <c r="AE37" i="86" s="1"/>
  <c r="AE38" i="86" s="1"/>
  <c r="AE39" i="86" s="1"/>
  <c r="AE40" i="86" s="1"/>
  <c r="AE41" i="86" s="1"/>
  <c r="AE42" i="86" s="1"/>
  <c r="AE43" i="86" s="1"/>
  <c r="AE44" i="86" s="1"/>
  <c r="AE45" i="86" s="1"/>
  <c r="AE46" i="86" s="1"/>
  <c r="AE47" i="86" s="1"/>
  <c r="AE48" i="86" s="1"/>
  <c r="AE49" i="86" s="1"/>
  <c r="AE50" i="86" s="1"/>
  <c r="AE51" i="86" s="1"/>
  <c r="AE52" i="86" s="1"/>
  <c r="AE53" i="86" s="1"/>
  <c r="AE54" i="86" s="1"/>
  <c r="AE55" i="86" s="1"/>
  <c r="AE56" i="86" s="1"/>
  <c r="AE57" i="86" s="1"/>
  <c r="AE58" i="86" s="1"/>
  <c r="AE59" i="86" s="1"/>
  <c r="AE60" i="86" s="1"/>
  <c r="AE61" i="86" s="1"/>
  <c r="AE62" i="86" s="1"/>
  <c r="AE63" i="86" s="1"/>
  <c r="AE64" i="86" s="1"/>
  <c r="AE65" i="86" s="1"/>
  <c r="AE66" i="86" s="1"/>
  <c r="AE67" i="86" s="1"/>
  <c r="AE68" i="86" s="1"/>
  <c r="AE69" i="86" s="1"/>
  <c r="AE70" i="86" s="1"/>
  <c r="AE71" i="86" s="1"/>
  <c r="AE72" i="86" s="1"/>
  <c r="AE73" i="86" s="1"/>
  <c r="AE74" i="86" s="1"/>
  <c r="AE75" i="86" s="1"/>
  <c r="AE76" i="86" s="1"/>
  <c r="AE77" i="86" s="1"/>
  <c r="AE78" i="86" s="1"/>
  <c r="AE79" i="86" s="1"/>
  <c r="AE80" i="86" s="1"/>
  <c r="AE81" i="86" s="1"/>
  <c r="AE82" i="86" s="1"/>
  <c r="AE83" i="86" s="1"/>
  <c r="AE84" i="86" s="1"/>
  <c r="AE85" i="86" s="1"/>
  <c r="AE86" i="86" s="1"/>
  <c r="AE87" i="86" s="1"/>
  <c r="AE88" i="86" s="1"/>
  <c r="AE89" i="86" s="1"/>
  <c r="AE90" i="86" s="1"/>
  <c r="AE91" i="86" s="1"/>
  <c r="AE92" i="86" s="1"/>
  <c r="AE93" i="86" s="1"/>
  <c r="AE94" i="86" s="1"/>
  <c r="AE95" i="86" s="1"/>
  <c r="AE96" i="86" s="1"/>
  <c r="AE97" i="86" s="1"/>
  <c r="AE98" i="86" s="1"/>
  <c r="AE99" i="86" s="1"/>
  <c r="AE100" i="86" s="1"/>
  <c r="AE101" i="86" s="1"/>
  <c r="AE102" i="86" s="1"/>
  <c r="AE103" i="86" s="1"/>
  <c r="AE104" i="86" s="1"/>
  <c r="AE105" i="86" s="1"/>
  <c r="AF7" i="86"/>
  <c r="AF8" i="86" s="1"/>
  <c r="AF9" i="86" s="1"/>
  <c r="AF10" i="86" s="1"/>
  <c r="AF11" i="86" s="1"/>
  <c r="AF12" i="86" s="1"/>
  <c r="AF13" i="86" s="1"/>
  <c r="AF14" i="86" s="1"/>
  <c r="AF15" i="86" s="1"/>
  <c r="AF16" i="86" s="1"/>
  <c r="AF17" i="86" s="1"/>
  <c r="AF18" i="86" s="1"/>
  <c r="AF19" i="86" s="1"/>
  <c r="AF20" i="86" s="1"/>
  <c r="AF21" i="86" s="1"/>
  <c r="AF22" i="86" s="1"/>
  <c r="AF23" i="86" s="1"/>
  <c r="AF24" i="86" s="1"/>
  <c r="AF25" i="86" s="1"/>
  <c r="AF26" i="86" s="1"/>
  <c r="AF27" i="86" s="1"/>
  <c r="AF28" i="86" s="1"/>
  <c r="AF29" i="86" s="1"/>
  <c r="AF30" i="86" s="1"/>
  <c r="AF31" i="86" s="1"/>
  <c r="AF32" i="86" s="1"/>
  <c r="AF33" i="86" s="1"/>
  <c r="AF34" i="86" s="1"/>
  <c r="AF35" i="86" s="1"/>
  <c r="AF36" i="86" s="1"/>
  <c r="AF37" i="86" s="1"/>
  <c r="AF38" i="86" s="1"/>
  <c r="AF39" i="86" s="1"/>
  <c r="AF40" i="86" s="1"/>
  <c r="AF41" i="86" s="1"/>
  <c r="AF42" i="86" s="1"/>
  <c r="AF43" i="86" s="1"/>
  <c r="AF44" i="86" s="1"/>
  <c r="AF45" i="86" s="1"/>
  <c r="AF46" i="86" s="1"/>
  <c r="AF47" i="86" s="1"/>
  <c r="AF48" i="86" s="1"/>
  <c r="AF49" i="86" s="1"/>
  <c r="AF50" i="86" s="1"/>
  <c r="AF51" i="86" s="1"/>
  <c r="AF52" i="86" s="1"/>
  <c r="AF53" i="86" s="1"/>
  <c r="AF54" i="86" s="1"/>
  <c r="AF55" i="86" s="1"/>
  <c r="AF56" i="86" s="1"/>
  <c r="AF57" i="86" s="1"/>
  <c r="AF58" i="86" s="1"/>
  <c r="AF59" i="86" s="1"/>
  <c r="AF60" i="86" s="1"/>
  <c r="AF61" i="86" s="1"/>
  <c r="AF62" i="86" s="1"/>
  <c r="AF63" i="86" s="1"/>
  <c r="AF64" i="86" s="1"/>
  <c r="AF65" i="86" s="1"/>
  <c r="AF66" i="86" s="1"/>
  <c r="AF67" i="86" s="1"/>
  <c r="AF68" i="86" s="1"/>
  <c r="AF69" i="86" s="1"/>
  <c r="AF70" i="86" s="1"/>
  <c r="AF71" i="86" s="1"/>
  <c r="AF72" i="86" s="1"/>
  <c r="AF73" i="86" s="1"/>
  <c r="AF74" i="86" s="1"/>
  <c r="AF75" i="86" s="1"/>
  <c r="AF76" i="86" s="1"/>
  <c r="AF77" i="86" s="1"/>
  <c r="AF78" i="86" s="1"/>
  <c r="AF79" i="86" s="1"/>
  <c r="AF80" i="86" s="1"/>
  <c r="AF81" i="86" s="1"/>
  <c r="AF82" i="86" s="1"/>
  <c r="AF83" i="86" s="1"/>
  <c r="AF84" i="86" s="1"/>
  <c r="AF85" i="86" s="1"/>
  <c r="AF86" i="86" s="1"/>
  <c r="AF87" i="86" s="1"/>
  <c r="AF88" i="86" s="1"/>
  <c r="AF89" i="86" s="1"/>
  <c r="AF90" i="86" s="1"/>
  <c r="AF91" i="86" s="1"/>
  <c r="AF92" i="86" s="1"/>
  <c r="AF93" i="86" s="1"/>
  <c r="AF94" i="86" s="1"/>
  <c r="AF95" i="86" s="1"/>
  <c r="AF96" i="86" s="1"/>
  <c r="AF97" i="86" s="1"/>
  <c r="AF98" i="86" s="1"/>
  <c r="AF99" i="86" s="1"/>
  <c r="AF100" i="86" s="1"/>
  <c r="AF101" i="86" s="1"/>
  <c r="AF102" i="86" s="1"/>
  <c r="AF103" i="86" s="1"/>
  <c r="AF104" i="86" s="1"/>
  <c r="AF105" i="86" s="1"/>
  <c r="G37" i="94" l="1"/>
  <c r="X124" i="92"/>
  <c r="W124" i="93" s="1"/>
  <c r="X41" i="92"/>
  <c r="W41" i="93" s="1"/>
  <c r="X179" i="92"/>
  <c r="W179" i="93" s="1"/>
  <c r="X174" i="92"/>
  <c r="W174" i="93" s="1"/>
  <c r="X202" i="92"/>
  <c r="W202" i="93" s="1"/>
  <c r="X128" i="92"/>
  <c r="W128" i="93" s="1"/>
  <c r="X161" i="92"/>
  <c r="W161" i="93" s="1"/>
  <c r="X37" i="92"/>
  <c r="W37" i="93" s="1"/>
  <c r="X71" i="92"/>
  <c r="W71" i="93" s="1"/>
  <c r="X203" i="92"/>
  <c r="W203" i="93" s="1"/>
  <c r="X169" i="92"/>
  <c r="W169" i="93" s="1"/>
  <c r="X173" i="92"/>
  <c r="W173" i="93" s="1"/>
  <c r="X87" i="92"/>
  <c r="W87" i="93" s="1"/>
  <c r="X21" i="92"/>
  <c r="W21" i="93" s="1"/>
  <c r="X76" i="92"/>
  <c r="W76" i="93" s="1"/>
  <c r="X134" i="92"/>
  <c r="W134" i="93" s="1"/>
  <c r="X213" i="92"/>
  <c r="W213" i="93" s="1"/>
  <c r="X28" i="92"/>
  <c r="W28" i="93" s="1"/>
  <c r="X131" i="92"/>
  <c r="W131" i="93" s="1"/>
  <c r="X22" i="92"/>
  <c r="W22" i="93" s="1"/>
  <c r="X205" i="92"/>
  <c r="W205" i="93" s="1"/>
  <c r="X220" i="92"/>
  <c r="W220" i="93" s="1"/>
  <c r="X33" i="92"/>
  <c r="W33" i="93" s="1"/>
  <c r="X212" i="92"/>
  <c r="W212" i="93" s="1"/>
  <c r="X84" i="92"/>
  <c r="W84" i="93" s="1"/>
  <c r="X129" i="92"/>
  <c r="W129" i="93" s="1"/>
  <c r="X75" i="92"/>
  <c r="W75" i="93" s="1"/>
  <c r="X116" i="92"/>
  <c r="W116" i="93" s="1"/>
  <c r="X67" i="92"/>
  <c r="W67" i="93" s="1"/>
  <c r="X20" i="92"/>
  <c r="W20" i="93" s="1"/>
  <c r="X221" i="92"/>
  <c r="W221" i="93" s="1"/>
  <c r="X69" i="92"/>
  <c r="W69" i="93" s="1"/>
  <c r="X81" i="92"/>
  <c r="W81" i="93" s="1"/>
  <c r="X72" i="92"/>
  <c r="W72" i="93" s="1"/>
  <c r="X119" i="92"/>
  <c r="W119" i="93" s="1"/>
  <c r="X214" i="92"/>
  <c r="W214" i="93" s="1"/>
  <c r="X216" i="92"/>
  <c r="W216" i="93" s="1"/>
  <c r="X162" i="92"/>
  <c r="W162" i="93" s="1"/>
  <c r="X42" i="92"/>
  <c r="W42" i="93" s="1"/>
  <c r="X206" i="92"/>
  <c r="W206" i="93" s="1"/>
  <c r="X10" i="92"/>
  <c r="W10" i="93" s="1"/>
  <c r="X122" i="92"/>
  <c r="W122" i="93" s="1"/>
  <c r="X79" i="92"/>
  <c r="W79" i="93" s="1"/>
  <c r="X123" i="92"/>
  <c r="W123" i="93" s="1"/>
  <c r="X177" i="92"/>
  <c r="W177" i="93" s="1"/>
  <c r="X88" i="92"/>
  <c r="W88" i="93" s="1"/>
  <c r="X175" i="92"/>
  <c r="W175" i="93" s="1"/>
  <c r="X219" i="92"/>
  <c r="W219" i="93" s="1"/>
  <c r="X130" i="92"/>
  <c r="W130" i="93" s="1"/>
  <c r="X78" i="92"/>
  <c r="W78" i="93" s="1"/>
  <c r="X113" i="92"/>
  <c r="W113" i="93" s="1"/>
  <c r="X12" i="92"/>
  <c r="W12" i="93" s="1"/>
  <c r="X166" i="92"/>
  <c r="W166" i="93" s="1"/>
  <c r="X83" i="92"/>
  <c r="W83" i="93" s="1"/>
  <c r="X8" i="92"/>
  <c r="W8" i="93" s="1"/>
  <c r="X208" i="92"/>
  <c r="W208" i="93" s="1"/>
  <c r="X89" i="92"/>
  <c r="W89" i="93" s="1"/>
  <c r="X223" i="92"/>
  <c r="W223" i="93" s="1"/>
  <c r="X176" i="92"/>
  <c r="W176" i="93" s="1"/>
  <c r="X16" i="92"/>
  <c r="W16" i="93" s="1"/>
  <c r="X217" i="92"/>
  <c r="W217" i="93" s="1"/>
  <c r="X157" i="92"/>
  <c r="W157" i="93" s="1"/>
  <c r="X29" i="92"/>
  <c r="W29" i="93" s="1"/>
  <c r="X125" i="92"/>
  <c r="W125" i="93" s="1"/>
  <c r="X210" i="92"/>
  <c r="W210" i="93" s="1"/>
  <c r="X170" i="92"/>
  <c r="W170" i="93" s="1"/>
  <c r="X14" i="92"/>
  <c r="W14" i="93" s="1"/>
  <c r="X39" i="92"/>
  <c r="W39" i="93" s="1"/>
  <c r="X172" i="92"/>
  <c r="W172" i="93" s="1"/>
  <c r="X117" i="92"/>
  <c r="W117" i="93" s="1"/>
  <c r="X18" i="92"/>
  <c r="W18" i="93" s="1"/>
  <c r="X132" i="92"/>
  <c r="W132" i="93" s="1"/>
  <c r="X114" i="92"/>
  <c r="W114" i="93" s="1"/>
  <c r="X6" i="92"/>
  <c r="W6" i="93" s="1"/>
  <c r="X164" i="92"/>
  <c r="W164" i="93" s="1"/>
  <c r="X85" i="92"/>
  <c r="W85" i="93" s="1"/>
  <c r="X26" i="92"/>
  <c r="W26" i="93" s="1"/>
  <c r="X120" i="92"/>
  <c r="W120" i="93" s="1"/>
  <c r="X77" i="92"/>
  <c r="W77" i="93" s="1"/>
  <c r="X158" i="92"/>
  <c r="W158" i="93" s="1"/>
  <c r="X207" i="92"/>
  <c r="W207" i="93" s="1"/>
  <c r="X32" i="92"/>
  <c r="W32" i="93" s="1"/>
  <c r="X74" i="92"/>
  <c r="W74" i="93" s="1"/>
  <c r="X118" i="92"/>
  <c r="W118" i="93" s="1"/>
  <c r="X126" i="92"/>
  <c r="W126" i="93" s="1"/>
  <c r="X24" i="92"/>
  <c r="W24" i="93" s="1"/>
  <c r="X160" i="92"/>
  <c r="W160" i="93" s="1"/>
  <c r="X36" i="92"/>
  <c r="W36" i="93" s="1"/>
  <c r="X40" i="92"/>
  <c r="W40" i="93" s="1"/>
  <c r="X121" i="92"/>
  <c r="W121" i="93" s="1"/>
  <c r="X23" i="92"/>
  <c r="W23" i="93" s="1"/>
  <c r="X133" i="92"/>
  <c r="W133" i="93" s="1"/>
  <c r="X112" i="92"/>
  <c r="W112" i="93" s="1"/>
  <c r="X9" i="92"/>
  <c r="W9" i="93" s="1"/>
  <c r="X11" i="92"/>
  <c r="W11" i="93" s="1"/>
  <c r="X44" i="92"/>
  <c r="W44" i="93" s="1"/>
  <c r="X209" i="92"/>
  <c r="W209" i="93" s="1"/>
  <c r="X34" i="92"/>
  <c r="W34" i="93" s="1"/>
  <c r="X30" i="92"/>
  <c r="W30" i="93" s="1"/>
  <c r="X7" i="92"/>
  <c r="W7" i="93" s="1"/>
  <c r="X204" i="92"/>
  <c r="W204" i="93" s="1"/>
  <c r="X159" i="92"/>
  <c r="W159" i="93" s="1"/>
  <c r="X25" i="92"/>
  <c r="W25" i="93" s="1"/>
  <c r="X86" i="92"/>
  <c r="W86" i="93" s="1"/>
  <c r="X218" i="92"/>
  <c r="W218" i="93" s="1"/>
  <c r="X168" i="92"/>
  <c r="W168" i="93" s="1"/>
  <c r="X80" i="92"/>
  <c r="W80" i="93" s="1"/>
  <c r="X127" i="92"/>
  <c r="W127" i="93" s="1"/>
  <c r="X73" i="92"/>
  <c r="W73" i="93" s="1"/>
  <c r="X35" i="92"/>
  <c r="W35" i="93" s="1"/>
  <c r="X70" i="92"/>
  <c r="W70" i="93" s="1"/>
  <c r="X115" i="92"/>
  <c r="W115" i="93" s="1"/>
  <c r="X27" i="92"/>
  <c r="W27" i="93" s="1"/>
  <c r="X215" i="92"/>
  <c r="W215" i="93" s="1"/>
  <c r="X31" i="92"/>
  <c r="W31" i="93" s="1"/>
  <c r="X224" i="92"/>
  <c r="W224" i="93" s="1"/>
  <c r="X15" i="92"/>
  <c r="W15" i="93" s="1"/>
  <c r="X165" i="92"/>
  <c r="W165" i="93" s="1"/>
  <c r="X167" i="92"/>
  <c r="W167" i="93" s="1"/>
  <c r="X68" i="92"/>
  <c r="W68" i="93" s="1"/>
  <c r="X38" i="92"/>
  <c r="W38" i="93" s="1"/>
  <c r="X43" i="92"/>
  <c r="W43" i="93" s="1"/>
  <c r="X222" i="92"/>
  <c r="W222" i="93" s="1"/>
  <c r="X13" i="92"/>
  <c r="W13" i="93" s="1"/>
  <c r="X163" i="92"/>
  <c r="W163" i="93" s="1"/>
  <c r="X171" i="92"/>
  <c r="W171" i="93" s="1"/>
  <c r="X211" i="92"/>
  <c r="W211" i="93" s="1"/>
  <c r="X82" i="92"/>
  <c r="W82" i="93" s="1"/>
  <c r="X19" i="92"/>
  <c r="W19" i="93" s="1"/>
  <c r="X178" i="92"/>
  <c r="W178" i="93" s="1"/>
  <c r="X17" i="92"/>
  <c r="W17" i="93" s="1"/>
  <c r="G38" i="94" l="1"/>
  <c r="X96" i="92"/>
  <c r="W96" i="93" s="1"/>
  <c r="X191" i="92"/>
  <c r="W191" i="93" s="1"/>
  <c r="X102" i="92"/>
  <c r="W102" i="93" s="1"/>
  <c r="X197" i="92"/>
  <c r="W197" i="93" s="1"/>
  <c r="X190" i="92"/>
  <c r="W190" i="93" s="1"/>
  <c r="X151" i="92"/>
  <c r="W151" i="93" s="1"/>
  <c r="X101" i="92"/>
  <c r="W101" i="93" s="1"/>
  <c r="X62" i="92"/>
  <c r="W62" i="93" s="1"/>
  <c r="X147" i="92"/>
  <c r="W147" i="93" s="1"/>
  <c r="X57" i="92"/>
  <c r="W57" i="93" s="1"/>
  <c r="X56" i="92"/>
  <c r="W56" i="93" s="1"/>
  <c r="X51" i="92"/>
  <c r="W51" i="93" s="1"/>
  <c r="X196" i="92"/>
  <c r="W196" i="93" s="1"/>
  <c r="X107" i="92"/>
  <c r="W107" i="93" s="1"/>
  <c r="X63" i="92"/>
  <c r="W63" i="93" s="1"/>
  <c r="X141" i="92"/>
  <c r="W141" i="93" s="1"/>
  <c r="X186" i="92"/>
  <c r="W186" i="93" s="1"/>
  <c r="X152" i="92"/>
  <c r="W152" i="93" s="1"/>
  <c r="X146" i="92"/>
  <c r="W146" i="93" s="1"/>
  <c r="G39" i="94" l="1"/>
  <c r="X60" i="92"/>
  <c r="W60" i="93" s="1"/>
  <c r="X199" i="92"/>
  <c r="W199" i="93" s="1"/>
  <c r="X103" i="92"/>
  <c r="W103" i="93" s="1"/>
  <c r="X187" i="92"/>
  <c r="W187" i="93" s="1"/>
  <c r="X193" i="92"/>
  <c r="W193" i="93" s="1"/>
  <c r="X105" i="92"/>
  <c r="W105" i="93" s="1"/>
  <c r="X194" i="92"/>
  <c r="W194" i="93" s="1"/>
  <c r="X155" i="92"/>
  <c r="W155" i="93" s="1"/>
  <c r="X195" i="92"/>
  <c r="W195" i="93" s="1"/>
  <c r="X188" i="92"/>
  <c r="W188" i="93" s="1"/>
  <c r="X200" i="92"/>
  <c r="W200" i="93" s="1"/>
  <c r="X55" i="92"/>
  <c r="W55" i="93" s="1"/>
  <c r="X143" i="92"/>
  <c r="W143" i="93" s="1"/>
  <c r="X149" i="92"/>
  <c r="W149" i="93" s="1"/>
  <c r="X52" i="92"/>
  <c r="W52" i="93" s="1"/>
  <c r="X156" i="92"/>
  <c r="W156" i="93" s="1"/>
  <c r="X142" i="92"/>
  <c r="W142" i="93" s="1"/>
  <c r="X108" i="92"/>
  <c r="W108" i="93" s="1"/>
  <c r="X99" i="92"/>
  <c r="W99" i="93" s="1"/>
  <c r="X66" i="92"/>
  <c r="W66" i="93" s="1"/>
  <c r="X65" i="92"/>
  <c r="W65" i="93" s="1"/>
  <c r="X98" i="92"/>
  <c r="W98" i="93" s="1"/>
  <c r="X97" i="92"/>
  <c r="W97" i="93" s="1"/>
  <c r="X189" i="92"/>
  <c r="W189" i="93" s="1"/>
  <c r="X100" i="92"/>
  <c r="W100" i="93" s="1"/>
  <c r="X144" i="92"/>
  <c r="W144" i="93" s="1"/>
  <c r="X53" i="92"/>
  <c r="W53" i="93" s="1"/>
  <c r="X109" i="92"/>
  <c r="W109" i="93" s="1"/>
  <c r="X54" i="92"/>
  <c r="W54" i="93" s="1"/>
  <c r="X201" i="92"/>
  <c r="W201" i="93" s="1"/>
  <c r="X154" i="92"/>
  <c r="W154" i="93" s="1"/>
  <c r="X61" i="92"/>
  <c r="W61" i="93" s="1"/>
  <c r="X192" i="92"/>
  <c r="W192" i="93" s="1"/>
  <c r="X150" i="92"/>
  <c r="W150" i="93" s="1"/>
  <c r="X148" i="92"/>
  <c r="W148" i="93" s="1"/>
  <c r="X153" i="92"/>
  <c r="W153" i="93" s="1"/>
  <c r="X198" i="92"/>
  <c r="W198" i="93" s="1"/>
  <c r="X145" i="92"/>
  <c r="W145" i="93" s="1"/>
  <c r="X110" i="92"/>
  <c r="W110" i="93" s="1"/>
  <c r="X58" i="92"/>
  <c r="W58" i="93" s="1"/>
  <c r="X104" i="92"/>
  <c r="W104" i="93" s="1"/>
  <c r="X111" i="92"/>
  <c r="W111" i="93" s="1"/>
  <c r="X59" i="92"/>
  <c r="W59" i="93" s="1"/>
  <c r="X64" i="92"/>
  <c r="W64" i="93" s="1"/>
  <c r="X106" i="92"/>
  <c r="W106" i="93" s="1"/>
  <c r="G40" i="94" l="1"/>
  <c r="AH16" i="92"/>
  <c r="AH19" i="92"/>
  <c r="AH20" i="92"/>
  <c r="AH14" i="92"/>
  <c r="AH18" i="92"/>
  <c r="AG10" i="92"/>
  <c r="AM22" i="92"/>
  <c r="AN9" i="92"/>
  <c r="AM9" i="92"/>
  <c r="AN17" i="92"/>
  <c r="AN20" i="92"/>
  <c r="AN13" i="92"/>
  <c r="AN16" i="92"/>
  <c r="AN14" i="92"/>
  <c r="AN15" i="92"/>
  <c r="AN18" i="92"/>
  <c r="AN11" i="92"/>
  <c r="AN10" i="92"/>
  <c r="AN19" i="92"/>
  <c r="AN21" i="92"/>
  <c r="AN12" i="92"/>
  <c r="AN6" i="92"/>
  <c r="AN7" i="92"/>
  <c r="AN8" i="92"/>
  <c r="AM10" i="92"/>
  <c r="AM11" i="92"/>
  <c r="AM14" i="92"/>
  <c r="AM19" i="92"/>
  <c r="AM17" i="92"/>
  <c r="AM18" i="92"/>
  <c r="AM21" i="92"/>
  <c r="AM13" i="92"/>
  <c r="AM16" i="92"/>
  <c r="AM12" i="92"/>
  <c r="AM15" i="92"/>
  <c r="AM20" i="92"/>
  <c r="AM8" i="92"/>
  <c r="AM6" i="92"/>
  <c r="AM7" i="92"/>
  <c r="AO12" i="92"/>
  <c r="AO14" i="92"/>
  <c r="AD9" i="93"/>
  <c r="AC7" i="93"/>
  <c r="AC9" i="93"/>
  <c r="AD10" i="93"/>
  <c r="AD8" i="93"/>
  <c r="AD20" i="93"/>
  <c r="AD16" i="93"/>
  <c r="AC8" i="93"/>
  <c r="AC21" i="93"/>
  <c r="AC13" i="93"/>
  <c r="AD18" i="93"/>
  <c r="AD17" i="93"/>
  <c r="AB14" i="93"/>
  <c r="AD19" i="93"/>
  <c r="AC15" i="93"/>
  <c r="AD6" i="93"/>
  <c r="AB18" i="93"/>
  <c r="AC11" i="93"/>
  <c r="AC22" i="93"/>
  <c r="AB16" i="93"/>
  <c r="AC20" i="93"/>
  <c r="AC14" i="93"/>
  <c r="AC6" i="93"/>
  <c r="AD11" i="93"/>
  <c r="AC17" i="93"/>
  <c r="AC19" i="93"/>
  <c r="AC10" i="93"/>
  <c r="AC16" i="93"/>
  <c r="AC12" i="93"/>
  <c r="AB19" i="93"/>
  <c r="AD15" i="93"/>
  <c r="AD7" i="93"/>
  <c r="AD12" i="93"/>
  <c r="AE12" i="93"/>
  <c r="AB20" i="93"/>
  <c r="AD14" i="93"/>
  <c r="AC18" i="93"/>
  <c r="AD21" i="93"/>
  <c r="AD13" i="93"/>
  <c r="AE14" i="93"/>
  <c r="AA10" i="93"/>
  <c r="G41" i="94" l="1"/>
  <c r="AH67" i="92"/>
  <c r="AH64" i="92"/>
  <c r="AH17" i="92"/>
  <c r="AG11" i="92"/>
  <c r="AG12" i="92"/>
  <c r="AG14" i="92"/>
  <c r="AG54" i="92"/>
  <c r="AH13" i="92"/>
  <c r="AH21" i="92"/>
  <c r="AG6" i="92"/>
  <c r="AG18" i="92"/>
  <c r="AH68" i="92"/>
  <c r="AG8" i="92"/>
  <c r="AG15" i="92"/>
  <c r="AG9" i="92"/>
  <c r="AG16" i="92"/>
  <c r="AH22" i="92"/>
  <c r="AG13" i="92"/>
  <c r="AG17" i="92"/>
  <c r="AH15" i="92"/>
  <c r="AG7" i="92"/>
  <c r="AF6" i="92"/>
  <c r="AO13" i="92"/>
  <c r="AO19" i="92"/>
  <c r="AO8" i="92"/>
  <c r="AM67" i="92"/>
  <c r="AO22" i="92"/>
  <c r="AM68" i="92"/>
  <c r="AN22" i="92"/>
  <c r="AN68" i="92"/>
  <c r="AP15" i="92"/>
  <c r="AO18" i="92"/>
  <c r="AO21" i="92"/>
  <c r="AO7" i="92"/>
  <c r="AO11" i="92"/>
  <c r="AO17" i="92"/>
  <c r="AO15" i="92"/>
  <c r="AO20" i="92"/>
  <c r="AO16" i="92"/>
  <c r="AO6" i="92"/>
  <c r="AO9" i="92"/>
  <c r="AO10" i="92"/>
  <c r="AO63" i="92"/>
  <c r="AO64" i="92"/>
  <c r="AO53" i="92"/>
  <c r="AO56" i="92"/>
  <c r="AM61" i="92"/>
  <c r="AM58" i="92"/>
  <c r="AM62" i="92"/>
  <c r="AM64" i="92"/>
  <c r="AM60" i="92"/>
  <c r="AM59" i="92"/>
  <c r="AM66" i="92"/>
  <c r="AM65" i="92"/>
  <c r="AM63" i="92"/>
  <c r="AM51" i="92"/>
  <c r="AM57" i="92"/>
  <c r="AM55" i="92"/>
  <c r="AM52" i="92"/>
  <c r="AM54" i="92"/>
  <c r="AM53" i="92"/>
  <c r="AM56" i="92"/>
  <c r="AN60" i="92"/>
  <c r="AN64" i="92"/>
  <c r="AN65" i="92"/>
  <c r="AN61" i="92"/>
  <c r="AN58" i="92"/>
  <c r="AN62" i="92"/>
  <c r="AN66" i="92"/>
  <c r="AN59" i="92"/>
  <c r="AN63" i="92"/>
  <c r="AN57" i="92"/>
  <c r="AN55" i="92"/>
  <c r="AN52" i="92"/>
  <c r="AN51" i="92"/>
  <c r="AN53" i="92"/>
  <c r="AN54" i="92"/>
  <c r="AN56" i="92"/>
  <c r="AP68" i="92"/>
  <c r="AP67" i="92"/>
  <c r="AP16" i="92"/>
  <c r="AP18" i="92"/>
  <c r="AP20" i="92"/>
  <c r="AP14" i="92"/>
  <c r="AP19" i="92"/>
  <c r="AC52" i="93"/>
  <c r="AE22" i="93"/>
  <c r="Z6" i="93"/>
  <c r="AF19" i="93"/>
  <c r="AC62" i="93"/>
  <c r="AE15" i="93"/>
  <c r="AD68" i="93"/>
  <c r="AE64" i="93"/>
  <c r="AC57" i="93"/>
  <c r="AD59" i="93"/>
  <c r="AB68" i="93"/>
  <c r="AD51" i="93"/>
  <c r="AA7" i="93"/>
  <c r="AA6" i="93"/>
  <c r="AD22" i="93"/>
  <c r="AD65" i="93"/>
  <c r="AD57" i="93"/>
  <c r="AA14" i="93"/>
  <c r="AE18" i="93"/>
  <c r="AE11" i="93"/>
  <c r="AD56" i="93"/>
  <c r="AF15" i="93"/>
  <c r="AE16" i="93"/>
  <c r="AE8" i="93"/>
  <c r="AB64" i="93"/>
  <c r="AE63" i="93"/>
  <c r="AD64" i="93"/>
  <c r="AC61" i="93"/>
  <c r="AC65" i="93"/>
  <c r="AA13" i="93"/>
  <c r="AB13" i="93"/>
  <c r="AC68" i="93"/>
  <c r="AC60" i="93"/>
  <c r="AD66" i="93"/>
  <c r="AC67" i="93"/>
  <c r="AF18" i="93"/>
  <c r="AE7" i="93"/>
  <c r="AE17" i="93"/>
  <c r="AC63" i="93"/>
  <c r="AD61" i="93"/>
  <c r="AC53" i="93"/>
  <c r="AE13" i="93"/>
  <c r="AA54" i="93"/>
  <c r="AD54" i="93"/>
  <c r="AC56" i="93"/>
  <c r="AE6" i="93"/>
  <c r="AD55" i="93"/>
  <c r="AD62" i="93"/>
  <c r="AD60" i="93"/>
  <c r="AF14" i="93"/>
  <c r="AC51" i="93"/>
  <c r="AE20" i="93"/>
  <c r="AC59" i="93"/>
  <c r="AA18" i="93"/>
  <c r="AE9" i="93"/>
  <c r="AF68" i="93"/>
  <c r="AA8" i="93"/>
  <c r="AA9" i="93"/>
  <c r="AD58" i="93"/>
  <c r="AC55" i="93"/>
  <c r="AC64" i="93"/>
  <c r="AA16" i="93"/>
  <c r="AE19" i="93"/>
  <c r="AB21" i="93"/>
  <c r="AD52" i="93"/>
  <c r="AF20" i="93"/>
  <c r="AB22" i="93"/>
  <c r="AE21" i="93"/>
  <c r="AE56" i="93"/>
  <c r="AD53" i="93"/>
  <c r="AA11" i="93"/>
  <c r="AB15" i="93"/>
  <c r="AA15" i="93"/>
  <c r="AA12" i="93"/>
  <c r="AE53" i="93"/>
  <c r="AB17" i="93"/>
  <c r="AC54" i="93"/>
  <c r="AA17" i="93"/>
  <c r="AC58" i="93"/>
  <c r="AD63" i="93"/>
  <c r="AF16" i="93"/>
  <c r="AE10" i="93"/>
  <c r="AF67" i="93"/>
  <c r="AC66" i="93"/>
  <c r="AB67" i="93"/>
  <c r="G42" i="94" l="1"/>
  <c r="AG57" i="92"/>
  <c r="AH106" i="92"/>
  <c r="AH62" i="92"/>
  <c r="AH112" i="92"/>
  <c r="AH113" i="92"/>
  <c r="AF51" i="92"/>
  <c r="AF96" i="92"/>
  <c r="AG97" i="92"/>
  <c r="AG55" i="92"/>
  <c r="AH107" i="92"/>
  <c r="AG62" i="92"/>
  <c r="AH109" i="92"/>
  <c r="AG63" i="92"/>
  <c r="AH110" i="92"/>
  <c r="AG58" i="92"/>
  <c r="AH65" i="92"/>
  <c r="AG51" i="92"/>
  <c r="AH61" i="92"/>
  <c r="AH111" i="92"/>
  <c r="AG53" i="92"/>
  <c r="AG60" i="92"/>
  <c r="AG59" i="92"/>
  <c r="AG61" i="92"/>
  <c r="AG56" i="92"/>
  <c r="AH60" i="92"/>
  <c r="AG52" i="92"/>
  <c r="AH63" i="92"/>
  <c r="AH59" i="92"/>
  <c r="AH66" i="92"/>
  <c r="AH108" i="92"/>
  <c r="AH58" i="92"/>
  <c r="AG20" i="93"/>
  <c r="AG9" i="93"/>
  <c r="AG15" i="93"/>
  <c r="AG8" i="93"/>
  <c r="AG19" i="93"/>
  <c r="AG18" i="93"/>
  <c r="AG6" i="93"/>
  <c r="AG14" i="93"/>
  <c r="AG7" i="93"/>
  <c r="AG12" i="93"/>
  <c r="AG16" i="93"/>
  <c r="AG10" i="93"/>
  <c r="AG11" i="93"/>
  <c r="AP21" i="92"/>
  <c r="AP13" i="92"/>
  <c r="AO55" i="92"/>
  <c r="AO68" i="92"/>
  <c r="AP63" i="92"/>
  <c r="AP22" i="92"/>
  <c r="AO62" i="92"/>
  <c r="AP60" i="92"/>
  <c r="AP62" i="92"/>
  <c r="AO66" i="92"/>
  <c r="AP65" i="92"/>
  <c r="AO65" i="92"/>
  <c r="AO58" i="92"/>
  <c r="AP17" i="92"/>
  <c r="AO114" i="92"/>
  <c r="AO67" i="92"/>
  <c r="AM112" i="92"/>
  <c r="AM23" i="92"/>
  <c r="AP66" i="92"/>
  <c r="AN112" i="92"/>
  <c r="AN67" i="92"/>
  <c r="AM114" i="92"/>
  <c r="AM113" i="92"/>
  <c r="AP59" i="92"/>
  <c r="AN114" i="92"/>
  <c r="AN113" i="92"/>
  <c r="AO52" i="92"/>
  <c r="AO61" i="92"/>
  <c r="AO59" i="92"/>
  <c r="AO60" i="92"/>
  <c r="AO57" i="92"/>
  <c r="AO54" i="92"/>
  <c r="AO51" i="92"/>
  <c r="AP113" i="92"/>
  <c r="AO106" i="92"/>
  <c r="AO96" i="92"/>
  <c r="AN105" i="92"/>
  <c r="AN107" i="92"/>
  <c r="AN99" i="92"/>
  <c r="AN100" i="92"/>
  <c r="AN108" i="92"/>
  <c r="AN110" i="92"/>
  <c r="AN111" i="92"/>
  <c r="AN104" i="92"/>
  <c r="AN103" i="92"/>
  <c r="AN102" i="92"/>
  <c r="AN101" i="92"/>
  <c r="AN106" i="92"/>
  <c r="AN98" i="92"/>
  <c r="AN109" i="92"/>
  <c r="AN97" i="92"/>
  <c r="AM97" i="92"/>
  <c r="AM103" i="92"/>
  <c r="AM109" i="92"/>
  <c r="AM100" i="92"/>
  <c r="AM105" i="92"/>
  <c r="AM110" i="92"/>
  <c r="AM106" i="92"/>
  <c r="AM96" i="92"/>
  <c r="AM107" i="92"/>
  <c r="AM99" i="92"/>
  <c r="AM101" i="92"/>
  <c r="AM104" i="92"/>
  <c r="AM102" i="92"/>
  <c r="AM111" i="92"/>
  <c r="AM98" i="92"/>
  <c r="AM108" i="92"/>
  <c r="AP112" i="92"/>
  <c r="AP64" i="92"/>
  <c r="AF21" i="93"/>
  <c r="AC102" i="93"/>
  <c r="AF62" i="93"/>
  <c r="AE65" i="93"/>
  <c r="AB65" i="93"/>
  <c r="AA55" i="93"/>
  <c r="AC113" i="93"/>
  <c r="AE61" i="93"/>
  <c r="AE51" i="93"/>
  <c r="AD98" i="93"/>
  <c r="AD111" i="93"/>
  <c r="AA62" i="93"/>
  <c r="AD97" i="93"/>
  <c r="AB58" i="93"/>
  <c r="AC104" i="93"/>
  <c r="AD100" i="93"/>
  <c r="AA57" i="93"/>
  <c r="AC101" i="93"/>
  <c r="AA53" i="93"/>
  <c r="AB109" i="93"/>
  <c r="AF59" i="93"/>
  <c r="AF113" i="93"/>
  <c r="AA63" i="93"/>
  <c r="AE60" i="93"/>
  <c r="AB110" i="93"/>
  <c r="AD102" i="93"/>
  <c r="AC110" i="93"/>
  <c r="AE106" i="93"/>
  <c r="AB113" i="93"/>
  <c r="AB108" i="93"/>
  <c r="AE55" i="93"/>
  <c r="AC100" i="93"/>
  <c r="AD108" i="93"/>
  <c r="AC112" i="93"/>
  <c r="AB62" i="93"/>
  <c r="Z96" i="93"/>
  <c r="AF17" i="93"/>
  <c r="AF13" i="93"/>
  <c r="AC108" i="93"/>
  <c r="AA97" i="93"/>
  <c r="AB66" i="93"/>
  <c r="AF64" i="93"/>
  <c r="AE114" i="93"/>
  <c r="AD110" i="93"/>
  <c r="AE59" i="93"/>
  <c r="AD107" i="93"/>
  <c r="AF65" i="93"/>
  <c r="AC114" i="93"/>
  <c r="AB60" i="93"/>
  <c r="AA51" i="93"/>
  <c r="AB112" i="93"/>
  <c r="AD105" i="93"/>
  <c r="AD67" i="93"/>
  <c r="AC103" i="93"/>
  <c r="AB106" i="93"/>
  <c r="AB111" i="93"/>
  <c r="AB107" i="93"/>
  <c r="AE96" i="93"/>
  <c r="Z51" i="93"/>
  <c r="AF60" i="93"/>
  <c r="AA58" i="93"/>
  <c r="AF22" i="93"/>
  <c r="AD104" i="93"/>
  <c r="AE68" i="93"/>
  <c r="AD109" i="93"/>
  <c r="AE57" i="93"/>
  <c r="AC109" i="93"/>
  <c r="AE58" i="93"/>
  <c r="AD106" i="93"/>
  <c r="AF112" i="93"/>
  <c r="AC105" i="93"/>
  <c r="AA60" i="93"/>
  <c r="AD112" i="93"/>
  <c r="AE67" i="93"/>
  <c r="AD103" i="93"/>
  <c r="AC111" i="93"/>
  <c r="AE66" i="93"/>
  <c r="AD114" i="93"/>
  <c r="AA59" i="93"/>
  <c r="AA52" i="93"/>
  <c r="AB61" i="93"/>
  <c r="AB63" i="93"/>
  <c r="AF63" i="93"/>
  <c r="AC98" i="93"/>
  <c r="AC107" i="93"/>
  <c r="AD99" i="93"/>
  <c r="AC106" i="93"/>
  <c r="AE62" i="93"/>
  <c r="AC99" i="93"/>
  <c r="AD101" i="93"/>
  <c r="AA56" i="93"/>
  <c r="AB59" i="93"/>
  <c r="AE54" i="93"/>
  <c r="AC96" i="93"/>
  <c r="AD113" i="93"/>
  <c r="AF66" i="93"/>
  <c r="AE52" i="93"/>
  <c r="AC97" i="93"/>
  <c r="AC23" i="93"/>
  <c r="AA61" i="93"/>
  <c r="G43" i="94" l="1"/>
  <c r="AH195" i="92"/>
  <c r="AH157" i="92"/>
  <c r="AH204" i="92"/>
  <c r="AH154" i="92"/>
  <c r="AG106" i="92"/>
  <c r="AG104" i="92"/>
  <c r="AH103" i="92"/>
  <c r="AH105" i="92"/>
  <c r="AH160" i="92"/>
  <c r="AH201" i="92"/>
  <c r="AG98" i="92"/>
  <c r="AH203" i="92"/>
  <c r="AG99" i="92"/>
  <c r="AG101" i="92"/>
  <c r="AG102" i="92"/>
  <c r="AH104" i="92"/>
  <c r="AH23" i="92"/>
  <c r="AH148" i="92"/>
  <c r="AG144" i="92"/>
  <c r="AH114" i="92"/>
  <c r="AH155" i="92"/>
  <c r="AG100" i="92"/>
  <c r="AH196" i="92"/>
  <c r="AH156" i="92"/>
  <c r="AH207" i="92"/>
  <c r="AG107" i="92"/>
  <c r="AG96" i="92"/>
  <c r="AG108" i="92"/>
  <c r="AH206" i="92"/>
  <c r="AH194" i="92"/>
  <c r="AH193" i="92"/>
  <c r="AG103" i="92"/>
  <c r="AH197" i="92"/>
  <c r="AG105" i="92"/>
  <c r="AG17" i="93"/>
  <c r="AG13" i="93"/>
  <c r="AG65" i="93"/>
  <c r="AG67" i="93"/>
  <c r="AG66" i="93"/>
  <c r="AG63" i="93"/>
  <c r="AG62" i="93"/>
  <c r="AG52" i="93"/>
  <c r="AG64" i="93"/>
  <c r="AG22" i="93"/>
  <c r="AG55" i="93"/>
  <c r="AG56" i="93"/>
  <c r="AG59" i="93"/>
  <c r="AG51" i="93"/>
  <c r="AG21" i="93"/>
  <c r="AG60" i="93"/>
  <c r="AG68" i="93"/>
  <c r="AG53" i="93"/>
  <c r="AG54" i="93"/>
  <c r="AG57" i="93"/>
  <c r="AO110" i="92"/>
  <c r="AO103" i="92"/>
  <c r="AP103" i="92"/>
  <c r="AP105" i="92"/>
  <c r="AO109" i="92"/>
  <c r="AP61" i="92"/>
  <c r="AP58" i="92"/>
  <c r="AN189" i="92"/>
  <c r="AM157" i="92"/>
  <c r="AM206" i="92"/>
  <c r="AM194" i="92"/>
  <c r="AM202" i="92"/>
  <c r="AN160" i="92"/>
  <c r="AN196" i="92"/>
  <c r="AM195" i="92"/>
  <c r="AO159" i="92"/>
  <c r="AN193" i="92"/>
  <c r="AN200" i="92"/>
  <c r="AO113" i="92"/>
  <c r="AM201" i="92"/>
  <c r="AM203" i="92"/>
  <c r="AN207" i="92"/>
  <c r="AN188" i="92"/>
  <c r="AN195" i="92"/>
  <c r="AM193" i="92"/>
  <c r="AN206" i="92"/>
  <c r="AN199" i="92"/>
  <c r="AM191" i="92"/>
  <c r="AN23" i="92"/>
  <c r="AM197" i="92"/>
  <c r="AN187" i="92"/>
  <c r="AN157" i="92"/>
  <c r="AN198" i="92"/>
  <c r="AN192" i="92"/>
  <c r="AN204" i="92"/>
  <c r="AO160" i="92"/>
  <c r="AM192" i="92"/>
  <c r="AO196" i="92"/>
  <c r="AM207" i="92"/>
  <c r="AM159" i="92"/>
  <c r="AN194" i="92"/>
  <c r="AM200" i="92"/>
  <c r="AN191" i="92"/>
  <c r="AM160" i="92"/>
  <c r="AN158" i="92"/>
  <c r="AM189" i="92"/>
  <c r="AO23" i="92"/>
  <c r="AO112" i="92"/>
  <c r="AN203" i="92"/>
  <c r="AM205" i="92"/>
  <c r="AN202" i="92"/>
  <c r="AN197" i="92"/>
  <c r="AM187" i="92"/>
  <c r="AM196" i="92"/>
  <c r="AM204" i="92"/>
  <c r="AO201" i="92"/>
  <c r="AN205" i="92"/>
  <c r="AM158" i="92"/>
  <c r="AM190" i="92"/>
  <c r="AM199" i="92"/>
  <c r="AN190" i="92"/>
  <c r="AM198" i="92"/>
  <c r="AO105" i="92"/>
  <c r="AO102" i="92"/>
  <c r="AO100" i="92"/>
  <c r="AO99" i="92"/>
  <c r="AO107" i="92"/>
  <c r="AO101" i="92"/>
  <c r="AO111" i="92"/>
  <c r="AO104" i="92"/>
  <c r="AO98" i="92"/>
  <c r="AN96" i="92"/>
  <c r="AO108" i="92"/>
  <c r="AO97" i="92"/>
  <c r="AP196" i="92"/>
  <c r="AP206" i="92"/>
  <c r="AP207" i="92"/>
  <c r="AP195" i="92"/>
  <c r="AP197" i="92"/>
  <c r="AP194" i="92"/>
  <c r="AP204" i="92"/>
  <c r="AP193" i="92"/>
  <c r="AP203" i="92"/>
  <c r="AP201" i="92"/>
  <c r="AM186" i="92"/>
  <c r="AN186" i="92"/>
  <c r="AO151" i="92"/>
  <c r="AO154" i="92"/>
  <c r="AO156" i="92"/>
  <c r="AN152" i="92"/>
  <c r="AN141" i="92"/>
  <c r="AN154" i="92"/>
  <c r="AN143" i="92"/>
  <c r="AN146" i="92"/>
  <c r="AN155" i="92"/>
  <c r="AN145" i="92"/>
  <c r="AN149" i="92"/>
  <c r="AN153" i="92"/>
  <c r="AN147" i="92"/>
  <c r="AN150" i="92"/>
  <c r="AN144" i="92"/>
  <c r="AN142" i="92"/>
  <c r="AN151" i="92"/>
  <c r="AN156" i="92"/>
  <c r="AN148" i="92"/>
  <c r="AM155" i="92"/>
  <c r="AM151" i="92"/>
  <c r="AM143" i="92"/>
  <c r="AM150" i="92"/>
  <c r="AM147" i="92"/>
  <c r="AM146" i="92"/>
  <c r="AM141" i="92"/>
  <c r="AM144" i="92"/>
  <c r="AM153" i="92"/>
  <c r="AM142" i="92"/>
  <c r="AM149" i="92"/>
  <c r="AM148" i="92"/>
  <c r="AM152" i="92"/>
  <c r="AM145" i="92"/>
  <c r="AM156" i="92"/>
  <c r="AM154" i="92"/>
  <c r="AP160" i="92"/>
  <c r="AP157" i="92"/>
  <c r="AP107" i="92"/>
  <c r="AP110" i="92"/>
  <c r="AP106" i="92"/>
  <c r="AP109" i="92"/>
  <c r="AP111" i="92"/>
  <c r="AP108" i="92"/>
  <c r="AC201" i="93"/>
  <c r="AC192" i="93"/>
  <c r="AC203" i="93"/>
  <c r="AA105" i="93"/>
  <c r="AC199" i="93"/>
  <c r="AE107" i="93"/>
  <c r="AD187" i="93"/>
  <c r="AA144" i="93"/>
  <c r="AF207" i="93"/>
  <c r="AC189" i="93"/>
  <c r="AB206" i="93"/>
  <c r="AF110" i="93"/>
  <c r="AE102" i="93"/>
  <c r="AB157" i="93"/>
  <c r="AA104" i="93"/>
  <c r="AB193" i="93"/>
  <c r="AD150" i="93"/>
  <c r="AB196" i="93"/>
  <c r="AB203" i="93"/>
  <c r="AC187" i="93"/>
  <c r="AD147" i="93"/>
  <c r="AA98" i="93"/>
  <c r="AE151" i="93"/>
  <c r="AE159" i="93"/>
  <c r="AA101" i="93"/>
  <c r="AE97" i="93"/>
  <c r="AE154" i="93"/>
  <c r="AA99" i="93"/>
  <c r="AE23" i="93"/>
  <c r="AB201" i="93"/>
  <c r="AB154" i="93"/>
  <c r="AA102" i="93"/>
  <c r="AA106" i="93"/>
  <c r="AF194" i="93"/>
  <c r="AD158" i="93"/>
  <c r="AD200" i="93"/>
  <c r="AD204" i="93"/>
  <c r="AA107" i="93"/>
  <c r="AD160" i="93"/>
  <c r="AB104" i="93"/>
  <c r="AC155" i="93"/>
  <c r="AF193" i="93"/>
  <c r="AE196" i="93"/>
  <c r="AF58" i="93"/>
  <c r="AC198" i="93"/>
  <c r="AC143" i="93"/>
  <c r="AD189" i="93"/>
  <c r="AF107" i="93"/>
  <c r="AF108" i="93"/>
  <c r="AB204" i="93"/>
  <c r="AC145" i="93"/>
  <c r="AC147" i="93"/>
  <c r="AD149" i="93"/>
  <c r="AF160" i="93"/>
  <c r="AC142" i="93"/>
  <c r="AE110" i="93"/>
  <c r="AB148" i="93"/>
  <c r="AD143" i="93"/>
  <c r="AE109" i="93"/>
  <c r="AE101" i="93"/>
  <c r="AB114" i="93"/>
  <c r="AE100" i="93"/>
  <c r="AD141" i="93"/>
  <c r="AD96" i="93"/>
  <c r="AF111" i="93"/>
  <c r="AC191" i="93"/>
  <c r="AE160" i="93"/>
  <c r="AC141" i="93"/>
  <c r="AD198" i="93"/>
  <c r="AB207" i="93"/>
  <c r="AC206" i="93"/>
  <c r="AA100" i="93"/>
  <c r="AC190" i="93"/>
  <c r="AC156" i="93"/>
  <c r="AC196" i="93"/>
  <c r="AF106" i="93"/>
  <c r="AB194" i="93"/>
  <c r="AD195" i="93"/>
  <c r="AB160" i="93"/>
  <c r="AC159" i="93"/>
  <c r="AD154" i="93"/>
  <c r="AE112" i="93"/>
  <c r="AC194" i="93"/>
  <c r="AD190" i="93"/>
  <c r="AF105" i="93"/>
  <c r="AD144" i="93"/>
  <c r="AE98" i="93"/>
  <c r="AC195" i="93"/>
  <c r="AB156" i="93"/>
  <c r="AD197" i="93"/>
  <c r="AD152" i="93"/>
  <c r="AA108" i="93"/>
  <c r="AD148" i="93"/>
  <c r="AD145" i="93"/>
  <c r="AB105" i="93"/>
  <c r="AD157" i="93"/>
  <c r="AC193" i="93"/>
  <c r="AD194" i="93"/>
  <c r="AE156" i="93"/>
  <c r="AF197" i="93"/>
  <c r="AD151" i="93"/>
  <c r="AE99" i="93"/>
  <c r="AF157" i="93"/>
  <c r="AC207" i="93"/>
  <c r="AD192" i="93"/>
  <c r="AD205" i="93"/>
  <c r="AE105" i="93"/>
  <c r="AD146" i="93"/>
  <c r="AE111" i="93"/>
  <c r="AC146" i="93"/>
  <c r="AA103" i="93"/>
  <c r="AF195" i="93"/>
  <c r="AC202" i="93"/>
  <c r="AC197" i="93"/>
  <c r="AC151" i="93"/>
  <c r="AF109" i="93"/>
  <c r="AC153" i="93"/>
  <c r="AA96" i="93"/>
  <c r="AC152" i="93"/>
  <c r="AD188" i="93"/>
  <c r="AC160" i="93"/>
  <c r="AB155" i="93"/>
  <c r="AD207" i="93"/>
  <c r="AC150" i="93"/>
  <c r="AF206" i="93"/>
  <c r="AD196" i="93"/>
  <c r="AB197" i="93"/>
  <c r="AC200" i="93"/>
  <c r="AC186" i="93"/>
  <c r="AC148" i="93"/>
  <c r="AC144" i="93"/>
  <c r="AC154" i="93"/>
  <c r="AC204" i="93"/>
  <c r="AF203" i="93"/>
  <c r="AF204" i="93"/>
  <c r="AC205" i="93"/>
  <c r="AD23" i="93"/>
  <c r="AF103" i="93"/>
  <c r="AC149" i="93"/>
  <c r="AF201" i="93"/>
  <c r="AD202" i="93"/>
  <c r="AD203" i="93"/>
  <c r="AB195" i="93"/>
  <c r="AD193" i="93"/>
  <c r="AE108" i="93"/>
  <c r="AC158" i="93"/>
  <c r="AE113" i="93"/>
  <c r="AB103" i="93"/>
  <c r="AE201" i="93"/>
  <c r="AD199" i="93"/>
  <c r="AD155" i="93"/>
  <c r="AB23" i="93"/>
  <c r="AC157" i="93"/>
  <c r="AE104" i="93"/>
  <c r="AD153" i="93"/>
  <c r="AD156" i="93"/>
  <c r="AD191" i="93"/>
  <c r="AD206" i="93"/>
  <c r="AD186" i="93"/>
  <c r="AF61" i="93"/>
  <c r="AD142" i="93"/>
  <c r="AF196" i="93"/>
  <c r="AE103" i="93"/>
  <c r="G44" i="94" l="1"/>
  <c r="AG198" i="92"/>
  <c r="AG142" i="92"/>
  <c r="AH153" i="92"/>
  <c r="AH199" i="92"/>
  <c r="AH202" i="92"/>
  <c r="AG194" i="92"/>
  <c r="AG152" i="92"/>
  <c r="AG193" i="92"/>
  <c r="AG151" i="92"/>
  <c r="AG196" i="92"/>
  <c r="AG146" i="92"/>
  <c r="AG186" i="92"/>
  <c r="AG187" i="92"/>
  <c r="AH149" i="92"/>
  <c r="AH159" i="92"/>
  <c r="AG195" i="92"/>
  <c r="AG189" i="92"/>
  <c r="AG145" i="92"/>
  <c r="AH152" i="92"/>
  <c r="AG143" i="92"/>
  <c r="AH150" i="92"/>
  <c r="AG192" i="92"/>
  <c r="AG150" i="92"/>
  <c r="AG147" i="92"/>
  <c r="AH205" i="92"/>
  <c r="AH151" i="92"/>
  <c r="AH198" i="92"/>
  <c r="AG190" i="92"/>
  <c r="AG149" i="92"/>
  <c r="AH200" i="92"/>
  <c r="AG141" i="92"/>
  <c r="AG148" i="92"/>
  <c r="AH158" i="92"/>
  <c r="AH69" i="92"/>
  <c r="AG191" i="92"/>
  <c r="AG197" i="92"/>
  <c r="AG188" i="92"/>
  <c r="AG153" i="92"/>
  <c r="AG103" i="93"/>
  <c r="AG97" i="93"/>
  <c r="AG102" i="93"/>
  <c r="AG101" i="93"/>
  <c r="AG113" i="93"/>
  <c r="AG58" i="93"/>
  <c r="AG99" i="93"/>
  <c r="AG108" i="93"/>
  <c r="AG111" i="93"/>
  <c r="AG96" i="93"/>
  <c r="AG98" i="93"/>
  <c r="AG107" i="93"/>
  <c r="AG61" i="93"/>
  <c r="AG160" i="93"/>
  <c r="AG110" i="93"/>
  <c r="AG100" i="93"/>
  <c r="AG106" i="93"/>
  <c r="AG112" i="93"/>
  <c r="AG109" i="93"/>
  <c r="AG105" i="93"/>
  <c r="AP23" i="92"/>
  <c r="AO152" i="92"/>
  <c r="AO204" i="92"/>
  <c r="AP151" i="92"/>
  <c r="AP150" i="92"/>
  <c r="AO202" i="92"/>
  <c r="AP104" i="92"/>
  <c r="AO146" i="92"/>
  <c r="AO143" i="92"/>
  <c r="AO199" i="92"/>
  <c r="AO205" i="92"/>
  <c r="AO186" i="92"/>
  <c r="AP114" i="92"/>
  <c r="AO148" i="92"/>
  <c r="AO206" i="92"/>
  <c r="AO198" i="92"/>
  <c r="AO187" i="92"/>
  <c r="AO194" i="92"/>
  <c r="AO200" i="92"/>
  <c r="AO193" i="92"/>
  <c r="AO195" i="92"/>
  <c r="AO190" i="92"/>
  <c r="AO158" i="92"/>
  <c r="AM69" i="92"/>
  <c r="AM188" i="92"/>
  <c r="AN201" i="92"/>
  <c r="AN159" i="92"/>
  <c r="AO197" i="92"/>
  <c r="AO203" i="92"/>
  <c r="AO157" i="92"/>
  <c r="AO192" i="92"/>
  <c r="AO207" i="92"/>
  <c r="AO188" i="92"/>
  <c r="AO191" i="92"/>
  <c r="AO189" i="92"/>
  <c r="AO141" i="92"/>
  <c r="AO155" i="92"/>
  <c r="AO142" i="92"/>
  <c r="AO145" i="92"/>
  <c r="AO149" i="92"/>
  <c r="AO144" i="92"/>
  <c r="AO150" i="92"/>
  <c r="AO147" i="92"/>
  <c r="AO153" i="92"/>
  <c r="AP69" i="92"/>
  <c r="AP148" i="92"/>
  <c r="AP156" i="92"/>
  <c r="AP155" i="92"/>
  <c r="AP154" i="92"/>
  <c r="AP149" i="92"/>
  <c r="AE187" i="93"/>
  <c r="AE147" i="93"/>
  <c r="AE190" i="93"/>
  <c r="AA187" i="93"/>
  <c r="AE199" i="93"/>
  <c r="AE142" i="93"/>
  <c r="AD201" i="93"/>
  <c r="AD159" i="93"/>
  <c r="AE148" i="93"/>
  <c r="AE192" i="93"/>
  <c r="AA192" i="93"/>
  <c r="AE197" i="93"/>
  <c r="AE195" i="93"/>
  <c r="AA195" i="93"/>
  <c r="AF114" i="93"/>
  <c r="AA152" i="93"/>
  <c r="AF154" i="93"/>
  <c r="AE145" i="93"/>
  <c r="AB150" i="93"/>
  <c r="AE144" i="93"/>
  <c r="AF148" i="93"/>
  <c r="AC188" i="93"/>
  <c r="AE150" i="93"/>
  <c r="AA151" i="93"/>
  <c r="AE152" i="93"/>
  <c r="AB69" i="93"/>
  <c r="AF69" i="93"/>
  <c r="AB199" i="93"/>
  <c r="AE153" i="93"/>
  <c r="AA146" i="93"/>
  <c r="AA196" i="93"/>
  <c r="AB152" i="93"/>
  <c r="AF104" i="93"/>
  <c r="AA148" i="93"/>
  <c r="AE202" i="93"/>
  <c r="AE186" i="93"/>
  <c r="AE188" i="93"/>
  <c r="AF156" i="93"/>
  <c r="AA190" i="93"/>
  <c r="AA147" i="93"/>
  <c r="AE200" i="93"/>
  <c r="AB153" i="93"/>
  <c r="AA143" i="93"/>
  <c r="AF150" i="93"/>
  <c r="AE191" i="93"/>
  <c r="AA149" i="93"/>
  <c r="AE143" i="93"/>
  <c r="AE207" i="93"/>
  <c r="AE189" i="93"/>
  <c r="AA141" i="93"/>
  <c r="AB202" i="93"/>
  <c r="AE155" i="93"/>
  <c r="AB159" i="93"/>
  <c r="AE194" i="93"/>
  <c r="AE198" i="93"/>
  <c r="AB205" i="93"/>
  <c r="AE146" i="93"/>
  <c r="AA198" i="93"/>
  <c r="AA145" i="93"/>
  <c r="AE206" i="93"/>
  <c r="AE141" i="93"/>
  <c r="AB200" i="93"/>
  <c r="AE157" i="93"/>
  <c r="AA186" i="93"/>
  <c r="AE158" i="93"/>
  <c r="AA153" i="93"/>
  <c r="AE203" i="93"/>
  <c r="AF23" i="93"/>
  <c r="AF155" i="93"/>
  <c r="AB151" i="93"/>
  <c r="AA142" i="93"/>
  <c r="AE204" i="93"/>
  <c r="AE149" i="93"/>
  <c r="AA197" i="93"/>
  <c r="AF149" i="93"/>
  <c r="AA150" i="93"/>
  <c r="AA193" i="93"/>
  <c r="AB149" i="93"/>
  <c r="AA189" i="93"/>
  <c r="AA191" i="93"/>
  <c r="AE205" i="93"/>
  <c r="AF151" i="93"/>
  <c r="AC69" i="93"/>
  <c r="AA194" i="93"/>
  <c r="AA188" i="93"/>
  <c r="AB158" i="93"/>
  <c r="AE193" i="93"/>
  <c r="AB198" i="93"/>
  <c r="G45" i="94" l="1"/>
  <c r="AH161" i="92"/>
  <c r="AH208" i="92"/>
  <c r="AG148" i="93"/>
  <c r="AG195" i="93"/>
  <c r="AG149" i="93"/>
  <c r="AG187" i="93"/>
  <c r="AG203" i="93"/>
  <c r="AG146" i="93"/>
  <c r="AG196" i="93"/>
  <c r="AG144" i="93"/>
  <c r="AG206" i="93"/>
  <c r="AG151" i="93"/>
  <c r="AG157" i="93"/>
  <c r="AG147" i="93"/>
  <c r="AG193" i="93"/>
  <c r="AG154" i="93"/>
  <c r="AG207" i="93"/>
  <c r="AG104" i="93"/>
  <c r="AG204" i="93"/>
  <c r="AG150" i="93"/>
  <c r="AG114" i="93"/>
  <c r="AG23" i="93"/>
  <c r="AG192" i="93"/>
  <c r="AG194" i="93"/>
  <c r="AG141" i="93"/>
  <c r="AG188" i="93"/>
  <c r="AG156" i="93"/>
  <c r="AG197" i="93"/>
  <c r="AG143" i="93"/>
  <c r="AG201" i="93"/>
  <c r="AG191" i="93"/>
  <c r="AG186" i="93"/>
  <c r="AG145" i="93"/>
  <c r="AG142" i="93"/>
  <c r="AG155" i="93"/>
  <c r="AG190" i="93"/>
  <c r="AG189" i="93"/>
  <c r="AP159" i="92"/>
  <c r="AP200" i="92"/>
  <c r="AP153" i="92"/>
  <c r="AP198" i="92"/>
  <c r="AP202" i="92"/>
  <c r="AP158" i="92"/>
  <c r="AP205" i="92"/>
  <c r="AP199" i="92"/>
  <c r="AP152" i="92"/>
  <c r="AO208" i="92"/>
  <c r="AM161" i="92"/>
  <c r="AN161" i="92"/>
  <c r="AN69" i="92"/>
  <c r="AO69" i="92"/>
  <c r="AN208" i="92"/>
  <c r="AM208" i="92"/>
  <c r="AP208" i="92"/>
  <c r="AP161" i="92"/>
  <c r="AE69" i="93"/>
  <c r="AB208" i="93"/>
  <c r="AF198" i="93"/>
  <c r="AE208" i="93"/>
  <c r="AF159" i="93"/>
  <c r="AF202" i="93"/>
  <c r="AB161" i="93"/>
  <c r="AF205" i="93"/>
  <c r="AF200" i="93"/>
  <c r="AC161" i="93"/>
  <c r="AF152" i="93"/>
  <c r="AF153" i="93"/>
  <c r="AF208" i="93"/>
  <c r="AC208" i="93"/>
  <c r="AD69" i="93"/>
  <c r="AD161" i="93"/>
  <c r="AF158" i="93"/>
  <c r="AF199" i="93"/>
  <c r="AD208" i="93"/>
  <c r="AF161" i="93"/>
  <c r="G46" i="94" l="1"/>
  <c r="AH115" i="92"/>
  <c r="AH24" i="92"/>
  <c r="AG153" i="93"/>
  <c r="AG69" i="93"/>
  <c r="AG158" i="93"/>
  <c r="AG198" i="93"/>
  <c r="AG200" i="93"/>
  <c r="AG202" i="93"/>
  <c r="AG152" i="93"/>
  <c r="AG199" i="93"/>
  <c r="AG159" i="93"/>
  <c r="AG208" i="93"/>
  <c r="AG205" i="93"/>
  <c r="AN115" i="92"/>
  <c r="AN24" i="92"/>
  <c r="AM115" i="92"/>
  <c r="AO115" i="92"/>
  <c r="AM24" i="92"/>
  <c r="AO161" i="92"/>
  <c r="AP115" i="92"/>
  <c r="AD115" i="93"/>
  <c r="AB115" i="93"/>
  <c r="AE161" i="93"/>
  <c r="AB24" i="93"/>
  <c r="AF115" i="93"/>
  <c r="AC24" i="93"/>
  <c r="AC115" i="93"/>
  <c r="AD24" i="93"/>
  <c r="AE115" i="93"/>
  <c r="G47" i="94" l="1"/>
  <c r="AG161" i="93"/>
  <c r="AG115" i="93"/>
  <c r="AO24" i="92"/>
  <c r="AP24" i="92"/>
  <c r="AF24" i="93"/>
  <c r="AE24" i="93"/>
  <c r="G48" i="94" l="1"/>
  <c r="AH70" i="92"/>
  <c r="AG24" i="93"/>
  <c r="AM70" i="92"/>
  <c r="AO70" i="92"/>
  <c r="AN209" i="92"/>
  <c r="AN162" i="92"/>
  <c r="AN70" i="92"/>
  <c r="AM209" i="92"/>
  <c r="AM162" i="92"/>
  <c r="AC70" i="93"/>
  <c r="AD162" i="93"/>
  <c r="AC209" i="93"/>
  <c r="AE70" i="93"/>
  <c r="AD209" i="93"/>
  <c r="AC162" i="93"/>
  <c r="AD70" i="93"/>
  <c r="AB70" i="93"/>
  <c r="G49" i="94" l="1"/>
  <c r="AH162" i="92"/>
  <c r="AH209" i="92"/>
  <c r="AP70" i="92"/>
  <c r="AO209" i="92"/>
  <c r="AM116" i="92"/>
  <c r="AO162" i="92"/>
  <c r="AM25" i="92"/>
  <c r="AE162" i="93"/>
  <c r="AC25" i="93"/>
  <c r="AF70" i="93"/>
  <c r="AB162" i="93"/>
  <c r="AB209" i="93"/>
  <c r="AC116" i="93"/>
  <c r="AE209" i="93"/>
  <c r="G50" i="94" l="1"/>
  <c r="AH71" i="92"/>
  <c r="AH116" i="92"/>
  <c r="AH25" i="92"/>
  <c r="AG70" i="93"/>
  <c r="AP25" i="92"/>
  <c r="AP162" i="92"/>
  <c r="AP209" i="92"/>
  <c r="AN116" i="92"/>
  <c r="AM71" i="92"/>
  <c r="AN25" i="92"/>
  <c r="AO25" i="92"/>
  <c r="AO116" i="92"/>
  <c r="AP116" i="92"/>
  <c r="AE25" i="93"/>
  <c r="AF25" i="93"/>
  <c r="AB71" i="93"/>
  <c r="AB25" i="93"/>
  <c r="AB116" i="93"/>
  <c r="AF209" i="93"/>
  <c r="AE116" i="93"/>
  <c r="AF162" i="93"/>
  <c r="AD116" i="93"/>
  <c r="AC71" i="93"/>
  <c r="AF116" i="93"/>
  <c r="AD25" i="93"/>
  <c r="G51" i="94" l="1"/>
  <c r="AG209" i="93"/>
  <c r="AG162" i="93"/>
  <c r="AG25" i="93"/>
  <c r="AG116" i="93"/>
  <c r="AP71" i="92"/>
  <c r="AN71" i="92"/>
  <c r="AO71" i="92"/>
  <c r="AE71" i="93"/>
  <c r="AD71" i="93"/>
  <c r="AF71" i="93"/>
  <c r="G52" i="94" l="1"/>
  <c r="AH117" i="92"/>
  <c r="AH210" i="92"/>
  <c r="AG71" i="93"/>
  <c r="AM26" i="92"/>
  <c r="AM117" i="92"/>
  <c r="AN210" i="92"/>
  <c r="AN163" i="92"/>
  <c r="AM163" i="92"/>
  <c r="AO210" i="92"/>
  <c r="AB117" i="93"/>
  <c r="AE210" i="93"/>
  <c r="AC117" i="93"/>
  <c r="AB210" i="93"/>
  <c r="AC163" i="93"/>
  <c r="AD210" i="93"/>
  <c r="AC26" i="93"/>
  <c r="AD163" i="93"/>
  <c r="G53" i="94" l="1"/>
  <c r="AH163" i="92"/>
  <c r="AH26" i="92"/>
  <c r="AP210" i="92"/>
  <c r="AO163" i="92"/>
  <c r="AO26" i="92"/>
  <c r="AN26" i="92"/>
  <c r="AM210" i="92"/>
  <c r="AN117" i="92"/>
  <c r="AO117" i="92"/>
  <c r="AP117" i="92"/>
  <c r="AP26" i="92"/>
  <c r="AP163" i="92"/>
  <c r="AF26" i="93"/>
  <c r="AC210" i="93"/>
  <c r="AF117" i="93"/>
  <c r="AB26" i="93"/>
  <c r="AF210" i="93"/>
  <c r="AB163" i="93"/>
  <c r="AD117" i="93"/>
  <c r="AD26" i="93"/>
  <c r="AF163" i="93"/>
  <c r="AE117" i="93"/>
  <c r="AE163" i="93"/>
  <c r="AE26" i="93"/>
  <c r="G54" i="94" l="1"/>
  <c r="AG210" i="93"/>
  <c r="AG117" i="93"/>
  <c r="AG26" i="93"/>
  <c r="AG163" i="93"/>
  <c r="G55" i="94" l="1"/>
  <c r="AH72" i="92"/>
  <c r="AH211" i="92"/>
  <c r="AN211" i="92"/>
  <c r="AM164" i="92"/>
  <c r="AN72" i="92"/>
  <c r="AM211" i="92"/>
  <c r="AO72" i="92"/>
  <c r="AM72" i="92"/>
  <c r="AP72" i="92"/>
  <c r="AP211" i="92"/>
  <c r="AB72" i="93"/>
  <c r="AB211" i="93"/>
  <c r="AC72" i="93"/>
  <c r="AD211" i="93"/>
  <c r="AC211" i="93"/>
  <c r="AE72" i="93"/>
  <c r="AF72" i="93"/>
  <c r="AC164" i="93"/>
  <c r="AF211" i="93"/>
  <c r="AD72" i="93"/>
  <c r="G56" i="94" l="1"/>
  <c r="AH164" i="92"/>
  <c r="AG72" i="93"/>
  <c r="AM118" i="92"/>
  <c r="AO211" i="92"/>
  <c r="AN164" i="92"/>
  <c r="AM27" i="92"/>
  <c r="AO164" i="92"/>
  <c r="AP164" i="92"/>
  <c r="AB164" i="93"/>
  <c r="AE211" i="93"/>
  <c r="AC27" i="93"/>
  <c r="AD164" i="93"/>
  <c r="AF164" i="93"/>
  <c r="AC118" i="93"/>
  <c r="AE164" i="93"/>
  <c r="G57" i="94" l="1"/>
  <c r="AH118" i="92"/>
  <c r="AH27" i="92"/>
  <c r="AG211" i="93"/>
  <c r="AG164" i="93"/>
  <c r="AN27" i="92"/>
  <c r="AO118" i="92"/>
  <c r="AN118" i="92"/>
  <c r="AO27" i="92"/>
  <c r="AE27" i="93"/>
  <c r="AE118" i="93"/>
  <c r="AD27" i="93"/>
  <c r="AD118" i="93"/>
  <c r="AB118" i="93"/>
  <c r="AB27" i="93"/>
  <c r="G58" i="94" l="1"/>
  <c r="AP27" i="92"/>
  <c r="AP118" i="92"/>
  <c r="AO73" i="92"/>
  <c r="AM73" i="92"/>
  <c r="AN212" i="92"/>
  <c r="AM212" i="92"/>
  <c r="AE73" i="93"/>
  <c r="AF27" i="93"/>
  <c r="AC73" i="93"/>
  <c r="AF118" i="93"/>
  <c r="AC212" i="93"/>
  <c r="AD212" i="93"/>
  <c r="G59" i="94" l="1"/>
  <c r="AH212" i="92"/>
  <c r="AH73" i="92"/>
  <c r="AG118" i="93"/>
  <c r="AG27" i="93"/>
  <c r="AN73" i="92"/>
  <c r="AO212" i="92"/>
  <c r="AM119" i="92"/>
  <c r="AM165" i="92"/>
  <c r="AO119" i="92"/>
  <c r="AN119" i="92"/>
  <c r="AP73" i="92"/>
  <c r="AP212" i="92"/>
  <c r="AC119" i="93"/>
  <c r="AC165" i="93"/>
  <c r="AB212" i="93"/>
  <c r="AF212" i="93"/>
  <c r="AD119" i="93"/>
  <c r="AF73" i="93"/>
  <c r="AD73" i="93"/>
  <c r="AB73" i="93"/>
  <c r="AE212" i="93"/>
  <c r="AE119" i="93"/>
  <c r="G60" i="94" l="1"/>
  <c r="AH119" i="92"/>
  <c r="AH165" i="92"/>
  <c r="AH28" i="92"/>
  <c r="AG73" i="93"/>
  <c r="AG212" i="93"/>
  <c r="AO165" i="92"/>
  <c r="AP119" i="92"/>
  <c r="AN165" i="92"/>
  <c r="AB28" i="93"/>
  <c r="AB165" i="93"/>
  <c r="AB119" i="93"/>
  <c r="AF119" i="93"/>
  <c r="AE165" i="93"/>
  <c r="AD165" i="93"/>
  <c r="G61" i="94" l="1"/>
  <c r="AG119" i="93"/>
  <c r="AP28" i="92"/>
  <c r="AN28" i="92"/>
  <c r="AO28" i="92"/>
  <c r="AM28" i="92"/>
  <c r="AP165" i="92"/>
  <c r="AF28" i="93"/>
  <c r="AE28" i="93"/>
  <c r="AD28" i="93"/>
  <c r="AF165" i="93"/>
  <c r="AC28" i="93"/>
  <c r="G62" i="94" l="1"/>
  <c r="AH74" i="92"/>
  <c r="AH166" i="92"/>
  <c r="AG165" i="93"/>
  <c r="AG28" i="93"/>
  <c r="AM74" i="92"/>
  <c r="AO74" i="92"/>
  <c r="AM166" i="92"/>
  <c r="AN166" i="92"/>
  <c r="AN213" i="92"/>
  <c r="AN74" i="92"/>
  <c r="AP74" i="92"/>
  <c r="AP166" i="92"/>
  <c r="AF166" i="93"/>
  <c r="AC74" i="93"/>
  <c r="AB166" i="93"/>
  <c r="AD166" i="93"/>
  <c r="AB74" i="93"/>
  <c r="AD74" i="93"/>
  <c r="AE74" i="93"/>
  <c r="AC166" i="93"/>
  <c r="AD213" i="93"/>
  <c r="AF74" i="93"/>
  <c r="G63" i="94" l="1"/>
  <c r="AH120" i="92"/>
  <c r="AH213" i="92"/>
  <c r="AG74" i="93"/>
  <c r="AO213" i="92"/>
  <c r="AO120" i="92"/>
  <c r="AM213" i="92"/>
  <c r="AM120" i="92"/>
  <c r="AO166" i="92"/>
  <c r="AP120" i="92"/>
  <c r="AC213" i="93"/>
  <c r="AE166" i="93"/>
  <c r="AE120" i="93"/>
  <c r="AB213" i="93"/>
  <c r="AF120" i="93"/>
  <c r="AB120" i="93"/>
  <c r="AC120" i="93"/>
  <c r="AE213" i="93"/>
  <c r="G64" i="94" l="1"/>
  <c r="AH29" i="92"/>
  <c r="AG166" i="93"/>
  <c r="AO29" i="92"/>
  <c r="AP213" i="92"/>
  <c r="AN120" i="92"/>
  <c r="AN29" i="92"/>
  <c r="AM29" i="92"/>
  <c r="AC29" i="93"/>
  <c r="AD29" i="93"/>
  <c r="AB29" i="93"/>
  <c r="AD120" i="93"/>
  <c r="AF213" i="93"/>
  <c r="AE29" i="93"/>
  <c r="G65" i="94" l="1"/>
  <c r="AH75" i="92"/>
  <c r="AG120" i="93"/>
  <c r="AG213" i="93"/>
  <c r="AP29" i="92"/>
  <c r="AN214" i="92"/>
  <c r="AN75" i="92"/>
  <c r="AM214" i="92"/>
  <c r="AP75" i="92"/>
  <c r="AB75" i="93"/>
  <c r="AF29" i="93"/>
  <c r="AC214" i="93"/>
  <c r="AD75" i="93"/>
  <c r="AD214" i="93"/>
  <c r="AF75" i="93"/>
  <c r="G66" i="94" l="1"/>
  <c r="AH121" i="92"/>
  <c r="AH214" i="92"/>
  <c r="AG29" i="93"/>
  <c r="AM121" i="92"/>
  <c r="AN167" i="92"/>
  <c r="AM75" i="92"/>
  <c r="AO75" i="92"/>
  <c r="AO214" i="92"/>
  <c r="AP121" i="92"/>
  <c r="AC75" i="93"/>
  <c r="AF121" i="93"/>
  <c r="AB121" i="93"/>
  <c r="AD167" i="93"/>
  <c r="AE214" i="93"/>
  <c r="AE75" i="93"/>
  <c r="AC121" i="93"/>
  <c r="AB214" i="93"/>
  <c r="G67" i="94" l="1"/>
  <c r="AH167" i="92"/>
  <c r="AH30" i="92"/>
  <c r="AG75" i="93"/>
  <c r="AP214" i="92"/>
  <c r="AO167" i="92"/>
  <c r="AO121" i="92"/>
  <c r="AM167" i="92"/>
  <c r="AN121" i="92"/>
  <c r="AN30" i="92"/>
  <c r="AP30" i="92"/>
  <c r="AF214" i="93"/>
  <c r="AE167" i="93"/>
  <c r="AE121" i="93"/>
  <c r="AD30" i="93"/>
  <c r="AF30" i="93"/>
  <c r="AC167" i="93"/>
  <c r="AD121" i="93"/>
  <c r="AB30" i="93"/>
  <c r="AB167" i="93"/>
  <c r="G68" i="94" l="1"/>
  <c r="AH76" i="92"/>
  <c r="AG214" i="93"/>
  <c r="AG121" i="93"/>
  <c r="AP167" i="92"/>
  <c r="AM30" i="92"/>
  <c r="AN76" i="92"/>
  <c r="AO30" i="92"/>
  <c r="AP76" i="92"/>
  <c r="AB76" i="93"/>
  <c r="AC30" i="93"/>
  <c r="AE30" i="93"/>
  <c r="AF167" i="93"/>
  <c r="AF76" i="93"/>
  <c r="AD76" i="93"/>
  <c r="G69" i="94" l="1"/>
  <c r="AG167" i="93"/>
  <c r="AG30" i="93"/>
  <c r="AN215" i="92"/>
  <c r="AM76" i="92"/>
  <c r="AO76" i="92"/>
  <c r="AE76" i="93"/>
  <c r="AC76" i="93"/>
  <c r="AD215" i="93"/>
  <c r="G70" i="94" l="1"/>
  <c r="AH31" i="92"/>
  <c r="AH215" i="92"/>
  <c r="AH122" i="92"/>
  <c r="AH168" i="92"/>
  <c r="AG76" i="93"/>
  <c r="AO168" i="92"/>
  <c r="AM122" i="92"/>
  <c r="AM168" i="92"/>
  <c r="AN168" i="92"/>
  <c r="AO215" i="92"/>
  <c r="AN31" i="92"/>
  <c r="AM31" i="92"/>
  <c r="AN122" i="92"/>
  <c r="AM215" i="92"/>
  <c r="AP122" i="92"/>
  <c r="AP31" i="92"/>
  <c r="AC215" i="93"/>
  <c r="AB31" i="93"/>
  <c r="AE168" i="93"/>
  <c r="AB122" i="93"/>
  <c r="AC31" i="93"/>
  <c r="AE215" i="93"/>
  <c r="AF122" i="93"/>
  <c r="AF31" i="93"/>
  <c r="AD31" i="93"/>
  <c r="AD168" i="93"/>
  <c r="AC168" i="93"/>
  <c r="AC122" i="93"/>
  <c r="AB215" i="93"/>
  <c r="AB168" i="93"/>
  <c r="AD122" i="93"/>
  <c r="G71" i="94" l="1"/>
  <c r="AP168" i="92"/>
  <c r="AP215" i="92"/>
  <c r="AO122" i="92"/>
  <c r="AO31" i="92"/>
  <c r="AE122" i="93"/>
  <c r="AE31" i="93"/>
  <c r="AF215" i="93"/>
  <c r="AF168" i="93"/>
  <c r="G72" i="94" l="1"/>
  <c r="AG31" i="93"/>
  <c r="AG122" i="93"/>
  <c r="AG215" i="93"/>
  <c r="AG168" i="93"/>
  <c r="AO77" i="92"/>
  <c r="AE77" i="93"/>
  <c r="G73" i="94" l="1"/>
  <c r="AH169" i="92"/>
  <c r="AH123" i="92"/>
  <c r="AH216" i="92"/>
  <c r="AH77" i="92"/>
  <c r="AM216" i="92"/>
  <c r="AN169" i="92"/>
  <c r="AN77" i="92"/>
  <c r="AM123" i="92"/>
  <c r="AM77" i="92"/>
  <c r="AN123" i="92"/>
  <c r="AN216" i="92"/>
  <c r="AP169" i="92"/>
  <c r="AP123" i="92"/>
  <c r="AP216" i="92"/>
  <c r="AB77" i="93"/>
  <c r="AF169" i="93"/>
  <c r="AD169" i="93"/>
  <c r="AB216" i="93"/>
  <c r="AF123" i="93"/>
  <c r="AB169" i="93"/>
  <c r="AD216" i="93"/>
  <c r="AC77" i="93"/>
  <c r="AC123" i="93"/>
  <c r="AB123" i="93"/>
  <c r="AD123" i="93"/>
  <c r="AF216" i="93"/>
  <c r="AC216" i="93"/>
  <c r="AD77" i="93"/>
  <c r="G74" i="94" l="1"/>
  <c r="AH32" i="92"/>
  <c r="AP77" i="92"/>
  <c r="AO169" i="92"/>
  <c r="AO123" i="92"/>
  <c r="AM169" i="92"/>
  <c r="AO216" i="92"/>
  <c r="AN32" i="92"/>
  <c r="AP32" i="92"/>
  <c r="AB32" i="93"/>
  <c r="AC169" i="93"/>
  <c r="AF32" i="93"/>
  <c r="AD32" i="93"/>
  <c r="AF77" i="93"/>
  <c r="AE216" i="93"/>
  <c r="AE123" i="93"/>
  <c r="AE169" i="93"/>
  <c r="G75" i="94" l="1"/>
  <c r="AG216" i="93"/>
  <c r="AG169" i="93"/>
  <c r="AG123" i="93"/>
  <c r="AG77" i="93"/>
  <c r="AM78" i="92"/>
  <c r="AM32" i="92"/>
  <c r="AO32" i="92"/>
  <c r="AN78" i="92"/>
  <c r="AC78" i="93"/>
  <c r="AC32" i="93"/>
  <c r="AD78" i="93"/>
  <c r="AE32" i="93"/>
  <c r="G76" i="94" l="1"/>
  <c r="AH78" i="92"/>
  <c r="AG32" i="93"/>
  <c r="AM217" i="92"/>
  <c r="AN217" i="92"/>
  <c r="AO78" i="92"/>
  <c r="AB78" i="93"/>
  <c r="AD217" i="93"/>
  <c r="AC217" i="93"/>
  <c r="AE78" i="93"/>
  <c r="AH124" i="92" l="1"/>
  <c r="AH217" i="92"/>
  <c r="AP78" i="92"/>
  <c r="AM170" i="92"/>
  <c r="AN33" i="92"/>
  <c r="AN124" i="92"/>
  <c r="AO217" i="92"/>
  <c r="AM33" i="92"/>
  <c r="AN170" i="92"/>
  <c r="AO124" i="92"/>
  <c r="AP124" i="92"/>
  <c r="AD124" i="93"/>
  <c r="AB217" i="93"/>
  <c r="AF124" i="93"/>
  <c r="AC33" i="93"/>
  <c r="AE217" i="93"/>
  <c r="AE124" i="93"/>
  <c r="AB124" i="93"/>
  <c r="AC170" i="93"/>
  <c r="AF78" i="93"/>
  <c r="AD170" i="93"/>
  <c r="AD33" i="93"/>
  <c r="AH33" i="92" l="1"/>
  <c r="AH170" i="92"/>
  <c r="AG78" i="93"/>
  <c r="AO33" i="92"/>
  <c r="AP217" i="92"/>
  <c r="AM124" i="92"/>
  <c r="AO170" i="92"/>
  <c r="AE33" i="93"/>
  <c r="AF217" i="93"/>
  <c r="AB170" i="93"/>
  <c r="AC124" i="93"/>
  <c r="AB33" i="93"/>
  <c r="AE170" i="93"/>
  <c r="AH79" i="92" l="1"/>
  <c r="AG217" i="93"/>
  <c r="AG124" i="93"/>
  <c r="AP33" i="92"/>
  <c r="AP170" i="92"/>
  <c r="AP79" i="92"/>
  <c r="AF79" i="93"/>
  <c r="AF33" i="93"/>
  <c r="AB79" i="93"/>
  <c r="AF170" i="93"/>
  <c r="AH171" i="92" l="1"/>
  <c r="AG33" i="93"/>
  <c r="AG170" i="93"/>
  <c r="AO79" i="92"/>
  <c r="AN171" i="92"/>
  <c r="AN218" i="92"/>
  <c r="AN79" i="92"/>
  <c r="AM79" i="92"/>
  <c r="AP171" i="92"/>
  <c r="AB171" i="93"/>
  <c r="AC79" i="93"/>
  <c r="AF171" i="93"/>
  <c r="AE79" i="93"/>
  <c r="AD218" i="93"/>
  <c r="AD171" i="93"/>
  <c r="AD79" i="93"/>
  <c r="AH218" i="92" l="1"/>
  <c r="AH125" i="92"/>
  <c r="AG79" i="93"/>
  <c r="AM171" i="92"/>
  <c r="AM218" i="92"/>
  <c r="AO171" i="92"/>
  <c r="AN125" i="92"/>
  <c r="AO218" i="92"/>
  <c r="AM125" i="92"/>
  <c r="AP125" i="92"/>
  <c r="AB125" i="93"/>
  <c r="AE218" i="93"/>
  <c r="AC171" i="93"/>
  <c r="AF125" i="93"/>
  <c r="AD125" i="93"/>
  <c r="AE171" i="93"/>
  <c r="AC218" i="93"/>
  <c r="AC125" i="93"/>
  <c r="AB218" i="93"/>
  <c r="AH80" i="92" l="1"/>
  <c r="AH34" i="92"/>
  <c r="AG171" i="93"/>
  <c r="AP218" i="92"/>
  <c r="AO34" i="92"/>
  <c r="AM34" i="92"/>
  <c r="AM80" i="92"/>
  <c r="AN34" i="92"/>
  <c r="AO125" i="92"/>
  <c r="AP80" i="92"/>
  <c r="AE125" i="93"/>
  <c r="AE34" i="93"/>
  <c r="AB80" i="93"/>
  <c r="AD34" i="93"/>
  <c r="AC80" i="93"/>
  <c r="AC34" i="93"/>
  <c r="AF218" i="93"/>
  <c r="AB34" i="93"/>
  <c r="AF80" i="93"/>
  <c r="AG125" i="93" l="1"/>
  <c r="AG218" i="93"/>
  <c r="AO80" i="92"/>
  <c r="AN219" i="92"/>
  <c r="AN80" i="92"/>
  <c r="AP34" i="92"/>
  <c r="AD219" i="93"/>
  <c r="AD80" i="93"/>
  <c r="AE80" i="93"/>
  <c r="AF34" i="93"/>
  <c r="AH35" i="92" l="1"/>
  <c r="AH126" i="92"/>
  <c r="AH219" i="92"/>
  <c r="AG34" i="93"/>
  <c r="AG80" i="93"/>
  <c r="AM172" i="92"/>
  <c r="AM35" i="92"/>
  <c r="AO219" i="92"/>
  <c r="AM219" i="92"/>
  <c r="AP126" i="92"/>
  <c r="AP35" i="92"/>
  <c r="AF35" i="93"/>
  <c r="AB219" i="93"/>
  <c r="AB35" i="93"/>
  <c r="AC219" i="93"/>
  <c r="AF126" i="93"/>
  <c r="AC172" i="93"/>
  <c r="AB126" i="93"/>
  <c r="AC35" i="93"/>
  <c r="AE219" i="93"/>
  <c r="AH172" i="92" l="1"/>
  <c r="AP219" i="92"/>
  <c r="AO126" i="92"/>
  <c r="AN172" i="92"/>
  <c r="AO172" i="92"/>
  <c r="AN126" i="92"/>
  <c r="AN35" i="92"/>
  <c r="AM126" i="92"/>
  <c r="AO35" i="92"/>
  <c r="AB172" i="93"/>
  <c r="AD126" i="93"/>
  <c r="AF219" i="93"/>
  <c r="AC126" i="93"/>
  <c r="AE126" i="93"/>
  <c r="AD172" i="93"/>
  <c r="AD35" i="93"/>
  <c r="AE35" i="93"/>
  <c r="AE172" i="93"/>
  <c r="AG219" i="93" l="1"/>
  <c r="AG126" i="93"/>
  <c r="AG35" i="93"/>
  <c r="AP172" i="92"/>
  <c r="AN81" i="92"/>
  <c r="AF172" i="93"/>
  <c r="AD81" i="93"/>
  <c r="AH173" i="92" l="1"/>
  <c r="AH81" i="92"/>
  <c r="AG172" i="93"/>
  <c r="AN220" i="92"/>
  <c r="AO81" i="92"/>
  <c r="AN173" i="92"/>
  <c r="AM173" i="92"/>
  <c r="AM81" i="92"/>
  <c r="AP173" i="92"/>
  <c r="AB173" i="93"/>
  <c r="AD173" i="93"/>
  <c r="AB81" i="93"/>
  <c r="AD220" i="93"/>
  <c r="AC81" i="93"/>
  <c r="AC173" i="93"/>
  <c r="AF173" i="93"/>
  <c r="AE81" i="93"/>
  <c r="AH220" i="92" l="1"/>
  <c r="AP81" i="92"/>
  <c r="AN36" i="92"/>
  <c r="AO173" i="92"/>
  <c r="AO220" i="92"/>
  <c r="AM127" i="92"/>
  <c r="AM220" i="92"/>
  <c r="AD36" i="93"/>
  <c r="AF81" i="93"/>
  <c r="AE220" i="93"/>
  <c r="AC127" i="93"/>
  <c r="AC220" i="93"/>
  <c r="AB220" i="93"/>
  <c r="AE173" i="93"/>
  <c r="AH36" i="92" l="1"/>
  <c r="AH127" i="92"/>
  <c r="AG173" i="93"/>
  <c r="AG81" i="93"/>
  <c r="AP220" i="92"/>
  <c r="AO36" i="92"/>
  <c r="AO127" i="92"/>
  <c r="AM82" i="92"/>
  <c r="AM36" i="92"/>
  <c r="AN127" i="92"/>
  <c r="AC82" i="93"/>
  <c r="AE36" i="93"/>
  <c r="AB36" i="93"/>
  <c r="AF220" i="93"/>
  <c r="AE127" i="93"/>
  <c r="AC36" i="93"/>
  <c r="AB127" i="93"/>
  <c r="AD127" i="93"/>
  <c r="AH82" i="92" l="1"/>
  <c r="AG220" i="93"/>
  <c r="AP127" i="92"/>
  <c r="AP36" i="92"/>
  <c r="AO82" i="92"/>
  <c r="AM221" i="92"/>
  <c r="AN221" i="92"/>
  <c r="AN82" i="92"/>
  <c r="AB82" i="93"/>
  <c r="AC221" i="93"/>
  <c r="AF127" i="93"/>
  <c r="AE82" i="93"/>
  <c r="AD82" i="93"/>
  <c r="AF36" i="93"/>
  <c r="AD221" i="93"/>
  <c r="AH221" i="92" l="1"/>
  <c r="AH174" i="92"/>
  <c r="AH37" i="92"/>
  <c r="AG127" i="93"/>
  <c r="AG36" i="93"/>
  <c r="AP82" i="92"/>
  <c r="AN128" i="92"/>
  <c r="AN174" i="92"/>
  <c r="AN222" i="92"/>
  <c r="AN37" i="92"/>
  <c r="AO221" i="92"/>
  <c r="AP37" i="92"/>
  <c r="AP174" i="92"/>
  <c r="AD37" i="93"/>
  <c r="AE221" i="93"/>
  <c r="AF82" i="93"/>
  <c r="AB221" i="93"/>
  <c r="AD174" i="93"/>
  <c r="AF37" i="93"/>
  <c r="AB37" i="93"/>
  <c r="AB174" i="93"/>
  <c r="AD128" i="93"/>
  <c r="AD222" i="93"/>
  <c r="AF174" i="93"/>
  <c r="AH128" i="92" l="1"/>
  <c r="AH222" i="92"/>
  <c r="AG82" i="93"/>
  <c r="AO222" i="92"/>
  <c r="AP221" i="92"/>
  <c r="AM37" i="92"/>
  <c r="AO174" i="92"/>
  <c r="AM222" i="92"/>
  <c r="AO128" i="92"/>
  <c r="AM128" i="92"/>
  <c r="AM174" i="92"/>
  <c r="AO37" i="92"/>
  <c r="AC222" i="93"/>
  <c r="AB222" i="93"/>
  <c r="AC174" i="93"/>
  <c r="AE222" i="93"/>
  <c r="AC128" i="93"/>
  <c r="AE174" i="93"/>
  <c r="AE128" i="93"/>
  <c r="AB128" i="93"/>
  <c r="AF221" i="93"/>
  <c r="AC37" i="93"/>
  <c r="AE37" i="93"/>
  <c r="AH83" i="92" l="1"/>
  <c r="AH223" i="92"/>
  <c r="AG37" i="93"/>
  <c r="AG174" i="93"/>
  <c r="AG221" i="93"/>
  <c r="AP128" i="92"/>
  <c r="AP222" i="92"/>
  <c r="AO223" i="92"/>
  <c r="AN224" i="92"/>
  <c r="AM83" i="92"/>
  <c r="AM223" i="92"/>
  <c r="AN83" i="92"/>
  <c r="AN223" i="92"/>
  <c r="AP83" i="92"/>
  <c r="AE223" i="93"/>
  <c r="AC83" i="93"/>
  <c r="AF83" i="93"/>
  <c r="AF128" i="93"/>
  <c r="AF222" i="93"/>
  <c r="AD83" i="93"/>
  <c r="AD223" i="93"/>
  <c r="AB83" i="93"/>
  <c r="AB223" i="93"/>
  <c r="AD224" i="93"/>
  <c r="AC223" i="93"/>
  <c r="AH175" i="92" l="1"/>
  <c r="AH224" i="92"/>
  <c r="AG222" i="93"/>
  <c r="AG128" i="93"/>
  <c r="AP223" i="92"/>
  <c r="AN175" i="92"/>
  <c r="AO224" i="92"/>
  <c r="AM224" i="92"/>
  <c r="AO83" i="92"/>
  <c r="AP175" i="92"/>
  <c r="AF175" i="93"/>
  <c r="AC224" i="93"/>
  <c r="AB175" i="93"/>
  <c r="AB224" i="93"/>
  <c r="AD175" i="93"/>
  <c r="AF223" i="93"/>
  <c r="AE224" i="93"/>
  <c r="AE83" i="93"/>
  <c r="AH129" i="92" l="1"/>
  <c r="AG223" i="93"/>
  <c r="AG83" i="93"/>
  <c r="AP224" i="92"/>
  <c r="AO175" i="92"/>
  <c r="AM175" i="92"/>
  <c r="AM129" i="92"/>
  <c r="AN38" i="92"/>
  <c r="AP129" i="92"/>
  <c r="AC175" i="93"/>
  <c r="AC129" i="93"/>
  <c r="AB129" i="93"/>
  <c r="AD38" i="93"/>
  <c r="AF224" i="93"/>
  <c r="AF129" i="93"/>
  <c r="AE175" i="93"/>
  <c r="AH38" i="92" l="1"/>
  <c r="AG175" i="93"/>
  <c r="AG224" i="93"/>
  <c r="AO38" i="92"/>
  <c r="AN129" i="92"/>
  <c r="AM38" i="92"/>
  <c r="AO129" i="92"/>
  <c r="AO84" i="92"/>
  <c r="AD129" i="93"/>
  <c r="AE84" i="93"/>
  <c r="AC38" i="93"/>
  <c r="AE38" i="93"/>
  <c r="AB38" i="93"/>
  <c r="AE129" i="93"/>
  <c r="AH84" i="92" l="1"/>
  <c r="AG129" i="93"/>
  <c r="AP38" i="92"/>
  <c r="AN84" i="92"/>
  <c r="AM84" i="92"/>
  <c r="AF38" i="93"/>
  <c r="AC84" i="93"/>
  <c r="AB84" i="93"/>
  <c r="AD84" i="93"/>
  <c r="AH39" i="92" l="1"/>
  <c r="AH176" i="92"/>
  <c r="AH130" i="92"/>
  <c r="AG38" i="93"/>
  <c r="AP84" i="92"/>
  <c r="AM39" i="92"/>
  <c r="AP130" i="92"/>
  <c r="AP39" i="92"/>
  <c r="AP176" i="92"/>
  <c r="AF176" i="93"/>
  <c r="AC39" i="93"/>
  <c r="AB130" i="93"/>
  <c r="AF84" i="93"/>
  <c r="AB39" i="93"/>
  <c r="AF39" i="93"/>
  <c r="AB176" i="93"/>
  <c r="AF130" i="93"/>
  <c r="AG84" i="93" l="1"/>
  <c r="AN130" i="92"/>
  <c r="AN176" i="92"/>
  <c r="AO130" i="92"/>
  <c r="AO176" i="92"/>
  <c r="AM176" i="92"/>
  <c r="AM130" i="92"/>
  <c r="AN39" i="92"/>
  <c r="AO39" i="92"/>
  <c r="AC176" i="93"/>
  <c r="AE130" i="93"/>
  <c r="AD176" i="93"/>
  <c r="AD130" i="93"/>
  <c r="AD39" i="93"/>
  <c r="AE39" i="93"/>
  <c r="AE176" i="93"/>
  <c r="AC130" i="93"/>
  <c r="AH177" i="92" l="1"/>
  <c r="AG130" i="93"/>
  <c r="AG176" i="93"/>
  <c r="AG39" i="93"/>
  <c r="AN177" i="92"/>
  <c r="AP177" i="92"/>
  <c r="AB177" i="93"/>
  <c r="AD177" i="93"/>
  <c r="AF177" i="93"/>
  <c r="AH85" i="92" l="1"/>
  <c r="AM177" i="92"/>
  <c r="AM85" i="92"/>
  <c r="AO85" i="92"/>
  <c r="AO177" i="92"/>
  <c r="AN85" i="92"/>
  <c r="AD85" i="93"/>
  <c r="AE177" i="93"/>
  <c r="AE85" i="93"/>
  <c r="AB85" i="93"/>
  <c r="AC177" i="93"/>
  <c r="AC85" i="93"/>
  <c r="AH178" i="92" l="1"/>
  <c r="AH179" i="92"/>
  <c r="AH131" i="92"/>
  <c r="AG177" i="93"/>
  <c r="AO179" i="92"/>
  <c r="AM179" i="92"/>
  <c r="AN40" i="92"/>
  <c r="AN179" i="92"/>
  <c r="AO178" i="92"/>
  <c r="AN178" i="92"/>
  <c r="AM178" i="92"/>
  <c r="AP85" i="92"/>
  <c r="AP131" i="92"/>
  <c r="AD40" i="93"/>
  <c r="AD179" i="93"/>
  <c r="AC178" i="93"/>
  <c r="AE179" i="93"/>
  <c r="AB179" i="93"/>
  <c r="AE178" i="93"/>
  <c r="AF85" i="93"/>
  <c r="AC179" i="93"/>
  <c r="AB131" i="93"/>
  <c r="AF131" i="93"/>
  <c r="AD178" i="93"/>
  <c r="AB178" i="93"/>
  <c r="AH40" i="92" l="1"/>
  <c r="AG85" i="93"/>
  <c r="AP178" i="92"/>
  <c r="AM86" i="92"/>
  <c r="AM131" i="92"/>
  <c r="AN131" i="92"/>
  <c r="AN86" i="92"/>
  <c r="AO131" i="92"/>
  <c r="AO40" i="92"/>
  <c r="AM40" i="92"/>
  <c r="AP179" i="92"/>
  <c r="AD131" i="93"/>
  <c r="AC131" i="93"/>
  <c r="AE131" i="93"/>
  <c r="AF178" i="93"/>
  <c r="AC86" i="93"/>
  <c r="AE40" i="93"/>
  <c r="AB40" i="93"/>
  <c r="AC40" i="93"/>
  <c r="AF179" i="93"/>
  <c r="AD86" i="93"/>
  <c r="AH86" i="92" l="1"/>
  <c r="AG179" i="93"/>
  <c r="AG178" i="93"/>
  <c r="AG131" i="93"/>
  <c r="AO86" i="92"/>
  <c r="AP40" i="92"/>
  <c r="AB86" i="93"/>
  <c r="AE86" i="93"/>
  <c r="AF40" i="93"/>
  <c r="AG40" i="93" l="1"/>
  <c r="AP86" i="92"/>
  <c r="AM41" i="92"/>
  <c r="AM132" i="92"/>
  <c r="AC41" i="93"/>
  <c r="AF86" i="93"/>
  <c r="AC132" i="93"/>
  <c r="AH41" i="92" l="1"/>
  <c r="AH132" i="92"/>
  <c r="AG86" i="93"/>
  <c r="AO132" i="92"/>
  <c r="AN132" i="92"/>
  <c r="AO41" i="92"/>
  <c r="AN41" i="92"/>
  <c r="AE132" i="93"/>
  <c r="AE41" i="93"/>
  <c r="AB132" i="93"/>
  <c r="AB41" i="93"/>
  <c r="AD41" i="93"/>
  <c r="AD132" i="93"/>
  <c r="AH133" i="92" l="1"/>
  <c r="AP132" i="92"/>
  <c r="AP41" i="92"/>
  <c r="AN87" i="92"/>
  <c r="AN133" i="92"/>
  <c r="AM134" i="92"/>
  <c r="AO133" i="92"/>
  <c r="AM133" i="92"/>
  <c r="AF132" i="93"/>
  <c r="AC134" i="93"/>
  <c r="AD133" i="93"/>
  <c r="AB133" i="93"/>
  <c r="AC133" i="93"/>
  <c r="AD87" i="93"/>
  <c r="AF41" i="93"/>
  <c r="AE133" i="93"/>
  <c r="AH134" i="92" l="1"/>
  <c r="AH87" i="92"/>
  <c r="AG132" i="93"/>
  <c r="AG41" i="93"/>
  <c r="AP133" i="92"/>
  <c r="AO134" i="92"/>
  <c r="AN134" i="92"/>
  <c r="AO87" i="92"/>
  <c r="AN88" i="92"/>
  <c r="AM87" i="92"/>
  <c r="AF133" i="93"/>
  <c r="AE134" i="93"/>
  <c r="AC87" i="93"/>
  <c r="AE87" i="93"/>
  <c r="AB134" i="93"/>
  <c r="AB87" i="93"/>
  <c r="AD88" i="93"/>
  <c r="AD134" i="93"/>
  <c r="AH88" i="92" l="1"/>
  <c r="AG133" i="93"/>
  <c r="AP87" i="92"/>
  <c r="AP134" i="92"/>
  <c r="AM88" i="92"/>
  <c r="AN42" i="92"/>
  <c r="AO88" i="92"/>
  <c r="AB88" i="93"/>
  <c r="AF134" i="93"/>
  <c r="AF87" i="93"/>
  <c r="AC88" i="93"/>
  <c r="AE88" i="93"/>
  <c r="AD42" i="93"/>
  <c r="AH42" i="92" l="1"/>
  <c r="AG87" i="93"/>
  <c r="AG134" i="93"/>
  <c r="AO42" i="92"/>
  <c r="AP88" i="92"/>
  <c r="AM42" i="92"/>
  <c r="AF88" i="93"/>
  <c r="AE42" i="93"/>
  <c r="AC42" i="93"/>
  <c r="AB42" i="93"/>
  <c r="AG88" i="93" l="1"/>
  <c r="AP42" i="92"/>
  <c r="AF42" i="93"/>
  <c r="AG42" i="93" l="1"/>
  <c r="AH43" i="92" l="1"/>
  <c r="AH89" i="92"/>
  <c r="AO43" i="92"/>
  <c r="AO89" i="92"/>
  <c r="AN89" i="92"/>
  <c r="AM89" i="92"/>
  <c r="AN43" i="92"/>
  <c r="AM43" i="92"/>
  <c r="AC43" i="93"/>
  <c r="AE43" i="93"/>
  <c r="AD43" i="93"/>
  <c r="AC89" i="93"/>
  <c r="AE89" i="93"/>
  <c r="AB89" i="93"/>
  <c r="AB43" i="93"/>
  <c r="AD89" i="93"/>
  <c r="AP43" i="92" l="1"/>
  <c r="AP89" i="92"/>
  <c r="AF89" i="93"/>
  <c r="AF43" i="93"/>
  <c r="AH44" i="92" l="1"/>
  <c r="AG43" i="93"/>
  <c r="AG89" i="93"/>
  <c r="AO44" i="92"/>
  <c r="AM44" i="92"/>
  <c r="AN44" i="92"/>
  <c r="AD44" i="93"/>
  <c r="AB44" i="93"/>
  <c r="AE44" i="93"/>
  <c r="AC44" i="93"/>
  <c r="AP44" i="92" l="1"/>
  <c r="AF44" i="93"/>
  <c r="AG44" i="93" l="1"/>
  <c r="BB143" i="92" l="1"/>
  <c r="BD186" i="92"/>
  <c r="BE141" i="92"/>
  <c r="BC187" i="92"/>
  <c r="BC141" i="92"/>
  <c r="BB141" i="92"/>
  <c r="BB142" i="92"/>
  <c r="BE186" i="92"/>
  <c r="BC186" i="92"/>
  <c r="BB189" i="92" l="1"/>
  <c r="BD190" i="92"/>
  <c r="BB150" i="92"/>
  <c r="BE145" i="92"/>
  <c r="BC146" i="92"/>
  <c r="BD202" i="92"/>
  <c r="BB51" i="92"/>
  <c r="BB190" i="92"/>
  <c r="BD96" i="92"/>
  <c r="BC145" i="92"/>
  <c r="BE51" i="92"/>
  <c r="BC142" i="92"/>
  <c r="BB193" i="92"/>
  <c r="BC200" i="92"/>
  <c r="BD203" i="92"/>
  <c r="BC192" i="92"/>
  <c r="BC143" i="92"/>
  <c r="BB205" i="92"/>
  <c r="BD151" i="92"/>
  <c r="BC148" i="92"/>
  <c r="BC156" i="92"/>
  <c r="BD152" i="92"/>
  <c r="BC149" i="92"/>
  <c r="BC152" i="92"/>
  <c r="BB188" i="92"/>
  <c r="BC168" i="92"/>
  <c r="BB149" i="92"/>
  <c r="BC220" i="92"/>
  <c r="BD187" i="92"/>
  <c r="BD189" i="92"/>
  <c r="BC223" i="92"/>
  <c r="BD192" i="92"/>
  <c r="BB151" i="92"/>
  <c r="BB147" i="92"/>
  <c r="BB194" i="92"/>
  <c r="BC219" i="92"/>
  <c r="BD224" i="92"/>
  <c r="BB191" i="92"/>
  <c r="BB204" i="92"/>
  <c r="BC155" i="92"/>
  <c r="BC221" i="92"/>
  <c r="BD188" i="92"/>
  <c r="BD201" i="92"/>
  <c r="BB154" i="92"/>
  <c r="BC158" i="92"/>
  <c r="BB162" i="92"/>
  <c r="BC188" i="92"/>
  <c r="BC198" i="92"/>
  <c r="BC189" i="92"/>
  <c r="BD193" i="92"/>
  <c r="BD191" i="92"/>
  <c r="BB146" i="92"/>
  <c r="BB144" i="92"/>
  <c r="BB153" i="92"/>
  <c r="BB197" i="92"/>
  <c r="BB200" i="92"/>
  <c r="BB210" i="92"/>
  <c r="BB159" i="92"/>
  <c r="BB216" i="92"/>
  <c r="BC194" i="92"/>
  <c r="BC191" i="92"/>
  <c r="BC193" i="92"/>
  <c r="BD52" i="92"/>
  <c r="BD198" i="92"/>
  <c r="BB145" i="92"/>
  <c r="BB196" i="92"/>
  <c r="BB198" i="92"/>
  <c r="BC224" i="92"/>
  <c r="BC190" i="92"/>
  <c r="BD194" i="92"/>
  <c r="BB156" i="92"/>
  <c r="BB148" i="92"/>
  <c r="BB195" i="92"/>
  <c r="BB199" i="92"/>
  <c r="BB219" i="92"/>
  <c r="BB163" i="92"/>
  <c r="BD207" i="92"/>
  <c r="BB152" i="92"/>
  <c r="BD153" i="92"/>
  <c r="BC171" i="92"/>
  <c r="BC159" i="92"/>
  <c r="BC199" i="92"/>
  <c r="BD197" i="92"/>
  <c r="BB172" i="92"/>
  <c r="BC212" i="92"/>
  <c r="BC206" i="92"/>
  <c r="BC214" i="92"/>
  <c r="BC217" i="92"/>
  <c r="BD217" i="92"/>
  <c r="BB220" i="92"/>
  <c r="BB224" i="92"/>
  <c r="BD150" i="92"/>
  <c r="BC209" i="92"/>
  <c r="BC208" i="92"/>
  <c r="BC207" i="92"/>
  <c r="BC211" i="92"/>
  <c r="BD206" i="92"/>
  <c r="BD211" i="92"/>
  <c r="BD216" i="92"/>
  <c r="BD221" i="92"/>
  <c r="BD220" i="92"/>
  <c r="BD219" i="92"/>
  <c r="BB167" i="92"/>
  <c r="BB157" i="92"/>
  <c r="BB215" i="92"/>
  <c r="BB214" i="92"/>
  <c r="BB213" i="92"/>
  <c r="BB218" i="92"/>
  <c r="BB223" i="92"/>
  <c r="BB187" i="92"/>
  <c r="BB192" i="92"/>
  <c r="BC169" i="92"/>
  <c r="BC150" i="92"/>
  <c r="BC178" i="92"/>
  <c r="BC153" i="92"/>
  <c r="BD155" i="92"/>
  <c r="BD218" i="92"/>
  <c r="BD196" i="92"/>
  <c r="BB160" i="92"/>
  <c r="BC215" i="92"/>
  <c r="BC213" i="92"/>
  <c r="BD212" i="92"/>
  <c r="BD222" i="92"/>
  <c r="BB221" i="92"/>
  <c r="BC218" i="92"/>
  <c r="BC222" i="92"/>
  <c r="BC203" i="92"/>
  <c r="BC202" i="92"/>
  <c r="BC201" i="92"/>
  <c r="BC205" i="92"/>
  <c r="BD200" i="92"/>
  <c r="BD205" i="92"/>
  <c r="BD210" i="92"/>
  <c r="BD215" i="92"/>
  <c r="BD214" i="92"/>
  <c r="BD213" i="92"/>
  <c r="BB164" i="92"/>
  <c r="BB155" i="92"/>
  <c r="BB209" i="92"/>
  <c r="BB208" i="92"/>
  <c r="BB207" i="92"/>
  <c r="BB212" i="92"/>
  <c r="BB217" i="92"/>
  <c r="BB222" i="92"/>
  <c r="BB186" i="92"/>
  <c r="BC157" i="92"/>
  <c r="BC144" i="92"/>
  <c r="BC160" i="92"/>
  <c r="BC147" i="92"/>
  <c r="BD160" i="92"/>
  <c r="BD223" i="92"/>
  <c r="BD195" i="92"/>
  <c r="BC216" i="92"/>
  <c r="BC210" i="92"/>
  <c r="BC204" i="92"/>
  <c r="BC197" i="92"/>
  <c r="BC196" i="92"/>
  <c r="BC195" i="92"/>
  <c r="BD199" i="92"/>
  <c r="BD204" i="92"/>
  <c r="BD209" i="92"/>
  <c r="BD208" i="92"/>
  <c r="BB158" i="92"/>
  <c r="BB203" i="92"/>
  <c r="BB202" i="92"/>
  <c r="BB201" i="92"/>
  <c r="BB206" i="92"/>
  <c r="BB211" i="92"/>
  <c r="BC170" i="92"/>
  <c r="BC151" i="92"/>
  <c r="BC173" i="92"/>
  <c r="BC154" i="92"/>
  <c r="BD165" i="92"/>
  <c r="BB177" i="92"/>
  <c r="BB161" i="92"/>
  <c r="BB166" i="92"/>
  <c r="BC165" i="92"/>
  <c r="BD170" i="92"/>
  <c r="BD169" i="92"/>
  <c r="BD168" i="92"/>
  <c r="BD173" i="92"/>
  <c r="BD178" i="92"/>
  <c r="BD142" i="92"/>
  <c r="BD147" i="92"/>
  <c r="BB173" i="92"/>
  <c r="BB176" i="92"/>
  <c r="BB175" i="92"/>
  <c r="BB174" i="92"/>
  <c r="BD164" i="92"/>
  <c r="BD163" i="92"/>
  <c r="BD162" i="92"/>
  <c r="BD167" i="92"/>
  <c r="BD172" i="92"/>
  <c r="BD177" i="92"/>
  <c r="BD141" i="92"/>
  <c r="BB171" i="92"/>
  <c r="BB170" i="92"/>
  <c r="BB169" i="92"/>
  <c r="BB168" i="92"/>
  <c r="BC176" i="92"/>
  <c r="BC175" i="92"/>
  <c r="BC174" i="92"/>
  <c r="BC179" i="92"/>
  <c r="BD158" i="92"/>
  <c r="BD157" i="92"/>
  <c r="BD156" i="92"/>
  <c r="BD161" i="92"/>
  <c r="BD166" i="92"/>
  <c r="BD171" i="92"/>
  <c r="BB165" i="92"/>
  <c r="BB178" i="92"/>
  <c r="BC164" i="92"/>
  <c r="BC163" i="92"/>
  <c r="BC162" i="92"/>
  <c r="BC167" i="92"/>
  <c r="BC172" i="92"/>
  <c r="BC177" i="92"/>
  <c r="BD146" i="92"/>
  <c r="BD145" i="92"/>
  <c r="BD144" i="92"/>
  <c r="BD149" i="92"/>
  <c r="BD154" i="92"/>
  <c r="BD159" i="92"/>
  <c r="BB179" i="92"/>
  <c r="BC161" i="92"/>
  <c r="BC166" i="92"/>
  <c r="BD176" i="92"/>
  <c r="BD175" i="92"/>
  <c r="BD174" i="92"/>
  <c r="BD179" i="92"/>
  <c r="BD143" i="92"/>
  <c r="BD148" i="92"/>
  <c r="BC54" i="92"/>
  <c r="BC55" i="92"/>
  <c r="BC51" i="92"/>
  <c r="BC52" i="92"/>
  <c r="BC53" i="92"/>
  <c r="BC96" i="92"/>
  <c r="BC97" i="92"/>
  <c r="BC98" i="92"/>
  <c r="BB96" i="92"/>
  <c r="BB52" i="92" l="1"/>
  <c r="BE144" i="92"/>
  <c r="BE194" i="92"/>
  <c r="BE189" i="92"/>
  <c r="BE193" i="92"/>
  <c r="BE147" i="92"/>
  <c r="BE146" i="92"/>
  <c r="BE148" i="92"/>
  <c r="BE192" i="92"/>
  <c r="BE142" i="92"/>
  <c r="BE187" i="92"/>
  <c r="BE188" i="92"/>
  <c r="BE191" i="92"/>
  <c r="BE190" i="92"/>
  <c r="BE143" i="92"/>
  <c r="BC102" i="92"/>
  <c r="BB97" i="92"/>
  <c r="BD55" i="92"/>
  <c r="BD51" i="92"/>
  <c r="BC105" i="92"/>
  <c r="BC58" i="92"/>
  <c r="BC104" i="92"/>
  <c r="BC59" i="92"/>
  <c r="BC56" i="92"/>
  <c r="BC57" i="92"/>
  <c r="BB58" i="92"/>
  <c r="BB99" i="92"/>
  <c r="BD58" i="92"/>
  <c r="BD100" i="92"/>
  <c r="BE63" i="92"/>
  <c r="BE109" i="92"/>
  <c r="BE61" i="92"/>
  <c r="BD108" i="92"/>
  <c r="BE96" i="92"/>
  <c r="BD110" i="92"/>
  <c r="BD102" i="92"/>
  <c r="BE105" i="92"/>
  <c r="BD56" i="92"/>
  <c r="BE60" i="92"/>
  <c r="BD57" i="92"/>
  <c r="BB107" i="92"/>
  <c r="BC108" i="92"/>
  <c r="BD60" i="92"/>
  <c r="BB56" i="92"/>
  <c r="BC101" i="92"/>
  <c r="BC103" i="92"/>
  <c r="BD54" i="92"/>
  <c r="BE64" i="92"/>
  <c r="BD111" i="92"/>
  <c r="BB60" i="92"/>
  <c r="BB111" i="92"/>
  <c r="BD62" i="92"/>
  <c r="BC109" i="92"/>
  <c r="BE62" i="92"/>
  <c r="BC107" i="92"/>
  <c r="BC100" i="92"/>
  <c r="BC99" i="92"/>
  <c r="BD53" i="92"/>
  <c r="BC106" i="92"/>
  <c r="BC110" i="92"/>
  <c r="BC111" i="92"/>
  <c r="BD104" i="92"/>
  <c r="BB104" i="92"/>
  <c r="BB55" i="92"/>
  <c r="BD98" i="92"/>
  <c r="BB109" i="92"/>
  <c r="BE65" i="92"/>
  <c r="BB105" i="92"/>
  <c r="BB103" i="92"/>
  <c r="BE66" i="92"/>
  <c r="BB64" i="92"/>
  <c r="BB62" i="92"/>
  <c r="BB54" i="92"/>
  <c r="BD99" i="92"/>
  <c r="BD97" i="92"/>
  <c r="BD66" i="92"/>
  <c r="BD64" i="92"/>
  <c r="BC65" i="92"/>
  <c r="BC66" i="92"/>
  <c r="BB108" i="92"/>
  <c r="BC62" i="92"/>
  <c r="BB110" i="92"/>
  <c r="BE108" i="92"/>
  <c r="BD65" i="92"/>
  <c r="BC64" i="92"/>
  <c r="BB102" i="92"/>
  <c r="BD63" i="92"/>
  <c r="BE68" i="92"/>
  <c r="BB100" i="92"/>
  <c r="BB98" i="92"/>
  <c r="BB59" i="92"/>
  <c r="BB57" i="92"/>
  <c r="BB66" i="92"/>
  <c r="BD105" i="92"/>
  <c r="BD109" i="92"/>
  <c r="BD106" i="92"/>
  <c r="BD61" i="92"/>
  <c r="BE111" i="92"/>
  <c r="BE110" i="92"/>
  <c r="BE107" i="92"/>
  <c r="BC61" i="92"/>
  <c r="BB101" i="92"/>
  <c r="BB106" i="92"/>
  <c r="BB63" i="92"/>
  <c r="BD107" i="92"/>
  <c r="BB53" i="92"/>
  <c r="BD101" i="92"/>
  <c r="BE106" i="92"/>
  <c r="BC63" i="92"/>
  <c r="BC60" i="92"/>
  <c r="BB115" i="92"/>
  <c r="BB117" i="92"/>
  <c r="BE113" i="92"/>
  <c r="BD130" i="92"/>
  <c r="BE87" i="92"/>
  <c r="BB124" i="92"/>
  <c r="BE73" i="92"/>
  <c r="BE119" i="92"/>
  <c r="BE72" i="92"/>
  <c r="BC132" i="92"/>
  <c r="BB118" i="92"/>
  <c r="BB132" i="92"/>
  <c r="BE74" i="92"/>
  <c r="BB134" i="92"/>
  <c r="BD75" i="92"/>
  <c r="BB125" i="92"/>
  <c r="BB133" i="92"/>
  <c r="BE79" i="92"/>
  <c r="BD133" i="92"/>
  <c r="BE77" i="92"/>
  <c r="BB88" i="92"/>
  <c r="BB119" i="92"/>
  <c r="BB128" i="92"/>
  <c r="BE71" i="92"/>
  <c r="BE67" i="92"/>
  <c r="BE69" i="92"/>
  <c r="BD132" i="92"/>
  <c r="BE76" i="92"/>
  <c r="BC87" i="92"/>
  <c r="BB123" i="92"/>
  <c r="BB122" i="92"/>
  <c r="BE78" i="92"/>
  <c r="BB77" i="92"/>
  <c r="BB82" i="92"/>
  <c r="BC119" i="92"/>
  <c r="BC113" i="92"/>
  <c r="BC116" i="92"/>
  <c r="BC121" i="92"/>
  <c r="BC126" i="92"/>
  <c r="BD115" i="92"/>
  <c r="BD120" i="92"/>
  <c r="BD124" i="92"/>
  <c r="BD69" i="92"/>
  <c r="BE123" i="92"/>
  <c r="BE130" i="92"/>
  <c r="BC71" i="92"/>
  <c r="BC76" i="92"/>
  <c r="BC81" i="92"/>
  <c r="BC86" i="92"/>
  <c r="BC85" i="92"/>
  <c r="BC84" i="92"/>
  <c r="BB113" i="92"/>
  <c r="BB112" i="92"/>
  <c r="BB116" i="92"/>
  <c r="BB121" i="92"/>
  <c r="BB126" i="92"/>
  <c r="BB71" i="92"/>
  <c r="BB76" i="92"/>
  <c r="BB81" i="92"/>
  <c r="BB86" i="92"/>
  <c r="BB85" i="92"/>
  <c r="BB84" i="92"/>
  <c r="BC129" i="92"/>
  <c r="BC115" i="92"/>
  <c r="BC120" i="92"/>
  <c r="BC124" i="92"/>
  <c r="BD123" i="92"/>
  <c r="BD113" i="92"/>
  <c r="BD114" i="92"/>
  <c r="BD118" i="92"/>
  <c r="BD86" i="92"/>
  <c r="BD85" i="92"/>
  <c r="BD84" i="92"/>
  <c r="BE132" i="92"/>
  <c r="BE118" i="92"/>
  <c r="BE126" i="92"/>
  <c r="BE134" i="92"/>
  <c r="BC70" i="92"/>
  <c r="BC75" i="92"/>
  <c r="BC80" i="92"/>
  <c r="BC79" i="92"/>
  <c r="BC78" i="92"/>
  <c r="BC114" i="92"/>
  <c r="BC118" i="92"/>
  <c r="BD131" i="92"/>
  <c r="BD134" i="92"/>
  <c r="BD112" i="92"/>
  <c r="BD80" i="92"/>
  <c r="BD79" i="92"/>
  <c r="BD78" i="92"/>
  <c r="BD83" i="92"/>
  <c r="BD88" i="92"/>
  <c r="BE114" i="92"/>
  <c r="BE128" i="92"/>
  <c r="BE133" i="92"/>
  <c r="BC69" i="92"/>
  <c r="BC74" i="92"/>
  <c r="BC72" i="92"/>
  <c r="BB87" i="92"/>
  <c r="BB120" i="92"/>
  <c r="BB80" i="92"/>
  <c r="BB114" i="92"/>
  <c r="BB69" i="92"/>
  <c r="BB74" i="92"/>
  <c r="BB72" i="92"/>
  <c r="BC117" i="92"/>
  <c r="BC134" i="92"/>
  <c r="BC112" i="92"/>
  <c r="BD129" i="92"/>
  <c r="BD119" i="92"/>
  <c r="BD128" i="92"/>
  <c r="BD74" i="92"/>
  <c r="BD73" i="92"/>
  <c r="BD72" i="92"/>
  <c r="BD77" i="92"/>
  <c r="BD82" i="92"/>
  <c r="BD87" i="92"/>
  <c r="BE122" i="92"/>
  <c r="BE127" i="92"/>
  <c r="BE131" i="92"/>
  <c r="BC89" i="92"/>
  <c r="BC68" i="92"/>
  <c r="BE85" i="92"/>
  <c r="BB70" i="92"/>
  <c r="BB75" i="92"/>
  <c r="BB79" i="92"/>
  <c r="BB78" i="92"/>
  <c r="BB131" i="92"/>
  <c r="BB130" i="92"/>
  <c r="BB129" i="92"/>
  <c r="BE81" i="92"/>
  <c r="BE84" i="92"/>
  <c r="BB89" i="92"/>
  <c r="BB68" i="92"/>
  <c r="BB67" i="92"/>
  <c r="BC128" i="92"/>
  <c r="BC133" i="92"/>
  <c r="BD122" i="92"/>
  <c r="BD68" i="92"/>
  <c r="BD67" i="92"/>
  <c r="BD71" i="92"/>
  <c r="BD76" i="92"/>
  <c r="BD81" i="92"/>
  <c r="BE129" i="92"/>
  <c r="BE124" i="92"/>
  <c r="BE116" i="92"/>
  <c r="BE121" i="92"/>
  <c r="BE125" i="92"/>
  <c r="BC83" i="92"/>
  <c r="BE88" i="92"/>
  <c r="BE82" i="92"/>
  <c r="BE89" i="92"/>
  <c r="BB83" i="92"/>
  <c r="BC125" i="92"/>
  <c r="BC122" i="92"/>
  <c r="BC127" i="92"/>
  <c r="BD125" i="92"/>
  <c r="BD116" i="92"/>
  <c r="BD121" i="92"/>
  <c r="BD126" i="92"/>
  <c r="BD70" i="92"/>
  <c r="BE117" i="92"/>
  <c r="BE115" i="92"/>
  <c r="BC77" i="92"/>
  <c r="BC82" i="92"/>
  <c r="BC131" i="92" l="1"/>
  <c r="BC88" i="92"/>
  <c r="BD127" i="92"/>
  <c r="BC67" i="92"/>
  <c r="BC123" i="92"/>
  <c r="BC73" i="92"/>
  <c r="BE120" i="92"/>
  <c r="BD117" i="92"/>
  <c r="BE86" i="92"/>
  <c r="BB73" i="92"/>
  <c r="BD89" i="92"/>
  <c r="BE83" i="92"/>
  <c r="BC130" i="92"/>
  <c r="BE80" i="92"/>
  <c r="BB127" i="92"/>
  <c r="BE75" i="92"/>
  <c r="BE70" i="92"/>
  <c r="BD103" i="92"/>
  <c r="BB61" i="92"/>
  <c r="BD59" i="92"/>
  <c r="BB65" i="92"/>
  <c r="BE112" i="92"/>
  <c r="BE97" i="92"/>
  <c r="BE56" i="92"/>
  <c r="BE52" i="92"/>
  <c r="BE104" i="92"/>
  <c r="BE100" i="92"/>
  <c r="BE101" i="92"/>
  <c r="BE102" i="92"/>
  <c r="BE59" i="92"/>
  <c r="BE98" i="92"/>
  <c r="BE53" i="92"/>
  <c r="BE57" i="92"/>
  <c r="BE99" i="92"/>
  <c r="BE103" i="92"/>
  <c r="BE54" i="92"/>
  <c r="BE58" i="92"/>
  <c r="BE55" i="92"/>
  <c r="BB9" i="92" l="1"/>
  <c r="BB10" i="92"/>
  <c r="BB11" i="92"/>
  <c r="BB6" i="92"/>
  <c r="BB12" i="92"/>
  <c r="BB7" i="92"/>
  <c r="BB13" i="92"/>
  <c r="BB8" i="92"/>
  <c r="BB14" i="92"/>
  <c r="BE10" i="92"/>
  <c r="BE6" i="92"/>
  <c r="BE12" i="92"/>
  <c r="BE7" i="92"/>
  <c r="BE13" i="92"/>
  <c r="BE9" i="92"/>
  <c r="BE11" i="92"/>
  <c r="BE14" i="92"/>
  <c r="BE8" i="92"/>
  <c r="BD9" i="92"/>
  <c r="BD10" i="92"/>
  <c r="BD11" i="92"/>
  <c r="BD6" i="92"/>
  <c r="BD12" i="92"/>
  <c r="BD7" i="92"/>
  <c r="BD13" i="92"/>
  <c r="BD8" i="92"/>
  <c r="BD14" i="92"/>
  <c r="BC7" i="92"/>
  <c r="BC13" i="92"/>
  <c r="BC9" i="92"/>
  <c r="BC10" i="92"/>
  <c r="BC11" i="92"/>
  <c r="BC6" i="92"/>
  <c r="BC14" i="92"/>
  <c r="BC8" i="92"/>
  <c r="BC12" i="92"/>
  <c r="BE15" i="92" l="1"/>
  <c r="BD15" i="92"/>
  <c r="BC16" i="92"/>
  <c r="BB16" i="92"/>
  <c r="BD16" i="92"/>
  <c r="BB15" i="92"/>
  <c r="BC15" i="92"/>
  <c r="BE17" i="92" l="1"/>
  <c r="BE16" i="92"/>
  <c r="BD17" i="92" l="1"/>
  <c r="BB17" i="92"/>
  <c r="BC17" i="92"/>
  <c r="BC18" i="92"/>
  <c r="BE18" i="92" l="1"/>
  <c r="BD18" i="92"/>
  <c r="BC19" i="92"/>
  <c r="BB18" i="92"/>
  <c r="BD19" i="92" l="1"/>
  <c r="BD20" i="92"/>
  <c r="BE20" i="92"/>
  <c r="BE19" i="92"/>
  <c r="BB19" i="92"/>
  <c r="BC20" i="92" l="1"/>
  <c r="BB20" i="92"/>
  <c r="BD21" i="92"/>
  <c r="BE21" i="92"/>
  <c r="BB38" i="92" l="1"/>
  <c r="BB39" i="92"/>
  <c r="BC30" i="92"/>
  <c r="BD24" i="92"/>
  <c r="BC39" i="92"/>
  <c r="BC41" i="92"/>
  <c r="BC42" i="92"/>
  <c r="BB27" i="92"/>
  <c r="BB28" i="92"/>
  <c r="BC29" i="92"/>
  <c r="BB21" i="92"/>
  <c r="BC26" i="92"/>
  <c r="BE22" i="92"/>
  <c r="BC22" i="92"/>
  <c r="BE38" i="92"/>
  <c r="BC21" i="92"/>
  <c r="BB26" i="92"/>
  <c r="BD41" i="92"/>
  <c r="BD31" i="92"/>
  <c r="BB25" i="92"/>
  <c r="BD32" i="92"/>
  <c r="BE28" i="92"/>
  <c r="BE44" i="92"/>
  <c r="BE31" i="92"/>
  <c r="BE40" i="92"/>
  <c r="BE42" i="92"/>
  <c r="BE25" i="92"/>
  <c r="BE23" i="92"/>
  <c r="BE37" i="92"/>
  <c r="BE36" i="92"/>
  <c r="BE32" i="92"/>
  <c r="BE27" i="92"/>
  <c r="BE33" i="92"/>
  <c r="BE34" i="92"/>
  <c r="BE41" i="92"/>
  <c r="BE30" i="92"/>
  <c r="BE43" i="92"/>
  <c r="BE29" i="92"/>
  <c r="BE24" i="92"/>
  <c r="BE39" i="92"/>
  <c r="BD40" i="92"/>
  <c r="BC36" i="92"/>
  <c r="BC40" i="92"/>
  <c r="BC37" i="92"/>
  <c r="BC28" i="92"/>
  <c r="BC38" i="92"/>
  <c r="BC32" i="92"/>
  <c r="BC34" i="92"/>
  <c r="BC43" i="92"/>
  <c r="BC35" i="92"/>
  <c r="BC25" i="92"/>
  <c r="BC23" i="92"/>
  <c r="BC27" i="92"/>
  <c r="BC33" i="92"/>
  <c r="BE26" i="92"/>
  <c r="BD42" i="92"/>
  <c r="BD22" i="92"/>
  <c r="BD33" i="92"/>
  <c r="BD26" i="92"/>
  <c r="BD29" i="92"/>
  <c r="BD28" i="92"/>
  <c r="BD39" i="92"/>
  <c r="BD36" i="92"/>
  <c r="BD23" i="92"/>
  <c r="BD37" i="92"/>
  <c r="BD30" i="92"/>
  <c r="BD38" i="92"/>
  <c r="BD27" i="92"/>
  <c r="BD43" i="92"/>
  <c r="BD34" i="92"/>
  <c r="BD35" i="92"/>
  <c r="BC44" i="92"/>
  <c r="BD44" i="92"/>
  <c r="BB31" i="92"/>
  <c r="BB40" i="92"/>
  <c r="BB37" i="92"/>
  <c r="BE35" i="92"/>
  <c r="BB32" i="92"/>
  <c r="BB43" i="92"/>
  <c r="BB35" i="92"/>
  <c r="BB29" i="92"/>
  <c r="BB34" i="92"/>
  <c r="BB33" i="92"/>
  <c r="BB30" i="92"/>
  <c r="BB24" i="92"/>
  <c r="BB42" i="92"/>
  <c r="BB36" i="92"/>
  <c r="BB41" i="92"/>
  <c r="BB23" i="92"/>
  <c r="BB22" i="92"/>
  <c r="BB44" i="92"/>
  <c r="BC31" i="92"/>
  <c r="BC24" i="92"/>
  <c r="BD25" i="92"/>
  <c r="BF14" i="92" l="1"/>
  <c r="BF9" i="92"/>
  <c r="BF17" i="92"/>
  <c r="BG14" i="92"/>
  <c r="BG13" i="92"/>
  <c r="BI18" i="92"/>
  <c r="BH6" i="92"/>
  <c r="BH17" i="92"/>
  <c r="BF18" i="92"/>
  <c r="BF15" i="92"/>
  <c r="BF10" i="92"/>
  <c r="BG7" i="92"/>
  <c r="BG12" i="92"/>
  <c r="BG16" i="92"/>
  <c r="BI17" i="92"/>
  <c r="BH21" i="92"/>
  <c r="BH11" i="92"/>
  <c r="BH13" i="92"/>
  <c r="BF6" i="92"/>
  <c r="BF19" i="92"/>
  <c r="BF16" i="92"/>
  <c r="BG18" i="92"/>
  <c r="BG10" i="92"/>
  <c r="BI21" i="92"/>
  <c r="BH18" i="92"/>
  <c r="BH9" i="92"/>
  <c r="BF12" i="92"/>
  <c r="BF8" i="92"/>
  <c r="BF13" i="92"/>
  <c r="BG21" i="92"/>
  <c r="BG17" i="92"/>
  <c r="BG9" i="92"/>
  <c r="BH12" i="92"/>
  <c r="BH15" i="92"/>
  <c r="BH8" i="92"/>
  <c r="BF20" i="92"/>
  <c r="BF11" i="92"/>
  <c r="BF7" i="92"/>
  <c r="BG22" i="92"/>
  <c r="BG15" i="92"/>
  <c r="BG20" i="92"/>
  <c r="BG11" i="92"/>
  <c r="BI16" i="92"/>
  <c r="BI15" i="92"/>
  <c r="BH20" i="92"/>
  <c r="BH7" i="92"/>
  <c r="BH14" i="92"/>
  <c r="BF21" i="92"/>
  <c r="BF22" i="92"/>
  <c r="BG19" i="92"/>
  <c r="BG8" i="92"/>
  <c r="BG6" i="92"/>
  <c r="BI19" i="92"/>
  <c r="BI20" i="92"/>
  <c r="BH16" i="92"/>
  <c r="BH10" i="92"/>
  <c r="BH19" i="92"/>
  <c r="AJ7" i="93"/>
  <c r="AL20" i="93"/>
  <c r="AJ10" i="93"/>
  <c r="AK17" i="93"/>
  <c r="AL21" i="93"/>
  <c r="AJ22" i="93"/>
  <c r="AL19" i="93"/>
  <c r="AK8" i="93"/>
  <c r="AK13" i="93"/>
  <c r="AJ18" i="93"/>
  <c r="AI6" i="93"/>
  <c r="AI22" i="93"/>
  <c r="AK12" i="93"/>
  <c r="AL17" i="93"/>
  <c r="AL18" i="93"/>
  <c r="AI7" i="93"/>
  <c r="AJ12" i="93"/>
  <c r="AK18" i="93"/>
  <c r="AJ11" i="93"/>
  <c r="AK7" i="93"/>
  <c r="AK21" i="93"/>
  <c r="AK14" i="93"/>
  <c r="AJ15" i="93"/>
  <c r="AI14" i="93"/>
  <c r="AI20" i="93"/>
  <c r="AJ19" i="93"/>
  <c r="AJ20" i="93"/>
  <c r="AI15" i="93"/>
  <c r="AK11" i="93"/>
  <c r="AJ8" i="93"/>
  <c r="AI11" i="93"/>
  <c r="AK20" i="93"/>
  <c r="AI10" i="93"/>
  <c r="AJ21" i="93"/>
  <c r="AK16" i="93"/>
  <c r="AI12" i="93"/>
  <c r="AJ14" i="93"/>
  <c r="AJ16" i="93"/>
  <c r="AK6" i="93"/>
  <c r="AJ6" i="93"/>
  <c r="AK15" i="93"/>
  <c r="AI19" i="93"/>
  <c r="AJ17" i="93"/>
  <c r="AJ9" i="93"/>
  <c r="AK9" i="93"/>
  <c r="AI17" i="93"/>
  <c r="AI16" i="93"/>
  <c r="AI8" i="93"/>
  <c r="AK19" i="93"/>
  <c r="AJ13" i="93"/>
  <c r="AI18" i="93"/>
  <c r="AI13" i="93"/>
  <c r="AL15" i="93"/>
  <c r="AK10" i="93"/>
  <c r="AI21" i="93"/>
  <c r="AI9" i="93"/>
  <c r="AL16" i="93"/>
  <c r="AM16" i="93" l="1"/>
  <c r="AO16" i="93" s="1"/>
  <c r="AM20" i="93"/>
  <c r="AO20" i="93" s="1"/>
  <c r="AM19" i="93"/>
  <c r="AO19" i="93" s="1"/>
  <c r="AM17" i="93"/>
  <c r="AO17" i="93" s="1"/>
  <c r="AM21" i="93"/>
  <c r="AO21" i="93" s="1"/>
  <c r="AM15" i="93"/>
  <c r="AO15" i="93" s="1"/>
  <c r="AM18" i="93"/>
  <c r="AO18" i="93" s="1"/>
  <c r="BH63" i="92"/>
  <c r="BI64" i="92"/>
  <c r="BF54" i="92"/>
  <c r="BI63" i="92"/>
  <c r="BG67" i="92"/>
  <c r="BH60" i="92"/>
  <c r="BH57" i="92"/>
  <c r="BH55" i="92"/>
  <c r="BI22" i="92"/>
  <c r="BF59" i="92"/>
  <c r="BF56" i="92"/>
  <c r="BF63" i="92"/>
  <c r="BI68" i="92"/>
  <c r="BG62" i="92"/>
  <c r="BG65" i="92"/>
  <c r="BG53" i="92"/>
  <c r="BH62" i="92"/>
  <c r="BF55" i="92"/>
  <c r="BH61" i="92"/>
  <c r="BH51" i="92"/>
  <c r="BI23" i="92"/>
  <c r="BF65" i="92"/>
  <c r="BF57" i="92"/>
  <c r="BF60" i="92"/>
  <c r="BI65" i="92"/>
  <c r="BG61" i="92"/>
  <c r="BG60" i="92"/>
  <c r="BG57" i="92"/>
  <c r="BI66" i="92"/>
  <c r="BF58" i="92"/>
  <c r="BH68" i="92"/>
  <c r="BH54" i="92"/>
  <c r="BF61" i="92"/>
  <c r="BF62" i="92"/>
  <c r="BF67" i="92"/>
  <c r="BH22" i="92"/>
  <c r="BG68" i="92"/>
  <c r="BG59" i="92"/>
  <c r="BG66" i="92"/>
  <c r="BF68" i="92"/>
  <c r="BI67" i="92"/>
  <c r="BG63" i="92"/>
  <c r="BH58" i="92"/>
  <c r="BH65" i="92"/>
  <c r="BH53" i="92"/>
  <c r="BF66" i="92"/>
  <c r="BF64" i="92"/>
  <c r="BF51" i="92"/>
  <c r="BI60" i="92"/>
  <c r="BG51" i="92"/>
  <c r="BG64" i="92"/>
  <c r="BG58" i="92"/>
  <c r="BH52" i="92"/>
  <c r="BG54" i="92"/>
  <c r="BH66" i="92"/>
  <c r="BH64" i="92"/>
  <c r="BH59" i="92"/>
  <c r="BF53" i="92"/>
  <c r="BF52" i="92"/>
  <c r="BI61" i="92"/>
  <c r="BI62" i="92"/>
  <c r="BG56" i="92"/>
  <c r="BG55" i="92"/>
  <c r="BG52" i="92"/>
  <c r="BH67" i="92"/>
  <c r="BI9" i="92"/>
  <c r="BI12" i="92"/>
  <c r="BI7" i="92"/>
  <c r="BI10" i="92"/>
  <c r="BI6" i="92"/>
  <c r="BI13" i="92"/>
  <c r="BI8" i="92"/>
  <c r="BI14" i="92"/>
  <c r="BI11" i="92"/>
  <c r="AJ51" i="93"/>
  <c r="AJ52" i="93"/>
  <c r="AI62" i="93"/>
  <c r="AK57" i="93"/>
  <c r="AL10" i="93"/>
  <c r="AJ62" i="93"/>
  <c r="AK58" i="93"/>
  <c r="AI53" i="93"/>
  <c r="AL9" i="93"/>
  <c r="AI64" i="93"/>
  <c r="AJ56" i="93"/>
  <c r="AJ57" i="93"/>
  <c r="AL14" i="93"/>
  <c r="AK61" i="93"/>
  <c r="AK59" i="93"/>
  <c r="AJ64" i="93"/>
  <c r="AI56" i="93"/>
  <c r="AJ65" i="93"/>
  <c r="AJ54" i="93"/>
  <c r="AL6" i="93"/>
  <c r="AJ53" i="93"/>
  <c r="AK68" i="93"/>
  <c r="AI59" i="93"/>
  <c r="AI61" i="93"/>
  <c r="AJ67" i="93"/>
  <c r="AL67" i="93"/>
  <c r="AK62" i="93"/>
  <c r="AK65" i="93"/>
  <c r="AK64" i="93"/>
  <c r="AL60" i="93"/>
  <c r="AI51" i="93"/>
  <c r="AJ61" i="93"/>
  <c r="AJ63" i="93"/>
  <c r="AI52" i="93"/>
  <c r="AK66" i="93"/>
  <c r="AL8" i="93"/>
  <c r="AI54" i="93"/>
  <c r="AK63" i="93"/>
  <c r="AL13" i="93"/>
  <c r="AI67" i="93"/>
  <c r="AL65" i="93"/>
  <c r="AK51" i="93"/>
  <c r="AL64" i="93"/>
  <c r="AK60" i="93"/>
  <c r="AK67" i="93"/>
  <c r="AI55" i="93"/>
  <c r="AL7" i="93"/>
  <c r="AI66" i="93"/>
  <c r="AJ58" i="93"/>
  <c r="AI58" i="93"/>
  <c r="AL66" i="93"/>
  <c r="AK22" i="93"/>
  <c r="AK52" i="93"/>
  <c r="AI60" i="93"/>
  <c r="AJ68" i="93"/>
  <c r="AL68" i="93"/>
  <c r="AL23" i="93"/>
  <c r="AL22" i="93"/>
  <c r="AL12" i="93"/>
  <c r="AI68" i="93"/>
  <c r="AL11" i="93"/>
  <c r="AL62" i="93"/>
  <c r="AI65" i="93"/>
  <c r="AL61" i="93"/>
  <c r="AL63" i="93"/>
  <c r="AJ59" i="93"/>
  <c r="AJ66" i="93"/>
  <c r="AJ55" i="93"/>
  <c r="AI63" i="93"/>
  <c r="AK54" i="93"/>
  <c r="AJ60" i="93"/>
  <c r="AK53" i="93"/>
  <c r="AK55" i="93"/>
  <c r="AI57" i="93"/>
  <c r="AM13" i="93" l="1"/>
  <c r="AO13" i="93" s="1"/>
  <c r="AM62" i="93"/>
  <c r="AO62" i="93" s="1"/>
  <c r="AM6" i="93"/>
  <c r="AO6" i="93" s="1"/>
  <c r="AM61" i="93"/>
  <c r="AO61" i="93" s="1"/>
  <c r="AM64" i="93"/>
  <c r="AO64" i="93" s="1"/>
  <c r="AM8" i="93"/>
  <c r="AO8" i="93" s="1"/>
  <c r="AM10" i="93"/>
  <c r="AO10" i="93" s="1"/>
  <c r="AM66" i="93"/>
  <c r="AO66" i="93" s="1"/>
  <c r="AM7" i="93"/>
  <c r="AO7" i="93" s="1"/>
  <c r="AM63" i="93"/>
  <c r="AO63" i="93" s="1"/>
  <c r="AM12" i="93"/>
  <c r="AO12" i="93" s="1"/>
  <c r="AM11" i="93"/>
  <c r="AO11" i="93" s="1"/>
  <c r="AM68" i="93"/>
  <c r="AO68" i="93" s="1"/>
  <c r="AM60" i="93"/>
  <c r="AO60" i="93" s="1"/>
  <c r="AM14" i="93"/>
  <c r="AO14" i="93" s="1"/>
  <c r="AM65" i="93"/>
  <c r="AO65" i="93" s="1"/>
  <c r="AM9" i="93"/>
  <c r="AO9" i="93" s="1"/>
  <c r="AM22" i="93"/>
  <c r="AO22" i="93" s="1"/>
  <c r="AM67" i="93"/>
  <c r="AO67" i="93" s="1"/>
  <c r="BH56" i="92"/>
  <c r="BI57" i="92"/>
  <c r="BI56" i="92"/>
  <c r="BI53" i="92"/>
  <c r="BI54" i="92"/>
  <c r="BI55" i="92"/>
  <c r="BI52" i="92"/>
  <c r="BI59" i="92"/>
  <c r="BI58" i="92"/>
  <c r="BI51" i="92"/>
  <c r="AL56" i="93"/>
  <c r="AL52" i="93"/>
  <c r="AL57" i="93"/>
  <c r="AL51" i="93"/>
  <c r="AL59" i="93"/>
  <c r="AL58" i="93"/>
  <c r="AL53" i="93"/>
  <c r="AL54" i="93"/>
  <c r="AK56" i="93"/>
  <c r="AL55" i="93"/>
  <c r="AM53" i="93" l="1"/>
  <c r="AO53" i="93" s="1"/>
  <c r="AM51" i="93"/>
  <c r="AO51" i="93" s="1"/>
  <c r="AM55" i="93"/>
  <c r="AO55" i="93" s="1"/>
  <c r="AM59" i="93"/>
  <c r="AO59" i="93" s="1"/>
  <c r="AM56" i="93"/>
  <c r="AO56" i="93" s="1"/>
  <c r="AM52" i="93"/>
  <c r="AO52" i="93" s="1"/>
  <c r="AM57" i="93"/>
  <c r="AO57" i="93" s="1"/>
  <c r="AM58" i="93"/>
  <c r="AO58" i="93" s="1"/>
  <c r="AM54" i="93"/>
  <c r="AO54" i="93" s="1"/>
  <c r="BF104" i="92"/>
  <c r="BI114" i="92"/>
  <c r="BG109" i="92"/>
  <c r="BH103" i="92"/>
  <c r="BH109" i="92"/>
  <c r="BH107" i="92"/>
  <c r="BF97" i="92"/>
  <c r="BG98" i="92"/>
  <c r="BG114" i="92"/>
  <c r="BG102" i="92"/>
  <c r="BI106" i="92"/>
  <c r="BG105" i="92"/>
  <c r="BF106" i="92"/>
  <c r="BI108" i="92"/>
  <c r="BG99" i="92"/>
  <c r="BH114" i="92"/>
  <c r="BH100" i="92"/>
  <c r="BH104" i="92"/>
  <c r="BG110" i="92"/>
  <c r="BG106" i="92"/>
  <c r="BG104" i="92"/>
  <c r="BF102" i="92"/>
  <c r="BF110" i="92"/>
  <c r="BG107" i="92"/>
  <c r="BG108" i="92"/>
  <c r="BF105" i="92"/>
  <c r="BH105" i="92"/>
  <c r="BF111" i="92"/>
  <c r="BF114" i="92"/>
  <c r="BF108" i="92"/>
  <c r="BH113" i="92"/>
  <c r="BI109" i="92"/>
  <c r="BI113" i="92"/>
  <c r="BF109" i="92"/>
  <c r="BG113" i="92"/>
  <c r="BH110" i="92"/>
  <c r="BG101" i="92"/>
  <c r="BI105" i="92"/>
  <c r="BH102" i="92"/>
  <c r="BF112" i="92"/>
  <c r="BH111" i="92"/>
  <c r="BI110" i="92"/>
  <c r="BI112" i="92"/>
  <c r="BH112" i="92"/>
  <c r="BH98" i="92"/>
  <c r="BG112" i="92"/>
  <c r="BG97" i="92"/>
  <c r="BF103" i="92"/>
  <c r="BF99" i="92"/>
  <c r="BF107" i="92"/>
  <c r="BH101" i="92"/>
  <c r="BG103" i="92"/>
  <c r="BI111" i="92"/>
  <c r="BF98" i="92"/>
  <c r="BI107" i="92"/>
  <c r="BG111" i="92"/>
  <c r="BH108" i="92"/>
  <c r="BH99" i="92"/>
  <c r="BH97" i="92"/>
  <c r="BF101" i="92"/>
  <c r="BF100" i="92"/>
  <c r="BG100" i="92"/>
  <c r="BF113" i="92"/>
  <c r="BH106" i="92"/>
  <c r="BI96" i="92"/>
  <c r="BI102" i="92"/>
  <c r="BI103" i="92"/>
  <c r="BI99" i="92"/>
  <c r="BI97" i="92"/>
  <c r="BI104" i="92"/>
  <c r="BI98" i="92"/>
  <c r="BI101" i="92"/>
  <c r="BI100" i="92"/>
  <c r="AL112" i="93"/>
  <c r="AL103" i="93"/>
  <c r="AK110" i="93"/>
  <c r="AI111" i="93"/>
  <c r="AI98" i="93"/>
  <c r="AL105" i="93"/>
  <c r="AJ111" i="93"/>
  <c r="AK97" i="93"/>
  <c r="AI114" i="93"/>
  <c r="AL109" i="93"/>
  <c r="AK102" i="93"/>
  <c r="AJ97" i="93"/>
  <c r="AL96" i="93"/>
  <c r="AL114" i="93"/>
  <c r="AK109" i="93"/>
  <c r="AK104" i="93"/>
  <c r="AL99" i="93"/>
  <c r="AK99" i="93"/>
  <c r="AI97" i="93"/>
  <c r="AL102" i="93"/>
  <c r="AJ112" i="93"/>
  <c r="AJ114" i="93"/>
  <c r="AI110" i="93"/>
  <c r="AI113" i="93"/>
  <c r="AJ106" i="93"/>
  <c r="AL110" i="93"/>
  <c r="AI107" i="93"/>
  <c r="AK105" i="93"/>
  <c r="AI108" i="93"/>
  <c r="AI105" i="93"/>
  <c r="AI112" i="93"/>
  <c r="AL104" i="93"/>
  <c r="AJ100" i="93"/>
  <c r="AI103" i="93"/>
  <c r="AJ102" i="93"/>
  <c r="AJ107" i="93"/>
  <c r="AI102" i="93"/>
  <c r="AL107" i="93"/>
  <c r="AK108" i="93"/>
  <c r="AK106" i="93"/>
  <c r="AK103" i="93"/>
  <c r="AK100" i="93"/>
  <c r="AL113" i="93"/>
  <c r="AI106" i="93"/>
  <c r="AJ109" i="93"/>
  <c r="AK101" i="93"/>
  <c r="AJ99" i="93"/>
  <c r="AK111" i="93"/>
  <c r="AJ98" i="93"/>
  <c r="AK113" i="93"/>
  <c r="AI109" i="93"/>
  <c r="AK112" i="93"/>
  <c r="AL111" i="93"/>
  <c r="AK98" i="93"/>
  <c r="AJ113" i="93"/>
  <c r="AL100" i="93"/>
  <c r="AL98" i="93"/>
  <c r="AJ104" i="93"/>
  <c r="AI101" i="93"/>
  <c r="AI99" i="93"/>
  <c r="AL108" i="93"/>
  <c r="AJ105" i="93"/>
  <c r="AI100" i="93"/>
  <c r="AJ110" i="93"/>
  <c r="AK114" i="93"/>
  <c r="AL97" i="93"/>
  <c r="AL101" i="93"/>
  <c r="AJ101" i="93"/>
  <c r="AI104" i="93"/>
  <c r="AK107" i="93"/>
  <c r="AJ103" i="93"/>
  <c r="AL106" i="93"/>
  <c r="AJ108" i="93"/>
  <c r="AM110" i="93" l="1"/>
  <c r="AO110" i="93" s="1"/>
  <c r="AM102" i="93"/>
  <c r="AO102" i="93" s="1"/>
  <c r="AM97" i="93"/>
  <c r="AO97" i="93" s="1"/>
  <c r="AM109" i="93"/>
  <c r="AO109" i="93" s="1"/>
  <c r="AM113" i="93"/>
  <c r="AO113" i="93" s="1"/>
  <c r="AM99" i="93"/>
  <c r="AO99" i="93" s="1"/>
  <c r="AM103" i="93"/>
  <c r="AO103" i="93" s="1"/>
  <c r="AM100" i="93"/>
  <c r="AO100" i="93" s="1"/>
  <c r="AM107" i="93"/>
  <c r="AO107" i="93" s="1"/>
  <c r="AM114" i="93"/>
  <c r="AO114" i="93" s="1"/>
  <c r="AM111" i="93"/>
  <c r="AO111" i="93" s="1"/>
  <c r="AM106" i="93"/>
  <c r="AO106" i="93" s="1"/>
  <c r="AM108" i="93"/>
  <c r="AO108" i="93" s="1"/>
  <c r="AM104" i="93"/>
  <c r="AO104" i="93" s="1"/>
  <c r="AM101" i="93"/>
  <c r="AO101" i="93" s="1"/>
  <c r="AM105" i="93"/>
  <c r="AO105" i="93" s="1"/>
  <c r="AM112" i="93"/>
  <c r="AO112" i="93" s="1"/>
  <c r="AM98" i="93"/>
  <c r="AO98" i="93" s="1"/>
  <c r="BI192" i="92"/>
  <c r="BI146" i="92"/>
  <c r="BI188" i="92"/>
  <c r="BI147" i="92"/>
  <c r="BI148" i="92"/>
  <c r="BI141" i="92"/>
  <c r="BI143" i="92"/>
  <c r="BI190" i="92"/>
  <c r="BI191" i="92"/>
  <c r="BI194" i="92"/>
  <c r="BI142" i="92"/>
  <c r="BI187" i="92"/>
  <c r="BI149" i="92"/>
  <c r="BI186" i="92"/>
  <c r="BI189" i="92"/>
  <c r="BI193" i="92"/>
  <c r="BI144" i="92"/>
  <c r="BI145" i="92"/>
  <c r="AL192" i="93"/>
  <c r="AL142" i="93"/>
  <c r="AL194" i="93"/>
  <c r="AL189" i="93"/>
  <c r="AL187" i="93"/>
  <c r="AL186" i="93"/>
  <c r="AL191" i="93"/>
  <c r="AL145" i="93"/>
  <c r="AL144" i="93"/>
  <c r="AL149" i="93"/>
  <c r="AL146" i="93"/>
  <c r="AL147" i="93"/>
  <c r="AL141" i="93"/>
  <c r="AL148" i="93"/>
  <c r="AL188" i="93"/>
  <c r="AL143" i="93"/>
  <c r="AL190" i="93"/>
  <c r="AL193" i="93"/>
  <c r="BG152" i="92" l="1"/>
  <c r="BF160" i="92"/>
  <c r="BF142" i="92"/>
  <c r="BH70" i="92"/>
  <c r="BH186" i="92"/>
  <c r="BH188" i="92"/>
  <c r="BF200" i="92"/>
  <c r="BH150" i="92"/>
  <c r="BH206" i="92"/>
  <c r="BH158" i="92"/>
  <c r="BF202" i="92"/>
  <c r="BG153" i="92"/>
  <c r="BG148" i="92"/>
  <c r="BF115" i="92"/>
  <c r="BF189" i="92"/>
  <c r="BF159" i="92"/>
  <c r="BH23" i="92"/>
  <c r="BF188" i="92"/>
  <c r="BG195" i="92"/>
  <c r="BH208" i="92"/>
  <c r="BG150" i="92"/>
  <c r="BI205" i="92"/>
  <c r="BG204" i="92"/>
  <c r="BG24" i="92"/>
  <c r="BI158" i="92"/>
  <c r="BG208" i="92"/>
  <c r="BG96" i="92"/>
  <c r="BF148" i="92"/>
  <c r="BG187" i="92"/>
  <c r="BG141" i="92"/>
  <c r="BI69" i="92"/>
  <c r="BH197" i="92"/>
  <c r="BH193" i="92"/>
  <c r="BH155" i="92"/>
  <c r="BH141" i="92"/>
  <c r="BI206" i="92"/>
  <c r="BF158" i="92"/>
  <c r="BF187" i="92"/>
  <c r="BH148" i="92"/>
  <c r="BF198" i="92"/>
  <c r="BH199" i="92"/>
  <c r="BH203" i="92"/>
  <c r="BH144" i="92"/>
  <c r="BI155" i="92"/>
  <c r="BI150" i="92"/>
  <c r="BG161" i="92"/>
  <c r="BF203" i="92"/>
  <c r="BG69" i="92"/>
  <c r="BH202" i="92"/>
  <c r="BG158" i="92"/>
  <c r="BG207" i="92"/>
  <c r="BG192" i="92"/>
  <c r="BF152" i="92"/>
  <c r="BI151" i="92"/>
  <c r="BH160" i="92"/>
  <c r="BI157" i="92"/>
  <c r="BF194" i="92"/>
  <c r="BI153" i="92"/>
  <c r="BH115" i="92"/>
  <c r="BI156" i="92"/>
  <c r="BF191" i="92"/>
  <c r="BG194" i="92"/>
  <c r="BG193" i="92"/>
  <c r="BH187" i="92"/>
  <c r="BH96" i="92"/>
  <c r="BF156" i="92"/>
  <c r="BF69" i="92"/>
  <c r="BF23" i="92"/>
  <c r="BG143" i="92"/>
  <c r="BI204" i="92"/>
  <c r="BH200" i="92"/>
  <c r="BG145" i="92"/>
  <c r="BH190" i="92"/>
  <c r="BF196" i="92"/>
  <c r="BF192" i="92"/>
  <c r="BG206" i="92"/>
  <c r="BH195" i="92"/>
  <c r="BH205" i="92"/>
  <c r="BG190" i="92"/>
  <c r="BI24" i="92"/>
  <c r="BI161" i="92"/>
  <c r="BG115" i="92"/>
  <c r="BH153" i="92"/>
  <c r="BH143" i="92"/>
  <c r="BF70" i="92"/>
  <c r="BF146" i="92"/>
  <c r="BI70" i="92"/>
  <c r="BI152" i="92"/>
  <c r="BF190" i="92"/>
  <c r="BI207" i="92"/>
  <c r="BG72" i="92"/>
  <c r="BH152" i="92"/>
  <c r="BI195" i="92"/>
  <c r="BI154" i="92"/>
  <c r="BG149" i="92"/>
  <c r="BI197" i="92"/>
  <c r="BH207" i="92"/>
  <c r="BF197" i="92"/>
  <c r="BF204" i="92"/>
  <c r="BF141" i="92"/>
  <c r="BG159" i="92"/>
  <c r="BH157" i="92"/>
  <c r="BI202" i="92"/>
  <c r="BG191" i="92"/>
  <c r="BH194" i="92"/>
  <c r="BG157" i="92"/>
  <c r="BF205" i="92"/>
  <c r="BG144" i="92"/>
  <c r="BH151" i="92"/>
  <c r="BH69" i="92"/>
  <c r="BI160" i="92"/>
  <c r="BH204" i="92"/>
  <c r="BG197" i="92"/>
  <c r="BG155" i="92"/>
  <c r="BG205" i="92"/>
  <c r="BF193" i="92"/>
  <c r="BF186" i="92"/>
  <c r="BF153" i="92"/>
  <c r="BH198" i="92"/>
  <c r="BF96" i="92"/>
  <c r="BH191" i="92"/>
  <c r="BF206" i="92"/>
  <c r="BG196" i="92"/>
  <c r="BF143" i="92"/>
  <c r="BG147" i="92"/>
  <c r="BF145" i="92"/>
  <c r="BF201" i="92"/>
  <c r="BI159" i="92"/>
  <c r="BF207" i="92"/>
  <c r="BH145" i="92"/>
  <c r="BI196" i="92"/>
  <c r="BH192" i="92"/>
  <c r="BG199" i="92"/>
  <c r="BF150" i="92"/>
  <c r="BG160" i="92"/>
  <c r="BG151" i="92"/>
  <c r="BH156" i="92"/>
  <c r="BG201" i="92"/>
  <c r="BF147" i="92"/>
  <c r="BG189" i="92"/>
  <c r="BG186" i="92"/>
  <c r="BF199" i="92"/>
  <c r="BH146" i="92"/>
  <c r="BH161" i="92"/>
  <c r="BH201" i="92"/>
  <c r="BF144" i="92"/>
  <c r="BG198" i="92"/>
  <c r="BH147" i="92"/>
  <c r="BG156" i="92"/>
  <c r="BG202" i="92"/>
  <c r="BF155" i="92"/>
  <c r="BH189" i="92"/>
  <c r="BG23" i="92"/>
  <c r="BH149" i="92"/>
  <c r="BH24" i="92"/>
  <c r="BH196" i="92"/>
  <c r="BF24" i="92"/>
  <c r="BI115" i="92"/>
  <c r="BF208" i="92"/>
  <c r="BF149" i="92"/>
  <c r="BG188" i="92"/>
  <c r="BG154" i="92"/>
  <c r="BG203" i="92"/>
  <c r="BI203" i="92"/>
  <c r="BF151" i="92"/>
  <c r="BH154" i="92"/>
  <c r="BI200" i="92"/>
  <c r="BH159" i="92"/>
  <c r="BF195" i="92"/>
  <c r="BG146" i="92"/>
  <c r="BG142" i="92"/>
  <c r="BF157" i="92"/>
  <c r="BI208" i="92"/>
  <c r="BH142" i="92"/>
  <c r="BF154" i="92"/>
  <c r="BI201" i="92"/>
  <c r="BF161" i="92"/>
  <c r="BI198" i="92"/>
  <c r="BI199" i="92"/>
  <c r="BG200" i="92"/>
  <c r="AJ199" i="93"/>
  <c r="AK198" i="93"/>
  <c r="AJ186" i="93"/>
  <c r="AK191" i="93"/>
  <c r="AL24" i="93"/>
  <c r="AJ198" i="93"/>
  <c r="AJ202" i="93"/>
  <c r="AI115" i="93"/>
  <c r="AL153" i="93"/>
  <c r="AJ149" i="93"/>
  <c r="AI195" i="93"/>
  <c r="AJ96" i="93"/>
  <c r="AK145" i="93"/>
  <c r="AJ190" i="93"/>
  <c r="AJ152" i="93"/>
  <c r="AL196" i="93"/>
  <c r="AL195" i="93"/>
  <c r="AJ141" i="93"/>
  <c r="AL198" i="93"/>
  <c r="AI150" i="93"/>
  <c r="AJ206" i="93"/>
  <c r="AJ192" i="93"/>
  <c r="AI147" i="93"/>
  <c r="AL154" i="93"/>
  <c r="AI152" i="93"/>
  <c r="AI151" i="93"/>
  <c r="AI161" i="93"/>
  <c r="AJ208" i="93"/>
  <c r="AK190" i="93"/>
  <c r="AJ188" i="93"/>
  <c r="AI201" i="93"/>
  <c r="AK159" i="93"/>
  <c r="AK151" i="93"/>
  <c r="AL202" i="93"/>
  <c r="AL157" i="93"/>
  <c r="AI207" i="93"/>
  <c r="AI192" i="93"/>
  <c r="AI158" i="93"/>
  <c r="AI190" i="93"/>
  <c r="AK141" i="93"/>
  <c r="AI70" i="93"/>
  <c r="AI196" i="93"/>
  <c r="AK146" i="93"/>
  <c r="AK155" i="93"/>
  <c r="AI23" i="93"/>
  <c r="AI189" i="93"/>
  <c r="AL156" i="93"/>
  <c r="AJ194" i="93"/>
  <c r="AK24" i="93"/>
  <c r="AK96" i="93"/>
  <c r="AI208" i="93"/>
  <c r="AI69" i="93"/>
  <c r="AJ189" i="93"/>
  <c r="AJ144" i="93"/>
  <c r="AI198" i="93"/>
  <c r="AI197" i="93"/>
  <c r="AJ158" i="93"/>
  <c r="AL159" i="93"/>
  <c r="AJ159" i="93"/>
  <c r="AK195" i="93"/>
  <c r="AJ197" i="93"/>
  <c r="AI141" i="93"/>
  <c r="AL155" i="93"/>
  <c r="AJ147" i="93"/>
  <c r="AK143" i="93"/>
  <c r="AJ204" i="93"/>
  <c r="AL152" i="93"/>
  <c r="AK144" i="93"/>
  <c r="AL150" i="93"/>
  <c r="AK197" i="93"/>
  <c r="AI203" i="93"/>
  <c r="AI146" i="93"/>
  <c r="AK188" i="93"/>
  <c r="AL201" i="93"/>
  <c r="AJ150" i="93"/>
  <c r="AK115" i="93"/>
  <c r="AI154" i="93"/>
  <c r="AI149" i="93"/>
  <c r="AI155" i="93"/>
  <c r="AI186" i="93"/>
  <c r="AK161" i="93"/>
  <c r="AJ157" i="93"/>
  <c r="AI202" i="93"/>
  <c r="AI187" i="93"/>
  <c r="AK149" i="93"/>
  <c r="AJ191" i="93"/>
  <c r="AK200" i="93"/>
  <c r="AL151" i="93"/>
  <c r="AI188" i="93"/>
  <c r="AK150" i="93"/>
  <c r="AK207" i="93"/>
  <c r="AI193" i="93"/>
  <c r="AL197" i="93"/>
  <c r="AI206" i="93"/>
  <c r="AL206" i="93"/>
  <c r="AJ69" i="93"/>
  <c r="AJ24" i="93"/>
  <c r="AI144" i="93"/>
  <c r="AK192" i="93"/>
  <c r="AI156" i="93"/>
  <c r="AK152" i="93"/>
  <c r="AI194" i="93"/>
  <c r="AL200" i="93"/>
  <c r="AL115" i="93"/>
  <c r="AI24" i="93"/>
  <c r="AK204" i="93"/>
  <c r="AI96" i="93"/>
  <c r="AK208" i="93"/>
  <c r="AK158" i="93"/>
  <c r="AK160" i="93"/>
  <c r="AI153" i="93"/>
  <c r="AK202" i="93"/>
  <c r="AK205" i="93"/>
  <c r="AJ187" i="93"/>
  <c r="AI145" i="93"/>
  <c r="AJ153" i="93"/>
  <c r="AJ145" i="93"/>
  <c r="AI204" i="93"/>
  <c r="AK199" i="93"/>
  <c r="AJ146" i="93"/>
  <c r="AL205" i="93"/>
  <c r="AK153" i="93"/>
  <c r="AJ156" i="93"/>
  <c r="AJ196" i="93"/>
  <c r="AJ154" i="93"/>
  <c r="AL70" i="93"/>
  <c r="AI160" i="93"/>
  <c r="AK70" i="93"/>
  <c r="AJ201" i="93"/>
  <c r="AK23" i="93"/>
  <c r="AI157" i="93"/>
  <c r="AJ142" i="93"/>
  <c r="AI200" i="93"/>
  <c r="AJ115" i="93"/>
  <c r="AJ203" i="93"/>
  <c r="AJ151" i="93"/>
  <c r="AK194" i="93"/>
  <c r="AJ207" i="93"/>
  <c r="AL160" i="93"/>
  <c r="AK206" i="93"/>
  <c r="AJ205" i="93"/>
  <c r="AL158" i="93"/>
  <c r="AI199" i="93"/>
  <c r="AK201" i="93"/>
  <c r="AJ23" i="93"/>
  <c r="AI191" i="93"/>
  <c r="AI143" i="93"/>
  <c r="AK203" i="93"/>
  <c r="AK193" i="93"/>
  <c r="AL204" i="93"/>
  <c r="AJ193" i="93"/>
  <c r="AI148" i="93"/>
  <c r="AK142" i="93"/>
  <c r="AJ195" i="93"/>
  <c r="AL161" i="93"/>
  <c r="AJ161" i="93"/>
  <c r="AK189" i="93"/>
  <c r="AJ148" i="93"/>
  <c r="AK147" i="93"/>
  <c r="AI159" i="93"/>
  <c r="AJ143" i="93"/>
  <c r="AK157" i="93"/>
  <c r="AJ72" i="93"/>
  <c r="AL207" i="93"/>
  <c r="AJ160" i="93"/>
  <c r="AJ200" i="93"/>
  <c r="AK154" i="93"/>
  <c r="AI205" i="93"/>
  <c r="AL208" i="93"/>
  <c r="AK156" i="93"/>
  <c r="AJ155" i="93"/>
  <c r="AL203" i="93"/>
  <c r="AL199" i="93"/>
  <c r="AI142" i="93"/>
  <c r="AK186" i="93"/>
  <c r="AL69" i="93"/>
  <c r="AK69" i="93"/>
  <c r="AK148" i="93"/>
  <c r="AK187" i="93"/>
  <c r="AK196" i="93"/>
  <c r="AM144" i="93" l="1"/>
  <c r="AO144" i="93" s="1"/>
  <c r="AM141" i="93"/>
  <c r="AO141" i="93" s="1"/>
  <c r="AM146" i="93"/>
  <c r="AO146" i="93" s="1"/>
  <c r="AM24" i="93"/>
  <c r="AO24" i="93" s="1"/>
  <c r="AM150" i="93"/>
  <c r="AO150" i="93" s="1"/>
  <c r="AM156" i="93"/>
  <c r="AO156" i="93" s="1"/>
  <c r="AM195" i="93"/>
  <c r="AO195" i="93" s="1"/>
  <c r="AM155" i="93"/>
  <c r="AO155" i="93" s="1"/>
  <c r="AM205" i="93"/>
  <c r="AO205" i="93" s="1"/>
  <c r="AM204" i="93"/>
  <c r="AO204" i="93" s="1"/>
  <c r="AM206" i="93"/>
  <c r="AO206" i="93" s="1"/>
  <c r="AM187" i="93"/>
  <c r="AO187" i="93" s="1"/>
  <c r="AM157" i="93"/>
  <c r="AO157" i="93" s="1"/>
  <c r="AM201" i="93"/>
  <c r="AO201" i="93" s="1"/>
  <c r="AM197" i="93"/>
  <c r="AO197" i="93" s="1"/>
  <c r="AM158" i="93"/>
  <c r="AO158" i="93" s="1"/>
  <c r="AM159" i="93"/>
  <c r="AO159" i="93" s="1"/>
  <c r="AM145" i="93"/>
  <c r="AO145" i="93" s="1"/>
  <c r="AM192" i="93"/>
  <c r="AO192" i="93" s="1"/>
  <c r="AM203" i="93"/>
  <c r="AO203" i="93" s="1"/>
  <c r="AM189" i="93"/>
  <c r="AO189" i="93" s="1"/>
  <c r="AM199" i="93"/>
  <c r="AO199" i="93" s="1"/>
  <c r="AM96" i="93"/>
  <c r="AO96" i="93" s="1"/>
  <c r="AM115" i="93"/>
  <c r="AO115" i="93" s="1"/>
  <c r="AM161" i="93"/>
  <c r="AO161" i="93" s="1"/>
  <c r="AM190" i="93"/>
  <c r="AO190" i="93" s="1"/>
  <c r="AM191" i="93"/>
  <c r="AO191" i="93" s="1"/>
  <c r="AM200" i="93"/>
  <c r="AO200" i="93" s="1"/>
  <c r="AM149" i="93"/>
  <c r="AO149" i="93" s="1"/>
  <c r="AM152" i="93"/>
  <c r="AO152" i="93" s="1"/>
  <c r="AM142" i="93"/>
  <c r="AO142" i="93" s="1"/>
  <c r="AM154" i="93"/>
  <c r="AO154" i="93" s="1"/>
  <c r="AM147" i="93"/>
  <c r="AO147" i="93" s="1"/>
  <c r="AM196" i="93"/>
  <c r="AO196" i="93" s="1"/>
  <c r="AM153" i="93"/>
  <c r="AO153" i="93" s="1"/>
  <c r="AM23" i="93"/>
  <c r="AO23" i="93" s="1"/>
  <c r="AM160" i="93"/>
  <c r="AO160" i="93" s="1"/>
  <c r="AM198" i="93"/>
  <c r="AO198" i="93" s="1"/>
  <c r="AM194" i="93"/>
  <c r="AO194" i="93" s="1"/>
  <c r="AM151" i="93"/>
  <c r="AO151" i="93" s="1"/>
  <c r="AM207" i="93"/>
  <c r="AO207" i="93" s="1"/>
  <c r="AM186" i="93"/>
  <c r="AO186" i="93" s="1"/>
  <c r="AM69" i="93"/>
  <c r="AO69" i="93" s="1"/>
  <c r="AM208" i="93"/>
  <c r="AO208" i="93" s="1"/>
  <c r="AM143" i="93"/>
  <c r="AO143" i="93" s="1"/>
  <c r="AM193" i="93"/>
  <c r="AO193" i="93" s="1"/>
  <c r="AM148" i="93"/>
  <c r="AO148" i="93" s="1"/>
  <c r="AM188" i="93"/>
  <c r="AO188" i="93" s="1"/>
  <c r="AM202" i="93"/>
  <c r="AO202" i="93" s="1"/>
  <c r="BG39" i="92" l="1"/>
  <c r="BH169" i="92"/>
  <c r="BF127" i="92"/>
  <c r="BG79" i="92"/>
  <c r="BF28" i="92"/>
  <c r="BG217" i="92"/>
  <c r="BG31" i="92"/>
  <c r="BH219" i="92"/>
  <c r="BI220" i="92"/>
  <c r="BF164" i="92"/>
  <c r="BI176" i="92"/>
  <c r="BF130" i="92"/>
  <c r="BG27" i="92"/>
  <c r="BH214" i="92"/>
  <c r="BF34" i="92"/>
  <c r="BI127" i="92"/>
  <c r="BF33" i="92"/>
  <c r="BH167" i="92"/>
  <c r="BF209" i="92"/>
  <c r="BG220" i="92"/>
  <c r="BH44" i="92"/>
  <c r="BH42" i="92"/>
  <c r="BF78" i="92"/>
  <c r="BH37" i="92"/>
  <c r="BF211" i="92"/>
  <c r="BI116" i="92"/>
  <c r="BH222" i="92"/>
  <c r="BG83" i="92"/>
  <c r="BF220" i="92"/>
  <c r="BG33" i="92"/>
  <c r="BF89" i="92"/>
  <c r="BF168" i="92"/>
  <c r="BI122" i="92"/>
  <c r="BI172" i="92"/>
  <c r="BG118" i="92"/>
  <c r="BF174" i="92"/>
  <c r="BG177" i="92"/>
  <c r="BG89" i="92"/>
  <c r="BF38" i="92"/>
  <c r="BF83" i="92"/>
  <c r="BG42" i="92"/>
  <c r="BH210" i="92"/>
  <c r="BH218" i="92"/>
  <c r="BF42" i="92"/>
  <c r="BF213" i="92"/>
  <c r="BI212" i="92"/>
  <c r="BI119" i="92"/>
  <c r="BG86" i="92"/>
  <c r="BG84" i="92"/>
  <c r="BH131" i="92"/>
  <c r="BF75" i="92"/>
  <c r="BI219" i="92"/>
  <c r="BI87" i="92"/>
  <c r="BI131" i="92"/>
  <c r="BF128" i="92"/>
  <c r="BF119" i="92"/>
  <c r="BF223" i="92"/>
  <c r="BG122" i="92"/>
  <c r="BI79" i="92"/>
  <c r="BH166" i="92"/>
  <c r="BF79" i="92"/>
  <c r="BG216" i="92"/>
  <c r="BF216" i="92"/>
  <c r="BF176" i="92"/>
  <c r="BI76" i="92"/>
  <c r="BI129" i="92"/>
  <c r="BI41" i="92"/>
  <c r="BG35" i="92"/>
  <c r="BF165" i="92"/>
  <c r="BG162" i="92"/>
  <c r="BF35" i="92"/>
  <c r="BH177" i="92"/>
  <c r="BH34" i="92"/>
  <c r="BH117" i="92"/>
  <c r="BG125" i="92"/>
  <c r="BI224" i="92"/>
  <c r="BH129" i="92"/>
  <c r="BG43" i="92"/>
  <c r="BI26" i="92"/>
  <c r="BF218" i="92"/>
  <c r="BH163" i="92"/>
  <c r="BG71" i="92"/>
  <c r="BG85" i="92"/>
  <c r="BH77" i="92"/>
  <c r="BI210" i="92"/>
  <c r="BF129" i="92"/>
  <c r="BH85" i="92"/>
  <c r="BH165" i="92"/>
  <c r="BI128" i="92"/>
  <c r="BG29" i="92"/>
  <c r="BH40" i="92"/>
  <c r="BI179" i="92"/>
  <c r="BI171" i="92"/>
  <c r="BI218" i="92"/>
  <c r="BI85" i="92"/>
  <c r="BH216" i="92"/>
  <c r="BH27" i="92"/>
  <c r="BF44" i="92"/>
  <c r="BG215" i="92"/>
  <c r="BF224" i="92"/>
  <c r="BI80" i="92"/>
  <c r="BF133" i="92"/>
  <c r="BG26" i="92"/>
  <c r="BI29" i="92"/>
  <c r="BH80" i="92"/>
  <c r="BH43" i="92"/>
  <c r="BI117" i="92"/>
  <c r="BG218" i="92"/>
  <c r="BI134" i="92"/>
  <c r="BI175" i="92"/>
  <c r="BI221" i="92"/>
  <c r="BI37" i="92"/>
  <c r="BI214" i="92"/>
  <c r="BH211" i="92"/>
  <c r="BG117" i="92"/>
  <c r="BF126" i="92"/>
  <c r="BF30" i="92"/>
  <c r="BG175" i="92"/>
  <c r="BH128" i="92"/>
  <c r="BI166" i="92"/>
  <c r="BG123" i="92"/>
  <c r="BF43" i="92"/>
  <c r="BI174" i="92"/>
  <c r="BF214" i="92"/>
  <c r="BG119" i="92"/>
  <c r="BG219" i="92"/>
  <c r="BH127" i="92"/>
  <c r="BF125" i="92"/>
  <c r="BI33" i="92"/>
  <c r="BH124" i="92"/>
  <c r="BG28" i="92"/>
  <c r="BH71" i="92"/>
  <c r="BH74" i="92"/>
  <c r="BH39" i="92"/>
  <c r="BF88" i="92"/>
  <c r="BG41" i="92"/>
  <c r="BI38" i="92"/>
  <c r="BI42" i="92"/>
  <c r="BH32" i="92"/>
  <c r="BH173" i="92"/>
  <c r="BH224" i="92"/>
  <c r="BF217" i="92"/>
  <c r="BF177" i="92"/>
  <c r="BG167" i="92"/>
  <c r="BI211" i="92"/>
  <c r="BH168" i="92"/>
  <c r="BG44" i="92"/>
  <c r="BI217" i="92"/>
  <c r="BF80" i="92"/>
  <c r="BG165" i="92"/>
  <c r="BG214" i="92"/>
  <c r="BF120" i="92"/>
  <c r="BG88" i="92"/>
  <c r="BI73" i="92"/>
  <c r="BF74" i="92"/>
  <c r="BF73" i="92"/>
  <c r="BH171" i="92"/>
  <c r="BG223" i="92"/>
  <c r="BG128" i="92"/>
  <c r="BI162" i="92"/>
  <c r="BH164" i="92"/>
  <c r="BF122" i="92"/>
  <c r="BH125" i="92"/>
  <c r="BI123" i="92"/>
  <c r="BF173" i="92"/>
  <c r="BH89" i="92"/>
  <c r="BG75" i="92"/>
  <c r="BI78" i="92"/>
  <c r="BH170" i="92"/>
  <c r="BG212" i="92"/>
  <c r="BH38" i="92"/>
  <c r="BF134" i="92"/>
  <c r="BF36" i="92"/>
  <c r="BH120" i="92"/>
  <c r="BF171" i="92"/>
  <c r="BF219" i="92"/>
  <c r="BG120" i="92"/>
  <c r="BF215" i="92"/>
  <c r="BI209" i="92"/>
  <c r="BH83" i="92"/>
  <c r="BG38" i="92"/>
  <c r="BH87" i="92"/>
  <c r="BH84" i="92"/>
  <c r="BI86" i="92"/>
  <c r="BG221" i="92"/>
  <c r="BH132" i="92"/>
  <c r="BH121" i="92"/>
  <c r="BG173" i="92"/>
  <c r="BG164" i="92"/>
  <c r="BF178" i="92"/>
  <c r="BH26" i="92"/>
  <c r="BF25" i="92"/>
  <c r="BI40" i="92"/>
  <c r="BI163" i="92"/>
  <c r="BG36" i="92"/>
  <c r="BH118" i="92"/>
  <c r="BF117" i="92"/>
  <c r="BG34" i="92"/>
  <c r="BI39" i="92"/>
  <c r="BH179" i="92"/>
  <c r="BF39" i="92"/>
  <c r="BH76" i="92"/>
  <c r="BI126" i="92"/>
  <c r="BG121" i="92"/>
  <c r="BI164" i="92"/>
  <c r="BH88" i="92"/>
  <c r="BG168" i="92"/>
  <c r="BG124" i="92"/>
  <c r="BH41" i="92"/>
  <c r="BF179" i="92"/>
  <c r="BG174" i="92"/>
  <c r="BI178" i="92"/>
  <c r="BF121" i="92"/>
  <c r="BH35" i="92"/>
  <c r="BH123" i="92"/>
  <c r="BG32" i="92"/>
  <c r="BG127" i="92"/>
  <c r="BH75" i="92"/>
  <c r="BF210" i="92"/>
  <c r="BG40" i="92"/>
  <c r="BF212" i="92"/>
  <c r="BI124" i="92"/>
  <c r="BF170" i="92"/>
  <c r="BH33" i="92"/>
  <c r="BI133" i="92"/>
  <c r="BG132" i="92"/>
  <c r="BF29" i="92"/>
  <c r="BG134" i="92"/>
  <c r="BF221" i="92"/>
  <c r="BI222" i="92"/>
  <c r="BH215" i="92"/>
  <c r="BI168" i="92"/>
  <c r="BH212" i="92"/>
  <c r="BI84" i="92"/>
  <c r="BF167" i="92"/>
  <c r="BH31" i="92"/>
  <c r="BF40" i="92"/>
  <c r="BG211" i="92"/>
  <c r="BG133" i="92"/>
  <c r="BI82" i="92"/>
  <c r="BG209" i="92"/>
  <c r="BG166" i="92"/>
  <c r="BG81" i="92"/>
  <c r="BG170" i="92"/>
  <c r="BI215" i="92"/>
  <c r="BF76" i="92"/>
  <c r="BI88" i="92"/>
  <c r="BH220" i="92"/>
  <c r="BF222" i="92"/>
  <c r="BF169" i="92"/>
  <c r="BG129" i="92"/>
  <c r="BG80" i="92"/>
  <c r="BG116" i="92"/>
  <c r="BH221" i="92"/>
  <c r="BI36" i="92"/>
  <c r="BI89" i="92"/>
  <c r="BI74" i="92"/>
  <c r="BI83" i="92"/>
  <c r="BI125" i="92"/>
  <c r="BH79" i="92"/>
  <c r="BH130" i="92"/>
  <c r="BI121" i="92"/>
  <c r="BH217" i="92"/>
  <c r="BH78" i="92"/>
  <c r="BF37" i="92"/>
  <c r="BG210" i="92"/>
  <c r="BH28" i="92"/>
  <c r="BI118" i="92"/>
  <c r="BG169" i="92"/>
  <c r="BI173" i="92"/>
  <c r="BH176" i="92"/>
  <c r="BF77" i="92"/>
  <c r="BG126" i="92"/>
  <c r="BH122" i="92"/>
  <c r="BI30" i="92"/>
  <c r="BG73" i="92"/>
  <c r="BF81" i="92"/>
  <c r="BF82" i="92"/>
  <c r="BI132" i="92"/>
  <c r="BH82" i="92"/>
  <c r="BG179" i="92"/>
  <c r="BG82" i="92"/>
  <c r="BI169" i="92"/>
  <c r="BH73" i="92"/>
  <c r="BF71" i="92"/>
  <c r="BI72" i="92"/>
  <c r="BI77" i="92"/>
  <c r="BF84" i="92"/>
  <c r="BF124" i="92"/>
  <c r="BF162" i="92"/>
  <c r="BG37" i="92"/>
  <c r="BI170" i="92"/>
  <c r="BH25" i="92"/>
  <c r="BG30" i="92"/>
  <c r="BG178" i="92"/>
  <c r="BI130" i="92"/>
  <c r="BF41" i="92"/>
  <c r="BH126" i="92"/>
  <c r="BH116" i="92"/>
  <c r="BF163" i="92"/>
  <c r="BG130" i="92"/>
  <c r="BI165" i="92"/>
  <c r="BH209" i="92"/>
  <c r="BI213" i="92"/>
  <c r="BI43" i="92"/>
  <c r="BG25" i="92"/>
  <c r="BI75" i="92"/>
  <c r="BI167" i="92"/>
  <c r="BH36" i="92"/>
  <c r="BH172" i="92"/>
  <c r="BH134" i="92"/>
  <c r="BG77" i="92"/>
  <c r="BG74" i="92"/>
  <c r="BI31" i="92"/>
  <c r="BF175" i="92"/>
  <c r="BG131" i="92"/>
  <c r="BH223" i="92"/>
  <c r="BI177" i="92"/>
  <c r="BF116" i="92"/>
  <c r="BI44" i="92"/>
  <c r="BG224" i="92"/>
  <c r="BH213" i="92"/>
  <c r="BG163" i="92"/>
  <c r="BH81" i="92"/>
  <c r="BG171" i="92"/>
  <c r="BG222" i="92"/>
  <c r="BF118" i="92"/>
  <c r="BG87" i="92"/>
  <c r="BI32" i="92"/>
  <c r="BI216" i="92"/>
  <c r="BF166" i="92"/>
  <c r="BI28" i="92"/>
  <c r="BF131" i="92"/>
  <c r="BI25" i="92"/>
  <c r="BH175" i="92"/>
  <c r="BI120" i="92"/>
  <c r="BF72" i="92"/>
  <c r="BG78" i="92"/>
  <c r="BI35" i="92"/>
  <c r="BF86" i="92"/>
  <c r="BF85" i="92"/>
  <c r="BH162" i="92"/>
  <c r="BG176" i="92"/>
  <c r="BF87" i="92"/>
  <c r="BH30" i="92"/>
  <c r="BG213" i="92"/>
  <c r="BF123" i="92"/>
  <c r="BG76" i="92"/>
  <c r="BF27" i="92"/>
  <c r="BI71" i="92"/>
  <c r="BI81" i="92"/>
  <c r="BF31" i="92"/>
  <c r="BF132" i="92"/>
  <c r="BI34" i="92"/>
  <c r="BH72" i="92"/>
  <c r="BH178" i="92"/>
  <c r="BH119" i="92"/>
  <c r="BG172" i="92"/>
  <c r="BH133" i="92"/>
  <c r="BI223" i="92"/>
  <c r="BH86" i="92"/>
  <c r="BH174" i="92"/>
  <c r="BG70" i="92"/>
  <c r="BF26" i="92"/>
  <c r="BH29" i="92"/>
  <c r="BF172" i="92"/>
  <c r="BF32" i="92"/>
  <c r="BI27" i="92"/>
  <c r="AI127" i="93"/>
  <c r="AJ211" i="93"/>
  <c r="AK124" i="93"/>
  <c r="AJ74" i="93"/>
  <c r="AJ71" i="93"/>
  <c r="AK80" i="93"/>
  <c r="AK84" i="93"/>
  <c r="AL124" i="93"/>
  <c r="AL214" i="93"/>
  <c r="AJ70" i="93"/>
  <c r="AL165" i="93"/>
  <c r="AK34" i="93"/>
  <c r="AI132" i="93"/>
  <c r="AL37" i="93"/>
  <c r="AK39" i="93"/>
  <c r="AL164" i="93"/>
  <c r="AI36" i="93"/>
  <c r="AI211" i="93"/>
  <c r="AK41" i="93"/>
  <c r="AI44" i="93"/>
  <c r="AK131" i="93"/>
  <c r="AK170" i="93"/>
  <c r="AL128" i="93"/>
  <c r="AK78" i="93"/>
  <c r="AL25" i="93"/>
  <c r="AK217" i="93"/>
  <c r="AL121" i="93"/>
  <c r="AI131" i="93"/>
  <c r="AI126" i="93"/>
  <c r="AL134" i="93"/>
  <c r="AI210" i="93"/>
  <c r="AJ42" i="93"/>
  <c r="AJ128" i="93"/>
  <c r="AJ25" i="93"/>
  <c r="AL74" i="93"/>
  <c r="AL116" i="93"/>
  <c r="AI129" i="93"/>
  <c r="AL35" i="93"/>
  <c r="AK121" i="93"/>
  <c r="AI33" i="93"/>
  <c r="AJ86" i="93"/>
  <c r="AK162" i="93"/>
  <c r="AL80" i="93"/>
  <c r="AK72" i="93"/>
  <c r="AK171" i="93"/>
  <c r="AK32" i="93"/>
  <c r="AK167" i="93"/>
  <c r="AI166" i="93"/>
  <c r="AK133" i="93"/>
  <c r="AL32" i="93"/>
  <c r="AL43" i="93"/>
  <c r="AL175" i="93"/>
  <c r="AI37" i="93"/>
  <c r="AI25" i="93"/>
  <c r="AK173" i="93"/>
  <c r="AJ132" i="93"/>
  <c r="AI86" i="93"/>
  <c r="AL125" i="93"/>
  <c r="AI121" i="93"/>
  <c r="AJ36" i="93"/>
  <c r="AK223" i="93"/>
  <c r="AL85" i="93"/>
  <c r="AL76" i="93"/>
  <c r="AJ219" i="93"/>
  <c r="AL224" i="93"/>
  <c r="AL71" i="93"/>
  <c r="AL83" i="93"/>
  <c r="AI41" i="93"/>
  <c r="AK169" i="93"/>
  <c r="AJ37" i="93"/>
  <c r="AJ89" i="93"/>
  <c r="AL173" i="93"/>
  <c r="AL119" i="93"/>
  <c r="AJ118" i="93"/>
  <c r="AK218" i="93"/>
  <c r="AK82" i="93"/>
  <c r="AI164" i="93"/>
  <c r="AL126" i="93"/>
  <c r="AK75" i="93"/>
  <c r="AK177" i="93"/>
  <c r="AL222" i="93"/>
  <c r="AJ175" i="93"/>
  <c r="AI175" i="93"/>
  <c r="AI88" i="93"/>
  <c r="AL73" i="93"/>
  <c r="AJ76" i="93"/>
  <c r="AI87" i="93"/>
  <c r="AK168" i="93"/>
  <c r="AI220" i="93"/>
  <c r="AJ134" i="93"/>
  <c r="AI82" i="93"/>
  <c r="AJ125" i="93"/>
  <c r="AL40" i="93"/>
  <c r="AL39" i="93"/>
  <c r="AJ84" i="93"/>
  <c r="AK81" i="93"/>
  <c r="AI215" i="93"/>
  <c r="AL215" i="93"/>
  <c r="AI218" i="93"/>
  <c r="AL218" i="93"/>
  <c r="AL171" i="93"/>
  <c r="AI120" i="93"/>
  <c r="AL216" i="93"/>
  <c r="AL166" i="93"/>
  <c r="AK89" i="93"/>
  <c r="AJ167" i="93"/>
  <c r="AI42" i="93"/>
  <c r="AL162" i="93"/>
  <c r="AJ78" i="93"/>
  <c r="AI172" i="93"/>
  <c r="AL87" i="93"/>
  <c r="AL30" i="93"/>
  <c r="AL168" i="93"/>
  <c r="AI176" i="93"/>
  <c r="AI163" i="93"/>
  <c r="AI216" i="93"/>
  <c r="AI73" i="93"/>
  <c r="AL221" i="93"/>
  <c r="AI38" i="93"/>
  <c r="AJ163" i="93"/>
  <c r="AJ121" i="93"/>
  <c r="AJ221" i="93"/>
  <c r="AI118" i="93"/>
  <c r="AK36" i="93"/>
  <c r="AL29" i="93"/>
  <c r="AK127" i="93"/>
  <c r="AK42" i="93"/>
  <c r="AK176" i="93"/>
  <c r="AK35" i="93"/>
  <c r="AK85" i="93"/>
  <c r="AK74" i="93"/>
  <c r="AJ179" i="93"/>
  <c r="AJ73" i="93"/>
  <c r="AJ41" i="93"/>
  <c r="AK221" i="93"/>
  <c r="AK215" i="93"/>
  <c r="AJ220" i="93"/>
  <c r="AK122" i="93"/>
  <c r="AI39" i="93"/>
  <c r="AJ171" i="93"/>
  <c r="AJ169" i="93"/>
  <c r="AK165" i="93"/>
  <c r="AJ85" i="93"/>
  <c r="AI170" i="93"/>
  <c r="AK175" i="93"/>
  <c r="AI76" i="93"/>
  <c r="AL176" i="93"/>
  <c r="AI116" i="93"/>
  <c r="AL79" i="93"/>
  <c r="AL81" i="93"/>
  <c r="AL179" i="93"/>
  <c r="AJ116" i="93"/>
  <c r="AJ122" i="93"/>
  <c r="AK119" i="93"/>
  <c r="AL123" i="93"/>
  <c r="AI85" i="93"/>
  <c r="AK117" i="93"/>
  <c r="AL84" i="93"/>
  <c r="AI134" i="93"/>
  <c r="AL163" i="93"/>
  <c r="AI221" i="93"/>
  <c r="AI28" i="93"/>
  <c r="AJ34" i="93"/>
  <c r="AI31" i="93"/>
  <c r="AJ83" i="93"/>
  <c r="AJ215" i="93"/>
  <c r="AJ77" i="93"/>
  <c r="AJ177" i="93"/>
  <c r="AK76" i="93"/>
  <c r="AI177" i="93"/>
  <c r="AK214" i="93"/>
  <c r="AJ130" i="93"/>
  <c r="AJ131" i="93"/>
  <c r="AL38" i="93"/>
  <c r="AL34" i="93"/>
  <c r="AJ30" i="93"/>
  <c r="AJ79" i="93"/>
  <c r="AL26" i="93"/>
  <c r="AL31" i="93"/>
  <c r="AI169" i="93"/>
  <c r="AL174" i="93"/>
  <c r="AJ218" i="93"/>
  <c r="AL217" i="93"/>
  <c r="AL117" i="93"/>
  <c r="AI83" i="93"/>
  <c r="AI30" i="93"/>
  <c r="AJ133" i="93"/>
  <c r="AL77" i="93"/>
  <c r="AL132" i="93"/>
  <c r="AL213" i="93"/>
  <c r="AJ31" i="93"/>
  <c r="AI89" i="93"/>
  <c r="AI71" i="93"/>
  <c r="AJ210" i="93"/>
  <c r="AI223" i="93"/>
  <c r="AK132" i="93"/>
  <c r="AK44" i="93"/>
  <c r="AL210" i="93"/>
  <c r="AK83" i="93"/>
  <c r="AK209" i="93"/>
  <c r="AK212" i="93"/>
  <c r="AL130" i="93"/>
  <c r="AI128" i="93"/>
  <c r="AK116" i="93"/>
  <c r="AK37" i="93"/>
  <c r="AJ35" i="93"/>
  <c r="AI75" i="93"/>
  <c r="AI124" i="93"/>
  <c r="AK125" i="93"/>
  <c r="AI72" i="93"/>
  <c r="AL170" i="93"/>
  <c r="AK129" i="93"/>
  <c r="AJ87" i="93"/>
  <c r="AL27" i="93"/>
  <c r="AJ32" i="93"/>
  <c r="AI219" i="93"/>
  <c r="AL220" i="93"/>
  <c r="AJ39" i="93"/>
  <c r="AJ173" i="93"/>
  <c r="AI212" i="93"/>
  <c r="AJ222" i="93"/>
  <c r="AK87" i="93"/>
  <c r="AK179" i="93"/>
  <c r="AK163" i="93"/>
  <c r="AJ214" i="93"/>
  <c r="AK210" i="93"/>
  <c r="AK213" i="93"/>
  <c r="AI81" i="93"/>
  <c r="AJ75" i="93"/>
  <c r="AI122" i="93"/>
  <c r="AJ223" i="93"/>
  <c r="AK28" i="93"/>
  <c r="AI32" i="93"/>
  <c r="AL36" i="93"/>
  <c r="AL169" i="93"/>
  <c r="AK77" i="93"/>
  <c r="AL211" i="93"/>
  <c r="AK118" i="93"/>
  <c r="AL167" i="93"/>
  <c r="AK31" i="93"/>
  <c r="AI27" i="93"/>
  <c r="AJ40" i="93"/>
  <c r="AJ88" i="93"/>
  <c r="AJ81" i="93"/>
  <c r="AJ26" i="93"/>
  <c r="AK26" i="93"/>
  <c r="AJ120" i="93"/>
  <c r="AJ213" i="93"/>
  <c r="AK79" i="93"/>
  <c r="AJ43" i="93"/>
  <c r="AJ123" i="93"/>
  <c r="AI117" i="93"/>
  <c r="AL86" i="93"/>
  <c r="AI123" i="93"/>
  <c r="AJ165" i="93"/>
  <c r="AL78" i="93"/>
  <c r="AL89" i="93"/>
  <c r="AI74" i="93"/>
  <c r="AJ119" i="93"/>
  <c r="AI40" i="93"/>
  <c r="AJ174" i="93"/>
  <c r="AI35" i="93"/>
  <c r="AL82" i="93"/>
  <c r="AJ44" i="93"/>
  <c r="AI34" i="93"/>
  <c r="AL75" i="93"/>
  <c r="AI77" i="93"/>
  <c r="AJ217" i="93"/>
  <c r="AJ212" i="93"/>
  <c r="AJ168" i="93"/>
  <c r="AI133" i="93"/>
  <c r="AJ38" i="93"/>
  <c r="AJ162" i="93"/>
  <c r="AI178" i="93"/>
  <c r="AK134" i="93"/>
  <c r="AI171" i="93"/>
  <c r="AL28" i="93"/>
  <c r="AJ209" i="93"/>
  <c r="AJ82" i="93"/>
  <c r="AI179" i="93"/>
  <c r="AK216" i="93"/>
  <c r="AJ178" i="93"/>
  <c r="AK166" i="93"/>
  <c r="AL131" i="93"/>
  <c r="AL33" i="93"/>
  <c r="AI217" i="93"/>
  <c r="AI80" i="93"/>
  <c r="AI162" i="93"/>
  <c r="AK130" i="93"/>
  <c r="AK219" i="93"/>
  <c r="AI167" i="93"/>
  <c r="AJ124" i="93"/>
  <c r="AK29" i="93"/>
  <c r="AL127" i="93"/>
  <c r="AK172" i="93"/>
  <c r="AJ176" i="93"/>
  <c r="AL133" i="93"/>
  <c r="AL44" i="93"/>
  <c r="AK164" i="93"/>
  <c r="AJ80" i="93"/>
  <c r="AL88" i="93"/>
  <c r="AL120" i="93"/>
  <c r="AI79" i="93"/>
  <c r="AJ129" i="93"/>
  <c r="AJ27" i="93"/>
  <c r="AI168" i="93"/>
  <c r="AK40" i="93"/>
  <c r="AI43" i="93"/>
  <c r="AJ224" i="93"/>
  <c r="AK120" i="93"/>
  <c r="AJ29" i="93"/>
  <c r="AL219" i="93"/>
  <c r="AL212" i="93"/>
  <c r="AJ172" i="93"/>
  <c r="AL178" i="93"/>
  <c r="AI173" i="93"/>
  <c r="AJ166" i="93"/>
  <c r="AI214" i="93"/>
  <c r="AK25" i="93"/>
  <c r="AK88" i="93"/>
  <c r="AK126" i="93"/>
  <c r="AK38" i="93"/>
  <c r="AI222" i="93"/>
  <c r="AK128" i="93"/>
  <c r="AL177" i="93"/>
  <c r="AJ126" i="93"/>
  <c r="AL129" i="93"/>
  <c r="AL223" i="93"/>
  <c r="AL118" i="93"/>
  <c r="AJ216" i="93"/>
  <c r="AK220" i="93"/>
  <c r="AJ170" i="93"/>
  <c r="AI165" i="93"/>
  <c r="AK222" i="93"/>
  <c r="AL172" i="93"/>
  <c r="AK71" i="93"/>
  <c r="AK27" i="93"/>
  <c r="AL41" i="93"/>
  <c r="AJ127" i="93"/>
  <c r="AJ28" i="93"/>
  <c r="AI119" i="93"/>
  <c r="AL209" i="93"/>
  <c r="AK174" i="93"/>
  <c r="AI224" i="93"/>
  <c r="AK86" i="93"/>
  <c r="AI84" i="93"/>
  <c r="AK73" i="93"/>
  <c r="AJ164" i="93"/>
  <c r="AI174" i="93"/>
  <c r="AI29" i="93"/>
  <c r="AK33" i="93"/>
  <c r="AI130" i="93"/>
  <c r="AI26" i="93"/>
  <c r="AK30" i="93"/>
  <c r="AK224" i="93"/>
  <c r="AI125" i="93"/>
  <c r="AK123" i="93"/>
  <c r="AK43" i="93"/>
  <c r="AJ33" i="93"/>
  <c r="AK178" i="93"/>
  <c r="AL72" i="93"/>
  <c r="AJ117" i="93"/>
  <c r="AI213" i="93"/>
  <c r="AK211" i="93"/>
  <c r="AI209" i="93"/>
  <c r="AL122" i="93"/>
  <c r="AI78" i="93"/>
  <c r="AL42" i="93"/>
  <c r="AM167" i="93" l="1"/>
  <c r="AO167" i="93" s="1"/>
  <c r="AM170" i="93"/>
  <c r="AO170" i="93" s="1"/>
  <c r="AM134" i="93"/>
  <c r="AO134" i="93" s="1"/>
  <c r="AM73" i="93"/>
  <c r="AO73" i="93" s="1"/>
  <c r="AM72" i="93"/>
  <c r="AO72" i="93" s="1"/>
  <c r="AM123" i="93"/>
  <c r="AO123" i="93" s="1"/>
  <c r="AM178" i="93"/>
  <c r="AO178" i="93" s="1"/>
  <c r="AM122" i="93"/>
  <c r="AO122" i="93" s="1"/>
  <c r="AM74" i="93"/>
  <c r="AO74" i="93" s="1"/>
  <c r="AM125" i="93"/>
  <c r="AO125" i="93" s="1"/>
  <c r="AM126" i="93"/>
  <c r="AO126" i="93" s="1"/>
  <c r="AM224" i="93"/>
  <c r="AO224" i="93" s="1"/>
  <c r="AM176" i="93"/>
  <c r="AO176" i="93" s="1"/>
  <c r="AM212" i="93"/>
  <c r="AO212" i="93" s="1"/>
  <c r="AM87" i="93"/>
  <c r="AO87" i="93" s="1"/>
  <c r="AM163" i="93"/>
  <c r="AO163" i="93" s="1"/>
  <c r="AM162" i="93"/>
  <c r="AO162" i="93" s="1"/>
  <c r="AM82" i="93"/>
  <c r="AO82" i="93" s="1"/>
  <c r="AM117" i="93"/>
  <c r="AO117" i="93" s="1"/>
  <c r="AM215" i="93"/>
  <c r="AO215" i="93" s="1"/>
  <c r="AM164" i="93"/>
  <c r="AO164" i="93" s="1"/>
  <c r="AM124" i="93"/>
  <c r="AO124" i="93" s="1"/>
  <c r="AM81" i="93"/>
  <c r="AO81" i="93" s="1"/>
  <c r="AM169" i="93"/>
  <c r="AO169" i="93" s="1"/>
  <c r="AM177" i="93"/>
  <c r="AO177" i="93" s="1"/>
  <c r="AM216" i="93"/>
  <c r="AO216" i="93" s="1"/>
  <c r="AM223" i="93"/>
  <c r="AO223" i="93" s="1"/>
  <c r="AM84" i="93"/>
  <c r="AO84" i="93" s="1"/>
  <c r="AM37" i="93"/>
  <c r="AO37" i="93" s="1"/>
  <c r="AM221" i="93"/>
  <c r="AO221" i="93" s="1"/>
  <c r="AM120" i="93"/>
  <c r="AO120" i="93" s="1"/>
  <c r="AM83" i="93"/>
  <c r="AO83" i="93" s="1"/>
  <c r="AM28" i="93"/>
  <c r="AO28" i="93" s="1"/>
  <c r="AM131" i="93"/>
  <c r="AO131" i="93" s="1"/>
  <c r="AM116" i="93"/>
  <c r="AO116" i="93" s="1"/>
  <c r="AM219" i="93"/>
  <c r="AO219" i="93" s="1"/>
  <c r="AM88" i="93"/>
  <c r="AO88" i="93" s="1"/>
  <c r="AM214" i="93"/>
  <c r="AO214" i="93" s="1"/>
  <c r="AM213" i="93"/>
  <c r="AO213" i="93" s="1"/>
  <c r="AM168" i="93"/>
  <c r="AO168" i="93" s="1"/>
  <c r="AM30" i="93"/>
  <c r="AO30" i="93" s="1"/>
  <c r="AM32" i="93"/>
  <c r="AO32" i="93" s="1"/>
  <c r="AM222" i="93"/>
  <c r="AO222" i="93" s="1"/>
  <c r="AM121" i="93"/>
  <c r="AO121" i="93" s="1"/>
  <c r="AM44" i="93"/>
  <c r="AO44" i="93" s="1"/>
  <c r="AM218" i="93"/>
  <c r="AO218" i="93" s="1"/>
  <c r="AM165" i="93"/>
  <c r="AO165" i="93" s="1"/>
  <c r="AM211" i="93"/>
  <c r="AO211" i="93" s="1"/>
  <c r="AM172" i="93"/>
  <c r="AO172" i="93" s="1"/>
  <c r="AM85" i="93"/>
  <c r="AO85" i="93" s="1"/>
  <c r="AM166" i="93"/>
  <c r="AO166" i="93" s="1"/>
  <c r="AM80" i="93"/>
  <c r="AO80" i="93" s="1"/>
  <c r="AM217" i="93"/>
  <c r="AO217" i="93" s="1"/>
  <c r="AM129" i="93"/>
  <c r="AO129" i="93" s="1"/>
  <c r="AM42" i="93"/>
  <c r="AO42" i="93" s="1"/>
  <c r="AM89" i="93"/>
  <c r="AO89" i="93" s="1"/>
  <c r="AM209" i="93"/>
  <c r="AO209" i="93" s="1"/>
  <c r="AM132" i="93"/>
  <c r="AO132" i="93" s="1"/>
  <c r="AM86" i="93"/>
  <c r="AO86" i="93" s="1"/>
  <c r="AM41" i="93"/>
  <c r="AO41" i="93" s="1"/>
  <c r="AM71" i="93"/>
  <c r="AO71" i="93" s="1"/>
  <c r="AM29" i="93"/>
  <c r="AO29" i="93" s="1"/>
  <c r="AM43" i="93"/>
  <c r="AO43" i="93" s="1"/>
  <c r="AM79" i="93"/>
  <c r="AO79" i="93" s="1"/>
  <c r="AM119" i="93"/>
  <c r="AO119" i="93" s="1"/>
  <c r="AM38" i="93"/>
  <c r="AO38" i="93" s="1"/>
  <c r="AM130" i="93"/>
  <c r="AO130" i="93" s="1"/>
  <c r="AM26" i="93"/>
  <c r="AO26" i="93" s="1"/>
  <c r="AM31" i="93"/>
  <c r="AO31" i="93" s="1"/>
  <c r="AM76" i="93"/>
  <c r="AO76" i="93" s="1"/>
  <c r="AM210" i="93"/>
  <c r="AO210" i="93" s="1"/>
  <c r="AM128" i="93"/>
  <c r="AO128" i="93" s="1"/>
  <c r="AM70" i="93"/>
  <c r="AO70" i="93" s="1"/>
  <c r="AM77" i="93"/>
  <c r="AO77" i="93" s="1"/>
  <c r="AM25" i="93"/>
  <c r="AO25" i="93" s="1"/>
  <c r="AM173" i="93"/>
  <c r="AO173" i="93" s="1"/>
  <c r="AM75" i="93"/>
  <c r="AO75" i="93" s="1"/>
  <c r="AM78" i="93"/>
  <c r="AO78" i="93" s="1"/>
  <c r="AM34" i="93"/>
  <c r="AO34" i="93" s="1"/>
  <c r="AM36" i="93"/>
  <c r="AO36" i="93" s="1"/>
  <c r="AM171" i="93"/>
  <c r="AO171" i="93" s="1"/>
  <c r="AM35" i="93"/>
  <c r="AO35" i="93" s="1"/>
  <c r="AM33" i="93"/>
  <c r="AO33" i="93" s="1"/>
  <c r="AM27" i="93"/>
  <c r="AO27" i="93" s="1"/>
  <c r="AM118" i="93"/>
  <c r="AO118" i="93" s="1"/>
  <c r="AM175" i="93"/>
  <c r="AO175" i="93" s="1"/>
  <c r="AM40" i="93"/>
  <c r="AO40" i="93" s="1"/>
  <c r="AM179" i="93"/>
  <c r="AO179" i="93" s="1"/>
  <c r="AM39" i="93"/>
  <c r="AO39" i="93" s="1"/>
  <c r="AM133" i="93"/>
  <c r="AO133" i="93" s="1"/>
  <c r="AM174" i="93"/>
  <c r="AO174" i="93" s="1"/>
  <c r="AM220" i="93"/>
  <c r="AO220" i="93" s="1"/>
  <c r="AM127" i="93"/>
  <c r="AO127" i="93" s="1"/>
  <c r="V144" i="94"/>
  <c r="AB100" i="94"/>
  <c r="Y110" i="94"/>
  <c r="V117" i="94"/>
  <c r="AB71" i="94"/>
  <c r="AB155" i="94"/>
  <c r="AB63" i="94"/>
  <c r="V8" i="94"/>
  <c r="AB6" i="94"/>
  <c r="AE152" i="94"/>
  <c r="AB19" i="94"/>
  <c r="AE33" i="94"/>
  <c r="AB109" i="94"/>
  <c r="AE151" i="94"/>
  <c r="V123" i="94"/>
  <c r="AE19" i="94"/>
  <c r="AE53" i="94"/>
  <c r="AE96" i="94"/>
  <c r="S122" i="94"/>
  <c r="S155" i="94"/>
  <c r="AB81" i="94"/>
  <c r="AB86" i="94"/>
  <c r="S9" i="94"/>
  <c r="V56" i="94"/>
  <c r="V145" i="94"/>
  <c r="Y142" i="94"/>
  <c r="Y125" i="94"/>
  <c r="Y85" i="94"/>
  <c r="AB37" i="94"/>
  <c r="AB85" i="94"/>
  <c r="V77" i="94"/>
  <c r="AE109" i="94"/>
  <c r="AB108" i="94"/>
  <c r="S30" i="94"/>
  <c r="AE105" i="94"/>
  <c r="AE10" i="94"/>
  <c r="Y38" i="94"/>
  <c r="S21" i="94"/>
  <c r="AB129" i="94"/>
  <c r="V103" i="94"/>
  <c r="S147" i="94"/>
  <c r="Y56" i="94"/>
  <c r="AE164" i="94"/>
  <c r="AE138" i="94"/>
  <c r="AE130" i="94"/>
  <c r="Y18" i="94"/>
  <c r="Y101" i="94"/>
  <c r="AB139" i="94"/>
  <c r="Y124" i="94"/>
  <c r="S138" i="94"/>
  <c r="AE103" i="94"/>
  <c r="Y10" i="94"/>
  <c r="V48" i="94"/>
  <c r="S129" i="94"/>
  <c r="AE147" i="94"/>
  <c r="AB64" i="94"/>
  <c r="Y161" i="94"/>
  <c r="S77" i="94"/>
  <c r="AE117" i="94"/>
  <c r="V95" i="94"/>
  <c r="S130" i="94"/>
  <c r="AE31" i="94"/>
  <c r="Y83" i="94"/>
  <c r="S156" i="94"/>
  <c r="S80" i="94"/>
  <c r="AB40" i="94"/>
  <c r="Y82" i="94"/>
  <c r="Y75" i="94"/>
  <c r="AB68" i="94"/>
  <c r="S112" i="94"/>
  <c r="AE120" i="94"/>
  <c r="AE156" i="94"/>
  <c r="Y39" i="94"/>
  <c r="S149" i="94"/>
  <c r="AE54" i="94"/>
  <c r="S115" i="94"/>
  <c r="V90" i="94"/>
  <c r="V42" i="94"/>
  <c r="V97" i="94"/>
  <c r="S151" i="94"/>
  <c r="AE108" i="94"/>
  <c r="AE32" i="94"/>
  <c r="AB49" i="94"/>
  <c r="AB96" i="94"/>
  <c r="AE44" i="94"/>
  <c r="AB59" i="94"/>
  <c r="V101" i="94"/>
  <c r="S150" i="94"/>
  <c r="AB14" i="94"/>
  <c r="AB114" i="94"/>
  <c r="S144" i="94"/>
  <c r="Y89" i="94"/>
  <c r="Y93" i="94"/>
  <c r="S19" i="94"/>
  <c r="S127" i="94"/>
  <c r="AB72" i="94"/>
  <c r="AB77" i="94"/>
  <c r="AE23" i="94"/>
  <c r="S152" i="94"/>
  <c r="AB104" i="94"/>
  <c r="AE66" i="94"/>
  <c r="S36" i="94"/>
  <c r="AB120" i="94"/>
  <c r="Y30" i="94"/>
  <c r="Y42" i="94"/>
  <c r="V45" i="94"/>
  <c r="S95" i="94"/>
  <c r="S47" i="94"/>
  <c r="Y148" i="94"/>
  <c r="S154" i="94"/>
  <c r="AB126" i="94"/>
  <c r="V139" i="94"/>
  <c r="AE73" i="94"/>
  <c r="S24" i="94"/>
  <c r="Y109" i="94"/>
  <c r="Y164" i="94"/>
  <c r="Y135" i="94"/>
  <c r="Y131" i="94"/>
  <c r="S51" i="94"/>
  <c r="V37" i="94"/>
  <c r="S123" i="94"/>
  <c r="AE84" i="94"/>
  <c r="AB119" i="94"/>
  <c r="Y6" i="94"/>
  <c r="Y114" i="94"/>
  <c r="S99" i="94"/>
  <c r="V125" i="94"/>
  <c r="S11" i="94"/>
  <c r="Y34" i="94"/>
  <c r="S10" i="94"/>
  <c r="S79" i="94"/>
  <c r="V22" i="94"/>
  <c r="AE114" i="94"/>
  <c r="Y79" i="94"/>
  <c r="S143" i="94"/>
  <c r="V94" i="94"/>
  <c r="V142" i="94"/>
  <c r="AB45" i="94"/>
  <c r="V109" i="94"/>
  <c r="S74" i="94"/>
  <c r="S7" i="94"/>
  <c r="AE67" i="94"/>
  <c r="V32" i="94"/>
  <c r="Y36" i="94"/>
  <c r="V15" i="94"/>
  <c r="AB51" i="94"/>
  <c r="AB141" i="94"/>
  <c r="AB99" i="94"/>
  <c r="AE89" i="94"/>
  <c r="AE17" i="94"/>
  <c r="V67" i="94"/>
  <c r="AE112" i="94"/>
  <c r="AE119" i="94"/>
  <c r="V164" i="94"/>
  <c r="Y52" i="94"/>
  <c r="AE69" i="94"/>
  <c r="S146" i="94"/>
  <c r="Y118" i="94"/>
  <c r="V76" i="94"/>
  <c r="S29" i="94"/>
  <c r="AB58" i="94"/>
  <c r="AE83" i="94"/>
  <c r="AE131" i="94"/>
  <c r="AE27" i="94"/>
  <c r="V49" i="94"/>
  <c r="V10" i="94"/>
  <c r="AE139" i="94"/>
  <c r="AE82" i="94"/>
  <c r="S118" i="94"/>
  <c r="S148" i="94"/>
  <c r="V26" i="94"/>
  <c r="Y65" i="94"/>
  <c r="Y51" i="94"/>
  <c r="AE155" i="94"/>
  <c r="AB93" i="94"/>
  <c r="V147" i="94"/>
  <c r="AB91" i="94"/>
  <c r="S33" i="94"/>
  <c r="AB146" i="94"/>
  <c r="S164" i="94"/>
  <c r="V60" i="94"/>
  <c r="V52" i="94"/>
  <c r="AB76" i="94"/>
  <c r="AB11" i="94"/>
  <c r="Y120" i="94"/>
  <c r="S34" i="94"/>
  <c r="AE153" i="94"/>
  <c r="AE24" i="94"/>
  <c r="V118" i="94"/>
  <c r="V79" i="94"/>
  <c r="AE107" i="94"/>
  <c r="Y128" i="94"/>
  <c r="Y152" i="94"/>
  <c r="AE65" i="94"/>
  <c r="V20" i="94"/>
  <c r="S27" i="94"/>
  <c r="AE143" i="94"/>
  <c r="AB140" i="94"/>
  <c r="AB118" i="94"/>
  <c r="Y67" i="94"/>
  <c r="AB150" i="94"/>
  <c r="V150" i="94"/>
  <c r="S101" i="94"/>
  <c r="S52" i="94"/>
  <c r="AB148" i="94"/>
  <c r="S81" i="94"/>
  <c r="V43" i="94"/>
  <c r="S44" i="94"/>
  <c r="AB60" i="94"/>
  <c r="V114" i="94"/>
  <c r="Y55" i="94"/>
  <c r="AE150" i="94"/>
  <c r="V153" i="94"/>
  <c r="S53" i="94"/>
  <c r="V126" i="94"/>
  <c r="V83" i="94"/>
  <c r="Y14" i="94"/>
  <c r="V75" i="94"/>
  <c r="AE94" i="94"/>
  <c r="AB80" i="94"/>
  <c r="AB12" i="94"/>
  <c r="S91" i="94"/>
  <c r="Y63" i="94"/>
  <c r="S98" i="94"/>
  <c r="S136" i="94"/>
  <c r="AE48" i="94"/>
  <c r="AB79" i="94"/>
  <c r="AE37" i="94"/>
  <c r="AB57" i="94"/>
  <c r="AB82" i="94"/>
  <c r="Y157" i="94"/>
  <c r="AE123" i="94"/>
  <c r="AE11" i="94"/>
  <c r="Y46" i="94"/>
  <c r="S120" i="94"/>
  <c r="Y151" i="94"/>
  <c r="Y70" i="94"/>
  <c r="S40" i="94"/>
  <c r="AE68" i="94"/>
  <c r="V35" i="94"/>
  <c r="S102" i="94"/>
  <c r="Y145" i="94"/>
  <c r="AE137" i="94"/>
  <c r="AE163" i="94"/>
  <c r="AB32" i="94"/>
  <c r="Y71" i="94"/>
  <c r="AB161" i="94"/>
  <c r="V31" i="94"/>
  <c r="V99" i="94"/>
  <c r="AE70" i="94"/>
  <c r="S26" i="94"/>
  <c r="Y64" i="94"/>
  <c r="Y17" i="94"/>
  <c r="AB159" i="94"/>
  <c r="AE79" i="94"/>
  <c r="S41" i="94"/>
  <c r="V132" i="94"/>
  <c r="Y45" i="94"/>
  <c r="AE106" i="94"/>
  <c r="S84" i="94"/>
  <c r="S140" i="94"/>
  <c r="V44" i="94"/>
  <c r="V122" i="94"/>
  <c r="AB38" i="94"/>
  <c r="S89" i="94"/>
  <c r="AB160" i="94"/>
  <c r="V61" i="94"/>
  <c r="V85" i="94"/>
  <c r="V80" i="94"/>
  <c r="AB21" i="94"/>
  <c r="V74" i="94"/>
  <c r="S83" i="94"/>
  <c r="Y123" i="94"/>
  <c r="Y54" i="94"/>
  <c r="V140" i="94"/>
  <c r="V58" i="94"/>
  <c r="V100" i="94"/>
  <c r="Y76" i="94"/>
  <c r="V24" i="94"/>
  <c r="S134" i="94"/>
  <c r="Y72" i="94"/>
  <c r="AB154" i="94"/>
  <c r="AE59" i="94"/>
  <c r="V70" i="94"/>
  <c r="S49" i="94"/>
  <c r="Y78" i="94"/>
  <c r="V7" i="94"/>
  <c r="S133" i="94"/>
  <c r="V120" i="94"/>
  <c r="AB115" i="94"/>
  <c r="S126" i="94"/>
  <c r="AE136" i="94"/>
  <c r="AB24" i="94"/>
  <c r="AB62" i="94"/>
  <c r="AE8" i="94"/>
  <c r="AB98" i="94"/>
  <c r="V128" i="94"/>
  <c r="V54" i="94"/>
  <c r="Y12" i="94"/>
  <c r="S14" i="94"/>
  <c r="AB88" i="94"/>
  <c r="S137" i="94"/>
  <c r="AB94" i="94"/>
  <c r="AE22" i="94"/>
  <c r="AE56" i="94"/>
  <c r="AB153" i="94"/>
  <c r="AE50" i="94"/>
  <c r="V130" i="94"/>
  <c r="V34" i="94"/>
  <c r="Y43" i="94"/>
  <c r="Y7" i="94"/>
  <c r="Y86" i="94"/>
  <c r="AB151" i="94"/>
  <c r="AE47" i="94"/>
  <c r="S73" i="94"/>
  <c r="AE28" i="94"/>
  <c r="Y40" i="94"/>
  <c r="AE149" i="94"/>
  <c r="AB134" i="94"/>
  <c r="AB7" i="94"/>
  <c r="AE60" i="94"/>
  <c r="V50" i="94"/>
  <c r="AB164" i="94"/>
  <c r="AE72" i="94"/>
  <c r="Y90" i="94"/>
  <c r="S45" i="94"/>
  <c r="AE71" i="94"/>
  <c r="Y111" i="94"/>
  <c r="AB41" i="94"/>
  <c r="V64" i="94"/>
  <c r="S87" i="94"/>
  <c r="AB36" i="94"/>
  <c r="Y19" i="94"/>
  <c r="AE102" i="94"/>
  <c r="V141" i="94"/>
  <c r="S17" i="94"/>
  <c r="V9" i="94"/>
  <c r="AE42" i="94"/>
  <c r="V112" i="94"/>
  <c r="AE77" i="94"/>
  <c r="V149" i="94"/>
  <c r="AB26" i="94"/>
  <c r="S64" i="94"/>
  <c r="V93" i="94"/>
  <c r="AB44" i="94"/>
  <c r="S23" i="94"/>
  <c r="V92" i="94"/>
  <c r="AE144" i="94"/>
  <c r="V88" i="94"/>
  <c r="Y5" i="94"/>
  <c r="AE14" i="94"/>
  <c r="S105" i="94"/>
  <c r="AE61" i="94"/>
  <c r="V159" i="94"/>
  <c r="V136" i="94"/>
  <c r="AB89" i="94"/>
  <c r="Y27" i="94"/>
  <c r="Y59" i="94"/>
  <c r="AE78" i="94"/>
  <c r="AE49" i="94"/>
  <c r="AB101" i="94"/>
  <c r="AB33" i="94"/>
  <c r="S71" i="94"/>
  <c r="S75" i="94"/>
  <c r="V59" i="94"/>
  <c r="Y119" i="94"/>
  <c r="Y24" i="94"/>
  <c r="Y163" i="94"/>
  <c r="AE158" i="94"/>
  <c r="AB147" i="94"/>
  <c r="S93" i="94"/>
  <c r="AE80" i="94"/>
  <c r="AE134" i="94"/>
  <c r="S90" i="94"/>
  <c r="AB106" i="94"/>
  <c r="Y21" i="94"/>
  <c r="AB83" i="94"/>
  <c r="V137" i="94"/>
  <c r="V127" i="94"/>
  <c r="AB90" i="94"/>
  <c r="V162" i="94"/>
  <c r="V21" i="94"/>
  <c r="S153" i="94"/>
  <c r="AB162" i="94"/>
  <c r="Y22" i="94"/>
  <c r="V161" i="94"/>
  <c r="AE154" i="94"/>
  <c r="AB138" i="94"/>
  <c r="AB97" i="94"/>
  <c r="AE64" i="94"/>
  <c r="S141" i="94"/>
  <c r="V65" i="94"/>
  <c r="AB47" i="94"/>
  <c r="V155" i="94"/>
  <c r="Y146" i="94"/>
  <c r="Y112" i="94"/>
  <c r="AE30" i="94"/>
  <c r="AB110" i="94"/>
  <c r="AB117" i="94"/>
  <c r="AB50" i="94"/>
  <c r="AB163" i="94"/>
  <c r="AB8" i="94"/>
  <c r="AE111" i="94"/>
  <c r="AE133" i="94"/>
  <c r="S117" i="94"/>
  <c r="V129" i="94"/>
  <c r="V119" i="94"/>
  <c r="Y58" i="94"/>
  <c r="V73" i="94"/>
  <c r="V146" i="94"/>
  <c r="S66" i="94"/>
  <c r="Y116" i="94"/>
  <c r="V46" i="94"/>
  <c r="Y73" i="94"/>
  <c r="AE118" i="94"/>
  <c r="AE159" i="94"/>
  <c r="AB69" i="94"/>
  <c r="AB144" i="94"/>
  <c r="AE46" i="94"/>
  <c r="Y139" i="94"/>
  <c r="V104" i="94"/>
  <c r="Y69" i="94"/>
  <c r="Y48" i="94"/>
  <c r="V108" i="94"/>
  <c r="S108" i="94"/>
  <c r="AB143" i="94"/>
  <c r="Y140" i="94"/>
  <c r="V158" i="94"/>
  <c r="AB127" i="94"/>
  <c r="AE7" i="94"/>
  <c r="Y57" i="94"/>
  <c r="AE52" i="94"/>
  <c r="AE148" i="94"/>
  <c r="AB73" i="94"/>
  <c r="Y95" i="94"/>
  <c r="S62" i="94"/>
  <c r="AB113" i="94"/>
  <c r="S42" i="94"/>
  <c r="Y134" i="94"/>
  <c r="AB116" i="94"/>
  <c r="AB55" i="94"/>
  <c r="S92" i="94"/>
  <c r="V81" i="94"/>
  <c r="Y102" i="94"/>
  <c r="Y41" i="94"/>
  <c r="V11" i="94"/>
  <c r="Y160" i="94"/>
  <c r="Y33" i="94"/>
  <c r="AB18" i="94"/>
  <c r="Y153" i="94"/>
  <c r="AE12" i="94"/>
  <c r="AB136" i="94"/>
  <c r="Y117" i="94"/>
  <c r="AE116" i="94"/>
  <c r="AE146" i="94"/>
  <c r="AE95" i="94"/>
  <c r="AE45" i="94"/>
  <c r="AE16" i="94"/>
  <c r="Y8" i="94"/>
  <c r="S139" i="94"/>
  <c r="S55" i="94"/>
  <c r="S106" i="94"/>
  <c r="S103" i="94"/>
  <c r="AE62" i="94"/>
  <c r="Y154" i="94"/>
  <c r="Y84" i="94"/>
  <c r="Y133" i="94"/>
  <c r="V33" i="94"/>
  <c r="AE140" i="94"/>
  <c r="V16" i="94"/>
  <c r="V96" i="94"/>
  <c r="AE18" i="94"/>
  <c r="AB122" i="94"/>
  <c r="AB156" i="94"/>
  <c r="AB78" i="94"/>
  <c r="AE121" i="94"/>
  <c r="AB87" i="94"/>
  <c r="S135" i="94"/>
  <c r="S162" i="94"/>
  <c r="V39" i="94"/>
  <c r="AB65" i="94"/>
  <c r="AB34" i="94"/>
  <c r="V98" i="94"/>
  <c r="S109" i="94"/>
  <c r="S72" i="94"/>
  <c r="AB5" i="94"/>
  <c r="AE74" i="94"/>
  <c r="AE38" i="94"/>
  <c r="AB10" i="94"/>
  <c r="AB35" i="94"/>
  <c r="AE141" i="94"/>
  <c r="S12" i="94"/>
  <c r="Y149" i="94"/>
  <c r="S65" i="94"/>
  <c r="AB145" i="94"/>
  <c r="AE51" i="94"/>
  <c r="Y16" i="94"/>
  <c r="S60" i="94"/>
  <c r="AB103" i="94"/>
  <c r="V113" i="94"/>
  <c r="AE29" i="94"/>
  <c r="V12" i="94"/>
  <c r="AE142" i="94"/>
  <c r="V151" i="94"/>
  <c r="AB22" i="94"/>
  <c r="AB133" i="94"/>
  <c r="Y13" i="94"/>
  <c r="Y132" i="94"/>
  <c r="AB158" i="94"/>
  <c r="V106" i="94"/>
  <c r="S20" i="94"/>
  <c r="V14" i="94"/>
  <c r="Y37" i="94"/>
  <c r="S61" i="94"/>
  <c r="Y96" i="94"/>
  <c r="S32" i="94"/>
  <c r="V71" i="94"/>
  <c r="Y94" i="94"/>
  <c r="V28" i="94"/>
  <c r="V17" i="94"/>
  <c r="Y99" i="94"/>
  <c r="S28" i="94"/>
  <c r="S157" i="94"/>
  <c r="V156" i="94"/>
  <c r="AE132" i="94"/>
  <c r="AE97" i="94"/>
  <c r="AE100" i="94"/>
  <c r="AE127" i="94"/>
  <c r="AB135" i="94"/>
  <c r="AB102" i="94"/>
  <c r="Y155" i="94"/>
  <c r="V86" i="94"/>
  <c r="Y25" i="94"/>
  <c r="Y62" i="94"/>
  <c r="V157" i="94"/>
  <c r="AE110" i="94"/>
  <c r="AB75" i="94"/>
  <c r="Y147" i="94"/>
  <c r="Y50" i="94"/>
  <c r="S158" i="94"/>
  <c r="S104" i="94"/>
  <c r="S16" i="94"/>
  <c r="S85" i="94"/>
  <c r="Y32" i="94"/>
  <c r="Y162" i="94"/>
  <c r="Y44" i="94"/>
  <c r="AB42" i="94"/>
  <c r="AE43" i="94"/>
  <c r="AE93" i="94"/>
  <c r="V53" i="94"/>
  <c r="S110" i="94"/>
  <c r="Y144" i="94"/>
  <c r="Y121" i="94"/>
  <c r="V27" i="94"/>
  <c r="Y107" i="94"/>
  <c r="AB20" i="94"/>
  <c r="Y26" i="94"/>
  <c r="AE88" i="94"/>
  <c r="Y53" i="94"/>
  <c r="AE13" i="94"/>
  <c r="S142" i="94"/>
  <c r="V148" i="94"/>
  <c r="Y49" i="94"/>
  <c r="AB70" i="94"/>
  <c r="V72" i="94"/>
  <c r="AE101" i="94"/>
  <c r="S107" i="94"/>
  <c r="V40" i="94"/>
  <c r="AB74" i="94"/>
  <c r="AB29" i="94"/>
  <c r="S124" i="94"/>
  <c r="AB84" i="94"/>
  <c r="V152" i="94"/>
  <c r="S132" i="94"/>
  <c r="AB112" i="94"/>
  <c r="AE6" i="94"/>
  <c r="AB15" i="94"/>
  <c r="AE40" i="94"/>
  <c r="S67" i="94"/>
  <c r="AB43" i="94"/>
  <c r="V82" i="94"/>
  <c r="Y115" i="94"/>
  <c r="V102" i="94"/>
  <c r="S131" i="94"/>
  <c r="S59" i="94"/>
  <c r="V115" i="94"/>
  <c r="Y68" i="94"/>
  <c r="Y74" i="94"/>
  <c r="Y11" i="94"/>
  <c r="AB31" i="94"/>
  <c r="AE36" i="94"/>
  <c r="AB67" i="94"/>
  <c r="AB52" i="94"/>
  <c r="S50" i="94"/>
  <c r="AE5" i="94"/>
  <c r="S35" i="94"/>
  <c r="AE55" i="94"/>
  <c r="AE57" i="94"/>
  <c r="V47" i="94"/>
  <c r="V30" i="94"/>
  <c r="AB17" i="94"/>
  <c r="V38" i="94"/>
  <c r="Y113" i="94"/>
  <c r="Y138" i="94"/>
  <c r="AB56" i="94"/>
  <c r="V62" i="94"/>
  <c r="V66" i="94"/>
  <c r="Y141" i="94"/>
  <c r="AE87" i="94"/>
  <c r="AB16" i="94"/>
  <c r="V68" i="94"/>
  <c r="V91" i="94"/>
  <c r="V19" i="94"/>
  <c r="V18" i="94"/>
  <c r="AB13" i="94"/>
  <c r="AE125" i="94"/>
  <c r="AE25" i="94"/>
  <c r="V84" i="94"/>
  <c r="AE129" i="94"/>
  <c r="AB61" i="94"/>
  <c r="AE128" i="94"/>
  <c r="S46" i="94"/>
  <c r="AE41" i="94"/>
  <c r="AE86" i="94"/>
  <c r="S6" i="94"/>
  <c r="V111" i="94"/>
  <c r="S128" i="94"/>
  <c r="V87" i="94"/>
  <c r="AE115" i="94"/>
  <c r="Y129" i="94"/>
  <c r="V89" i="94"/>
  <c r="S15" i="94"/>
  <c r="S159" i="94"/>
  <c r="AE15" i="94"/>
  <c r="AB131" i="94"/>
  <c r="Y150" i="94"/>
  <c r="AE34" i="94"/>
  <c r="Y122" i="94"/>
  <c r="AB149" i="94"/>
  <c r="AE124" i="94"/>
  <c r="S125" i="94"/>
  <c r="S31" i="94"/>
  <c r="AE39" i="94"/>
  <c r="AB124" i="94"/>
  <c r="Y143" i="94"/>
  <c r="V107" i="94"/>
  <c r="AE98" i="94"/>
  <c r="AE58" i="94"/>
  <c r="Y29" i="94"/>
  <c r="V138" i="94"/>
  <c r="AB28" i="94"/>
  <c r="Y61" i="94"/>
  <c r="Y136" i="94"/>
  <c r="V143" i="94"/>
  <c r="S25" i="94"/>
  <c r="V13" i="94"/>
  <c r="AE75" i="94"/>
  <c r="AB23" i="94"/>
  <c r="AE160" i="94"/>
  <c r="Y9" i="94"/>
  <c r="AE9" i="94"/>
  <c r="V78" i="94"/>
  <c r="AB111" i="94"/>
  <c r="S78" i="94"/>
  <c r="S94" i="94"/>
  <c r="Y87" i="94"/>
  <c r="AE35" i="94"/>
  <c r="S86" i="94"/>
  <c r="Y130" i="94"/>
  <c r="S48" i="94"/>
  <c r="Y31" i="94"/>
  <c r="AE92" i="94"/>
  <c r="S43" i="94"/>
  <c r="V121" i="94"/>
  <c r="AB132" i="94"/>
  <c r="Y92" i="94"/>
  <c r="AE63" i="94"/>
  <c r="S111" i="94"/>
  <c r="S163" i="94"/>
  <c r="AE113" i="94"/>
  <c r="Y66" i="94"/>
  <c r="AB128" i="94"/>
  <c r="AE104" i="94"/>
  <c r="S96" i="94"/>
  <c r="Y23" i="94"/>
  <c r="Y81" i="94"/>
  <c r="Y97" i="94"/>
  <c r="AE126" i="94"/>
  <c r="AE90" i="94"/>
  <c r="Y137" i="94"/>
  <c r="Y106" i="94"/>
  <c r="Y77" i="94"/>
  <c r="S88" i="94"/>
  <c r="S145" i="94"/>
  <c r="S119" i="94"/>
  <c r="AE85" i="94"/>
  <c r="AE161" i="94"/>
  <c r="AB39" i="94"/>
  <c r="AE162" i="94"/>
  <c r="AB25" i="94"/>
  <c r="V36" i="94"/>
  <c r="Y159" i="94"/>
  <c r="AE76" i="94"/>
  <c r="S68" i="94"/>
  <c r="AB27" i="94"/>
  <c r="Y104" i="94"/>
  <c r="V69" i="94"/>
  <c r="V29" i="94"/>
  <c r="S37" i="94"/>
  <c r="S69" i="94"/>
  <c r="S97" i="94"/>
  <c r="V133" i="94"/>
  <c r="Y100" i="94"/>
  <c r="Y80" i="94"/>
  <c r="V23" i="94"/>
  <c r="S116" i="94"/>
  <c r="S38" i="94"/>
  <c r="Y91" i="94"/>
  <c r="AE81" i="94"/>
  <c r="S63" i="94"/>
  <c r="S82" i="94"/>
  <c r="V41" i="94"/>
  <c r="AE20" i="94"/>
  <c r="S100" i="94"/>
  <c r="S76" i="94"/>
  <c r="S5" i="94"/>
  <c r="Y88" i="94"/>
  <c r="AE21" i="94"/>
  <c r="V51" i="94"/>
  <c r="AB48" i="94"/>
  <c r="AE145" i="94"/>
  <c r="V163" i="94"/>
  <c r="V57" i="94"/>
  <c r="S161" i="94"/>
  <c r="Y35" i="94"/>
  <c r="Y158" i="94"/>
  <c r="AE26" i="94"/>
  <c r="Y15" i="94"/>
  <c r="AB142" i="94"/>
  <c r="S121" i="94"/>
  <c r="V135" i="94"/>
  <c r="AE99" i="94"/>
  <c r="S22" i="94"/>
  <c r="S18" i="94"/>
  <c r="V25" i="94"/>
  <c r="Y20" i="94"/>
  <c r="V55" i="94"/>
  <c r="S13" i="94"/>
  <c r="V5" i="94"/>
  <c r="AB130" i="94"/>
  <c r="AB95" i="94"/>
  <c r="V154" i="94"/>
  <c r="V63" i="94"/>
  <c r="AB54" i="94"/>
  <c r="AB66" i="94"/>
  <c r="Y108" i="94"/>
  <c r="AB152" i="94"/>
  <c r="S39" i="94"/>
  <c r="Y126" i="94"/>
  <c r="AB121" i="94"/>
  <c r="AB123" i="94"/>
  <c r="S54" i="94"/>
  <c r="Y60" i="94"/>
  <c r="AE135" i="94"/>
  <c r="AB30" i="94"/>
  <c r="S70" i="94"/>
  <c r="V160" i="94"/>
  <c r="AE157" i="94"/>
  <c r="Y156" i="94"/>
  <c r="S58" i="94"/>
  <c r="S114" i="94"/>
  <c r="AB125" i="94"/>
  <c r="AB107" i="94"/>
  <c r="V6" i="94"/>
  <c r="S113" i="94"/>
  <c r="AB53" i="94"/>
  <c r="AB92" i="94"/>
  <c r="V105" i="94"/>
  <c r="S8" i="94"/>
  <c r="AB9" i="94"/>
  <c r="AB105" i="94"/>
  <c r="S57" i="94"/>
  <c r="AB157" i="94"/>
  <c r="V131" i="94"/>
  <c r="AB46" i="94"/>
  <c r="AB137" i="94"/>
  <c r="Y105" i="94"/>
  <c r="Y28" i="94"/>
  <c r="AE91" i="94"/>
  <c r="V134" i="94"/>
  <c r="Y98" i="94"/>
  <c r="V116" i="94"/>
  <c r="Y47" i="94"/>
  <c r="V110" i="94"/>
  <c r="S56" i="94"/>
  <c r="AE122" i="94"/>
  <c r="Y103" i="94"/>
  <c r="V124" i="94"/>
  <c r="Y127" i="94"/>
  <c r="S160" i="94"/>
  <c r="AC98" i="94" l="1"/>
  <c r="AC15" i="94"/>
  <c r="AC47" i="94"/>
  <c r="AC57" i="94"/>
  <c r="AC66" i="94"/>
  <c r="AC64" i="94"/>
  <c r="AC101" i="94"/>
  <c r="AC7" i="94"/>
  <c r="AC49" i="94"/>
  <c r="AC36" i="94"/>
  <c r="AC32" i="94"/>
  <c r="CW32" i="94" s="1"/>
  <c r="AC55" i="94"/>
  <c r="AC17" i="94"/>
  <c r="DO17" i="94" s="1"/>
  <c r="AC52" i="94"/>
  <c r="DL52" i="94" s="1"/>
  <c r="AC34" i="94"/>
  <c r="DO34" i="94" s="1"/>
  <c r="AC60" i="94"/>
  <c r="DH60" i="94" s="1"/>
  <c r="AC61" i="94"/>
  <c r="AC53" i="94"/>
  <c r="AC6" i="94"/>
  <c r="AC23" i="94"/>
  <c r="AC35" i="94"/>
  <c r="AC59" i="94"/>
  <c r="AC56" i="94"/>
  <c r="AC13" i="94"/>
  <c r="AC20" i="94"/>
  <c r="AC33" i="94"/>
  <c r="AC76" i="94"/>
  <c r="DM76" i="94" s="1"/>
  <c r="AC25" i="94"/>
  <c r="AC54" i="94"/>
  <c r="DP54" i="94" s="1"/>
  <c r="AC8" i="94"/>
  <c r="DE8" i="94" s="1"/>
  <c r="AC16" i="94"/>
  <c r="DL16" i="94" s="1"/>
  <c r="AC37" i="94"/>
  <c r="DD37" i="94" s="1"/>
  <c r="AC58" i="94"/>
  <c r="AC63" i="94"/>
  <c r="AC30" i="94"/>
  <c r="AC43" i="94"/>
  <c r="AC14" i="94"/>
  <c r="AC71" i="94"/>
  <c r="AC62" i="94"/>
  <c r="AC77" i="94"/>
  <c r="AC78" i="94"/>
  <c r="AC68" i="94"/>
  <c r="AC29" i="94"/>
  <c r="AC40" i="94"/>
  <c r="AC19" i="94"/>
  <c r="AC70" i="94"/>
  <c r="DN70" i="94" s="1"/>
  <c r="AC26" i="94"/>
  <c r="DH26" i="94" s="1"/>
  <c r="AC42" i="94"/>
  <c r="DH42" i="94" s="1"/>
  <c r="AC9" i="94"/>
  <c r="AC69" i="94"/>
  <c r="AC24" i="94"/>
  <c r="AC39" i="94"/>
  <c r="AC11" i="94"/>
  <c r="AC72" i="94"/>
  <c r="AC27" i="94"/>
  <c r="AC41" i="94"/>
  <c r="AC22" i="94"/>
  <c r="AC79" i="94"/>
  <c r="AC67" i="94"/>
  <c r="AC65" i="94"/>
  <c r="AC28" i="94"/>
  <c r="AC38" i="94"/>
  <c r="DB38" i="94" s="1"/>
  <c r="AC10" i="94"/>
  <c r="CU10" i="94" s="1"/>
  <c r="AC81" i="94"/>
  <c r="DO81" i="94" s="1"/>
  <c r="AC75" i="94"/>
  <c r="AC31" i="94"/>
  <c r="AC46" i="94"/>
  <c r="AC18" i="94"/>
  <c r="AC80" i="94"/>
  <c r="AC74" i="94"/>
  <c r="AC45" i="94"/>
  <c r="AC21" i="94"/>
  <c r="AC51" i="94"/>
  <c r="AC73" i="94"/>
  <c r="AC99" i="94"/>
  <c r="AC44" i="94"/>
  <c r="AC12" i="94"/>
  <c r="AC48" i="94"/>
  <c r="AC100" i="94"/>
  <c r="DF100" i="94" s="1"/>
  <c r="AC5" i="94"/>
  <c r="DE5" i="94" s="1"/>
  <c r="AC50" i="94"/>
  <c r="AC82" i="94"/>
  <c r="AC84" i="94"/>
  <c r="AC95" i="94"/>
  <c r="AC85" i="94"/>
  <c r="AC87" i="94"/>
  <c r="AC97" i="94"/>
  <c r="AC94" i="94"/>
  <c r="AC86" i="94"/>
  <c r="AC90" i="94"/>
  <c r="AC91" i="94"/>
  <c r="AC92" i="94"/>
  <c r="AC88" i="94"/>
  <c r="AC89" i="94"/>
  <c r="AC93" i="94"/>
  <c r="DO93" i="94" s="1"/>
  <c r="AC96" i="94"/>
  <c r="DN96" i="94" s="1"/>
  <c r="AC83" i="94"/>
  <c r="AC104" i="94"/>
  <c r="AC138" i="94"/>
  <c r="AC113" i="94"/>
  <c r="AC145" i="94"/>
  <c r="AC103" i="94"/>
  <c r="AC114" i="94"/>
  <c r="AC157" i="94"/>
  <c r="AC146" i="94"/>
  <c r="AC102" i="94"/>
  <c r="AC135" i="94"/>
  <c r="AC112" i="94"/>
  <c r="AC149" i="94"/>
  <c r="AC147" i="94"/>
  <c r="AC106" i="94"/>
  <c r="CW106" i="94" s="1"/>
  <c r="AC134" i="94"/>
  <c r="DN134" i="94" s="1"/>
  <c r="AC115" i="94"/>
  <c r="AC148" i="94"/>
  <c r="AC144" i="94"/>
  <c r="AC107" i="94"/>
  <c r="AC136" i="94"/>
  <c r="AC150" i="94"/>
  <c r="AC109" i="94"/>
  <c r="AC105" i="94"/>
  <c r="AC132" i="94"/>
  <c r="AC155" i="94"/>
  <c r="AC111" i="94"/>
  <c r="AC108" i="94"/>
  <c r="AC133" i="94"/>
  <c r="AC156" i="94"/>
  <c r="AC110" i="94"/>
  <c r="CW110" i="94" s="1"/>
  <c r="AC130" i="94"/>
  <c r="DO130" i="94" s="1"/>
  <c r="AC164" i="94"/>
  <c r="AC131" i="94"/>
  <c r="AC159" i="94"/>
  <c r="AC128" i="94"/>
  <c r="AC163" i="94"/>
  <c r="AC152" i="94"/>
  <c r="AC127" i="94"/>
  <c r="AC160" i="94"/>
  <c r="AC143" i="94"/>
  <c r="AC151" i="94"/>
  <c r="AC129" i="94"/>
  <c r="AC158" i="94"/>
  <c r="AC141" i="94"/>
  <c r="AC122" i="94"/>
  <c r="AC153" i="94"/>
  <c r="DI153" i="94" s="1"/>
  <c r="AC126" i="94"/>
  <c r="CX126" i="94" s="1"/>
  <c r="AC161" i="94"/>
  <c r="AC116" i="94"/>
  <c r="AC142" i="94"/>
  <c r="AC123" i="94"/>
  <c r="AC139" i="94"/>
  <c r="AC119" i="94"/>
  <c r="AC154" i="94"/>
  <c r="AC162" i="94"/>
  <c r="AC118" i="94"/>
  <c r="AC125" i="94"/>
  <c r="AC140" i="94"/>
  <c r="AC120" i="94"/>
  <c r="AC117" i="94"/>
  <c r="AC124" i="94"/>
  <c r="AC137" i="94"/>
  <c r="CX137" i="94" s="1"/>
  <c r="AC121" i="94"/>
  <c r="CV121" i="94" s="1"/>
  <c r="W73" i="94"/>
  <c r="W72" i="94"/>
  <c r="W90" i="94"/>
  <c r="W88" i="94"/>
  <c r="W89" i="94"/>
  <c r="W71" i="94"/>
  <c r="W82" i="94"/>
  <c r="W76" i="94"/>
  <c r="W70" i="94"/>
  <c r="W69" i="94"/>
  <c r="W87" i="94"/>
  <c r="W74" i="94"/>
  <c r="W83" i="94"/>
  <c r="W85" i="94"/>
  <c r="W77" i="94"/>
  <c r="BN77" i="94" s="1"/>
  <c r="W86" i="94"/>
  <c r="BL86" i="94" s="1"/>
  <c r="W75" i="94"/>
  <c r="W78" i="94"/>
  <c r="W84" i="94"/>
  <c r="W80" i="94"/>
  <c r="W79" i="94"/>
  <c r="W81" i="94"/>
  <c r="W18" i="94"/>
  <c r="W27" i="94"/>
  <c r="W56" i="94"/>
  <c r="W35" i="94"/>
  <c r="W22" i="94"/>
  <c r="W14" i="94"/>
  <c r="W25" i="94"/>
  <c r="W54" i="94"/>
  <c r="W12" i="94"/>
  <c r="BK12" i="94" s="1"/>
  <c r="W17" i="94"/>
  <c r="BX17" i="94" s="1"/>
  <c r="W24" i="94"/>
  <c r="W57" i="94"/>
  <c r="W19" i="94"/>
  <c r="W8" i="94"/>
  <c r="W31" i="94"/>
  <c r="W47" i="94"/>
  <c r="W55" i="94"/>
  <c r="W16" i="94"/>
  <c r="W30" i="94"/>
  <c r="W44" i="94"/>
  <c r="W26" i="94"/>
  <c r="W5" i="94"/>
  <c r="W50" i="94"/>
  <c r="W28" i="94"/>
  <c r="W46" i="94"/>
  <c r="BH46" i="94" s="1"/>
  <c r="W21" i="94"/>
  <c r="BI21" i="94" s="1"/>
  <c r="W53" i="94"/>
  <c r="W29" i="94"/>
  <c r="W45" i="94"/>
  <c r="W59" i="94"/>
  <c r="W23" i="94"/>
  <c r="W67" i="94"/>
  <c r="W52" i="94"/>
  <c r="W41" i="94"/>
  <c r="W63" i="94"/>
  <c r="W11" i="94"/>
  <c r="W64" i="94"/>
  <c r="W51" i="94"/>
  <c r="W40" i="94"/>
  <c r="W61" i="94"/>
  <c r="W7" i="94"/>
  <c r="BD7" i="94" s="1"/>
  <c r="W65" i="94"/>
  <c r="BL65" i="94" s="1"/>
  <c r="W49" i="94"/>
  <c r="W42" i="94"/>
  <c r="W60" i="94"/>
  <c r="W36" i="94"/>
  <c r="W15" i="94"/>
  <c r="W66" i="94"/>
  <c r="W48" i="94"/>
  <c r="W39" i="94"/>
  <c r="W33" i="94"/>
  <c r="W62" i="94"/>
  <c r="W9" i="94"/>
  <c r="W68" i="94"/>
  <c r="W43" i="94"/>
  <c r="W32" i="94"/>
  <c r="W58" i="94"/>
  <c r="BX58" i="94" s="1"/>
  <c r="W34" i="94"/>
  <c r="BQ34" i="94" s="1"/>
  <c r="W20" i="94"/>
  <c r="W13" i="94"/>
  <c r="W37" i="94"/>
  <c r="W6" i="94"/>
  <c r="W10" i="94"/>
  <c r="W38" i="94"/>
  <c r="W94" i="94"/>
  <c r="W93" i="94"/>
  <c r="W92" i="94"/>
  <c r="W91" i="94"/>
  <c r="W107" i="94"/>
  <c r="W139" i="94"/>
  <c r="W113" i="94"/>
  <c r="W117" i="94"/>
  <c r="W137" i="94"/>
  <c r="BV137" i="94" s="1"/>
  <c r="W112" i="94"/>
  <c r="BT112" i="94" s="1"/>
  <c r="W116" i="94"/>
  <c r="W129" i="94"/>
  <c r="W138" i="94"/>
  <c r="W114" i="94"/>
  <c r="W118" i="94"/>
  <c r="W127" i="94"/>
  <c r="W159" i="94"/>
  <c r="W115" i="94"/>
  <c r="W126" i="94"/>
  <c r="W143" i="94"/>
  <c r="W110" i="94"/>
  <c r="W160" i="94"/>
  <c r="W128" i="94"/>
  <c r="W142" i="94"/>
  <c r="W109" i="94"/>
  <c r="BJ109" i="94" s="1"/>
  <c r="W161" i="94"/>
  <c r="BD161" i="94" s="1"/>
  <c r="W95" i="94"/>
  <c r="W158" i="94"/>
  <c r="W140" i="94"/>
  <c r="W111" i="94"/>
  <c r="W163" i="94"/>
  <c r="W97" i="94"/>
  <c r="W149" i="94"/>
  <c r="W144" i="94"/>
  <c r="W141" i="94"/>
  <c r="W136" i="94"/>
  <c r="W164" i="94"/>
  <c r="W96" i="94"/>
  <c r="W156" i="94"/>
  <c r="W150" i="94"/>
  <c r="W145" i="94"/>
  <c r="BM145" i="94" s="1"/>
  <c r="W135" i="94"/>
  <c r="BT135" i="94" s="1"/>
  <c r="W162" i="94"/>
  <c r="W98" i="94"/>
  <c r="W157" i="94"/>
  <c r="W148" i="94"/>
  <c r="W146" i="94"/>
  <c r="W152" i="94"/>
  <c r="W134" i="94"/>
  <c r="W120" i="94"/>
  <c r="W99" i="94"/>
  <c r="W155" i="94"/>
  <c r="W147" i="94"/>
  <c r="W151" i="94"/>
  <c r="W133" i="94"/>
  <c r="W119" i="94"/>
  <c r="W100" i="94"/>
  <c r="BJ100" i="94" s="1"/>
  <c r="W154" i="94"/>
  <c r="BD154" i="94" s="1"/>
  <c r="W153" i="94"/>
  <c r="W122" i="94"/>
  <c r="W123" i="94"/>
  <c r="W102" i="94"/>
  <c r="W121" i="94"/>
  <c r="W124" i="94"/>
  <c r="W103" i="94"/>
  <c r="W132" i="94"/>
  <c r="W105" i="94"/>
  <c r="W125" i="94"/>
  <c r="W104" i="94"/>
  <c r="W130" i="94"/>
  <c r="W108" i="94"/>
  <c r="W101" i="94"/>
  <c r="W131" i="94"/>
  <c r="BF131" i="94" s="1"/>
  <c r="W106" i="94"/>
  <c r="BE106" i="94" s="1"/>
  <c r="T75" i="94"/>
  <c r="T71" i="94"/>
  <c r="T73" i="94"/>
  <c r="T82" i="94"/>
  <c r="T81" i="94"/>
  <c r="T80" i="94"/>
  <c r="T79" i="94"/>
  <c r="T72" i="94"/>
  <c r="T83" i="94"/>
  <c r="T70" i="94"/>
  <c r="T78" i="94"/>
  <c r="T86" i="94"/>
  <c r="T74" i="94"/>
  <c r="T85" i="94"/>
  <c r="T77" i="94"/>
  <c r="AY77" i="94" s="1"/>
  <c r="T84" i="94"/>
  <c r="BA84" i="94" s="1"/>
  <c r="T76" i="94"/>
  <c r="T60" i="94"/>
  <c r="T33" i="94"/>
  <c r="T18" i="94"/>
  <c r="T9" i="94"/>
  <c r="T26" i="94"/>
  <c r="T69" i="94"/>
  <c r="T10" i="94"/>
  <c r="T20" i="94"/>
  <c r="T35" i="94"/>
  <c r="T63" i="94"/>
  <c r="T44" i="94"/>
  <c r="T11" i="94"/>
  <c r="T52" i="94"/>
  <c r="T32" i="94"/>
  <c r="AL32" i="94" s="1"/>
  <c r="T25" i="94"/>
  <c r="AN25" i="94" s="1"/>
  <c r="T31" i="94"/>
  <c r="T39" i="94"/>
  <c r="T37" i="94"/>
  <c r="T23" i="94"/>
  <c r="T61" i="94"/>
  <c r="T45" i="94"/>
  <c r="T13" i="94"/>
  <c r="T50" i="94"/>
  <c r="T29" i="94"/>
  <c r="T14" i="94"/>
  <c r="T28" i="94"/>
  <c r="T40" i="94"/>
  <c r="T15" i="94"/>
  <c r="T58" i="94"/>
  <c r="T47" i="94"/>
  <c r="AY47" i="94" s="1"/>
  <c r="T6" i="94"/>
  <c r="BA6" i="94" s="1"/>
  <c r="T48" i="94"/>
  <c r="T30" i="94"/>
  <c r="T66" i="94"/>
  <c r="T87" i="94"/>
  <c r="T57" i="94"/>
  <c r="T46" i="94"/>
  <c r="T17" i="94"/>
  <c r="T53" i="94"/>
  <c r="T24" i="94"/>
  <c r="T7" i="94"/>
  <c r="T36" i="94"/>
  <c r="T54" i="94"/>
  <c r="T8" i="94"/>
  <c r="T49" i="94"/>
  <c r="T19" i="94"/>
  <c r="AO19" i="94" s="1"/>
  <c r="T22" i="94"/>
  <c r="AP22" i="94" s="1"/>
  <c r="T16" i="94"/>
  <c r="T55" i="94"/>
  <c r="T43" i="94"/>
  <c r="T51" i="94"/>
  <c r="T5" i="94"/>
  <c r="T56" i="94"/>
  <c r="T41" i="94"/>
  <c r="T21" i="94"/>
  <c r="T27" i="94"/>
  <c r="T67" i="94"/>
  <c r="T88" i="94"/>
  <c r="T12" i="94"/>
  <c r="T42" i="94"/>
  <c r="T68" i="94"/>
  <c r="T65" i="94"/>
  <c r="AX65" i="94" s="1"/>
  <c r="T62" i="94"/>
  <c r="AO62" i="94" s="1"/>
  <c r="T34" i="94"/>
  <c r="T38" i="94"/>
  <c r="T64" i="94"/>
  <c r="T59" i="94"/>
  <c r="T89" i="94"/>
  <c r="T90" i="94"/>
  <c r="T94" i="94"/>
  <c r="T93" i="94"/>
  <c r="T92" i="94"/>
  <c r="T91" i="94"/>
  <c r="T129" i="94"/>
  <c r="T152" i="94"/>
  <c r="T100" i="94"/>
  <c r="T115" i="94"/>
  <c r="T161" i="94"/>
  <c r="AX161" i="94" s="1"/>
  <c r="T131" i="94"/>
  <c r="AP131" i="94" s="1"/>
  <c r="T127" i="94"/>
  <c r="T98" i="94"/>
  <c r="T163" i="94"/>
  <c r="T130" i="94"/>
  <c r="T126" i="94"/>
  <c r="T123" i="94"/>
  <c r="T132" i="94"/>
  <c r="T128" i="94"/>
  <c r="T124" i="94"/>
  <c r="T135" i="94"/>
  <c r="T120" i="94"/>
  <c r="T139" i="94"/>
  <c r="T125" i="94"/>
  <c r="T133" i="94"/>
  <c r="T121" i="94"/>
  <c r="AP121" i="94" s="1"/>
  <c r="T137" i="94"/>
  <c r="AW137" i="94" s="1"/>
  <c r="T134" i="94"/>
  <c r="T119" i="94"/>
  <c r="T138" i="94"/>
  <c r="T109" i="94"/>
  <c r="T136" i="94"/>
  <c r="T122" i="94"/>
  <c r="T118" i="94"/>
  <c r="T110" i="94"/>
  <c r="T107" i="94"/>
  <c r="T116" i="94"/>
  <c r="T111" i="94"/>
  <c r="T106" i="94"/>
  <c r="T117" i="94"/>
  <c r="T105" i="94"/>
  <c r="T108" i="94"/>
  <c r="AU108" i="94" s="1"/>
  <c r="T164" i="94"/>
  <c r="AK164" i="94" s="1"/>
  <c r="T102" i="94"/>
  <c r="T148" i="94"/>
  <c r="T96" i="94"/>
  <c r="T101" i="94"/>
  <c r="T149" i="94"/>
  <c r="T95" i="94"/>
  <c r="T112" i="94"/>
  <c r="T103" i="94"/>
  <c r="T153" i="94"/>
  <c r="T150" i="94"/>
  <c r="T97" i="94"/>
  <c r="T113" i="94"/>
  <c r="T104" i="94"/>
  <c r="T151" i="94"/>
  <c r="T147" i="94"/>
  <c r="AO147" i="94" s="1"/>
  <c r="T99" i="94"/>
  <c r="AV99" i="94" s="1"/>
  <c r="T114" i="94"/>
  <c r="T162" i="94"/>
  <c r="T145" i="94"/>
  <c r="T143" i="94"/>
  <c r="T140" i="94"/>
  <c r="T160" i="94"/>
  <c r="T142" i="94"/>
  <c r="T146" i="94"/>
  <c r="T157" i="94"/>
  <c r="T141" i="94"/>
  <c r="T159" i="94"/>
  <c r="T154" i="94"/>
  <c r="T156" i="94"/>
  <c r="T155" i="94"/>
  <c r="T144" i="94"/>
  <c r="AV144" i="94" s="1"/>
  <c r="T158" i="94"/>
  <c r="AL158" i="94" s="1"/>
  <c r="AF74" i="94"/>
  <c r="AF41" i="94"/>
  <c r="AF13" i="94"/>
  <c r="AF18" i="94"/>
  <c r="AF43" i="94"/>
  <c r="AF85" i="94"/>
  <c r="AF36" i="94"/>
  <c r="AF50" i="94"/>
  <c r="AF8" i="94"/>
  <c r="AF31" i="94"/>
  <c r="AF75" i="94"/>
  <c r="AF39" i="94"/>
  <c r="AF10" i="94"/>
  <c r="AF22" i="94"/>
  <c r="AF84" i="94"/>
  <c r="EI84" i="94" s="1"/>
  <c r="AF32" i="94"/>
  <c r="DV32" i="94" s="1"/>
  <c r="AF24" i="94"/>
  <c r="AF27" i="94"/>
  <c r="AF88" i="94"/>
  <c r="AF77" i="94"/>
  <c r="AF38" i="94"/>
  <c r="AF16" i="94"/>
  <c r="AF9" i="94"/>
  <c r="AF35" i="94"/>
  <c r="AF21" i="94"/>
  <c r="AF15" i="94"/>
  <c r="AF46" i="94"/>
  <c r="AF76" i="94"/>
  <c r="AF94" i="94"/>
  <c r="AF80" i="94"/>
  <c r="AF61" i="94"/>
  <c r="DT61" i="94" s="1"/>
  <c r="AF20" i="94"/>
  <c r="DZ20" i="94" s="1"/>
  <c r="AF37" i="94"/>
  <c r="AF33" i="94"/>
  <c r="AF7" i="94"/>
  <c r="AF51" i="94"/>
  <c r="AF26" i="94"/>
  <c r="AF5" i="94"/>
  <c r="AF19" i="94"/>
  <c r="AF78" i="94"/>
  <c r="AF92" i="94"/>
  <c r="AF81" i="94"/>
  <c r="AF59" i="94"/>
  <c r="AF23" i="94"/>
  <c r="AF97" i="94"/>
  <c r="AF90" i="94"/>
  <c r="AF44" i="94"/>
  <c r="DZ44" i="94" s="1"/>
  <c r="AF34" i="94"/>
  <c r="DY34" i="94" s="1"/>
  <c r="AF91" i="94"/>
  <c r="AF79" i="94"/>
  <c r="AF57" i="94"/>
  <c r="AF11" i="94"/>
  <c r="AF96" i="94"/>
  <c r="AF86" i="94"/>
  <c r="AF87" i="94"/>
  <c r="AF60" i="94"/>
  <c r="AF12" i="94"/>
  <c r="AF53" i="94"/>
  <c r="AF93" i="94"/>
  <c r="AF62" i="94"/>
  <c r="AF14" i="94"/>
  <c r="AF95" i="94"/>
  <c r="AF89" i="94"/>
  <c r="EK89" i="94" s="1"/>
  <c r="AF25" i="94"/>
  <c r="EJ25" i="94" s="1"/>
  <c r="AF55" i="94"/>
  <c r="AF45" i="94"/>
  <c r="AF56" i="94"/>
  <c r="AF58" i="94"/>
  <c r="AF17" i="94"/>
  <c r="AF49" i="94"/>
  <c r="AF48" i="94"/>
  <c r="AF30" i="94"/>
  <c r="AF54" i="94"/>
  <c r="AF101" i="94"/>
  <c r="AF29" i="94"/>
  <c r="AF99" i="94"/>
  <c r="AF82" i="94"/>
  <c r="AF100" i="94"/>
  <c r="AF83" i="94"/>
  <c r="DU83" i="94" s="1"/>
  <c r="AF98" i="94"/>
  <c r="EF98" i="94" s="1"/>
  <c r="AF52" i="94"/>
  <c r="AF47" i="94"/>
  <c r="AF42" i="94"/>
  <c r="AF6" i="94"/>
  <c r="AF73" i="94"/>
  <c r="AF40" i="94"/>
  <c r="AF28" i="94"/>
  <c r="AF64" i="94"/>
  <c r="AF72" i="94"/>
  <c r="AF103" i="94"/>
  <c r="AF107" i="94"/>
  <c r="AF108" i="94"/>
  <c r="AF65" i="94"/>
  <c r="AF68" i="94"/>
  <c r="AF66" i="94"/>
  <c r="DT66" i="94" s="1"/>
  <c r="AF71" i="94"/>
  <c r="DV71" i="94" s="1"/>
  <c r="AF70" i="94"/>
  <c r="AF104" i="94"/>
  <c r="AF67" i="94"/>
  <c r="AF69" i="94"/>
  <c r="AF105" i="94"/>
  <c r="AF102" i="94"/>
  <c r="AF63" i="94"/>
  <c r="AF106" i="94"/>
  <c r="AF141" i="94"/>
  <c r="AF110" i="94"/>
  <c r="AF157" i="94"/>
  <c r="AF143" i="94"/>
  <c r="AF114" i="94"/>
  <c r="AF162" i="94"/>
  <c r="AF144" i="94"/>
  <c r="DX144" i="94" s="1"/>
  <c r="AF132" i="94"/>
  <c r="EG132" i="94" s="1"/>
  <c r="AF115" i="94"/>
  <c r="AF160" i="94"/>
  <c r="AF142" i="94"/>
  <c r="AF133" i="94"/>
  <c r="AF113" i="94"/>
  <c r="AF163" i="94"/>
  <c r="AF130" i="94"/>
  <c r="AF128" i="94"/>
  <c r="AF139" i="94"/>
  <c r="AF158" i="94"/>
  <c r="AF154" i="94"/>
  <c r="AF131" i="94"/>
  <c r="AF129" i="94"/>
  <c r="AF140" i="94"/>
  <c r="AF161" i="94"/>
  <c r="DY161" i="94" s="1"/>
  <c r="AF153" i="94"/>
  <c r="ED153" i="94" s="1"/>
  <c r="AF118" i="94"/>
  <c r="AF127" i="94"/>
  <c r="AF138" i="94"/>
  <c r="AF164" i="94"/>
  <c r="AF152" i="94"/>
  <c r="AF119" i="94"/>
  <c r="AF156" i="94"/>
  <c r="AF159" i="94"/>
  <c r="AF124" i="94"/>
  <c r="AF137" i="94"/>
  <c r="AF116" i="94"/>
  <c r="AF125" i="94"/>
  <c r="AF136" i="94"/>
  <c r="AF117" i="94"/>
  <c r="AF123" i="94"/>
  <c r="DT123" i="94" s="1"/>
  <c r="AF135" i="94"/>
  <c r="DY135" i="94" s="1"/>
  <c r="AF147" i="94"/>
  <c r="AF126" i="94"/>
  <c r="AF120" i="94"/>
  <c r="AF134" i="94"/>
  <c r="AF145" i="94"/>
  <c r="AF155" i="94"/>
  <c r="AF121" i="94"/>
  <c r="AF148" i="94"/>
  <c r="AF146" i="94"/>
  <c r="AF122" i="94"/>
  <c r="AF149" i="94"/>
  <c r="AF109" i="94"/>
  <c r="AF150" i="94"/>
  <c r="AF112" i="94"/>
  <c r="AF151" i="94"/>
  <c r="EK151" i="94" s="1"/>
  <c r="AF111" i="94"/>
  <c r="DY111" i="94" s="1"/>
  <c r="Z86" i="94"/>
  <c r="Z75" i="94"/>
  <c r="Z93" i="94"/>
  <c r="Z62" i="94"/>
  <c r="Z79" i="94"/>
  <c r="Z89" i="94"/>
  <c r="Z85" i="94"/>
  <c r="Z77" i="94"/>
  <c r="Z94" i="94"/>
  <c r="Z58" i="94"/>
  <c r="Z81" i="94"/>
  <c r="Z76" i="94"/>
  <c r="Z90" i="94"/>
  <c r="Z88" i="94"/>
  <c r="Z78" i="94"/>
  <c r="BY78" i="94" s="1"/>
  <c r="Z61" i="94"/>
  <c r="CB61" i="94" s="1"/>
  <c r="Z92" i="94"/>
  <c r="Z37" i="94"/>
  <c r="Z87" i="94"/>
  <c r="Z59" i="94"/>
  <c r="Z38" i="94"/>
  <c r="Z67" i="94"/>
  <c r="Z30" i="94"/>
  <c r="Z43" i="94"/>
  <c r="Z63" i="94"/>
  <c r="Z32" i="94"/>
  <c r="Z66" i="94"/>
  <c r="Z24" i="94"/>
  <c r="Z39" i="94"/>
  <c r="Z36" i="94"/>
  <c r="Z65" i="94"/>
  <c r="CD65" i="94" s="1"/>
  <c r="Z27" i="94"/>
  <c r="CK27" i="94" s="1"/>
  <c r="Z42" i="94"/>
  <c r="Z44" i="94"/>
  <c r="Z35" i="94"/>
  <c r="Z68" i="94"/>
  <c r="Z31" i="94"/>
  <c r="Z41" i="94"/>
  <c r="Z70" i="94"/>
  <c r="Z46" i="94"/>
  <c r="Z33" i="94"/>
  <c r="Z64" i="94"/>
  <c r="Z26" i="94"/>
  <c r="Z40" i="94"/>
  <c r="Z73" i="94"/>
  <c r="Z47" i="94"/>
  <c r="Z60" i="94"/>
  <c r="CT60" i="94" s="1"/>
  <c r="Z34" i="94"/>
  <c r="CQ34" i="94" s="1"/>
  <c r="Z25" i="94"/>
  <c r="Z84" i="94"/>
  <c r="Z71" i="94"/>
  <c r="Z45" i="94"/>
  <c r="Z80" i="94"/>
  <c r="Z50" i="94"/>
  <c r="Z55" i="94"/>
  <c r="Z29" i="94"/>
  <c r="Z83" i="94"/>
  <c r="Z72" i="94"/>
  <c r="Z51" i="94"/>
  <c r="Z56" i="94"/>
  <c r="Z28" i="94"/>
  <c r="Z82" i="94"/>
  <c r="Z69" i="94"/>
  <c r="CC69" i="94" s="1"/>
  <c r="Z53" i="94"/>
  <c r="CA53" i="94" s="1"/>
  <c r="Z57" i="94"/>
  <c r="Z52" i="94"/>
  <c r="Z48" i="94"/>
  <c r="Z54" i="94"/>
  <c r="Z49" i="94"/>
  <c r="Z74" i="94"/>
  <c r="Z91" i="94"/>
  <c r="Z6" i="94"/>
  <c r="Z11" i="94"/>
  <c r="Z20" i="94"/>
  <c r="Z18" i="94"/>
  <c r="Z96" i="94"/>
  <c r="Z7" i="94"/>
  <c r="Z10" i="94"/>
  <c r="Z23" i="94"/>
  <c r="CD23" i="94" s="1"/>
  <c r="Z13" i="94"/>
  <c r="CN13" i="94" s="1"/>
  <c r="Z15" i="94"/>
  <c r="Z17" i="94"/>
  <c r="Z97" i="94"/>
  <c r="Z22" i="94"/>
  <c r="Z14" i="94"/>
  <c r="Z12" i="94"/>
  <c r="Z9" i="94"/>
  <c r="Z21" i="94"/>
  <c r="Z5" i="94"/>
  <c r="Z16" i="94"/>
  <c r="Z8" i="94"/>
  <c r="Z95" i="94"/>
  <c r="Z19" i="94"/>
  <c r="Z153" i="94"/>
  <c r="Z106" i="94"/>
  <c r="CH106" i="94" s="1"/>
  <c r="Z130" i="94"/>
  <c r="CC130" i="94" s="1"/>
  <c r="Z123" i="94"/>
  <c r="Z135" i="94"/>
  <c r="Z138" i="94"/>
  <c r="Z154" i="94"/>
  <c r="Z100" i="94"/>
  <c r="Z133" i="94"/>
  <c r="Z139" i="94"/>
  <c r="Z152" i="94"/>
  <c r="Z98" i="94"/>
  <c r="Z140" i="94"/>
  <c r="Z151" i="94"/>
  <c r="Z101" i="94"/>
  <c r="Z137" i="94"/>
  <c r="Z99" i="94"/>
  <c r="Z142" i="94"/>
  <c r="CI142" i="94" s="1"/>
  <c r="Z103" i="94"/>
  <c r="CG103" i="94" s="1"/>
  <c r="Z158" i="94"/>
  <c r="Z143" i="94"/>
  <c r="Z102" i="94"/>
  <c r="Z141" i="94"/>
  <c r="Z104" i="94"/>
  <c r="Z149" i="94"/>
  <c r="Z117" i="94"/>
  <c r="Z164" i="94"/>
  <c r="Z148" i="94"/>
  <c r="Z121" i="94"/>
  <c r="Z116" i="94"/>
  <c r="Z155" i="94"/>
  <c r="Z162" i="94"/>
  <c r="Z150" i="94"/>
  <c r="Z119" i="94"/>
  <c r="Z118" i="94"/>
  <c r="CH118" i="94" s="1"/>
  <c r="Z156" i="94"/>
  <c r="Z160" i="94"/>
  <c r="Z147" i="94"/>
  <c r="Z122" i="94"/>
  <c r="Z157" i="94"/>
  <c r="Z163" i="94"/>
  <c r="Z146" i="94"/>
  <c r="Z120" i="94"/>
  <c r="Z161" i="94"/>
  <c r="Z126" i="94"/>
  <c r="Z144" i="94"/>
  <c r="Z108" i="94"/>
  <c r="Z128" i="94"/>
  <c r="Z145" i="94"/>
  <c r="Z105" i="94"/>
  <c r="Z129" i="94"/>
  <c r="CK129" i="94" s="1"/>
  <c r="Z132" i="94"/>
  <c r="Z125" i="94"/>
  <c r="Z134" i="94"/>
  <c r="Z107" i="94"/>
  <c r="Z127" i="94"/>
  <c r="Z131" i="94"/>
  <c r="Z124" i="94"/>
  <c r="Z136" i="94"/>
  <c r="Z159" i="94"/>
  <c r="Z112" i="94"/>
  <c r="Z115" i="94"/>
  <c r="Z114" i="94"/>
  <c r="Z111" i="94"/>
  <c r="Z113" i="94"/>
  <c r="Z109" i="94"/>
  <c r="Z110" i="94"/>
  <c r="CC110" i="94" s="1"/>
  <c r="CX98" i="94"/>
  <c r="DN98" i="94"/>
  <c r="CY98" i="94"/>
  <c r="DC98" i="94"/>
  <c r="DM98" i="94"/>
  <c r="CW98" i="94"/>
  <c r="DJ98" i="94"/>
  <c r="DB98" i="94"/>
  <c r="DI98" i="94"/>
  <c r="DA98" i="94"/>
  <c r="DH98" i="94"/>
  <c r="DP98" i="94"/>
  <c r="DK98" i="94"/>
  <c r="CZ98" i="94"/>
  <c r="DG98" i="94"/>
  <c r="DL98" i="94"/>
  <c r="DE98" i="94"/>
  <c r="CU98" i="94"/>
  <c r="DD98" i="94"/>
  <c r="CV98" i="94"/>
  <c r="DO98" i="94"/>
  <c r="DF98" i="94"/>
  <c r="CY15" i="94"/>
  <c r="DN15" i="94"/>
  <c r="DK15" i="94"/>
  <c r="CU15" i="94"/>
  <c r="CX15" i="94"/>
  <c r="DL15" i="94"/>
  <c r="DH15" i="94"/>
  <c r="DB15" i="94"/>
  <c r="CV15" i="94"/>
  <c r="DD15" i="94"/>
  <c r="DG15" i="94"/>
  <c r="DP15" i="94"/>
  <c r="DF15" i="94"/>
  <c r="DM15" i="94"/>
  <c r="DI15" i="94"/>
  <c r="DJ15" i="94"/>
  <c r="DC15" i="94"/>
  <c r="CZ15" i="94"/>
  <c r="DA15" i="94"/>
  <c r="DE15" i="94"/>
  <c r="CW15" i="94"/>
  <c r="DO15" i="94"/>
  <c r="DJ47" i="94"/>
  <c r="DN47" i="94"/>
  <c r="DG47" i="94"/>
  <c r="CX47" i="94"/>
  <c r="DI47" i="94"/>
  <c r="CW47" i="94"/>
  <c r="DA47" i="94"/>
  <c r="DH47" i="94"/>
  <c r="DF47" i="94"/>
  <c r="DK47" i="94"/>
  <c r="DP47" i="94"/>
  <c r="DD47" i="94"/>
  <c r="DE47" i="94"/>
  <c r="DM47" i="94"/>
  <c r="CZ47" i="94"/>
  <c r="CU47" i="94"/>
  <c r="DL47" i="94"/>
  <c r="DO47" i="94"/>
  <c r="CV47" i="94"/>
  <c r="DC47" i="94"/>
  <c r="DB47" i="94"/>
  <c r="CY47" i="94"/>
  <c r="DD57" i="94"/>
  <c r="CX57" i="94"/>
  <c r="DG57" i="94"/>
  <c r="DP57" i="94"/>
  <c r="DF57" i="94"/>
  <c r="DB57" i="94"/>
  <c r="DE57" i="94"/>
  <c r="CZ57" i="94"/>
  <c r="DC57" i="94"/>
  <c r="DO57" i="94"/>
  <c r="CU57" i="94"/>
  <c r="CY57" i="94"/>
  <c r="DK57" i="94"/>
  <c r="DI57" i="94"/>
  <c r="DJ57" i="94"/>
  <c r="DL57" i="94"/>
  <c r="CW57" i="94"/>
  <c r="DA57" i="94"/>
  <c r="DH57" i="94"/>
  <c r="CV57" i="94"/>
  <c r="DM57" i="94"/>
  <c r="DN57" i="94"/>
  <c r="DK66" i="94"/>
  <c r="DO66" i="94"/>
  <c r="DM66" i="94"/>
  <c r="CY66" i="94"/>
  <c r="DH66" i="94"/>
  <c r="DJ66" i="94"/>
  <c r="DE66" i="94"/>
  <c r="DL66" i="94"/>
  <c r="DF66" i="94"/>
  <c r="DI66" i="94"/>
  <c r="DD66" i="94"/>
  <c r="CW66" i="94"/>
  <c r="CX66" i="94"/>
  <c r="CZ66" i="94"/>
  <c r="DB66" i="94"/>
  <c r="DG66" i="94"/>
  <c r="CU66" i="94"/>
  <c r="DA66" i="94"/>
  <c r="DN66" i="94"/>
  <c r="DP66" i="94"/>
  <c r="DC66" i="94"/>
  <c r="CV66" i="94"/>
  <c r="CU64" i="94"/>
  <c r="DI64" i="94"/>
  <c r="DD64" i="94"/>
  <c r="CZ64" i="94"/>
  <c r="DE64" i="94"/>
  <c r="DG64" i="94"/>
  <c r="CY64" i="94"/>
  <c r="DC64" i="94"/>
  <c r="DN64" i="94"/>
  <c r="DB64" i="94"/>
  <c r="CW64" i="94"/>
  <c r="CV64" i="94"/>
  <c r="DK64" i="94"/>
  <c r="CX64" i="94"/>
  <c r="DM64" i="94"/>
  <c r="DP64" i="94"/>
  <c r="DA64" i="94"/>
  <c r="DJ64" i="94"/>
  <c r="DF64" i="94"/>
  <c r="DH64" i="94"/>
  <c r="DO64" i="94"/>
  <c r="DL64" i="94"/>
  <c r="DK101" i="94"/>
  <c r="CZ101" i="94"/>
  <c r="DC101" i="94"/>
  <c r="DM101" i="94"/>
  <c r="DB101" i="94"/>
  <c r="CW101" i="94"/>
  <c r="DA101" i="94"/>
  <c r="DL101" i="94"/>
  <c r="DP101" i="94"/>
  <c r="DH101" i="94"/>
  <c r="CV101" i="94"/>
  <c r="DF101" i="94"/>
  <c r="DG101" i="94"/>
  <c r="DO101" i="94"/>
  <c r="CX101" i="94"/>
  <c r="DE101" i="94"/>
  <c r="DI101" i="94"/>
  <c r="DN101" i="94"/>
  <c r="CY101" i="94"/>
  <c r="DD101" i="94"/>
  <c r="DJ101" i="94"/>
  <c r="CU101" i="94"/>
  <c r="DL7" i="94"/>
  <c r="DA7" i="94"/>
  <c r="DD7" i="94"/>
  <c r="DP7" i="94"/>
  <c r="DG7" i="94"/>
  <c r="CW7" i="94"/>
  <c r="CZ7" i="94"/>
  <c r="CY7" i="94"/>
  <c r="DF7" i="94"/>
  <c r="DK7" i="94"/>
  <c r="CX7" i="94"/>
  <c r="DN7" i="94"/>
  <c r="DO7" i="94"/>
  <c r="DI7" i="94"/>
  <c r="DM7" i="94"/>
  <c r="DJ7" i="94"/>
  <c r="DB7" i="94"/>
  <c r="CV7" i="94"/>
  <c r="DH7" i="94"/>
  <c r="DE7" i="94"/>
  <c r="CU7" i="94"/>
  <c r="DC7" i="94"/>
  <c r="DO49" i="94"/>
  <c r="DD49" i="94"/>
  <c r="DJ49" i="94"/>
  <c r="DA49" i="94"/>
  <c r="CU49" i="94"/>
  <c r="DB49" i="94"/>
  <c r="DH49" i="94"/>
  <c r="CY49" i="94"/>
  <c r="DM49" i="94"/>
  <c r="CX49" i="94"/>
  <c r="DG49" i="94"/>
  <c r="DN49" i="94"/>
  <c r="DI49" i="94"/>
  <c r="DL49" i="94"/>
  <c r="DC49" i="94"/>
  <c r="DF49" i="94"/>
  <c r="DP49" i="94"/>
  <c r="DK49" i="94"/>
  <c r="CZ49" i="94"/>
  <c r="DE49" i="94"/>
  <c r="CV49" i="94"/>
  <c r="CW49" i="94"/>
  <c r="DL36" i="94"/>
  <c r="DO36" i="94"/>
  <c r="DJ36" i="94"/>
  <c r="DP36" i="94"/>
  <c r="DK36" i="94"/>
  <c r="CY36" i="94"/>
  <c r="CU36" i="94"/>
  <c r="CZ36" i="94"/>
  <c r="DI36" i="94"/>
  <c r="CX36" i="94"/>
  <c r="DB36" i="94"/>
  <c r="CW36" i="94"/>
  <c r="CV36" i="94"/>
  <c r="DH36" i="94"/>
  <c r="DE36" i="94"/>
  <c r="DG36" i="94"/>
  <c r="DN36" i="94"/>
  <c r="DF36" i="94"/>
  <c r="DD36" i="94"/>
  <c r="DA36" i="94"/>
  <c r="DM36" i="94"/>
  <c r="DC36" i="94"/>
  <c r="CV32" i="94"/>
  <c r="DL32" i="94"/>
  <c r="CX32" i="94"/>
  <c r="DP32" i="94"/>
  <c r="DM32" i="94"/>
  <c r="CW55" i="94"/>
  <c r="DG55" i="94"/>
  <c r="CY55" i="94"/>
  <c r="CU55" i="94"/>
  <c r="DL55" i="94"/>
  <c r="DF55" i="94"/>
  <c r="DO55" i="94"/>
  <c r="DI55" i="94"/>
  <c r="DN55" i="94"/>
  <c r="DH55" i="94"/>
  <c r="DM55" i="94"/>
  <c r="DD55" i="94"/>
  <c r="CV55" i="94"/>
  <c r="DP55" i="94"/>
  <c r="DC55" i="94"/>
  <c r="CZ55" i="94"/>
  <c r="DE55" i="94"/>
  <c r="DJ55" i="94"/>
  <c r="DB55" i="94"/>
  <c r="DA55" i="94"/>
  <c r="DK55" i="94"/>
  <c r="CX55" i="94"/>
  <c r="CZ17" i="94"/>
  <c r="DE17" i="94"/>
  <c r="DL17" i="94"/>
  <c r="CX17" i="94"/>
  <c r="CU61" i="94"/>
  <c r="DI61" i="94"/>
  <c r="DC61" i="94"/>
  <c r="CY61" i="94"/>
  <c r="DH61" i="94"/>
  <c r="DN61" i="94"/>
  <c r="CX61" i="94"/>
  <c r="DG61" i="94"/>
  <c r="DD61" i="94"/>
  <c r="CZ61" i="94"/>
  <c r="DB61" i="94"/>
  <c r="DM61" i="94"/>
  <c r="DA61" i="94"/>
  <c r="CW61" i="94"/>
  <c r="DP61" i="94"/>
  <c r="DL61" i="94"/>
  <c r="DE61" i="94"/>
  <c r="CV61" i="94"/>
  <c r="DK61" i="94"/>
  <c r="DF61" i="94"/>
  <c r="DJ61" i="94"/>
  <c r="DO61" i="94"/>
  <c r="DP53" i="94"/>
  <c r="DC53" i="94"/>
  <c r="DL53" i="94"/>
  <c r="DH53" i="94"/>
  <c r="CW53" i="94"/>
  <c r="DB53" i="94"/>
  <c r="CV53" i="94"/>
  <c r="CZ53" i="94"/>
  <c r="DK53" i="94"/>
  <c r="DO53" i="94"/>
  <c r="DJ53" i="94"/>
  <c r="CY53" i="94"/>
  <c r="DM53" i="94"/>
  <c r="DN53" i="94"/>
  <c r="DF53" i="94"/>
  <c r="DG53" i="94"/>
  <c r="DI53" i="94"/>
  <c r="DA53" i="94"/>
  <c r="DD53" i="94"/>
  <c r="DE53" i="94"/>
  <c r="CU53" i="94"/>
  <c r="CX53" i="94"/>
  <c r="DP6" i="94"/>
  <c r="DG6" i="94"/>
  <c r="CZ6" i="94"/>
  <c r="DE6" i="94"/>
  <c r="CW6" i="94"/>
  <c r="DA6" i="94"/>
  <c r="CX6" i="94"/>
  <c r="DM6" i="94"/>
  <c r="DF6" i="94"/>
  <c r="DJ6" i="94"/>
  <c r="DK6" i="94"/>
  <c r="DC6" i="94"/>
  <c r="CV6" i="94"/>
  <c r="DB6" i="94"/>
  <c r="DI6" i="94"/>
  <c r="DO6" i="94"/>
  <c r="CY6" i="94"/>
  <c r="DN6" i="94"/>
  <c r="DH6" i="94"/>
  <c r="CU6" i="94"/>
  <c r="DD6" i="94"/>
  <c r="DL6" i="94"/>
  <c r="DJ23" i="94"/>
  <c r="DO23" i="94"/>
  <c r="DH23" i="94"/>
  <c r="DK23" i="94"/>
  <c r="DG23" i="94"/>
  <c r="CU23" i="94"/>
  <c r="DF23" i="94"/>
  <c r="DM23" i="94"/>
  <c r="DE23" i="94"/>
  <c r="CY23" i="94"/>
  <c r="DC23" i="94"/>
  <c r="DI23" i="94"/>
  <c r="DD23" i="94"/>
  <c r="DL23" i="94"/>
  <c r="DB23" i="94"/>
  <c r="CX23" i="94"/>
  <c r="DA23" i="94"/>
  <c r="CV23" i="94"/>
  <c r="CZ23" i="94"/>
  <c r="CW23" i="94"/>
  <c r="DN23" i="94"/>
  <c r="DP23" i="94"/>
  <c r="DP35" i="94"/>
  <c r="DA35" i="94"/>
  <c r="DI35" i="94"/>
  <c r="DM35" i="94"/>
  <c r="DL35" i="94"/>
  <c r="CY35" i="94"/>
  <c r="DH35" i="94"/>
  <c r="CV35" i="94"/>
  <c r="DF35" i="94"/>
  <c r="DK35" i="94"/>
  <c r="DE35" i="94"/>
  <c r="CU35" i="94"/>
  <c r="DD35" i="94"/>
  <c r="DG35" i="94"/>
  <c r="CZ35" i="94"/>
  <c r="CW35" i="94"/>
  <c r="DN35" i="94"/>
  <c r="DO35" i="94"/>
  <c r="DB35" i="94"/>
  <c r="DJ35" i="94"/>
  <c r="CX35" i="94"/>
  <c r="DC35" i="94"/>
  <c r="DE59" i="94"/>
  <c r="DF59" i="94"/>
  <c r="CY59" i="94"/>
  <c r="DN59" i="94"/>
  <c r="DK59" i="94"/>
  <c r="DJ59" i="94"/>
  <c r="DL59" i="94"/>
  <c r="DA59" i="94"/>
  <c r="CU59" i="94"/>
  <c r="DP59" i="94"/>
  <c r="DI59" i="94"/>
  <c r="CZ59" i="94"/>
  <c r="DD59" i="94"/>
  <c r="DH59" i="94"/>
  <c r="DC59" i="94"/>
  <c r="CX59" i="94"/>
  <c r="DB59" i="94"/>
  <c r="DO59" i="94"/>
  <c r="DG59" i="94"/>
  <c r="CV59" i="94"/>
  <c r="DM59" i="94"/>
  <c r="CW59" i="94"/>
  <c r="DK56" i="94"/>
  <c r="CZ56" i="94"/>
  <c r="DG56" i="94"/>
  <c r="DD56" i="94"/>
  <c r="DC56" i="94"/>
  <c r="CW56" i="94"/>
  <c r="DN56" i="94"/>
  <c r="DI56" i="94"/>
  <c r="DB56" i="94"/>
  <c r="CU56" i="94"/>
  <c r="DJ56" i="94"/>
  <c r="DE56" i="94"/>
  <c r="DO56" i="94"/>
  <c r="DA56" i="94"/>
  <c r="DM56" i="94"/>
  <c r="DH56" i="94"/>
  <c r="DL56" i="94"/>
  <c r="CX56" i="94"/>
  <c r="CV56" i="94"/>
  <c r="DP56" i="94"/>
  <c r="CY56" i="94"/>
  <c r="DF56" i="94"/>
  <c r="DB13" i="94"/>
  <c r="DJ13" i="94"/>
  <c r="CU13" i="94"/>
  <c r="DN13" i="94"/>
  <c r="DM13" i="94"/>
  <c r="DD13" i="94"/>
  <c r="DK13" i="94"/>
  <c r="DH13" i="94"/>
  <c r="CW13" i="94"/>
  <c r="DI13" i="94"/>
  <c r="DE13" i="94"/>
  <c r="DA13" i="94"/>
  <c r="DL13" i="94"/>
  <c r="CX13" i="94"/>
  <c r="DP13" i="94"/>
  <c r="CZ13" i="94"/>
  <c r="DO13" i="94"/>
  <c r="CY13" i="94"/>
  <c r="DG13" i="94"/>
  <c r="DC13" i="94"/>
  <c r="CV13" i="94"/>
  <c r="DF13" i="94"/>
  <c r="DK20" i="94"/>
  <c r="DN20" i="94"/>
  <c r="DH20" i="94"/>
  <c r="DL20" i="94"/>
  <c r="DG20" i="94"/>
  <c r="DJ20" i="94"/>
  <c r="DF20" i="94"/>
  <c r="CX20" i="94"/>
  <c r="DD20" i="94"/>
  <c r="CY20" i="94"/>
  <c r="DI20" i="94"/>
  <c r="CW20" i="94"/>
  <c r="DB20" i="94"/>
  <c r="DM20" i="94"/>
  <c r="DE20" i="94"/>
  <c r="CU20" i="94"/>
  <c r="DC20" i="94"/>
  <c r="CV20" i="94"/>
  <c r="DO20" i="94"/>
  <c r="DP20" i="94"/>
  <c r="DA20" i="94"/>
  <c r="CZ20" i="94"/>
  <c r="DA33" i="94"/>
  <c r="DL33" i="94"/>
  <c r="DN33" i="94"/>
  <c r="CZ33" i="94"/>
  <c r="DC33" i="94"/>
  <c r="DJ33" i="94"/>
  <c r="CX33" i="94"/>
  <c r="DO33" i="94"/>
  <c r="DB33" i="94"/>
  <c r="DK33" i="94"/>
  <c r="DM33" i="94"/>
  <c r="DH33" i="94"/>
  <c r="DP33" i="94"/>
  <c r="CU33" i="94"/>
  <c r="DG33" i="94"/>
  <c r="DI33" i="94"/>
  <c r="DF33" i="94"/>
  <c r="CW33" i="94"/>
  <c r="CV33" i="94"/>
  <c r="DD33" i="94"/>
  <c r="CY33" i="94"/>
  <c r="DE33" i="94"/>
  <c r="DO76" i="94"/>
  <c r="CY76" i="94"/>
  <c r="CX76" i="94"/>
  <c r="DL76" i="94"/>
  <c r="DF76" i="94"/>
  <c r="CU76" i="94"/>
  <c r="CZ76" i="94"/>
  <c r="DJ25" i="94"/>
  <c r="DD25" i="94"/>
  <c r="DG25" i="94"/>
  <c r="DP25" i="94"/>
  <c r="DF25" i="94"/>
  <c r="DC25" i="94"/>
  <c r="DA25" i="94"/>
  <c r="DO25" i="94"/>
  <c r="DI25" i="94"/>
  <c r="CV25" i="94"/>
  <c r="DE25" i="94"/>
  <c r="DK25" i="94"/>
  <c r="CY25" i="94"/>
  <c r="CZ25" i="94"/>
  <c r="CU25" i="94"/>
  <c r="DH25" i="94"/>
  <c r="CW25" i="94"/>
  <c r="CX25" i="94"/>
  <c r="DL25" i="94"/>
  <c r="DB25" i="94"/>
  <c r="DN25" i="94"/>
  <c r="DM25" i="94"/>
  <c r="CU54" i="94"/>
  <c r="DO54" i="94"/>
  <c r="DG54" i="94"/>
  <c r="DJ54" i="94"/>
  <c r="DE58" i="94"/>
  <c r="DP58" i="94"/>
  <c r="CW58" i="94"/>
  <c r="DN58" i="94"/>
  <c r="DF58" i="94"/>
  <c r="DL58" i="94"/>
  <c r="CY58" i="94"/>
  <c r="CV58" i="94"/>
  <c r="DD58" i="94"/>
  <c r="DI58" i="94"/>
  <c r="DM58" i="94"/>
  <c r="DO58" i="94"/>
  <c r="CZ58" i="94"/>
  <c r="DH58" i="94"/>
  <c r="DK58" i="94"/>
  <c r="DC58" i="94"/>
  <c r="CX58" i="94"/>
  <c r="DB58" i="94"/>
  <c r="DG58" i="94"/>
  <c r="DA58" i="94"/>
  <c r="CU58" i="94"/>
  <c r="DJ58" i="94"/>
  <c r="DA63" i="94"/>
  <c r="DH63" i="94"/>
  <c r="DJ63" i="94"/>
  <c r="DP63" i="94"/>
  <c r="CW63" i="94"/>
  <c r="CU63" i="94"/>
  <c r="DD63" i="94"/>
  <c r="CZ63" i="94"/>
  <c r="DF63" i="94"/>
  <c r="DO63" i="94"/>
  <c r="DG63" i="94"/>
  <c r="CY63" i="94"/>
  <c r="DN63" i="94"/>
  <c r="CX63" i="94"/>
  <c r="DC63" i="94"/>
  <c r="DL63" i="94"/>
  <c r="DE63" i="94"/>
  <c r="DK63" i="94"/>
  <c r="DB63" i="94"/>
  <c r="DI63" i="94"/>
  <c r="CV63" i="94"/>
  <c r="DM63" i="94"/>
  <c r="DK30" i="94"/>
  <c r="DL30" i="94"/>
  <c r="CU30" i="94"/>
  <c r="DC30" i="94"/>
  <c r="CV30" i="94"/>
  <c r="DB30" i="94"/>
  <c r="CY30" i="94"/>
  <c r="DG30" i="94"/>
  <c r="DN30" i="94"/>
  <c r="DD30" i="94"/>
  <c r="CX30" i="94"/>
  <c r="DJ30" i="94"/>
  <c r="DM30" i="94"/>
  <c r="DA30" i="94"/>
  <c r="CW30" i="94"/>
  <c r="DF30" i="94"/>
  <c r="CZ30" i="94"/>
  <c r="DH30" i="94"/>
  <c r="DP30" i="94"/>
  <c r="DE30" i="94"/>
  <c r="DO30" i="94"/>
  <c r="DI30" i="94"/>
  <c r="DG43" i="94"/>
  <c r="DN43" i="94"/>
  <c r="DC43" i="94"/>
  <c r="DH43" i="94"/>
  <c r="CY43" i="94"/>
  <c r="DK43" i="94"/>
  <c r="DB43" i="94"/>
  <c r="CU43" i="94"/>
  <c r="CX43" i="94"/>
  <c r="DA43" i="94"/>
  <c r="DM43" i="94"/>
  <c r="CZ43" i="94"/>
  <c r="CW43" i="94"/>
  <c r="DP43" i="94"/>
  <c r="DL43" i="94"/>
  <c r="DE43" i="94"/>
  <c r="CV43" i="94"/>
  <c r="DI43" i="94"/>
  <c r="DF43" i="94"/>
  <c r="DD43" i="94"/>
  <c r="DO43" i="94"/>
  <c r="DJ43" i="94"/>
  <c r="DB14" i="94"/>
  <c r="DF14" i="94"/>
  <c r="DP14" i="94"/>
  <c r="DM14" i="94"/>
  <c r="DD14" i="94"/>
  <c r="DN14" i="94"/>
  <c r="CZ14" i="94"/>
  <c r="CW14" i="94"/>
  <c r="DA14" i="94"/>
  <c r="CX14" i="94"/>
  <c r="DO14" i="94"/>
  <c r="DL14" i="94"/>
  <c r="DI14" i="94"/>
  <c r="DH14" i="94"/>
  <c r="CY14" i="94"/>
  <c r="CV14" i="94"/>
  <c r="CU14" i="94"/>
  <c r="DK14" i="94"/>
  <c r="DJ14" i="94"/>
  <c r="DE14" i="94"/>
  <c r="DG14" i="94"/>
  <c r="DC14" i="94"/>
  <c r="DF71" i="94"/>
  <c r="DO71" i="94"/>
  <c r="DC71" i="94"/>
  <c r="DN71" i="94"/>
  <c r="DB71" i="94"/>
  <c r="CU71" i="94"/>
  <c r="DM71" i="94"/>
  <c r="CV71" i="94"/>
  <c r="CZ71" i="94"/>
  <c r="DE71" i="94"/>
  <c r="CX71" i="94"/>
  <c r="DK71" i="94"/>
  <c r="DD71" i="94"/>
  <c r="DA71" i="94"/>
  <c r="CY71" i="94"/>
  <c r="DI71" i="94"/>
  <c r="DL71" i="94"/>
  <c r="DH71" i="94"/>
  <c r="CW71" i="94"/>
  <c r="DJ71" i="94"/>
  <c r="DP71" i="94"/>
  <c r="DG71" i="94"/>
  <c r="DM62" i="94"/>
  <c r="DE62" i="94"/>
  <c r="CX62" i="94"/>
  <c r="CU62" i="94"/>
  <c r="CW62" i="94"/>
  <c r="DD62" i="94"/>
  <c r="DO62" i="94"/>
  <c r="CY62" i="94"/>
  <c r="DP62" i="94"/>
  <c r="DG62" i="94"/>
  <c r="DN62" i="94"/>
  <c r="DI62" i="94"/>
  <c r="DL62" i="94"/>
  <c r="CV62" i="94"/>
  <c r="DJ62" i="94"/>
  <c r="DF62" i="94"/>
  <c r="DK62" i="94"/>
  <c r="CZ62" i="94"/>
  <c r="DH62" i="94"/>
  <c r="DC62" i="94"/>
  <c r="DB62" i="94"/>
  <c r="DA62" i="94"/>
  <c r="CX77" i="94"/>
  <c r="DG77" i="94"/>
  <c r="DM77" i="94"/>
  <c r="DF77" i="94"/>
  <c r="CV77" i="94"/>
  <c r="DL77" i="94"/>
  <c r="DK77" i="94"/>
  <c r="DH77" i="94"/>
  <c r="DJ77" i="94"/>
  <c r="DO77" i="94"/>
  <c r="DB77" i="94"/>
  <c r="DI77" i="94"/>
  <c r="CY77" i="94"/>
  <c r="DA77" i="94"/>
  <c r="CZ77" i="94"/>
  <c r="DE77" i="94"/>
  <c r="DC77" i="94"/>
  <c r="DP77" i="94"/>
  <c r="DN77" i="94"/>
  <c r="DD77" i="94"/>
  <c r="CU77" i="94"/>
  <c r="CW77" i="94"/>
  <c r="CU78" i="94"/>
  <c r="DE78" i="94"/>
  <c r="CX78" i="94"/>
  <c r="DD78" i="94"/>
  <c r="DP78" i="94"/>
  <c r="CZ78" i="94"/>
  <c r="DJ78" i="94"/>
  <c r="DO78" i="94"/>
  <c r="DA78" i="94"/>
  <c r="DK78" i="94"/>
  <c r="DM78" i="94"/>
  <c r="DC78" i="94"/>
  <c r="DH78" i="94"/>
  <c r="DB78" i="94"/>
  <c r="DL78" i="94"/>
  <c r="CY78" i="94"/>
  <c r="CW78" i="94"/>
  <c r="DI78" i="94"/>
  <c r="DG78" i="94"/>
  <c r="DN78" i="94"/>
  <c r="CV78" i="94"/>
  <c r="DF78" i="94"/>
  <c r="DN68" i="94"/>
  <c r="DB68" i="94"/>
  <c r="DM68" i="94"/>
  <c r="DH68" i="94"/>
  <c r="CZ68" i="94"/>
  <c r="DL68" i="94"/>
  <c r="CW68" i="94"/>
  <c r="DP68" i="94"/>
  <c r="CY68" i="94"/>
  <c r="CX68" i="94"/>
  <c r="DK68" i="94"/>
  <c r="CV68" i="94"/>
  <c r="DI68" i="94"/>
  <c r="DJ68" i="94"/>
  <c r="DA68" i="94"/>
  <c r="CU68" i="94"/>
  <c r="DD68" i="94"/>
  <c r="DG68" i="94"/>
  <c r="DO68" i="94"/>
  <c r="DF68" i="94"/>
  <c r="DC68" i="94"/>
  <c r="DE68" i="94"/>
  <c r="DL29" i="94"/>
  <c r="DM29" i="94"/>
  <c r="CV29" i="94"/>
  <c r="DI29" i="94"/>
  <c r="DK29" i="94"/>
  <c r="DD29" i="94"/>
  <c r="DH29" i="94"/>
  <c r="DO29" i="94"/>
  <c r="DC29" i="94"/>
  <c r="DE29" i="94"/>
  <c r="DG29" i="94"/>
  <c r="DA29" i="94"/>
  <c r="DB29" i="94"/>
  <c r="DN29" i="94"/>
  <c r="DF29" i="94"/>
  <c r="CZ29" i="94"/>
  <c r="CW29" i="94"/>
  <c r="CX29" i="94"/>
  <c r="CU29" i="94"/>
  <c r="DJ29" i="94"/>
  <c r="CY29" i="94"/>
  <c r="DP29" i="94"/>
  <c r="DD40" i="94"/>
  <c r="DK40" i="94"/>
  <c r="DB40" i="94"/>
  <c r="DH40" i="94"/>
  <c r="CX40" i="94"/>
  <c r="DE40" i="94"/>
  <c r="DA40" i="94"/>
  <c r="CW40" i="94"/>
  <c r="DI40" i="94"/>
  <c r="DJ40" i="94"/>
  <c r="DP40" i="94"/>
  <c r="CZ40" i="94"/>
  <c r="CU40" i="94"/>
  <c r="DO40" i="94"/>
  <c r="DF40" i="94"/>
  <c r="CV40" i="94"/>
  <c r="DG40" i="94"/>
  <c r="DC40" i="94"/>
  <c r="DN40" i="94"/>
  <c r="CY40" i="94"/>
  <c r="DM40" i="94"/>
  <c r="DL40" i="94"/>
  <c r="CY19" i="94"/>
  <c r="DA19" i="94"/>
  <c r="CZ19" i="94"/>
  <c r="DL19" i="94"/>
  <c r="CX19" i="94"/>
  <c r="CV19" i="94"/>
  <c r="DC19" i="94"/>
  <c r="DK19" i="94"/>
  <c r="DN19" i="94"/>
  <c r="DJ19" i="94"/>
  <c r="DB19" i="94"/>
  <c r="DM19" i="94"/>
  <c r="CW19" i="94"/>
  <c r="DO19" i="94"/>
  <c r="DH19" i="94"/>
  <c r="DI19" i="94"/>
  <c r="DD19" i="94"/>
  <c r="DG19" i="94"/>
  <c r="DE19" i="94"/>
  <c r="CU19" i="94"/>
  <c r="DP19" i="94"/>
  <c r="DF19" i="94"/>
  <c r="DG9" i="94"/>
  <c r="CU9" i="94"/>
  <c r="CV9" i="94"/>
  <c r="DA9" i="94"/>
  <c r="DM9" i="94"/>
  <c r="DK9" i="94"/>
  <c r="DF9" i="94"/>
  <c r="DL9" i="94"/>
  <c r="DE9" i="94"/>
  <c r="DB9" i="94"/>
  <c r="DD9" i="94"/>
  <c r="DP9" i="94"/>
  <c r="CZ9" i="94"/>
  <c r="DO9" i="94"/>
  <c r="DH9" i="94"/>
  <c r="CY9" i="94"/>
  <c r="CX9" i="94"/>
  <c r="DJ9" i="94"/>
  <c r="DN9" i="94"/>
  <c r="DI9" i="94"/>
  <c r="CW9" i="94"/>
  <c r="DC9" i="94"/>
  <c r="DM69" i="94"/>
  <c r="DA69" i="94"/>
  <c r="CU69" i="94"/>
  <c r="CX69" i="94"/>
  <c r="CW69" i="94"/>
  <c r="DP69" i="94"/>
  <c r="CY69" i="94"/>
  <c r="DG69" i="94"/>
  <c r="DL69" i="94"/>
  <c r="DO69" i="94"/>
  <c r="DN69" i="94"/>
  <c r="DK69" i="94"/>
  <c r="DH69" i="94"/>
  <c r="DJ69" i="94"/>
  <c r="DF69" i="94"/>
  <c r="DI69" i="94"/>
  <c r="DE69" i="94"/>
  <c r="DD69" i="94"/>
  <c r="CZ69" i="94"/>
  <c r="DC69" i="94"/>
  <c r="DB69" i="94"/>
  <c r="CV69" i="94"/>
  <c r="DH24" i="94"/>
  <c r="CX24" i="94"/>
  <c r="DP24" i="94"/>
  <c r="CZ24" i="94"/>
  <c r="DM24" i="94"/>
  <c r="DO24" i="94"/>
  <c r="DJ24" i="94"/>
  <c r="CY24" i="94"/>
  <c r="DC24" i="94"/>
  <c r="DL24" i="94"/>
  <c r="DG24" i="94"/>
  <c r="DK24" i="94"/>
  <c r="CW24" i="94"/>
  <c r="CU24" i="94"/>
  <c r="DI24" i="94"/>
  <c r="DN24" i="94"/>
  <c r="DB24" i="94"/>
  <c r="DE24" i="94"/>
  <c r="CV24" i="94"/>
  <c r="DF24" i="94"/>
  <c r="DA24" i="94"/>
  <c r="DD24" i="94"/>
  <c r="DL39" i="94"/>
  <c r="CW39" i="94"/>
  <c r="DI39" i="94"/>
  <c r="DJ39" i="94"/>
  <c r="CU39" i="94"/>
  <c r="DE39" i="94"/>
  <c r="DH39" i="94"/>
  <c r="CZ39" i="94"/>
  <c r="DM39" i="94"/>
  <c r="DN39" i="94"/>
  <c r="DB39" i="94"/>
  <c r="DG39" i="94"/>
  <c r="DA39" i="94"/>
  <c r="DC39" i="94"/>
  <c r="DP39" i="94"/>
  <c r="DO39" i="94"/>
  <c r="DK39" i="94"/>
  <c r="CV39" i="94"/>
  <c r="CY39" i="94"/>
  <c r="DF39" i="94"/>
  <c r="CX39" i="94"/>
  <c r="DD39" i="94"/>
  <c r="DB11" i="94"/>
  <c r="DH11" i="94"/>
  <c r="DN11" i="94"/>
  <c r="DA11" i="94"/>
  <c r="CZ11" i="94"/>
  <c r="DD11" i="94"/>
  <c r="CX11" i="94"/>
  <c r="DO11" i="94"/>
  <c r="DL11" i="94"/>
  <c r="DC11" i="94"/>
  <c r="DM11" i="94"/>
  <c r="CY11" i="94"/>
  <c r="CV11" i="94"/>
  <c r="CW11" i="94"/>
  <c r="DK11" i="94"/>
  <c r="DF11" i="94"/>
  <c r="DJ11" i="94"/>
  <c r="DE11" i="94"/>
  <c r="DI11" i="94"/>
  <c r="CU11" i="94"/>
  <c r="DG11" i="94"/>
  <c r="DP11" i="94"/>
  <c r="DH72" i="94"/>
  <c r="DF72" i="94"/>
  <c r="DB72" i="94"/>
  <c r="DG72" i="94"/>
  <c r="DA72" i="94"/>
  <c r="CZ72" i="94"/>
  <c r="CX72" i="94"/>
  <c r="DD72" i="94"/>
  <c r="DM72" i="94"/>
  <c r="DP72" i="94"/>
  <c r="DO72" i="94"/>
  <c r="DC72" i="94"/>
  <c r="CW72" i="94"/>
  <c r="CV72" i="94"/>
  <c r="DL72" i="94"/>
  <c r="CY72" i="94"/>
  <c r="DK72" i="94"/>
  <c r="CU72" i="94"/>
  <c r="DJ72" i="94"/>
  <c r="DE72" i="94"/>
  <c r="DI72" i="94"/>
  <c r="DN72" i="94"/>
  <c r="DN27" i="94"/>
  <c r="DG27" i="94"/>
  <c r="CU27" i="94"/>
  <c r="DE27" i="94"/>
  <c r="DA27" i="94"/>
  <c r="DI27" i="94"/>
  <c r="DP27" i="94"/>
  <c r="DK27" i="94"/>
  <c r="DM27" i="94"/>
  <c r="DC27" i="94"/>
  <c r="CW27" i="94"/>
  <c r="DO27" i="94"/>
  <c r="DL27" i="94"/>
  <c r="DB27" i="94"/>
  <c r="CY27" i="94"/>
  <c r="CV27" i="94"/>
  <c r="DH27" i="94"/>
  <c r="DD27" i="94"/>
  <c r="CX27" i="94"/>
  <c r="CZ27" i="94"/>
  <c r="DF27" i="94"/>
  <c r="DJ27" i="94"/>
  <c r="DM41" i="94"/>
  <c r="DB41" i="94"/>
  <c r="CW41" i="94"/>
  <c r="DN41" i="94"/>
  <c r="DL41" i="94"/>
  <c r="CX41" i="94"/>
  <c r="CV41" i="94"/>
  <c r="DK41" i="94"/>
  <c r="DP41" i="94"/>
  <c r="DJ41" i="94"/>
  <c r="DE41" i="94"/>
  <c r="DI41" i="94"/>
  <c r="CZ41" i="94"/>
  <c r="DH41" i="94"/>
  <c r="DD41" i="94"/>
  <c r="CU41" i="94"/>
  <c r="DO41" i="94"/>
  <c r="DG41" i="94"/>
  <c r="DC41" i="94"/>
  <c r="DF41" i="94"/>
  <c r="CY41" i="94"/>
  <c r="DA41" i="94"/>
  <c r="DD22" i="94"/>
  <c r="DA22" i="94"/>
  <c r="DL22" i="94"/>
  <c r="DI22" i="94"/>
  <c r="CY22" i="94"/>
  <c r="DF22" i="94"/>
  <c r="CU22" i="94"/>
  <c r="DE22" i="94"/>
  <c r="DH22" i="94"/>
  <c r="DG22" i="94"/>
  <c r="DN22" i="94"/>
  <c r="DC22" i="94"/>
  <c r="CX22" i="94"/>
  <c r="CZ22" i="94"/>
  <c r="DM22" i="94"/>
  <c r="DB22" i="94"/>
  <c r="CW22" i="94"/>
  <c r="CV22" i="94"/>
  <c r="DO22" i="94"/>
  <c r="DK22" i="94"/>
  <c r="DP22" i="94"/>
  <c r="DJ22" i="94"/>
  <c r="DF79" i="94"/>
  <c r="DL79" i="94"/>
  <c r="DD79" i="94"/>
  <c r="DH79" i="94"/>
  <c r="DO79" i="94"/>
  <c r="DB79" i="94"/>
  <c r="CX79" i="94"/>
  <c r="CW79" i="94"/>
  <c r="CY79" i="94"/>
  <c r="DC79" i="94"/>
  <c r="DE79" i="94"/>
  <c r="DA79" i="94"/>
  <c r="DN79" i="94"/>
  <c r="DP79" i="94"/>
  <c r="CV79" i="94"/>
  <c r="CZ79" i="94"/>
  <c r="DK79" i="94"/>
  <c r="DG79" i="94"/>
  <c r="DJ79" i="94"/>
  <c r="DI79" i="94"/>
  <c r="DM79" i="94"/>
  <c r="CU79" i="94"/>
  <c r="DN67" i="94"/>
  <c r="DC67" i="94"/>
  <c r="CX67" i="94"/>
  <c r="DM67" i="94"/>
  <c r="CW67" i="94"/>
  <c r="CV67" i="94"/>
  <c r="CZ67" i="94"/>
  <c r="DK67" i="94"/>
  <c r="DF67" i="94"/>
  <c r="DJ67" i="94"/>
  <c r="CU67" i="94"/>
  <c r="DP67" i="94"/>
  <c r="DA67" i="94"/>
  <c r="DL67" i="94"/>
  <c r="DO67" i="94"/>
  <c r="DH67" i="94"/>
  <c r="DB67" i="94"/>
  <c r="DG67" i="94"/>
  <c r="DE67" i="94"/>
  <c r="DI67" i="94"/>
  <c r="CY67" i="94"/>
  <c r="DD67" i="94"/>
  <c r="DC65" i="94"/>
  <c r="CY65" i="94"/>
  <c r="DN65" i="94"/>
  <c r="DJ65" i="94"/>
  <c r="CX65" i="94"/>
  <c r="DG65" i="94"/>
  <c r="DF65" i="94"/>
  <c r="DP65" i="94"/>
  <c r="DB65" i="94"/>
  <c r="CW65" i="94"/>
  <c r="DE65" i="94"/>
  <c r="DL65" i="94"/>
  <c r="DA65" i="94"/>
  <c r="DO65" i="94"/>
  <c r="CZ65" i="94"/>
  <c r="DM65" i="94"/>
  <c r="DD65" i="94"/>
  <c r="DK65" i="94"/>
  <c r="CU65" i="94"/>
  <c r="DI65" i="94"/>
  <c r="CV65" i="94"/>
  <c r="DH65" i="94"/>
  <c r="DG28" i="94"/>
  <c r="DJ28" i="94"/>
  <c r="DA28" i="94"/>
  <c r="DP28" i="94"/>
  <c r="DD28" i="94"/>
  <c r="CZ28" i="94"/>
  <c r="CX28" i="94"/>
  <c r="DB28" i="94"/>
  <c r="DC28" i="94"/>
  <c r="DO28" i="94"/>
  <c r="CW28" i="94"/>
  <c r="DM28" i="94"/>
  <c r="DN28" i="94"/>
  <c r="DE28" i="94"/>
  <c r="DL28" i="94"/>
  <c r="CU28" i="94"/>
  <c r="CV28" i="94"/>
  <c r="CY28" i="94"/>
  <c r="DF28" i="94"/>
  <c r="DK28" i="94"/>
  <c r="DI28" i="94"/>
  <c r="DH28" i="94"/>
  <c r="DN38" i="94"/>
  <c r="DC38" i="94"/>
  <c r="DM38" i="94"/>
  <c r="DA38" i="94"/>
  <c r="DL38" i="94"/>
  <c r="DK75" i="94"/>
  <c r="CU75" i="94"/>
  <c r="DC75" i="94"/>
  <c r="DP75" i="94"/>
  <c r="DO75" i="94"/>
  <c r="DM75" i="94"/>
  <c r="CY75" i="94"/>
  <c r="DJ75" i="94"/>
  <c r="DN75" i="94"/>
  <c r="DL75" i="94"/>
  <c r="CX75" i="94"/>
  <c r="DF75" i="94"/>
  <c r="CV75" i="94"/>
  <c r="DH75" i="94"/>
  <c r="DI75" i="94"/>
  <c r="DA75" i="94"/>
  <c r="DG75" i="94"/>
  <c r="DE75" i="94"/>
  <c r="DB75" i="94"/>
  <c r="CW75" i="94"/>
  <c r="CZ75" i="94"/>
  <c r="DD75" i="94"/>
  <c r="DD31" i="94"/>
  <c r="CW31" i="94"/>
  <c r="DK31" i="94"/>
  <c r="DJ31" i="94"/>
  <c r="DP31" i="94"/>
  <c r="DN31" i="94"/>
  <c r="DF31" i="94"/>
  <c r="DE31" i="94"/>
  <c r="DB31" i="94"/>
  <c r="CZ31" i="94"/>
  <c r="DA31" i="94"/>
  <c r="DO31" i="94"/>
  <c r="CV31" i="94"/>
  <c r="CU31" i="94"/>
  <c r="DG31" i="94"/>
  <c r="CY31" i="94"/>
  <c r="DL31" i="94"/>
  <c r="CX31" i="94"/>
  <c r="DI31" i="94"/>
  <c r="DM31" i="94"/>
  <c r="DH31" i="94"/>
  <c r="DC31" i="94"/>
  <c r="CY46" i="94"/>
  <c r="DL46" i="94"/>
  <c r="DN46" i="94"/>
  <c r="DH46" i="94"/>
  <c r="DO46" i="94"/>
  <c r="CU46" i="94"/>
  <c r="DJ46" i="94"/>
  <c r="DD46" i="94"/>
  <c r="CZ46" i="94"/>
  <c r="DP46" i="94"/>
  <c r="DI46" i="94"/>
  <c r="DC46" i="94"/>
  <c r="CV46" i="94"/>
  <c r="DK46" i="94"/>
  <c r="DB46" i="94"/>
  <c r="DE46" i="94"/>
  <c r="DA46" i="94"/>
  <c r="DG46" i="94"/>
  <c r="CX46" i="94"/>
  <c r="DF46" i="94"/>
  <c r="DM46" i="94"/>
  <c r="CW46" i="94"/>
  <c r="DG18" i="94"/>
  <c r="DJ18" i="94"/>
  <c r="DM18" i="94"/>
  <c r="DF18" i="94"/>
  <c r="DN18" i="94"/>
  <c r="DD18" i="94"/>
  <c r="DE18" i="94"/>
  <c r="CX18" i="94"/>
  <c r="CY18" i="94"/>
  <c r="DA18" i="94"/>
  <c r="DL18" i="94"/>
  <c r="DC18" i="94"/>
  <c r="CZ18" i="94"/>
  <c r="DI18" i="94"/>
  <c r="CV18" i="94"/>
  <c r="DB18" i="94"/>
  <c r="CW18" i="94"/>
  <c r="DH18" i="94"/>
  <c r="DK18" i="94"/>
  <c r="DO18" i="94"/>
  <c r="CU18" i="94"/>
  <c r="DP18" i="94"/>
  <c r="DD80" i="94"/>
  <c r="DM80" i="94"/>
  <c r="CY80" i="94"/>
  <c r="DE80" i="94"/>
  <c r="DC80" i="94"/>
  <c r="DP80" i="94"/>
  <c r="DN80" i="94"/>
  <c r="DA80" i="94"/>
  <c r="CV80" i="94"/>
  <c r="CZ80" i="94"/>
  <c r="DG80" i="94"/>
  <c r="DH80" i="94"/>
  <c r="CU80" i="94"/>
  <c r="DL80" i="94"/>
  <c r="CX80" i="94"/>
  <c r="DB80" i="94"/>
  <c r="DK80" i="94"/>
  <c r="CW80" i="94"/>
  <c r="DJ80" i="94"/>
  <c r="DI80" i="94"/>
  <c r="DO80" i="94"/>
  <c r="DF80" i="94"/>
  <c r="DF74" i="94"/>
  <c r="DH74" i="94"/>
  <c r="CW74" i="94"/>
  <c r="CZ74" i="94"/>
  <c r="DO74" i="94"/>
  <c r="CX74" i="94"/>
  <c r="DP74" i="94"/>
  <c r="DE74" i="94"/>
  <c r="DL74" i="94"/>
  <c r="CU74" i="94"/>
  <c r="CY74" i="94"/>
  <c r="DG74" i="94"/>
  <c r="DN74" i="94"/>
  <c r="DB74" i="94"/>
  <c r="DD74" i="94"/>
  <c r="DJ74" i="94"/>
  <c r="CV74" i="94"/>
  <c r="DA74" i="94"/>
  <c r="DM74" i="94"/>
  <c r="DC74" i="94"/>
  <c r="DK74" i="94"/>
  <c r="DI74" i="94"/>
  <c r="DC45" i="94"/>
  <c r="DI45" i="94"/>
  <c r="CZ45" i="94"/>
  <c r="DH45" i="94"/>
  <c r="CY45" i="94"/>
  <c r="DG45" i="94"/>
  <c r="DF45" i="94"/>
  <c r="DA45" i="94"/>
  <c r="DD45" i="94"/>
  <c r="DL45" i="94"/>
  <c r="DB45" i="94"/>
  <c r="DK45" i="94"/>
  <c r="DP45" i="94"/>
  <c r="CU45" i="94"/>
  <c r="DO45" i="94"/>
  <c r="DE45" i="94"/>
  <c r="DM45" i="94"/>
  <c r="CX45" i="94"/>
  <c r="DN45" i="94"/>
  <c r="DJ45" i="94"/>
  <c r="CV45" i="94"/>
  <c r="CW45" i="94"/>
  <c r="DM21" i="94"/>
  <c r="DP21" i="94"/>
  <c r="DO21" i="94"/>
  <c r="CV21" i="94"/>
  <c r="DK21" i="94"/>
  <c r="CX21" i="94"/>
  <c r="DN21" i="94"/>
  <c r="CZ21" i="94"/>
  <c r="CU21" i="94"/>
  <c r="DJ21" i="94"/>
  <c r="DI21" i="94"/>
  <c r="DC21" i="94"/>
  <c r="DH21" i="94"/>
  <c r="CY21" i="94"/>
  <c r="DF21" i="94"/>
  <c r="DG21" i="94"/>
  <c r="DD21" i="94"/>
  <c r="DE21" i="94"/>
  <c r="DL21" i="94"/>
  <c r="DB21" i="94"/>
  <c r="CW21" i="94"/>
  <c r="DA21" i="94"/>
  <c r="DN51" i="94"/>
  <c r="DL51" i="94"/>
  <c r="DA51" i="94"/>
  <c r="DH51" i="94"/>
  <c r="CX51" i="94"/>
  <c r="DF51" i="94"/>
  <c r="CY51" i="94"/>
  <c r="DB51" i="94"/>
  <c r="DM51" i="94"/>
  <c r="CU51" i="94"/>
  <c r="DG51" i="94"/>
  <c r="CV51" i="94"/>
  <c r="DJ51" i="94"/>
  <c r="DE51" i="94"/>
  <c r="DD51" i="94"/>
  <c r="DP51" i="94"/>
  <c r="CW51" i="94"/>
  <c r="DK51" i="94"/>
  <c r="DO51" i="94"/>
  <c r="DI51" i="94"/>
  <c r="DC51" i="94"/>
  <c r="CZ51" i="94"/>
  <c r="DE73" i="94"/>
  <c r="DN73" i="94"/>
  <c r="DG73" i="94"/>
  <c r="DM73" i="94"/>
  <c r="CZ73" i="94"/>
  <c r="CW73" i="94"/>
  <c r="CU73" i="94"/>
  <c r="DL73" i="94"/>
  <c r="DO73" i="94"/>
  <c r="DC73" i="94"/>
  <c r="DF73" i="94"/>
  <c r="CV73" i="94"/>
  <c r="CY73" i="94"/>
  <c r="DD73" i="94"/>
  <c r="DP73" i="94"/>
  <c r="DK73" i="94"/>
  <c r="CX73" i="94"/>
  <c r="DB73" i="94"/>
  <c r="DJ73" i="94"/>
  <c r="DH73" i="94"/>
  <c r="DA73" i="94"/>
  <c r="DI73" i="94"/>
  <c r="DH99" i="94"/>
  <c r="DL99" i="94"/>
  <c r="DI99" i="94"/>
  <c r="CV99" i="94"/>
  <c r="DE99" i="94"/>
  <c r="DB99" i="94"/>
  <c r="DK99" i="94"/>
  <c r="DD99" i="94"/>
  <c r="DN99" i="94"/>
  <c r="DP99" i="94"/>
  <c r="DJ99" i="94"/>
  <c r="DC99" i="94"/>
  <c r="CX99" i="94"/>
  <c r="CZ99" i="94"/>
  <c r="DG99" i="94"/>
  <c r="DA99" i="94"/>
  <c r="CY99" i="94"/>
  <c r="DO99" i="94"/>
  <c r="CU99" i="94"/>
  <c r="DM99" i="94"/>
  <c r="DF99" i="94"/>
  <c r="CW99" i="94"/>
  <c r="DP44" i="94"/>
  <c r="CY44" i="94"/>
  <c r="CU44" i="94"/>
  <c r="CZ44" i="94"/>
  <c r="DJ44" i="94"/>
  <c r="DO44" i="94"/>
  <c r="DF44" i="94"/>
  <c r="DN44" i="94"/>
  <c r="CX44" i="94"/>
  <c r="DM44" i="94"/>
  <c r="DI44" i="94"/>
  <c r="CW44" i="94"/>
  <c r="DE44" i="94"/>
  <c r="DH44" i="94"/>
  <c r="CV44" i="94"/>
  <c r="DL44" i="94"/>
  <c r="DA44" i="94"/>
  <c r="DG44" i="94"/>
  <c r="DD44" i="94"/>
  <c r="DK44" i="94"/>
  <c r="DB44" i="94"/>
  <c r="DC44" i="94"/>
  <c r="DM12" i="94"/>
  <c r="DF12" i="94"/>
  <c r="DJ12" i="94"/>
  <c r="DE12" i="94"/>
  <c r="DK12" i="94"/>
  <c r="DP12" i="94"/>
  <c r="DI12" i="94"/>
  <c r="DD12" i="94"/>
  <c r="DC12" i="94"/>
  <c r="CZ12" i="94"/>
  <c r="DG12" i="94"/>
  <c r="DA12" i="94"/>
  <c r="CX12" i="94"/>
  <c r="CU12" i="94"/>
  <c r="DO12" i="94"/>
  <c r="CW12" i="94"/>
  <c r="CY12" i="94"/>
  <c r="DL12" i="94"/>
  <c r="DH12" i="94"/>
  <c r="DN12" i="94"/>
  <c r="DB12" i="94"/>
  <c r="CV12" i="94"/>
  <c r="DI48" i="94"/>
  <c r="CY48" i="94"/>
  <c r="DC48" i="94"/>
  <c r="DB48" i="94"/>
  <c r="DP48" i="94"/>
  <c r="DM48" i="94"/>
  <c r="CZ48" i="94"/>
  <c r="DJ48" i="94"/>
  <c r="DA48" i="94"/>
  <c r="DH48" i="94"/>
  <c r="DL48" i="94"/>
  <c r="DG48" i="94"/>
  <c r="CU48" i="94"/>
  <c r="DE48" i="94"/>
  <c r="CV48" i="94"/>
  <c r="DN48" i="94"/>
  <c r="CX48" i="94"/>
  <c r="DD48" i="94"/>
  <c r="DK48" i="94"/>
  <c r="DO48" i="94"/>
  <c r="CW48" i="94"/>
  <c r="DF48" i="94"/>
  <c r="DN50" i="94"/>
  <c r="DC50" i="94"/>
  <c r="DJ50" i="94"/>
  <c r="DH50" i="94"/>
  <c r="DI50" i="94"/>
  <c r="DF50" i="94"/>
  <c r="DB50" i="94"/>
  <c r="DO50" i="94"/>
  <c r="DD50" i="94"/>
  <c r="CY50" i="94"/>
  <c r="DG50" i="94"/>
  <c r="CX50" i="94"/>
  <c r="DP50" i="94"/>
  <c r="DM50" i="94"/>
  <c r="CV50" i="94"/>
  <c r="CW50" i="94"/>
  <c r="CZ50" i="94"/>
  <c r="DL50" i="94"/>
  <c r="DK50" i="94"/>
  <c r="DE50" i="94"/>
  <c r="DA50" i="94"/>
  <c r="CU50" i="94"/>
  <c r="CV82" i="94"/>
  <c r="DA82" i="94"/>
  <c r="CZ82" i="94"/>
  <c r="CU82" i="94"/>
  <c r="DK82" i="94"/>
  <c r="CY82" i="94"/>
  <c r="DO82" i="94"/>
  <c r="DG82" i="94"/>
  <c r="DN82" i="94"/>
  <c r="DL82" i="94"/>
  <c r="DJ82" i="94"/>
  <c r="DP82" i="94"/>
  <c r="DM82" i="94"/>
  <c r="DI82" i="94"/>
  <c r="DE82" i="94"/>
  <c r="DH82" i="94"/>
  <c r="DD82" i="94"/>
  <c r="DF82" i="94"/>
  <c r="DC82" i="94"/>
  <c r="CW82" i="94"/>
  <c r="DB82" i="94"/>
  <c r="CX82" i="94"/>
  <c r="DM84" i="94"/>
  <c r="DJ84" i="94"/>
  <c r="DG84" i="94"/>
  <c r="CV84" i="94"/>
  <c r="DA84" i="94"/>
  <c r="DF84" i="94"/>
  <c r="DP84" i="94"/>
  <c r="DE84" i="94"/>
  <c r="DO84" i="94"/>
  <c r="CW84" i="94"/>
  <c r="DN84" i="94"/>
  <c r="DB84" i="94"/>
  <c r="DL84" i="94"/>
  <c r="DC84" i="94"/>
  <c r="DI84" i="94"/>
  <c r="DD84" i="94"/>
  <c r="CU84" i="94"/>
  <c r="CY84" i="94"/>
  <c r="DH84" i="94"/>
  <c r="DK84" i="94"/>
  <c r="CZ84" i="94"/>
  <c r="CX84" i="94"/>
  <c r="DA95" i="94"/>
  <c r="CW95" i="94"/>
  <c r="CU95" i="94"/>
  <c r="DN95" i="94"/>
  <c r="DP95" i="94"/>
  <c r="DC95" i="94"/>
  <c r="DM95" i="94"/>
  <c r="DI95" i="94"/>
  <c r="DF95" i="94"/>
  <c r="DB95" i="94"/>
  <c r="DD95" i="94"/>
  <c r="DG95" i="94"/>
  <c r="CX95" i="94"/>
  <c r="CZ95" i="94"/>
  <c r="DK95" i="94"/>
  <c r="DO95" i="94"/>
  <c r="DJ95" i="94"/>
  <c r="CY95" i="94"/>
  <c r="DH95" i="94"/>
  <c r="CV95" i="94"/>
  <c r="DE95" i="94"/>
  <c r="DL95" i="94"/>
  <c r="DC85" i="94"/>
  <c r="CU85" i="94"/>
  <c r="DI85" i="94"/>
  <c r="DK85" i="94"/>
  <c r="DB85" i="94"/>
  <c r="DJ85" i="94"/>
  <c r="CY85" i="94"/>
  <c r="DH85" i="94"/>
  <c r="CV85" i="94"/>
  <c r="DA85" i="94"/>
  <c r="DG85" i="94"/>
  <c r="DE85" i="94"/>
  <c r="CX85" i="94"/>
  <c r="DP85" i="94"/>
  <c r="DO85" i="94"/>
  <c r="DF85" i="94"/>
  <c r="DD85" i="94"/>
  <c r="CZ85" i="94"/>
  <c r="CW85" i="94"/>
  <c r="DM85" i="94"/>
  <c r="DL85" i="94"/>
  <c r="DN85" i="94"/>
  <c r="CV87" i="94"/>
  <c r="CY87" i="94"/>
  <c r="DE87" i="94"/>
  <c r="DP87" i="94"/>
  <c r="DI87" i="94"/>
  <c r="DK87" i="94"/>
  <c r="DH87" i="94"/>
  <c r="DO87" i="94"/>
  <c r="DC87" i="94"/>
  <c r="DA87" i="94"/>
  <c r="DB87" i="94"/>
  <c r="CW87" i="94"/>
  <c r="DD87" i="94"/>
  <c r="DJ87" i="94"/>
  <c r="CZ87" i="94"/>
  <c r="CU87" i="94"/>
  <c r="DN87" i="94"/>
  <c r="CX87" i="94"/>
  <c r="DL87" i="94"/>
  <c r="DG87" i="94"/>
  <c r="DM87" i="94"/>
  <c r="DF87" i="94"/>
  <c r="DD97" i="94"/>
  <c r="DJ97" i="94"/>
  <c r="DI97" i="94"/>
  <c r="DO97" i="94"/>
  <c r="DA97" i="94"/>
  <c r="DN97" i="94"/>
  <c r="DH97" i="94"/>
  <c r="DM97" i="94"/>
  <c r="DP97" i="94"/>
  <c r="DG97" i="94"/>
  <c r="CZ97" i="94"/>
  <c r="DF97" i="94"/>
  <c r="DK97" i="94"/>
  <c r="CX97" i="94"/>
  <c r="DB97" i="94"/>
  <c r="CY97" i="94"/>
  <c r="DL97" i="94"/>
  <c r="CW97" i="94"/>
  <c r="DE97" i="94"/>
  <c r="CV97" i="94"/>
  <c r="DC97" i="94"/>
  <c r="CU97" i="94"/>
  <c r="DC94" i="94"/>
  <c r="DP94" i="94"/>
  <c r="DH94" i="94"/>
  <c r="CZ94" i="94"/>
  <c r="DB94" i="94"/>
  <c r="DK94" i="94"/>
  <c r="DG94" i="94"/>
  <c r="DM94" i="94"/>
  <c r="CV94" i="94"/>
  <c r="DE94" i="94"/>
  <c r="DF94" i="94"/>
  <c r="DO94" i="94"/>
  <c r="CW94" i="94"/>
  <c r="CU94" i="94"/>
  <c r="DD94" i="94"/>
  <c r="DA94" i="94"/>
  <c r="DL94" i="94"/>
  <c r="DN94" i="94"/>
  <c r="DI94" i="94"/>
  <c r="DJ94" i="94"/>
  <c r="CY94" i="94"/>
  <c r="CX94" i="94"/>
  <c r="DG86" i="94"/>
  <c r="DN86" i="94"/>
  <c r="DL86" i="94"/>
  <c r="CX86" i="94"/>
  <c r="DJ86" i="94"/>
  <c r="DM86" i="94"/>
  <c r="DK86" i="94"/>
  <c r="CW86" i="94"/>
  <c r="DC86" i="94"/>
  <c r="DO86" i="94"/>
  <c r="DH86" i="94"/>
  <c r="CY86" i="94"/>
  <c r="DI86" i="94"/>
  <c r="CU86" i="94"/>
  <c r="DA86" i="94"/>
  <c r="CV86" i="94"/>
  <c r="DF86" i="94"/>
  <c r="DD86" i="94"/>
  <c r="DP86" i="94"/>
  <c r="DE86" i="94"/>
  <c r="CZ86" i="94"/>
  <c r="DB86" i="94"/>
  <c r="DF90" i="94"/>
  <c r="CW90" i="94"/>
  <c r="DE90" i="94"/>
  <c r="CX90" i="94"/>
  <c r="DK90" i="94"/>
  <c r="CU90" i="94"/>
  <c r="DI90" i="94"/>
  <c r="DL90" i="94"/>
  <c r="DH90" i="94"/>
  <c r="DA90" i="94"/>
  <c r="DD90" i="94"/>
  <c r="DB90" i="94"/>
  <c r="DC90" i="94"/>
  <c r="DJ90" i="94"/>
  <c r="DP90" i="94"/>
  <c r="CV90" i="94"/>
  <c r="DN90" i="94"/>
  <c r="CY90" i="94"/>
  <c r="DO90" i="94"/>
  <c r="DM90" i="94"/>
  <c r="DG90" i="94"/>
  <c r="CZ90" i="94"/>
  <c r="DK91" i="94"/>
  <c r="DP91" i="94"/>
  <c r="CX91" i="94"/>
  <c r="DD91" i="94"/>
  <c r="DE91" i="94"/>
  <c r="DI91" i="94"/>
  <c r="DM91" i="94"/>
  <c r="CZ91" i="94"/>
  <c r="DA91" i="94"/>
  <c r="CV91" i="94"/>
  <c r="DL91" i="94"/>
  <c r="DJ91" i="94"/>
  <c r="DB91" i="94"/>
  <c r="DH91" i="94"/>
  <c r="DO91" i="94"/>
  <c r="DG91" i="94"/>
  <c r="DC91" i="94"/>
  <c r="DF91" i="94"/>
  <c r="CY91" i="94"/>
  <c r="CU91" i="94"/>
  <c r="DN91" i="94"/>
  <c r="CW91" i="94"/>
  <c r="DP92" i="94"/>
  <c r="DG92" i="94"/>
  <c r="DM92" i="94"/>
  <c r="DF92" i="94"/>
  <c r="DD92" i="94"/>
  <c r="DN92" i="94"/>
  <c r="CZ92" i="94"/>
  <c r="CW92" i="94"/>
  <c r="DE92" i="94"/>
  <c r="DJ92" i="94"/>
  <c r="CU92" i="94"/>
  <c r="DC92" i="94"/>
  <c r="DH92" i="94"/>
  <c r="DI92" i="94"/>
  <c r="DL92" i="94"/>
  <c r="DO92" i="94"/>
  <c r="DA92" i="94"/>
  <c r="DK92" i="94"/>
  <c r="CY92" i="94"/>
  <c r="DB92" i="94"/>
  <c r="CX92" i="94"/>
  <c r="CV92" i="94"/>
  <c r="DC88" i="94"/>
  <c r="CV88" i="94"/>
  <c r="CZ88" i="94"/>
  <c r="DK88" i="94"/>
  <c r="DB88" i="94"/>
  <c r="DA88" i="94"/>
  <c r="DN88" i="94"/>
  <c r="DM88" i="94"/>
  <c r="CW88" i="94"/>
  <c r="DP88" i="94"/>
  <c r="DL88" i="94"/>
  <c r="DI88" i="94"/>
  <c r="DF88" i="94"/>
  <c r="DG88" i="94"/>
  <c r="DD88" i="94"/>
  <c r="CY88" i="94"/>
  <c r="DJ88" i="94"/>
  <c r="CX88" i="94"/>
  <c r="CU88" i="94"/>
  <c r="DE88" i="94"/>
  <c r="DH88" i="94"/>
  <c r="DO88" i="94"/>
  <c r="DD89" i="94"/>
  <c r="DC89" i="94"/>
  <c r="DB89" i="94"/>
  <c r="DK89" i="94"/>
  <c r="DA89" i="94"/>
  <c r="DG89" i="94"/>
  <c r="DO89" i="94"/>
  <c r="DP89" i="94"/>
  <c r="CX89" i="94"/>
  <c r="DJ89" i="94"/>
  <c r="DE89" i="94"/>
  <c r="CZ89" i="94"/>
  <c r="CW89" i="94"/>
  <c r="CY89" i="94"/>
  <c r="CU89" i="94"/>
  <c r="DM89" i="94"/>
  <c r="DL89" i="94"/>
  <c r="DN89" i="94"/>
  <c r="CV89" i="94"/>
  <c r="DH89" i="94"/>
  <c r="DI89" i="94"/>
  <c r="DF89" i="94"/>
  <c r="DI83" i="94"/>
  <c r="CZ83" i="94"/>
  <c r="DP83" i="94"/>
  <c r="DN83" i="94"/>
  <c r="DG83" i="94"/>
  <c r="CV83" i="94"/>
  <c r="DE83" i="94"/>
  <c r="DK83" i="94"/>
  <c r="CX83" i="94"/>
  <c r="DM83" i="94"/>
  <c r="CW83" i="94"/>
  <c r="DA83" i="94"/>
  <c r="DL83" i="94"/>
  <c r="DD83" i="94"/>
  <c r="DB83" i="94"/>
  <c r="DO83" i="94"/>
  <c r="CU83" i="94"/>
  <c r="DJ83" i="94"/>
  <c r="DH83" i="94"/>
  <c r="DC83" i="94"/>
  <c r="DF83" i="94"/>
  <c r="CY83" i="94"/>
  <c r="CV104" i="94"/>
  <c r="DM104" i="94"/>
  <c r="DA104" i="94"/>
  <c r="DN104" i="94"/>
  <c r="CX104" i="94"/>
  <c r="DG104" i="94"/>
  <c r="DL104" i="94"/>
  <c r="DJ104" i="94"/>
  <c r="DH104" i="94"/>
  <c r="DC104" i="94"/>
  <c r="CW104" i="94"/>
  <c r="DB104" i="94"/>
  <c r="DP104" i="94"/>
  <c r="DO104" i="94"/>
  <c r="DE104" i="94"/>
  <c r="DF104" i="94"/>
  <c r="DK104" i="94"/>
  <c r="DI104" i="94"/>
  <c r="CU104" i="94"/>
  <c r="CZ104" i="94"/>
  <c r="DD104" i="94"/>
  <c r="CY104" i="94"/>
  <c r="CY138" i="94"/>
  <c r="CU138" i="94"/>
  <c r="DK138" i="94"/>
  <c r="DL138" i="94"/>
  <c r="DD138" i="94"/>
  <c r="DJ138" i="94"/>
  <c r="DO138" i="94"/>
  <c r="DN138" i="94"/>
  <c r="DC138" i="94"/>
  <c r="DG138" i="94"/>
  <c r="DB138" i="94"/>
  <c r="DA138" i="94"/>
  <c r="DP138" i="94"/>
  <c r="CX138" i="94"/>
  <c r="DF138" i="94"/>
  <c r="DM138" i="94"/>
  <c r="CZ138" i="94"/>
  <c r="CW138" i="94"/>
  <c r="DE138" i="94"/>
  <c r="DI138" i="94"/>
  <c r="CV138" i="94"/>
  <c r="DH138" i="94"/>
  <c r="CX113" i="94"/>
  <c r="DM113" i="94"/>
  <c r="DI113" i="94"/>
  <c r="DK113" i="94"/>
  <c r="DE113" i="94"/>
  <c r="DJ113" i="94"/>
  <c r="DG113" i="94"/>
  <c r="DH113" i="94"/>
  <c r="DC113" i="94"/>
  <c r="CV113" i="94"/>
  <c r="DF113" i="94"/>
  <c r="DL113" i="94"/>
  <c r="DD113" i="94"/>
  <c r="DP113" i="94"/>
  <c r="DO113" i="94"/>
  <c r="CU113" i="94"/>
  <c r="CY113" i="94"/>
  <c r="DB113" i="94"/>
  <c r="DN113" i="94"/>
  <c r="DA113" i="94"/>
  <c r="CZ113" i="94"/>
  <c r="CW113" i="94"/>
  <c r="DP145" i="94"/>
  <c r="CW145" i="94"/>
  <c r="DL145" i="94"/>
  <c r="CU145" i="94"/>
  <c r="DF145" i="94"/>
  <c r="DJ145" i="94"/>
  <c r="CX145" i="94"/>
  <c r="DI145" i="94"/>
  <c r="DH145" i="94"/>
  <c r="DE145" i="94"/>
  <c r="CZ145" i="94"/>
  <c r="DG145" i="94"/>
  <c r="DC145" i="94"/>
  <c r="DA145" i="94"/>
  <c r="DO145" i="94"/>
  <c r="CV145" i="94"/>
  <c r="DM145" i="94"/>
  <c r="DB145" i="94"/>
  <c r="DD145" i="94"/>
  <c r="CY145" i="94"/>
  <c r="DK145" i="94"/>
  <c r="DN145" i="94"/>
  <c r="CX103" i="94"/>
  <c r="CU103" i="94"/>
  <c r="DI103" i="94"/>
  <c r="DK103" i="94"/>
  <c r="CY103" i="94"/>
  <c r="DJ103" i="94"/>
  <c r="DE103" i="94"/>
  <c r="DG103" i="94"/>
  <c r="DP103" i="94"/>
  <c r="DC103" i="94"/>
  <c r="DO103" i="94"/>
  <c r="DH103" i="94"/>
  <c r="DF103" i="94"/>
  <c r="DB103" i="94"/>
  <c r="DA103" i="94"/>
  <c r="DM103" i="94"/>
  <c r="CW103" i="94"/>
  <c r="DN103" i="94"/>
  <c r="DD103" i="94"/>
  <c r="DL103" i="94"/>
  <c r="CZ103" i="94"/>
  <c r="CV103" i="94"/>
  <c r="DN114" i="94"/>
  <c r="DD114" i="94"/>
  <c r="DO114" i="94"/>
  <c r="DM114" i="94"/>
  <c r="CY114" i="94"/>
  <c r="CW114" i="94"/>
  <c r="DP114" i="94"/>
  <c r="DB114" i="94"/>
  <c r="DC114" i="94"/>
  <c r="CU114" i="94"/>
  <c r="DJ114" i="94"/>
  <c r="DL114" i="94"/>
  <c r="DG114" i="94"/>
  <c r="CV114" i="94"/>
  <c r="DA114" i="94"/>
  <c r="DI114" i="94"/>
  <c r="DH114" i="94"/>
  <c r="DF114" i="94"/>
  <c r="CZ114" i="94"/>
  <c r="CX114" i="94"/>
  <c r="DK114" i="94"/>
  <c r="DE114" i="94"/>
  <c r="CZ157" i="94"/>
  <c r="DO157" i="94"/>
  <c r="DA157" i="94"/>
  <c r="DN157" i="94"/>
  <c r="CY157" i="94"/>
  <c r="DM157" i="94"/>
  <c r="CX157" i="94"/>
  <c r="CW157" i="94"/>
  <c r="DK157" i="94"/>
  <c r="DL157" i="94"/>
  <c r="DJ157" i="94"/>
  <c r="CV157" i="94"/>
  <c r="DE157" i="94"/>
  <c r="DI157" i="94"/>
  <c r="DD157" i="94"/>
  <c r="DP157" i="94"/>
  <c r="DC157" i="94"/>
  <c r="DH157" i="94"/>
  <c r="CU157" i="94"/>
  <c r="DF157" i="94"/>
  <c r="DB157" i="94"/>
  <c r="DG157" i="94"/>
  <c r="DH146" i="94"/>
  <c r="CZ146" i="94"/>
  <c r="DF146" i="94"/>
  <c r="DN146" i="94"/>
  <c r="DD146" i="94"/>
  <c r="CX146" i="94"/>
  <c r="CY146" i="94"/>
  <c r="DM146" i="94"/>
  <c r="DA146" i="94"/>
  <c r="CW146" i="94"/>
  <c r="DG146" i="94"/>
  <c r="DL146" i="94"/>
  <c r="CU146" i="94"/>
  <c r="DK146" i="94"/>
  <c r="CV146" i="94"/>
  <c r="DJ146" i="94"/>
  <c r="DE146" i="94"/>
  <c r="DP146" i="94"/>
  <c r="DC146" i="94"/>
  <c r="DI146" i="94"/>
  <c r="DO146" i="94"/>
  <c r="DB146" i="94"/>
  <c r="DJ102" i="94"/>
  <c r="DI102" i="94"/>
  <c r="CZ102" i="94"/>
  <c r="CV102" i="94"/>
  <c r="DA102" i="94"/>
  <c r="DE102" i="94"/>
  <c r="DL102" i="94"/>
  <c r="DO102" i="94"/>
  <c r="DD102" i="94"/>
  <c r="DF102" i="94"/>
  <c r="DC102" i="94"/>
  <c r="CY102" i="94"/>
  <c r="DP102" i="94"/>
  <c r="CU102" i="94"/>
  <c r="DN102" i="94"/>
  <c r="DB102" i="94"/>
  <c r="CX102" i="94"/>
  <c r="DM102" i="94"/>
  <c r="DK102" i="94"/>
  <c r="CW102" i="94"/>
  <c r="DG102" i="94"/>
  <c r="DH102" i="94"/>
  <c r="CZ135" i="94"/>
  <c r="CW135" i="94"/>
  <c r="DO135" i="94"/>
  <c r="DH135" i="94"/>
  <c r="DM135" i="94"/>
  <c r="DL135" i="94"/>
  <c r="CV135" i="94"/>
  <c r="DI135" i="94"/>
  <c r="DK135" i="94"/>
  <c r="DN135" i="94"/>
  <c r="DJ135" i="94"/>
  <c r="DC135" i="94"/>
  <c r="CY135" i="94"/>
  <c r="DA135" i="94"/>
  <c r="DE135" i="94"/>
  <c r="DF135" i="94"/>
  <c r="DG135" i="94"/>
  <c r="CU135" i="94"/>
  <c r="CX135" i="94"/>
  <c r="DD135" i="94"/>
  <c r="DP135" i="94"/>
  <c r="DB135" i="94"/>
  <c r="DH112" i="94"/>
  <c r="DC112" i="94"/>
  <c r="DM112" i="94"/>
  <c r="DO112" i="94"/>
  <c r="CZ112" i="94"/>
  <c r="DL112" i="94"/>
  <c r="DI112" i="94"/>
  <c r="DA112" i="94"/>
  <c r="DE112" i="94"/>
  <c r="CY112" i="94"/>
  <c r="CX112" i="94"/>
  <c r="CW112" i="94"/>
  <c r="DD112" i="94"/>
  <c r="CV112" i="94"/>
  <c r="DB112" i="94"/>
  <c r="DK112" i="94"/>
  <c r="CU112" i="94"/>
  <c r="DJ112" i="94"/>
  <c r="DP112" i="94"/>
  <c r="DF112" i="94"/>
  <c r="DN112" i="94"/>
  <c r="DG112" i="94"/>
  <c r="DP149" i="94"/>
  <c r="DH149" i="94"/>
  <c r="DB149" i="94"/>
  <c r="DL149" i="94"/>
  <c r="CV149" i="94"/>
  <c r="CX149" i="94"/>
  <c r="DE149" i="94"/>
  <c r="DF149" i="94"/>
  <c r="CY149" i="94"/>
  <c r="DK149" i="94"/>
  <c r="DN149" i="94"/>
  <c r="DD149" i="94"/>
  <c r="DJ149" i="94"/>
  <c r="DG149" i="94"/>
  <c r="DM149" i="94"/>
  <c r="DA149" i="94"/>
  <c r="DI149" i="94"/>
  <c r="CW149" i="94"/>
  <c r="DC149" i="94"/>
  <c r="CZ149" i="94"/>
  <c r="DO149" i="94"/>
  <c r="CU149" i="94"/>
  <c r="CY147" i="94"/>
  <c r="DP147" i="94"/>
  <c r="DN147" i="94"/>
  <c r="CX147" i="94"/>
  <c r="DK147" i="94"/>
  <c r="DF147" i="94"/>
  <c r="DI147" i="94"/>
  <c r="CV147" i="94"/>
  <c r="DG147" i="94"/>
  <c r="DE147" i="94"/>
  <c r="DL147" i="94"/>
  <c r="CU147" i="94"/>
  <c r="DD147" i="94"/>
  <c r="DC147" i="94"/>
  <c r="DH147" i="94"/>
  <c r="DM147" i="94"/>
  <c r="DA147" i="94"/>
  <c r="CW147" i="94"/>
  <c r="CZ147" i="94"/>
  <c r="DB147" i="94"/>
  <c r="DO147" i="94"/>
  <c r="DJ147" i="94"/>
  <c r="DN115" i="94"/>
  <c r="DJ115" i="94"/>
  <c r="DD115" i="94"/>
  <c r="DB115" i="94"/>
  <c r="DL115" i="94"/>
  <c r="DF115" i="94"/>
  <c r="CV115" i="94"/>
  <c r="CU115" i="94"/>
  <c r="DE115" i="94"/>
  <c r="CZ115" i="94"/>
  <c r="DP115" i="94"/>
  <c r="DM115" i="94"/>
  <c r="CY115" i="94"/>
  <c r="DO115" i="94"/>
  <c r="DC115" i="94"/>
  <c r="DK115" i="94"/>
  <c r="DG115" i="94"/>
  <c r="CX115" i="94"/>
  <c r="DH115" i="94"/>
  <c r="CW115" i="94"/>
  <c r="DA115" i="94"/>
  <c r="DI115" i="94"/>
  <c r="DP148" i="94"/>
  <c r="CV148" i="94"/>
  <c r="DO148" i="94"/>
  <c r="DK148" i="94"/>
  <c r="CU148" i="94"/>
  <c r="DJ148" i="94"/>
  <c r="DN148" i="94"/>
  <c r="DF148" i="94"/>
  <c r="DL148" i="94"/>
  <c r="DD148" i="94"/>
  <c r="DI148" i="94"/>
  <c r="DC148" i="94"/>
  <c r="DH148" i="94"/>
  <c r="CW148" i="94"/>
  <c r="DM148" i="94"/>
  <c r="DB148" i="94"/>
  <c r="CZ148" i="94"/>
  <c r="DG148" i="94"/>
  <c r="DE148" i="94"/>
  <c r="CY148" i="94"/>
  <c r="DA148" i="94"/>
  <c r="CX148" i="94"/>
  <c r="DA144" i="94"/>
  <c r="CV144" i="94"/>
  <c r="DN144" i="94"/>
  <c r="DL144" i="94"/>
  <c r="CX144" i="94"/>
  <c r="DI144" i="94"/>
  <c r="DM144" i="94"/>
  <c r="CW144" i="94"/>
  <c r="DJ144" i="94"/>
  <c r="DH144" i="94"/>
  <c r="DG144" i="94"/>
  <c r="DK144" i="94"/>
  <c r="DC144" i="94"/>
  <c r="CU144" i="94"/>
  <c r="DD144" i="94"/>
  <c r="DE144" i="94"/>
  <c r="DP144" i="94"/>
  <c r="DB144" i="94"/>
  <c r="DF144" i="94"/>
  <c r="CZ144" i="94"/>
  <c r="DO144" i="94"/>
  <c r="CY144" i="94"/>
  <c r="DD107" i="94"/>
  <c r="CV107" i="94"/>
  <c r="DL107" i="94"/>
  <c r="DM107" i="94"/>
  <c r="DC107" i="94"/>
  <c r="DK107" i="94"/>
  <c r="DI107" i="94"/>
  <c r="CU107" i="94"/>
  <c r="DB107" i="94"/>
  <c r="DN107" i="94"/>
  <c r="DA107" i="94"/>
  <c r="DO107" i="94"/>
  <c r="CZ107" i="94"/>
  <c r="CY107" i="94"/>
  <c r="DJ107" i="94"/>
  <c r="CX107" i="94"/>
  <c r="DH107" i="94"/>
  <c r="DP107" i="94"/>
  <c r="DF107" i="94"/>
  <c r="DE107" i="94"/>
  <c r="CW107" i="94"/>
  <c r="DG107" i="94"/>
  <c r="DO136" i="94"/>
  <c r="DI136" i="94"/>
  <c r="DC136" i="94"/>
  <c r="DB136" i="94"/>
  <c r="CY136" i="94"/>
  <c r="DN136" i="94"/>
  <c r="DP136" i="94"/>
  <c r="CZ136" i="94"/>
  <c r="DA136" i="94"/>
  <c r="CX136" i="94"/>
  <c r="DG136" i="94"/>
  <c r="DM136" i="94"/>
  <c r="DF136" i="94"/>
  <c r="CW136" i="94"/>
  <c r="CU136" i="94"/>
  <c r="DL136" i="94"/>
  <c r="DK136" i="94"/>
  <c r="CV136" i="94"/>
  <c r="DH136" i="94"/>
  <c r="DE136" i="94"/>
  <c r="DD136" i="94"/>
  <c r="DJ136" i="94"/>
  <c r="CY150" i="94"/>
  <c r="CW150" i="94"/>
  <c r="DD150" i="94"/>
  <c r="DK150" i="94"/>
  <c r="DL150" i="94"/>
  <c r="DE150" i="94"/>
  <c r="DA150" i="94"/>
  <c r="DB150" i="94"/>
  <c r="CV150" i="94"/>
  <c r="CZ150" i="94"/>
  <c r="DP150" i="94"/>
  <c r="DN150" i="94"/>
  <c r="DM150" i="94"/>
  <c r="DO150" i="94"/>
  <c r="DJ150" i="94"/>
  <c r="DC150" i="94"/>
  <c r="DI150" i="94"/>
  <c r="DH150" i="94"/>
  <c r="DG150" i="94"/>
  <c r="CU150" i="94"/>
  <c r="DF150" i="94"/>
  <c r="CX150" i="94"/>
  <c r="DH109" i="94"/>
  <c r="DD109" i="94"/>
  <c r="CZ109" i="94"/>
  <c r="DF109" i="94"/>
  <c r="DJ109" i="94"/>
  <c r="DN109" i="94"/>
  <c r="DC109" i="94"/>
  <c r="DA109" i="94"/>
  <c r="DG109" i="94"/>
  <c r="CX109" i="94"/>
  <c r="CU109" i="94"/>
  <c r="CY109" i="94"/>
  <c r="DP109" i="94"/>
  <c r="DO109" i="94"/>
  <c r="CW109" i="94"/>
  <c r="DM109" i="94"/>
  <c r="DL109" i="94"/>
  <c r="DB109" i="94"/>
  <c r="DI109" i="94"/>
  <c r="DK109" i="94"/>
  <c r="CV109" i="94"/>
  <c r="DE109" i="94"/>
  <c r="DB105" i="94"/>
  <c r="DK105" i="94"/>
  <c r="DE105" i="94"/>
  <c r="CU105" i="94"/>
  <c r="DA105" i="94"/>
  <c r="DM105" i="94"/>
  <c r="DC105" i="94"/>
  <c r="DG105" i="94"/>
  <c r="DP105" i="94"/>
  <c r="CX105" i="94"/>
  <c r="CZ105" i="94"/>
  <c r="CW105" i="94"/>
  <c r="DO105" i="94"/>
  <c r="DL105" i="94"/>
  <c r="CY105" i="94"/>
  <c r="CV105" i="94"/>
  <c r="DN105" i="94"/>
  <c r="DI105" i="94"/>
  <c r="DH105" i="94"/>
  <c r="DJ105" i="94"/>
  <c r="DD105" i="94"/>
  <c r="DF105" i="94"/>
  <c r="DJ132" i="94"/>
  <c r="CU132" i="94"/>
  <c r="DD132" i="94"/>
  <c r="DC132" i="94"/>
  <c r="DH132" i="94"/>
  <c r="CZ132" i="94"/>
  <c r="DL132" i="94"/>
  <c r="CY132" i="94"/>
  <c r="DM132" i="94"/>
  <c r="DP132" i="94"/>
  <c r="CV132" i="94"/>
  <c r="CX132" i="94"/>
  <c r="DG132" i="94"/>
  <c r="DN132" i="94"/>
  <c r="DB132" i="94"/>
  <c r="DF132" i="94"/>
  <c r="DE132" i="94"/>
  <c r="DA132" i="94"/>
  <c r="CW132" i="94"/>
  <c r="DO132" i="94"/>
  <c r="DK132" i="94"/>
  <c r="DI132" i="94"/>
  <c r="DO155" i="94"/>
  <c r="DJ155" i="94"/>
  <c r="CU155" i="94"/>
  <c r="DP155" i="94"/>
  <c r="CX155" i="94"/>
  <c r="CZ155" i="94"/>
  <c r="DG155" i="94"/>
  <c r="CY155" i="94"/>
  <c r="CV155" i="94"/>
  <c r="DN155" i="94"/>
  <c r="DC155" i="94"/>
  <c r="DM155" i="94"/>
  <c r="DI155" i="94"/>
  <c r="DL155" i="94"/>
  <c r="DF155" i="94"/>
  <c r="DK155" i="94"/>
  <c r="DA155" i="94"/>
  <c r="DH155" i="94"/>
  <c r="DE155" i="94"/>
  <c r="CW155" i="94"/>
  <c r="DD155" i="94"/>
  <c r="DB155" i="94"/>
  <c r="DI111" i="94"/>
  <c r="CW111" i="94"/>
  <c r="DA111" i="94"/>
  <c r="DC111" i="94"/>
  <c r="CU111" i="94"/>
  <c r="CV111" i="94"/>
  <c r="DM111" i="94"/>
  <c r="DO111" i="94"/>
  <c r="CY111" i="94"/>
  <c r="DP111" i="94"/>
  <c r="CX111" i="94"/>
  <c r="DF111" i="94"/>
  <c r="DH111" i="94"/>
  <c r="DB111" i="94"/>
  <c r="DJ111" i="94"/>
  <c r="CZ111" i="94"/>
  <c r="DE111" i="94"/>
  <c r="DN111" i="94"/>
  <c r="DG111" i="94"/>
  <c r="DK111" i="94"/>
  <c r="DD111" i="94"/>
  <c r="DL111" i="94"/>
  <c r="DN108" i="94"/>
  <c r="CV108" i="94"/>
  <c r="DM108" i="94"/>
  <c r="CX108" i="94"/>
  <c r="DJ108" i="94"/>
  <c r="CW108" i="94"/>
  <c r="DI108" i="94"/>
  <c r="DK108" i="94"/>
  <c r="DB108" i="94"/>
  <c r="DF108" i="94"/>
  <c r="DL108" i="94"/>
  <c r="CY108" i="94"/>
  <c r="DD108" i="94"/>
  <c r="DE108" i="94"/>
  <c r="DA108" i="94"/>
  <c r="DC108" i="94"/>
  <c r="DP108" i="94"/>
  <c r="DG108" i="94"/>
  <c r="CZ108" i="94"/>
  <c r="CU108" i="94"/>
  <c r="DO108" i="94"/>
  <c r="DH108" i="94"/>
  <c r="DK133" i="94"/>
  <c r="DP133" i="94"/>
  <c r="DJ133" i="94"/>
  <c r="CY133" i="94"/>
  <c r="DF133" i="94"/>
  <c r="DH133" i="94"/>
  <c r="DN133" i="94"/>
  <c r="DB133" i="94"/>
  <c r="DD133" i="94"/>
  <c r="CZ133" i="94"/>
  <c r="CX133" i="94"/>
  <c r="DG133" i="94"/>
  <c r="DM133" i="94"/>
  <c r="DA133" i="94"/>
  <c r="CU133" i="94"/>
  <c r="CV133" i="94"/>
  <c r="CW133" i="94"/>
  <c r="DC133" i="94"/>
  <c r="DL133" i="94"/>
  <c r="DI133" i="94"/>
  <c r="DE133" i="94"/>
  <c r="DO133" i="94"/>
  <c r="DE156" i="94"/>
  <c r="DJ156" i="94"/>
  <c r="CU156" i="94"/>
  <c r="DP156" i="94"/>
  <c r="DA156" i="94"/>
  <c r="DN156" i="94"/>
  <c r="DF156" i="94"/>
  <c r="CV156" i="94"/>
  <c r="CZ156" i="94"/>
  <c r="DK156" i="94"/>
  <c r="DH156" i="94"/>
  <c r="DI156" i="94"/>
  <c r="DO156" i="94"/>
  <c r="DC156" i="94"/>
  <c r="DB156" i="94"/>
  <c r="DD156" i="94"/>
  <c r="CX156" i="94"/>
  <c r="DG156" i="94"/>
  <c r="CY156" i="94"/>
  <c r="DL156" i="94"/>
  <c r="CW156" i="94"/>
  <c r="DM156" i="94"/>
  <c r="CV164" i="94"/>
  <c r="DP164" i="94"/>
  <c r="DK164" i="94"/>
  <c r="CY164" i="94"/>
  <c r="DH164" i="94"/>
  <c r="DC164" i="94"/>
  <c r="DJ164" i="94"/>
  <c r="DF164" i="94"/>
  <c r="CW164" i="94"/>
  <c r="DI164" i="94"/>
  <c r="DN164" i="94"/>
  <c r="DM164" i="94"/>
  <c r="DG164" i="94"/>
  <c r="DD164" i="94"/>
  <c r="DA164" i="94"/>
  <c r="DE164" i="94"/>
  <c r="CX164" i="94"/>
  <c r="CZ164" i="94"/>
  <c r="DO164" i="94"/>
  <c r="CU164" i="94"/>
  <c r="DL164" i="94"/>
  <c r="DB164" i="94"/>
  <c r="CY131" i="94"/>
  <c r="DN131" i="94"/>
  <c r="CX131" i="94"/>
  <c r="DK131" i="94"/>
  <c r="DG131" i="94"/>
  <c r="DM131" i="94"/>
  <c r="DC131" i="94"/>
  <c r="CV131" i="94"/>
  <c r="CW131" i="94"/>
  <c r="DF131" i="94"/>
  <c r="DI131" i="94"/>
  <c r="CU131" i="94"/>
  <c r="DH131" i="94"/>
  <c r="DD131" i="94"/>
  <c r="DE131" i="94"/>
  <c r="DA131" i="94"/>
  <c r="DP131" i="94"/>
  <c r="DL131" i="94"/>
  <c r="CZ131" i="94"/>
  <c r="DJ131" i="94"/>
  <c r="DO131" i="94"/>
  <c r="DB131" i="94"/>
  <c r="CW159" i="94"/>
  <c r="CX159" i="94"/>
  <c r="DF159" i="94"/>
  <c r="DO159" i="94"/>
  <c r="DL159" i="94"/>
  <c r="CV159" i="94"/>
  <c r="CU159" i="94"/>
  <c r="DA159" i="94"/>
  <c r="DK159" i="94"/>
  <c r="CY159" i="94"/>
  <c r="DI159" i="94"/>
  <c r="DH159" i="94"/>
  <c r="DE159" i="94"/>
  <c r="DP159" i="94"/>
  <c r="CZ159" i="94"/>
  <c r="DG159" i="94"/>
  <c r="DD159" i="94"/>
  <c r="DM159" i="94"/>
  <c r="DJ159" i="94"/>
  <c r="DC159" i="94"/>
  <c r="DN159" i="94"/>
  <c r="DB159" i="94"/>
  <c r="DA128" i="94"/>
  <c r="CX128" i="94"/>
  <c r="DP128" i="94"/>
  <c r="CW128" i="94"/>
  <c r="DO128" i="94"/>
  <c r="DL128" i="94"/>
  <c r="DM128" i="94"/>
  <c r="DI128" i="94"/>
  <c r="DJ128" i="94"/>
  <c r="DD128" i="94"/>
  <c r="DF128" i="94"/>
  <c r="CU128" i="94"/>
  <c r="DE128" i="94"/>
  <c r="DH128" i="94"/>
  <c r="CV128" i="94"/>
  <c r="DB128" i="94"/>
  <c r="DG128" i="94"/>
  <c r="CZ128" i="94"/>
  <c r="DC128" i="94"/>
  <c r="CY128" i="94"/>
  <c r="DK128" i="94"/>
  <c r="DN128" i="94"/>
  <c r="DG163" i="94"/>
  <c r="DB163" i="94"/>
  <c r="DE163" i="94"/>
  <c r="DC163" i="94"/>
  <c r="CU163" i="94"/>
  <c r="DP163" i="94"/>
  <c r="CZ163" i="94"/>
  <c r="DO163" i="94"/>
  <c r="DM163" i="94"/>
  <c r="DL163" i="94"/>
  <c r="DN163" i="94"/>
  <c r="DA163" i="94"/>
  <c r="DI163" i="94"/>
  <c r="DK163" i="94"/>
  <c r="DD163" i="94"/>
  <c r="CX163" i="94"/>
  <c r="DF163" i="94"/>
  <c r="DH163" i="94"/>
  <c r="CY163" i="94"/>
  <c r="CV163" i="94"/>
  <c r="CW163" i="94"/>
  <c r="DJ163" i="94"/>
  <c r="DK152" i="94"/>
  <c r="DL152" i="94"/>
  <c r="DJ152" i="94"/>
  <c r="CX152" i="94"/>
  <c r="DH152" i="94"/>
  <c r="DM152" i="94"/>
  <c r="DE152" i="94"/>
  <c r="DP152" i="94"/>
  <c r="DD152" i="94"/>
  <c r="CU152" i="94"/>
  <c r="CZ152" i="94"/>
  <c r="DC152" i="94"/>
  <c r="DA152" i="94"/>
  <c r="DO152" i="94"/>
  <c r="DF152" i="94"/>
  <c r="CW152" i="94"/>
  <c r="DG152" i="94"/>
  <c r="CY152" i="94"/>
  <c r="DI152" i="94"/>
  <c r="CV152" i="94"/>
  <c r="DB152" i="94"/>
  <c r="DN152" i="94"/>
  <c r="DJ127" i="94"/>
  <c r="DM127" i="94"/>
  <c r="DI127" i="94"/>
  <c r="DN127" i="94"/>
  <c r="DO127" i="94"/>
  <c r="DG127" i="94"/>
  <c r="DA127" i="94"/>
  <c r="DD127" i="94"/>
  <c r="CU127" i="94"/>
  <c r="DB127" i="94"/>
  <c r="DH127" i="94"/>
  <c r="CY127" i="94"/>
  <c r="DE127" i="94"/>
  <c r="DF127" i="94"/>
  <c r="DP127" i="94"/>
  <c r="CW127" i="94"/>
  <c r="DC127" i="94"/>
  <c r="CZ127" i="94"/>
  <c r="CV127" i="94"/>
  <c r="CX127" i="94"/>
  <c r="DL127" i="94"/>
  <c r="DK127" i="94"/>
  <c r="CU160" i="94"/>
  <c r="CZ160" i="94"/>
  <c r="DC160" i="94"/>
  <c r="DO160" i="94"/>
  <c r="CY160" i="94"/>
  <c r="DI160" i="94"/>
  <c r="DN160" i="94"/>
  <c r="DG160" i="94"/>
  <c r="CX160" i="94"/>
  <c r="DF160" i="94"/>
  <c r="DM160" i="94"/>
  <c r="DP160" i="94"/>
  <c r="DL160" i="94"/>
  <c r="CW160" i="94"/>
  <c r="DE160" i="94"/>
  <c r="DJ160" i="94"/>
  <c r="DD160" i="94"/>
  <c r="CV160" i="94"/>
  <c r="DK160" i="94"/>
  <c r="DB160" i="94"/>
  <c r="DH160" i="94"/>
  <c r="DA160" i="94"/>
  <c r="DI143" i="94"/>
  <c r="DC143" i="94"/>
  <c r="CZ143" i="94"/>
  <c r="DA143" i="94"/>
  <c r="DO143" i="94"/>
  <c r="DP143" i="94"/>
  <c r="DD143" i="94"/>
  <c r="DN143" i="94"/>
  <c r="DB143" i="94"/>
  <c r="DF143" i="94"/>
  <c r="CY143" i="94"/>
  <c r="CU143" i="94"/>
  <c r="DM143" i="94"/>
  <c r="DJ143" i="94"/>
  <c r="CV143" i="94"/>
  <c r="DH143" i="94"/>
  <c r="CX143" i="94"/>
  <c r="CW143" i="94"/>
  <c r="DK143" i="94"/>
  <c r="DG143" i="94"/>
  <c r="DL143" i="94"/>
  <c r="DE143" i="94"/>
  <c r="DJ151" i="94"/>
  <c r="CV151" i="94"/>
  <c r="DG151" i="94"/>
  <c r="DF151" i="94"/>
  <c r="DI151" i="94"/>
  <c r="DD151" i="94"/>
  <c r="DE151" i="94"/>
  <c r="CX151" i="94"/>
  <c r="DH151" i="94"/>
  <c r="CU151" i="94"/>
  <c r="DN151" i="94"/>
  <c r="DP151" i="94"/>
  <c r="DB151" i="94"/>
  <c r="DC151" i="94"/>
  <c r="CW151" i="94"/>
  <c r="CZ151" i="94"/>
  <c r="DK151" i="94"/>
  <c r="DO151" i="94"/>
  <c r="DA151" i="94"/>
  <c r="CY151" i="94"/>
  <c r="DL151" i="94"/>
  <c r="DM151" i="94"/>
  <c r="DP129" i="94"/>
  <c r="DJ129" i="94"/>
  <c r="CV129" i="94"/>
  <c r="CZ129" i="94"/>
  <c r="CU129" i="94"/>
  <c r="DG129" i="94"/>
  <c r="CY129" i="94"/>
  <c r="DO129" i="94"/>
  <c r="DH129" i="94"/>
  <c r="DN129" i="94"/>
  <c r="DL129" i="94"/>
  <c r="CX129" i="94"/>
  <c r="DI129" i="94"/>
  <c r="DM129" i="94"/>
  <c r="DF129" i="94"/>
  <c r="CW129" i="94"/>
  <c r="DK129" i="94"/>
  <c r="DC129" i="94"/>
  <c r="DA129" i="94"/>
  <c r="DE129" i="94"/>
  <c r="DD129" i="94"/>
  <c r="DB129" i="94"/>
  <c r="DG158" i="94"/>
  <c r="CY158" i="94"/>
  <c r="DB158" i="94"/>
  <c r="DL158" i="94"/>
  <c r="DF158" i="94"/>
  <c r="CW158" i="94"/>
  <c r="DA158" i="94"/>
  <c r="DP158" i="94"/>
  <c r="DC158" i="94"/>
  <c r="DN158" i="94"/>
  <c r="CZ158" i="94"/>
  <c r="DI158" i="94"/>
  <c r="DK158" i="94"/>
  <c r="DM158" i="94"/>
  <c r="DO158" i="94"/>
  <c r="DH158" i="94"/>
  <c r="DE158" i="94"/>
  <c r="CV158" i="94"/>
  <c r="CU158" i="94"/>
  <c r="DD158" i="94"/>
  <c r="CX158" i="94"/>
  <c r="DJ158" i="94"/>
  <c r="CX141" i="94"/>
  <c r="DJ141" i="94"/>
  <c r="DM141" i="94"/>
  <c r="CZ141" i="94"/>
  <c r="CW141" i="94"/>
  <c r="CV141" i="94"/>
  <c r="DK141" i="94"/>
  <c r="DE141" i="94"/>
  <c r="DH141" i="94"/>
  <c r="CU141" i="94"/>
  <c r="DO141" i="94"/>
  <c r="DA141" i="94"/>
  <c r="DL141" i="94"/>
  <c r="DF141" i="94"/>
  <c r="DI141" i="94"/>
  <c r="CY141" i="94"/>
  <c r="DC141" i="94"/>
  <c r="DB141" i="94"/>
  <c r="DG141" i="94"/>
  <c r="DN141" i="94"/>
  <c r="DD141" i="94"/>
  <c r="DP141" i="94"/>
  <c r="DF122" i="94"/>
  <c r="DD122" i="94"/>
  <c r="DC122" i="94"/>
  <c r="DB122" i="94"/>
  <c r="CZ122" i="94"/>
  <c r="DA122" i="94"/>
  <c r="CX122" i="94"/>
  <c r="DG122" i="94"/>
  <c r="DJ122" i="94"/>
  <c r="DN122" i="94"/>
  <c r="DE122" i="94"/>
  <c r="DI122" i="94"/>
  <c r="DP122" i="94"/>
  <c r="DM122" i="94"/>
  <c r="DO122" i="94"/>
  <c r="CY122" i="94"/>
  <c r="DL122" i="94"/>
  <c r="CW122" i="94"/>
  <c r="CU122" i="94"/>
  <c r="CV122" i="94"/>
  <c r="DK122" i="94"/>
  <c r="DH122" i="94"/>
  <c r="CZ161" i="94"/>
  <c r="DB161" i="94"/>
  <c r="CU161" i="94"/>
  <c r="DM161" i="94"/>
  <c r="DN161" i="94"/>
  <c r="DK161" i="94"/>
  <c r="DO161" i="94"/>
  <c r="DJ161" i="94"/>
  <c r="CY161" i="94"/>
  <c r="DI161" i="94"/>
  <c r="DF161" i="94"/>
  <c r="DH161" i="94"/>
  <c r="DC161" i="94"/>
  <c r="CX161" i="94"/>
  <c r="DA161" i="94"/>
  <c r="DE161" i="94"/>
  <c r="DD161" i="94"/>
  <c r="CW161" i="94"/>
  <c r="DP161" i="94"/>
  <c r="DL161" i="94"/>
  <c r="CV161" i="94"/>
  <c r="DG161" i="94"/>
  <c r="DH116" i="94"/>
  <c r="CX116" i="94"/>
  <c r="CZ116" i="94"/>
  <c r="DF116" i="94"/>
  <c r="CU116" i="94"/>
  <c r="DM116" i="94"/>
  <c r="DO116" i="94"/>
  <c r="CW116" i="94"/>
  <c r="DE116" i="94"/>
  <c r="DI116" i="94"/>
  <c r="CY116" i="94"/>
  <c r="DL116" i="94"/>
  <c r="DN116" i="94"/>
  <c r="DG116" i="94"/>
  <c r="CV116" i="94"/>
  <c r="DK116" i="94"/>
  <c r="DJ116" i="94"/>
  <c r="DD116" i="94"/>
  <c r="DC116" i="94"/>
  <c r="DB116" i="94"/>
  <c r="DA116" i="94"/>
  <c r="DP116" i="94"/>
  <c r="DO142" i="94"/>
  <c r="DN142" i="94"/>
  <c r="DJ142" i="94"/>
  <c r="CY142" i="94"/>
  <c r="DI142" i="94"/>
  <c r="DE142" i="94"/>
  <c r="DH142" i="94"/>
  <c r="CX142" i="94"/>
  <c r="DG142" i="94"/>
  <c r="DF142" i="94"/>
  <c r="DA142" i="94"/>
  <c r="DK142" i="94"/>
  <c r="DC142" i="94"/>
  <c r="CW142" i="94"/>
  <c r="CU142" i="94"/>
  <c r="DD142" i="94"/>
  <c r="DL142" i="94"/>
  <c r="DB142" i="94"/>
  <c r="DM142" i="94"/>
  <c r="CZ142" i="94"/>
  <c r="CV142" i="94"/>
  <c r="DP142" i="94"/>
  <c r="DB123" i="94"/>
  <c r="DM123" i="94"/>
  <c r="CX123" i="94"/>
  <c r="DI123" i="94"/>
  <c r="CW123" i="94"/>
  <c r="DC123" i="94"/>
  <c r="DH123" i="94"/>
  <c r="DF123" i="94"/>
  <c r="DJ123" i="94"/>
  <c r="CV123" i="94"/>
  <c r="DP123" i="94"/>
  <c r="DG123" i="94"/>
  <c r="DD123" i="94"/>
  <c r="CZ123" i="94"/>
  <c r="DE123" i="94"/>
  <c r="DO123" i="94"/>
  <c r="DA123" i="94"/>
  <c r="CY123" i="94"/>
  <c r="DL123" i="94"/>
  <c r="CU123" i="94"/>
  <c r="DK123" i="94"/>
  <c r="DN123" i="94"/>
  <c r="CZ139" i="94"/>
  <c r="DH139" i="94"/>
  <c r="DG139" i="94"/>
  <c r="DC139" i="94"/>
  <c r="DA139" i="94"/>
  <c r="DE139" i="94"/>
  <c r="DO139" i="94"/>
  <c r="DN139" i="94"/>
  <c r="CY139" i="94"/>
  <c r="DJ139" i="94"/>
  <c r="DK139" i="94"/>
  <c r="DM139" i="94"/>
  <c r="DF139" i="94"/>
  <c r="DD139" i="94"/>
  <c r="DB139" i="94"/>
  <c r="CW139" i="94"/>
  <c r="CX139" i="94"/>
  <c r="CU139" i="94"/>
  <c r="DI139" i="94"/>
  <c r="DL139" i="94"/>
  <c r="DP139" i="94"/>
  <c r="CV139" i="94"/>
  <c r="DD119" i="94"/>
  <c r="DB119" i="94"/>
  <c r="DF119" i="94"/>
  <c r="DK119" i="94"/>
  <c r="DE119" i="94"/>
  <c r="CX119" i="94"/>
  <c r="DC119" i="94"/>
  <c r="DA119" i="94"/>
  <c r="CV119" i="94"/>
  <c r="DP119" i="94"/>
  <c r="DH119" i="94"/>
  <c r="CZ119" i="94"/>
  <c r="DL119" i="94"/>
  <c r="DO119" i="94"/>
  <c r="DN119" i="94"/>
  <c r="CU119" i="94"/>
  <c r="DM119" i="94"/>
  <c r="CY119" i="94"/>
  <c r="DJ119" i="94"/>
  <c r="CW119" i="94"/>
  <c r="DI119" i="94"/>
  <c r="DG119" i="94"/>
  <c r="CW154" i="94"/>
  <c r="DM154" i="94"/>
  <c r="CV154" i="94"/>
  <c r="DO154" i="94"/>
  <c r="DA154" i="94"/>
  <c r="DL154" i="94"/>
  <c r="DF154" i="94"/>
  <c r="DG154" i="94"/>
  <c r="DJ154" i="94"/>
  <c r="DK154" i="94"/>
  <c r="DP154" i="94"/>
  <c r="DD154" i="94"/>
  <c r="CU154" i="94"/>
  <c r="CY154" i="94"/>
  <c r="DC154" i="94"/>
  <c r="DI154" i="94"/>
  <c r="DH154" i="94"/>
  <c r="DE154" i="94"/>
  <c r="DB154" i="94"/>
  <c r="DN154" i="94"/>
  <c r="CZ154" i="94"/>
  <c r="CX154" i="94"/>
  <c r="DD162" i="94"/>
  <c r="DC162" i="94"/>
  <c r="CW162" i="94"/>
  <c r="DP162" i="94"/>
  <c r="DB162" i="94"/>
  <c r="DJ162" i="94"/>
  <c r="DN162" i="94"/>
  <c r="DM162" i="94"/>
  <c r="CX162" i="94"/>
  <c r="CY162" i="94"/>
  <c r="CZ162" i="94"/>
  <c r="DL162" i="94"/>
  <c r="CV162" i="94"/>
  <c r="DO162" i="94"/>
  <c r="DA162" i="94"/>
  <c r="DI162" i="94"/>
  <c r="DF162" i="94"/>
  <c r="DE162" i="94"/>
  <c r="DH162" i="94"/>
  <c r="DG162" i="94"/>
  <c r="CU162" i="94"/>
  <c r="DK162" i="94"/>
  <c r="DP118" i="94"/>
  <c r="CZ118" i="94"/>
  <c r="CY118" i="94"/>
  <c r="DH118" i="94"/>
  <c r="DN118" i="94"/>
  <c r="CX118" i="94"/>
  <c r="DO118" i="94"/>
  <c r="DK118" i="94"/>
  <c r="DC118" i="94"/>
  <c r="DF118" i="94"/>
  <c r="DM118" i="94"/>
  <c r="DJ118" i="94"/>
  <c r="CW118" i="94"/>
  <c r="DD118" i="94"/>
  <c r="CV118" i="94"/>
  <c r="DI118" i="94"/>
  <c r="DL118" i="94"/>
  <c r="DB118" i="94"/>
  <c r="DE118" i="94"/>
  <c r="DA118" i="94"/>
  <c r="DG118" i="94"/>
  <c r="CU118" i="94"/>
  <c r="DE125" i="94"/>
  <c r="DH125" i="94"/>
  <c r="CZ125" i="94"/>
  <c r="CU125" i="94"/>
  <c r="DB125" i="94"/>
  <c r="CW125" i="94"/>
  <c r="CY125" i="94"/>
  <c r="DD125" i="94"/>
  <c r="DC125" i="94"/>
  <c r="CV125" i="94"/>
  <c r="CX125" i="94"/>
  <c r="DN125" i="94"/>
  <c r="DM125" i="94"/>
  <c r="DK125" i="94"/>
  <c r="DI125" i="94"/>
  <c r="DA125" i="94"/>
  <c r="DP125" i="94"/>
  <c r="DF125" i="94"/>
  <c r="DJ125" i="94"/>
  <c r="DO125" i="94"/>
  <c r="DL125" i="94"/>
  <c r="DG125" i="94"/>
  <c r="DC140" i="94"/>
  <c r="CX140" i="94"/>
  <c r="CW140" i="94"/>
  <c r="DL140" i="94"/>
  <c r="CV140" i="94"/>
  <c r="DD140" i="94"/>
  <c r="CY140" i="94"/>
  <c r="DA140" i="94"/>
  <c r="DK140" i="94"/>
  <c r="DP140" i="94"/>
  <c r="DE140" i="94"/>
  <c r="DI140" i="94"/>
  <c r="DF140" i="94"/>
  <c r="DB140" i="94"/>
  <c r="CU140" i="94"/>
  <c r="CZ140" i="94"/>
  <c r="DM140" i="94"/>
  <c r="DJ140" i="94"/>
  <c r="DN140" i="94"/>
  <c r="DH140" i="94"/>
  <c r="DO140" i="94"/>
  <c r="DG140" i="94"/>
  <c r="DK120" i="94"/>
  <c r="CX120" i="94"/>
  <c r="DM120" i="94"/>
  <c r="CW120" i="94"/>
  <c r="CU120" i="94"/>
  <c r="DH120" i="94"/>
  <c r="DA120" i="94"/>
  <c r="DB120" i="94"/>
  <c r="DL120" i="94"/>
  <c r="DI120" i="94"/>
  <c r="DP120" i="94"/>
  <c r="DE120" i="94"/>
  <c r="DO120" i="94"/>
  <c r="DF120" i="94"/>
  <c r="CZ120" i="94"/>
  <c r="DJ120" i="94"/>
  <c r="DC120" i="94"/>
  <c r="DD120" i="94"/>
  <c r="CY120" i="94"/>
  <c r="CV120" i="94"/>
  <c r="DN120" i="94"/>
  <c r="DG120" i="94"/>
  <c r="CY117" i="94"/>
  <c r="DN117" i="94"/>
  <c r="DH117" i="94"/>
  <c r="CZ117" i="94"/>
  <c r="DD117" i="94"/>
  <c r="DB117" i="94"/>
  <c r="CU117" i="94"/>
  <c r="CV117" i="94"/>
  <c r="CX117" i="94"/>
  <c r="DJ117" i="94"/>
  <c r="DM117" i="94"/>
  <c r="DI117" i="94"/>
  <c r="DK117" i="94"/>
  <c r="CW117" i="94"/>
  <c r="DF117" i="94"/>
  <c r="DE117" i="94"/>
  <c r="DL117" i="94"/>
  <c r="DG117" i="94"/>
  <c r="DC117" i="94"/>
  <c r="DA117" i="94"/>
  <c r="DP117" i="94"/>
  <c r="DO117" i="94"/>
  <c r="DG124" i="94"/>
  <c r="DE124" i="94"/>
  <c r="DD124" i="94"/>
  <c r="DH124" i="94"/>
  <c r="DC124" i="94"/>
  <c r="CU124" i="94"/>
  <c r="DB124" i="94"/>
  <c r="DF124" i="94"/>
  <c r="DA124" i="94"/>
  <c r="DP124" i="94"/>
  <c r="DN124" i="94"/>
  <c r="DK124" i="94"/>
  <c r="CX124" i="94"/>
  <c r="CW124" i="94"/>
  <c r="DL124" i="94"/>
  <c r="DJ124" i="94"/>
  <c r="CV124" i="94"/>
  <c r="CZ124" i="94"/>
  <c r="DI124" i="94"/>
  <c r="DO124" i="94"/>
  <c r="CY124" i="94"/>
  <c r="DM124" i="94"/>
  <c r="BV73" i="94"/>
  <c r="BF73" i="94"/>
  <c r="BU73" i="94"/>
  <c r="BM73" i="94"/>
  <c r="BE73" i="94"/>
  <c r="BL73" i="94"/>
  <c r="BT73" i="94"/>
  <c r="BK73" i="94"/>
  <c r="BD73" i="94"/>
  <c r="BJ73" i="94"/>
  <c r="BS73" i="94"/>
  <c r="BI73" i="94"/>
  <c r="BR73" i="94"/>
  <c r="BH73" i="94"/>
  <c r="BC73" i="94"/>
  <c r="BW73" i="94"/>
  <c r="BG73" i="94"/>
  <c r="BX73" i="94"/>
  <c r="BQ73" i="94"/>
  <c r="BP73" i="94"/>
  <c r="BO73" i="94"/>
  <c r="BN73" i="94"/>
  <c r="BR72" i="94"/>
  <c r="BQ72" i="94"/>
  <c r="BV72" i="94"/>
  <c r="BP72" i="94"/>
  <c r="BI72" i="94"/>
  <c r="BO72" i="94"/>
  <c r="BF72" i="94"/>
  <c r="BN72" i="94"/>
  <c r="BX72" i="94"/>
  <c r="BM72" i="94"/>
  <c r="BU72" i="94"/>
  <c r="BL72" i="94"/>
  <c r="BW72" i="94"/>
  <c r="BJ72" i="94"/>
  <c r="BE72" i="94"/>
  <c r="BH72" i="94"/>
  <c r="BT72" i="94"/>
  <c r="BG72" i="94"/>
  <c r="BD72" i="94"/>
  <c r="BC72" i="94"/>
  <c r="BS72" i="94"/>
  <c r="BK72" i="94"/>
  <c r="BU90" i="94"/>
  <c r="BM90" i="94"/>
  <c r="BE90" i="94"/>
  <c r="BC90" i="94"/>
  <c r="BT90" i="94"/>
  <c r="BH90" i="94"/>
  <c r="BD90" i="94"/>
  <c r="BI90" i="94"/>
  <c r="BS90" i="94"/>
  <c r="BX90" i="94"/>
  <c r="BL90" i="94"/>
  <c r="BG90" i="94"/>
  <c r="BQ90" i="94"/>
  <c r="BK90" i="94"/>
  <c r="BP90" i="94"/>
  <c r="BJ90" i="94"/>
  <c r="BO90" i="94"/>
  <c r="BW90" i="94"/>
  <c r="BV90" i="94"/>
  <c r="BF90" i="94"/>
  <c r="BR90" i="94"/>
  <c r="BN90" i="94"/>
  <c r="BV88" i="94"/>
  <c r="BI88" i="94"/>
  <c r="BF88" i="94"/>
  <c r="BU88" i="94"/>
  <c r="BE88" i="94"/>
  <c r="BP88" i="94"/>
  <c r="BT88" i="94"/>
  <c r="BL88" i="94"/>
  <c r="BG88" i="94"/>
  <c r="BK88" i="94"/>
  <c r="BD88" i="94"/>
  <c r="BW88" i="94"/>
  <c r="BC88" i="94"/>
  <c r="BJ88" i="94"/>
  <c r="BS88" i="94"/>
  <c r="BX88" i="94"/>
  <c r="BR88" i="94"/>
  <c r="BH88" i="94"/>
  <c r="BQ88" i="94"/>
  <c r="BO88" i="94"/>
  <c r="BN88" i="94"/>
  <c r="BM88" i="94"/>
  <c r="BF89" i="94"/>
  <c r="BU89" i="94"/>
  <c r="BQ89" i="94"/>
  <c r="BE89" i="94"/>
  <c r="BP89" i="94"/>
  <c r="BT89" i="94"/>
  <c r="BO89" i="94"/>
  <c r="BD89" i="94"/>
  <c r="BN89" i="94"/>
  <c r="BS89" i="94"/>
  <c r="BI89" i="94"/>
  <c r="BK89" i="94"/>
  <c r="BX89" i="94"/>
  <c r="BM89" i="94"/>
  <c r="BH89" i="94"/>
  <c r="BR89" i="94"/>
  <c r="BW89" i="94"/>
  <c r="BL89" i="94"/>
  <c r="BG89" i="94"/>
  <c r="BC89" i="94"/>
  <c r="BV89" i="94"/>
  <c r="BJ89" i="94"/>
  <c r="BX71" i="94"/>
  <c r="BM71" i="94"/>
  <c r="BH71" i="94"/>
  <c r="BL71" i="94"/>
  <c r="BF71" i="94"/>
  <c r="BU71" i="94"/>
  <c r="BE71" i="94"/>
  <c r="BT71" i="94"/>
  <c r="BD71" i="94"/>
  <c r="BO71" i="94"/>
  <c r="BS71" i="94"/>
  <c r="BG71" i="94"/>
  <c r="BR71" i="94"/>
  <c r="BC71" i="94"/>
  <c r="BQ71" i="94"/>
  <c r="BJ71" i="94"/>
  <c r="BK71" i="94"/>
  <c r="BW71" i="94"/>
  <c r="BP71" i="94"/>
  <c r="BV71" i="94"/>
  <c r="BI71" i="94"/>
  <c r="BN71" i="94"/>
  <c r="BR82" i="94"/>
  <c r="BF82" i="94"/>
  <c r="BQ82" i="94"/>
  <c r="BE82" i="94"/>
  <c r="BM82" i="94"/>
  <c r="BD82" i="94"/>
  <c r="BP82" i="94"/>
  <c r="BI82" i="94"/>
  <c r="BN82" i="94"/>
  <c r="BX82" i="94"/>
  <c r="BL82" i="94"/>
  <c r="BH82" i="94"/>
  <c r="BK82" i="94"/>
  <c r="BW82" i="94"/>
  <c r="BJ82" i="94"/>
  <c r="BT82" i="94"/>
  <c r="BV82" i="94"/>
  <c r="BG82" i="94"/>
  <c r="BC82" i="94"/>
  <c r="BS82" i="94"/>
  <c r="BO82" i="94"/>
  <c r="BU82" i="94"/>
  <c r="BS76" i="94"/>
  <c r="BG76" i="94"/>
  <c r="BN76" i="94"/>
  <c r="BF76" i="94"/>
  <c r="BD76" i="94"/>
  <c r="BU76" i="94"/>
  <c r="BH76" i="94"/>
  <c r="BM76" i="94"/>
  <c r="BC76" i="94"/>
  <c r="BL76" i="94"/>
  <c r="BJ76" i="94"/>
  <c r="BI76" i="94"/>
  <c r="BX76" i="94"/>
  <c r="BW76" i="94"/>
  <c r="BV76" i="94"/>
  <c r="BE76" i="94"/>
  <c r="BR76" i="94"/>
  <c r="BP76" i="94"/>
  <c r="BQ76" i="94"/>
  <c r="BO76" i="94"/>
  <c r="BT76" i="94"/>
  <c r="BK76" i="94"/>
  <c r="BX70" i="94"/>
  <c r="BV70" i="94"/>
  <c r="BK70" i="94"/>
  <c r="BH70" i="94"/>
  <c r="BP70" i="94"/>
  <c r="BW70" i="94"/>
  <c r="BR70" i="94"/>
  <c r="BG70" i="94"/>
  <c r="BO70" i="94"/>
  <c r="BF70" i="94"/>
  <c r="BQ70" i="94"/>
  <c r="BU70" i="94"/>
  <c r="BN70" i="94"/>
  <c r="BE70" i="94"/>
  <c r="BD70" i="94"/>
  <c r="BC70" i="94"/>
  <c r="BM70" i="94"/>
  <c r="BT70" i="94"/>
  <c r="BL70" i="94"/>
  <c r="BS70" i="94"/>
  <c r="BJ70" i="94"/>
  <c r="BI70" i="94"/>
  <c r="BS69" i="94"/>
  <c r="BF69" i="94"/>
  <c r="BR69" i="94"/>
  <c r="BC69" i="94"/>
  <c r="BQ69" i="94"/>
  <c r="BK69" i="94"/>
  <c r="BX69" i="94"/>
  <c r="BP69" i="94"/>
  <c r="BW69" i="94"/>
  <c r="BO69" i="94"/>
  <c r="BU69" i="94"/>
  <c r="BN69" i="94"/>
  <c r="BV69" i="94"/>
  <c r="BM69" i="94"/>
  <c r="BE69" i="94"/>
  <c r="BL69" i="94"/>
  <c r="BI69" i="94"/>
  <c r="BJ69" i="94"/>
  <c r="BT69" i="94"/>
  <c r="BH69" i="94"/>
  <c r="BD69" i="94"/>
  <c r="BG69" i="94"/>
  <c r="BR87" i="94"/>
  <c r="BC87" i="94"/>
  <c r="BQ87" i="94"/>
  <c r="BK87" i="94"/>
  <c r="BP87" i="94"/>
  <c r="BI87" i="94"/>
  <c r="BN87" i="94"/>
  <c r="BH87" i="94"/>
  <c r="BD87" i="94"/>
  <c r="BL87" i="94"/>
  <c r="BJ87" i="94"/>
  <c r="BX87" i="94"/>
  <c r="BW87" i="94"/>
  <c r="BF87" i="94"/>
  <c r="BG87" i="94"/>
  <c r="BM87" i="94"/>
  <c r="BU87" i="94"/>
  <c r="BV87" i="94"/>
  <c r="BE87" i="94"/>
  <c r="BS87" i="94"/>
  <c r="BT87" i="94"/>
  <c r="BO87" i="94"/>
  <c r="BS74" i="94"/>
  <c r="BP74" i="94"/>
  <c r="BR74" i="94"/>
  <c r="BL74" i="94"/>
  <c r="BQ74" i="94"/>
  <c r="BX74" i="94"/>
  <c r="BM74" i="94"/>
  <c r="BO74" i="94"/>
  <c r="BN74" i="94"/>
  <c r="BD74" i="94"/>
  <c r="BC74" i="94"/>
  <c r="BK74" i="94"/>
  <c r="BG74" i="94"/>
  <c r="BV74" i="94"/>
  <c r="BJ74" i="94"/>
  <c r="BF74" i="94"/>
  <c r="BI74" i="94"/>
  <c r="BU74" i="94"/>
  <c r="BH74" i="94"/>
  <c r="BE74" i="94"/>
  <c r="BW74" i="94"/>
  <c r="BT74" i="94"/>
  <c r="BC83" i="94"/>
  <c r="BT83" i="94"/>
  <c r="BI83" i="94"/>
  <c r="BN83" i="94"/>
  <c r="BX83" i="94"/>
  <c r="BL83" i="94"/>
  <c r="BW83" i="94"/>
  <c r="BJ83" i="94"/>
  <c r="BG83" i="94"/>
  <c r="BV83" i="94"/>
  <c r="BF83" i="94"/>
  <c r="BD83" i="94"/>
  <c r="BU83" i="94"/>
  <c r="BE83" i="94"/>
  <c r="BO83" i="94"/>
  <c r="BM83" i="94"/>
  <c r="BR83" i="94"/>
  <c r="BS83" i="94"/>
  <c r="BQ83" i="94"/>
  <c r="BH83" i="94"/>
  <c r="BP83" i="94"/>
  <c r="BK83" i="94"/>
  <c r="BG85" i="94"/>
  <c r="BH85" i="94"/>
  <c r="BS85" i="94"/>
  <c r="BE85" i="94"/>
  <c r="BD85" i="94"/>
  <c r="BF85" i="94"/>
  <c r="BW85" i="94"/>
  <c r="BR85" i="94"/>
  <c r="BC85" i="94"/>
  <c r="BQ85" i="94"/>
  <c r="BU85" i="94"/>
  <c r="BX85" i="94"/>
  <c r="BP85" i="94"/>
  <c r="BO85" i="94"/>
  <c r="BN85" i="94"/>
  <c r="BM85" i="94"/>
  <c r="BL85" i="94"/>
  <c r="BK85" i="94"/>
  <c r="BT85" i="94"/>
  <c r="BJ85" i="94"/>
  <c r="BV85" i="94"/>
  <c r="BI85" i="94"/>
  <c r="BK75" i="94"/>
  <c r="BP75" i="94"/>
  <c r="BG75" i="94"/>
  <c r="BN75" i="94"/>
  <c r="BJ75" i="94"/>
  <c r="BM75" i="94"/>
  <c r="BW75" i="94"/>
  <c r="BV75" i="94"/>
  <c r="BL75" i="94"/>
  <c r="BI75" i="94"/>
  <c r="BX75" i="94"/>
  <c r="BF75" i="94"/>
  <c r="BH75" i="94"/>
  <c r="BU75" i="94"/>
  <c r="BQ75" i="94"/>
  <c r="BC75" i="94"/>
  <c r="BT75" i="94"/>
  <c r="BD75" i="94"/>
  <c r="BS75" i="94"/>
  <c r="BO75" i="94"/>
  <c r="BE75" i="94"/>
  <c r="BR75" i="94"/>
  <c r="BV78" i="94"/>
  <c r="BQ78" i="94"/>
  <c r="BP78" i="94"/>
  <c r="BO78" i="94"/>
  <c r="BR78" i="94"/>
  <c r="BK78" i="94"/>
  <c r="BN78" i="94"/>
  <c r="BX78" i="94"/>
  <c r="BI78" i="94"/>
  <c r="BM78" i="94"/>
  <c r="BF78" i="94"/>
  <c r="BH78" i="94"/>
  <c r="BC78" i="94"/>
  <c r="BL78" i="94"/>
  <c r="BU78" i="94"/>
  <c r="BG78" i="94"/>
  <c r="BW78" i="94"/>
  <c r="BJ78" i="94"/>
  <c r="BE78" i="94"/>
  <c r="BT78" i="94"/>
  <c r="BD78" i="94"/>
  <c r="BS78" i="94"/>
  <c r="BW84" i="94"/>
  <c r="BK84" i="94"/>
  <c r="BG84" i="94"/>
  <c r="BC84" i="94"/>
  <c r="BT84" i="94"/>
  <c r="BH84" i="94"/>
  <c r="BF84" i="94"/>
  <c r="BQ84" i="94"/>
  <c r="BU84" i="94"/>
  <c r="BP84" i="94"/>
  <c r="BE84" i="94"/>
  <c r="BJ84" i="94"/>
  <c r="BD84" i="94"/>
  <c r="BO84" i="94"/>
  <c r="BS84" i="94"/>
  <c r="BI84" i="94"/>
  <c r="BR84" i="94"/>
  <c r="BN84" i="94"/>
  <c r="BL84" i="94"/>
  <c r="BX84" i="94"/>
  <c r="BM84" i="94"/>
  <c r="BV84" i="94"/>
  <c r="BN80" i="94"/>
  <c r="BM80" i="94"/>
  <c r="BH80" i="94"/>
  <c r="BL80" i="94"/>
  <c r="BF80" i="94"/>
  <c r="BQ80" i="94"/>
  <c r="BU80" i="94"/>
  <c r="BK80" i="94"/>
  <c r="BE80" i="94"/>
  <c r="BP80" i="94"/>
  <c r="BD80" i="94"/>
  <c r="BJ80" i="94"/>
  <c r="BS80" i="94"/>
  <c r="BO80" i="94"/>
  <c r="BR80" i="94"/>
  <c r="BI80" i="94"/>
  <c r="BC80" i="94"/>
  <c r="BX80" i="94"/>
  <c r="BT80" i="94"/>
  <c r="BW80" i="94"/>
  <c r="BG80" i="94"/>
  <c r="BV80" i="94"/>
  <c r="BE79" i="94"/>
  <c r="BM79" i="94"/>
  <c r="BN79" i="94"/>
  <c r="BL79" i="94"/>
  <c r="BX79" i="94"/>
  <c r="BK79" i="94"/>
  <c r="BV79" i="94"/>
  <c r="BJ79" i="94"/>
  <c r="BF79" i="94"/>
  <c r="BI79" i="94"/>
  <c r="BU79" i="94"/>
  <c r="BH79" i="94"/>
  <c r="BD79" i="94"/>
  <c r="BW79" i="94"/>
  <c r="BG79" i="94"/>
  <c r="BQ79" i="94"/>
  <c r="BO79" i="94"/>
  <c r="BT79" i="94"/>
  <c r="BC79" i="94"/>
  <c r="BS79" i="94"/>
  <c r="BR79" i="94"/>
  <c r="BP79" i="94"/>
  <c r="BF81" i="94"/>
  <c r="BK81" i="94"/>
  <c r="BL81" i="94"/>
  <c r="BJ81" i="94"/>
  <c r="BC81" i="94"/>
  <c r="BW81" i="94"/>
  <c r="BD81" i="94"/>
  <c r="BG81" i="94"/>
  <c r="BS81" i="94"/>
  <c r="BV81" i="94"/>
  <c r="BR81" i="94"/>
  <c r="BT81" i="94"/>
  <c r="BQ81" i="94"/>
  <c r="BU81" i="94"/>
  <c r="BP81" i="94"/>
  <c r="BE81" i="94"/>
  <c r="BI81" i="94"/>
  <c r="BO81" i="94"/>
  <c r="BN81" i="94"/>
  <c r="BX81" i="94"/>
  <c r="BM81" i="94"/>
  <c r="BH81" i="94"/>
  <c r="BI18" i="94"/>
  <c r="BG18" i="94"/>
  <c r="BX18" i="94"/>
  <c r="BM18" i="94"/>
  <c r="BH18" i="94"/>
  <c r="BU18" i="94"/>
  <c r="BL18" i="94"/>
  <c r="BE18" i="94"/>
  <c r="BV18" i="94"/>
  <c r="BD18" i="94"/>
  <c r="BN18" i="94"/>
  <c r="BQ18" i="94"/>
  <c r="BF18" i="94"/>
  <c r="BS18" i="94"/>
  <c r="BT18" i="94"/>
  <c r="BK18" i="94"/>
  <c r="BC18" i="94"/>
  <c r="BO18" i="94"/>
  <c r="BJ18" i="94"/>
  <c r="BP18" i="94"/>
  <c r="BR18" i="94"/>
  <c r="BW18" i="94"/>
  <c r="BC27" i="94"/>
  <c r="BF27" i="94"/>
  <c r="BX27" i="94"/>
  <c r="BD27" i="94"/>
  <c r="BU27" i="94"/>
  <c r="BW27" i="94"/>
  <c r="BN27" i="94"/>
  <c r="BS27" i="94"/>
  <c r="BE27" i="94"/>
  <c r="BG27" i="94"/>
  <c r="BV27" i="94"/>
  <c r="BJ27" i="94"/>
  <c r="BT27" i="94"/>
  <c r="BM27" i="94"/>
  <c r="BH27" i="94"/>
  <c r="BR27" i="94"/>
  <c r="BL27" i="94"/>
  <c r="BQ27" i="94"/>
  <c r="BK27" i="94"/>
  <c r="BP27" i="94"/>
  <c r="BO27" i="94"/>
  <c r="BI27" i="94"/>
  <c r="BV56" i="94"/>
  <c r="BM56" i="94"/>
  <c r="BR56" i="94"/>
  <c r="BH56" i="94"/>
  <c r="BF56" i="94"/>
  <c r="BC56" i="94"/>
  <c r="BL56" i="94"/>
  <c r="BW56" i="94"/>
  <c r="BU56" i="94"/>
  <c r="BG56" i="94"/>
  <c r="BQ56" i="94"/>
  <c r="BD56" i="94"/>
  <c r="BK56" i="94"/>
  <c r="BE56" i="94"/>
  <c r="BP56" i="94"/>
  <c r="BT56" i="94"/>
  <c r="BJ56" i="94"/>
  <c r="BO56" i="94"/>
  <c r="BI56" i="94"/>
  <c r="BN56" i="94"/>
  <c r="BX56" i="94"/>
  <c r="BS56" i="94"/>
  <c r="BK35" i="94"/>
  <c r="BV35" i="94"/>
  <c r="BQ35" i="94"/>
  <c r="BG35" i="94"/>
  <c r="BJ35" i="94"/>
  <c r="BP35" i="94"/>
  <c r="BI35" i="94"/>
  <c r="BU35" i="94"/>
  <c r="BL35" i="94"/>
  <c r="BX35" i="94"/>
  <c r="BW35" i="94"/>
  <c r="BN35" i="94"/>
  <c r="BC35" i="94"/>
  <c r="BR35" i="94"/>
  <c r="BH35" i="94"/>
  <c r="BT35" i="94"/>
  <c r="BD35" i="94"/>
  <c r="BE35" i="94"/>
  <c r="BF35" i="94"/>
  <c r="BO35" i="94"/>
  <c r="BS35" i="94"/>
  <c r="BM35" i="94"/>
  <c r="BE22" i="94"/>
  <c r="BN22" i="94"/>
  <c r="BW22" i="94"/>
  <c r="BR22" i="94"/>
  <c r="BT22" i="94"/>
  <c r="BK22" i="94"/>
  <c r="BM22" i="94"/>
  <c r="BQ22" i="94"/>
  <c r="BG22" i="94"/>
  <c r="BJ22" i="94"/>
  <c r="BL22" i="94"/>
  <c r="BP22" i="94"/>
  <c r="BV22" i="94"/>
  <c r="BO22" i="94"/>
  <c r="BU22" i="94"/>
  <c r="BH22" i="94"/>
  <c r="BD22" i="94"/>
  <c r="BS22" i="94"/>
  <c r="BC22" i="94"/>
  <c r="BI22" i="94"/>
  <c r="BF22" i="94"/>
  <c r="BX22" i="94"/>
  <c r="BT14" i="94"/>
  <c r="BD14" i="94"/>
  <c r="BN14" i="94"/>
  <c r="BS14" i="94"/>
  <c r="BM14" i="94"/>
  <c r="BR14" i="94"/>
  <c r="BX14" i="94"/>
  <c r="BQ14" i="94"/>
  <c r="BH14" i="94"/>
  <c r="BC14" i="94"/>
  <c r="BL14" i="94"/>
  <c r="BU14" i="94"/>
  <c r="BE14" i="94"/>
  <c r="BP14" i="94"/>
  <c r="BJ14" i="94"/>
  <c r="BI14" i="94"/>
  <c r="BW14" i="94"/>
  <c r="BO14" i="94"/>
  <c r="BG14" i="94"/>
  <c r="BV14" i="94"/>
  <c r="BF14" i="94"/>
  <c r="BK14" i="94"/>
  <c r="BP25" i="94"/>
  <c r="BD25" i="94"/>
  <c r="BG25" i="94"/>
  <c r="BO25" i="94"/>
  <c r="BJ25" i="94"/>
  <c r="BN25" i="94"/>
  <c r="BV25" i="94"/>
  <c r="BL25" i="94"/>
  <c r="BI25" i="94"/>
  <c r="BM25" i="94"/>
  <c r="BF25" i="94"/>
  <c r="BC25" i="94"/>
  <c r="BS25" i="94"/>
  <c r="BU25" i="94"/>
  <c r="BR25" i="94"/>
  <c r="BX25" i="94"/>
  <c r="BW25" i="94"/>
  <c r="BE25" i="94"/>
  <c r="BQ25" i="94"/>
  <c r="BH25" i="94"/>
  <c r="BK25" i="94"/>
  <c r="BT25" i="94"/>
  <c r="BL54" i="94"/>
  <c r="BR54" i="94"/>
  <c r="BU54" i="94"/>
  <c r="BN54" i="94"/>
  <c r="BK54" i="94"/>
  <c r="BQ54" i="94"/>
  <c r="BH54" i="94"/>
  <c r="BJ54" i="94"/>
  <c r="BE54" i="94"/>
  <c r="BF54" i="94"/>
  <c r="BW54" i="94"/>
  <c r="BV54" i="94"/>
  <c r="BT54" i="94"/>
  <c r="BI54" i="94"/>
  <c r="BG54" i="94"/>
  <c r="BX54" i="94"/>
  <c r="BP54" i="94"/>
  <c r="BD54" i="94"/>
  <c r="BO54" i="94"/>
  <c r="BC54" i="94"/>
  <c r="BM54" i="94"/>
  <c r="BS54" i="94"/>
  <c r="BU24" i="94"/>
  <c r="BK24" i="94"/>
  <c r="BE24" i="94"/>
  <c r="BP24" i="94"/>
  <c r="BT24" i="94"/>
  <c r="BJ24" i="94"/>
  <c r="BO24" i="94"/>
  <c r="BI24" i="94"/>
  <c r="BN24" i="94"/>
  <c r="BS24" i="94"/>
  <c r="BX24" i="94"/>
  <c r="BD24" i="94"/>
  <c r="BC24" i="94"/>
  <c r="BR24" i="94"/>
  <c r="BG24" i="94"/>
  <c r="BV24" i="94"/>
  <c r="BH24" i="94"/>
  <c r="BL24" i="94"/>
  <c r="BM24" i="94"/>
  <c r="BF24" i="94"/>
  <c r="BW24" i="94"/>
  <c r="BQ24" i="94"/>
  <c r="BX57" i="94"/>
  <c r="BR57" i="94"/>
  <c r="BU57" i="94"/>
  <c r="BQ57" i="94"/>
  <c r="BH57" i="94"/>
  <c r="BM57" i="94"/>
  <c r="BP57" i="94"/>
  <c r="BL57" i="94"/>
  <c r="BE57" i="94"/>
  <c r="BW57" i="94"/>
  <c r="BO57" i="94"/>
  <c r="BK57" i="94"/>
  <c r="BC57" i="94"/>
  <c r="BG57" i="94"/>
  <c r="BN57" i="94"/>
  <c r="BJ57" i="94"/>
  <c r="BT57" i="94"/>
  <c r="BV57" i="94"/>
  <c r="BI57" i="94"/>
  <c r="BD57" i="94"/>
  <c r="BF57" i="94"/>
  <c r="BS57" i="94"/>
  <c r="BL19" i="94"/>
  <c r="BE19" i="94"/>
  <c r="BK19" i="94"/>
  <c r="BW19" i="94"/>
  <c r="BT19" i="94"/>
  <c r="BG19" i="94"/>
  <c r="BD19" i="94"/>
  <c r="BI19" i="94"/>
  <c r="BV19" i="94"/>
  <c r="BO19" i="94"/>
  <c r="BS19" i="94"/>
  <c r="BX19" i="94"/>
  <c r="BF19" i="94"/>
  <c r="BN19" i="94"/>
  <c r="BR19" i="94"/>
  <c r="BU19" i="94"/>
  <c r="BC19" i="94"/>
  <c r="BM19" i="94"/>
  <c r="BQ19" i="94"/>
  <c r="BH19" i="94"/>
  <c r="BJ19" i="94"/>
  <c r="BP19" i="94"/>
  <c r="BN8" i="94"/>
  <c r="BQ8" i="94"/>
  <c r="BX8" i="94"/>
  <c r="BK8" i="94"/>
  <c r="BM8" i="94"/>
  <c r="BP8" i="94"/>
  <c r="BH8" i="94"/>
  <c r="BC8" i="94"/>
  <c r="BW8" i="94"/>
  <c r="BG8" i="94"/>
  <c r="BV8" i="94"/>
  <c r="BF8" i="94"/>
  <c r="BU8" i="94"/>
  <c r="BL8" i="94"/>
  <c r="BE8" i="94"/>
  <c r="BT8" i="94"/>
  <c r="BJ8" i="94"/>
  <c r="BD8" i="94"/>
  <c r="BO8" i="94"/>
  <c r="BS8" i="94"/>
  <c r="BI8" i="94"/>
  <c r="BR8" i="94"/>
  <c r="BC31" i="94"/>
  <c r="BE31" i="94"/>
  <c r="BH31" i="94"/>
  <c r="BD31" i="94"/>
  <c r="BL31" i="94"/>
  <c r="BG31" i="94"/>
  <c r="BW31" i="94"/>
  <c r="BV31" i="94"/>
  <c r="BK31" i="94"/>
  <c r="BP31" i="94"/>
  <c r="BF31" i="94"/>
  <c r="BJ31" i="94"/>
  <c r="BU31" i="94"/>
  <c r="BO31" i="94"/>
  <c r="BT31" i="94"/>
  <c r="BI31" i="94"/>
  <c r="BS31" i="94"/>
  <c r="BN31" i="94"/>
  <c r="BR31" i="94"/>
  <c r="BX31" i="94"/>
  <c r="BQ31" i="94"/>
  <c r="BM31" i="94"/>
  <c r="BE47" i="94"/>
  <c r="BO47" i="94"/>
  <c r="BN47" i="94"/>
  <c r="BX47" i="94"/>
  <c r="BH47" i="94"/>
  <c r="BW47" i="94"/>
  <c r="BQ47" i="94"/>
  <c r="BR47" i="94"/>
  <c r="BU47" i="94"/>
  <c r="BK47" i="94"/>
  <c r="BP47" i="94"/>
  <c r="BI47" i="94"/>
  <c r="BL47" i="94"/>
  <c r="BT47" i="94"/>
  <c r="BF47" i="94"/>
  <c r="BM47" i="94"/>
  <c r="BD47" i="94"/>
  <c r="BV47" i="94"/>
  <c r="BG47" i="94"/>
  <c r="BJ47" i="94"/>
  <c r="BS47" i="94"/>
  <c r="BC47" i="94"/>
  <c r="BN55" i="94"/>
  <c r="BS55" i="94"/>
  <c r="BM55" i="94"/>
  <c r="BH55" i="94"/>
  <c r="BR55" i="94"/>
  <c r="BW55" i="94"/>
  <c r="BL55" i="94"/>
  <c r="BG55" i="94"/>
  <c r="BC55" i="94"/>
  <c r="BV55" i="94"/>
  <c r="BK55" i="94"/>
  <c r="BF55" i="94"/>
  <c r="BJ55" i="94"/>
  <c r="BU55" i="94"/>
  <c r="BX55" i="94"/>
  <c r="BQ55" i="94"/>
  <c r="BE55" i="94"/>
  <c r="BP55" i="94"/>
  <c r="BT55" i="94"/>
  <c r="BI55" i="94"/>
  <c r="BO55" i="94"/>
  <c r="BD55" i="94"/>
  <c r="BM16" i="94"/>
  <c r="BE16" i="94"/>
  <c r="BW16" i="94"/>
  <c r="BI16" i="94"/>
  <c r="BL16" i="94"/>
  <c r="BO16" i="94"/>
  <c r="BC16" i="94"/>
  <c r="BX16" i="94"/>
  <c r="BT16" i="94"/>
  <c r="BN16" i="94"/>
  <c r="BG16" i="94"/>
  <c r="BD16" i="94"/>
  <c r="BV16" i="94"/>
  <c r="BS16" i="94"/>
  <c r="BF16" i="94"/>
  <c r="BR16" i="94"/>
  <c r="BQ16" i="94"/>
  <c r="BU16" i="94"/>
  <c r="BK16" i="94"/>
  <c r="BP16" i="94"/>
  <c r="BH16" i="94"/>
  <c r="BJ16" i="94"/>
  <c r="BQ30" i="94"/>
  <c r="BP30" i="94"/>
  <c r="BM30" i="94"/>
  <c r="BJ30" i="94"/>
  <c r="BR30" i="94"/>
  <c r="BC30" i="94"/>
  <c r="BL30" i="94"/>
  <c r="BI30" i="94"/>
  <c r="BK30" i="94"/>
  <c r="BW30" i="94"/>
  <c r="BO30" i="94"/>
  <c r="BG30" i="94"/>
  <c r="BV30" i="94"/>
  <c r="BU30" i="94"/>
  <c r="BX30" i="94"/>
  <c r="BE30" i="94"/>
  <c r="BF30" i="94"/>
  <c r="BT30" i="94"/>
  <c r="BH30" i="94"/>
  <c r="BN30" i="94"/>
  <c r="BD30" i="94"/>
  <c r="BS30" i="94"/>
  <c r="BJ44" i="94"/>
  <c r="BM44" i="94"/>
  <c r="BP44" i="94"/>
  <c r="BL44" i="94"/>
  <c r="BS44" i="94"/>
  <c r="BK44" i="94"/>
  <c r="BV44" i="94"/>
  <c r="BX44" i="94"/>
  <c r="BF44" i="94"/>
  <c r="BC44" i="94"/>
  <c r="BQ44" i="94"/>
  <c r="BI44" i="94"/>
  <c r="BD44" i="94"/>
  <c r="BU44" i="94"/>
  <c r="BE44" i="94"/>
  <c r="BO44" i="94"/>
  <c r="BN44" i="94"/>
  <c r="BR44" i="94"/>
  <c r="BW44" i="94"/>
  <c r="BH44" i="94"/>
  <c r="BT44" i="94"/>
  <c r="BG44" i="94"/>
  <c r="BG26" i="94"/>
  <c r="BH26" i="94"/>
  <c r="BP26" i="94"/>
  <c r="BV26" i="94"/>
  <c r="BM26" i="94"/>
  <c r="BU26" i="94"/>
  <c r="BN26" i="94"/>
  <c r="BC26" i="94"/>
  <c r="BF26" i="94"/>
  <c r="BE26" i="94"/>
  <c r="BL26" i="94"/>
  <c r="BR26" i="94"/>
  <c r="BW26" i="94"/>
  <c r="BQ26" i="94"/>
  <c r="BS26" i="94"/>
  <c r="BO26" i="94"/>
  <c r="BK26" i="94"/>
  <c r="BD26" i="94"/>
  <c r="BX26" i="94"/>
  <c r="BT26" i="94"/>
  <c r="BI26" i="94"/>
  <c r="BJ26" i="94"/>
  <c r="BU5" i="94"/>
  <c r="BG5" i="94"/>
  <c r="BK5" i="94"/>
  <c r="BV5" i="94"/>
  <c r="BE5" i="94"/>
  <c r="BS5" i="94"/>
  <c r="BP5" i="94"/>
  <c r="BT5" i="94"/>
  <c r="BJ5" i="94"/>
  <c r="BO5" i="94"/>
  <c r="BI5" i="94"/>
  <c r="BN5" i="94"/>
  <c r="BL5" i="94"/>
  <c r="BX5" i="94"/>
  <c r="BM5" i="94"/>
  <c r="BW5" i="94"/>
  <c r="BR5" i="94"/>
  <c r="BH5" i="94"/>
  <c r="BF5" i="94"/>
  <c r="BC5" i="94"/>
  <c r="BQ5" i="94"/>
  <c r="BD5" i="94"/>
  <c r="BH50" i="94"/>
  <c r="BU50" i="94"/>
  <c r="BL50" i="94"/>
  <c r="BE50" i="94"/>
  <c r="BW50" i="94"/>
  <c r="BT50" i="94"/>
  <c r="BK50" i="94"/>
  <c r="BR50" i="94"/>
  <c r="BD50" i="94"/>
  <c r="BQ50" i="94"/>
  <c r="BG50" i="94"/>
  <c r="BP50" i="94"/>
  <c r="BS50" i="94"/>
  <c r="BN50" i="94"/>
  <c r="BC50" i="94"/>
  <c r="BJ50" i="94"/>
  <c r="BI50" i="94"/>
  <c r="BO50" i="94"/>
  <c r="BV50" i="94"/>
  <c r="BF50" i="94"/>
  <c r="BX50" i="94"/>
  <c r="BM50" i="94"/>
  <c r="BE28" i="94"/>
  <c r="BH28" i="94"/>
  <c r="BN28" i="94"/>
  <c r="BL28" i="94"/>
  <c r="BR28" i="94"/>
  <c r="BW28" i="94"/>
  <c r="BP28" i="94"/>
  <c r="BF28" i="94"/>
  <c r="BK28" i="94"/>
  <c r="BI28" i="94"/>
  <c r="BO28" i="94"/>
  <c r="BT28" i="94"/>
  <c r="BG28" i="94"/>
  <c r="BD28" i="94"/>
  <c r="BJ28" i="94"/>
  <c r="BS28" i="94"/>
  <c r="BV28" i="94"/>
  <c r="BQ28" i="94"/>
  <c r="BC28" i="94"/>
  <c r="BX28" i="94"/>
  <c r="BU28" i="94"/>
  <c r="BM28" i="94"/>
  <c r="BQ53" i="94"/>
  <c r="BH53" i="94"/>
  <c r="BR53" i="94"/>
  <c r="BE53" i="94"/>
  <c r="BW53" i="94"/>
  <c r="BL53" i="94"/>
  <c r="BK53" i="94"/>
  <c r="BT53" i="94"/>
  <c r="BP53" i="94"/>
  <c r="BD53" i="94"/>
  <c r="BJ53" i="94"/>
  <c r="BO53" i="94"/>
  <c r="BG53" i="94"/>
  <c r="BI53" i="94"/>
  <c r="BV53" i="94"/>
  <c r="BN53" i="94"/>
  <c r="BF53" i="94"/>
  <c r="BX53" i="94"/>
  <c r="BC53" i="94"/>
  <c r="BM53" i="94"/>
  <c r="BS53" i="94"/>
  <c r="BU53" i="94"/>
  <c r="BH29" i="94"/>
  <c r="BD29" i="94"/>
  <c r="BL29" i="94"/>
  <c r="BM29" i="94"/>
  <c r="BW29" i="94"/>
  <c r="BU29" i="94"/>
  <c r="BJ29" i="94"/>
  <c r="BK29" i="94"/>
  <c r="BG29" i="94"/>
  <c r="BP29" i="94"/>
  <c r="BI29" i="94"/>
  <c r="BV29" i="94"/>
  <c r="BX29" i="94"/>
  <c r="BS29" i="94"/>
  <c r="BE29" i="94"/>
  <c r="BF29" i="94"/>
  <c r="BC29" i="94"/>
  <c r="BR29" i="94"/>
  <c r="BO29" i="94"/>
  <c r="BT29" i="94"/>
  <c r="BQ29" i="94"/>
  <c r="BN29" i="94"/>
  <c r="BU45" i="94"/>
  <c r="BK45" i="94"/>
  <c r="BM45" i="94"/>
  <c r="BH45" i="94"/>
  <c r="BE45" i="94"/>
  <c r="BW45" i="94"/>
  <c r="BL45" i="94"/>
  <c r="BG45" i="94"/>
  <c r="BJ45" i="94"/>
  <c r="BS45" i="94"/>
  <c r="BT45" i="94"/>
  <c r="BF45" i="94"/>
  <c r="BP45" i="94"/>
  <c r="BR45" i="94"/>
  <c r="BQ45" i="94"/>
  <c r="BO45" i="94"/>
  <c r="BI45" i="94"/>
  <c r="BD45" i="94"/>
  <c r="BX45" i="94"/>
  <c r="BN45" i="94"/>
  <c r="BV45" i="94"/>
  <c r="BC45" i="94"/>
  <c r="BK59" i="94"/>
  <c r="BW59" i="94"/>
  <c r="BP59" i="94"/>
  <c r="BG59" i="94"/>
  <c r="BJ59" i="94"/>
  <c r="BS59" i="94"/>
  <c r="BO59" i="94"/>
  <c r="BT59" i="94"/>
  <c r="BV59" i="94"/>
  <c r="BD59" i="94"/>
  <c r="BI59" i="94"/>
  <c r="BM59" i="94"/>
  <c r="BF59" i="94"/>
  <c r="BR59" i="94"/>
  <c r="BN59" i="94"/>
  <c r="BC59" i="94"/>
  <c r="BU59" i="94"/>
  <c r="BL59" i="94"/>
  <c r="BE59" i="94"/>
  <c r="BQ59" i="94"/>
  <c r="BX59" i="94"/>
  <c r="BH59" i="94"/>
  <c r="BX23" i="94"/>
  <c r="BK23" i="94"/>
  <c r="BQ23" i="94"/>
  <c r="BV23" i="94"/>
  <c r="BH23" i="94"/>
  <c r="BJ23" i="94"/>
  <c r="BE23" i="94"/>
  <c r="BW23" i="94"/>
  <c r="BP23" i="94"/>
  <c r="BT23" i="94"/>
  <c r="BO23" i="94"/>
  <c r="BD23" i="94"/>
  <c r="BN23" i="94"/>
  <c r="BS23" i="94"/>
  <c r="BM23" i="94"/>
  <c r="BC23" i="94"/>
  <c r="BF23" i="94"/>
  <c r="BL23" i="94"/>
  <c r="BI23" i="94"/>
  <c r="BR23" i="94"/>
  <c r="BU23" i="94"/>
  <c r="BG23" i="94"/>
  <c r="BP67" i="94"/>
  <c r="BC67" i="94"/>
  <c r="BL67" i="94"/>
  <c r="BI67" i="94"/>
  <c r="BM67" i="94"/>
  <c r="BV67" i="94"/>
  <c r="BX67" i="94"/>
  <c r="BF67" i="94"/>
  <c r="BH67" i="94"/>
  <c r="BS67" i="94"/>
  <c r="BW67" i="94"/>
  <c r="BT67" i="94"/>
  <c r="BE67" i="94"/>
  <c r="BD67" i="94"/>
  <c r="BG67" i="94"/>
  <c r="BO67" i="94"/>
  <c r="BU67" i="94"/>
  <c r="BK67" i="94"/>
  <c r="BQ67" i="94"/>
  <c r="BR67" i="94"/>
  <c r="BN67" i="94"/>
  <c r="BJ67" i="94"/>
  <c r="BR52" i="94"/>
  <c r="BU52" i="94"/>
  <c r="BL52" i="94"/>
  <c r="BG52" i="94"/>
  <c r="BQ52" i="94"/>
  <c r="BE52" i="94"/>
  <c r="BV52" i="94"/>
  <c r="BX52" i="94"/>
  <c r="BJ52" i="94"/>
  <c r="BP52" i="94"/>
  <c r="BF52" i="94"/>
  <c r="BH52" i="94"/>
  <c r="BI52" i="94"/>
  <c r="BT52" i="94"/>
  <c r="BW52" i="94"/>
  <c r="BK52" i="94"/>
  <c r="BO52" i="94"/>
  <c r="BD52" i="94"/>
  <c r="BN52" i="94"/>
  <c r="BS52" i="94"/>
  <c r="BC52" i="94"/>
  <c r="BM52" i="94"/>
  <c r="BR41" i="94"/>
  <c r="BD41" i="94"/>
  <c r="BW41" i="94"/>
  <c r="BE41" i="94"/>
  <c r="BQ41" i="94"/>
  <c r="BC41" i="94"/>
  <c r="BK41" i="94"/>
  <c r="BP41" i="94"/>
  <c r="BG41" i="94"/>
  <c r="BO41" i="94"/>
  <c r="BJ41" i="94"/>
  <c r="BN41" i="94"/>
  <c r="BT41" i="94"/>
  <c r="BV41" i="94"/>
  <c r="BI41" i="94"/>
  <c r="BF41" i="94"/>
  <c r="BM41" i="94"/>
  <c r="BX41" i="94"/>
  <c r="BS41" i="94"/>
  <c r="BU41" i="94"/>
  <c r="BL41" i="94"/>
  <c r="BH41" i="94"/>
  <c r="BW63" i="94"/>
  <c r="BI63" i="94"/>
  <c r="BE63" i="94"/>
  <c r="BJ63" i="94"/>
  <c r="BD63" i="94"/>
  <c r="BG63" i="94"/>
  <c r="BV63" i="94"/>
  <c r="BX63" i="94"/>
  <c r="BU63" i="94"/>
  <c r="BP63" i="94"/>
  <c r="BO63" i="94"/>
  <c r="BS63" i="94"/>
  <c r="BC63" i="94"/>
  <c r="BT63" i="94"/>
  <c r="BN63" i="94"/>
  <c r="BR63" i="94"/>
  <c r="BF63" i="94"/>
  <c r="BL63" i="94"/>
  <c r="BM63" i="94"/>
  <c r="BQ63" i="94"/>
  <c r="BH63" i="94"/>
  <c r="BK63" i="94"/>
  <c r="BK11" i="94"/>
  <c r="BG11" i="94"/>
  <c r="BD11" i="94"/>
  <c r="BJ11" i="94"/>
  <c r="BS11" i="94"/>
  <c r="BW11" i="94"/>
  <c r="BM11" i="94"/>
  <c r="BV11" i="94"/>
  <c r="BR11" i="94"/>
  <c r="BF11" i="94"/>
  <c r="BL11" i="94"/>
  <c r="BQ11" i="94"/>
  <c r="BP11" i="94"/>
  <c r="BI11" i="94"/>
  <c r="BO11" i="94"/>
  <c r="BC11" i="94"/>
  <c r="BE11" i="94"/>
  <c r="BX11" i="94"/>
  <c r="BU11" i="94"/>
  <c r="BN11" i="94"/>
  <c r="BT11" i="94"/>
  <c r="BH11" i="94"/>
  <c r="BK64" i="94"/>
  <c r="BF64" i="94"/>
  <c r="BG64" i="94"/>
  <c r="BS64" i="94"/>
  <c r="BR64" i="94"/>
  <c r="BW64" i="94"/>
  <c r="BJ64" i="94"/>
  <c r="BN64" i="94"/>
  <c r="BU64" i="94"/>
  <c r="BQ64" i="94"/>
  <c r="BD64" i="94"/>
  <c r="BM64" i="94"/>
  <c r="BE64" i="94"/>
  <c r="BP64" i="94"/>
  <c r="BT64" i="94"/>
  <c r="BC64" i="94"/>
  <c r="BL64" i="94"/>
  <c r="BX64" i="94"/>
  <c r="BO64" i="94"/>
  <c r="BH64" i="94"/>
  <c r="BI64" i="94"/>
  <c r="BV64" i="94"/>
  <c r="BK51" i="94"/>
  <c r="BW51" i="94"/>
  <c r="BJ51" i="94"/>
  <c r="BT51" i="94"/>
  <c r="BX51" i="94"/>
  <c r="BG51" i="94"/>
  <c r="BI51" i="94"/>
  <c r="BD51" i="94"/>
  <c r="BV51" i="94"/>
  <c r="BP51" i="94"/>
  <c r="BS51" i="94"/>
  <c r="BO51" i="94"/>
  <c r="BF51" i="94"/>
  <c r="BU51" i="94"/>
  <c r="BN51" i="94"/>
  <c r="BL51" i="94"/>
  <c r="BQ51" i="94"/>
  <c r="BM51" i="94"/>
  <c r="BH51" i="94"/>
  <c r="BE51" i="94"/>
  <c r="BR51" i="94"/>
  <c r="BC51" i="94"/>
  <c r="BL40" i="94"/>
  <c r="BX40" i="94"/>
  <c r="BQ40" i="94"/>
  <c r="BM40" i="94"/>
  <c r="BP40" i="94"/>
  <c r="BF40" i="94"/>
  <c r="BH40" i="94"/>
  <c r="BU40" i="94"/>
  <c r="BC40" i="94"/>
  <c r="BT40" i="94"/>
  <c r="BE40" i="94"/>
  <c r="BD40" i="94"/>
  <c r="BW40" i="94"/>
  <c r="BJ40" i="94"/>
  <c r="BG40" i="94"/>
  <c r="BS40" i="94"/>
  <c r="BV40" i="94"/>
  <c r="BO40" i="94"/>
  <c r="BR40" i="94"/>
  <c r="BI40" i="94"/>
  <c r="BK40" i="94"/>
  <c r="BN40" i="94"/>
  <c r="BP61" i="94"/>
  <c r="BD61" i="94"/>
  <c r="BL61" i="94"/>
  <c r="BX61" i="94"/>
  <c r="BO61" i="94"/>
  <c r="BH61" i="94"/>
  <c r="BK61" i="94"/>
  <c r="BT61" i="94"/>
  <c r="BW61" i="94"/>
  <c r="BR61" i="94"/>
  <c r="BN61" i="94"/>
  <c r="BS61" i="94"/>
  <c r="BG61" i="94"/>
  <c r="BF61" i="94"/>
  <c r="BU61" i="94"/>
  <c r="BQ61" i="94"/>
  <c r="BE61" i="94"/>
  <c r="BJ61" i="94"/>
  <c r="BV61" i="94"/>
  <c r="BI61" i="94"/>
  <c r="BM61" i="94"/>
  <c r="BC61" i="94"/>
  <c r="BR49" i="94"/>
  <c r="BV49" i="94"/>
  <c r="BX49" i="94"/>
  <c r="BF49" i="94"/>
  <c r="BL49" i="94"/>
  <c r="BE49" i="94"/>
  <c r="BH49" i="94"/>
  <c r="BT49" i="94"/>
  <c r="BU49" i="94"/>
  <c r="BO49" i="94"/>
  <c r="BW49" i="94"/>
  <c r="BD49" i="94"/>
  <c r="BG49" i="94"/>
  <c r="BK49" i="94"/>
  <c r="BQ49" i="94"/>
  <c r="BC49" i="94"/>
  <c r="BN49" i="94"/>
  <c r="BJ49" i="94"/>
  <c r="BS49" i="94"/>
  <c r="BP49" i="94"/>
  <c r="BM49" i="94"/>
  <c r="BI49" i="94"/>
  <c r="BW42" i="94"/>
  <c r="BP42" i="94"/>
  <c r="BG42" i="94"/>
  <c r="BT42" i="94"/>
  <c r="BV42" i="94"/>
  <c r="BO42" i="94"/>
  <c r="BD42" i="94"/>
  <c r="BF42" i="94"/>
  <c r="BI42" i="94"/>
  <c r="BK42" i="94"/>
  <c r="BN42" i="94"/>
  <c r="BR42" i="94"/>
  <c r="BS42" i="94"/>
  <c r="BJ42" i="94"/>
  <c r="BM42" i="94"/>
  <c r="BU42" i="94"/>
  <c r="BC42" i="94"/>
  <c r="BQ42" i="94"/>
  <c r="BH42" i="94"/>
  <c r="BE42" i="94"/>
  <c r="BX42" i="94"/>
  <c r="BL42" i="94"/>
  <c r="BE60" i="94"/>
  <c r="BD60" i="94"/>
  <c r="BV60" i="94"/>
  <c r="BS60" i="94"/>
  <c r="BC60" i="94"/>
  <c r="BP60" i="94"/>
  <c r="BL60" i="94"/>
  <c r="BO60" i="94"/>
  <c r="BF60" i="94"/>
  <c r="BN60" i="94"/>
  <c r="BR60" i="94"/>
  <c r="BX60" i="94"/>
  <c r="BI60" i="94"/>
  <c r="BM60" i="94"/>
  <c r="BU60" i="94"/>
  <c r="BH60" i="94"/>
  <c r="BQ60" i="94"/>
  <c r="BW60" i="94"/>
  <c r="BK60" i="94"/>
  <c r="BG60" i="94"/>
  <c r="BJ60" i="94"/>
  <c r="BT60" i="94"/>
  <c r="BU36" i="94"/>
  <c r="BP36" i="94"/>
  <c r="BV36" i="94"/>
  <c r="BI36" i="94"/>
  <c r="BF36" i="94"/>
  <c r="BX36" i="94"/>
  <c r="BD36" i="94"/>
  <c r="BR36" i="94"/>
  <c r="BQ36" i="94"/>
  <c r="BE36" i="94"/>
  <c r="BH36" i="94"/>
  <c r="BT36" i="94"/>
  <c r="BG36" i="94"/>
  <c r="BC36" i="94"/>
  <c r="BO36" i="94"/>
  <c r="BS36" i="94"/>
  <c r="BM36" i="94"/>
  <c r="BW36" i="94"/>
  <c r="BN36" i="94"/>
  <c r="BK36" i="94"/>
  <c r="BL36" i="94"/>
  <c r="BJ36" i="94"/>
  <c r="BV15" i="94"/>
  <c r="BD15" i="94"/>
  <c r="BU15" i="94"/>
  <c r="BK15" i="94"/>
  <c r="BR15" i="94"/>
  <c r="BS15" i="94"/>
  <c r="BE15" i="94"/>
  <c r="BC15" i="94"/>
  <c r="BQ15" i="94"/>
  <c r="BP15" i="94"/>
  <c r="BT15" i="94"/>
  <c r="BO15" i="94"/>
  <c r="BM15" i="94"/>
  <c r="BI15" i="94"/>
  <c r="BN15" i="94"/>
  <c r="BH15" i="94"/>
  <c r="BL15" i="94"/>
  <c r="BX15" i="94"/>
  <c r="BW15" i="94"/>
  <c r="BG15" i="94"/>
  <c r="BJ15" i="94"/>
  <c r="BF15" i="94"/>
  <c r="BW66" i="94"/>
  <c r="BF66" i="94"/>
  <c r="BU66" i="94"/>
  <c r="BO66" i="94"/>
  <c r="BQ66" i="94"/>
  <c r="BN66" i="94"/>
  <c r="BH66" i="94"/>
  <c r="BJ66" i="94"/>
  <c r="BE66" i="94"/>
  <c r="BI66" i="94"/>
  <c r="BM66" i="94"/>
  <c r="BX66" i="94"/>
  <c r="BP66" i="94"/>
  <c r="BV66" i="94"/>
  <c r="BC66" i="94"/>
  <c r="BT66" i="94"/>
  <c r="BD66" i="94"/>
  <c r="BS66" i="94"/>
  <c r="BL66" i="94"/>
  <c r="BG66" i="94"/>
  <c r="BK66" i="94"/>
  <c r="BR66" i="94"/>
  <c r="BH48" i="94"/>
  <c r="BT48" i="94"/>
  <c r="BG48" i="94"/>
  <c r="BD48" i="94"/>
  <c r="BV48" i="94"/>
  <c r="BS48" i="94"/>
  <c r="BF48" i="94"/>
  <c r="BQ48" i="94"/>
  <c r="BU48" i="94"/>
  <c r="BK48" i="94"/>
  <c r="BC48" i="94"/>
  <c r="BP48" i="94"/>
  <c r="BE48" i="94"/>
  <c r="BJ48" i="94"/>
  <c r="BL48" i="94"/>
  <c r="BR48" i="94"/>
  <c r="BN48" i="94"/>
  <c r="BX48" i="94"/>
  <c r="BW48" i="94"/>
  <c r="BO48" i="94"/>
  <c r="BI48" i="94"/>
  <c r="BM48" i="94"/>
  <c r="BG39" i="94"/>
  <c r="BN39" i="94"/>
  <c r="BF39" i="94"/>
  <c r="BI39" i="94"/>
  <c r="BU39" i="94"/>
  <c r="BX39" i="94"/>
  <c r="BQ39" i="94"/>
  <c r="BV39" i="94"/>
  <c r="BE39" i="94"/>
  <c r="BH39" i="94"/>
  <c r="BM39" i="94"/>
  <c r="BS39" i="94"/>
  <c r="BR39" i="94"/>
  <c r="BP39" i="94"/>
  <c r="BL39" i="94"/>
  <c r="BT39" i="94"/>
  <c r="BC39" i="94"/>
  <c r="BD39" i="94"/>
  <c r="BW39" i="94"/>
  <c r="BO39" i="94"/>
  <c r="BK39" i="94"/>
  <c r="BJ39" i="94"/>
  <c r="BG33" i="94"/>
  <c r="BP33" i="94"/>
  <c r="BD33" i="94"/>
  <c r="BI33" i="94"/>
  <c r="BV33" i="94"/>
  <c r="BH33" i="94"/>
  <c r="BS33" i="94"/>
  <c r="BF33" i="94"/>
  <c r="BN33" i="94"/>
  <c r="BT33" i="94"/>
  <c r="BM33" i="94"/>
  <c r="BU33" i="94"/>
  <c r="BR33" i="94"/>
  <c r="BE33" i="94"/>
  <c r="BL33" i="94"/>
  <c r="BX33" i="94"/>
  <c r="BK33" i="94"/>
  <c r="BW33" i="94"/>
  <c r="BC33" i="94"/>
  <c r="BJ33" i="94"/>
  <c r="BQ33" i="94"/>
  <c r="BO33" i="94"/>
  <c r="BG62" i="94"/>
  <c r="BD62" i="94"/>
  <c r="BJ62" i="94"/>
  <c r="BM62" i="94"/>
  <c r="BS62" i="94"/>
  <c r="BQ62" i="94"/>
  <c r="BV62" i="94"/>
  <c r="BX62" i="94"/>
  <c r="BR62" i="94"/>
  <c r="BN62" i="94"/>
  <c r="BI62" i="94"/>
  <c r="BC62" i="94"/>
  <c r="BP62" i="94"/>
  <c r="BH62" i="94"/>
  <c r="BO62" i="94"/>
  <c r="BL62" i="94"/>
  <c r="BW62" i="94"/>
  <c r="BU62" i="94"/>
  <c r="BK62" i="94"/>
  <c r="BE62" i="94"/>
  <c r="BF62" i="94"/>
  <c r="BT62" i="94"/>
  <c r="BQ9" i="94"/>
  <c r="BL9" i="94"/>
  <c r="BP9" i="94"/>
  <c r="BW9" i="94"/>
  <c r="BX9" i="94"/>
  <c r="BK9" i="94"/>
  <c r="BI9" i="94"/>
  <c r="BG9" i="94"/>
  <c r="BJ9" i="94"/>
  <c r="BV9" i="94"/>
  <c r="BU9" i="94"/>
  <c r="BF9" i="94"/>
  <c r="BH9" i="94"/>
  <c r="BO9" i="94"/>
  <c r="BE9" i="94"/>
  <c r="BD9" i="94"/>
  <c r="BC9" i="94"/>
  <c r="BN9" i="94"/>
  <c r="BT9" i="94"/>
  <c r="BR9" i="94"/>
  <c r="BS9" i="94"/>
  <c r="BM9" i="94"/>
  <c r="BM68" i="94"/>
  <c r="BW68" i="94"/>
  <c r="BJ68" i="94"/>
  <c r="BK68" i="94"/>
  <c r="BO68" i="94"/>
  <c r="BG68" i="94"/>
  <c r="BI68" i="94"/>
  <c r="BC68" i="94"/>
  <c r="BN68" i="94"/>
  <c r="BV68" i="94"/>
  <c r="BH68" i="94"/>
  <c r="BF68" i="94"/>
  <c r="BL68" i="94"/>
  <c r="BX68" i="94"/>
  <c r="BU68" i="94"/>
  <c r="BE68" i="94"/>
  <c r="BT68" i="94"/>
  <c r="BD68" i="94"/>
  <c r="BS68" i="94"/>
  <c r="BR68" i="94"/>
  <c r="BQ68" i="94"/>
  <c r="BP68" i="94"/>
  <c r="BI43" i="94"/>
  <c r="BN43" i="94"/>
  <c r="BX43" i="94"/>
  <c r="BC43" i="94"/>
  <c r="BH43" i="94"/>
  <c r="BW43" i="94"/>
  <c r="BG43" i="94"/>
  <c r="BM43" i="94"/>
  <c r="BV43" i="94"/>
  <c r="BR43" i="94"/>
  <c r="BF43" i="94"/>
  <c r="BD43" i="94"/>
  <c r="BU43" i="94"/>
  <c r="BL43" i="94"/>
  <c r="BE43" i="94"/>
  <c r="BQ43" i="94"/>
  <c r="BT43" i="94"/>
  <c r="BJ43" i="94"/>
  <c r="BK43" i="94"/>
  <c r="BP43" i="94"/>
  <c r="BO43" i="94"/>
  <c r="BS43" i="94"/>
  <c r="BK32" i="94"/>
  <c r="BU32" i="94"/>
  <c r="BC32" i="94"/>
  <c r="BP32" i="94"/>
  <c r="BJ32" i="94"/>
  <c r="BM32" i="94"/>
  <c r="BE32" i="94"/>
  <c r="BL32" i="94"/>
  <c r="BW32" i="94"/>
  <c r="BI32" i="94"/>
  <c r="BO32" i="94"/>
  <c r="BX32" i="94"/>
  <c r="BV32" i="94"/>
  <c r="BH32" i="94"/>
  <c r="BN32" i="94"/>
  <c r="BT32" i="94"/>
  <c r="BF32" i="94"/>
  <c r="BG32" i="94"/>
  <c r="BR32" i="94"/>
  <c r="BD32" i="94"/>
  <c r="BS32" i="94"/>
  <c r="BQ32" i="94"/>
  <c r="BS20" i="94"/>
  <c r="BM20" i="94"/>
  <c r="BR20" i="94"/>
  <c r="BW20" i="94"/>
  <c r="BL20" i="94"/>
  <c r="BH20" i="94"/>
  <c r="BQ20" i="94"/>
  <c r="BG20" i="94"/>
  <c r="BJ20" i="94"/>
  <c r="BT20" i="94"/>
  <c r="BK20" i="94"/>
  <c r="BV20" i="94"/>
  <c r="BI20" i="94"/>
  <c r="BD20" i="94"/>
  <c r="BX20" i="94"/>
  <c r="BF20" i="94"/>
  <c r="BC20" i="94"/>
  <c r="BU20" i="94"/>
  <c r="BO20" i="94"/>
  <c r="BE20" i="94"/>
  <c r="BP20" i="94"/>
  <c r="BN20" i="94"/>
  <c r="BG13" i="94"/>
  <c r="BD13" i="94"/>
  <c r="BS13" i="94"/>
  <c r="BR13" i="94"/>
  <c r="BQ13" i="94"/>
  <c r="BK13" i="94"/>
  <c r="BE13" i="94"/>
  <c r="BJ13" i="94"/>
  <c r="BP13" i="94"/>
  <c r="BW13" i="94"/>
  <c r="BC13" i="94"/>
  <c r="BV13" i="94"/>
  <c r="BM13" i="94"/>
  <c r="BO13" i="94"/>
  <c r="BL13" i="94"/>
  <c r="BF13" i="94"/>
  <c r="BI13" i="94"/>
  <c r="BT13" i="94"/>
  <c r="BX13" i="94"/>
  <c r="BU13" i="94"/>
  <c r="BH13" i="94"/>
  <c r="BN13" i="94"/>
  <c r="BU37" i="94"/>
  <c r="BH37" i="94"/>
  <c r="BE37" i="94"/>
  <c r="BC37" i="94"/>
  <c r="BD37" i="94"/>
  <c r="BS37" i="94"/>
  <c r="BK37" i="94"/>
  <c r="BG37" i="94"/>
  <c r="BP37" i="94"/>
  <c r="BV37" i="94"/>
  <c r="BJ37" i="94"/>
  <c r="BT37" i="94"/>
  <c r="BO37" i="94"/>
  <c r="BI37" i="94"/>
  <c r="BR37" i="94"/>
  <c r="BL37" i="94"/>
  <c r="BF37" i="94"/>
  <c r="BN37" i="94"/>
  <c r="BW37" i="94"/>
  <c r="BQ37" i="94"/>
  <c r="BX37" i="94"/>
  <c r="BM37" i="94"/>
  <c r="BI6" i="94"/>
  <c r="BT6" i="94"/>
  <c r="BG6" i="94"/>
  <c r="BO6" i="94"/>
  <c r="BC6" i="94"/>
  <c r="BR6" i="94"/>
  <c r="BE6" i="94"/>
  <c r="BN6" i="94"/>
  <c r="BQ6" i="94"/>
  <c r="BK6" i="94"/>
  <c r="BD6" i="94"/>
  <c r="BM6" i="94"/>
  <c r="BP6" i="94"/>
  <c r="BJ6" i="94"/>
  <c r="BS6" i="94"/>
  <c r="BL6" i="94"/>
  <c r="BH6" i="94"/>
  <c r="BV6" i="94"/>
  <c r="BF6" i="94"/>
  <c r="BW6" i="94"/>
  <c r="BX6" i="94"/>
  <c r="BU6" i="94"/>
  <c r="BI10" i="94"/>
  <c r="BK10" i="94"/>
  <c r="BF10" i="94"/>
  <c r="BH10" i="94"/>
  <c r="BR10" i="94"/>
  <c r="BW10" i="94"/>
  <c r="BU10" i="94"/>
  <c r="BG10" i="94"/>
  <c r="BQ10" i="94"/>
  <c r="BS10" i="94"/>
  <c r="BE10" i="94"/>
  <c r="BC10" i="94"/>
  <c r="BJ10" i="94"/>
  <c r="BP10" i="94"/>
  <c r="BM10" i="94"/>
  <c r="BN10" i="94"/>
  <c r="BV10" i="94"/>
  <c r="BT10" i="94"/>
  <c r="BO10" i="94"/>
  <c r="BD10" i="94"/>
  <c r="BL10" i="94"/>
  <c r="BX10" i="94"/>
  <c r="BG38" i="94"/>
  <c r="BR38" i="94"/>
  <c r="BV38" i="94"/>
  <c r="BI38" i="94"/>
  <c r="BF38" i="94"/>
  <c r="BX38" i="94"/>
  <c r="BU38" i="94"/>
  <c r="BT38" i="94"/>
  <c r="BC38" i="94"/>
  <c r="BE38" i="94"/>
  <c r="BO38" i="94"/>
  <c r="BK38" i="94"/>
  <c r="BM38" i="94"/>
  <c r="BW38" i="94"/>
  <c r="BL38" i="94"/>
  <c r="BD38" i="94"/>
  <c r="BQ38" i="94"/>
  <c r="BS38" i="94"/>
  <c r="BJ38" i="94"/>
  <c r="BP38" i="94"/>
  <c r="BN38" i="94"/>
  <c r="BH38" i="94"/>
  <c r="BE94" i="94"/>
  <c r="BO94" i="94"/>
  <c r="BD94" i="94"/>
  <c r="BX94" i="94"/>
  <c r="BS94" i="94"/>
  <c r="BR94" i="94"/>
  <c r="BM94" i="94"/>
  <c r="BJ94" i="94"/>
  <c r="BH94" i="94"/>
  <c r="BV94" i="94"/>
  <c r="BL94" i="94"/>
  <c r="BF94" i="94"/>
  <c r="BW94" i="94"/>
  <c r="BC94" i="94"/>
  <c r="BI94" i="94"/>
  <c r="BN94" i="94"/>
  <c r="BU94" i="94"/>
  <c r="BK94" i="94"/>
  <c r="BQ94" i="94"/>
  <c r="BT94" i="94"/>
  <c r="BG94" i="94"/>
  <c r="BP94" i="94"/>
  <c r="BQ93" i="94"/>
  <c r="BG93" i="94"/>
  <c r="BE93" i="94"/>
  <c r="BM93" i="94"/>
  <c r="BT93" i="94"/>
  <c r="BD93" i="94"/>
  <c r="BL93" i="94"/>
  <c r="BK93" i="94"/>
  <c r="BC93" i="94"/>
  <c r="BH93" i="94"/>
  <c r="BP93" i="94"/>
  <c r="BN93" i="94"/>
  <c r="BR93" i="94"/>
  <c r="BJ93" i="94"/>
  <c r="BO93" i="94"/>
  <c r="BW93" i="94"/>
  <c r="BS93" i="94"/>
  <c r="BV93" i="94"/>
  <c r="BX93" i="94"/>
  <c r="BF93" i="94"/>
  <c r="BU93" i="94"/>
  <c r="BI93" i="94"/>
  <c r="BL92" i="94"/>
  <c r="BG92" i="94"/>
  <c r="BK92" i="94"/>
  <c r="BV92" i="94"/>
  <c r="BJ92" i="94"/>
  <c r="BF92" i="94"/>
  <c r="BU92" i="94"/>
  <c r="BI92" i="94"/>
  <c r="BH92" i="94"/>
  <c r="BR92" i="94"/>
  <c r="BE92" i="94"/>
  <c r="BQ92" i="94"/>
  <c r="BP92" i="94"/>
  <c r="BM92" i="94"/>
  <c r="BT92" i="94"/>
  <c r="BX92" i="94"/>
  <c r="BO92" i="94"/>
  <c r="BW92" i="94"/>
  <c r="BS92" i="94"/>
  <c r="BN92" i="94"/>
  <c r="BD92" i="94"/>
  <c r="BC92" i="94"/>
  <c r="BX91" i="94"/>
  <c r="BQ91" i="94"/>
  <c r="BO91" i="94"/>
  <c r="BM91" i="94"/>
  <c r="BF91" i="94"/>
  <c r="BL91" i="94"/>
  <c r="BE91" i="94"/>
  <c r="BW91" i="94"/>
  <c r="BN91" i="94"/>
  <c r="BK91" i="94"/>
  <c r="BC91" i="94"/>
  <c r="BP91" i="94"/>
  <c r="BJ91" i="94"/>
  <c r="BU91" i="94"/>
  <c r="BT91" i="94"/>
  <c r="BG91" i="94"/>
  <c r="BI91" i="94"/>
  <c r="BD91" i="94"/>
  <c r="BH91" i="94"/>
  <c r="BS91" i="94"/>
  <c r="BV91" i="94"/>
  <c r="BR91" i="94"/>
  <c r="BF107" i="94"/>
  <c r="BE107" i="94"/>
  <c r="BU107" i="94"/>
  <c r="BC107" i="94"/>
  <c r="BR107" i="94"/>
  <c r="BI107" i="94"/>
  <c r="BD107" i="94"/>
  <c r="BT107" i="94"/>
  <c r="BH107" i="94"/>
  <c r="BQ107" i="94"/>
  <c r="BP107" i="94"/>
  <c r="BN107" i="94"/>
  <c r="BV107" i="94"/>
  <c r="BS107" i="94"/>
  <c r="BJ107" i="94"/>
  <c r="BL107" i="94"/>
  <c r="BG107" i="94"/>
  <c r="BO107" i="94"/>
  <c r="BW107" i="94"/>
  <c r="BK107" i="94"/>
  <c r="BX107" i="94"/>
  <c r="BM107" i="94"/>
  <c r="BT139" i="94"/>
  <c r="BE139" i="94"/>
  <c r="BQ139" i="94"/>
  <c r="BD139" i="94"/>
  <c r="BR139" i="94"/>
  <c r="BX139" i="94"/>
  <c r="BK139" i="94"/>
  <c r="BH139" i="94"/>
  <c r="BM139" i="94"/>
  <c r="BL139" i="94"/>
  <c r="BJ139" i="94"/>
  <c r="BO139" i="94"/>
  <c r="BI139" i="94"/>
  <c r="BC139" i="94"/>
  <c r="BG139" i="94"/>
  <c r="BV139" i="94"/>
  <c r="BF139" i="94"/>
  <c r="BU139" i="94"/>
  <c r="BN139" i="94"/>
  <c r="BP139" i="94"/>
  <c r="BS139" i="94"/>
  <c r="BW139" i="94"/>
  <c r="BC113" i="94"/>
  <c r="BI113" i="94"/>
  <c r="BF113" i="94"/>
  <c r="BD113" i="94"/>
  <c r="BS113" i="94"/>
  <c r="BT113" i="94"/>
  <c r="BV113" i="94"/>
  <c r="BP113" i="94"/>
  <c r="BR113" i="94"/>
  <c r="BO113" i="94"/>
  <c r="BQ113" i="94"/>
  <c r="BH113" i="94"/>
  <c r="BE113" i="94"/>
  <c r="BM113" i="94"/>
  <c r="BN113" i="94"/>
  <c r="BL113" i="94"/>
  <c r="BU113" i="94"/>
  <c r="BK113" i="94"/>
  <c r="BG113" i="94"/>
  <c r="BW113" i="94"/>
  <c r="BJ113" i="94"/>
  <c r="BX113" i="94"/>
  <c r="BK117" i="94"/>
  <c r="BU117" i="94"/>
  <c r="BC117" i="94"/>
  <c r="BV117" i="94"/>
  <c r="BW117" i="94"/>
  <c r="BL117" i="94"/>
  <c r="BQ117" i="94"/>
  <c r="BR117" i="94"/>
  <c r="BO117" i="94"/>
  <c r="BT117" i="94"/>
  <c r="BN117" i="94"/>
  <c r="BJ117" i="94"/>
  <c r="BI117" i="94"/>
  <c r="BH117" i="94"/>
  <c r="BX117" i="94"/>
  <c r="BD117" i="94"/>
  <c r="BE117" i="94"/>
  <c r="BG117" i="94"/>
  <c r="BM117" i="94"/>
  <c r="BS117" i="94"/>
  <c r="BF117" i="94"/>
  <c r="BP117" i="94"/>
  <c r="BP137" i="94"/>
  <c r="BI116" i="94"/>
  <c r="BK116" i="94"/>
  <c r="BW116" i="94"/>
  <c r="BC116" i="94"/>
  <c r="BG116" i="94"/>
  <c r="BV116" i="94"/>
  <c r="BE116" i="94"/>
  <c r="BD116" i="94"/>
  <c r="BP116" i="94"/>
  <c r="BS116" i="94"/>
  <c r="BM116" i="94"/>
  <c r="BQ116" i="94"/>
  <c r="BF116" i="94"/>
  <c r="BJ116" i="94"/>
  <c r="BN116" i="94"/>
  <c r="BT116" i="94"/>
  <c r="BX116" i="94"/>
  <c r="BR116" i="94"/>
  <c r="BH116" i="94"/>
  <c r="BO116" i="94"/>
  <c r="BL116" i="94"/>
  <c r="BU116" i="94"/>
  <c r="BD129" i="94"/>
  <c r="BR129" i="94"/>
  <c r="BC129" i="94"/>
  <c r="BN129" i="94"/>
  <c r="BJ129" i="94"/>
  <c r="BH129" i="94"/>
  <c r="BW129" i="94"/>
  <c r="BF129" i="94"/>
  <c r="BK129" i="94"/>
  <c r="BE129" i="94"/>
  <c r="BX129" i="94"/>
  <c r="BP129" i="94"/>
  <c r="BU129" i="94"/>
  <c r="BM129" i="94"/>
  <c r="BO129" i="94"/>
  <c r="BV129" i="94"/>
  <c r="BQ129" i="94"/>
  <c r="BI129" i="94"/>
  <c r="BG129" i="94"/>
  <c r="BT129" i="94"/>
  <c r="BL129" i="94"/>
  <c r="BS129" i="94"/>
  <c r="BW138" i="94"/>
  <c r="BL138" i="94"/>
  <c r="BD138" i="94"/>
  <c r="BV138" i="94"/>
  <c r="BX138" i="94"/>
  <c r="BJ138" i="94"/>
  <c r="BS138" i="94"/>
  <c r="BF138" i="94"/>
  <c r="BU138" i="94"/>
  <c r="BR138" i="94"/>
  <c r="BG138" i="94"/>
  <c r="BQ138" i="94"/>
  <c r="BO138" i="94"/>
  <c r="BT138" i="94"/>
  <c r="BK138" i="94"/>
  <c r="BP138" i="94"/>
  <c r="BE138" i="94"/>
  <c r="BC138" i="94"/>
  <c r="BI138" i="94"/>
  <c r="BN138" i="94"/>
  <c r="BH138" i="94"/>
  <c r="BM138" i="94"/>
  <c r="BH114" i="94"/>
  <c r="BG114" i="94"/>
  <c r="BW114" i="94"/>
  <c r="BR114" i="94"/>
  <c r="BQ114" i="94"/>
  <c r="BE114" i="94"/>
  <c r="BT114" i="94"/>
  <c r="BD114" i="94"/>
  <c r="BL114" i="94"/>
  <c r="BN114" i="94"/>
  <c r="BI114" i="94"/>
  <c r="BK114" i="94"/>
  <c r="BF114" i="94"/>
  <c r="BV114" i="94"/>
  <c r="BO114" i="94"/>
  <c r="BJ114" i="94"/>
  <c r="BM114" i="94"/>
  <c r="BU114" i="94"/>
  <c r="BC114" i="94"/>
  <c r="BX114" i="94"/>
  <c r="BP114" i="94"/>
  <c r="BS114" i="94"/>
  <c r="BW118" i="94"/>
  <c r="BE118" i="94"/>
  <c r="BP118" i="94"/>
  <c r="BN118" i="94"/>
  <c r="BG118" i="94"/>
  <c r="BF118" i="94"/>
  <c r="BS118" i="94"/>
  <c r="BU118" i="94"/>
  <c r="BD118" i="94"/>
  <c r="BK118" i="94"/>
  <c r="BX118" i="94"/>
  <c r="BR118" i="94"/>
  <c r="BT118" i="94"/>
  <c r="BC118" i="94"/>
  <c r="BM118" i="94"/>
  <c r="BQ118" i="94"/>
  <c r="BJ118" i="94"/>
  <c r="BL118" i="94"/>
  <c r="BV118" i="94"/>
  <c r="BH118" i="94"/>
  <c r="BO118" i="94"/>
  <c r="BI118" i="94"/>
  <c r="BJ127" i="94"/>
  <c r="BF127" i="94"/>
  <c r="BI127" i="94"/>
  <c r="BR127" i="94"/>
  <c r="BL127" i="94"/>
  <c r="BQ127" i="94"/>
  <c r="BK127" i="94"/>
  <c r="BH127" i="94"/>
  <c r="BS127" i="94"/>
  <c r="BW127" i="94"/>
  <c r="BN127" i="94"/>
  <c r="BG127" i="94"/>
  <c r="BV127" i="94"/>
  <c r="BC127" i="94"/>
  <c r="BD127" i="94"/>
  <c r="BE127" i="94"/>
  <c r="BX127" i="94"/>
  <c r="BO127" i="94"/>
  <c r="BP127" i="94"/>
  <c r="BT127" i="94"/>
  <c r="BU127" i="94"/>
  <c r="BM127" i="94"/>
  <c r="BH159" i="94"/>
  <c r="BW159" i="94"/>
  <c r="BU159" i="94"/>
  <c r="BF159" i="94"/>
  <c r="BG159" i="94"/>
  <c r="BI159" i="94"/>
  <c r="BE159" i="94"/>
  <c r="BL159" i="94"/>
  <c r="BT159" i="94"/>
  <c r="BK159" i="94"/>
  <c r="BD159" i="94"/>
  <c r="BC159" i="94"/>
  <c r="BR159" i="94"/>
  <c r="BQ159" i="94"/>
  <c r="BJ159" i="94"/>
  <c r="BN159" i="94"/>
  <c r="BS159" i="94"/>
  <c r="BM159" i="94"/>
  <c r="BP159" i="94"/>
  <c r="BV159" i="94"/>
  <c r="BX159" i="94"/>
  <c r="BO159" i="94"/>
  <c r="BU115" i="94"/>
  <c r="BM115" i="94"/>
  <c r="BR115" i="94"/>
  <c r="BL115" i="94"/>
  <c r="BT115" i="94"/>
  <c r="BP115" i="94"/>
  <c r="BQ115" i="94"/>
  <c r="BH115" i="94"/>
  <c r="BK115" i="94"/>
  <c r="BE115" i="94"/>
  <c r="BJ115" i="94"/>
  <c r="BV115" i="94"/>
  <c r="BC115" i="94"/>
  <c r="BD115" i="94"/>
  <c r="BI115" i="94"/>
  <c r="BX115" i="94"/>
  <c r="BW115" i="94"/>
  <c r="BO115" i="94"/>
  <c r="BG115" i="94"/>
  <c r="BN115" i="94"/>
  <c r="BF115" i="94"/>
  <c r="BS115" i="94"/>
  <c r="BJ126" i="94"/>
  <c r="BG126" i="94"/>
  <c r="BI126" i="94"/>
  <c r="BF126" i="94"/>
  <c r="BH126" i="94"/>
  <c r="BE126" i="94"/>
  <c r="BC126" i="94"/>
  <c r="BT126" i="94"/>
  <c r="BM126" i="94"/>
  <c r="BU126" i="94"/>
  <c r="BX126" i="94"/>
  <c r="BP126" i="94"/>
  <c r="BL126" i="94"/>
  <c r="BQ126" i="94"/>
  <c r="BV126" i="94"/>
  <c r="BD126" i="94"/>
  <c r="BS126" i="94"/>
  <c r="BR126" i="94"/>
  <c r="BO126" i="94"/>
  <c r="BN126" i="94"/>
  <c r="BK126" i="94"/>
  <c r="BW126" i="94"/>
  <c r="BS143" i="94"/>
  <c r="BN143" i="94"/>
  <c r="BR143" i="94"/>
  <c r="BQ143" i="94"/>
  <c r="BM143" i="94"/>
  <c r="BO143" i="94"/>
  <c r="BL143" i="94"/>
  <c r="BH143" i="94"/>
  <c r="BW143" i="94"/>
  <c r="BK143" i="94"/>
  <c r="BG143" i="94"/>
  <c r="BD143" i="94"/>
  <c r="BC143" i="94"/>
  <c r="BU143" i="94"/>
  <c r="BV143" i="94"/>
  <c r="BX143" i="94"/>
  <c r="BF143" i="94"/>
  <c r="BP143" i="94"/>
  <c r="BE143" i="94"/>
  <c r="BJ143" i="94"/>
  <c r="BT143" i="94"/>
  <c r="BI143" i="94"/>
  <c r="BI110" i="94"/>
  <c r="BM110" i="94"/>
  <c r="BC110" i="94"/>
  <c r="BL110" i="94"/>
  <c r="BW110" i="94"/>
  <c r="BS110" i="94"/>
  <c r="BG110" i="94"/>
  <c r="BR110" i="94"/>
  <c r="BE110" i="94"/>
  <c r="BH110" i="94"/>
  <c r="BT110" i="94"/>
  <c r="BK110" i="94"/>
  <c r="BV110" i="94"/>
  <c r="BN110" i="94"/>
  <c r="BF110" i="94"/>
  <c r="BJ110" i="94"/>
  <c r="BP110" i="94"/>
  <c r="BQ110" i="94"/>
  <c r="BU110" i="94"/>
  <c r="BO110" i="94"/>
  <c r="BD110" i="94"/>
  <c r="BX110" i="94"/>
  <c r="BC160" i="94"/>
  <c r="BO160" i="94"/>
  <c r="BN160" i="94"/>
  <c r="BJ160" i="94"/>
  <c r="BL160" i="94"/>
  <c r="BE160" i="94"/>
  <c r="BK160" i="94"/>
  <c r="BX160" i="94"/>
  <c r="BT160" i="94"/>
  <c r="BH160" i="94"/>
  <c r="BI160" i="94"/>
  <c r="BW160" i="94"/>
  <c r="BV160" i="94"/>
  <c r="BM160" i="94"/>
  <c r="BU160" i="94"/>
  <c r="BD160" i="94"/>
  <c r="BG160" i="94"/>
  <c r="BF160" i="94"/>
  <c r="BR160" i="94"/>
  <c r="BQ160" i="94"/>
  <c r="BP160" i="94"/>
  <c r="BS160" i="94"/>
  <c r="BD128" i="94"/>
  <c r="BS128" i="94"/>
  <c r="BF128" i="94"/>
  <c r="BE128" i="94"/>
  <c r="BC128" i="94"/>
  <c r="BG128" i="94"/>
  <c r="BK128" i="94"/>
  <c r="BR128" i="94"/>
  <c r="BT128" i="94"/>
  <c r="BO128" i="94"/>
  <c r="BJ128" i="94"/>
  <c r="BL128" i="94"/>
  <c r="BQ128" i="94"/>
  <c r="BX128" i="94"/>
  <c r="BW128" i="94"/>
  <c r="BP128" i="94"/>
  <c r="BM128" i="94"/>
  <c r="BV128" i="94"/>
  <c r="BH128" i="94"/>
  <c r="BU128" i="94"/>
  <c r="BN128" i="94"/>
  <c r="BI128" i="94"/>
  <c r="BR142" i="94"/>
  <c r="BL142" i="94"/>
  <c r="BK142" i="94"/>
  <c r="BP142" i="94"/>
  <c r="BG142" i="94"/>
  <c r="BF142" i="94"/>
  <c r="BV142" i="94"/>
  <c r="BT142" i="94"/>
  <c r="BC142" i="94"/>
  <c r="BQ142" i="94"/>
  <c r="BU142" i="94"/>
  <c r="BJ142" i="94"/>
  <c r="BX142" i="94"/>
  <c r="BW142" i="94"/>
  <c r="BE142" i="94"/>
  <c r="BM142" i="94"/>
  <c r="BH142" i="94"/>
  <c r="BI142" i="94"/>
  <c r="BO142" i="94"/>
  <c r="BD142" i="94"/>
  <c r="BN142" i="94"/>
  <c r="BS142" i="94"/>
  <c r="BU95" i="94"/>
  <c r="BD95" i="94"/>
  <c r="BL95" i="94"/>
  <c r="BM95" i="94"/>
  <c r="BX95" i="94"/>
  <c r="BS95" i="94"/>
  <c r="BH95" i="94"/>
  <c r="BG95" i="94"/>
  <c r="BR95" i="94"/>
  <c r="BI95" i="94"/>
  <c r="BP95" i="94"/>
  <c r="BJ95" i="94"/>
  <c r="BK95" i="94"/>
  <c r="BQ95" i="94"/>
  <c r="BW95" i="94"/>
  <c r="BT95" i="94"/>
  <c r="BV95" i="94"/>
  <c r="BO95" i="94"/>
  <c r="BE95" i="94"/>
  <c r="BN95" i="94"/>
  <c r="BF95" i="94"/>
  <c r="BC95" i="94"/>
  <c r="BX158" i="94"/>
  <c r="BU158" i="94"/>
  <c r="BJ158" i="94"/>
  <c r="BE158" i="94"/>
  <c r="BO158" i="94"/>
  <c r="BD158" i="94"/>
  <c r="BS158" i="94"/>
  <c r="BF158" i="94"/>
  <c r="BR158" i="94"/>
  <c r="BT158" i="94"/>
  <c r="BL158" i="94"/>
  <c r="BN158" i="94"/>
  <c r="BH158" i="94"/>
  <c r="BM158" i="94"/>
  <c r="BK158" i="94"/>
  <c r="BC158" i="94"/>
  <c r="BW158" i="94"/>
  <c r="BQ158" i="94"/>
  <c r="BP158" i="94"/>
  <c r="BG158" i="94"/>
  <c r="BI158" i="94"/>
  <c r="BV158" i="94"/>
  <c r="BT140" i="94"/>
  <c r="BN140" i="94"/>
  <c r="BR140" i="94"/>
  <c r="BX140" i="94"/>
  <c r="BQ140" i="94"/>
  <c r="BH140" i="94"/>
  <c r="BL140" i="94"/>
  <c r="BI140" i="94"/>
  <c r="BK140" i="94"/>
  <c r="BM140" i="94"/>
  <c r="BJ140" i="94"/>
  <c r="BG140" i="94"/>
  <c r="BV140" i="94"/>
  <c r="BC140" i="94"/>
  <c r="BF140" i="94"/>
  <c r="BD140" i="94"/>
  <c r="BU140" i="94"/>
  <c r="BS140" i="94"/>
  <c r="BP140" i="94"/>
  <c r="BW140" i="94"/>
  <c r="BE140" i="94"/>
  <c r="BO140" i="94"/>
  <c r="BT111" i="94"/>
  <c r="BP111" i="94"/>
  <c r="BE111" i="94"/>
  <c r="BO111" i="94"/>
  <c r="BN111" i="94"/>
  <c r="BC111" i="94"/>
  <c r="BI111" i="94"/>
  <c r="BH111" i="94"/>
  <c r="BV111" i="94"/>
  <c r="BF111" i="94"/>
  <c r="BS111" i="94"/>
  <c r="BD111" i="94"/>
  <c r="BL111" i="94"/>
  <c r="BJ111" i="94"/>
  <c r="BR111" i="94"/>
  <c r="BX111" i="94"/>
  <c r="BW111" i="94"/>
  <c r="BK111" i="94"/>
  <c r="BU111" i="94"/>
  <c r="BQ111" i="94"/>
  <c r="BG111" i="94"/>
  <c r="BM111" i="94"/>
  <c r="BE163" i="94"/>
  <c r="BH163" i="94"/>
  <c r="BP163" i="94"/>
  <c r="BC163" i="94"/>
  <c r="BN163" i="94"/>
  <c r="BS163" i="94"/>
  <c r="BF163" i="94"/>
  <c r="BD163" i="94"/>
  <c r="BM163" i="94"/>
  <c r="BR163" i="94"/>
  <c r="BT163" i="94"/>
  <c r="BO163" i="94"/>
  <c r="BL163" i="94"/>
  <c r="BK163" i="94"/>
  <c r="BQ163" i="94"/>
  <c r="BJ163" i="94"/>
  <c r="BX163" i="94"/>
  <c r="BV163" i="94"/>
  <c r="BG163" i="94"/>
  <c r="BI163" i="94"/>
  <c r="BU163" i="94"/>
  <c r="BW163" i="94"/>
  <c r="BO97" i="94"/>
  <c r="BX97" i="94"/>
  <c r="BM97" i="94"/>
  <c r="BH97" i="94"/>
  <c r="BC97" i="94"/>
  <c r="BW97" i="94"/>
  <c r="BU97" i="94"/>
  <c r="BK97" i="94"/>
  <c r="BJ97" i="94"/>
  <c r="BV97" i="94"/>
  <c r="BE97" i="94"/>
  <c r="BF97" i="94"/>
  <c r="BI97" i="94"/>
  <c r="BD97" i="94"/>
  <c r="BT97" i="94"/>
  <c r="BG97" i="94"/>
  <c r="BS97" i="94"/>
  <c r="BQ97" i="94"/>
  <c r="BR97" i="94"/>
  <c r="BN97" i="94"/>
  <c r="BP97" i="94"/>
  <c r="BL97" i="94"/>
  <c r="BH149" i="94"/>
  <c r="BF149" i="94"/>
  <c r="BC149" i="94"/>
  <c r="BE149" i="94"/>
  <c r="BW149" i="94"/>
  <c r="BO149" i="94"/>
  <c r="BG149" i="94"/>
  <c r="BU149" i="94"/>
  <c r="BV149" i="94"/>
  <c r="BT149" i="94"/>
  <c r="BQ149" i="94"/>
  <c r="BD149" i="94"/>
  <c r="BP149" i="94"/>
  <c r="BS149" i="94"/>
  <c r="BL149" i="94"/>
  <c r="BR149" i="94"/>
  <c r="BI149" i="94"/>
  <c r="BK149" i="94"/>
  <c r="BX149" i="94"/>
  <c r="BJ149" i="94"/>
  <c r="BM149" i="94"/>
  <c r="BN149" i="94"/>
  <c r="BW144" i="94"/>
  <c r="BT144" i="94"/>
  <c r="BV144" i="94"/>
  <c r="BD144" i="94"/>
  <c r="BR144" i="94"/>
  <c r="BO144" i="94"/>
  <c r="BC144" i="94"/>
  <c r="BS144" i="94"/>
  <c r="BP144" i="94"/>
  <c r="BN144" i="94"/>
  <c r="BK144" i="94"/>
  <c r="BQ144" i="94"/>
  <c r="BU144" i="94"/>
  <c r="BM144" i="94"/>
  <c r="BF144" i="94"/>
  <c r="BJ144" i="94"/>
  <c r="BG144" i="94"/>
  <c r="BL144" i="94"/>
  <c r="BH144" i="94"/>
  <c r="BI144" i="94"/>
  <c r="BX144" i="94"/>
  <c r="BE144" i="94"/>
  <c r="BC141" i="94"/>
  <c r="BN141" i="94"/>
  <c r="BG141" i="94"/>
  <c r="BL141" i="94"/>
  <c r="BE141" i="94"/>
  <c r="BT141" i="94"/>
  <c r="BO141" i="94"/>
  <c r="BK141" i="94"/>
  <c r="BJ141" i="94"/>
  <c r="BD141" i="94"/>
  <c r="BR141" i="94"/>
  <c r="BI141" i="94"/>
  <c r="BM141" i="94"/>
  <c r="BV141" i="94"/>
  <c r="BX141" i="94"/>
  <c r="BS141" i="94"/>
  <c r="BH141" i="94"/>
  <c r="BU141" i="94"/>
  <c r="BW141" i="94"/>
  <c r="BF141" i="94"/>
  <c r="BQ141" i="94"/>
  <c r="BP141" i="94"/>
  <c r="BC136" i="94"/>
  <c r="BL136" i="94"/>
  <c r="BU136" i="94"/>
  <c r="BP136" i="94"/>
  <c r="BG136" i="94"/>
  <c r="BH136" i="94"/>
  <c r="BE136" i="94"/>
  <c r="BV136" i="94"/>
  <c r="BT136" i="94"/>
  <c r="BF136" i="94"/>
  <c r="BD136" i="94"/>
  <c r="BO136" i="94"/>
  <c r="BS136" i="94"/>
  <c r="BJ136" i="94"/>
  <c r="BM136" i="94"/>
  <c r="BW136" i="94"/>
  <c r="BI136" i="94"/>
  <c r="BR136" i="94"/>
  <c r="BN136" i="94"/>
  <c r="BQ136" i="94"/>
  <c r="BX136" i="94"/>
  <c r="BK136" i="94"/>
  <c r="BL164" i="94"/>
  <c r="BQ164" i="94"/>
  <c r="BD164" i="94"/>
  <c r="BC164" i="94"/>
  <c r="BU164" i="94"/>
  <c r="BK164" i="94"/>
  <c r="BJ164" i="94"/>
  <c r="BX164" i="94"/>
  <c r="BH164" i="94"/>
  <c r="BV164" i="94"/>
  <c r="BF164" i="94"/>
  <c r="BN164" i="94"/>
  <c r="BP164" i="94"/>
  <c r="BR164" i="94"/>
  <c r="BS164" i="94"/>
  <c r="BI164" i="94"/>
  <c r="BW164" i="94"/>
  <c r="BG164" i="94"/>
  <c r="BM164" i="94"/>
  <c r="BO164" i="94"/>
  <c r="BE164" i="94"/>
  <c r="BT164" i="94"/>
  <c r="BU96" i="94"/>
  <c r="BT96" i="94"/>
  <c r="BO96" i="94"/>
  <c r="BS96" i="94"/>
  <c r="BP96" i="94"/>
  <c r="BK96" i="94"/>
  <c r="BI96" i="94"/>
  <c r="BC96" i="94"/>
  <c r="BX96" i="94"/>
  <c r="BF96" i="94"/>
  <c r="BN96" i="94"/>
  <c r="BH96" i="94"/>
  <c r="BW96" i="94"/>
  <c r="BG96" i="94"/>
  <c r="BV96" i="94"/>
  <c r="BM96" i="94"/>
  <c r="BL96" i="94"/>
  <c r="BE96" i="94"/>
  <c r="BD96" i="94"/>
  <c r="BR96" i="94"/>
  <c r="BJ96" i="94"/>
  <c r="BQ96" i="94"/>
  <c r="BT156" i="94"/>
  <c r="BL156" i="94"/>
  <c r="BU156" i="94"/>
  <c r="BN156" i="94"/>
  <c r="BD156" i="94"/>
  <c r="BS156" i="94"/>
  <c r="BO156" i="94"/>
  <c r="BM156" i="94"/>
  <c r="BI156" i="94"/>
  <c r="BQ156" i="94"/>
  <c r="BV156" i="94"/>
  <c r="BH156" i="94"/>
  <c r="BR156" i="94"/>
  <c r="BP156" i="94"/>
  <c r="BX156" i="94"/>
  <c r="BW156" i="94"/>
  <c r="BC156" i="94"/>
  <c r="BG156" i="94"/>
  <c r="BK156" i="94"/>
  <c r="BJ156" i="94"/>
  <c r="BF156" i="94"/>
  <c r="BE156" i="94"/>
  <c r="BC150" i="94"/>
  <c r="BS150" i="94"/>
  <c r="BG150" i="94"/>
  <c r="BQ150" i="94"/>
  <c r="BR150" i="94"/>
  <c r="BD150" i="94"/>
  <c r="BO150" i="94"/>
  <c r="BN150" i="94"/>
  <c r="BM150" i="94"/>
  <c r="BL150" i="94"/>
  <c r="BK150" i="94"/>
  <c r="BJ150" i="94"/>
  <c r="BU150" i="94"/>
  <c r="BX150" i="94"/>
  <c r="BI150" i="94"/>
  <c r="BW150" i="94"/>
  <c r="BE150" i="94"/>
  <c r="BV150" i="94"/>
  <c r="BH150" i="94"/>
  <c r="BP150" i="94"/>
  <c r="BF150" i="94"/>
  <c r="BT150" i="94"/>
  <c r="BJ162" i="94"/>
  <c r="BG162" i="94"/>
  <c r="BI162" i="94"/>
  <c r="BC162" i="94"/>
  <c r="BN162" i="94"/>
  <c r="BW162" i="94"/>
  <c r="BX162" i="94"/>
  <c r="BM162" i="94"/>
  <c r="BK162" i="94"/>
  <c r="BF162" i="94"/>
  <c r="BH162" i="94"/>
  <c r="BE162" i="94"/>
  <c r="BV162" i="94"/>
  <c r="BT162" i="94"/>
  <c r="BP162" i="94"/>
  <c r="BU162" i="94"/>
  <c r="BS162" i="94"/>
  <c r="BD162" i="94"/>
  <c r="BL162" i="94"/>
  <c r="BR162" i="94"/>
  <c r="BQ162" i="94"/>
  <c r="BO162" i="94"/>
  <c r="BU98" i="94"/>
  <c r="BO98" i="94"/>
  <c r="BX98" i="94"/>
  <c r="BJ98" i="94"/>
  <c r="BS98" i="94"/>
  <c r="BG98" i="94"/>
  <c r="BH98" i="94"/>
  <c r="BC98" i="94"/>
  <c r="BM98" i="94"/>
  <c r="BW98" i="94"/>
  <c r="BT98" i="94"/>
  <c r="BD98" i="94"/>
  <c r="BV98" i="94"/>
  <c r="BR98" i="94"/>
  <c r="BF98" i="94"/>
  <c r="BQ98" i="94"/>
  <c r="BE98" i="94"/>
  <c r="BP98" i="94"/>
  <c r="BL98" i="94"/>
  <c r="BN98" i="94"/>
  <c r="BI98" i="94"/>
  <c r="BK98" i="94"/>
  <c r="BG157" i="94"/>
  <c r="BK157" i="94"/>
  <c r="BD157" i="94"/>
  <c r="BS157" i="94"/>
  <c r="BU157" i="94"/>
  <c r="BF157" i="94"/>
  <c r="BR157" i="94"/>
  <c r="BE157" i="94"/>
  <c r="BC157" i="94"/>
  <c r="BP157" i="94"/>
  <c r="BJ157" i="94"/>
  <c r="BI157" i="94"/>
  <c r="BT157" i="94"/>
  <c r="BO157" i="94"/>
  <c r="BV157" i="94"/>
  <c r="BX157" i="94"/>
  <c r="BQ157" i="94"/>
  <c r="BN157" i="94"/>
  <c r="BH157" i="94"/>
  <c r="BM157" i="94"/>
  <c r="BW157" i="94"/>
  <c r="BL157" i="94"/>
  <c r="BS148" i="94"/>
  <c r="BX148" i="94"/>
  <c r="BR148" i="94"/>
  <c r="BH148" i="94"/>
  <c r="BK148" i="94"/>
  <c r="BW148" i="94"/>
  <c r="BQ148" i="94"/>
  <c r="BU148" i="94"/>
  <c r="BM148" i="94"/>
  <c r="BV148" i="94"/>
  <c r="BL148" i="94"/>
  <c r="BE148" i="94"/>
  <c r="BJ148" i="94"/>
  <c r="BI148" i="94"/>
  <c r="BP148" i="94"/>
  <c r="BG148" i="94"/>
  <c r="BT148" i="94"/>
  <c r="BF148" i="94"/>
  <c r="BO148" i="94"/>
  <c r="BC148" i="94"/>
  <c r="BD148" i="94"/>
  <c r="BN148" i="94"/>
  <c r="BV146" i="94"/>
  <c r="BN146" i="94"/>
  <c r="BX146" i="94"/>
  <c r="BM146" i="94"/>
  <c r="BH146" i="94"/>
  <c r="BL146" i="94"/>
  <c r="BW146" i="94"/>
  <c r="BC146" i="94"/>
  <c r="BF146" i="94"/>
  <c r="BK146" i="94"/>
  <c r="BU146" i="94"/>
  <c r="BS146" i="94"/>
  <c r="BQ146" i="94"/>
  <c r="BP146" i="94"/>
  <c r="BG146" i="94"/>
  <c r="BR146" i="94"/>
  <c r="BE146" i="94"/>
  <c r="BJ146" i="94"/>
  <c r="BD146" i="94"/>
  <c r="BT146" i="94"/>
  <c r="BI146" i="94"/>
  <c r="BO146" i="94"/>
  <c r="BP152" i="94"/>
  <c r="BC152" i="94"/>
  <c r="BF152" i="94"/>
  <c r="BG152" i="94"/>
  <c r="BE152" i="94"/>
  <c r="BM152" i="94"/>
  <c r="BS152" i="94"/>
  <c r="BL152" i="94"/>
  <c r="BJ152" i="94"/>
  <c r="BR152" i="94"/>
  <c r="BO152" i="94"/>
  <c r="BK152" i="94"/>
  <c r="BI152" i="94"/>
  <c r="BU152" i="94"/>
  <c r="BT152" i="94"/>
  <c r="BX152" i="94"/>
  <c r="BD152" i="94"/>
  <c r="BH152" i="94"/>
  <c r="BQ152" i="94"/>
  <c r="BW152" i="94"/>
  <c r="BV152" i="94"/>
  <c r="BN152" i="94"/>
  <c r="BE134" i="94"/>
  <c r="BU134" i="94"/>
  <c r="BD134" i="94"/>
  <c r="BC134" i="94"/>
  <c r="BO134" i="94"/>
  <c r="BX134" i="94"/>
  <c r="BW134" i="94"/>
  <c r="BT134" i="94"/>
  <c r="BF134" i="94"/>
  <c r="BJ134" i="94"/>
  <c r="BH134" i="94"/>
  <c r="BS134" i="94"/>
  <c r="BN134" i="94"/>
  <c r="BG134" i="94"/>
  <c r="BR134" i="94"/>
  <c r="BI134" i="94"/>
  <c r="BQ134" i="94"/>
  <c r="BP134" i="94"/>
  <c r="BM134" i="94"/>
  <c r="BL134" i="94"/>
  <c r="BK134" i="94"/>
  <c r="BV134" i="94"/>
  <c r="BM120" i="94"/>
  <c r="BF120" i="94"/>
  <c r="BU120" i="94"/>
  <c r="BC120" i="94"/>
  <c r="BS120" i="94"/>
  <c r="BP120" i="94"/>
  <c r="BO120" i="94"/>
  <c r="BX120" i="94"/>
  <c r="BV120" i="94"/>
  <c r="BJ120" i="94"/>
  <c r="BL120" i="94"/>
  <c r="BE120" i="94"/>
  <c r="BI120" i="94"/>
  <c r="BK120" i="94"/>
  <c r="BW120" i="94"/>
  <c r="BT120" i="94"/>
  <c r="BH120" i="94"/>
  <c r="BD120" i="94"/>
  <c r="BG120" i="94"/>
  <c r="BR120" i="94"/>
  <c r="BQ120" i="94"/>
  <c r="BN120" i="94"/>
  <c r="BV99" i="94"/>
  <c r="BM99" i="94"/>
  <c r="BE99" i="94"/>
  <c r="BL99" i="94"/>
  <c r="BD99" i="94"/>
  <c r="BQ99" i="94"/>
  <c r="BR99" i="94"/>
  <c r="BP99" i="94"/>
  <c r="BK99" i="94"/>
  <c r="BS99" i="94"/>
  <c r="BH99" i="94"/>
  <c r="BW99" i="94"/>
  <c r="BJ99" i="94"/>
  <c r="BC99" i="94"/>
  <c r="BG99" i="94"/>
  <c r="BN99" i="94"/>
  <c r="BF99" i="94"/>
  <c r="BX99" i="94"/>
  <c r="BI99" i="94"/>
  <c r="BU99" i="94"/>
  <c r="BT99" i="94"/>
  <c r="BO99" i="94"/>
  <c r="BH155" i="94"/>
  <c r="BW155" i="94"/>
  <c r="BN155" i="94"/>
  <c r="BV155" i="94"/>
  <c r="BS155" i="94"/>
  <c r="BF155" i="94"/>
  <c r="BL155" i="94"/>
  <c r="BR155" i="94"/>
  <c r="BP155" i="94"/>
  <c r="BE155" i="94"/>
  <c r="BG155" i="94"/>
  <c r="BQ155" i="94"/>
  <c r="BU155" i="94"/>
  <c r="BD155" i="94"/>
  <c r="BM155" i="94"/>
  <c r="BK155" i="94"/>
  <c r="BX155" i="94"/>
  <c r="BO155" i="94"/>
  <c r="BJ155" i="94"/>
  <c r="BI155" i="94"/>
  <c r="BC155" i="94"/>
  <c r="BT155" i="94"/>
  <c r="BK147" i="94"/>
  <c r="BJ147" i="94"/>
  <c r="BI147" i="94"/>
  <c r="BW147" i="94"/>
  <c r="BG147" i="94"/>
  <c r="BC147" i="94"/>
  <c r="BN147" i="94"/>
  <c r="BT147" i="94"/>
  <c r="BX147" i="94"/>
  <c r="BV147" i="94"/>
  <c r="BH147" i="94"/>
  <c r="BS147" i="94"/>
  <c r="BF147" i="94"/>
  <c r="BD147" i="94"/>
  <c r="BM147" i="94"/>
  <c r="BR147" i="94"/>
  <c r="BU147" i="94"/>
  <c r="BQ147" i="94"/>
  <c r="BE147" i="94"/>
  <c r="BP147" i="94"/>
  <c r="BO147" i="94"/>
  <c r="BL147" i="94"/>
  <c r="BQ151" i="94"/>
  <c r="BG151" i="94"/>
  <c r="BO151" i="94"/>
  <c r="BN151" i="94"/>
  <c r="BS151" i="94"/>
  <c r="BE151" i="94"/>
  <c r="BM151" i="94"/>
  <c r="BP151" i="94"/>
  <c r="BC151" i="94"/>
  <c r="BH151" i="94"/>
  <c r="BL151" i="94"/>
  <c r="BV151" i="94"/>
  <c r="BK151" i="94"/>
  <c r="BT151" i="94"/>
  <c r="BJ151" i="94"/>
  <c r="BD151" i="94"/>
  <c r="BF151" i="94"/>
  <c r="BX151" i="94"/>
  <c r="BR151" i="94"/>
  <c r="BW151" i="94"/>
  <c r="BU151" i="94"/>
  <c r="BI151" i="94"/>
  <c r="BX133" i="94"/>
  <c r="BR133" i="94"/>
  <c r="BL133" i="94"/>
  <c r="BU133" i="94"/>
  <c r="BW133" i="94"/>
  <c r="BD133" i="94"/>
  <c r="BI133" i="94"/>
  <c r="BP133" i="94"/>
  <c r="BN133" i="94"/>
  <c r="BK133" i="94"/>
  <c r="BG133" i="94"/>
  <c r="BM133" i="94"/>
  <c r="BV133" i="94"/>
  <c r="BC133" i="94"/>
  <c r="BF133" i="94"/>
  <c r="BH133" i="94"/>
  <c r="BE133" i="94"/>
  <c r="BT133" i="94"/>
  <c r="BS133" i="94"/>
  <c r="BQ133" i="94"/>
  <c r="BO133" i="94"/>
  <c r="BJ133" i="94"/>
  <c r="BF119" i="94"/>
  <c r="BQ119" i="94"/>
  <c r="BT119" i="94"/>
  <c r="BN119" i="94"/>
  <c r="BI119" i="94"/>
  <c r="BX119" i="94"/>
  <c r="BC119" i="94"/>
  <c r="BG119" i="94"/>
  <c r="BP119" i="94"/>
  <c r="BH119" i="94"/>
  <c r="BL119" i="94"/>
  <c r="BW119" i="94"/>
  <c r="BR119" i="94"/>
  <c r="BV119" i="94"/>
  <c r="BU119" i="94"/>
  <c r="BO119" i="94"/>
  <c r="BE119" i="94"/>
  <c r="BM119" i="94"/>
  <c r="BD119" i="94"/>
  <c r="BK119" i="94"/>
  <c r="BS119" i="94"/>
  <c r="BJ119" i="94"/>
  <c r="BE100" i="94"/>
  <c r="BI100" i="94"/>
  <c r="BC153" i="94"/>
  <c r="BK153" i="94"/>
  <c r="BE153" i="94"/>
  <c r="BV153" i="94"/>
  <c r="BT153" i="94"/>
  <c r="BW153" i="94"/>
  <c r="BP153" i="94"/>
  <c r="BI153" i="94"/>
  <c r="BR153" i="94"/>
  <c r="BD153" i="94"/>
  <c r="BO153" i="94"/>
  <c r="BS153" i="94"/>
  <c r="BN153" i="94"/>
  <c r="BJ153" i="94"/>
  <c r="BX153" i="94"/>
  <c r="BG153" i="94"/>
  <c r="BM153" i="94"/>
  <c r="BU153" i="94"/>
  <c r="BH153" i="94"/>
  <c r="BQ153" i="94"/>
  <c r="BF153" i="94"/>
  <c r="BL153" i="94"/>
  <c r="BK122" i="94"/>
  <c r="BJ122" i="94"/>
  <c r="BO122" i="94"/>
  <c r="BC122" i="94"/>
  <c r="BL122" i="94"/>
  <c r="BM122" i="94"/>
  <c r="BP122" i="94"/>
  <c r="BW122" i="94"/>
  <c r="BI122" i="94"/>
  <c r="BT122" i="94"/>
  <c r="BG122" i="94"/>
  <c r="BU122" i="94"/>
  <c r="BV122" i="94"/>
  <c r="BD122" i="94"/>
  <c r="BH122" i="94"/>
  <c r="BE122" i="94"/>
  <c r="BS122" i="94"/>
  <c r="BN122" i="94"/>
  <c r="BR122" i="94"/>
  <c r="BX122" i="94"/>
  <c r="BQ122" i="94"/>
  <c r="BF122" i="94"/>
  <c r="BF123" i="94"/>
  <c r="BC123" i="94"/>
  <c r="BE123" i="94"/>
  <c r="BV123" i="94"/>
  <c r="BT123" i="94"/>
  <c r="BM123" i="94"/>
  <c r="BD123" i="94"/>
  <c r="BR123" i="94"/>
  <c r="BX123" i="94"/>
  <c r="BU123" i="94"/>
  <c r="BH123" i="94"/>
  <c r="BQ123" i="94"/>
  <c r="BS123" i="94"/>
  <c r="BO123" i="94"/>
  <c r="BP123" i="94"/>
  <c r="BN123" i="94"/>
  <c r="BI123" i="94"/>
  <c r="BW123" i="94"/>
  <c r="BL123" i="94"/>
  <c r="BK123" i="94"/>
  <c r="BG123" i="94"/>
  <c r="BJ123" i="94"/>
  <c r="BQ102" i="94"/>
  <c r="BE102" i="94"/>
  <c r="BL102" i="94"/>
  <c r="BN102" i="94"/>
  <c r="BP102" i="94"/>
  <c r="BS102" i="94"/>
  <c r="BW102" i="94"/>
  <c r="BM102" i="94"/>
  <c r="BK102" i="94"/>
  <c r="BR102" i="94"/>
  <c r="BO102" i="94"/>
  <c r="BC102" i="94"/>
  <c r="BU102" i="94"/>
  <c r="BJ102" i="94"/>
  <c r="BT102" i="94"/>
  <c r="BI102" i="94"/>
  <c r="BH102" i="94"/>
  <c r="BG102" i="94"/>
  <c r="BX102" i="94"/>
  <c r="BV102" i="94"/>
  <c r="BD102" i="94"/>
  <c r="BF102" i="94"/>
  <c r="BQ121" i="94"/>
  <c r="BU121" i="94"/>
  <c r="BW121" i="94"/>
  <c r="BE121" i="94"/>
  <c r="BF121" i="94"/>
  <c r="BT121" i="94"/>
  <c r="BG121" i="94"/>
  <c r="BO121" i="94"/>
  <c r="BV121" i="94"/>
  <c r="BN121" i="94"/>
  <c r="BC121" i="94"/>
  <c r="BP121" i="94"/>
  <c r="BS121" i="94"/>
  <c r="BD121" i="94"/>
  <c r="BR121" i="94"/>
  <c r="BM121" i="94"/>
  <c r="BK121" i="94"/>
  <c r="BL121" i="94"/>
  <c r="BX121" i="94"/>
  <c r="BJ121" i="94"/>
  <c r="BH121" i="94"/>
  <c r="BI121" i="94"/>
  <c r="BI124" i="94"/>
  <c r="BM124" i="94"/>
  <c r="BX124" i="94"/>
  <c r="BR124" i="94"/>
  <c r="BF124" i="94"/>
  <c r="BS124" i="94"/>
  <c r="BW124" i="94"/>
  <c r="BG124" i="94"/>
  <c r="BU124" i="94"/>
  <c r="BN124" i="94"/>
  <c r="BV124" i="94"/>
  <c r="BQ124" i="94"/>
  <c r="BK124" i="94"/>
  <c r="BE124" i="94"/>
  <c r="BL124" i="94"/>
  <c r="BP124" i="94"/>
  <c r="BH124" i="94"/>
  <c r="BD124" i="94"/>
  <c r="BO124" i="94"/>
  <c r="BC124" i="94"/>
  <c r="BJ124" i="94"/>
  <c r="BT124" i="94"/>
  <c r="BJ103" i="94"/>
  <c r="BF103" i="94"/>
  <c r="BX103" i="94"/>
  <c r="BO103" i="94"/>
  <c r="BM103" i="94"/>
  <c r="BI103" i="94"/>
  <c r="BH103" i="94"/>
  <c r="BP103" i="94"/>
  <c r="BL103" i="94"/>
  <c r="BN103" i="94"/>
  <c r="BW103" i="94"/>
  <c r="BK103" i="94"/>
  <c r="BE103" i="94"/>
  <c r="BG103" i="94"/>
  <c r="BT103" i="94"/>
  <c r="BV103" i="94"/>
  <c r="BD103" i="94"/>
  <c r="BS103" i="94"/>
  <c r="BQ103" i="94"/>
  <c r="BC103" i="94"/>
  <c r="BR103" i="94"/>
  <c r="BU103" i="94"/>
  <c r="BM132" i="94"/>
  <c r="BO132" i="94"/>
  <c r="BX132" i="94"/>
  <c r="BC132" i="94"/>
  <c r="BK132" i="94"/>
  <c r="BL132" i="94"/>
  <c r="BH132" i="94"/>
  <c r="BD132" i="94"/>
  <c r="BW132" i="94"/>
  <c r="BU132" i="94"/>
  <c r="BG132" i="94"/>
  <c r="BT132" i="94"/>
  <c r="BF132" i="94"/>
  <c r="BQ132" i="94"/>
  <c r="BP132" i="94"/>
  <c r="BJ132" i="94"/>
  <c r="BR132" i="94"/>
  <c r="BI132" i="94"/>
  <c r="BV132" i="94"/>
  <c r="BS132" i="94"/>
  <c r="BE132" i="94"/>
  <c r="BN132" i="94"/>
  <c r="BH105" i="94"/>
  <c r="BM105" i="94"/>
  <c r="BI105" i="94"/>
  <c r="BG105" i="94"/>
  <c r="BW105" i="94"/>
  <c r="BR105" i="94"/>
  <c r="BV105" i="94"/>
  <c r="BF105" i="94"/>
  <c r="BQ105" i="94"/>
  <c r="BU105" i="94"/>
  <c r="BD105" i="94"/>
  <c r="BE105" i="94"/>
  <c r="BK105" i="94"/>
  <c r="BN105" i="94"/>
  <c r="BC105" i="94"/>
  <c r="BS105" i="94"/>
  <c r="BL105" i="94"/>
  <c r="BP105" i="94"/>
  <c r="BJ105" i="94"/>
  <c r="BT105" i="94"/>
  <c r="BX105" i="94"/>
  <c r="BO105" i="94"/>
  <c r="BX125" i="94"/>
  <c r="BS125" i="94"/>
  <c r="BF125" i="94"/>
  <c r="BM125" i="94"/>
  <c r="BL125" i="94"/>
  <c r="BE125" i="94"/>
  <c r="BC125" i="94"/>
  <c r="BD125" i="94"/>
  <c r="BQ125" i="94"/>
  <c r="BJ125" i="94"/>
  <c r="BK125" i="94"/>
  <c r="BV125" i="94"/>
  <c r="BP125" i="94"/>
  <c r="BR125" i="94"/>
  <c r="BO125" i="94"/>
  <c r="BU125" i="94"/>
  <c r="BI125" i="94"/>
  <c r="BN125" i="94"/>
  <c r="BH125" i="94"/>
  <c r="BW125" i="94"/>
  <c r="BG125" i="94"/>
  <c r="BT125" i="94"/>
  <c r="BR104" i="94"/>
  <c r="BC104" i="94"/>
  <c r="BQ104" i="94"/>
  <c r="BO104" i="94"/>
  <c r="BP104" i="94"/>
  <c r="BS104" i="94"/>
  <c r="BM104" i="94"/>
  <c r="BL104" i="94"/>
  <c r="BK104" i="94"/>
  <c r="BN104" i="94"/>
  <c r="BI104" i="94"/>
  <c r="BG104" i="94"/>
  <c r="BX104" i="94"/>
  <c r="BW104" i="94"/>
  <c r="BE104" i="94"/>
  <c r="BV104" i="94"/>
  <c r="BH104" i="94"/>
  <c r="BF104" i="94"/>
  <c r="BT104" i="94"/>
  <c r="BU104" i="94"/>
  <c r="BD104" i="94"/>
  <c r="BJ104" i="94"/>
  <c r="BW130" i="94"/>
  <c r="BE130" i="94"/>
  <c r="BQ130" i="94"/>
  <c r="BR130" i="94"/>
  <c r="BG130" i="94"/>
  <c r="BP130" i="94"/>
  <c r="BK130" i="94"/>
  <c r="BI130" i="94"/>
  <c r="BO130" i="94"/>
  <c r="BN130" i="94"/>
  <c r="BM130" i="94"/>
  <c r="BJ130" i="94"/>
  <c r="BX130" i="94"/>
  <c r="BD130" i="94"/>
  <c r="BL130" i="94"/>
  <c r="BH130" i="94"/>
  <c r="BV130" i="94"/>
  <c r="BU130" i="94"/>
  <c r="BF130" i="94"/>
  <c r="BT130" i="94"/>
  <c r="BC130" i="94"/>
  <c r="BS130" i="94"/>
  <c r="BR108" i="94"/>
  <c r="BX108" i="94"/>
  <c r="BH108" i="94"/>
  <c r="BG108" i="94"/>
  <c r="BV108" i="94"/>
  <c r="BE108" i="94"/>
  <c r="BO108" i="94"/>
  <c r="BS108" i="94"/>
  <c r="BP108" i="94"/>
  <c r="BT108" i="94"/>
  <c r="BC108" i="94"/>
  <c r="BK108" i="94"/>
  <c r="BF108" i="94"/>
  <c r="BW108" i="94"/>
  <c r="BL108" i="94"/>
  <c r="BM108" i="94"/>
  <c r="BU108" i="94"/>
  <c r="BQ108" i="94"/>
  <c r="BJ108" i="94"/>
  <c r="BN108" i="94"/>
  <c r="BD108" i="94"/>
  <c r="BI108" i="94"/>
  <c r="BP101" i="94"/>
  <c r="BM101" i="94"/>
  <c r="BL101" i="94"/>
  <c r="BE101" i="94"/>
  <c r="BU101" i="94"/>
  <c r="BW101" i="94"/>
  <c r="BN101" i="94"/>
  <c r="BF101" i="94"/>
  <c r="BV101" i="94"/>
  <c r="BO101" i="94"/>
  <c r="BI101" i="94"/>
  <c r="BK101" i="94"/>
  <c r="BG101" i="94"/>
  <c r="BJ101" i="94"/>
  <c r="BH101" i="94"/>
  <c r="BT101" i="94"/>
  <c r="BS101" i="94"/>
  <c r="BX101" i="94"/>
  <c r="BR101" i="94"/>
  <c r="BD101" i="94"/>
  <c r="BC101" i="94"/>
  <c r="BQ101" i="94"/>
  <c r="AG75" i="94"/>
  <c r="AQ75" i="94"/>
  <c r="BA75" i="94"/>
  <c r="AP75" i="94"/>
  <c r="BB75" i="94"/>
  <c r="AL75" i="94"/>
  <c r="AZ75" i="94"/>
  <c r="AK75" i="94"/>
  <c r="AY75" i="94"/>
  <c r="AJ75" i="94"/>
  <c r="AX75" i="94"/>
  <c r="AI75" i="94"/>
  <c r="AW75" i="94"/>
  <c r="AH75" i="94"/>
  <c r="AV75" i="94"/>
  <c r="AO75" i="94"/>
  <c r="AU75" i="94"/>
  <c r="AR75" i="94"/>
  <c r="AN75" i="94"/>
  <c r="AT75" i="94"/>
  <c r="AM75" i="94"/>
  <c r="AS75" i="94"/>
  <c r="AL71" i="94"/>
  <c r="AX71" i="94"/>
  <c r="AH71" i="94"/>
  <c r="AW71" i="94"/>
  <c r="AQ71" i="94"/>
  <c r="AI71" i="94"/>
  <c r="AP71" i="94"/>
  <c r="AV71" i="94"/>
  <c r="AO71" i="94"/>
  <c r="AU71" i="94"/>
  <c r="AN71" i="94"/>
  <c r="AT71" i="94"/>
  <c r="AM71" i="94"/>
  <c r="AR71" i="94"/>
  <c r="BB71" i="94"/>
  <c r="AS71" i="94"/>
  <c r="AG71" i="94"/>
  <c r="AY71" i="94"/>
  <c r="BA71" i="94"/>
  <c r="AK71" i="94"/>
  <c r="AZ71" i="94"/>
  <c r="AJ71" i="94"/>
  <c r="AN73" i="94"/>
  <c r="AM73" i="94"/>
  <c r="BB73" i="94"/>
  <c r="AG73" i="94"/>
  <c r="BA73" i="94"/>
  <c r="AL73" i="94"/>
  <c r="AW73" i="94"/>
  <c r="AZ73" i="94"/>
  <c r="AH73" i="94"/>
  <c r="AK73" i="94"/>
  <c r="AV73" i="94"/>
  <c r="AX73" i="94"/>
  <c r="AU73" i="94"/>
  <c r="AJ73" i="94"/>
  <c r="AO73" i="94"/>
  <c r="AT73" i="94"/>
  <c r="AI73" i="94"/>
  <c r="AS73" i="94"/>
  <c r="AY73" i="94"/>
  <c r="AR73" i="94"/>
  <c r="AQ73" i="94"/>
  <c r="AP73" i="94"/>
  <c r="AZ82" i="94"/>
  <c r="AR82" i="94"/>
  <c r="AU82" i="94"/>
  <c r="AY82" i="94"/>
  <c r="AX82" i="94"/>
  <c r="AQ82" i="94"/>
  <c r="AG82" i="94"/>
  <c r="AP82" i="94"/>
  <c r="AN82" i="94"/>
  <c r="AM82" i="94"/>
  <c r="BA82" i="94"/>
  <c r="BB82" i="94"/>
  <c r="AL82" i="94"/>
  <c r="AS82" i="94"/>
  <c r="AK82" i="94"/>
  <c r="AT82" i="94"/>
  <c r="AJ82" i="94"/>
  <c r="AV82" i="94"/>
  <c r="AI82" i="94"/>
  <c r="AW82" i="94"/>
  <c r="AH82" i="94"/>
  <c r="AO82" i="94"/>
  <c r="AW81" i="94"/>
  <c r="AG81" i="94"/>
  <c r="AV81" i="94"/>
  <c r="AU81" i="94"/>
  <c r="AH81" i="94"/>
  <c r="AT81" i="94"/>
  <c r="AS81" i="94"/>
  <c r="AR81" i="94"/>
  <c r="AQ81" i="94"/>
  <c r="BA81" i="94"/>
  <c r="AP81" i="94"/>
  <c r="AK81" i="94"/>
  <c r="AO81" i="94"/>
  <c r="AZ81" i="94"/>
  <c r="AN81" i="94"/>
  <c r="AJ81" i="94"/>
  <c r="BB81" i="94"/>
  <c r="AY81" i="94"/>
  <c r="AM81" i="94"/>
  <c r="AI81" i="94"/>
  <c r="AL81" i="94"/>
  <c r="AX81" i="94"/>
  <c r="BB80" i="94"/>
  <c r="AL80" i="94"/>
  <c r="BA80" i="94"/>
  <c r="AK80" i="94"/>
  <c r="AW80" i="94"/>
  <c r="AZ80" i="94"/>
  <c r="AG80" i="94"/>
  <c r="AJ80" i="94"/>
  <c r="AV80" i="94"/>
  <c r="AY80" i="94"/>
  <c r="AU80" i="94"/>
  <c r="AX80" i="94"/>
  <c r="AT80" i="94"/>
  <c r="AI80" i="94"/>
  <c r="AS80" i="94"/>
  <c r="AH80" i="94"/>
  <c r="AM80" i="94"/>
  <c r="AR80" i="94"/>
  <c r="AQ80" i="94"/>
  <c r="AP80" i="94"/>
  <c r="AO80" i="94"/>
  <c r="AN80" i="94"/>
  <c r="AO79" i="94"/>
  <c r="AU79" i="94"/>
  <c r="AN79" i="94"/>
  <c r="AT79" i="94"/>
  <c r="AM79" i="94"/>
  <c r="AS79" i="94"/>
  <c r="BB79" i="94"/>
  <c r="AR79" i="94"/>
  <c r="AL79" i="94"/>
  <c r="AQ79" i="94"/>
  <c r="BA79" i="94"/>
  <c r="AP79" i="94"/>
  <c r="AK79" i="94"/>
  <c r="AZ79" i="94"/>
  <c r="AJ79" i="94"/>
  <c r="AY79" i="94"/>
  <c r="AI79" i="94"/>
  <c r="AX79" i="94"/>
  <c r="AV79" i="94"/>
  <c r="AH79" i="94"/>
  <c r="AW79" i="94"/>
  <c r="AG79" i="94"/>
  <c r="AG72" i="94"/>
  <c r="AP72" i="94"/>
  <c r="BA72" i="94"/>
  <c r="AQ72" i="94"/>
  <c r="AL72" i="94"/>
  <c r="AZ72" i="94"/>
  <c r="AK72" i="94"/>
  <c r="AY72" i="94"/>
  <c r="AJ72" i="94"/>
  <c r="AX72" i="94"/>
  <c r="AI72" i="94"/>
  <c r="AW72" i="94"/>
  <c r="AH72" i="94"/>
  <c r="AR72" i="94"/>
  <c r="AV72" i="94"/>
  <c r="BB72" i="94"/>
  <c r="AO72" i="94"/>
  <c r="AU72" i="94"/>
  <c r="AN72" i="94"/>
  <c r="AT72" i="94"/>
  <c r="AM72" i="94"/>
  <c r="AS72" i="94"/>
  <c r="AM83" i="94"/>
  <c r="BB83" i="94"/>
  <c r="AL83" i="94"/>
  <c r="BA83" i="94"/>
  <c r="AK83" i="94"/>
  <c r="AZ83" i="94"/>
  <c r="AT83" i="94"/>
  <c r="AJ83" i="94"/>
  <c r="AY83" i="94"/>
  <c r="AI83" i="94"/>
  <c r="AX83" i="94"/>
  <c r="AS83" i="94"/>
  <c r="AH83" i="94"/>
  <c r="AN83" i="94"/>
  <c r="AR83" i="94"/>
  <c r="AW83" i="94"/>
  <c r="AQ83" i="94"/>
  <c r="AG83" i="94"/>
  <c r="AP83" i="94"/>
  <c r="AV83" i="94"/>
  <c r="AO83" i="94"/>
  <c r="AU83" i="94"/>
  <c r="AT70" i="94"/>
  <c r="AS70" i="94"/>
  <c r="AR70" i="94"/>
  <c r="AQ70" i="94"/>
  <c r="AU70" i="94"/>
  <c r="AP70" i="94"/>
  <c r="AO70" i="94"/>
  <c r="AN70" i="94"/>
  <c r="AM70" i="94"/>
  <c r="AY70" i="94"/>
  <c r="BB70" i="94"/>
  <c r="AI70" i="94"/>
  <c r="AL70" i="94"/>
  <c r="AX70" i="94"/>
  <c r="BA70" i="94"/>
  <c r="AH70" i="94"/>
  <c r="AZ70" i="94"/>
  <c r="AW70" i="94"/>
  <c r="AK70" i="94"/>
  <c r="AG70" i="94"/>
  <c r="AJ70" i="94"/>
  <c r="AV70" i="94"/>
  <c r="AJ78" i="94"/>
  <c r="AY78" i="94"/>
  <c r="AU78" i="94"/>
  <c r="AI78" i="94"/>
  <c r="AT78" i="94"/>
  <c r="AX78" i="94"/>
  <c r="AS78" i="94"/>
  <c r="AH78" i="94"/>
  <c r="AR78" i="94"/>
  <c r="AW78" i="94"/>
  <c r="AQ78" i="94"/>
  <c r="AG78" i="94"/>
  <c r="AP78" i="94"/>
  <c r="AV78" i="94"/>
  <c r="AO78" i="94"/>
  <c r="AN78" i="94"/>
  <c r="AM78" i="94"/>
  <c r="BB78" i="94"/>
  <c r="AZ78" i="94"/>
  <c r="AL78" i="94"/>
  <c r="BA78" i="94"/>
  <c r="AK78" i="94"/>
  <c r="AH86" i="94"/>
  <c r="AX86" i="94"/>
  <c r="AW86" i="94"/>
  <c r="AQ86" i="94"/>
  <c r="AG86" i="94"/>
  <c r="AP86" i="94"/>
  <c r="AV86" i="94"/>
  <c r="AO86" i="94"/>
  <c r="AU86" i="94"/>
  <c r="AN86" i="94"/>
  <c r="AT86" i="94"/>
  <c r="AM86" i="94"/>
  <c r="AS86" i="94"/>
  <c r="BB86" i="94"/>
  <c r="AR86" i="94"/>
  <c r="AL86" i="94"/>
  <c r="BA86" i="94"/>
  <c r="AK86" i="94"/>
  <c r="AZ86" i="94"/>
  <c r="AJ86" i="94"/>
  <c r="AY86" i="94"/>
  <c r="AI86" i="94"/>
  <c r="AY74" i="94"/>
  <c r="BB74" i="94"/>
  <c r="AJ74" i="94"/>
  <c r="AG74" i="94"/>
  <c r="AX74" i="94"/>
  <c r="AL74" i="94"/>
  <c r="AI74" i="94"/>
  <c r="BA74" i="94"/>
  <c r="AW74" i="94"/>
  <c r="AZ74" i="94"/>
  <c r="AH74" i="94"/>
  <c r="AK74" i="94"/>
  <c r="AV74" i="94"/>
  <c r="AU74" i="94"/>
  <c r="AT74" i="94"/>
  <c r="AS74" i="94"/>
  <c r="AR74" i="94"/>
  <c r="AQ74" i="94"/>
  <c r="AM74" i="94"/>
  <c r="AP74" i="94"/>
  <c r="AO74" i="94"/>
  <c r="AN74" i="94"/>
  <c r="AU85" i="94"/>
  <c r="AV85" i="94"/>
  <c r="AT85" i="94"/>
  <c r="AM85" i="94"/>
  <c r="AS85" i="94"/>
  <c r="BB85" i="94"/>
  <c r="AR85" i="94"/>
  <c r="AL85" i="94"/>
  <c r="AQ85" i="94"/>
  <c r="BA85" i="94"/>
  <c r="AP85" i="94"/>
  <c r="AK85" i="94"/>
  <c r="AN85" i="94"/>
  <c r="AZ85" i="94"/>
  <c r="AO85" i="94"/>
  <c r="AJ85" i="94"/>
  <c r="AY85" i="94"/>
  <c r="AI85" i="94"/>
  <c r="AX85" i="94"/>
  <c r="AH85" i="94"/>
  <c r="AW85" i="94"/>
  <c r="AG85" i="94"/>
  <c r="AZ76" i="94"/>
  <c r="AN76" i="94"/>
  <c r="AK76" i="94"/>
  <c r="BB76" i="94"/>
  <c r="AY76" i="94"/>
  <c r="AM76" i="94"/>
  <c r="AJ76" i="94"/>
  <c r="AG76" i="94"/>
  <c r="AX76" i="94"/>
  <c r="AI76" i="94"/>
  <c r="AW76" i="94"/>
  <c r="AH76" i="94"/>
  <c r="AV76" i="94"/>
  <c r="AU76" i="94"/>
  <c r="AT76" i="94"/>
  <c r="AS76" i="94"/>
  <c r="AL76" i="94"/>
  <c r="AR76" i="94"/>
  <c r="AQ76" i="94"/>
  <c r="BA76" i="94"/>
  <c r="AP76" i="94"/>
  <c r="AO76" i="94"/>
  <c r="AL60" i="94"/>
  <c r="AZ60" i="94"/>
  <c r="AK60" i="94"/>
  <c r="AY60" i="94"/>
  <c r="AJ60" i="94"/>
  <c r="AX60" i="94"/>
  <c r="AI60" i="94"/>
  <c r="AW60" i="94"/>
  <c r="AQ60" i="94"/>
  <c r="AH60" i="94"/>
  <c r="AP60" i="94"/>
  <c r="AV60" i="94"/>
  <c r="AO60" i="94"/>
  <c r="AU60" i="94"/>
  <c r="AN60" i="94"/>
  <c r="AT60" i="94"/>
  <c r="AG60" i="94"/>
  <c r="AR60" i="94"/>
  <c r="BB60" i="94"/>
  <c r="AS60" i="94"/>
  <c r="AM60" i="94"/>
  <c r="BA60" i="94"/>
  <c r="AM33" i="94"/>
  <c r="AS33" i="94"/>
  <c r="BB33" i="94"/>
  <c r="AR33" i="94"/>
  <c r="AL33" i="94"/>
  <c r="AP33" i="94"/>
  <c r="BA33" i="94"/>
  <c r="AQ33" i="94"/>
  <c r="AK33" i="94"/>
  <c r="AZ33" i="94"/>
  <c r="AJ33" i="94"/>
  <c r="AY33" i="94"/>
  <c r="AI33" i="94"/>
  <c r="AX33" i="94"/>
  <c r="AH33" i="94"/>
  <c r="AW33" i="94"/>
  <c r="AG33" i="94"/>
  <c r="AV33" i="94"/>
  <c r="AO33" i="94"/>
  <c r="AU33" i="94"/>
  <c r="AN33" i="94"/>
  <c r="AT33" i="94"/>
  <c r="AV18" i="94"/>
  <c r="AU18" i="94"/>
  <c r="AY18" i="94"/>
  <c r="AX18" i="94"/>
  <c r="AQ18" i="94"/>
  <c r="AP18" i="94"/>
  <c r="AM18" i="94"/>
  <c r="BB18" i="94"/>
  <c r="AG18" i="94"/>
  <c r="AT18" i="94"/>
  <c r="AL18" i="94"/>
  <c r="AW18" i="94"/>
  <c r="AK18" i="94"/>
  <c r="AN18" i="94"/>
  <c r="AO18" i="94"/>
  <c r="AJ18" i="94"/>
  <c r="AZ18" i="94"/>
  <c r="AI18" i="94"/>
  <c r="BA18" i="94"/>
  <c r="AH18" i="94"/>
  <c r="AR18" i="94"/>
  <c r="AS18" i="94"/>
  <c r="AR9" i="94"/>
  <c r="AW9" i="94"/>
  <c r="AQ9" i="94"/>
  <c r="AV9" i="94"/>
  <c r="AP9" i="94"/>
  <c r="AH9" i="94"/>
  <c r="AO9" i="94"/>
  <c r="AS9" i="94"/>
  <c r="AN9" i="94"/>
  <c r="AG9" i="94"/>
  <c r="BB9" i="94"/>
  <c r="AM9" i="94"/>
  <c r="BA9" i="94"/>
  <c r="AL9" i="94"/>
  <c r="AZ9" i="94"/>
  <c r="AK9" i="94"/>
  <c r="AI9" i="94"/>
  <c r="AY9" i="94"/>
  <c r="AU9" i="94"/>
  <c r="AJ9" i="94"/>
  <c r="AT9" i="94"/>
  <c r="AX9" i="94"/>
  <c r="BB26" i="94"/>
  <c r="AM26" i="94"/>
  <c r="BA26" i="94"/>
  <c r="AL26" i="94"/>
  <c r="AZ26" i="94"/>
  <c r="AK26" i="94"/>
  <c r="AY26" i="94"/>
  <c r="AG26" i="94"/>
  <c r="AJ26" i="94"/>
  <c r="AX26" i="94"/>
  <c r="AS26" i="94"/>
  <c r="AI26" i="94"/>
  <c r="AR26" i="94"/>
  <c r="AW26" i="94"/>
  <c r="AQ26" i="94"/>
  <c r="AH26" i="94"/>
  <c r="AP26" i="94"/>
  <c r="AV26" i="94"/>
  <c r="AO26" i="94"/>
  <c r="AU26" i="94"/>
  <c r="AN26" i="94"/>
  <c r="AT26" i="94"/>
  <c r="BA69" i="94"/>
  <c r="AK69" i="94"/>
  <c r="AW69" i="94"/>
  <c r="AZ69" i="94"/>
  <c r="AG69" i="94"/>
  <c r="AJ69" i="94"/>
  <c r="AU69" i="94"/>
  <c r="AY69" i="94"/>
  <c r="AT69" i="94"/>
  <c r="AX69" i="94"/>
  <c r="AS69" i="94"/>
  <c r="AI69" i="94"/>
  <c r="AR69" i="94"/>
  <c r="AQ69" i="94"/>
  <c r="AP69" i="94"/>
  <c r="AO69" i="94"/>
  <c r="AN69" i="94"/>
  <c r="AM69" i="94"/>
  <c r="BB69" i="94"/>
  <c r="AV69" i="94"/>
  <c r="AL69" i="94"/>
  <c r="AH69" i="94"/>
  <c r="AY10" i="94"/>
  <c r="AU10" i="94"/>
  <c r="AJ10" i="94"/>
  <c r="AT10" i="94"/>
  <c r="AX10" i="94"/>
  <c r="AS10" i="94"/>
  <c r="AI10" i="94"/>
  <c r="AR10" i="94"/>
  <c r="AH10" i="94"/>
  <c r="AQ10" i="94"/>
  <c r="AW10" i="94"/>
  <c r="AP10" i="94"/>
  <c r="AV10" i="94"/>
  <c r="AO10" i="94"/>
  <c r="AN10" i="94"/>
  <c r="AG10" i="94"/>
  <c r="AK10" i="94"/>
  <c r="BB10" i="94"/>
  <c r="AM10" i="94"/>
  <c r="BA10" i="94"/>
  <c r="AL10" i="94"/>
  <c r="AZ10" i="94"/>
  <c r="BB20" i="94"/>
  <c r="AM20" i="94"/>
  <c r="BA20" i="94"/>
  <c r="AL20" i="94"/>
  <c r="AZ20" i="94"/>
  <c r="AK20" i="94"/>
  <c r="AY20" i="94"/>
  <c r="AU20" i="94"/>
  <c r="AJ20" i="94"/>
  <c r="AT20" i="94"/>
  <c r="AX20" i="94"/>
  <c r="AS20" i="94"/>
  <c r="AI20" i="94"/>
  <c r="AR20" i="94"/>
  <c r="AW20" i="94"/>
  <c r="AQ20" i="94"/>
  <c r="AV20" i="94"/>
  <c r="AP20" i="94"/>
  <c r="AH20" i="94"/>
  <c r="AG20" i="94"/>
  <c r="AO20" i="94"/>
  <c r="AN20" i="94"/>
  <c r="AW35" i="94"/>
  <c r="AH35" i="94"/>
  <c r="AQ35" i="94"/>
  <c r="AG35" i="94"/>
  <c r="AP35" i="94"/>
  <c r="AV35" i="94"/>
  <c r="AO35" i="94"/>
  <c r="AU35" i="94"/>
  <c r="AN35" i="94"/>
  <c r="AT35" i="94"/>
  <c r="AM35" i="94"/>
  <c r="AS35" i="94"/>
  <c r="BB35" i="94"/>
  <c r="AR35" i="94"/>
  <c r="AL35" i="94"/>
  <c r="BA35" i="94"/>
  <c r="AK35" i="94"/>
  <c r="AZ35" i="94"/>
  <c r="AJ35" i="94"/>
  <c r="AY35" i="94"/>
  <c r="AI35" i="94"/>
  <c r="AX35" i="94"/>
  <c r="BA63" i="94"/>
  <c r="AK63" i="94"/>
  <c r="AW63" i="94"/>
  <c r="AZ63" i="94"/>
  <c r="AG63" i="94"/>
  <c r="AJ63" i="94"/>
  <c r="AV63" i="94"/>
  <c r="AY63" i="94"/>
  <c r="AU63" i="94"/>
  <c r="AI63" i="94"/>
  <c r="AT63" i="94"/>
  <c r="AX63" i="94"/>
  <c r="AS63" i="94"/>
  <c r="AH63" i="94"/>
  <c r="AR63" i="94"/>
  <c r="AQ63" i="94"/>
  <c r="AP63" i="94"/>
  <c r="AO63" i="94"/>
  <c r="AN63" i="94"/>
  <c r="AM63" i="94"/>
  <c r="BB63" i="94"/>
  <c r="AL63" i="94"/>
  <c r="AI44" i="94"/>
  <c r="AW44" i="94"/>
  <c r="AH44" i="94"/>
  <c r="AV44" i="94"/>
  <c r="AN44" i="94"/>
  <c r="AT44" i="94"/>
  <c r="AG44" i="94"/>
  <c r="AS44" i="94"/>
  <c r="BB44" i="94"/>
  <c r="AR44" i="94"/>
  <c r="AM44" i="94"/>
  <c r="AQ44" i="94"/>
  <c r="BA44" i="94"/>
  <c r="AP44" i="94"/>
  <c r="AL44" i="94"/>
  <c r="AZ44" i="94"/>
  <c r="AK44" i="94"/>
  <c r="AY44" i="94"/>
  <c r="AJ44" i="94"/>
  <c r="AO44" i="94"/>
  <c r="AX44" i="94"/>
  <c r="AU44" i="94"/>
  <c r="AK11" i="94"/>
  <c r="AY11" i="94"/>
  <c r="AJ11" i="94"/>
  <c r="AX11" i="94"/>
  <c r="AS11" i="94"/>
  <c r="AI11" i="94"/>
  <c r="AR11" i="94"/>
  <c r="AW11" i="94"/>
  <c r="AQ11" i="94"/>
  <c r="AH11" i="94"/>
  <c r="AP11" i="94"/>
  <c r="AV11" i="94"/>
  <c r="AO11" i="94"/>
  <c r="AU11" i="94"/>
  <c r="AN11" i="94"/>
  <c r="AT11" i="94"/>
  <c r="AG11" i="94"/>
  <c r="BB11" i="94"/>
  <c r="AM11" i="94"/>
  <c r="BA11" i="94"/>
  <c r="AL11" i="94"/>
  <c r="AZ11" i="94"/>
  <c r="AO52" i="94"/>
  <c r="AN52" i="94"/>
  <c r="AG52" i="94"/>
  <c r="BB52" i="94"/>
  <c r="AM52" i="94"/>
  <c r="BA52" i="94"/>
  <c r="AL52" i="94"/>
  <c r="AZ52" i="94"/>
  <c r="AK52" i="94"/>
  <c r="AY52" i="94"/>
  <c r="AU52" i="94"/>
  <c r="AJ52" i="94"/>
  <c r="AT52" i="94"/>
  <c r="AX52" i="94"/>
  <c r="AS52" i="94"/>
  <c r="AI52" i="94"/>
  <c r="AR52" i="94"/>
  <c r="AV52" i="94"/>
  <c r="AQ52" i="94"/>
  <c r="AH52" i="94"/>
  <c r="AP52" i="94"/>
  <c r="AW52" i="94"/>
  <c r="BB32" i="94"/>
  <c r="AJ31" i="94"/>
  <c r="AY31" i="94"/>
  <c r="AI31" i="94"/>
  <c r="AX31" i="94"/>
  <c r="AH31" i="94"/>
  <c r="AW31" i="94"/>
  <c r="AG31" i="94"/>
  <c r="AV31" i="94"/>
  <c r="AO31" i="94"/>
  <c r="AU31" i="94"/>
  <c r="AN31" i="94"/>
  <c r="AT31" i="94"/>
  <c r="AM31" i="94"/>
  <c r="AS31" i="94"/>
  <c r="BB31" i="94"/>
  <c r="AR31" i="94"/>
  <c r="AL31" i="94"/>
  <c r="AQ31" i="94"/>
  <c r="BA31" i="94"/>
  <c r="AP31" i="94"/>
  <c r="AK31" i="94"/>
  <c r="AZ31" i="94"/>
  <c r="AR39" i="94"/>
  <c r="AQ39" i="94"/>
  <c r="AP39" i="94"/>
  <c r="AO39" i="94"/>
  <c r="AH39" i="94"/>
  <c r="AY39" i="94"/>
  <c r="BB39" i="94"/>
  <c r="AJ39" i="94"/>
  <c r="AG39" i="94"/>
  <c r="AX39" i="94"/>
  <c r="AI39" i="94"/>
  <c r="AK39" i="94"/>
  <c r="BA39" i="94"/>
  <c r="AW39" i="94"/>
  <c r="AN39" i="94"/>
  <c r="AL39" i="94"/>
  <c r="AZ39" i="94"/>
  <c r="AV39" i="94"/>
  <c r="AU39" i="94"/>
  <c r="AT39" i="94"/>
  <c r="AS39" i="94"/>
  <c r="AM39" i="94"/>
  <c r="AM37" i="94"/>
  <c r="AY37" i="94"/>
  <c r="BB37" i="94"/>
  <c r="AI37" i="94"/>
  <c r="AL37" i="94"/>
  <c r="AX37" i="94"/>
  <c r="BA37" i="94"/>
  <c r="AH37" i="94"/>
  <c r="AZ37" i="94"/>
  <c r="AW37" i="94"/>
  <c r="AK37" i="94"/>
  <c r="AG37" i="94"/>
  <c r="AJ37" i="94"/>
  <c r="AN37" i="94"/>
  <c r="AV37" i="94"/>
  <c r="AU37" i="94"/>
  <c r="AT37" i="94"/>
  <c r="AS37" i="94"/>
  <c r="AR37" i="94"/>
  <c r="AQ37" i="94"/>
  <c r="AP37" i="94"/>
  <c r="AO37" i="94"/>
  <c r="AU23" i="94"/>
  <c r="AV23" i="94"/>
  <c r="AT23" i="94"/>
  <c r="AS23" i="94"/>
  <c r="AR23" i="94"/>
  <c r="AQ23" i="94"/>
  <c r="BA23" i="94"/>
  <c r="AP23" i="94"/>
  <c r="AL23" i="94"/>
  <c r="AO23" i="94"/>
  <c r="AZ23" i="94"/>
  <c r="AK23" i="94"/>
  <c r="AM23" i="94"/>
  <c r="BB23" i="94"/>
  <c r="AY23" i="94"/>
  <c r="AG23" i="94"/>
  <c r="AJ23" i="94"/>
  <c r="AH23" i="94"/>
  <c r="AX23" i="94"/>
  <c r="AN23" i="94"/>
  <c r="AW23" i="94"/>
  <c r="AI23" i="94"/>
  <c r="AG61" i="94"/>
  <c r="AV61" i="94"/>
  <c r="AO61" i="94"/>
  <c r="AU61" i="94"/>
  <c r="AN61" i="94"/>
  <c r="AT61" i="94"/>
  <c r="AM61" i="94"/>
  <c r="AS61" i="94"/>
  <c r="BB61" i="94"/>
  <c r="AR61" i="94"/>
  <c r="AL61" i="94"/>
  <c r="AP61" i="94"/>
  <c r="BA61" i="94"/>
  <c r="AQ61" i="94"/>
  <c r="AK61" i="94"/>
  <c r="AZ61" i="94"/>
  <c r="AJ61" i="94"/>
  <c r="AY61" i="94"/>
  <c r="AI61" i="94"/>
  <c r="AX61" i="94"/>
  <c r="AH61" i="94"/>
  <c r="AW61" i="94"/>
  <c r="AI45" i="94"/>
  <c r="AX45" i="94"/>
  <c r="AH45" i="94"/>
  <c r="AW45" i="94"/>
  <c r="AG45" i="94"/>
  <c r="AV45" i="94"/>
  <c r="AU45" i="94"/>
  <c r="AT45" i="94"/>
  <c r="AM45" i="94"/>
  <c r="AS45" i="94"/>
  <c r="BB45" i="94"/>
  <c r="AR45" i="94"/>
  <c r="AL45" i="94"/>
  <c r="AQ45" i="94"/>
  <c r="BA45" i="94"/>
  <c r="AP45" i="94"/>
  <c r="AK45" i="94"/>
  <c r="AO45" i="94"/>
  <c r="AZ45" i="94"/>
  <c r="AN45" i="94"/>
  <c r="AJ45" i="94"/>
  <c r="AY45" i="94"/>
  <c r="AU13" i="94"/>
  <c r="AI13" i="94"/>
  <c r="AT13" i="94"/>
  <c r="AX13" i="94"/>
  <c r="AS13" i="94"/>
  <c r="AH13" i="94"/>
  <c r="AR13" i="94"/>
  <c r="AW13" i="94"/>
  <c r="AP13" i="94"/>
  <c r="AG13" i="94"/>
  <c r="AO13" i="94"/>
  <c r="AN13" i="94"/>
  <c r="AM13" i="94"/>
  <c r="BB13" i="94"/>
  <c r="AL13" i="94"/>
  <c r="BA13" i="94"/>
  <c r="AK13" i="94"/>
  <c r="AZ13" i="94"/>
  <c r="AJ13" i="94"/>
  <c r="AQ13" i="94"/>
  <c r="AY13" i="94"/>
  <c r="AV13" i="94"/>
  <c r="AS50" i="94"/>
  <c r="AM50" i="94"/>
  <c r="AG50" i="94"/>
  <c r="AL50" i="94"/>
  <c r="AO50" i="94"/>
  <c r="AK50" i="94"/>
  <c r="AZ50" i="94"/>
  <c r="AJ50" i="94"/>
  <c r="AR50" i="94"/>
  <c r="AI50" i="94"/>
  <c r="AV50" i="94"/>
  <c r="AH50" i="94"/>
  <c r="AU50" i="94"/>
  <c r="AN50" i="94"/>
  <c r="AY50" i="94"/>
  <c r="AW50" i="94"/>
  <c r="AX50" i="94"/>
  <c r="AQ50" i="94"/>
  <c r="AP50" i="94"/>
  <c r="BB50" i="94"/>
  <c r="BA50" i="94"/>
  <c r="AT50" i="94"/>
  <c r="AW29" i="94"/>
  <c r="AK29" i="94"/>
  <c r="AG29" i="94"/>
  <c r="AJ29" i="94"/>
  <c r="AV29" i="94"/>
  <c r="AU29" i="94"/>
  <c r="AT29" i="94"/>
  <c r="AS29" i="94"/>
  <c r="AR29" i="94"/>
  <c r="AQ29" i="94"/>
  <c r="AP29" i="94"/>
  <c r="AO29" i="94"/>
  <c r="AN29" i="94"/>
  <c r="AM29" i="94"/>
  <c r="AY29" i="94"/>
  <c r="BB29" i="94"/>
  <c r="AI29" i="94"/>
  <c r="AL29" i="94"/>
  <c r="AX29" i="94"/>
  <c r="BA29" i="94"/>
  <c r="AH29" i="94"/>
  <c r="AZ29" i="94"/>
  <c r="AV14" i="94"/>
  <c r="AU14" i="94"/>
  <c r="AT14" i="94"/>
  <c r="AS14" i="94"/>
  <c r="AR14" i="94"/>
  <c r="AQ14" i="94"/>
  <c r="BA14" i="94"/>
  <c r="AP14" i="94"/>
  <c r="AJ14" i="94"/>
  <c r="AO14" i="94"/>
  <c r="AZ14" i="94"/>
  <c r="AM14" i="94"/>
  <c r="AI14" i="94"/>
  <c r="AL14" i="94"/>
  <c r="AY14" i="94"/>
  <c r="BB14" i="94"/>
  <c r="AH14" i="94"/>
  <c r="AK14" i="94"/>
  <c r="AX14" i="94"/>
  <c r="AG14" i="94"/>
  <c r="AW14" i="94"/>
  <c r="AN14" i="94"/>
  <c r="AK28" i="94"/>
  <c r="AY28" i="94"/>
  <c r="AJ28" i="94"/>
  <c r="AX28" i="94"/>
  <c r="AI28" i="94"/>
  <c r="AW28" i="94"/>
  <c r="AH28" i="94"/>
  <c r="AV28" i="94"/>
  <c r="AU28" i="94"/>
  <c r="AT28" i="94"/>
  <c r="AG28" i="94"/>
  <c r="AS28" i="94"/>
  <c r="BB28" i="94"/>
  <c r="AR28" i="94"/>
  <c r="AM28" i="94"/>
  <c r="AQ28" i="94"/>
  <c r="BA28" i="94"/>
  <c r="AP28" i="94"/>
  <c r="AL28" i="94"/>
  <c r="AO28" i="94"/>
  <c r="AZ28" i="94"/>
  <c r="AN28" i="94"/>
  <c r="AQ40" i="94"/>
  <c r="AH40" i="94"/>
  <c r="AP40" i="94"/>
  <c r="AV40" i="94"/>
  <c r="AO40" i="94"/>
  <c r="AU40" i="94"/>
  <c r="AN40" i="94"/>
  <c r="AT40" i="94"/>
  <c r="BB40" i="94"/>
  <c r="AR40" i="94"/>
  <c r="AM40" i="94"/>
  <c r="BA40" i="94"/>
  <c r="AL40" i="94"/>
  <c r="AZ40" i="94"/>
  <c r="AK40" i="94"/>
  <c r="AY40" i="94"/>
  <c r="AJ40" i="94"/>
  <c r="AX40" i="94"/>
  <c r="AI40" i="94"/>
  <c r="AG40" i="94"/>
  <c r="AW40" i="94"/>
  <c r="AS40" i="94"/>
  <c r="BB15" i="94"/>
  <c r="AL15" i="94"/>
  <c r="BA15" i="94"/>
  <c r="AK15" i="94"/>
  <c r="AZ15" i="94"/>
  <c r="AJ15" i="94"/>
  <c r="AY15" i="94"/>
  <c r="AI15" i="94"/>
  <c r="AX15" i="94"/>
  <c r="AM15" i="94"/>
  <c r="AS15" i="94"/>
  <c r="AH15" i="94"/>
  <c r="AR15" i="94"/>
  <c r="AW15" i="94"/>
  <c r="AQ15" i="94"/>
  <c r="AG15" i="94"/>
  <c r="AP15" i="94"/>
  <c r="AV15" i="94"/>
  <c r="AO15" i="94"/>
  <c r="AT15" i="94"/>
  <c r="AN15" i="94"/>
  <c r="AU15" i="94"/>
  <c r="AO58" i="94"/>
  <c r="AT58" i="94"/>
  <c r="AN58" i="94"/>
  <c r="AU58" i="94"/>
  <c r="AG58" i="94"/>
  <c r="BB58" i="94"/>
  <c r="AM58" i="94"/>
  <c r="BA58" i="94"/>
  <c r="AL58" i="94"/>
  <c r="AZ58" i="94"/>
  <c r="AK58" i="94"/>
  <c r="AY58" i="94"/>
  <c r="AJ58" i="94"/>
  <c r="AX58" i="94"/>
  <c r="AS58" i="94"/>
  <c r="AI58" i="94"/>
  <c r="AR58" i="94"/>
  <c r="AW58" i="94"/>
  <c r="AQ58" i="94"/>
  <c r="AH58" i="94"/>
  <c r="AP58" i="94"/>
  <c r="AV58" i="94"/>
  <c r="AI48" i="94"/>
  <c r="AX48" i="94"/>
  <c r="AH48" i="94"/>
  <c r="AW48" i="94"/>
  <c r="AQ48" i="94"/>
  <c r="AG48" i="94"/>
  <c r="AP48" i="94"/>
  <c r="AV48" i="94"/>
  <c r="AO48" i="94"/>
  <c r="AU48" i="94"/>
  <c r="AN48" i="94"/>
  <c r="AT48" i="94"/>
  <c r="AM48" i="94"/>
  <c r="AS48" i="94"/>
  <c r="BB48" i="94"/>
  <c r="AR48" i="94"/>
  <c r="AL48" i="94"/>
  <c r="BA48" i="94"/>
  <c r="AK48" i="94"/>
  <c r="AZ48" i="94"/>
  <c r="AJ48" i="94"/>
  <c r="AY48" i="94"/>
  <c r="BA30" i="94"/>
  <c r="AP30" i="94"/>
  <c r="AJ30" i="94"/>
  <c r="AO30" i="94"/>
  <c r="AZ30" i="94"/>
  <c r="AM30" i="94"/>
  <c r="AI30" i="94"/>
  <c r="AL30" i="94"/>
  <c r="AY30" i="94"/>
  <c r="AK30" i="94"/>
  <c r="AH30" i="94"/>
  <c r="BB30" i="94"/>
  <c r="AX30" i="94"/>
  <c r="AN30" i="94"/>
  <c r="AW30" i="94"/>
  <c r="AG30" i="94"/>
  <c r="AV30" i="94"/>
  <c r="AU30" i="94"/>
  <c r="AT30" i="94"/>
  <c r="AS30" i="94"/>
  <c r="AR30" i="94"/>
  <c r="AQ30" i="94"/>
  <c r="AM66" i="94"/>
  <c r="AN66" i="94"/>
  <c r="AG66" i="94"/>
  <c r="AP66" i="94"/>
  <c r="AL66" i="94"/>
  <c r="BA66" i="94"/>
  <c r="AK66" i="94"/>
  <c r="BB66" i="94"/>
  <c r="AJ66" i="94"/>
  <c r="AT66" i="94"/>
  <c r="AI66" i="94"/>
  <c r="AS66" i="94"/>
  <c r="AH66" i="94"/>
  <c r="AW66" i="94"/>
  <c r="AO66" i="94"/>
  <c r="AZ66" i="94"/>
  <c r="AR66" i="94"/>
  <c r="AU66" i="94"/>
  <c r="AY66" i="94"/>
  <c r="AV66" i="94"/>
  <c r="AQ66" i="94"/>
  <c r="AX66" i="94"/>
  <c r="AZ87" i="94"/>
  <c r="AJ87" i="94"/>
  <c r="AN87" i="94"/>
  <c r="AY87" i="94"/>
  <c r="AM87" i="94"/>
  <c r="AX87" i="94"/>
  <c r="AL87" i="94"/>
  <c r="AW87" i="94"/>
  <c r="AK87" i="94"/>
  <c r="AV87" i="94"/>
  <c r="AI87" i="94"/>
  <c r="AU87" i="94"/>
  <c r="AT87" i="94"/>
  <c r="AO87" i="94"/>
  <c r="AG87" i="94"/>
  <c r="AS87" i="94"/>
  <c r="BB87" i="94"/>
  <c r="AR87" i="94"/>
  <c r="AH87" i="94"/>
  <c r="AQ87" i="94"/>
  <c r="BA87" i="94"/>
  <c r="AP87" i="94"/>
  <c r="BA57" i="94"/>
  <c r="AP57" i="94"/>
  <c r="AL57" i="94"/>
  <c r="AO57" i="94"/>
  <c r="AZ57" i="94"/>
  <c r="AN57" i="94"/>
  <c r="AK57" i="94"/>
  <c r="BB57" i="94"/>
  <c r="AY57" i="94"/>
  <c r="AG57" i="94"/>
  <c r="AJ57" i="94"/>
  <c r="AM57" i="94"/>
  <c r="AX57" i="94"/>
  <c r="AI57" i="94"/>
  <c r="AW57" i="94"/>
  <c r="AH57" i="94"/>
  <c r="AV57" i="94"/>
  <c r="AU57" i="94"/>
  <c r="AT57" i="94"/>
  <c r="AS57" i="94"/>
  <c r="AR57" i="94"/>
  <c r="AQ57" i="94"/>
  <c r="AJ46" i="94"/>
  <c r="AY46" i="94"/>
  <c r="AI46" i="94"/>
  <c r="AX46" i="94"/>
  <c r="AH46" i="94"/>
  <c r="AW46" i="94"/>
  <c r="AQ46" i="94"/>
  <c r="AG46" i="94"/>
  <c r="AP46" i="94"/>
  <c r="AV46" i="94"/>
  <c r="AO46" i="94"/>
  <c r="AU46" i="94"/>
  <c r="AN46" i="94"/>
  <c r="AT46" i="94"/>
  <c r="AM46" i="94"/>
  <c r="AS46" i="94"/>
  <c r="BB46" i="94"/>
  <c r="AR46" i="94"/>
  <c r="AL46" i="94"/>
  <c r="BA46" i="94"/>
  <c r="AK46" i="94"/>
  <c r="AZ46" i="94"/>
  <c r="AM17" i="94"/>
  <c r="BB17" i="94"/>
  <c r="AL17" i="94"/>
  <c r="BA17" i="94"/>
  <c r="AK17" i="94"/>
  <c r="AZ17" i="94"/>
  <c r="AJ17" i="94"/>
  <c r="AY17" i="94"/>
  <c r="AU17" i="94"/>
  <c r="AI17" i="94"/>
  <c r="AT17" i="94"/>
  <c r="AX17" i="94"/>
  <c r="AS17" i="94"/>
  <c r="AH17" i="94"/>
  <c r="AR17" i="94"/>
  <c r="AV17" i="94"/>
  <c r="AQ17" i="94"/>
  <c r="AG17" i="94"/>
  <c r="AP17" i="94"/>
  <c r="AW17" i="94"/>
  <c r="AO17" i="94"/>
  <c r="AN17" i="94"/>
  <c r="AS53" i="94"/>
  <c r="AH53" i="94"/>
  <c r="AR53" i="94"/>
  <c r="AW53" i="94"/>
  <c r="AQ53" i="94"/>
  <c r="AV53" i="94"/>
  <c r="AP53" i="94"/>
  <c r="AG53" i="94"/>
  <c r="AO53" i="94"/>
  <c r="AN53" i="94"/>
  <c r="AM53" i="94"/>
  <c r="BB53" i="94"/>
  <c r="AL53" i="94"/>
  <c r="BA53" i="94"/>
  <c r="AK53" i="94"/>
  <c r="AZ53" i="94"/>
  <c r="AJ53" i="94"/>
  <c r="AY53" i="94"/>
  <c r="AU53" i="94"/>
  <c r="AI53" i="94"/>
  <c r="AT53" i="94"/>
  <c r="AX53" i="94"/>
  <c r="AL24" i="94"/>
  <c r="AZ24" i="94"/>
  <c r="AK24" i="94"/>
  <c r="AY24" i="94"/>
  <c r="AJ24" i="94"/>
  <c r="AX24" i="94"/>
  <c r="AI24" i="94"/>
  <c r="AW24" i="94"/>
  <c r="AH24" i="94"/>
  <c r="AV24" i="94"/>
  <c r="AO24" i="94"/>
  <c r="AU24" i="94"/>
  <c r="AN24" i="94"/>
  <c r="AT24" i="94"/>
  <c r="AG24" i="94"/>
  <c r="AS24" i="94"/>
  <c r="BB24" i="94"/>
  <c r="AR24" i="94"/>
  <c r="AM24" i="94"/>
  <c r="AQ24" i="94"/>
  <c r="BA24" i="94"/>
  <c r="AP24" i="94"/>
  <c r="AO7" i="94"/>
  <c r="AU7" i="94"/>
  <c r="AI7" i="94"/>
  <c r="AT7" i="94"/>
  <c r="AG7" i="94"/>
  <c r="BB7" i="94"/>
  <c r="BA7" i="94"/>
  <c r="AL7" i="94"/>
  <c r="AZ7" i="94"/>
  <c r="AJ7" i="94"/>
  <c r="AY7" i="94"/>
  <c r="AH7" i="94"/>
  <c r="AX7" i="94"/>
  <c r="AS7" i="94"/>
  <c r="AN7" i="94"/>
  <c r="AR7" i="94"/>
  <c r="AW7" i="94"/>
  <c r="AQ7" i="94"/>
  <c r="AK7" i="94"/>
  <c r="AP7" i="94"/>
  <c r="AM7" i="94"/>
  <c r="AV7" i="94"/>
  <c r="AU36" i="94"/>
  <c r="AY36" i="94"/>
  <c r="AT36" i="94"/>
  <c r="AX36" i="94"/>
  <c r="AS36" i="94"/>
  <c r="AJ36" i="94"/>
  <c r="AR36" i="94"/>
  <c r="AQ36" i="94"/>
  <c r="AV36" i="94"/>
  <c r="AP36" i="94"/>
  <c r="AO36" i="94"/>
  <c r="AN36" i="94"/>
  <c r="AG36" i="94"/>
  <c r="BB36" i="94"/>
  <c r="AM36" i="94"/>
  <c r="BA36" i="94"/>
  <c r="AI36" i="94"/>
  <c r="AL36" i="94"/>
  <c r="AW36" i="94"/>
  <c r="AZ36" i="94"/>
  <c r="AH36" i="94"/>
  <c r="AK36" i="94"/>
  <c r="AR54" i="94"/>
  <c r="AQ54" i="94"/>
  <c r="AP54" i="94"/>
  <c r="AO54" i="94"/>
  <c r="AN54" i="94"/>
  <c r="AM54" i="94"/>
  <c r="BB54" i="94"/>
  <c r="AL54" i="94"/>
  <c r="BA54" i="94"/>
  <c r="AK54" i="94"/>
  <c r="AW54" i="94"/>
  <c r="AZ54" i="94"/>
  <c r="AG54" i="94"/>
  <c r="AJ54" i="94"/>
  <c r="AV54" i="94"/>
  <c r="AX54" i="94"/>
  <c r="AU54" i="94"/>
  <c r="AI54" i="94"/>
  <c r="AT54" i="94"/>
  <c r="AH54" i="94"/>
  <c r="AS54" i="94"/>
  <c r="AY54" i="94"/>
  <c r="AO8" i="94"/>
  <c r="AT8" i="94"/>
  <c r="AN8" i="94"/>
  <c r="AU8" i="94"/>
  <c r="AG8" i="94"/>
  <c r="BB8" i="94"/>
  <c r="AM8" i="94"/>
  <c r="BA8" i="94"/>
  <c r="AL8" i="94"/>
  <c r="AZ8" i="94"/>
  <c r="AK8" i="94"/>
  <c r="AY8" i="94"/>
  <c r="AJ8" i="94"/>
  <c r="AX8" i="94"/>
  <c r="AS8" i="94"/>
  <c r="AI8" i="94"/>
  <c r="AR8" i="94"/>
  <c r="AW8" i="94"/>
  <c r="AQ8" i="94"/>
  <c r="AH8" i="94"/>
  <c r="AP8" i="94"/>
  <c r="AV8" i="94"/>
  <c r="BA49" i="94"/>
  <c r="AK49" i="94"/>
  <c r="AW49" i="94"/>
  <c r="AZ49" i="94"/>
  <c r="AG49" i="94"/>
  <c r="AJ49" i="94"/>
  <c r="AV49" i="94"/>
  <c r="AY49" i="94"/>
  <c r="AU49" i="94"/>
  <c r="AX49" i="94"/>
  <c r="AT49" i="94"/>
  <c r="AI49" i="94"/>
  <c r="AS49" i="94"/>
  <c r="AH49" i="94"/>
  <c r="AR49" i="94"/>
  <c r="AQ49" i="94"/>
  <c r="AP49" i="94"/>
  <c r="AO49" i="94"/>
  <c r="AN49" i="94"/>
  <c r="AM49" i="94"/>
  <c r="BB49" i="94"/>
  <c r="AL49" i="94"/>
  <c r="AK16" i="94"/>
  <c r="AO16" i="94"/>
  <c r="AZ16" i="94"/>
  <c r="AN16" i="94"/>
  <c r="AJ16" i="94"/>
  <c r="BB16" i="94"/>
  <c r="AY16" i="94"/>
  <c r="AM16" i="94"/>
  <c r="AI16" i="94"/>
  <c r="AL16" i="94"/>
  <c r="AX16" i="94"/>
  <c r="AH16" i="94"/>
  <c r="BA16" i="94"/>
  <c r="AP16" i="94"/>
  <c r="AW16" i="94"/>
  <c r="AG16" i="94"/>
  <c r="AV16" i="94"/>
  <c r="AU16" i="94"/>
  <c r="AT16" i="94"/>
  <c r="AS16" i="94"/>
  <c r="AR16" i="94"/>
  <c r="AQ16" i="94"/>
  <c r="AX55" i="94"/>
  <c r="AZ55" i="94"/>
  <c r="AJ55" i="94"/>
  <c r="BA55" i="94"/>
  <c r="AW55" i="94"/>
  <c r="AM55" i="94"/>
  <c r="AI55" i="94"/>
  <c r="AK55" i="94"/>
  <c r="AV55" i="94"/>
  <c r="AU55" i="94"/>
  <c r="AT55" i="94"/>
  <c r="AS55" i="94"/>
  <c r="AR55" i="94"/>
  <c r="AQ55" i="94"/>
  <c r="AP55" i="94"/>
  <c r="AO55" i="94"/>
  <c r="AG55" i="94"/>
  <c r="AN55" i="94"/>
  <c r="AY55" i="94"/>
  <c r="BB55" i="94"/>
  <c r="AL55" i="94"/>
  <c r="AH55" i="94"/>
  <c r="BA43" i="94"/>
  <c r="AP43" i="94"/>
  <c r="AL43" i="94"/>
  <c r="AO43" i="94"/>
  <c r="AZ43" i="94"/>
  <c r="AN43" i="94"/>
  <c r="AK43" i="94"/>
  <c r="BB43" i="94"/>
  <c r="AY43" i="94"/>
  <c r="AG43" i="94"/>
  <c r="AJ43" i="94"/>
  <c r="AM43" i="94"/>
  <c r="AX43" i="94"/>
  <c r="AI43" i="94"/>
  <c r="AW43" i="94"/>
  <c r="AH43" i="94"/>
  <c r="AV43" i="94"/>
  <c r="AU43" i="94"/>
  <c r="AT43" i="94"/>
  <c r="AS43" i="94"/>
  <c r="AR43" i="94"/>
  <c r="AQ43" i="94"/>
  <c r="AW51" i="94"/>
  <c r="AK51" i="94"/>
  <c r="AG51" i="94"/>
  <c r="AJ51" i="94"/>
  <c r="AV51" i="94"/>
  <c r="AU51" i="94"/>
  <c r="AT51" i="94"/>
  <c r="AS51" i="94"/>
  <c r="AR51" i="94"/>
  <c r="AQ51" i="94"/>
  <c r="AP51" i="94"/>
  <c r="AO51" i="94"/>
  <c r="AN51" i="94"/>
  <c r="AM51" i="94"/>
  <c r="AY51" i="94"/>
  <c r="BB51" i="94"/>
  <c r="AI51" i="94"/>
  <c r="AL51" i="94"/>
  <c r="AX51" i="94"/>
  <c r="BA51" i="94"/>
  <c r="AZ51" i="94"/>
  <c r="AH51" i="94"/>
  <c r="AP5" i="94"/>
  <c r="AV5" i="94"/>
  <c r="AO5" i="94"/>
  <c r="AU5" i="94"/>
  <c r="AG5" i="94"/>
  <c r="AN5" i="94"/>
  <c r="AT5" i="94"/>
  <c r="AM5" i="94"/>
  <c r="AS5" i="94"/>
  <c r="BB5" i="94"/>
  <c r="AR5" i="94"/>
  <c r="AL5" i="94"/>
  <c r="BA5" i="94"/>
  <c r="AQ5" i="94"/>
  <c r="AK5" i="94"/>
  <c r="AZ5" i="94"/>
  <c r="AJ5" i="94"/>
  <c r="AY5" i="94"/>
  <c r="AI5" i="94"/>
  <c r="AX5" i="94"/>
  <c r="AH5" i="94"/>
  <c r="AW5" i="94"/>
  <c r="AR56" i="94"/>
  <c r="AQ56" i="94"/>
  <c r="BA56" i="94"/>
  <c r="AP56" i="94"/>
  <c r="AL56" i="94"/>
  <c r="AO56" i="94"/>
  <c r="AZ56" i="94"/>
  <c r="AN56" i="94"/>
  <c r="AK56" i="94"/>
  <c r="BB56" i="94"/>
  <c r="AY56" i="94"/>
  <c r="AG56" i="94"/>
  <c r="AJ56" i="94"/>
  <c r="AM56" i="94"/>
  <c r="AX56" i="94"/>
  <c r="AI56" i="94"/>
  <c r="AW56" i="94"/>
  <c r="AH56" i="94"/>
  <c r="AV56" i="94"/>
  <c r="AU56" i="94"/>
  <c r="AT56" i="94"/>
  <c r="AS56" i="94"/>
  <c r="AT41" i="94"/>
  <c r="AS41" i="94"/>
  <c r="AR41" i="94"/>
  <c r="AQ41" i="94"/>
  <c r="BA41" i="94"/>
  <c r="AP41" i="94"/>
  <c r="AL41" i="94"/>
  <c r="AO41" i="94"/>
  <c r="AZ41" i="94"/>
  <c r="AN41" i="94"/>
  <c r="AK41" i="94"/>
  <c r="AG41" i="94"/>
  <c r="AY41" i="94"/>
  <c r="BB41" i="94"/>
  <c r="AJ41" i="94"/>
  <c r="AM41" i="94"/>
  <c r="AX41" i="94"/>
  <c r="AI41" i="94"/>
  <c r="AW41" i="94"/>
  <c r="AH41" i="94"/>
  <c r="AV41" i="94"/>
  <c r="AU41" i="94"/>
  <c r="AR21" i="94"/>
  <c r="AQ21" i="94"/>
  <c r="AP21" i="94"/>
  <c r="AO21" i="94"/>
  <c r="AN21" i="94"/>
  <c r="AM21" i="94"/>
  <c r="BB21" i="94"/>
  <c r="AL21" i="94"/>
  <c r="BA21" i="94"/>
  <c r="AK21" i="94"/>
  <c r="AW21" i="94"/>
  <c r="AZ21" i="94"/>
  <c r="AG21" i="94"/>
  <c r="AJ21" i="94"/>
  <c r="AV21" i="94"/>
  <c r="AH21" i="94"/>
  <c r="AU21" i="94"/>
  <c r="AX21" i="94"/>
  <c r="AT21" i="94"/>
  <c r="AY21" i="94"/>
  <c r="AS21" i="94"/>
  <c r="AI21" i="94"/>
  <c r="AO27" i="94"/>
  <c r="AU27" i="94"/>
  <c r="AN27" i="94"/>
  <c r="AT27" i="94"/>
  <c r="AG27" i="94"/>
  <c r="BB27" i="94"/>
  <c r="AM27" i="94"/>
  <c r="BA27" i="94"/>
  <c r="AL27" i="94"/>
  <c r="AZ27" i="94"/>
  <c r="AK27" i="94"/>
  <c r="AY27" i="94"/>
  <c r="AJ27" i="94"/>
  <c r="AX27" i="94"/>
  <c r="AS27" i="94"/>
  <c r="AI27" i="94"/>
  <c r="AR27" i="94"/>
  <c r="AW27" i="94"/>
  <c r="AQ27" i="94"/>
  <c r="AH27" i="94"/>
  <c r="AP27" i="94"/>
  <c r="AV27" i="94"/>
  <c r="AO67" i="94"/>
  <c r="AU67" i="94"/>
  <c r="AN67" i="94"/>
  <c r="AT67" i="94"/>
  <c r="AM67" i="94"/>
  <c r="BB67" i="94"/>
  <c r="BA67" i="94"/>
  <c r="AK67" i="94"/>
  <c r="AZ67" i="94"/>
  <c r="AJ67" i="94"/>
  <c r="AY67" i="94"/>
  <c r="AI67" i="94"/>
  <c r="AX67" i="94"/>
  <c r="AS67" i="94"/>
  <c r="AH67" i="94"/>
  <c r="AR67" i="94"/>
  <c r="AW67" i="94"/>
  <c r="AQ67" i="94"/>
  <c r="AG67" i="94"/>
  <c r="AV67" i="94"/>
  <c r="AL67" i="94"/>
  <c r="AP67" i="94"/>
  <c r="AQ88" i="94"/>
  <c r="AP88" i="94"/>
  <c r="AO88" i="94"/>
  <c r="AN88" i="94"/>
  <c r="AM88" i="94"/>
  <c r="BB88" i="94"/>
  <c r="AG88" i="94"/>
  <c r="BA88" i="94"/>
  <c r="AL88" i="94"/>
  <c r="AW88" i="94"/>
  <c r="AZ88" i="94"/>
  <c r="AH88" i="94"/>
  <c r="AK88" i="94"/>
  <c r="AV88" i="94"/>
  <c r="AY88" i="94"/>
  <c r="AU88" i="94"/>
  <c r="AX88" i="94"/>
  <c r="AR88" i="94"/>
  <c r="AT88" i="94"/>
  <c r="AJ88" i="94"/>
  <c r="AS88" i="94"/>
  <c r="AI88" i="94"/>
  <c r="AW12" i="94"/>
  <c r="AH12" i="94"/>
  <c r="AV12" i="94"/>
  <c r="AO12" i="94"/>
  <c r="AU12" i="94"/>
  <c r="AN12" i="94"/>
  <c r="AT12" i="94"/>
  <c r="AG12" i="94"/>
  <c r="AS12" i="94"/>
  <c r="BB12" i="94"/>
  <c r="AR12" i="94"/>
  <c r="AI12" i="94"/>
  <c r="AM12" i="94"/>
  <c r="AQ12" i="94"/>
  <c r="BA12" i="94"/>
  <c r="AP12" i="94"/>
  <c r="AL12" i="94"/>
  <c r="AZ12" i="94"/>
  <c r="AK12" i="94"/>
  <c r="AY12" i="94"/>
  <c r="AJ12" i="94"/>
  <c r="AX12" i="94"/>
  <c r="AL42" i="94"/>
  <c r="AZ42" i="94"/>
  <c r="AK42" i="94"/>
  <c r="AY42" i="94"/>
  <c r="AJ42" i="94"/>
  <c r="AX42" i="94"/>
  <c r="AI42" i="94"/>
  <c r="AW42" i="94"/>
  <c r="AQ42" i="94"/>
  <c r="AH42" i="94"/>
  <c r="AP42" i="94"/>
  <c r="AV42" i="94"/>
  <c r="AO42" i="94"/>
  <c r="AU42" i="94"/>
  <c r="AN42" i="94"/>
  <c r="AT42" i="94"/>
  <c r="AG42" i="94"/>
  <c r="AS42" i="94"/>
  <c r="BB42" i="94"/>
  <c r="AR42" i="94"/>
  <c r="AM42" i="94"/>
  <c r="BA42" i="94"/>
  <c r="AM68" i="94"/>
  <c r="AV68" i="94"/>
  <c r="AU68" i="94"/>
  <c r="AT68" i="94"/>
  <c r="AG68" i="94"/>
  <c r="AS68" i="94"/>
  <c r="BB68" i="94"/>
  <c r="AR68" i="94"/>
  <c r="AL68" i="94"/>
  <c r="AQ68" i="94"/>
  <c r="BA68" i="94"/>
  <c r="AP68" i="94"/>
  <c r="AK68" i="94"/>
  <c r="AO68" i="94"/>
  <c r="AZ68" i="94"/>
  <c r="AN68" i="94"/>
  <c r="AJ68" i="94"/>
  <c r="AY68" i="94"/>
  <c r="AI68" i="94"/>
  <c r="AX68" i="94"/>
  <c r="AH68" i="94"/>
  <c r="AW68" i="94"/>
  <c r="AI65" i="94"/>
  <c r="BA34" i="94"/>
  <c r="AK34" i="94"/>
  <c r="AG34" i="94"/>
  <c r="AJ34" i="94"/>
  <c r="AL34" i="94"/>
  <c r="AI34" i="94"/>
  <c r="AH34" i="94"/>
  <c r="BB34" i="94"/>
  <c r="AT34" i="94"/>
  <c r="AW34" i="94"/>
  <c r="AY34" i="94"/>
  <c r="AO34" i="94"/>
  <c r="AU34" i="94"/>
  <c r="AN34" i="94"/>
  <c r="AQ34" i="94"/>
  <c r="AS34" i="94"/>
  <c r="AX34" i="94"/>
  <c r="AR34" i="94"/>
  <c r="AM34" i="94"/>
  <c r="AV34" i="94"/>
  <c r="AP34" i="94"/>
  <c r="AZ34" i="94"/>
  <c r="AV38" i="94"/>
  <c r="AG38" i="94"/>
  <c r="AU38" i="94"/>
  <c r="AT38" i="94"/>
  <c r="AM38" i="94"/>
  <c r="AS38" i="94"/>
  <c r="BB38" i="94"/>
  <c r="AR38" i="94"/>
  <c r="AL38" i="94"/>
  <c r="AQ38" i="94"/>
  <c r="BA38" i="94"/>
  <c r="AP38" i="94"/>
  <c r="AK38" i="94"/>
  <c r="AN38" i="94"/>
  <c r="AZ38" i="94"/>
  <c r="AO38" i="94"/>
  <c r="AJ38" i="94"/>
  <c r="AY38" i="94"/>
  <c r="AI38" i="94"/>
  <c r="AX38" i="94"/>
  <c r="AH38" i="94"/>
  <c r="AW38" i="94"/>
  <c r="AX64" i="94"/>
  <c r="AH64" i="94"/>
  <c r="AW64" i="94"/>
  <c r="AI64" i="94"/>
  <c r="AG64" i="94"/>
  <c r="AV64" i="94"/>
  <c r="AO64" i="94"/>
  <c r="AU64" i="94"/>
  <c r="AN64" i="94"/>
  <c r="AT64" i="94"/>
  <c r="AM64" i="94"/>
  <c r="AS64" i="94"/>
  <c r="BB64" i="94"/>
  <c r="AR64" i="94"/>
  <c r="AL64" i="94"/>
  <c r="AP64" i="94"/>
  <c r="BA64" i="94"/>
  <c r="AQ64" i="94"/>
  <c r="AK64" i="94"/>
  <c r="AZ64" i="94"/>
  <c r="AJ64" i="94"/>
  <c r="AY64" i="94"/>
  <c r="BB59" i="94"/>
  <c r="AM59" i="94"/>
  <c r="BA59" i="94"/>
  <c r="AL59" i="94"/>
  <c r="AZ59" i="94"/>
  <c r="AK59" i="94"/>
  <c r="AY59" i="94"/>
  <c r="AU59" i="94"/>
  <c r="AJ59" i="94"/>
  <c r="AT59" i="94"/>
  <c r="AX59" i="94"/>
  <c r="AS59" i="94"/>
  <c r="AI59" i="94"/>
  <c r="AR59" i="94"/>
  <c r="AH59" i="94"/>
  <c r="AQ59" i="94"/>
  <c r="AV59" i="94"/>
  <c r="AP59" i="94"/>
  <c r="AW59" i="94"/>
  <c r="AG59" i="94"/>
  <c r="AO59" i="94"/>
  <c r="AN59" i="94"/>
  <c r="AV89" i="94"/>
  <c r="AY89" i="94"/>
  <c r="AT89" i="94"/>
  <c r="AJ89" i="94"/>
  <c r="AS89" i="94"/>
  <c r="AX89" i="94"/>
  <c r="AM89" i="94"/>
  <c r="AR89" i="94"/>
  <c r="BB89" i="94"/>
  <c r="AU89" i="94"/>
  <c r="AG89" i="94"/>
  <c r="AQ89" i="94"/>
  <c r="BA89" i="94"/>
  <c r="AO89" i="94"/>
  <c r="AL89" i="94"/>
  <c r="AI89" i="94"/>
  <c r="AW89" i="94"/>
  <c r="AH89" i="94"/>
  <c r="AN89" i="94"/>
  <c r="AZ89" i="94"/>
  <c r="AP89" i="94"/>
  <c r="AK89" i="94"/>
  <c r="AT90" i="94"/>
  <c r="AI90" i="94"/>
  <c r="AS90" i="94"/>
  <c r="AO90" i="94"/>
  <c r="AR90" i="94"/>
  <c r="AQ90" i="94"/>
  <c r="AP90" i="94"/>
  <c r="AN90" i="94"/>
  <c r="AW90" i="94"/>
  <c r="AM90" i="94"/>
  <c r="AX90" i="94"/>
  <c r="BB90" i="94"/>
  <c r="AH90" i="94"/>
  <c r="AG90" i="94"/>
  <c r="AL90" i="94"/>
  <c r="BA90" i="94"/>
  <c r="AV90" i="94"/>
  <c r="AZ90" i="94"/>
  <c r="AK90" i="94"/>
  <c r="AY90" i="94"/>
  <c r="AU90" i="94"/>
  <c r="AJ90" i="94"/>
  <c r="AX94" i="94"/>
  <c r="AO94" i="94"/>
  <c r="AG94" i="94"/>
  <c r="AN94" i="94"/>
  <c r="AW94" i="94"/>
  <c r="AM94" i="94"/>
  <c r="AV94" i="94"/>
  <c r="AU94" i="94"/>
  <c r="AT94" i="94"/>
  <c r="AR94" i="94"/>
  <c r="AQ94" i="94"/>
  <c r="AP94" i="94"/>
  <c r="BA94" i="94"/>
  <c r="BB94" i="94"/>
  <c r="AY94" i="94"/>
  <c r="AJ94" i="94"/>
  <c r="AL94" i="94"/>
  <c r="AS94" i="94"/>
  <c r="AH94" i="94"/>
  <c r="AZ94" i="94"/>
  <c r="AK94" i="94"/>
  <c r="AI94" i="94"/>
  <c r="AP93" i="94"/>
  <c r="AK93" i="94"/>
  <c r="AO93" i="94"/>
  <c r="AZ93" i="94"/>
  <c r="AN93" i="94"/>
  <c r="AJ93" i="94"/>
  <c r="AM93" i="94"/>
  <c r="AY93" i="94"/>
  <c r="AI93" i="94"/>
  <c r="AH93" i="94"/>
  <c r="AR93" i="94"/>
  <c r="AW93" i="94"/>
  <c r="AQ93" i="94"/>
  <c r="AG93" i="94"/>
  <c r="BB93" i="94"/>
  <c r="AX93" i="94"/>
  <c r="AL93" i="94"/>
  <c r="AT93" i="94"/>
  <c r="AU93" i="94"/>
  <c r="AS93" i="94"/>
  <c r="BA93" i="94"/>
  <c r="AV93" i="94"/>
  <c r="AQ92" i="94"/>
  <c r="AY92" i="94"/>
  <c r="AP92" i="94"/>
  <c r="AW92" i="94"/>
  <c r="AO92" i="94"/>
  <c r="AR92" i="94"/>
  <c r="BB92" i="94"/>
  <c r="AH92" i="94"/>
  <c r="AT92" i="94"/>
  <c r="AZ92" i="94"/>
  <c r="AS92" i="94"/>
  <c r="AK92" i="94"/>
  <c r="AN92" i="94"/>
  <c r="AJ92" i="94"/>
  <c r="AM92" i="94"/>
  <c r="AX92" i="94"/>
  <c r="AI92" i="94"/>
  <c r="AL92" i="94"/>
  <c r="BA92" i="94"/>
  <c r="AV92" i="94"/>
  <c r="AU92" i="94"/>
  <c r="AG92" i="94"/>
  <c r="AI91" i="94"/>
  <c r="AW91" i="94"/>
  <c r="AH91" i="94"/>
  <c r="BB91" i="94"/>
  <c r="BA91" i="94"/>
  <c r="AK91" i="94"/>
  <c r="AR91" i="94"/>
  <c r="AO91" i="94"/>
  <c r="AP91" i="94"/>
  <c r="AQ91" i="94"/>
  <c r="AS91" i="94"/>
  <c r="AN91" i="94"/>
  <c r="AY91" i="94"/>
  <c r="AG91" i="94"/>
  <c r="AV91" i="94"/>
  <c r="AM91" i="94"/>
  <c r="AT91" i="94"/>
  <c r="AL91" i="94"/>
  <c r="AU91" i="94"/>
  <c r="AZ91" i="94"/>
  <c r="AJ91" i="94"/>
  <c r="AX91" i="94"/>
  <c r="AO129" i="94"/>
  <c r="AN129" i="94"/>
  <c r="AX129" i="94"/>
  <c r="AY129" i="94"/>
  <c r="AM129" i="94"/>
  <c r="AV129" i="94"/>
  <c r="AS129" i="94"/>
  <c r="AT129" i="94"/>
  <c r="BB129" i="94"/>
  <c r="AQ129" i="94"/>
  <c r="AL129" i="94"/>
  <c r="AH129" i="94"/>
  <c r="BA129" i="94"/>
  <c r="AK129" i="94"/>
  <c r="AZ129" i="94"/>
  <c r="AJ129" i="94"/>
  <c r="AI129" i="94"/>
  <c r="AW129" i="94"/>
  <c r="AP129" i="94"/>
  <c r="AG129" i="94"/>
  <c r="AR129" i="94"/>
  <c r="AU129" i="94"/>
  <c r="AI152" i="94"/>
  <c r="AL152" i="94"/>
  <c r="AU152" i="94"/>
  <c r="AK152" i="94"/>
  <c r="AQ152" i="94"/>
  <c r="AS152" i="94"/>
  <c r="AP152" i="94"/>
  <c r="AW152" i="94"/>
  <c r="AO152" i="94"/>
  <c r="AV152" i="94"/>
  <c r="AN152" i="94"/>
  <c r="AT152" i="94"/>
  <c r="AM152" i="94"/>
  <c r="AR152" i="94"/>
  <c r="AY152" i="94"/>
  <c r="BB152" i="94"/>
  <c r="AZ152" i="94"/>
  <c r="AH152" i="94"/>
  <c r="AJ152" i="94"/>
  <c r="AG152" i="94"/>
  <c r="AX152" i="94"/>
  <c r="BA152" i="94"/>
  <c r="BA100" i="94"/>
  <c r="AX100" i="94"/>
  <c r="AV100" i="94"/>
  <c r="AL100" i="94"/>
  <c r="AN100" i="94"/>
  <c r="AU100" i="94"/>
  <c r="BB100" i="94"/>
  <c r="AJ100" i="94"/>
  <c r="AT100" i="94"/>
  <c r="AY100" i="94"/>
  <c r="AM100" i="94"/>
  <c r="AS100" i="94"/>
  <c r="AR100" i="94"/>
  <c r="AQ100" i="94"/>
  <c r="AK100" i="94"/>
  <c r="AI100" i="94"/>
  <c r="AH100" i="94"/>
  <c r="AZ100" i="94"/>
  <c r="AP100" i="94"/>
  <c r="AO100" i="94"/>
  <c r="AW100" i="94"/>
  <c r="AG100" i="94"/>
  <c r="AI115" i="94"/>
  <c r="AH115" i="94"/>
  <c r="AL115" i="94"/>
  <c r="BA115" i="94"/>
  <c r="AM115" i="94"/>
  <c r="AZ115" i="94"/>
  <c r="BB115" i="94"/>
  <c r="AV115" i="94"/>
  <c r="AG115" i="94"/>
  <c r="AU115" i="94"/>
  <c r="AT115" i="94"/>
  <c r="AR115" i="94"/>
  <c r="AO115" i="94"/>
  <c r="AP115" i="94"/>
  <c r="AY115" i="94"/>
  <c r="AN115" i="94"/>
  <c r="AW115" i="94"/>
  <c r="AS115" i="94"/>
  <c r="AQ115" i="94"/>
  <c r="AJ115" i="94"/>
  <c r="AX115" i="94"/>
  <c r="AK115" i="94"/>
  <c r="AQ127" i="94"/>
  <c r="AZ127" i="94"/>
  <c r="AO127" i="94"/>
  <c r="AU127" i="94"/>
  <c r="AN127" i="94"/>
  <c r="AJ127" i="94"/>
  <c r="AM127" i="94"/>
  <c r="BA127" i="94"/>
  <c r="AS127" i="94"/>
  <c r="AK127" i="94"/>
  <c r="AP127" i="94"/>
  <c r="AI127" i="94"/>
  <c r="BB127" i="94"/>
  <c r="AX127" i="94"/>
  <c r="AL127" i="94"/>
  <c r="AH127" i="94"/>
  <c r="AY127" i="94"/>
  <c r="AW127" i="94"/>
  <c r="AV127" i="94"/>
  <c r="AG127" i="94"/>
  <c r="AR127" i="94"/>
  <c r="AT127" i="94"/>
  <c r="AU98" i="94"/>
  <c r="AJ98" i="94"/>
  <c r="AX98" i="94"/>
  <c r="AS98" i="94"/>
  <c r="AI98" i="94"/>
  <c r="AR98" i="94"/>
  <c r="AP98" i="94"/>
  <c r="AT98" i="94"/>
  <c r="AH98" i="94"/>
  <c r="AM98" i="94"/>
  <c r="AZ98" i="94"/>
  <c r="AW98" i="94"/>
  <c r="BB98" i="94"/>
  <c r="AY98" i="94"/>
  <c r="AQ98" i="94"/>
  <c r="AO98" i="94"/>
  <c r="AV98" i="94"/>
  <c r="AL98" i="94"/>
  <c r="AN98" i="94"/>
  <c r="BA98" i="94"/>
  <c r="AK98" i="94"/>
  <c r="AG98" i="94"/>
  <c r="AY163" i="94"/>
  <c r="AU163" i="94"/>
  <c r="AI163" i="94"/>
  <c r="AN163" i="94"/>
  <c r="AH163" i="94"/>
  <c r="AR163" i="94"/>
  <c r="AW163" i="94"/>
  <c r="BA163" i="94"/>
  <c r="AG163" i="94"/>
  <c r="AQ163" i="94"/>
  <c r="AX163" i="94"/>
  <c r="BB163" i="94"/>
  <c r="AT163" i="94"/>
  <c r="AP163" i="94"/>
  <c r="AS163" i="94"/>
  <c r="AL163" i="94"/>
  <c r="AV163" i="94"/>
  <c r="AO163" i="94"/>
  <c r="AZ163" i="94"/>
  <c r="AK163" i="94"/>
  <c r="AJ163" i="94"/>
  <c r="AM163" i="94"/>
  <c r="AR130" i="94"/>
  <c r="AW130" i="94"/>
  <c r="AQ130" i="94"/>
  <c r="AJ130" i="94"/>
  <c r="AO130" i="94"/>
  <c r="AZ130" i="94"/>
  <c r="AM130" i="94"/>
  <c r="AK130" i="94"/>
  <c r="AH130" i="94"/>
  <c r="AI130" i="94"/>
  <c r="AU130" i="94"/>
  <c r="AN130" i="94"/>
  <c r="BA130" i="94"/>
  <c r="AL130" i="94"/>
  <c r="BB130" i="94"/>
  <c r="AY130" i="94"/>
  <c r="AS130" i="94"/>
  <c r="AG130" i="94"/>
  <c r="AT130" i="94"/>
  <c r="AX130" i="94"/>
  <c r="AV130" i="94"/>
  <c r="AP130" i="94"/>
  <c r="AM126" i="94"/>
  <c r="AP126" i="94"/>
  <c r="BB126" i="94"/>
  <c r="AV126" i="94"/>
  <c r="AL126" i="94"/>
  <c r="AR126" i="94"/>
  <c r="AK126" i="94"/>
  <c r="AO126" i="94"/>
  <c r="AZ126" i="94"/>
  <c r="AX126" i="94"/>
  <c r="AJ126" i="94"/>
  <c r="AH126" i="94"/>
  <c r="AQ126" i="94"/>
  <c r="AG126" i="94"/>
  <c r="AI126" i="94"/>
  <c r="AU126" i="94"/>
  <c r="BA126" i="94"/>
  <c r="AT126" i="94"/>
  <c r="AY126" i="94"/>
  <c r="AN126" i="94"/>
  <c r="AW126" i="94"/>
  <c r="AS126" i="94"/>
  <c r="AO123" i="94"/>
  <c r="AQ123" i="94"/>
  <c r="AM123" i="94"/>
  <c r="AJ123" i="94"/>
  <c r="AG123" i="94"/>
  <c r="AH123" i="94"/>
  <c r="AX123" i="94"/>
  <c r="AI123" i="94"/>
  <c r="AN123" i="94"/>
  <c r="BA123" i="94"/>
  <c r="AL123" i="94"/>
  <c r="AV123" i="94"/>
  <c r="AK123" i="94"/>
  <c r="AW123" i="94"/>
  <c r="BB123" i="94"/>
  <c r="AU123" i="94"/>
  <c r="AZ123" i="94"/>
  <c r="AT123" i="94"/>
  <c r="AY123" i="94"/>
  <c r="AS123" i="94"/>
  <c r="AR123" i="94"/>
  <c r="AP123" i="94"/>
  <c r="AQ132" i="94"/>
  <c r="AS132" i="94"/>
  <c r="BA132" i="94"/>
  <c r="AP132" i="94"/>
  <c r="AO132" i="94"/>
  <c r="AG132" i="94"/>
  <c r="AL132" i="94"/>
  <c r="AN132" i="94"/>
  <c r="AZ132" i="94"/>
  <c r="AU132" i="94"/>
  <c r="AK132" i="94"/>
  <c r="AY132" i="94"/>
  <c r="AJ132" i="94"/>
  <c r="AX132" i="94"/>
  <c r="AW132" i="94"/>
  <c r="AH132" i="94"/>
  <c r="AM132" i="94"/>
  <c r="AV132" i="94"/>
  <c r="AR132" i="94"/>
  <c r="AI132" i="94"/>
  <c r="BB132" i="94"/>
  <c r="AT132" i="94"/>
  <c r="AV128" i="94"/>
  <c r="AY128" i="94"/>
  <c r="AU128" i="94"/>
  <c r="AP128" i="94"/>
  <c r="AR128" i="94"/>
  <c r="AO128" i="94"/>
  <c r="AX128" i="94"/>
  <c r="AM128" i="94"/>
  <c r="AS128" i="94"/>
  <c r="BB128" i="94"/>
  <c r="AQ128" i="94"/>
  <c r="AL128" i="94"/>
  <c r="AZ128" i="94"/>
  <c r="AH128" i="94"/>
  <c r="AJ128" i="94"/>
  <c r="AT128" i="94"/>
  <c r="AI128" i="94"/>
  <c r="AK128" i="94"/>
  <c r="AW128" i="94"/>
  <c r="AN128" i="94"/>
  <c r="AG128" i="94"/>
  <c r="BA128" i="94"/>
  <c r="AO124" i="94"/>
  <c r="AS124" i="94"/>
  <c r="AN124" i="94"/>
  <c r="AH124" i="94"/>
  <c r="AG124" i="94"/>
  <c r="AY124" i="94"/>
  <c r="BA124" i="94"/>
  <c r="AX124" i="94"/>
  <c r="AL124" i="94"/>
  <c r="AV124" i="94"/>
  <c r="BB124" i="94"/>
  <c r="AT124" i="94"/>
  <c r="AZ124" i="94"/>
  <c r="AU124" i="94"/>
  <c r="AK124" i="94"/>
  <c r="AR124" i="94"/>
  <c r="AW124" i="94"/>
  <c r="AM124" i="94"/>
  <c r="AQ124" i="94"/>
  <c r="AJ124" i="94"/>
  <c r="AP124" i="94"/>
  <c r="AI124" i="94"/>
  <c r="AM135" i="94"/>
  <c r="AO135" i="94"/>
  <c r="AY135" i="94"/>
  <c r="AI135" i="94"/>
  <c r="AX135" i="94"/>
  <c r="AL135" i="94"/>
  <c r="AW135" i="94"/>
  <c r="AH135" i="94"/>
  <c r="AU135" i="94"/>
  <c r="AS135" i="94"/>
  <c r="AR135" i="94"/>
  <c r="AN135" i="94"/>
  <c r="BA135" i="94"/>
  <c r="BB135" i="94"/>
  <c r="AJ135" i="94"/>
  <c r="AZ135" i="94"/>
  <c r="AP135" i="94"/>
  <c r="AV135" i="94"/>
  <c r="AK135" i="94"/>
  <c r="AQ135" i="94"/>
  <c r="AT135" i="94"/>
  <c r="AG135" i="94"/>
  <c r="AS120" i="94"/>
  <c r="AJ120" i="94"/>
  <c r="AR120" i="94"/>
  <c r="AO120" i="94"/>
  <c r="AN120" i="94"/>
  <c r="AH120" i="94"/>
  <c r="AM120" i="94"/>
  <c r="AZ120" i="94"/>
  <c r="BB120" i="94"/>
  <c r="AY120" i="94"/>
  <c r="AQ120" i="94"/>
  <c r="AW120" i="94"/>
  <c r="AG120" i="94"/>
  <c r="AU120" i="94"/>
  <c r="BA120" i="94"/>
  <c r="AP120" i="94"/>
  <c r="AX120" i="94"/>
  <c r="AL120" i="94"/>
  <c r="AT120" i="94"/>
  <c r="AK120" i="94"/>
  <c r="AV120" i="94"/>
  <c r="AI120" i="94"/>
  <c r="AS139" i="94"/>
  <c r="AM139" i="94"/>
  <c r="AX139" i="94"/>
  <c r="BB139" i="94"/>
  <c r="AR139" i="94"/>
  <c r="BA139" i="94"/>
  <c r="AJ139" i="94"/>
  <c r="AL139" i="94"/>
  <c r="AP139" i="94"/>
  <c r="AZ139" i="94"/>
  <c r="AI139" i="94"/>
  <c r="AG139" i="94"/>
  <c r="AY139" i="94"/>
  <c r="AK139" i="94"/>
  <c r="AW139" i="94"/>
  <c r="AU139" i="94"/>
  <c r="AV139" i="94"/>
  <c r="AH139" i="94"/>
  <c r="AO139" i="94"/>
  <c r="AQ139" i="94"/>
  <c r="AT139" i="94"/>
  <c r="AN139" i="94"/>
  <c r="BB125" i="94"/>
  <c r="AN125" i="94"/>
  <c r="AS125" i="94"/>
  <c r="AL125" i="94"/>
  <c r="BA125" i="94"/>
  <c r="AR125" i="94"/>
  <c r="AK125" i="94"/>
  <c r="AZ125" i="94"/>
  <c r="AW125" i="94"/>
  <c r="AG125" i="94"/>
  <c r="AV125" i="94"/>
  <c r="AT125" i="94"/>
  <c r="AU125" i="94"/>
  <c r="AJ125" i="94"/>
  <c r="AQ125" i="94"/>
  <c r="AI125" i="94"/>
  <c r="AP125" i="94"/>
  <c r="AH125" i="94"/>
  <c r="AM125" i="94"/>
  <c r="AY125" i="94"/>
  <c r="AX125" i="94"/>
  <c r="AO125" i="94"/>
  <c r="AX133" i="94"/>
  <c r="AH133" i="94"/>
  <c r="AZ133" i="94"/>
  <c r="AU133" i="94"/>
  <c r="AN133" i="94"/>
  <c r="AT133" i="94"/>
  <c r="AJ133" i="94"/>
  <c r="AS133" i="94"/>
  <c r="AI133" i="94"/>
  <c r="AV133" i="94"/>
  <c r="AP133" i="94"/>
  <c r="AR133" i="94"/>
  <c r="AO133" i="94"/>
  <c r="AQ133" i="94"/>
  <c r="BB133" i="94"/>
  <c r="AM133" i="94"/>
  <c r="AL133" i="94"/>
  <c r="AY133" i="94"/>
  <c r="BA133" i="94"/>
  <c r="AW133" i="94"/>
  <c r="AK133" i="94"/>
  <c r="AG133" i="94"/>
  <c r="AW134" i="94"/>
  <c r="AM134" i="94"/>
  <c r="AY134" i="94"/>
  <c r="BB134" i="94"/>
  <c r="AG134" i="94"/>
  <c r="AL134" i="94"/>
  <c r="AV134" i="94"/>
  <c r="AP134" i="94"/>
  <c r="AU134" i="94"/>
  <c r="AK134" i="94"/>
  <c r="AT134" i="94"/>
  <c r="AS134" i="94"/>
  <c r="AQ134" i="94"/>
  <c r="AO134" i="94"/>
  <c r="AJ134" i="94"/>
  <c r="AN134" i="94"/>
  <c r="AI134" i="94"/>
  <c r="AZ134" i="94"/>
  <c r="AH134" i="94"/>
  <c r="AX134" i="94"/>
  <c r="BA134" i="94"/>
  <c r="AR134" i="94"/>
  <c r="AG119" i="94"/>
  <c r="AW119" i="94"/>
  <c r="AV119" i="94"/>
  <c r="AR119" i="94"/>
  <c r="AL119" i="94"/>
  <c r="AI119" i="94"/>
  <c r="AU119" i="94"/>
  <c r="AX119" i="94"/>
  <c r="AK119" i="94"/>
  <c r="AT119" i="94"/>
  <c r="BA119" i="94"/>
  <c r="AS119" i="94"/>
  <c r="AY119" i="94"/>
  <c r="AQ119" i="94"/>
  <c r="BB119" i="94"/>
  <c r="AH119" i="94"/>
  <c r="AZ119" i="94"/>
  <c r="AP119" i="94"/>
  <c r="AO119" i="94"/>
  <c r="AN119" i="94"/>
  <c r="AJ119" i="94"/>
  <c r="AM119" i="94"/>
  <c r="AS138" i="94"/>
  <c r="AW138" i="94"/>
  <c r="AI138" i="94"/>
  <c r="AT138" i="94"/>
  <c r="AR138" i="94"/>
  <c r="AP138" i="94"/>
  <c r="AO138" i="94"/>
  <c r="AM138" i="94"/>
  <c r="BB138" i="94"/>
  <c r="AG138" i="94"/>
  <c r="AL138" i="94"/>
  <c r="AY138" i="94"/>
  <c r="AJ138" i="94"/>
  <c r="BA138" i="94"/>
  <c r="AV138" i="94"/>
  <c r="AZ138" i="94"/>
  <c r="AQ138" i="94"/>
  <c r="AX138" i="94"/>
  <c r="AU138" i="94"/>
  <c r="AK138" i="94"/>
  <c r="AN138" i="94"/>
  <c r="AH138" i="94"/>
  <c r="AU109" i="94"/>
  <c r="BA109" i="94"/>
  <c r="AT109" i="94"/>
  <c r="AR109" i="94"/>
  <c r="AQ109" i="94"/>
  <c r="AI109" i="94"/>
  <c r="AO109" i="94"/>
  <c r="AM109" i="94"/>
  <c r="AN109" i="94"/>
  <c r="AX109" i="94"/>
  <c r="AL109" i="94"/>
  <c r="AS109" i="94"/>
  <c r="AK109" i="94"/>
  <c r="AP109" i="94"/>
  <c r="AJ109" i="94"/>
  <c r="AH109" i="94"/>
  <c r="AG109" i="94"/>
  <c r="BB109" i="94"/>
  <c r="AW109" i="94"/>
  <c r="AZ109" i="94"/>
  <c r="AV109" i="94"/>
  <c r="AY109" i="94"/>
  <c r="AS136" i="94"/>
  <c r="AZ136" i="94"/>
  <c r="AW136" i="94"/>
  <c r="AV136" i="94"/>
  <c r="AQ136" i="94"/>
  <c r="BB136" i="94"/>
  <c r="AG136" i="94"/>
  <c r="AU136" i="94"/>
  <c r="AP136" i="94"/>
  <c r="AI136" i="94"/>
  <c r="AO136" i="94"/>
  <c r="AH136" i="94"/>
  <c r="AN136" i="94"/>
  <c r="AM136" i="94"/>
  <c r="BA136" i="94"/>
  <c r="AL136" i="94"/>
  <c r="AK136" i="94"/>
  <c r="AY136" i="94"/>
  <c r="AT136" i="94"/>
  <c r="AJ136" i="94"/>
  <c r="AX136" i="94"/>
  <c r="AR136" i="94"/>
  <c r="AM122" i="94"/>
  <c r="AH122" i="94"/>
  <c r="AS122" i="94"/>
  <c r="AP122" i="94"/>
  <c r="BB122" i="94"/>
  <c r="AV122" i="94"/>
  <c r="AR122" i="94"/>
  <c r="AT122" i="94"/>
  <c r="AG122" i="94"/>
  <c r="AN122" i="94"/>
  <c r="AQ122" i="94"/>
  <c r="AO122" i="94"/>
  <c r="BA122" i="94"/>
  <c r="AL122" i="94"/>
  <c r="AZ122" i="94"/>
  <c r="AK122" i="94"/>
  <c r="AY122" i="94"/>
  <c r="AJ122" i="94"/>
  <c r="AU122" i="94"/>
  <c r="AX122" i="94"/>
  <c r="AI122" i="94"/>
  <c r="AW122" i="94"/>
  <c r="AP118" i="94"/>
  <c r="AG118" i="94"/>
  <c r="AM118" i="94"/>
  <c r="BB118" i="94"/>
  <c r="AT118" i="94"/>
  <c r="AL118" i="94"/>
  <c r="AO118" i="94"/>
  <c r="AK118" i="94"/>
  <c r="AN118" i="94"/>
  <c r="AZ118" i="94"/>
  <c r="BA118" i="94"/>
  <c r="AJ118" i="94"/>
  <c r="AS118" i="94"/>
  <c r="AY118" i="94"/>
  <c r="AW118" i="94"/>
  <c r="AX118" i="94"/>
  <c r="AV118" i="94"/>
  <c r="AU118" i="94"/>
  <c r="AR118" i="94"/>
  <c r="AH118" i="94"/>
  <c r="AQ118" i="94"/>
  <c r="AI118" i="94"/>
  <c r="AI110" i="94"/>
  <c r="AV110" i="94"/>
  <c r="AY110" i="94"/>
  <c r="AH110" i="94"/>
  <c r="AW110" i="94"/>
  <c r="AT110" i="94"/>
  <c r="AX110" i="94"/>
  <c r="AS110" i="94"/>
  <c r="AO110" i="94"/>
  <c r="AR110" i="94"/>
  <c r="AK110" i="94"/>
  <c r="AU110" i="94"/>
  <c r="AN110" i="94"/>
  <c r="AQ110" i="94"/>
  <c r="AL110" i="94"/>
  <c r="AP110" i="94"/>
  <c r="BA110" i="94"/>
  <c r="BB110" i="94"/>
  <c r="AJ110" i="94"/>
  <c r="AG110" i="94"/>
  <c r="AZ110" i="94"/>
  <c r="AM110" i="94"/>
  <c r="AX107" i="94"/>
  <c r="AR107" i="94"/>
  <c r="AK107" i="94"/>
  <c r="AM107" i="94"/>
  <c r="AY107" i="94"/>
  <c r="AU107" i="94"/>
  <c r="AQ107" i="94"/>
  <c r="AO107" i="94"/>
  <c r="AN107" i="94"/>
  <c r="AW107" i="94"/>
  <c r="AG107" i="94"/>
  <c r="AI107" i="94"/>
  <c r="AV107" i="94"/>
  <c r="AH107" i="94"/>
  <c r="AP107" i="94"/>
  <c r="BB107" i="94"/>
  <c r="AL107" i="94"/>
  <c r="AT107" i="94"/>
  <c r="AJ107" i="94"/>
  <c r="AZ107" i="94"/>
  <c r="BA107" i="94"/>
  <c r="AS107" i="94"/>
  <c r="AY116" i="94"/>
  <c r="AO116" i="94"/>
  <c r="BA116" i="94"/>
  <c r="AZ116" i="94"/>
  <c r="AJ116" i="94"/>
  <c r="AI116" i="94"/>
  <c r="AX116" i="94"/>
  <c r="AM116" i="94"/>
  <c r="AK116" i="94"/>
  <c r="AT116" i="94"/>
  <c r="AH116" i="94"/>
  <c r="AV116" i="94"/>
  <c r="AG116" i="94"/>
  <c r="AS116" i="94"/>
  <c r="AW116" i="94"/>
  <c r="AN116" i="94"/>
  <c r="AU116" i="94"/>
  <c r="AR116" i="94"/>
  <c r="AL116" i="94"/>
  <c r="AQ116" i="94"/>
  <c r="BB116" i="94"/>
  <c r="AP116" i="94"/>
  <c r="AK111" i="94"/>
  <c r="AV111" i="94"/>
  <c r="AJ111" i="94"/>
  <c r="AQ111" i="94"/>
  <c r="AI111" i="94"/>
  <c r="AL111" i="94"/>
  <c r="AH111" i="94"/>
  <c r="AG111" i="94"/>
  <c r="BA111" i="94"/>
  <c r="AT111" i="94"/>
  <c r="AY111" i="94"/>
  <c r="AS111" i="94"/>
  <c r="AU111" i="94"/>
  <c r="AR111" i="94"/>
  <c r="AX111" i="94"/>
  <c r="AZ111" i="94"/>
  <c r="AM111" i="94"/>
  <c r="AW111" i="94"/>
  <c r="BB111" i="94"/>
  <c r="AP111" i="94"/>
  <c r="AO111" i="94"/>
  <c r="AN111" i="94"/>
  <c r="AL106" i="94"/>
  <c r="AP106" i="94"/>
  <c r="AN106" i="94"/>
  <c r="AZ106" i="94"/>
  <c r="BB106" i="94"/>
  <c r="AK106" i="94"/>
  <c r="AU106" i="94"/>
  <c r="AY106" i="94"/>
  <c r="AR106" i="94"/>
  <c r="AJ106" i="94"/>
  <c r="AG106" i="94"/>
  <c r="AI106" i="94"/>
  <c r="AS106" i="94"/>
  <c r="AW106" i="94"/>
  <c r="AQ106" i="94"/>
  <c r="AH106" i="94"/>
  <c r="AO106" i="94"/>
  <c r="AX106" i="94"/>
  <c r="BA106" i="94"/>
  <c r="AV106" i="94"/>
  <c r="AM106" i="94"/>
  <c r="AT106" i="94"/>
  <c r="AG117" i="94"/>
  <c r="AN117" i="94"/>
  <c r="AV117" i="94"/>
  <c r="AK117" i="94"/>
  <c r="AU117" i="94"/>
  <c r="AH117" i="94"/>
  <c r="AW117" i="94"/>
  <c r="AR117" i="94"/>
  <c r="AT117" i="94"/>
  <c r="AQ117" i="94"/>
  <c r="AS117" i="94"/>
  <c r="BB117" i="94"/>
  <c r="AM117" i="94"/>
  <c r="AL117" i="94"/>
  <c r="AO117" i="94"/>
  <c r="AZ117" i="94"/>
  <c r="AY117" i="94"/>
  <c r="AJ117" i="94"/>
  <c r="AI117" i="94"/>
  <c r="BA117" i="94"/>
  <c r="AX117" i="94"/>
  <c r="AP117" i="94"/>
  <c r="AN105" i="94"/>
  <c r="AZ105" i="94"/>
  <c r="AQ105" i="94"/>
  <c r="AY105" i="94"/>
  <c r="AJ105" i="94"/>
  <c r="AK105" i="94"/>
  <c r="AP105" i="94"/>
  <c r="AO105" i="94"/>
  <c r="AM105" i="94"/>
  <c r="BB105" i="94"/>
  <c r="AG105" i="94"/>
  <c r="BA105" i="94"/>
  <c r="AX105" i="94"/>
  <c r="AI105" i="94"/>
  <c r="AH105" i="94"/>
  <c r="AV105" i="94"/>
  <c r="AT105" i="94"/>
  <c r="AU105" i="94"/>
  <c r="AW105" i="94"/>
  <c r="AR105" i="94"/>
  <c r="AS105" i="94"/>
  <c r="AL105" i="94"/>
  <c r="AY108" i="94"/>
  <c r="AH102" i="94"/>
  <c r="AU102" i="94"/>
  <c r="AY102" i="94"/>
  <c r="BB102" i="94"/>
  <c r="AV102" i="94"/>
  <c r="AT102" i="94"/>
  <c r="AS102" i="94"/>
  <c r="AN102" i="94"/>
  <c r="AJ102" i="94"/>
  <c r="AR102" i="94"/>
  <c r="AW102" i="94"/>
  <c r="AL102" i="94"/>
  <c r="AM102" i="94"/>
  <c r="AQ102" i="94"/>
  <c r="AI102" i="94"/>
  <c r="AP102" i="94"/>
  <c r="AG102" i="94"/>
  <c r="AO102" i="94"/>
  <c r="BA102" i="94"/>
  <c r="AK102" i="94"/>
  <c r="AZ102" i="94"/>
  <c r="AX102" i="94"/>
  <c r="AN148" i="94"/>
  <c r="AO148" i="94"/>
  <c r="AV148" i="94"/>
  <c r="AH148" i="94"/>
  <c r="AP148" i="94"/>
  <c r="BB148" i="94"/>
  <c r="AJ148" i="94"/>
  <c r="AM148" i="94"/>
  <c r="AI148" i="94"/>
  <c r="BA148" i="94"/>
  <c r="AQ148" i="94"/>
  <c r="AL148" i="94"/>
  <c r="AG148" i="94"/>
  <c r="AZ148" i="94"/>
  <c r="AK148" i="94"/>
  <c r="AY148" i="94"/>
  <c r="AX148" i="94"/>
  <c r="AW148" i="94"/>
  <c r="AU148" i="94"/>
  <c r="AT148" i="94"/>
  <c r="AS148" i="94"/>
  <c r="AR148" i="94"/>
  <c r="AO96" i="94"/>
  <c r="AU96" i="94"/>
  <c r="BB96" i="94"/>
  <c r="AQ96" i="94"/>
  <c r="AZ96" i="94"/>
  <c r="AN96" i="94"/>
  <c r="AL96" i="94"/>
  <c r="AJ96" i="94"/>
  <c r="AK96" i="94"/>
  <c r="AY96" i="94"/>
  <c r="BA96" i="94"/>
  <c r="AI96" i="94"/>
  <c r="AR96" i="94"/>
  <c r="AH96" i="94"/>
  <c r="AM96" i="94"/>
  <c r="AW96" i="94"/>
  <c r="AT96" i="94"/>
  <c r="AG96" i="94"/>
  <c r="AS96" i="94"/>
  <c r="AX96" i="94"/>
  <c r="AP96" i="94"/>
  <c r="AV96" i="94"/>
  <c r="AW101" i="94"/>
  <c r="AV101" i="94"/>
  <c r="AZ101" i="94"/>
  <c r="AY101" i="94"/>
  <c r="AX101" i="94"/>
  <c r="AU101" i="94"/>
  <c r="AG101" i="94"/>
  <c r="AR101" i="94"/>
  <c r="AJ101" i="94"/>
  <c r="AN101" i="94"/>
  <c r="AS101" i="94"/>
  <c r="AI101" i="94"/>
  <c r="AQ101" i="94"/>
  <c r="BB101" i="94"/>
  <c r="AP101" i="94"/>
  <c r="AH101" i="94"/>
  <c r="AO101" i="94"/>
  <c r="AL101" i="94"/>
  <c r="AM101" i="94"/>
  <c r="BA101" i="94"/>
  <c r="AT101" i="94"/>
  <c r="AK101" i="94"/>
  <c r="AX149" i="94"/>
  <c r="AH149" i="94"/>
  <c r="AW149" i="94"/>
  <c r="AG149" i="94"/>
  <c r="AV149" i="94"/>
  <c r="AZ149" i="94"/>
  <c r="AU149" i="94"/>
  <c r="AT149" i="94"/>
  <c r="AI149" i="94"/>
  <c r="AM149" i="94"/>
  <c r="AN149" i="94"/>
  <c r="AY149" i="94"/>
  <c r="AS149" i="94"/>
  <c r="BB149" i="94"/>
  <c r="AO149" i="94"/>
  <c r="AR149" i="94"/>
  <c r="AQ149" i="94"/>
  <c r="BA149" i="94"/>
  <c r="AP149" i="94"/>
  <c r="AJ149" i="94"/>
  <c r="AL149" i="94"/>
  <c r="AK149" i="94"/>
  <c r="AV95" i="94"/>
  <c r="AY95" i="94"/>
  <c r="AU95" i="94"/>
  <c r="AI95" i="94"/>
  <c r="AS95" i="94"/>
  <c r="AM95" i="94"/>
  <c r="AR95" i="94"/>
  <c r="AZ95" i="94"/>
  <c r="AQ95" i="94"/>
  <c r="BB95" i="94"/>
  <c r="AT95" i="94"/>
  <c r="AX95" i="94"/>
  <c r="AO95" i="94"/>
  <c r="BA95" i="94"/>
  <c r="AN95" i="94"/>
  <c r="AH95" i="94"/>
  <c r="AJ95" i="94"/>
  <c r="AP95" i="94"/>
  <c r="AW95" i="94"/>
  <c r="AL95" i="94"/>
  <c r="AG95" i="94"/>
  <c r="AK95" i="94"/>
  <c r="AW112" i="94"/>
  <c r="AP112" i="94"/>
  <c r="AR112" i="94"/>
  <c r="AG112" i="94"/>
  <c r="AQ112" i="94"/>
  <c r="AO112" i="94"/>
  <c r="AN112" i="94"/>
  <c r="AU112" i="94"/>
  <c r="AV112" i="94"/>
  <c r="AM112" i="94"/>
  <c r="AL112" i="94"/>
  <c r="BA112" i="94"/>
  <c r="AH112" i="94"/>
  <c r="AK112" i="94"/>
  <c r="AZ112" i="94"/>
  <c r="AJ112" i="94"/>
  <c r="AY112" i="94"/>
  <c r="AI112" i="94"/>
  <c r="BB112" i="94"/>
  <c r="AT112" i="94"/>
  <c r="AX112" i="94"/>
  <c r="AS112" i="94"/>
  <c r="AG103" i="94"/>
  <c r="AH103" i="94"/>
  <c r="AM103" i="94"/>
  <c r="AO103" i="94"/>
  <c r="AI103" i="94"/>
  <c r="AN103" i="94"/>
  <c r="AX103" i="94"/>
  <c r="AV103" i="94"/>
  <c r="AZ103" i="94"/>
  <c r="AU103" i="94"/>
  <c r="AW103" i="94"/>
  <c r="AT103" i="94"/>
  <c r="BB103" i="94"/>
  <c r="AR103" i="94"/>
  <c r="AQ103" i="94"/>
  <c r="AP103" i="94"/>
  <c r="AS103" i="94"/>
  <c r="AL103" i="94"/>
  <c r="AK103" i="94"/>
  <c r="BA103" i="94"/>
  <c r="AJ103" i="94"/>
  <c r="AY103" i="94"/>
  <c r="AV153" i="94"/>
  <c r="AW153" i="94"/>
  <c r="BB153" i="94"/>
  <c r="AR153" i="94"/>
  <c r="AU153" i="94"/>
  <c r="AG153" i="94"/>
  <c r="AT153" i="94"/>
  <c r="BA153" i="94"/>
  <c r="AQ153" i="94"/>
  <c r="AL153" i="94"/>
  <c r="AO153" i="94"/>
  <c r="AZ153" i="94"/>
  <c r="AN153" i="94"/>
  <c r="AY153" i="94"/>
  <c r="AH153" i="94"/>
  <c r="AJ153" i="94"/>
  <c r="AS153" i="94"/>
  <c r="AX153" i="94"/>
  <c r="AP153" i="94"/>
  <c r="AK153" i="94"/>
  <c r="AM153" i="94"/>
  <c r="AI153" i="94"/>
  <c r="BB150" i="94"/>
  <c r="AR150" i="94"/>
  <c r="AQ150" i="94"/>
  <c r="AP150" i="94"/>
  <c r="BA150" i="94"/>
  <c r="AO150" i="94"/>
  <c r="AN150" i="94"/>
  <c r="AL150" i="94"/>
  <c r="AK150" i="94"/>
  <c r="AV150" i="94"/>
  <c r="AZ150" i="94"/>
  <c r="AT150" i="94"/>
  <c r="AJ150" i="94"/>
  <c r="AY150" i="94"/>
  <c r="AI150" i="94"/>
  <c r="AX150" i="94"/>
  <c r="AW150" i="94"/>
  <c r="AG150" i="94"/>
  <c r="AM150" i="94"/>
  <c r="AS150" i="94"/>
  <c r="AU150" i="94"/>
  <c r="AH150" i="94"/>
  <c r="AS97" i="94"/>
  <c r="AN97" i="94"/>
  <c r="AP97" i="94"/>
  <c r="AM97" i="94"/>
  <c r="AV97" i="94"/>
  <c r="AL97" i="94"/>
  <c r="AR97" i="94"/>
  <c r="BA97" i="94"/>
  <c r="AQ97" i="94"/>
  <c r="AK97" i="94"/>
  <c r="AY97" i="94"/>
  <c r="AO97" i="94"/>
  <c r="AI97" i="94"/>
  <c r="BB97" i="94"/>
  <c r="AH97" i="94"/>
  <c r="AZ97" i="94"/>
  <c r="AW97" i="94"/>
  <c r="AJ97" i="94"/>
  <c r="AG97" i="94"/>
  <c r="AX97" i="94"/>
  <c r="AT97" i="94"/>
  <c r="AU97" i="94"/>
  <c r="AS113" i="94"/>
  <c r="BB113" i="94"/>
  <c r="AH113" i="94"/>
  <c r="AL113" i="94"/>
  <c r="AQ113" i="94"/>
  <c r="AK113" i="94"/>
  <c r="AW113" i="94"/>
  <c r="AZ113" i="94"/>
  <c r="AG113" i="94"/>
  <c r="AJ113" i="94"/>
  <c r="AU113" i="94"/>
  <c r="AI113" i="94"/>
  <c r="AP113" i="94"/>
  <c r="BA113" i="94"/>
  <c r="AR113" i="94"/>
  <c r="AY113" i="94"/>
  <c r="AO113" i="94"/>
  <c r="AV113" i="94"/>
  <c r="AX113" i="94"/>
  <c r="AN113" i="94"/>
  <c r="AT113" i="94"/>
  <c r="AM113" i="94"/>
  <c r="AL104" i="94"/>
  <c r="BB104" i="94"/>
  <c r="AZ104" i="94"/>
  <c r="AQ104" i="94"/>
  <c r="AK104" i="94"/>
  <c r="AP104" i="94"/>
  <c r="AH104" i="94"/>
  <c r="AY104" i="94"/>
  <c r="AI104" i="94"/>
  <c r="AN104" i="94"/>
  <c r="AV104" i="94"/>
  <c r="AJ104" i="94"/>
  <c r="AU104" i="94"/>
  <c r="AG104" i="94"/>
  <c r="AT104" i="94"/>
  <c r="AX104" i="94"/>
  <c r="AS104" i="94"/>
  <c r="AW104" i="94"/>
  <c r="AR104" i="94"/>
  <c r="AO104" i="94"/>
  <c r="BA104" i="94"/>
  <c r="AM104" i="94"/>
  <c r="AH151" i="94"/>
  <c r="AG151" i="94"/>
  <c r="AY151" i="94"/>
  <c r="AX151" i="94"/>
  <c r="AS151" i="94"/>
  <c r="AV151" i="94"/>
  <c r="AN151" i="94"/>
  <c r="AU151" i="94"/>
  <c r="BB151" i="94"/>
  <c r="AT151" i="94"/>
  <c r="AK151" i="94"/>
  <c r="AO151" i="94"/>
  <c r="BA151" i="94"/>
  <c r="AQ151" i="94"/>
  <c r="AZ151" i="94"/>
  <c r="AM151" i="94"/>
  <c r="AL151" i="94"/>
  <c r="AP151" i="94"/>
  <c r="AI151" i="94"/>
  <c r="AR151" i="94"/>
  <c r="AW151" i="94"/>
  <c r="AJ151" i="94"/>
  <c r="AP147" i="94"/>
  <c r="AJ147" i="94"/>
  <c r="AN114" i="94"/>
  <c r="AO114" i="94"/>
  <c r="BA114" i="94"/>
  <c r="AI114" i="94"/>
  <c r="AY114" i="94"/>
  <c r="AJ114" i="94"/>
  <c r="AZ114" i="94"/>
  <c r="AX114" i="94"/>
  <c r="AQ114" i="94"/>
  <c r="AR114" i="94"/>
  <c r="AG114" i="94"/>
  <c r="AL114" i="94"/>
  <c r="AK114" i="94"/>
  <c r="AH114" i="94"/>
  <c r="BB114" i="94"/>
  <c r="AU114" i="94"/>
  <c r="AS114" i="94"/>
  <c r="AM114" i="94"/>
  <c r="AW114" i="94"/>
  <c r="AT114" i="94"/>
  <c r="AP114" i="94"/>
  <c r="AV114" i="94"/>
  <c r="AP162" i="94"/>
  <c r="AT162" i="94"/>
  <c r="AN162" i="94"/>
  <c r="AO162" i="94"/>
  <c r="AK162" i="94"/>
  <c r="AL162" i="94"/>
  <c r="AG162" i="94"/>
  <c r="AM162" i="94"/>
  <c r="AI162" i="94"/>
  <c r="AJ162" i="94"/>
  <c r="AH162" i="94"/>
  <c r="AQ162" i="94"/>
  <c r="AX162" i="94"/>
  <c r="AY162" i="94"/>
  <c r="BA162" i="94"/>
  <c r="AW162" i="94"/>
  <c r="AS162" i="94"/>
  <c r="AV162" i="94"/>
  <c r="AZ162" i="94"/>
  <c r="BB162" i="94"/>
  <c r="AR162" i="94"/>
  <c r="AU162" i="94"/>
  <c r="AU145" i="94"/>
  <c r="AL145" i="94"/>
  <c r="AS145" i="94"/>
  <c r="BA145" i="94"/>
  <c r="AJ145" i="94"/>
  <c r="BB145" i="94"/>
  <c r="AY145" i="94"/>
  <c r="AK145" i="94"/>
  <c r="AH145" i="94"/>
  <c r="AP145" i="94"/>
  <c r="AX145" i="94"/>
  <c r="AR145" i="94"/>
  <c r="AZ145" i="94"/>
  <c r="AI145" i="94"/>
  <c r="AQ145" i="94"/>
  <c r="AG145" i="94"/>
  <c r="AM145" i="94"/>
  <c r="AN145" i="94"/>
  <c r="AO145" i="94"/>
  <c r="AV145" i="94"/>
  <c r="AT145" i="94"/>
  <c r="AW145" i="94"/>
  <c r="AY143" i="94"/>
  <c r="AT143" i="94"/>
  <c r="AI143" i="94"/>
  <c r="AX143" i="94"/>
  <c r="AW143" i="94"/>
  <c r="AG143" i="94"/>
  <c r="BA143" i="94"/>
  <c r="AV143" i="94"/>
  <c r="AK143" i="94"/>
  <c r="AU143" i="94"/>
  <c r="AZ143" i="94"/>
  <c r="AQ143" i="94"/>
  <c r="AJ143" i="94"/>
  <c r="AP143" i="94"/>
  <c r="AH143" i="94"/>
  <c r="AN143" i="94"/>
  <c r="AO143" i="94"/>
  <c r="AR143" i="94"/>
  <c r="AS143" i="94"/>
  <c r="AM143" i="94"/>
  <c r="AL143" i="94"/>
  <c r="BB143" i="94"/>
  <c r="AJ140" i="94"/>
  <c r="AW140" i="94"/>
  <c r="AY140" i="94"/>
  <c r="AS140" i="94"/>
  <c r="AX140" i="94"/>
  <c r="AK140" i="94"/>
  <c r="AN140" i="94"/>
  <c r="BB140" i="94"/>
  <c r="AR140" i="94"/>
  <c r="AG140" i="94"/>
  <c r="AQ140" i="94"/>
  <c r="AZ140" i="94"/>
  <c r="AT140" i="94"/>
  <c r="AI140" i="94"/>
  <c r="AH140" i="94"/>
  <c r="AL140" i="94"/>
  <c r="BA140" i="94"/>
  <c r="AM140" i="94"/>
  <c r="AO140" i="94"/>
  <c r="AP140" i="94"/>
  <c r="AV140" i="94"/>
  <c r="AU140" i="94"/>
  <c r="BB160" i="94"/>
  <c r="AW160" i="94"/>
  <c r="AL160" i="94"/>
  <c r="AT160" i="94"/>
  <c r="BA160" i="94"/>
  <c r="AK160" i="94"/>
  <c r="AJ160" i="94"/>
  <c r="AY160" i="94"/>
  <c r="AR160" i="94"/>
  <c r="AI160" i="94"/>
  <c r="AS160" i="94"/>
  <c r="AZ160" i="94"/>
  <c r="AO160" i="94"/>
  <c r="AV160" i="94"/>
  <c r="AH160" i="94"/>
  <c r="AU160" i="94"/>
  <c r="AN160" i="94"/>
  <c r="AQ160" i="94"/>
  <c r="AG160" i="94"/>
  <c r="AP160" i="94"/>
  <c r="AM160" i="94"/>
  <c r="AX160" i="94"/>
  <c r="AV142" i="94"/>
  <c r="AT142" i="94"/>
  <c r="AO142" i="94"/>
  <c r="AG142" i="94"/>
  <c r="AS142" i="94"/>
  <c r="AN142" i="94"/>
  <c r="AQ142" i="94"/>
  <c r="BB142" i="94"/>
  <c r="AM142" i="94"/>
  <c r="AP142" i="94"/>
  <c r="AH142" i="94"/>
  <c r="BA142" i="94"/>
  <c r="AX142" i="94"/>
  <c r="AK142" i="94"/>
  <c r="AI142" i="94"/>
  <c r="AZ142" i="94"/>
  <c r="AU142" i="94"/>
  <c r="AL142" i="94"/>
  <c r="AR142" i="94"/>
  <c r="AJ142" i="94"/>
  <c r="AW142" i="94"/>
  <c r="AY142" i="94"/>
  <c r="AP146" i="94"/>
  <c r="AI146" i="94"/>
  <c r="AW146" i="94"/>
  <c r="AZ146" i="94"/>
  <c r="AM146" i="94"/>
  <c r="AQ146" i="94"/>
  <c r="AJ146" i="94"/>
  <c r="BA146" i="94"/>
  <c r="AS146" i="94"/>
  <c r="AY146" i="94"/>
  <c r="AV146" i="94"/>
  <c r="AN146" i="94"/>
  <c r="BB146" i="94"/>
  <c r="AL146" i="94"/>
  <c r="AH146" i="94"/>
  <c r="AT146" i="94"/>
  <c r="AU146" i="94"/>
  <c r="AK146" i="94"/>
  <c r="AG146" i="94"/>
  <c r="AX146" i="94"/>
  <c r="AO146" i="94"/>
  <c r="AR146" i="94"/>
  <c r="AS157" i="94"/>
  <c r="AK157" i="94"/>
  <c r="AX157" i="94"/>
  <c r="AM157" i="94"/>
  <c r="AR157" i="94"/>
  <c r="AO157" i="94"/>
  <c r="AY157" i="94"/>
  <c r="AT157" i="94"/>
  <c r="BB157" i="94"/>
  <c r="AQ157" i="94"/>
  <c r="AL157" i="94"/>
  <c r="AW157" i="94"/>
  <c r="AN157" i="94"/>
  <c r="BA157" i="94"/>
  <c r="AP157" i="94"/>
  <c r="AZ157" i="94"/>
  <c r="AJ157" i="94"/>
  <c r="AV157" i="94"/>
  <c r="AI157" i="94"/>
  <c r="AU157" i="94"/>
  <c r="AH157" i="94"/>
  <c r="AG157" i="94"/>
  <c r="AI141" i="94"/>
  <c r="AX141" i="94"/>
  <c r="AH141" i="94"/>
  <c r="AW141" i="94"/>
  <c r="AS141" i="94"/>
  <c r="AG141" i="94"/>
  <c r="AO141" i="94"/>
  <c r="AR141" i="94"/>
  <c r="AP141" i="94"/>
  <c r="AN141" i="94"/>
  <c r="AV141" i="94"/>
  <c r="AZ141" i="94"/>
  <c r="AJ141" i="94"/>
  <c r="AL141" i="94"/>
  <c r="AM141" i="94"/>
  <c r="AU141" i="94"/>
  <c r="BB141" i="94"/>
  <c r="BA141" i="94"/>
  <c r="AK141" i="94"/>
  <c r="AT141" i="94"/>
  <c r="AQ141" i="94"/>
  <c r="AY141" i="94"/>
  <c r="AI159" i="94"/>
  <c r="AZ159" i="94"/>
  <c r="AN159" i="94"/>
  <c r="AG159" i="94"/>
  <c r="AR159" i="94"/>
  <c r="AP159" i="94"/>
  <c r="AM159" i="94"/>
  <c r="AQ159" i="94"/>
  <c r="AT159" i="94"/>
  <c r="AJ159" i="94"/>
  <c r="BB159" i="94"/>
  <c r="AY159" i="94"/>
  <c r="AX159" i="94"/>
  <c r="BA159" i="94"/>
  <c r="AU159" i="94"/>
  <c r="AL159" i="94"/>
  <c r="AK159" i="94"/>
  <c r="AV159" i="94"/>
  <c r="AW159" i="94"/>
  <c r="AO159" i="94"/>
  <c r="AS159" i="94"/>
  <c r="AH159" i="94"/>
  <c r="AT154" i="94"/>
  <c r="AI154" i="94"/>
  <c r="AU154" i="94"/>
  <c r="AM154" i="94"/>
  <c r="AW154" i="94"/>
  <c r="AS154" i="94"/>
  <c r="AH154" i="94"/>
  <c r="AY154" i="94"/>
  <c r="BB154" i="94"/>
  <c r="AV154" i="94"/>
  <c r="BA154" i="94"/>
  <c r="AK154" i="94"/>
  <c r="AR154" i="94"/>
  <c r="AL154" i="94"/>
  <c r="AN154" i="94"/>
  <c r="AG154" i="94"/>
  <c r="AQ154" i="94"/>
  <c r="AJ154" i="94"/>
  <c r="AP154" i="94"/>
  <c r="AX154" i="94"/>
  <c r="AO154" i="94"/>
  <c r="AZ154" i="94"/>
  <c r="AS156" i="94"/>
  <c r="AJ156" i="94"/>
  <c r="AI156" i="94"/>
  <c r="AP156" i="94"/>
  <c r="AG156" i="94"/>
  <c r="BA156" i="94"/>
  <c r="AX156" i="94"/>
  <c r="AM156" i="94"/>
  <c r="AN156" i="94"/>
  <c r="AQ156" i="94"/>
  <c r="AW156" i="94"/>
  <c r="AH156" i="94"/>
  <c r="AU156" i="94"/>
  <c r="AK156" i="94"/>
  <c r="AY156" i="94"/>
  <c r="AV156" i="94"/>
  <c r="BB156" i="94"/>
  <c r="AT156" i="94"/>
  <c r="AO156" i="94"/>
  <c r="AZ156" i="94"/>
  <c r="AL156" i="94"/>
  <c r="AR156" i="94"/>
  <c r="AX155" i="94"/>
  <c r="AS155" i="94"/>
  <c r="AL155" i="94"/>
  <c r="AN155" i="94"/>
  <c r="AY155" i="94"/>
  <c r="BA155" i="94"/>
  <c r="AI155" i="94"/>
  <c r="AZ155" i="94"/>
  <c r="AR155" i="94"/>
  <c r="AO155" i="94"/>
  <c r="AW155" i="94"/>
  <c r="AQ155" i="94"/>
  <c r="AV155" i="94"/>
  <c r="AP155" i="94"/>
  <c r="AU155" i="94"/>
  <c r="AH155" i="94"/>
  <c r="AJ155" i="94"/>
  <c r="AM155" i="94"/>
  <c r="BB155" i="94"/>
  <c r="AK155" i="94"/>
  <c r="AT155" i="94"/>
  <c r="AG155" i="94"/>
  <c r="AG144" i="94"/>
  <c r="EI74" i="94"/>
  <c r="EK74" i="94"/>
  <c r="DX74" i="94"/>
  <c r="EG74" i="94"/>
  <c r="EH74" i="94"/>
  <c r="DU74" i="94"/>
  <c r="DV74" i="94"/>
  <c r="DQ74" i="94"/>
  <c r="DW74" i="94"/>
  <c r="EC74" i="94"/>
  <c r="DS74" i="94"/>
  <c r="EF74" i="94"/>
  <c r="DR74" i="94"/>
  <c r="EB74" i="94"/>
  <c r="ED74" i="94"/>
  <c r="DZ74" i="94"/>
  <c r="EE74" i="94"/>
  <c r="EA74" i="94"/>
  <c r="EL74" i="94"/>
  <c r="EJ74" i="94"/>
  <c r="DY74" i="94"/>
  <c r="DT74" i="94"/>
  <c r="DU41" i="94"/>
  <c r="DY41" i="94"/>
  <c r="DR41" i="94"/>
  <c r="ED41" i="94"/>
  <c r="DX41" i="94"/>
  <c r="EI41" i="94"/>
  <c r="DT41" i="94"/>
  <c r="EB41" i="94"/>
  <c r="EG41" i="94"/>
  <c r="EH41" i="94"/>
  <c r="DQ41" i="94"/>
  <c r="EA41" i="94"/>
  <c r="EJ41" i="94"/>
  <c r="EF41" i="94"/>
  <c r="DS41" i="94"/>
  <c r="EK41" i="94"/>
  <c r="DZ41" i="94"/>
  <c r="DW41" i="94"/>
  <c r="EL41" i="94"/>
  <c r="DV41" i="94"/>
  <c r="EE41" i="94"/>
  <c r="EC41" i="94"/>
  <c r="DY13" i="94"/>
  <c r="EK13" i="94"/>
  <c r="EC13" i="94"/>
  <c r="EJ13" i="94"/>
  <c r="EI13" i="94"/>
  <c r="EH13" i="94"/>
  <c r="EL13" i="94"/>
  <c r="DR13" i="94"/>
  <c r="DX13" i="94"/>
  <c r="EA13" i="94"/>
  <c r="DT13" i="94"/>
  <c r="EG13" i="94"/>
  <c r="DS13" i="94"/>
  <c r="ED13" i="94"/>
  <c r="DZ13" i="94"/>
  <c r="DQ13" i="94"/>
  <c r="EF13" i="94"/>
  <c r="DW13" i="94"/>
  <c r="EE13" i="94"/>
  <c r="DV13" i="94"/>
  <c r="EB13" i="94"/>
  <c r="DU13" i="94"/>
  <c r="DX18" i="94"/>
  <c r="EG18" i="94"/>
  <c r="DT18" i="94"/>
  <c r="EE18" i="94"/>
  <c r="DS18" i="94"/>
  <c r="ED18" i="94"/>
  <c r="EJ18" i="94"/>
  <c r="EC18" i="94"/>
  <c r="DR18" i="94"/>
  <c r="EL18" i="94"/>
  <c r="EA18" i="94"/>
  <c r="DW18" i="94"/>
  <c r="DV18" i="94"/>
  <c r="DQ18" i="94"/>
  <c r="EF18" i="94"/>
  <c r="EB18" i="94"/>
  <c r="EK18" i="94"/>
  <c r="DZ18" i="94"/>
  <c r="DY18" i="94"/>
  <c r="EI18" i="94"/>
  <c r="DU18" i="94"/>
  <c r="EH18" i="94"/>
  <c r="EH43" i="94"/>
  <c r="EE43" i="94"/>
  <c r="DT43" i="94"/>
  <c r="DY43" i="94"/>
  <c r="DR43" i="94"/>
  <c r="EA43" i="94"/>
  <c r="EF43" i="94"/>
  <c r="ED43" i="94"/>
  <c r="EK43" i="94"/>
  <c r="DZ43" i="94"/>
  <c r="EI43" i="94"/>
  <c r="DS43" i="94"/>
  <c r="EG43" i="94"/>
  <c r="DX43" i="94"/>
  <c r="EC43" i="94"/>
  <c r="DW43" i="94"/>
  <c r="DQ43" i="94"/>
  <c r="EL43" i="94"/>
  <c r="EB43" i="94"/>
  <c r="DV43" i="94"/>
  <c r="EJ43" i="94"/>
  <c r="DU43" i="94"/>
  <c r="DT85" i="94"/>
  <c r="EC85" i="94"/>
  <c r="EI85" i="94"/>
  <c r="DV85" i="94"/>
  <c r="DW85" i="94"/>
  <c r="EJ85" i="94"/>
  <c r="DS85" i="94"/>
  <c r="EE85" i="94"/>
  <c r="DU85" i="94"/>
  <c r="EG85" i="94"/>
  <c r="DZ85" i="94"/>
  <c r="EF85" i="94"/>
  <c r="EH85" i="94"/>
  <c r="ED85" i="94"/>
  <c r="DY85" i="94"/>
  <c r="EB85" i="94"/>
  <c r="DQ85" i="94"/>
  <c r="EA85" i="94"/>
  <c r="DR85" i="94"/>
  <c r="DX85" i="94"/>
  <c r="EL85" i="94"/>
  <c r="EK85" i="94"/>
  <c r="EG36" i="94"/>
  <c r="DU36" i="94"/>
  <c r="DQ36" i="94"/>
  <c r="EE36" i="94"/>
  <c r="EB36" i="94"/>
  <c r="DS36" i="94"/>
  <c r="DZ36" i="94"/>
  <c r="EJ36" i="94"/>
  <c r="DX36" i="94"/>
  <c r="DR36" i="94"/>
  <c r="DY36" i="94"/>
  <c r="EA36" i="94"/>
  <c r="EH36" i="94"/>
  <c r="DW36" i="94"/>
  <c r="EF36" i="94"/>
  <c r="EL36" i="94"/>
  <c r="EI36" i="94"/>
  <c r="EC36" i="94"/>
  <c r="ED36" i="94"/>
  <c r="DV36" i="94"/>
  <c r="DT36" i="94"/>
  <c r="EK36" i="94"/>
  <c r="DU50" i="94"/>
  <c r="EL50" i="94"/>
  <c r="EA50" i="94"/>
  <c r="ED50" i="94"/>
  <c r="DT50" i="94"/>
  <c r="DZ50" i="94"/>
  <c r="EE50" i="94"/>
  <c r="DY50" i="94"/>
  <c r="EI50" i="94"/>
  <c r="DR50" i="94"/>
  <c r="EG50" i="94"/>
  <c r="EC50" i="94"/>
  <c r="EJ50" i="94"/>
  <c r="DS50" i="94"/>
  <c r="DV50" i="94"/>
  <c r="EH50" i="94"/>
  <c r="DX50" i="94"/>
  <c r="DW50" i="94"/>
  <c r="EK50" i="94"/>
  <c r="EF50" i="94"/>
  <c r="EB50" i="94"/>
  <c r="DQ50" i="94"/>
  <c r="EB8" i="94"/>
  <c r="DV8" i="94"/>
  <c r="EG8" i="94"/>
  <c r="EK8" i="94"/>
  <c r="DS8" i="94"/>
  <c r="EA8" i="94"/>
  <c r="EE8" i="94"/>
  <c r="DU8" i="94"/>
  <c r="DT8" i="94"/>
  <c r="EI8" i="94"/>
  <c r="ED8" i="94"/>
  <c r="DQ8" i="94"/>
  <c r="EC8" i="94"/>
  <c r="EF8" i="94"/>
  <c r="DZ8" i="94"/>
  <c r="DW8" i="94"/>
  <c r="EJ8" i="94"/>
  <c r="DY8" i="94"/>
  <c r="EH8" i="94"/>
  <c r="DX8" i="94"/>
  <c r="DR8" i="94"/>
  <c r="EL8" i="94"/>
  <c r="DQ31" i="94"/>
  <c r="EJ31" i="94"/>
  <c r="EI31" i="94"/>
  <c r="EL31" i="94"/>
  <c r="EH31" i="94"/>
  <c r="EG31" i="94"/>
  <c r="DX31" i="94"/>
  <c r="DW31" i="94"/>
  <c r="DU31" i="94"/>
  <c r="EE31" i="94"/>
  <c r="DR31" i="94"/>
  <c r="EA31" i="94"/>
  <c r="DZ31" i="94"/>
  <c r="EF31" i="94"/>
  <c r="DT31" i="94"/>
  <c r="DS31" i="94"/>
  <c r="EB31" i="94"/>
  <c r="DY31" i="94"/>
  <c r="EC31" i="94"/>
  <c r="DV31" i="94"/>
  <c r="ED31" i="94"/>
  <c r="EK31" i="94"/>
  <c r="EG75" i="94"/>
  <c r="EJ75" i="94"/>
  <c r="DS75" i="94"/>
  <c r="EC75" i="94"/>
  <c r="EI75" i="94"/>
  <c r="EK75" i="94"/>
  <c r="ED75" i="94"/>
  <c r="EL75" i="94"/>
  <c r="DQ75" i="94"/>
  <c r="DY75" i="94"/>
  <c r="EB75" i="94"/>
  <c r="EA75" i="94"/>
  <c r="DZ75" i="94"/>
  <c r="DX75" i="94"/>
  <c r="DV75" i="94"/>
  <c r="DT75" i="94"/>
  <c r="DR75" i="94"/>
  <c r="EH75" i="94"/>
  <c r="EF75" i="94"/>
  <c r="DW75" i="94"/>
  <c r="EE75" i="94"/>
  <c r="DU75" i="94"/>
  <c r="EE39" i="94"/>
  <c r="DZ39" i="94"/>
  <c r="DT39" i="94"/>
  <c r="DS39" i="94"/>
  <c r="ED39" i="94"/>
  <c r="DX39" i="94"/>
  <c r="EJ39" i="94"/>
  <c r="EB39" i="94"/>
  <c r="EI39" i="94"/>
  <c r="DV39" i="94"/>
  <c r="EH39" i="94"/>
  <c r="DY39" i="94"/>
  <c r="EC39" i="94"/>
  <c r="EK39" i="94"/>
  <c r="DQ39" i="94"/>
  <c r="DU39" i="94"/>
  <c r="EG39" i="94"/>
  <c r="EA39" i="94"/>
  <c r="DR39" i="94"/>
  <c r="DW39" i="94"/>
  <c r="EF39" i="94"/>
  <c r="EL39" i="94"/>
  <c r="EK10" i="94"/>
  <c r="DU10" i="94"/>
  <c r="DY10" i="94"/>
  <c r="DT10" i="94"/>
  <c r="DS10" i="94"/>
  <c r="EH10" i="94"/>
  <c r="DV10" i="94"/>
  <c r="EI10" i="94"/>
  <c r="EJ10" i="94"/>
  <c r="ED10" i="94"/>
  <c r="DQ10" i="94"/>
  <c r="DR10" i="94"/>
  <c r="EE10" i="94"/>
  <c r="DX10" i="94"/>
  <c r="EL10" i="94"/>
  <c r="EG10" i="94"/>
  <c r="DW10" i="94"/>
  <c r="EC10" i="94"/>
  <c r="EB10" i="94"/>
  <c r="EA10" i="94"/>
  <c r="DZ10" i="94"/>
  <c r="EF10" i="94"/>
  <c r="DT22" i="94"/>
  <c r="EI22" i="94"/>
  <c r="EG22" i="94"/>
  <c r="DS22" i="94"/>
  <c r="DQ22" i="94"/>
  <c r="EH22" i="94"/>
  <c r="DR22" i="94"/>
  <c r="EF22" i="94"/>
  <c r="EE22" i="94"/>
  <c r="DV22" i="94"/>
  <c r="EA22" i="94"/>
  <c r="ED22" i="94"/>
  <c r="DZ22" i="94"/>
  <c r="EK22" i="94"/>
  <c r="EB22" i="94"/>
  <c r="DY22" i="94"/>
  <c r="DX22" i="94"/>
  <c r="DU22" i="94"/>
  <c r="DW22" i="94"/>
  <c r="EL22" i="94"/>
  <c r="EC22" i="94"/>
  <c r="EJ22" i="94"/>
  <c r="DW84" i="94"/>
  <c r="EH24" i="94"/>
  <c r="DR24" i="94"/>
  <c r="EB24" i="94"/>
  <c r="DQ24" i="94"/>
  <c r="EG24" i="94"/>
  <c r="EJ24" i="94"/>
  <c r="EE24" i="94"/>
  <c r="EI24" i="94"/>
  <c r="EC24" i="94"/>
  <c r="DT24" i="94"/>
  <c r="DX24" i="94"/>
  <c r="EF24" i="94"/>
  <c r="DZ24" i="94"/>
  <c r="EA24" i="94"/>
  <c r="DV24" i="94"/>
  <c r="ED24" i="94"/>
  <c r="DY24" i="94"/>
  <c r="EK24" i="94"/>
  <c r="DW24" i="94"/>
  <c r="DU24" i="94"/>
  <c r="EL24" i="94"/>
  <c r="DS24" i="94"/>
  <c r="EC27" i="94"/>
  <c r="EK27" i="94"/>
  <c r="EA27" i="94"/>
  <c r="DZ27" i="94"/>
  <c r="DW27" i="94"/>
  <c r="DT27" i="94"/>
  <c r="DX27" i="94"/>
  <c r="EE27" i="94"/>
  <c r="DU27" i="94"/>
  <c r="EI27" i="94"/>
  <c r="EL27" i="94"/>
  <c r="DY27" i="94"/>
  <c r="DS27" i="94"/>
  <c r="DV27" i="94"/>
  <c r="DQ27" i="94"/>
  <c r="EJ27" i="94"/>
  <c r="ED27" i="94"/>
  <c r="EH27" i="94"/>
  <c r="DR27" i="94"/>
  <c r="EF27" i="94"/>
  <c r="EG27" i="94"/>
  <c r="EB27" i="94"/>
  <c r="EK88" i="94"/>
  <c r="DV88" i="94"/>
  <c r="EF88" i="94"/>
  <c r="DY88" i="94"/>
  <c r="EE88" i="94"/>
  <c r="DT88" i="94"/>
  <c r="EB88" i="94"/>
  <c r="DX88" i="94"/>
  <c r="DS88" i="94"/>
  <c r="EA88" i="94"/>
  <c r="EC88" i="94"/>
  <c r="EJ88" i="94"/>
  <c r="DZ88" i="94"/>
  <c r="EH88" i="94"/>
  <c r="ED88" i="94"/>
  <c r="DW88" i="94"/>
  <c r="EL88" i="94"/>
  <c r="DR88" i="94"/>
  <c r="EI88" i="94"/>
  <c r="DU88" i="94"/>
  <c r="EG88" i="94"/>
  <c r="DQ88" i="94"/>
  <c r="EB77" i="94"/>
  <c r="DZ77" i="94"/>
  <c r="EL77" i="94"/>
  <c r="DV77" i="94"/>
  <c r="DT77" i="94"/>
  <c r="EJ77" i="94"/>
  <c r="EI77" i="94"/>
  <c r="DS77" i="94"/>
  <c r="EF77" i="94"/>
  <c r="EK77" i="94"/>
  <c r="DY77" i="94"/>
  <c r="DW77" i="94"/>
  <c r="DU77" i="94"/>
  <c r="EC77" i="94"/>
  <c r="EA77" i="94"/>
  <c r="EH77" i="94"/>
  <c r="DQ77" i="94"/>
  <c r="DR77" i="94"/>
  <c r="DX77" i="94"/>
  <c r="EG77" i="94"/>
  <c r="EE77" i="94"/>
  <c r="ED77" i="94"/>
  <c r="EL38" i="94"/>
  <c r="EC38" i="94"/>
  <c r="EI38" i="94"/>
  <c r="DT38" i="94"/>
  <c r="EK38" i="94"/>
  <c r="DQ38" i="94"/>
  <c r="DS38" i="94"/>
  <c r="EB38" i="94"/>
  <c r="DU38" i="94"/>
  <c r="DV38" i="94"/>
  <c r="EF38" i="94"/>
  <c r="EG38" i="94"/>
  <c r="EH38" i="94"/>
  <c r="DW38" i="94"/>
  <c r="ED38" i="94"/>
  <c r="DR38" i="94"/>
  <c r="EA38" i="94"/>
  <c r="DZ38" i="94"/>
  <c r="EE38" i="94"/>
  <c r="DY38" i="94"/>
  <c r="EJ38" i="94"/>
  <c r="DX38" i="94"/>
  <c r="EG16" i="94"/>
  <c r="DZ16" i="94"/>
  <c r="DQ16" i="94"/>
  <c r="DX16" i="94"/>
  <c r="DU16" i="94"/>
  <c r="DT16" i="94"/>
  <c r="EC16" i="94"/>
  <c r="EB16" i="94"/>
  <c r="DW16" i="94"/>
  <c r="EH16" i="94"/>
  <c r="EA16" i="94"/>
  <c r="EE16" i="94"/>
  <c r="DY16" i="94"/>
  <c r="DS16" i="94"/>
  <c r="ED16" i="94"/>
  <c r="DR16" i="94"/>
  <c r="EL16" i="94"/>
  <c r="EK16" i="94"/>
  <c r="DV16" i="94"/>
  <c r="EJ16" i="94"/>
  <c r="EI16" i="94"/>
  <c r="EF16" i="94"/>
  <c r="EK9" i="94"/>
  <c r="DY9" i="94"/>
  <c r="DW9" i="94"/>
  <c r="ED9" i="94"/>
  <c r="EJ9" i="94"/>
  <c r="DT9" i="94"/>
  <c r="DR9" i="94"/>
  <c r="DQ9" i="94"/>
  <c r="EI9" i="94"/>
  <c r="DS9" i="94"/>
  <c r="EG9" i="94"/>
  <c r="EB9" i="94"/>
  <c r="EE9" i="94"/>
  <c r="EC9" i="94"/>
  <c r="DX9" i="94"/>
  <c r="DU9" i="94"/>
  <c r="DV9" i="94"/>
  <c r="EF9" i="94"/>
  <c r="EA9" i="94"/>
  <c r="EL9" i="94"/>
  <c r="DZ9" i="94"/>
  <c r="EH9" i="94"/>
  <c r="EA35" i="94"/>
  <c r="EK35" i="94"/>
  <c r="DW35" i="94"/>
  <c r="EL35" i="94"/>
  <c r="DV35" i="94"/>
  <c r="EH35" i="94"/>
  <c r="DR35" i="94"/>
  <c r="EF35" i="94"/>
  <c r="DZ35" i="94"/>
  <c r="EG35" i="94"/>
  <c r="DU35" i="94"/>
  <c r="EE35" i="94"/>
  <c r="ED35" i="94"/>
  <c r="EJ35" i="94"/>
  <c r="DX35" i="94"/>
  <c r="DY35" i="94"/>
  <c r="EC35" i="94"/>
  <c r="DS35" i="94"/>
  <c r="DQ35" i="94"/>
  <c r="DT35" i="94"/>
  <c r="EB35" i="94"/>
  <c r="EI35" i="94"/>
  <c r="EI21" i="94"/>
  <c r="EG21" i="94"/>
  <c r="EF21" i="94"/>
  <c r="DS21" i="94"/>
  <c r="EH21" i="94"/>
  <c r="EJ21" i="94"/>
  <c r="EE21" i="94"/>
  <c r="EC21" i="94"/>
  <c r="DW21" i="94"/>
  <c r="DV21" i="94"/>
  <c r="EB21" i="94"/>
  <c r="ED21" i="94"/>
  <c r="EA21" i="94"/>
  <c r="DQ21" i="94"/>
  <c r="DZ21" i="94"/>
  <c r="DY21" i="94"/>
  <c r="DX21" i="94"/>
  <c r="DU21" i="94"/>
  <c r="EL21" i="94"/>
  <c r="DT21" i="94"/>
  <c r="EK21" i="94"/>
  <c r="DR21" i="94"/>
  <c r="DT15" i="94"/>
  <c r="EC15" i="94"/>
  <c r="DU15" i="94"/>
  <c r="EG15" i="94"/>
  <c r="EI15" i="94"/>
  <c r="EH15" i="94"/>
  <c r="DS15" i="94"/>
  <c r="DR15" i="94"/>
  <c r="EE15" i="94"/>
  <c r="ED15" i="94"/>
  <c r="DX15" i="94"/>
  <c r="EA15" i="94"/>
  <c r="EB15" i="94"/>
  <c r="EK15" i="94"/>
  <c r="DW15" i="94"/>
  <c r="DZ15" i="94"/>
  <c r="EL15" i="94"/>
  <c r="EF15" i="94"/>
  <c r="DY15" i="94"/>
  <c r="DQ15" i="94"/>
  <c r="DV15" i="94"/>
  <c r="EJ15" i="94"/>
  <c r="DV46" i="94"/>
  <c r="DY46" i="94"/>
  <c r="DR46" i="94"/>
  <c r="DT46" i="94"/>
  <c r="EJ46" i="94"/>
  <c r="EG46" i="94"/>
  <c r="EH46" i="94"/>
  <c r="EE46" i="94"/>
  <c r="DQ46" i="94"/>
  <c r="ED46" i="94"/>
  <c r="DW46" i="94"/>
  <c r="EB46" i="94"/>
  <c r="EL46" i="94"/>
  <c r="DU46" i="94"/>
  <c r="DX46" i="94"/>
  <c r="DZ46" i="94"/>
  <c r="EI46" i="94"/>
  <c r="DS46" i="94"/>
  <c r="EC46" i="94"/>
  <c r="EF46" i="94"/>
  <c r="EK46" i="94"/>
  <c r="EA46" i="94"/>
  <c r="EL76" i="94"/>
  <c r="EE76" i="94"/>
  <c r="DS76" i="94"/>
  <c r="DW76" i="94"/>
  <c r="DV76" i="94"/>
  <c r="EA76" i="94"/>
  <c r="DU76" i="94"/>
  <c r="DT76" i="94"/>
  <c r="EC76" i="94"/>
  <c r="EH76" i="94"/>
  <c r="EK76" i="94"/>
  <c r="DR76" i="94"/>
  <c r="EJ76" i="94"/>
  <c r="DQ76" i="94"/>
  <c r="EI76" i="94"/>
  <c r="EF76" i="94"/>
  <c r="EG76" i="94"/>
  <c r="ED76" i="94"/>
  <c r="DZ76" i="94"/>
  <c r="DY76" i="94"/>
  <c r="EB76" i="94"/>
  <c r="DX76" i="94"/>
  <c r="EL94" i="94"/>
  <c r="DQ94" i="94"/>
  <c r="DV94" i="94"/>
  <c r="DZ94" i="94"/>
  <c r="DR94" i="94"/>
  <c r="DY94" i="94"/>
  <c r="EK94" i="94"/>
  <c r="EC94" i="94"/>
  <c r="EF94" i="94"/>
  <c r="DX94" i="94"/>
  <c r="DU94" i="94"/>
  <c r="EI94" i="94"/>
  <c r="EJ94" i="94"/>
  <c r="ED94" i="94"/>
  <c r="DT94" i="94"/>
  <c r="EE94" i="94"/>
  <c r="EH94" i="94"/>
  <c r="EB94" i="94"/>
  <c r="DS94" i="94"/>
  <c r="EG94" i="94"/>
  <c r="EA94" i="94"/>
  <c r="DW94" i="94"/>
  <c r="DT80" i="94"/>
  <c r="EF80" i="94"/>
  <c r="DW80" i="94"/>
  <c r="EG80" i="94"/>
  <c r="DQ80" i="94"/>
  <c r="DZ80" i="94"/>
  <c r="ED80" i="94"/>
  <c r="DX80" i="94"/>
  <c r="EB80" i="94"/>
  <c r="EL80" i="94"/>
  <c r="EE80" i="94"/>
  <c r="DV80" i="94"/>
  <c r="DY80" i="94"/>
  <c r="EJ80" i="94"/>
  <c r="EA80" i="94"/>
  <c r="EK80" i="94"/>
  <c r="EC80" i="94"/>
  <c r="DR80" i="94"/>
  <c r="DS80" i="94"/>
  <c r="EI80" i="94"/>
  <c r="DU80" i="94"/>
  <c r="EH80" i="94"/>
  <c r="EA61" i="94"/>
  <c r="ED61" i="94"/>
  <c r="EF37" i="94"/>
  <c r="EC37" i="94"/>
  <c r="EE37" i="94"/>
  <c r="EL37" i="94"/>
  <c r="EB37" i="94"/>
  <c r="DV37" i="94"/>
  <c r="DZ37" i="94"/>
  <c r="DX37" i="94"/>
  <c r="EH37" i="94"/>
  <c r="EJ37" i="94"/>
  <c r="DR37" i="94"/>
  <c r="EK37" i="94"/>
  <c r="EI37" i="94"/>
  <c r="ED37" i="94"/>
  <c r="DU37" i="94"/>
  <c r="DY37" i="94"/>
  <c r="EG37" i="94"/>
  <c r="DW37" i="94"/>
  <c r="DQ37" i="94"/>
  <c r="EA37" i="94"/>
  <c r="DS37" i="94"/>
  <c r="DT37" i="94"/>
  <c r="DQ33" i="94"/>
  <c r="EH33" i="94"/>
  <c r="EB33" i="94"/>
  <c r="EC33" i="94"/>
  <c r="EF33" i="94"/>
  <c r="DU33" i="94"/>
  <c r="EA33" i="94"/>
  <c r="DZ33" i="94"/>
  <c r="EE33" i="94"/>
  <c r="DY33" i="94"/>
  <c r="DW33" i="94"/>
  <c r="DR33" i="94"/>
  <c r="EL33" i="94"/>
  <c r="DT33" i="94"/>
  <c r="DV33" i="94"/>
  <c r="EI33" i="94"/>
  <c r="DX33" i="94"/>
  <c r="ED33" i="94"/>
  <c r="EJ33" i="94"/>
  <c r="DS33" i="94"/>
  <c r="EG33" i="94"/>
  <c r="EK33" i="94"/>
  <c r="EJ7" i="94"/>
  <c r="DT7" i="94"/>
  <c r="EF7" i="94"/>
  <c r="EE7" i="94"/>
  <c r="ED7" i="94"/>
  <c r="DW7" i="94"/>
  <c r="EC7" i="94"/>
  <c r="EL7" i="94"/>
  <c r="DV7" i="94"/>
  <c r="DR7" i="94"/>
  <c r="EH7" i="94"/>
  <c r="EB7" i="94"/>
  <c r="DZ7" i="94"/>
  <c r="DX7" i="94"/>
  <c r="DS7" i="94"/>
  <c r="EG7" i="94"/>
  <c r="EK7" i="94"/>
  <c r="EA7" i="94"/>
  <c r="DY7" i="94"/>
  <c r="EI7" i="94"/>
  <c r="DU7" i="94"/>
  <c r="DQ7" i="94"/>
  <c r="DZ51" i="94"/>
  <c r="EC51" i="94"/>
  <c r="DR51" i="94"/>
  <c r="DY51" i="94"/>
  <c r="EK51" i="94"/>
  <c r="EH51" i="94"/>
  <c r="EB51" i="94"/>
  <c r="DQ51" i="94"/>
  <c r="DX51" i="94"/>
  <c r="DW51" i="94"/>
  <c r="DT51" i="94"/>
  <c r="EJ51" i="94"/>
  <c r="DU51" i="94"/>
  <c r="DS51" i="94"/>
  <c r="EI51" i="94"/>
  <c r="EL51" i="94"/>
  <c r="EE51" i="94"/>
  <c r="EA51" i="94"/>
  <c r="EG51" i="94"/>
  <c r="ED51" i="94"/>
  <c r="EF51" i="94"/>
  <c r="DV51" i="94"/>
  <c r="DZ26" i="94"/>
  <c r="EF26" i="94"/>
  <c r="DS26" i="94"/>
  <c r="DT26" i="94"/>
  <c r="EK26" i="94"/>
  <c r="DQ26" i="94"/>
  <c r="EH26" i="94"/>
  <c r="ED26" i="94"/>
  <c r="EE26" i="94"/>
  <c r="EC26" i="94"/>
  <c r="DU26" i="94"/>
  <c r="EB26" i="94"/>
  <c r="DY26" i="94"/>
  <c r="EA26" i="94"/>
  <c r="EJ26" i="94"/>
  <c r="DX26" i="94"/>
  <c r="DW26" i="94"/>
  <c r="EI26" i="94"/>
  <c r="DV26" i="94"/>
  <c r="DR26" i="94"/>
  <c r="EL26" i="94"/>
  <c r="EG26" i="94"/>
  <c r="DR5" i="94"/>
  <c r="EB5" i="94"/>
  <c r="EK5" i="94"/>
  <c r="EA5" i="94"/>
  <c r="DQ5" i="94"/>
  <c r="DW5" i="94"/>
  <c r="DZ5" i="94"/>
  <c r="DU5" i="94"/>
  <c r="EJ5" i="94"/>
  <c r="EG5" i="94"/>
  <c r="DX5" i="94"/>
  <c r="EE5" i="94"/>
  <c r="ED5" i="94"/>
  <c r="DV5" i="94"/>
  <c r="DT5" i="94"/>
  <c r="DS5" i="94"/>
  <c r="EC5" i="94"/>
  <c r="EF5" i="94"/>
  <c r="EI5" i="94"/>
  <c r="DY5" i="94"/>
  <c r="EH5" i="94"/>
  <c r="DV19" i="94"/>
  <c r="EB19" i="94"/>
  <c r="DT19" i="94"/>
  <c r="EA19" i="94"/>
  <c r="EK19" i="94"/>
  <c r="EJ19" i="94"/>
  <c r="EI19" i="94"/>
  <c r="EE19" i="94"/>
  <c r="EG19" i="94"/>
  <c r="DX19" i="94"/>
  <c r="EF19" i="94"/>
  <c r="DU19" i="94"/>
  <c r="ED19" i="94"/>
  <c r="DY19" i="94"/>
  <c r="EC19" i="94"/>
  <c r="DR19" i="94"/>
  <c r="DQ19" i="94"/>
  <c r="EH19" i="94"/>
  <c r="DW19" i="94"/>
  <c r="DZ19" i="94"/>
  <c r="EL19" i="94"/>
  <c r="DS19" i="94"/>
  <c r="DV78" i="94"/>
  <c r="EJ78" i="94"/>
  <c r="DT78" i="94"/>
  <c r="EH78" i="94"/>
  <c r="DR78" i="94"/>
  <c r="EA78" i="94"/>
  <c r="EB78" i="94"/>
  <c r="EE78" i="94"/>
  <c r="EI78" i="94"/>
  <c r="DQ78" i="94"/>
  <c r="DS78" i="94"/>
  <c r="EC78" i="94"/>
  <c r="EK78" i="94"/>
  <c r="DZ78" i="94"/>
  <c r="EF78" i="94"/>
  <c r="DW78" i="94"/>
  <c r="ED78" i="94"/>
  <c r="EG78" i="94"/>
  <c r="DY78" i="94"/>
  <c r="DX78" i="94"/>
  <c r="EL78" i="94"/>
  <c r="DU78" i="94"/>
  <c r="EA92" i="94"/>
  <c r="EJ92" i="94"/>
  <c r="DV92" i="94"/>
  <c r="DQ92" i="94"/>
  <c r="EK92" i="94"/>
  <c r="DX92" i="94"/>
  <c r="DU92" i="94"/>
  <c r="EG92" i="94"/>
  <c r="EL92" i="94"/>
  <c r="EF92" i="94"/>
  <c r="DT92" i="94"/>
  <c r="EB92" i="94"/>
  <c r="EH92" i="94"/>
  <c r="ED92" i="94"/>
  <c r="DR92" i="94"/>
  <c r="EE92" i="94"/>
  <c r="DS92" i="94"/>
  <c r="EC92" i="94"/>
  <c r="EI92" i="94"/>
  <c r="DW92" i="94"/>
  <c r="DY92" i="94"/>
  <c r="DZ92" i="94"/>
  <c r="EI81" i="94"/>
  <c r="EH81" i="94"/>
  <c r="DR81" i="94"/>
  <c r="DZ81" i="94"/>
  <c r="EF81" i="94"/>
  <c r="EB81" i="94"/>
  <c r="ED81" i="94"/>
  <c r="DY81" i="94"/>
  <c r="DQ81" i="94"/>
  <c r="EL81" i="94"/>
  <c r="DT81" i="94"/>
  <c r="EK81" i="94"/>
  <c r="EA81" i="94"/>
  <c r="DS81" i="94"/>
  <c r="EG81" i="94"/>
  <c r="DX81" i="94"/>
  <c r="EC81" i="94"/>
  <c r="EE81" i="94"/>
  <c r="DW81" i="94"/>
  <c r="DV81" i="94"/>
  <c r="EJ81" i="94"/>
  <c r="DU81" i="94"/>
  <c r="EF59" i="94"/>
  <c r="DW59" i="94"/>
  <c r="DZ59" i="94"/>
  <c r="EK59" i="94"/>
  <c r="EE59" i="94"/>
  <c r="EH59" i="94"/>
  <c r="DY59" i="94"/>
  <c r="DX59" i="94"/>
  <c r="ED59" i="94"/>
  <c r="DR59" i="94"/>
  <c r="DU59" i="94"/>
  <c r="EC59" i="94"/>
  <c r="EL59" i="94"/>
  <c r="EB59" i="94"/>
  <c r="DV59" i="94"/>
  <c r="DQ59" i="94"/>
  <c r="EJ59" i="94"/>
  <c r="DT59" i="94"/>
  <c r="DS59" i="94"/>
  <c r="EG59" i="94"/>
  <c r="EI59" i="94"/>
  <c r="EA59" i="94"/>
  <c r="EI23" i="94"/>
  <c r="DS23" i="94"/>
  <c r="EB23" i="94"/>
  <c r="EF23" i="94"/>
  <c r="DX23" i="94"/>
  <c r="DW23" i="94"/>
  <c r="DU23" i="94"/>
  <c r="DY23" i="94"/>
  <c r="EC23" i="94"/>
  <c r="DQ23" i="94"/>
  <c r="DZ23" i="94"/>
  <c r="EE23" i="94"/>
  <c r="DR23" i="94"/>
  <c r="EL23" i="94"/>
  <c r="EJ23" i="94"/>
  <c r="EH23" i="94"/>
  <c r="ED23" i="94"/>
  <c r="DV23" i="94"/>
  <c r="EK23" i="94"/>
  <c r="EA23" i="94"/>
  <c r="DT23" i="94"/>
  <c r="EG23" i="94"/>
  <c r="EA97" i="94"/>
  <c r="EJ97" i="94"/>
  <c r="EC97" i="94"/>
  <c r="DY97" i="94"/>
  <c r="DQ97" i="94"/>
  <c r="EE97" i="94"/>
  <c r="DW97" i="94"/>
  <c r="EI97" i="94"/>
  <c r="DZ97" i="94"/>
  <c r="DS97" i="94"/>
  <c r="EL97" i="94"/>
  <c r="EH97" i="94"/>
  <c r="EF97" i="94"/>
  <c r="DV97" i="94"/>
  <c r="EK97" i="94"/>
  <c r="DX97" i="94"/>
  <c r="EB97" i="94"/>
  <c r="DT97" i="94"/>
  <c r="EG97" i="94"/>
  <c r="ED97" i="94"/>
  <c r="DU97" i="94"/>
  <c r="DR97" i="94"/>
  <c r="EI90" i="94"/>
  <c r="DT90" i="94"/>
  <c r="DS90" i="94"/>
  <c r="EF90" i="94"/>
  <c r="DR90" i="94"/>
  <c r="EE90" i="94"/>
  <c r="EG90" i="94"/>
  <c r="DY90" i="94"/>
  <c r="DQ90" i="94"/>
  <c r="DU90" i="94"/>
  <c r="DZ90" i="94"/>
  <c r="EC90" i="94"/>
  <c r="DV90" i="94"/>
  <c r="EB90" i="94"/>
  <c r="EA90" i="94"/>
  <c r="EJ90" i="94"/>
  <c r="ED90" i="94"/>
  <c r="EK90" i="94"/>
  <c r="DW90" i="94"/>
  <c r="EH90" i="94"/>
  <c r="DX90" i="94"/>
  <c r="EL90" i="94"/>
  <c r="EE44" i="94"/>
  <c r="ED91" i="94"/>
  <c r="DZ91" i="94"/>
  <c r="DQ91" i="94"/>
  <c r="DW91" i="94"/>
  <c r="EC91" i="94"/>
  <c r="EL91" i="94"/>
  <c r="EI91" i="94"/>
  <c r="EH91" i="94"/>
  <c r="DX91" i="94"/>
  <c r="EB91" i="94"/>
  <c r="DT91" i="94"/>
  <c r="EG91" i="94"/>
  <c r="DU91" i="94"/>
  <c r="EA91" i="94"/>
  <c r="DR91" i="94"/>
  <c r="DV91" i="94"/>
  <c r="DY91" i="94"/>
  <c r="EK91" i="94"/>
  <c r="EJ91" i="94"/>
  <c r="EE91" i="94"/>
  <c r="DS91" i="94"/>
  <c r="EF91" i="94"/>
  <c r="EE79" i="94"/>
  <c r="ED79" i="94"/>
  <c r="EB79" i="94"/>
  <c r="EC79" i="94"/>
  <c r="EA79" i="94"/>
  <c r="DY79" i="94"/>
  <c r="EK79" i="94"/>
  <c r="DU79" i="94"/>
  <c r="DX79" i="94"/>
  <c r="EL79" i="94"/>
  <c r="EJ79" i="94"/>
  <c r="DT79" i="94"/>
  <c r="DZ79" i="94"/>
  <c r="EF79" i="94"/>
  <c r="DW79" i="94"/>
  <c r="EI79" i="94"/>
  <c r="DV79" i="94"/>
  <c r="DS79" i="94"/>
  <c r="EH79" i="94"/>
  <c r="DR79" i="94"/>
  <c r="EG79" i="94"/>
  <c r="DQ79" i="94"/>
  <c r="DY57" i="94"/>
  <c r="DX57" i="94"/>
  <c r="DQ57" i="94"/>
  <c r="EL57" i="94"/>
  <c r="DW57" i="94"/>
  <c r="EH57" i="94"/>
  <c r="DU57" i="94"/>
  <c r="EK57" i="94"/>
  <c r="EI57" i="94"/>
  <c r="EA57" i="94"/>
  <c r="DV57" i="94"/>
  <c r="EG57" i="94"/>
  <c r="DS57" i="94"/>
  <c r="EJ57" i="94"/>
  <c r="DT57" i="94"/>
  <c r="EB57" i="94"/>
  <c r="DR57" i="94"/>
  <c r="EE57" i="94"/>
  <c r="DZ57" i="94"/>
  <c r="ED57" i="94"/>
  <c r="EC57" i="94"/>
  <c r="EF57" i="94"/>
  <c r="DQ11" i="94"/>
  <c r="EL11" i="94"/>
  <c r="EI11" i="94"/>
  <c r="DV11" i="94"/>
  <c r="DX11" i="94"/>
  <c r="EK11" i="94"/>
  <c r="DZ11" i="94"/>
  <c r="DU11" i="94"/>
  <c r="EA11" i="94"/>
  <c r="EF11" i="94"/>
  <c r="DT11" i="94"/>
  <c r="DY11" i="94"/>
  <c r="DW11" i="94"/>
  <c r="EE11" i="94"/>
  <c r="EJ11" i="94"/>
  <c r="ED11" i="94"/>
  <c r="EB11" i="94"/>
  <c r="DR11" i="94"/>
  <c r="EG11" i="94"/>
  <c r="EC11" i="94"/>
  <c r="DS11" i="94"/>
  <c r="EH11" i="94"/>
  <c r="DS96" i="94"/>
  <c r="EB96" i="94"/>
  <c r="EH96" i="94"/>
  <c r="EJ96" i="94"/>
  <c r="EK96" i="94"/>
  <c r="DT96" i="94"/>
  <c r="EG96" i="94"/>
  <c r="EF96" i="94"/>
  <c r="EA96" i="94"/>
  <c r="EI96" i="94"/>
  <c r="DQ96" i="94"/>
  <c r="DU96" i="94"/>
  <c r="DZ96" i="94"/>
  <c r="DR96" i="94"/>
  <c r="DY96" i="94"/>
  <c r="EE96" i="94"/>
  <c r="DX96" i="94"/>
  <c r="EL96" i="94"/>
  <c r="EC96" i="94"/>
  <c r="DW96" i="94"/>
  <c r="DV96" i="94"/>
  <c r="ED96" i="94"/>
  <c r="DX86" i="94"/>
  <c r="DV86" i="94"/>
  <c r="DT86" i="94"/>
  <c r="DU86" i="94"/>
  <c r="EH86" i="94"/>
  <c r="EA86" i="94"/>
  <c r="EF86" i="94"/>
  <c r="EI86" i="94"/>
  <c r="ED86" i="94"/>
  <c r="EG86" i="94"/>
  <c r="EC86" i="94"/>
  <c r="EB86" i="94"/>
  <c r="DW86" i="94"/>
  <c r="DR86" i="94"/>
  <c r="DS86" i="94"/>
  <c r="EK86" i="94"/>
  <c r="DQ86" i="94"/>
  <c r="DZ86" i="94"/>
  <c r="EE86" i="94"/>
  <c r="EJ86" i="94"/>
  <c r="DY86" i="94"/>
  <c r="EL86" i="94"/>
  <c r="EK87" i="94"/>
  <c r="DS87" i="94"/>
  <c r="EA87" i="94"/>
  <c r="DR87" i="94"/>
  <c r="DU87" i="94"/>
  <c r="EF87" i="94"/>
  <c r="DQ87" i="94"/>
  <c r="DZ87" i="94"/>
  <c r="EH87" i="94"/>
  <c r="DX87" i="94"/>
  <c r="ED87" i="94"/>
  <c r="DW87" i="94"/>
  <c r="EJ87" i="94"/>
  <c r="DT87" i="94"/>
  <c r="DY87" i="94"/>
  <c r="EI87" i="94"/>
  <c r="EL87" i="94"/>
  <c r="EE87" i="94"/>
  <c r="EB87" i="94"/>
  <c r="EG87" i="94"/>
  <c r="EC87" i="94"/>
  <c r="DV87" i="94"/>
  <c r="EK60" i="94"/>
  <c r="DQ60" i="94"/>
  <c r="ED60" i="94"/>
  <c r="EH60" i="94"/>
  <c r="DR60" i="94"/>
  <c r="EF60" i="94"/>
  <c r="DT60" i="94"/>
  <c r="DV60" i="94"/>
  <c r="EG60" i="94"/>
  <c r="DU60" i="94"/>
  <c r="DZ60" i="94"/>
  <c r="EL60" i="94"/>
  <c r="EJ60" i="94"/>
  <c r="DW60" i="94"/>
  <c r="EI60" i="94"/>
  <c r="EA60" i="94"/>
  <c r="DY60" i="94"/>
  <c r="EE60" i="94"/>
  <c r="DX60" i="94"/>
  <c r="EC60" i="94"/>
  <c r="EB60" i="94"/>
  <c r="DS60" i="94"/>
  <c r="ED12" i="94"/>
  <c r="EG12" i="94"/>
  <c r="EC12" i="94"/>
  <c r="DY12" i="94"/>
  <c r="EB12" i="94"/>
  <c r="DV12" i="94"/>
  <c r="DX12" i="94"/>
  <c r="EI12" i="94"/>
  <c r="EK12" i="94"/>
  <c r="EA12" i="94"/>
  <c r="DU12" i="94"/>
  <c r="EJ12" i="94"/>
  <c r="DS12" i="94"/>
  <c r="DW12" i="94"/>
  <c r="DZ12" i="94"/>
  <c r="DT12" i="94"/>
  <c r="DQ12" i="94"/>
  <c r="EH12" i="94"/>
  <c r="EF12" i="94"/>
  <c r="EL12" i="94"/>
  <c r="EE12" i="94"/>
  <c r="DR12" i="94"/>
  <c r="EF53" i="94"/>
  <c r="DX53" i="94"/>
  <c r="EB53" i="94"/>
  <c r="EL53" i="94"/>
  <c r="DT53" i="94"/>
  <c r="EK53" i="94"/>
  <c r="EG53" i="94"/>
  <c r="EJ53" i="94"/>
  <c r="EA53" i="94"/>
  <c r="DY53" i="94"/>
  <c r="ED53" i="94"/>
  <c r="DV53" i="94"/>
  <c r="DZ53" i="94"/>
  <c r="EH53" i="94"/>
  <c r="EI53" i="94"/>
  <c r="DR53" i="94"/>
  <c r="EC53" i="94"/>
  <c r="DW53" i="94"/>
  <c r="DS53" i="94"/>
  <c r="DQ53" i="94"/>
  <c r="DU53" i="94"/>
  <c r="EE53" i="94"/>
  <c r="EA93" i="94"/>
  <c r="EG93" i="94"/>
  <c r="DZ93" i="94"/>
  <c r="EC93" i="94"/>
  <c r="EL93" i="94"/>
  <c r="DQ93" i="94"/>
  <c r="DV93" i="94"/>
  <c r="EB93" i="94"/>
  <c r="EJ93" i="94"/>
  <c r="EE93" i="94"/>
  <c r="DT93" i="94"/>
  <c r="EI93" i="94"/>
  <c r="EF93" i="94"/>
  <c r="DS93" i="94"/>
  <c r="DX93" i="94"/>
  <c r="DW93" i="94"/>
  <c r="DY93" i="94"/>
  <c r="DU93" i="94"/>
  <c r="DR93" i="94"/>
  <c r="ED93" i="94"/>
  <c r="EK93" i="94"/>
  <c r="EH93" i="94"/>
  <c r="DV62" i="94"/>
  <c r="EA62" i="94"/>
  <c r="ED62" i="94"/>
  <c r="DX62" i="94"/>
  <c r="EC62" i="94"/>
  <c r="DZ62" i="94"/>
  <c r="DT62" i="94"/>
  <c r="DQ62" i="94"/>
  <c r="EG62" i="94"/>
  <c r="DY62" i="94"/>
  <c r="EF62" i="94"/>
  <c r="DW62" i="94"/>
  <c r="DR62" i="94"/>
  <c r="DU62" i="94"/>
  <c r="EL62" i="94"/>
  <c r="EJ62" i="94"/>
  <c r="EK62" i="94"/>
  <c r="EH62" i="94"/>
  <c r="DS62" i="94"/>
  <c r="EB62" i="94"/>
  <c r="EI62" i="94"/>
  <c r="EE62" i="94"/>
  <c r="DU14" i="94"/>
  <c r="EE14" i="94"/>
  <c r="DR14" i="94"/>
  <c r="DZ14" i="94"/>
  <c r="DX14" i="94"/>
  <c r="DW14" i="94"/>
  <c r="EL14" i="94"/>
  <c r="EC14" i="94"/>
  <c r="DV14" i="94"/>
  <c r="DS14" i="94"/>
  <c r="EK14" i="94"/>
  <c r="EG14" i="94"/>
  <c r="DT14" i="94"/>
  <c r="EH14" i="94"/>
  <c r="DY14" i="94"/>
  <c r="EB14" i="94"/>
  <c r="EJ14" i="94"/>
  <c r="EF14" i="94"/>
  <c r="DQ14" i="94"/>
  <c r="EA14" i="94"/>
  <c r="ED14" i="94"/>
  <c r="EI14" i="94"/>
  <c r="ED95" i="94"/>
  <c r="EI95" i="94"/>
  <c r="EH95" i="94"/>
  <c r="EC95" i="94"/>
  <c r="DZ95" i="94"/>
  <c r="EK95" i="94"/>
  <c r="DR95" i="94"/>
  <c r="EB95" i="94"/>
  <c r="EF95" i="94"/>
  <c r="DX95" i="94"/>
  <c r="DY95" i="94"/>
  <c r="EG95" i="94"/>
  <c r="DQ95" i="94"/>
  <c r="DW95" i="94"/>
  <c r="EL95" i="94"/>
  <c r="DV95" i="94"/>
  <c r="DU95" i="94"/>
  <c r="EE95" i="94"/>
  <c r="EJ95" i="94"/>
  <c r="DS95" i="94"/>
  <c r="DT95" i="94"/>
  <c r="EA95" i="94"/>
  <c r="EE89" i="94"/>
  <c r="EC55" i="94"/>
  <c r="ED55" i="94"/>
  <c r="DW55" i="94"/>
  <c r="EB55" i="94"/>
  <c r="EA55" i="94"/>
  <c r="EH55" i="94"/>
  <c r="EL55" i="94"/>
  <c r="DR55" i="94"/>
  <c r="EE55" i="94"/>
  <c r="DQ55" i="94"/>
  <c r="DZ55" i="94"/>
  <c r="DU55" i="94"/>
  <c r="DX55" i="94"/>
  <c r="DY55" i="94"/>
  <c r="DV55" i="94"/>
  <c r="EJ55" i="94"/>
  <c r="DT55" i="94"/>
  <c r="EF55" i="94"/>
  <c r="EK55" i="94"/>
  <c r="EI55" i="94"/>
  <c r="DS55" i="94"/>
  <c r="EG55" i="94"/>
  <c r="DW45" i="94"/>
  <c r="EH45" i="94"/>
  <c r="DR45" i="94"/>
  <c r="DZ45" i="94"/>
  <c r="EB45" i="94"/>
  <c r="ED45" i="94"/>
  <c r="DQ45" i="94"/>
  <c r="EL45" i="94"/>
  <c r="EA45" i="94"/>
  <c r="DS45" i="94"/>
  <c r="EC45" i="94"/>
  <c r="DY45" i="94"/>
  <c r="EG45" i="94"/>
  <c r="EE45" i="94"/>
  <c r="EF45" i="94"/>
  <c r="DV45" i="94"/>
  <c r="DU45" i="94"/>
  <c r="DX45" i="94"/>
  <c r="EJ45" i="94"/>
  <c r="EK45" i="94"/>
  <c r="DT45" i="94"/>
  <c r="EI45" i="94"/>
  <c r="EG56" i="94"/>
  <c r="EI56" i="94"/>
  <c r="EA56" i="94"/>
  <c r="DQ56" i="94"/>
  <c r="EC56" i="94"/>
  <c r="EB56" i="94"/>
  <c r="DZ56" i="94"/>
  <c r="DR56" i="94"/>
  <c r="DW56" i="94"/>
  <c r="ED56" i="94"/>
  <c r="EE56" i="94"/>
  <c r="DV56" i="94"/>
  <c r="DT56" i="94"/>
  <c r="EF56" i="94"/>
  <c r="DY56" i="94"/>
  <c r="DS56" i="94"/>
  <c r="DX56" i="94"/>
  <c r="EH56" i="94"/>
  <c r="EL56" i="94"/>
  <c r="EK56" i="94"/>
  <c r="DU56" i="94"/>
  <c r="EJ56" i="94"/>
  <c r="DT58" i="94"/>
  <c r="EB58" i="94"/>
  <c r="DR58" i="94"/>
  <c r="DZ58" i="94"/>
  <c r="DQ58" i="94"/>
  <c r="DX58" i="94"/>
  <c r="DW58" i="94"/>
  <c r="DV58" i="94"/>
  <c r="EG58" i="94"/>
  <c r="EF58" i="94"/>
  <c r="EA58" i="94"/>
  <c r="EK58" i="94"/>
  <c r="DY58" i="94"/>
  <c r="EE58" i="94"/>
  <c r="EI58" i="94"/>
  <c r="DU58" i="94"/>
  <c r="DS58" i="94"/>
  <c r="EJ58" i="94"/>
  <c r="EH58" i="94"/>
  <c r="ED58" i="94"/>
  <c r="EC58" i="94"/>
  <c r="EL58" i="94"/>
  <c r="EC17" i="94"/>
  <c r="DV17" i="94"/>
  <c r="EJ17" i="94"/>
  <c r="DU17" i="94"/>
  <c r="EI17" i="94"/>
  <c r="DW17" i="94"/>
  <c r="DS17" i="94"/>
  <c r="EE17" i="94"/>
  <c r="EL17" i="94"/>
  <c r="DX17" i="94"/>
  <c r="EH17" i="94"/>
  <c r="EF17" i="94"/>
  <c r="EB17" i="94"/>
  <c r="DR17" i="94"/>
  <c r="EK17" i="94"/>
  <c r="EG17" i="94"/>
  <c r="EA17" i="94"/>
  <c r="DQ17" i="94"/>
  <c r="DZ17" i="94"/>
  <c r="DT17" i="94"/>
  <c r="ED17" i="94"/>
  <c r="DY17" i="94"/>
  <c r="DT49" i="94"/>
  <c r="ED49" i="94"/>
  <c r="EI49" i="94"/>
  <c r="DZ49" i="94"/>
  <c r="EK49" i="94"/>
  <c r="DV49" i="94"/>
  <c r="DY49" i="94"/>
  <c r="DU49" i="94"/>
  <c r="EE49" i="94"/>
  <c r="EC49" i="94"/>
  <c r="DW49" i="94"/>
  <c r="EL49" i="94"/>
  <c r="EJ49" i="94"/>
  <c r="EG49" i="94"/>
  <c r="DS49" i="94"/>
  <c r="DQ49" i="94"/>
  <c r="EH49" i="94"/>
  <c r="DX49" i="94"/>
  <c r="DR49" i="94"/>
  <c r="EF49" i="94"/>
  <c r="EB49" i="94"/>
  <c r="EA49" i="94"/>
  <c r="EE48" i="94"/>
  <c r="EF48" i="94"/>
  <c r="EA48" i="94"/>
  <c r="DV48" i="94"/>
  <c r="EC48" i="94"/>
  <c r="EI48" i="94"/>
  <c r="DZ48" i="94"/>
  <c r="DY48" i="94"/>
  <c r="DU48" i="94"/>
  <c r="DX48" i="94"/>
  <c r="EH48" i="94"/>
  <c r="EB48" i="94"/>
  <c r="DT48" i="94"/>
  <c r="ED48" i="94"/>
  <c r="DR48" i="94"/>
  <c r="EL48" i="94"/>
  <c r="DQ48" i="94"/>
  <c r="DW48" i="94"/>
  <c r="DS48" i="94"/>
  <c r="EK48" i="94"/>
  <c r="EJ48" i="94"/>
  <c r="EG48" i="94"/>
  <c r="DU30" i="94"/>
  <c r="DX30" i="94"/>
  <c r="EJ30" i="94"/>
  <c r="EC30" i="94"/>
  <c r="EI30" i="94"/>
  <c r="EF30" i="94"/>
  <c r="EK30" i="94"/>
  <c r="EH30" i="94"/>
  <c r="DT30" i="94"/>
  <c r="ED30" i="94"/>
  <c r="DS30" i="94"/>
  <c r="DR30" i="94"/>
  <c r="DZ30" i="94"/>
  <c r="EB30" i="94"/>
  <c r="EL30" i="94"/>
  <c r="DW30" i="94"/>
  <c r="EE30" i="94"/>
  <c r="EA30" i="94"/>
  <c r="DQ30" i="94"/>
  <c r="EG30" i="94"/>
  <c r="DV30" i="94"/>
  <c r="DY30" i="94"/>
  <c r="DZ54" i="94"/>
  <c r="EE54" i="94"/>
  <c r="DY54" i="94"/>
  <c r="EL54" i="94"/>
  <c r="DV54" i="94"/>
  <c r="EK54" i="94"/>
  <c r="EC54" i="94"/>
  <c r="EJ54" i="94"/>
  <c r="ED54" i="94"/>
  <c r="DT54" i="94"/>
  <c r="EB54" i="94"/>
  <c r="EI54" i="94"/>
  <c r="DX54" i="94"/>
  <c r="EH54" i="94"/>
  <c r="EG54" i="94"/>
  <c r="DW54" i="94"/>
  <c r="DS54" i="94"/>
  <c r="DU54" i="94"/>
  <c r="EA54" i="94"/>
  <c r="DQ54" i="94"/>
  <c r="EF54" i="94"/>
  <c r="DR54" i="94"/>
  <c r="DR101" i="94"/>
  <c r="DY101" i="94"/>
  <c r="EK101" i="94"/>
  <c r="DU101" i="94"/>
  <c r="EC101" i="94"/>
  <c r="DW101" i="94"/>
  <c r="DV101" i="94"/>
  <c r="EH101" i="94"/>
  <c r="EE101" i="94"/>
  <c r="EJ101" i="94"/>
  <c r="EB101" i="94"/>
  <c r="EG101" i="94"/>
  <c r="EL101" i="94"/>
  <c r="EF101" i="94"/>
  <c r="DX101" i="94"/>
  <c r="EA101" i="94"/>
  <c r="DT101" i="94"/>
  <c r="DQ101" i="94"/>
  <c r="EI101" i="94"/>
  <c r="ED101" i="94"/>
  <c r="DS101" i="94"/>
  <c r="DZ101" i="94"/>
  <c r="EH29" i="94"/>
  <c r="DU29" i="94"/>
  <c r="DR29" i="94"/>
  <c r="ED29" i="94"/>
  <c r="DV29" i="94"/>
  <c r="EE29" i="94"/>
  <c r="EG29" i="94"/>
  <c r="EB29" i="94"/>
  <c r="EF29" i="94"/>
  <c r="DZ29" i="94"/>
  <c r="EA29" i="94"/>
  <c r="EL29" i="94"/>
  <c r="DX29" i="94"/>
  <c r="DY29" i="94"/>
  <c r="DT29" i="94"/>
  <c r="EK29" i="94"/>
  <c r="EI29" i="94"/>
  <c r="EC29" i="94"/>
  <c r="DS29" i="94"/>
  <c r="EJ29" i="94"/>
  <c r="DW29" i="94"/>
  <c r="DQ29" i="94"/>
  <c r="EJ99" i="94"/>
  <c r="DX99" i="94"/>
  <c r="EC99" i="94"/>
  <c r="EE99" i="94"/>
  <c r="DR99" i="94"/>
  <c r="EL99" i="94"/>
  <c r="DZ99" i="94"/>
  <c r="DV99" i="94"/>
  <c r="DT99" i="94"/>
  <c r="EH99" i="94"/>
  <c r="DS99" i="94"/>
  <c r="DU99" i="94"/>
  <c r="ED99" i="94"/>
  <c r="DQ99" i="94"/>
  <c r="EB99" i="94"/>
  <c r="EK99" i="94"/>
  <c r="EF99" i="94"/>
  <c r="EI99" i="94"/>
  <c r="EG99" i="94"/>
  <c r="DY99" i="94"/>
  <c r="DW99" i="94"/>
  <c r="EA99" i="94"/>
  <c r="EE82" i="94"/>
  <c r="DX82" i="94"/>
  <c r="DU82" i="94"/>
  <c r="EB82" i="94"/>
  <c r="DT82" i="94"/>
  <c r="DZ82" i="94"/>
  <c r="DY82" i="94"/>
  <c r="DQ82" i="94"/>
  <c r="EI82" i="94"/>
  <c r="EL82" i="94"/>
  <c r="EK82" i="94"/>
  <c r="DV82" i="94"/>
  <c r="DS82" i="94"/>
  <c r="EJ82" i="94"/>
  <c r="EH82" i="94"/>
  <c r="EA82" i="94"/>
  <c r="DR82" i="94"/>
  <c r="DW82" i="94"/>
  <c r="EG82" i="94"/>
  <c r="EF82" i="94"/>
  <c r="ED82" i="94"/>
  <c r="EC82" i="94"/>
  <c r="EH100" i="94"/>
  <c r="EF100" i="94"/>
  <c r="EJ100" i="94"/>
  <c r="DS100" i="94"/>
  <c r="DR100" i="94"/>
  <c r="DT100" i="94"/>
  <c r="EG100" i="94"/>
  <c r="DQ100" i="94"/>
  <c r="EB100" i="94"/>
  <c r="EE100" i="94"/>
  <c r="DX100" i="94"/>
  <c r="EA100" i="94"/>
  <c r="DW100" i="94"/>
  <c r="EC100" i="94"/>
  <c r="EL100" i="94"/>
  <c r="EK100" i="94"/>
  <c r="DV100" i="94"/>
  <c r="EI100" i="94"/>
  <c r="DY100" i="94"/>
  <c r="DZ100" i="94"/>
  <c r="DU100" i="94"/>
  <c r="ED100" i="94"/>
  <c r="DY83" i="94"/>
  <c r="DT83" i="94"/>
  <c r="DW52" i="94"/>
  <c r="DS52" i="94"/>
  <c r="EE52" i="94"/>
  <c r="EI52" i="94"/>
  <c r="EC52" i="94"/>
  <c r="EG52" i="94"/>
  <c r="EJ52" i="94"/>
  <c r="DV52" i="94"/>
  <c r="DR52" i="94"/>
  <c r="ED52" i="94"/>
  <c r="EF52" i="94"/>
  <c r="EB52" i="94"/>
  <c r="DT52" i="94"/>
  <c r="DZ52" i="94"/>
  <c r="DX52" i="94"/>
  <c r="EL52" i="94"/>
  <c r="DQ52" i="94"/>
  <c r="EA52" i="94"/>
  <c r="DY52" i="94"/>
  <c r="EK52" i="94"/>
  <c r="DU52" i="94"/>
  <c r="EH52" i="94"/>
  <c r="ED47" i="94"/>
  <c r="EC47" i="94"/>
  <c r="DZ47" i="94"/>
  <c r="EL47" i="94"/>
  <c r="DS47" i="94"/>
  <c r="DU47" i="94"/>
  <c r="EI47" i="94"/>
  <c r="DY47" i="94"/>
  <c r="DQ47" i="94"/>
  <c r="EA47" i="94"/>
  <c r="DT47" i="94"/>
  <c r="DV47" i="94"/>
  <c r="EB47" i="94"/>
  <c r="EG47" i="94"/>
  <c r="DR47" i="94"/>
  <c r="DW47" i="94"/>
  <c r="EE47" i="94"/>
  <c r="EK47" i="94"/>
  <c r="EF47" i="94"/>
  <c r="EJ47" i="94"/>
  <c r="DX47" i="94"/>
  <c r="EH47" i="94"/>
  <c r="DS42" i="94"/>
  <c r="ED42" i="94"/>
  <c r="DT42" i="94"/>
  <c r="DZ42" i="94"/>
  <c r="EH42" i="94"/>
  <c r="EK42" i="94"/>
  <c r="EC42" i="94"/>
  <c r="DR42" i="94"/>
  <c r="EE42" i="94"/>
  <c r="EG42" i="94"/>
  <c r="DU42" i="94"/>
  <c r="DQ42" i="94"/>
  <c r="DW42" i="94"/>
  <c r="EF42" i="94"/>
  <c r="DX42" i="94"/>
  <c r="EB42" i="94"/>
  <c r="DY42" i="94"/>
  <c r="EL42" i="94"/>
  <c r="EI42" i="94"/>
  <c r="EA42" i="94"/>
  <c r="EJ42" i="94"/>
  <c r="DV42" i="94"/>
  <c r="EH6" i="94"/>
  <c r="EK6" i="94"/>
  <c r="DX6" i="94"/>
  <c r="DT6" i="94"/>
  <c r="EL6" i="94"/>
  <c r="DS6" i="94"/>
  <c r="EJ6" i="94"/>
  <c r="DR6" i="94"/>
  <c r="EI6" i="94"/>
  <c r="ED6" i="94"/>
  <c r="EA6" i="94"/>
  <c r="EG6" i="94"/>
  <c r="DU6" i="94"/>
  <c r="EC6" i="94"/>
  <c r="DY6" i="94"/>
  <c r="EF6" i="94"/>
  <c r="DW6" i="94"/>
  <c r="EB6" i="94"/>
  <c r="EE6" i="94"/>
  <c r="DQ6" i="94"/>
  <c r="DZ6" i="94"/>
  <c r="DV6" i="94"/>
  <c r="EF73" i="94"/>
  <c r="DZ73" i="94"/>
  <c r="ED73" i="94"/>
  <c r="EE73" i="94"/>
  <c r="DQ73" i="94"/>
  <c r="DY73" i="94"/>
  <c r="EC73" i="94"/>
  <c r="DU73" i="94"/>
  <c r="DW73" i="94"/>
  <c r="EB73" i="94"/>
  <c r="EL73" i="94"/>
  <c r="DS73" i="94"/>
  <c r="DV73" i="94"/>
  <c r="EK73" i="94"/>
  <c r="DT73" i="94"/>
  <c r="EH73" i="94"/>
  <c r="DX73" i="94"/>
  <c r="EA73" i="94"/>
  <c r="EJ73" i="94"/>
  <c r="DR73" i="94"/>
  <c r="EI73" i="94"/>
  <c r="EG73" i="94"/>
  <c r="DS40" i="94"/>
  <c r="EG40" i="94"/>
  <c r="DZ40" i="94"/>
  <c r="EA40" i="94"/>
  <c r="DY40" i="94"/>
  <c r="EK40" i="94"/>
  <c r="DX40" i="94"/>
  <c r="DW40" i="94"/>
  <c r="EJ40" i="94"/>
  <c r="DT40" i="94"/>
  <c r="EI40" i="94"/>
  <c r="EH40" i="94"/>
  <c r="EE40" i="94"/>
  <c r="DU40" i="94"/>
  <c r="DQ40" i="94"/>
  <c r="DR40" i="94"/>
  <c r="EC40" i="94"/>
  <c r="DV40" i="94"/>
  <c r="EL40" i="94"/>
  <c r="EF40" i="94"/>
  <c r="EB40" i="94"/>
  <c r="ED40" i="94"/>
  <c r="DX28" i="94"/>
  <c r="EE28" i="94"/>
  <c r="EF28" i="94"/>
  <c r="ED28" i="94"/>
  <c r="EK28" i="94"/>
  <c r="DY28" i="94"/>
  <c r="DZ28" i="94"/>
  <c r="EC28" i="94"/>
  <c r="DV28" i="94"/>
  <c r="DW28" i="94"/>
  <c r="DU28" i="94"/>
  <c r="DS28" i="94"/>
  <c r="EB28" i="94"/>
  <c r="EL28" i="94"/>
  <c r="EI28" i="94"/>
  <c r="EH28" i="94"/>
  <c r="EJ28" i="94"/>
  <c r="DR28" i="94"/>
  <c r="DT28" i="94"/>
  <c r="EG28" i="94"/>
  <c r="EA28" i="94"/>
  <c r="DQ28" i="94"/>
  <c r="EG64" i="94"/>
  <c r="DQ64" i="94"/>
  <c r="DU64" i="94"/>
  <c r="EJ64" i="94"/>
  <c r="DT64" i="94"/>
  <c r="EB64" i="94"/>
  <c r="DY64" i="94"/>
  <c r="EF64" i="94"/>
  <c r="ED64" i="94"/>
  <c r="DX64" i="94"/>
  <c r="EL64" i="94"/>
  <c r="EE64" i="94"/>
  <c r="DW64" i="94"/>
  <c r="EC64" i="94"/>
  <c r="DV64" i="94"/>
  <c r="DZ64" i="94"/>
  <c r="DS64" i="94"/>
  <c r="EA64" i="94"/>
  <c r="EH64" i="94"/>
  <c r="EK64" i="94"/>
  <c r="DR64" i="94"/>
  <c r="EI64" i="94"/>
  <c r="DR72" i="94"/>
  <c r="EB72" i="94"/>
  <c r="DV72" i="94"/>
  <c r="DZ72" i="94"/>
  <c r="EI72" i="94"/>
  <c r="DY72" i="94"/>
  <c r="DX72" i="94"/>
  <c r="EE72" i="94"/>
  <c r="EA72" i="94"/>
  <c r="EL72" i="94"/>
  <c r="DW72" i="94"/>
  <c r="EJ72" i="94"/>
  <c r="DQ72" i="94"/>
  <c r="EG72" i="94"/>
  <c r="DU72" i="94"/>
  <c r="EK72" i="94"/>
  <c r="DT72" i="94"/>
  <c r="EF72" i="94"/>
  <c r="EH72" i="94"/>
  <c r="ED72" i="94"/>
  <c r="DS72" i="94"/>
  <c r="EC72" i="94"/>
  <c r="DQ103" i="94"/>
  <c r="EB103" i="94"/>
  <c r="DR103" i="94"/>
  <c r="DU103" i="94"/>
  <c r="EC103" i="94"/>
  <c r="EG103" i="94"/>
  <c r="EA103" i="94"/>
  <c r="EF103" i="94"/>
  <c r="DZ103" i="94"/>
  <c r="EE103" i="94"/>
  <c r="DY103" i="94"/>
  <c r="DW103" i="94"/>
  <c r="DV103" i="94"/>
  <c r="EK103" i="94"/>
  <c r="EL103" i="94"/>
  <c r="EJ103" i="94"/>
  <c r="DT103" i="94"/>
  <c r="EI103" i="94"/>
  <c r="ED103" i="94"/>
  <c r="EH103" i="94"/>
  <c r="DS103" i="94"/>
  <c r="DX103" i="94"/>
  <c r="EJ107" i="94"/>
  <c r="EK107" i="94"/>
  <c r="EC107" i="94"/>
  <c r="DU107" i="94"/>
  <c r="EB107" i="94"/>
  <c r="EI107" i="94"/>
  <c r="DZ107" i="94"/>
  <c r="DS107" i="94"/>
  <c r="DR107" i="94"/>
  <c r="DQ107" i="94"/>
  <c r="DX107" i="94"/>
  <c r="EF107" i="94"/>
  <c r="EL107" i="94"/>
  <c r="EA107" i="94"/>
  <c r="EG107" i="94"/>
  <c r="EE107" i="94"/>
  <c r="DT107" i="94"/>
  <c r="EH107" i="94"/>
  <c r="ED107" i="94"/>
  <c r="DY107" i="94"/>
  <c r="DV107" i="94"/>
  <c r="DW107" i="94"/>
  <c r="DX108" i="94"/>
  <c r="DS108" i="94"/>
  <c r="DV108" i="94"/>
  <c r="ED108" i="94"/>
  <c r="EJ108" i="94"/>
  <c r="EI108" i="94"/>
  <c r="EH108" i="94"/>
  <c r="EC108" i="94"/>
  <c r="DR108" i="94"/>
  <c r="DT108" i="94"/>
  <c r="EG108" i="94"/>
  <c r="EB108" i="94"/>
  <c r="DQ108" i="94"/>
  <c r="DW108" i="94"/>
  <c r="EA108" i="94"/>
  <c r="EF108" i="94"/>
  <c r="EK108" i="94"/>
  <c r="EL108" i="94"/>
  <c r="DY108" i="94"/>
  <c r="EE108" i="94"/>
  <c r="DU108" i="94"/>
  <c r="DZ108" i="94"/>
  <c r="DU65" i="94"/>
  <c r="DR65" i="94"/>
  <c r="EB65" i="94"/>
  <c r="EF65" i="94"/>
  <c r="EA65" i="94"/>
  <c r="ED65" i="94"/>
  <c r="DZ65" i="94"/>
  <c r="EK65" i="94"/>
  <c r="DY65" i="94"/>
  <c r="DQ65" i="94"/>
  <c r="DX65" i="94"/>
  <c r="EJ65" i="94"/>
  <c r="DW65" i="94"/>
  <c r="EG65" i="94"/>
  <c r="DS65" i="94"/>
  <c r="EL65" i="94"/>
  <c r="EH65" i="94"/>
  <c r="DV65" i="94"/>
  <c r="EC65" i="94"/>
  <c r="DT65" i="94"/>
  <c r="EE65" i="94"/>
  <c r="EI65" i="94"/>
  <c r="DZ68" i="94"/>
  <c r="DS68" i="94"/>
  <c r="EK68" i="94"/>
  <c r="EH68" i="94"/>
  <c r="EI68" i="94"/>
  <c r="DV68" i="94"/>
  <c r="DR68" i="94"/>
  <c r="ED68" i="94"/>
  <c r="DY68" i="94"/>
  <c r="EG68" i="94"/>
  <c r="EE68" i="94"/>
  <c r="DQ68" i="94"/>
  <c r="DX68" i="94"/>
  <c r="EA68" i="94"/>
  <c r="DW68" i="94"/>
  <c r="EL68" i="94"/>
  <c r="EC68" i="94"/>
  <c r="DU68" i="94"/>
  <c r="EB68" i="94"/>
  <c r="EJ68" i="94"/>
  <c r="EF68" i="94"/>
  <c r="DT68" i="94"/>
  <c r="EH66" i="94"/>
  <c r="ED70" i="94"/>
  <c r="EA70" i="94"/>
  <c r="EC70" i="94"/>
  <c r="DZ70" i="94"/>
  <c r="EK70" i="94"/>
  <c r="DQ70" i="94"/>
  <c r="DU70" i="94"/>
  <c r="DY70" i="94"/>
  <c r="DS70" i="94"/>
  <c r="DX70" i="94"/>
  <c r="EJ70" i="94"/>
  <c r="EI70" i="94"/>
  <c r="EH70" i="94"/>
  <c r="EL70" i="94"/>
  <c r="DR70" i="94"/>
  <c r="DV70" i="94"/>
  <c r="EG70" i="94"/>
  <c r="DT70" i="94"/>
  <c r="EE70" i="94"/>
  <c r="EB70" i="94"/>
  <c r="EF70" i="94"/>
  <c r="DW70" i="94"/>
  <c r="DX104" i="94"/>
  <c r="EF104" i="94"/>
  <c r="EC104" i="94"/>
  <c r="EE104" i="94"/>
  <c r="DW104" i="94"/>
  <c r="ED104" i="94"/>
  <c r="EK104" i="94"/>
  <c r="DQ104" i="94"/>
  <c r="DU104" i="94"/>
  <c r="DV104" i="94"/>
  <c r="EJ104" i="94"/>
  <c r="DR104" i="94"/>
  <c r="DT104" i="94"/>
  <c r="DS104" i="94"/>
  <c r="EH104" i="94"/>
  <c r="EB104" i="94"/>
  <c r="EA104" i="94"/>
  <c r="DZ104" i="94"/>
  <c r="EI104" i="94"/>
  <c r="EL104" i="94"/>
  <c r="EG104" i="94"/>
  <c r="DY104" i="94"/>
  <c r="EF67" i="94"/>
  <c r="EC67" i="94"/>
  <c r="EE67" i="94"/>
  <c r="DS67" i="94"/>
  <c r="DW67" i="94"/>
  <c r="EB67" i="94"/>
  <c r="EL67" i="94"/>
  <c r="DZ67" i="94"/>
  <c r="DX67" i="94"/>
  <c r="DV67" i="94"/>
  <c r="EK67" i="94"/>
  <c r="EJ67" i="94"/>
  <c r="EG67" i="94"/>
  <c r="DT67" i="94"/>
  <c r="EH67" i="94"/>
  <c r="EA67" i="94"/>
  <c r="ED67" i="94"/>
  <c r="EI67" i="94"/>
  <c r="DR67" i="94"/>
  <c r="DQ67" i="94"/>
  <c r="DY67" i="94"/>
  <c r="DU67" i="94"/>
  <c r="DR69" i="94"/>
  <c r="EB69" i="94"/>
  <c r="EG69" i="94"/>
  <c r="EC69" i="94"/>
  <c r="DQ69" i="94"/>
  <c r="DY69" i="94"/>
  <c r="EA69" i="94"/>
  <c r="EF69" i="94"/>
  <c r="EL69" i="94"/>
  <c r="DW69" i="94"/>
  <c r="DX69" i="94"/>
  <c r="EE69" i="94"/>
  <c r="DV69" i="94"/>
  <c r="DS69" i="94"/>
  <c r="EK69" i="94"/>
  <c r="DZ69" i="94"/>
  <c r="EJ69" i="94"/>
  <c r="DU69" i="94"/>
  <c r="DT69" i="94"/>
  <c r="EI69" i="94"/>
  <c r="EH69" i="94"/>
  <c r="ED69" i="94"/>
  <c r="EH105" i="94"/>
  <c r="DX105" i="94"/>
  <c r="DR105" i="94"/>
  <c r="EA105" i="94"/>
  <c r="EG105" i="94"/>
  <c r="DY105" i="94"/>
  <c r="DT105" i="94"/>
  <c r="DW105" i="94"/>
  <c r="ED105" i="94"/>
  <c r="EI105" i="94"/>
  <c r="EJ105" i="94"/>
  <c r="EB105" i="94"/>
  <c r="DQ105" i="94"/>
  <c r="EK105" i="94"/>
  <c r="EL105" i="94"/>
  <c r="EE105" i="94"/>
  <c r="DV105" i="94"/>
  <c r="EC105" i="94"/>
  <c r="EF105" i="94"/>
  <c r="DZ105" i="94"/>
  <c r="DS105" i="94"/>
  <c r="DU105" i="94"/>
  <c r="DY102" i="94"/>
  <c r="EK102" i="94"/>
  <c r="EJ102" i="94"/>
  <c r="DT102" i="94"/>
  <c r="EH102" i="94"/>
  <c r="DR102" i="94"/>
  <c r="EF102" i="94"/>
  <c r="EL102" i="94"/>
  <c r="EC102" i="94"/>
  <c r="ED102" i="94"/>
  <c r="DS102" i="94"/>
  <c r="EI102" i="94"/>
  <c r="EB102" i="94"/>
  <c r="EG102" i="94"/>
  <c r="DX102" i="94"/>
  <c r="DV102" i="94"/>
  <c r="EA102" i="94"/>
  <c r="EE102" i="94"/>
  <c r="DW102" i="94"/>
  <c r="DU102" i="94"/>
  <c r="DZ102" i="94"/>
  <c r="DQ102" i="94"/>
  <c r="DT63" i="94"/>
  <c r="EF63" i="94"/>
  <c r="EH63" i="94"/>
  <c r="EE63" i="94"/>
  <c r="EB63" i="94"/>
  <c r="DR63" i="94"/>
  <c r="ED63" i="94"/>
  <c r="EA63" i="94"/>
  <c r="DX63" i="94"/>
  <c r="DY63" i="94"/>
  <c r="EC63" i="94"/>
  <c r="EG63" i="94"/>
  <c r="DW63" i="94"/>
  <c r="DQ63" i="94"/>
  <c r="EK63" i="94"/>
  <c r="DU63" i="94"/>
  <c r="EJ63" i="94"/>
  <c r="EL63" i="94"/>
  <c r="DZ63" i="94"/>
  <c r="DV63" i="94"/>
  <c r="DS63" i="94"/>
  <c r="EI63" i="94"/>
  <c r="EI106" i="94"/>
  <c r="DU106" i="94"/>
  <c r="EA106" i="94"/>
  <c r="ED106" i="94"/>
  <c r="EJ106" i="94"/>
  <c r="EB106" i="94"/>
  <c r="DW106" i="94"/>
  <c r="DZ106" i="94"/>
  <c r="EL106" i="94"/>
  <c r="DR106" i="94"/>
  <c r="DX106" i="94"/>
  <c r="EE106" i="94"/>
  <c r="DV106" i="94"/>
  <c r="EG106" i="94"/>
  <c r="DT106" i="94"/>
  <c r="EC106" i="94"/>
  <c r="EH106" i="94"/>
  <c r="DQ106" i="94"/>
  <c r="DS106" i="94"/>
  <c r="DY106" i="94"/>
  <c r="EF106" i="94"/>
  <c r="EK106" i="94"/>
  <c r="EC141" i="94"/>
  <c r="EJ141" i="94"/>
  <c r="DY141" i="94"/>
  <c r="EI141" i="94"/>
  <c r="EB141" i="94"/>
  <c r="DR141" i="94"/>
  <c r="EA141" i="94"/>
  <c r="DQ141" i="94"/>
  <c r="EG141" i="94"/>
  <c r="DU141" i="94"/>
  <c r="DZ141" i="94"/>
  <c r="EF141" i="94"/>
  <c r="DX141" i="94"/>
  <c r="DS141" i="94"/>
  <c r="DW141" i="94"/>
  <c r="EL141" i="94"/>
  <c r="DV141" i="94"/>
  <c r="EK141" i="94"/>
  <c r="EE141" i="94"/>
  <c r="DT141" i="94"/>
  <c r="ED141" i="94"/>
  <c r="EH141" i="94"/>
  <c r="DU110" i="94"/>
  <c r="EJ110" i="94"/>
  <c r="DT110" i="94"/>
  <c r="EF110" i="94"/>
  <c r="EE110" i="94"/>
  <c r="DY110" i="94"/>
  <c r="EG110" i="94"/>
  <c r="EH110" i="94"/>
  <c r="ED110" i="94"/>
  <c r="DZ110" i="94"/>
  <c r="EL110" i="94"/>
  <c r="EI110" i="94"/>
  <c r="EC110" i="94"/>
  <c r="DS110" i="94"/>
  <c r="DQ110" i="94"/>
  <c r="DX110" i="94"/>
  <c r="EA110" i="94"/>
  <c r="DW110" i="94"/>
  <c r="EB110" i="94"/>
  <c r="DV110" i="94"/>
  <c r="EK110" i="94"/>
  <c r="DR110" i="94"/>
  <c r="EL157" i="94"/>
  <c r="DR157" i="94"/>
  <c r="EF157" i="94"/>
  <c r="DX157" i="94"/>
  <c r="EJ157" i="94"/>
  <c r="EI157" i="94"/>
  <c r="EE157" i="94"/>
  <c r="DW157" i="94"/>
  <c r="EB157" i="94"/>
  <c r="DV157" i="94"/>
  <c r="EK157" i="94"/>
  <c r="ED157" i="94"/>
  <c r="DS157" i="94"/>
  <c r="EH157" i="94"/>
  <c r="DZ157" i="94"/>
  <c r="DQ157" i="94"/>
  <c r="DU157" i="94"/>
  <c r="EA157" i="94"/>
  <c r="EC157" i="94"/>
  <c r="DY157" i="94"/>
  <c r="EG157" i="94"/>
  <c r="DT157" i="94"/>
  <c r="EE143" i="94"/>
  <c r="EA143" i="94"/>
  <c r="DQ143" i="94"/>
  <c r="EJ143" i="94"/>
  <c r="ED143" i="94"/>
  <c r="EH143" i="94"/>
  <c r="EI143" i="94"/>
  <c r="EC143" i="94"/>
  <c r="EG143" i="94"/>
  <c r="EB143" i="94"/>
  <c r="EF143" i="94"/>
  <c r="DZ143" i="94"/>
  <c r="EL143" i="94"/>
  <c r="DX143" i="94"/>
  <c r="DT143" i="94"/>
  <c r="DW143" i="94"/>
  <c r="DV143" i="94"/>
  <c r="DS143" i="94"/>
  <c r="EK143" i="94"/>
  <c r="DU143" i="94"/>
  <c r="DR143" i="94"/>
  <c r="DY143" i="94"/>
  <c r="EJ114" i="94"/>
  <c r="ED114" i="94"/>
  <c r="EA114" i="94"/>
  <c r="DT114" i="94"/>
  <c r="DY114" i="94"/>
  <c r="EH114" i="94"/>
  <c r="DX114" i="94"/>
  <c r="DS114" i="94"/>
  <c r="EL114" i="94"/>
  <c r="EK114" i="94"/>
  <c r="DU114" i="94"/>
  <c r="DQ114" i="94"/>
  <c r="EE114" i="94"/>
  <c r="EI114" i="94"/>
  <c r="EG114" i="94"/>
  <c r="DR114" i="94"/>
  <c r="EC114" i="94"/>
  <c r="DW114" i="94"/>
  <c r="EF114" i="94"/>
  <c r="DV114" i="94"/>
  <c r="EB114" i="94"/>
  <c r="DZ114" i="94"/>
  <c r="DW162" i="94"/>
  <c r="DU162" i="94"/>
  <c r="EF162" i="94"/>
  <c r="DS162" i="94"/>
  <c r="DV162" i="94"/>
  <c r="EG162" i="94"/>
  <c r="EJ162" i="94"/>
  <c r="EH162" i="94"/>
  <c r="EC162" i="94"/>
  <c r="EK162" i="94"/>
  <c r="DR162" i="94"/>
  <c r="EE162" i="94"/>
  <c r="ED162" i="94"/>
  <c r="EB162" i="94"/>
  <c r="DZ162" i="94"/>
  <c r="DT162" i="94"/>
  <c r="EI162" i="94"/>
  <c r="EA162" i="94"/>
  <c r="DX162" i="94"/>
  <c r="DY162" i="94"/>
  <c r="DQ162" i="94"/>
  <c r="EL162" i="94"/>
  <c r="DQ144" i="94"/>
  <c r="EA144" i="94"/>
  <c r="DV144" i="94"/>
  <c r="EJ144" i="94"/>
  <c r="EC115" i="94"/>
  <c r="EE115" i="94"/>
  <c r="EH115" i="94"/>
  <c r="ED115" i="94"/>
  <c r="EL115" i="94"/>
  <c r="EK115" i="94"/>
  <c r="EG115" i="94"/>
  <c r="EB115" i="94"/>
  <c r="DQ115" i="94"/>
  <c r="EA115" i="94"/>
  <c r="DZ115" i="94"/>
  <c r="DW115" i="94"/>
  <c r="DT115" i="94"/>
  <c r="DV115" i="94"/>
  <c r="DU115" i="94"/>
  <c r="DY115" i="94"/>
  <c r="EJ115" i="94"/>
  <c r="EI115" i="94"/>
  <c r="DX115" i="94"/>
  <c r="DR115" i="94"/>
  <c r="DS115" i="94"/>
  <c r="EF115" i="94"/>
  <c r="EL160" i="94"/>
  <c r="DR160" i="94"/>
  <c r="DV160" i="94"/>
  <c r="EK160" i="94"/>
  <c r="EH160" i="94"/>
  <c r="DS160" i="94"/>
  <c r="DU160" i="94"/>
  <c r="DQ160" i="94"/>
  <c r="EE160" i="94"/>
  <c r="DW160" i="94"/>
  <c r="EJ160" i="94"/>
  <c r="ED160" i="94"/>
  <c r="DT160" i="94"/>
  <c r="EB160" i="94"/>
  <c r="EI160" i="94"/>
  <c r="EG160" i="94"/>
  <c r="EA160" i="94"/>
  <c r="DZ160" i="94"/>
  <c r="EF160" i="94"/>
  <c r="DX160" i="94"/>
  <c r="DY160" i="94"/>
  <c r="EC160" i="94"/>
  <c r="DS142" i="94"/>
  <c r="EH142" i="94"/>
  <c r="DY142" i="94"/>
  <c r="EE142" i="94"/>
  <c r="ED142" i="94"/>
  <c r="DT142" i="94"/>
  <c r="DV142" i="94"/>
  <c r="DX142" i="94"/>
  <c r="EK142" i="94"/>
  <c r="DR142" i="94"/>
  <c r="DZ142" i="94"/>
  <c r="DW142" i="94"/>
  <c r="EG142" i="94"/>
  <c r="DQ142" i="94"/>
  <c r="EC142" i="94"/>
  <c r="EF142" i="94"/>
  <c r="EL142" i="94"/>
  <c r="EB142" i="94"/>
  <c r="EA142" i="94"/>
  <c r="DU142" i="94"/>
  <c r="EJ142" i="94"/>
  <c r="EI142" i="94"/>
  <c r="DR133" i="94"/>
  <c r="EB133" i="94"/>
  <c r="EG133" i="94"/>
  <c r="EL133" i="94"/>
  <c r="DZ133" i="94"/>
  <c r="DU133" i="94"/>
  <c r="DY133" i="94"/>
  <c r="DW133" i="94"/>
  <c r="DV133" i="94"/>
  <c r="EF133" i="94"/>
  <c r="EK133" i="94"/>
  <c r="EI133" i="94"/>
  <c r="DQ133" i="94"/>
  <c r="EE133" i="94"/>
  <c r="EJ133" i="94"/>
  <c r="DS133" i="94"/>
  <c r="ED133" i="94"/>
  <c r="EA133" i="94"/>
  <c r="DX133" i="94"/>
  <c r="DT133" i="94"/>
  <c r="EC133" i="94"/>
  <c r="EH133" i="94"/>
  <c r="DZ113" i="94"/>
  <c r="EF113" i="94"/>
  <c r="DW113" i="94"/>
  <c r="DT113" i="94"/>
  <c r="EK113" i="94"/>
  <c r="DS113" i="94"/>
  <c r="EB113" i="94"/>
  <c r="ED113" i="94"/>
  <c r="DU113" i="94"/>
  <c r="EL113" i="94"/>
  <c r="EC113" i="94"/>
  <c r="DY113" i="94"/>
  <c r="EA113" i="94"/>
  <c r="EJ113" i="94"/>
  <c r="DX113" i="94"/>
  <c r="EI113" i="94"/>
  <c r="EH113" i="94"/>
  <c r="DR113" i="94"/>
  <c r="EG113" i="94"/>
  <c r="DQ113" i="94"/>
  <c r="EE113" i="94"/>
  <c r="DV113" i="94"/>
  <c r="EI163" i="94"/>
  <c r="EH163" i="94"/>
  <c r="DR163" i="94"/>
  <c r="ED163" i="94"/>
  <c r="EA163" i="94"/>
  <c r="EB163" i="94"/>
  <c r="EE163" i="94"/>
  <c r="DX163" i="94"/>
  <c r="EK163" i="94"/>
  <c r="EG163" i="94"/>
  <c r="EC163" i="94"/>
  <c r="DW163" i="94"/>
  <c r="EL163" i="94"/>
  <c r="DQ163" i="94"/>
  <c r="DZ163" i="94"/>
  <c r="EF163" i="94"/>
  <c r="DY163" i="94"/>
  <c r="DV163" i="94"/>
  <c r="EJ163" i="94"/>
  <c r="DU163" i="94"/>
  <c r="DT163" i="94"/>
  <c r="DS163" i="94"/>
  <c r="EG130" i="94"/>
  <c r="DQ130" i="94"/>
  <c r="DT130" i="94"/>
  <c r="EI130" i="94"/>
  <c r="EH130" i="94"/>
  <c r="DU130" i="94"/>
  <c r="DW130" i="94"/>
  <c r="DS130" i="94"/>
  <c r="EL130" i="94"/>
  <c r="ED130" i="94"/>
  <c r="DV130" i="94"/>
  <c r="EF130" i="94"/>
  <c r="EC130" i="94"/>
  <c r="EK130" i="94"/>
  <c r="EA130" i="94"/>
  <c r="DY130" i="94"/>
  <c r="DR130" i="94"/>
  <c r="EJ130" i="94"/>
  <c r="EE130" i="94"/>
  <c r="DZ130" i="94"/>
  <c r="EB130" i="94"/>
  <c r="DX130" i="94"/>
  <c r="DY128" i="94"/>
  <c r="EA128" i="94"/>
  <c r="EE128" i="94"/>
  <c r="EL128" i="94"/>
  <c r="DX128" i="94"/>
  <c r="EJ128" i="94"/>
  <c r="DW128" i="94"/>
  <c r="EI128" i="94"/>
  <c r="DV128" i="94"/>
  <c r="DS128" i="94"/>
  <c r="EK128" i="94"/>
  <c r="ED128" i="94"/>
  <c r="DQ128" i="94"/>
  <c r="EH128" i="94"/>
  <c r="EC128" i="94"/>
  <c r="DU128" i="94"/>
  <c r="EB128" i="94"/>
  <c r="DT128" i="94"/>
  <c r="EG128" i="94"/>
  <c r="DR128" i="94"/>
  <c r="EF128" i="94"/>
  <c r="DZ128" i="94"/>
  <c r="EE139" i="94"/>
  <c r="ED139" i="94"/>
  <c r="DV139" i="94"/>
  <c r="EC139" i="94"/>
  <c r="EK139" i="94"/>
  <c r="DU139" i="94"/>
  <c r="DY139" i="94"/>
  <c r="EI139" i="94"/>
  <c r="EJ139" i="94"/>
  <c r="DQ139" i="94"/>
  <c r="EL139" i="94"/>
  <c r="EF139" i="94"/>
  <c r="DT139" i="94"/>
  <c r="DX139" i="94"/>
  <c r="DW139" i="94"/>
  <c r="EH139" i="94"/>
  <c r="DS139" i="94"/>
  <c r="EB139" i="94"/>
  <c r="EG139" i="94"/>
  <c r="EA139" i="94"/>
  <c r="DZ139" i="94"/>
  <c r="DR139" i="94"/>
  <c r="EE158" i="94"/>
  <c r="DW158" i="94"/>
  <c r="DQ158" i="94"/>
  <c r="EA158" i="94"/>
  <c r="EB158" i="94"/>
  <c r="EK158" i="94"/>
  <c r="DZ158" i="94"/>
  <c r="DU158" i="94"/>
  <c r="DX158" i="94"/>
  <c r="EJ158" i="94"/>
  <c r="DT158" i="94"/>
  <c r="ED158" i="94"/>
  <c r="EL158" i="94"/>
  <c r="DV158" i="94"/>
  <c r="DS158" i="94"/>
  <c r="EI158" i="94"/>
  <c r="EH158" i="94"/>
  <c r="DR158" i="94"/>
  <c r="EG158" i="94"/>
  <c r="EC158" i="94"/>
  <c r="DY158" i="94"/>
  <c r="EF158" i="94"/>
  <c r="ED154" i="94"/>
  <c r="DW154" i="94"/>
  <c r="EA154" i="94"/>
  <c r="EL154" i="94"/>
  <c r="DY154" i="94"/>
  <c r="DV154" i="94"/>
  <c r="EH154" i="94"/>
  <c r="DX154" i="94"/>
  <c r="DS154" i="94"/>
  <c r="EK154" i="94"/>
  <c r="DR154" i="94"/>
  <c r="EG154" i="94"/>
  <c r="EI154" i="94"/>
  <c r="EB154" i="94"/>
  <c r="DU154" i="94"/>
  <c r="EE154" i="94"/>
  <c r="EJ154" i="94"/>
  <c r="EF154" i="94"/>
  <c r="DQ154" i="94"/>
  <c r="DT154" i="94"/>
  <c r="EC154" i="94"/>
  <c r="DZ154" i="94"/>
  <c r="EL131" i="94"/>
  <c r="EJ131" i="94"/>
  <c r="EE131" i="94"/>
  <c r="EI131" i="94"/>
  <c r="ED131" i="94"/>
  <c r="DS131" i="94"/>
  <c r="EH131" i="94"/>
  <c r="EB131" i="94"/>
  <c r="EG131" i="94"/>
  <c r="DU131" i="94"/>
  <c r="DQ131" i="94"/>
  <c r="DT131" i="94"/>
  <c r="DZ131" i="94"/>
  <c r="EA131" i="94"/>
  <c r="DY131" i="94"/>
  <c r="EF131" i="94"/>
  <c r="DX131" i="94"/>
  <c r="DR131" i="94"/>
  <c r="DV131" i="94"/>
  <c r="EC131" i="94"/>
  <c r="DW131" i="94"/>
  <c r="EK131" i="94"/>
  <c r="EF129" i="94"/>
  <c r="DQ129" i="94"/>
  <c r="DX129" i="94"/>
  <c r="ED129" i="94"/>
  <c r="DW129" i="94"/>
  <c r="EA129" i="94"/>
  <c r="EC129" i="94"/>
  <c r="DY129" i="94"/>
  <c r="EL129" i="94"/>
  <c r="EB129" i="94"/>
  <c r="DZ129" i="94"/>
  <c r="EI129" i="94"/>
  <c r="DV129" i="94"/>
  <c r="DS129" i="94"/>
  <c r="EK129" i="94"/>
  <c r="EH129" i="94"/>
  <c r="EJ129" i="94"/>
  <c r="DR129" i="94"/>
  <c r="EG129" i="94"/>
  <c r="DU129" i="94"/>
  <c r="EE129" i="94"/>
  <c r="DT129" i="94"/>
  <c r="EA140" i="94"/>
  <c r="DT140" i="94"/>
  <c r="DZ140" i="94"/>
  <c r="DW140" i="94"/>
  <c r="DY140" i="94"/>
  <c r="EI140" i="94"/>
  <c r="DS140" i="94"/>
  <c r="DX140" i="94"/>
  <c r="EK140" i="94"/>
  <c r="DQ140" i="94"/>
  <c r="DR140" i="94"/>
  <c r="EB140" i="94"/>
  <c r="DU140" i="94"/>
  <c r="EE140" i="94"/>
  <c r="EG140" i="94"/>
  <c r="DV140" i="94"/>
  <c r="EF140" i="94"/>
  <c r="EH140" i="94"/>
  <c r="ED140" i="94"/>
  <c r="EC140" i="94"/>
  <c r="EL140" i="94"/>
  <c r="EJ140" i="94"/>
  <c r="EL161" i="94"/>
  <c r="DZ161" i="94"/>
  <c r="EF161" i="94"/>
  <c r="EJ118" i="94"/>
  <c r="DQ118" i="94"/>
  <c r="DT118" i="94"/>
  <c r="EF118" i="94"/>
  <c r="DS118" i="94"/>
  <c r="EE118" i="94"/>
  <c r="DR118" i="94"/>
  <c r="DX118" i="94"/>
  <c r="ED118" i="94"/>
  <c r="DW118" i="94"/>
  <c r="EC118" i="94"/>
  <c r="DZ118" i="94"/>
  <c r="EB118" i="94"/>
  <c r="DY118" i="94"/>
  <c r="DV118" i="94"/>
  <c r="EL118" i="94"/>
  <c r="EK118" i="94"/>
  <c r="EA118" i="94"/>
  <c r="DU118" i="94"/>
  <c r="EI118" i="94"/>
  <c r="EG118" i="94"/>
  <c r="EH118" i="94"/>
  <c r="DQ127" i="94"/>
  <c r="DS127" i="94"/>
  <c r="EE127" i="94"/>
  <c r="EH127" i="94"/>
  <c r="EB127" i="94"/>
  <c r="EF127" i="94"/>
  <c r="EJ127" i="94"/>
  <c r="EA127" i="94"/>
  <c r="DX127" i="94"/>
  <c r="DZ127" i="94"/>
  <c r="EI127" i="94"/>
  <c r="ED127" i="94"/>
  <c r="DT127" i="94"/>
  <c r="EL127" i="94"/>
  <c r="EC127" i="94"/>
  <c r="DV127" i="94"/>
  <c r="DY127" i="94"/>
  <c r="EK127" i="94"/>
  <c r="DW127" i="94"/>
  <c r="DR127" i="94"/>
  <c r="DU127" i="94"/>
  <c r="EG127" i="94"/>
  <c r="EH138" i="94"/>
  <c r="EK138" i="94"/>
  <c r="DU138" i="94"/>
  <c r="EJ138" i="94"/>
  <c r="DQ138" i="94"/>
  <c r="EF138" i="94"/>
  <c r="EC138" i="94"/>
  <c r="EE138" i="94"/>
  <c r="EB138" i="94"/>
  <c r="DX138" i="94"/>
  <c r="ED138" i="94"/>
  <c r="DR138" i="94"/>
  <c r="DZ138" i="94"/>
  <c r="EG138" i="94"/>
  <c r="EI138" i="94"/>
  <c r="DT138" i="94"/>
  <c r="DY138" i="94"/>
  <c r="DV138" i="94"/>
  <c r="DS138" i="94"/>
  <c r="EA138" i="94"/>
  <c r="DW138" i="94"/>
  <c r="EL138" i="94"/>
  <c r="EI164" i="94"/>
  <c r="EF164" i="94"/>
  <c r="EH164" i="94"/>
  <c r="DV164" i="94"/>
  <c r="DR164" i="94"/>
  <c r="EK164" i="94"/>
  <c r="EG164" i="94"/>
  <c r="DT164" i="94"/>
  <c r="EE164" i="94"/>
  <c r="EA164" i="94"/>
  <c r="DQ164" i="94"/>
  <c r="DZ164" i="94"/>
  <c r="EB164" i="94"/>
  <c r="DU164" i="94"/>
  <c r="EL164" i="94"/>
  <c r="DY164" i="94"/>
  <c r="ED164" i="94"/>
  <c r="EJ164" i="94"/>
  <c r="DX164" i="94"/>
  <c r="DS164" i="94"/>
  <c r="DW164" i="94"/>
  <c r="EC164" i="94"/>
  <c r="DZ152" i="94"/>
  <c r="DU152" i="94"/>
  <c r="DX152" i="94"/>
  <c r="EJ152" i="94"/>
  <c r="EL152" i="94"/>
  <c r="EI152" i="94"/>
  <c r="EF152" i="94"/>
  <c r="ED152" i="94"/>
  <c r="EH152" i="94"/>
  <c r="EC152" i="94"/>
  <c r="EB152" i="94"/>
  <c r="DR152" i="94"/>
  <c r="DY152" i="94"/>
  <c r="DW152" i="94"/>
  <c r="EE152" i="94"/>
  <c r="DQ152" i="94"/>
  <c r="DV152" i="94"/>
  <c r="DT152" i="94"/>
  <c r="EA152" i="94"/>
  <c r="DS152" i="94"/>
  <c r="EK152" i="94"/>
  <c r="EG152" i="94"/>
  <c r="EH119" i="94"/>
  <c r="DW119" i="94"/>
  <c r="DR119" i="94"/>
  <c r="DS119" i="94"/>
  <c r="EK119" i="94"/>
  <c r="EG119" i="94"/>
  <c r="DQ119" i="94"/>
  <c r="EE119" i="94"/>
  <c r="EC119" i="94"/>
  <c r="EB119" i="94"/>
  <c r="EI119" i="94"/>
  <c r="DZ119" i="94"/>
  <c r="DU119" i="94"/>
  <c r="EF119" i="94"/>
  <c r="EL119" i="94"/>
  <c r="ED119" i="94"/>
  <c r="EJ119" i="94"/>
  <c r="EA119" i="94"/>
  <c r="DV119" i="94"/>
  <c r="DT119" i="94"/>
  <c r="DY119" i="94"/>
  <c r="DX119" i="94"/>
  <c r="EG156" i="94"/>
  <c r="DQ156" i="94"/>
  <c r="DT156" i="94"/>
  <c r="EI156" i="94"/>
  <c r="EC156" i="94"/>
  <c r="EE156" i="94"/>
  <c r="EK156" i="94"/>
  <c r="DW156" i="94"/>
  <c r="DU156" i="94"/>
  <c r="ED156" i="94"/>
  <c r="DS156" i="94"/>
  <c r="EL156" i="94"/>
  <c r="EF156" i="94"/>
  <c r="EB156" i="94"/>
  <c r="DV156" i="94"/>
  <c r="EA156" i="94"/>
  <c r="DZ156" i="94"/>
  <c r="DY156" i="94"/>
  <c r="EH156" i="94"/>
  <c r="EJ156" i="94"/>
  <c r="DR156" i="94"/>
  <c r="DX156" i="94"/>
  <c r="DQ159" i="94"/>
  <c r="EH159" i="94"/>
  <c r="EE159" i="94"/>
  <c r="DY159" i="94"/>
  <c r="EC159" i="94"/>
  <c r="EB159" i="94"/>
  <c r="EA159" i="94"/>
  <c r="DT159" i="94"/>
  <c r="DZ159" i="94"/>
  <c r="DS159" i="94"/>
  <c r="EF159" i="94"/>
  <c r="DV159" i="94"/>
  <c r="ED159" i="94"/>
  <c r="DR159" i="94"/>
  <c r="DW159" i="94"/>
  <c r="EL159" i="94"/>
  <c r="DX159" i="94"/>
  <c r="DU159" i="94"/>
  <c r="EI159" i="94"/>
  <c r="EK159" i="94"/>
  <c r="EG159" i="94"/>
  <c r="EJ159" i="94"/>
  <c r="DR124" i="94"/>
  <c r="DY124" i="94"/>
  <c r="EG124" i="94"/>
  <c r="DQ124" i="94"/>
  <c r="ED124" i="94"/>
  <c r="EL124" i="94"/>
  <c r="EB124" i="94"/>
  <c r="DX124" i="94"/>
  <c r="DV124" i="94"/>
  <c r="EK124" i="94"/>
  <c r="DS124" i="94"/>
  <c r="DW124" i="94"/>
  <c r="EF124" i="94"/>
  <c r="EJ124" i="94"/>
  <c r="EC124" i="94"/>
  <c r="EI124" i="94"/>
  <c r="DU124" i="94"/>
  <c r="EE124" i="94"/>
  <c r="DZ124" i="94"/>
  <c r="EH124" i="94"/>
  <c r="DT124" i="94"/>
  <c r="EA124" i="94"/>
  <c r="EK137" i="94"/>
  <c r="DR137" i="94"/>
  <c r="DT137" i="94"/>
  <c r="DQ137" i="94"/>
  <c r="EG137" i="94"/>
  <c r="EH137" i="94"/>
  <c r="EJ137" i="94"/>
  <c r="EE137" i="94"/>
  <c r="DZ137" i="94"/>
  <c r="EA137" i="94"/>
  <c r="DV137" i="94"/>
  <c r="DX137" i="94"/>
  <c r="EF137" i="94"/>
  <c r="EC137" i="94"/>
  <c r="EI137" i="94"/>
  <c r="ED137" i="94"/>
  <c r="EL137" i="94"/>
  <c r="EB137" i="94"/>
  <c r="DU137" i="94"/>
  <c r="DY137" i="94"/>
  <c r="DS137" i="94"/>
  <c r="DW137" i="94"/>
  <c r="DT116" i="94"/>
  <c r="EA116" i="94"/>
  <c r="DW116" i="94"/>
  <c r="DZ116" i="94"/>
  <c r="EI116" i="94"/>
  <c r="DQ116" i="94"/>
  <c r="DU116" i="94"/>
  <c r="EF116" i="94"/>
  <c r="DS116" i="94"/>
  <c r="EE116" i="94"/>
  <c r="DY116" i="94"/>
  <c r="ED116" i="94"/>
  <c r="EH116" i="94"/>
  <c r="EC116" i="94"/>
  <c r="DR116" i="94"/>
  <c r="EL116" i="94"/>
  <c r="EG116" i="94"/>
  <c r="EB116" i="94"/>
  <c r="EJ116" i="94"/>
  <c r="DV116" i="94"/>
  <c r="DX116" i="94"/>
  <c r="EK116" i="94"/>
  <c r="EE125" i="94"/>
  <c r="DY125" i="94"/>
  <c r="DS125" i="94"/>
  <c r="EC125" i="94"/>
  <c r="DR125" i="94"/>
  <c r="EG125" i="94"/>
  <c r="DQ125" i="94"/>
  <c r="EL125" i="94"/>
  <c r="DX125" i="94"/>
  <c r="DV125" i="94"/>
  <c r="DW125" i="94"/>
  <c r="EK125" i="94"/>
  <c r="DU125" i="94"/>
  <c r="EH125" i="94"/>
  <c r="DZ125" i="94"/>
  <c r="EJ125" i="94"/>
  <c r="DT125" i="94"/>
  <c r="EI125" i="94"/>
  <c r="ED125" i="94"/>
  <c r="EB125" i="94"/>
  <c r="EF125" i="94"/>
  <c r="EA125" i="94"/>
  <c r="DS136" i="94"/>
  <c r="DR136" i="94"/>
  <c r="EH136" i="94"/>
  <c r="EG136" i="94"/>
  <c r="EA136" i="94"/>
  <c r="EE136" i="94"/>
  <c r="DQ136" i="94"/>
  <c r="DW136" i="94"/>
  <c r="ED136" i="94"/>
  <c r="DV136" i="94"/>
  <c r="EB136" i="94"/>
  <c r="DU136" i="94"/>
  <c r="DY136" i="94"/>
  <c r="EC136" i="94"/>
  <c r="EF136" i="94"/>
  <c r="EJ136" i="94"/>
  <c r="DX136" i="94"/>
  <c r="DZ136" i="94"/>
  <c r="DT136" i="94"/>
  <c r="EL136" i="94"/>
  <c r="EI136" i="94"/>
  <c r="EK136" i="94"/>
  <c r="DS117" i="94"/>
  <c r="ED117" i="94"/>
  <c r="EH117" i="94"/>
  <c r="EC117" i="94"/>
  <c r="DR117" i="94"/>
  <c r="EB117" i="94"/>
  <c r="EG117" i="94"/>
  <c r="DU117" i="94"/>
  <c r="EL117" i="94"/>
  <c r="DY117" i="94"/>
  <c r="EA117" i="94"/>
  <c r="EJ117" i="94"/>
  <c r="DV117" i="94"/>
  <c r="DX117" i="94"/>
  <c r="DQ117" i="94"/>
  <c r="DT117" i="94"/>
  <c r="EK117" i="94"/>
  <c r="DW117" i="94"/>
  <c r="DZ117" i="94"/>
  <c r="EF117" i="94"/>
  <c r="EI117" i="94"/>
  <c r="EE117" i="94"/>
  <c r="EE123" i="94"/>
  <c r="ED123" i="94"/>
  <c r="DW123" i="94"/>
  <c r="EC123" i="94"/>
  <c r="DQ147" i="94"/>
  <c r="DU147" i="94"/>
  <c r="EF147" i="94"/>
  <c r="DS147" i="94"/>
  <c r="EE147" i="94"/>
  <c r="DR147" i="94"/>
  <c r="DX147" i="94"/>
  <c r="ED147" i="94"/>
  <c r="DW147" i="94"/>
  <c r="EC147" i="94"/>
  <c r="DZ147" i="94"/>
  <c r="DV147" i="94"/>
  <c r="DY147" i="94"/>
  <c r="DT147" i="94"/>
  <c r="EL147" i="94"/>
  <c r="EH147" i="94"/>
  <c r="EB147" i="94"/>
  <c r="EA147" i="94"/>
  <c r="EK147" i="94"/>
  <c r="EI147" i="94"/>
  <c r="EJ147" i="94"/>
  <c r="EG147" i="94"/>
  <c r="EC126" i="94"/>
  <c r="DZ126" i="94"/>
  <c r="EL126" i="94"/>
  <c r="DW126" i="94"/>
  <c r="DV126" i="94"/>
  <c r="EB126" i="94"/>
  <c r="EA126" i="94"/>
  <c r="DT126" i="94"/>
  <c r="DU126" i="94"/>
  <c r="EJ126" i="94"/>
  <c r="DQ126" i="94"/>
  <c r="EH126" i="94"/>
  <c r="EF126" i="94"/>
  <c r="EI126" i="94"/>
  <c r="DY126" i="94"/>
  <c r="DS126" i="94"/>
  <c r="EE126" i="94"/>
  <c r="DR126" i="94"/>
  <c r="DX126" i="94"/>
  <c r="EG126" i="94"/>
  <c r="EK126" i="94"/>
  <c r="ED126" i="94"/>
  <c r="EA120" i="94"/>
  <c r="DV120" i="94"/>
  <c r="EL120" i="94"/>
  <c r="DU120" i="94"/>
  <c r="ED120" i="94"/>
  <c r="DZ120" i="94"/>
  <c r="EC120" i="94"/>
  <c r="EB120" i="94"/>
  <c r="DY120" i="94"/>
  <c r="EF120" i="94"/>
  <c r="DS120" i="94"/>
  <c r="EE120" i="94"/>
  <c r="EK120" i="94"/>
  <c r="DX120" i="94"/>
  <c r="EJ120" i="94"/>
  <c r="DT120" i="94"/>
  <c r="DR120" i="94"/>
  <c r="DW120" i="94"/>
  <c r="EG120" i="94"/>
  <c r="EI120" i="94"/>
  <c r="EH120" i="94"/>
  <c r="DQ120" i="94"/>
  <c r="DS134" i="94"/>
  <c r="DU134" i="94"/>
  <c r="EH134" i="94"/>
  <c r="DT134" i="94"/>
  <c r="DR134" i="94"/>
  <c r="EG134" i="94"/>
  <c r="EJ134" i="94"/>
  <c r="EE134" i="94"/>
  <c r="DQ134" i="94"/>
  <c r="DZ134" i="94"/>
  <c r="DX134" i="94"/>
  <c r="EI134" i="94"/>
  <c r="EB134" i="94"/>
  <c r="EF134" i="94"/>
  <c r="EA134" i="94"/>
  <c r="ED134" i="94"/>
  <c r="DY134" i="94"/>
  <c r="DW134" i="94"/>
  <c r="EC134" i="94"/>
  <c r="EL134" i="94"/>
  <c r="DV134" i="94"/>
  <c r="EK134" i="94"/>
  <c r="DU145" i="94"/>
  <c r="DT145" i="94"/>
  <c r="DS145" i="94"/>
  <c r="EJ145" i="94"/>
  <c r="EH145" i="94"/>
  <c r="EI145" i="94"/>
  <c r="DR145" i="94"/>
  <c r="EG145" i="94"/>
  <c r="EA145" i="94"/>
  <c r="DZ145" i="94"/>
  <c r="DQ145" i="94"/>
  <c r="EF145" i="94"/>
  <c r="DX145" i="94"/>
  <c r="EK145" i="94"/>
  <c r="EB145" i="94"/>
  <c r="EE145" i="94"/>
  <c r="DY145" i="94"/>
  <c r="ED145" i="94"/>
  <c r="DV145" i="94"/>
  <c r="DW145" i="94"/>
  <c r="EC145" i="94"/>
  <c r="EL145" i="94"/>
  <c r="DU155" i="94"/>
  <c r="EG155" i="94"/>
  <c r="EL155" i="94"/>
  <c r="EA155" i="94"/>
  <c r="DT155" i="94"/>
  <c r="DX155" i="94"/>
  <c r="DQ155" i="94"/>
  <c r="EI155" i="94"/>
  <c r="EF155" i="94"/>
  <c r="DS155" i="94"/>
  <c r="EH155" i="94"/>
  <c r="EB155" i="94"/>
  <c r="DY155" i="94"/>
  <c r="EE155" i="94"/>
  <c r="DW155" i="94"/>
  <c r="EC155" i="94"/>
  <c r="ED155" i="94"/>
  <c r="DV155" i="94"/>
  <c r="EK155" i="94"/>
  <c r="EJ155" i="94"/>
  <c r="DZ155" i="94"/>
  <c r="DR155" i="94"/>
  <c r="DX121" i="94"/>
  <c r="ED121" i="94"/>
  <c r="DW121" i="94"/>
  <c r="EC121" i="94"/>
  <c r="EA121" i="94"/>
  <c r="EB121" i="94"/>
  <c r="DT121" i="94"/>
  <c r="DV121" i="94"/>
  <c r="EI121" i="94"/>
  <c r="EK121" i="94"/>
  <c r="DR121" i="94"/>
  <c r="DZ121" i="94"/>
  <c r="DQ121" i="94"/>
  <c r="DS121" i="94"/>
  <c r="EL121" i="94"/>
  <c r="DU121" i="94"/>
  <c r="EH121" i="94"/>
  <c r="DY121" i="94"/>
  <c r="EG121" i="94"/>
  <c r="EJ121" i="94"/>
  <c r="EF121" i="94"/>
  <c r="EE121" i="94"/>
  <c r="EJ148" i="94"/>
  <c r="DV148" i="94"/>
  <c r="EI148" i="94"/>
  <c r="DS148" i="94"/>
  <c r="EH148" i="94"/>
  <c r="EG148" i="94"/>
  <c r="DR148" i="94"/>
  <c r="EF148" i="94"/>
  <c r="EA148" i="94"/>
  <c r="DQ148" i="94"/>
  <c r="EE148" i="94"/>
  <c r="ED148" i="94"/>
  <c r="EK148" i="94"/>
  <c r="DW148" i="94"/>
  <c r="DX148" i="94"/>
  <c r="EC148" i="94"/>
  <c r="DT148" i="94"/>
  <c r="EL148" i="94"/>
  <c r="EB148" i="94"/>
  <c r="DZ148" i="94"/>
  <c r="DU148" i="94"/>
  <c r="DY148" i="94"/>
  <c r="DR146" i="94"/>
  <c r="ED146" i="94"/>
  <c r="DU146" i="94"/>
  <c r="EC146" i="94"/>
  <c r="DT146" i="94"/>
  <c r="EA146" i="94"/>
  <c r="DY146" i="94"/>
  <c r="DX146" i="94"/>
  <c r="DW146" i="94"/>
  <c r="DV146" i="94"/>
  <c r="EL146" i="94"/>
  <c r="EK146" i="94"/>
  <c r="EI146" i="94"/>
  <c r="EF146" i="94"/>
  <c r="EB146" i="94"/>
  <c r="EG146" i="94"/>
  <c r="DZ146" i="94"/>
  <c r="EE146" i="94"/>
  <c r="EH146" i="94"/>
  <c r="EJ146" i="94"/>
  <c r="DQ146" i="94"/>
  <c r="DS146" i="94"/>
  <c r="DY122" i="94"/>
  <c r="EK122" i="94"/>
  <c r="DX122" i="94"/>
  <c r="DU122" i="94"/>
  <c r="DW122" i="94"/>
  <c r="EL122" i="94"/>
  <c r="EI122" i="94"/>
  <c r="EB122" i="94"/>
  <c r="EJ122" i="94"/>
  <c r="EH122" i="94"/>
  <c r="DR122" i="94"/>
  <c r="EG122" i="94"/>
  <c r="ED122" i="94"/>
  <c r="DQ122" i="94"/>
  <c r="EA122" i="94"/>
  <c r="DT122" i="94"/>
  <c r="DV122" i="94"/>
  <c r="EF122" i="94"/>
  <c r="DS122" i="94"/>
  <c r="EE122" i="94"/>
  <c r="DZ122" i="94"/>
  <c r="EC122" i="94"/>
  <c r="EA149" i="94"/>
  <c r="DX149" i="94"/>
  <c r="DV149" i="94"/>
  <c r="EL149" i="94"/>
  <c r="EB149" i="94"/>
  <c r="EC149" i="94"/>
  <c r="EI149" i="94"/>
  <c r="DT149" i="94"/>
  <c r="EG149" i="94"/>
  <c r="EF149" i="94"/>
  <c r="DS149" i="94"/>
  <c r="DZ149" i="94"/>
  <c r="DR149" i="94"/>
  <c r="DY149" i="94"/>
  <c r="DQ149" i="94"/>
  <c r="DW149" i="94"/>
  <c r="EH149" i="94"/>
  <c r="EK149" i="94"/>
  <c r="DU149" i="94"/>
  <c r="EJ149" i="94"/>
  <c r="ED149" i="94"/>
  <c r="EE149" i="94"/>
  <c r="DT109" i="94"/>
  <c r="DX109" i="94"/>
  <c r="EJ109" i="94"/>
  <c r="EL109" i="94"/>
  <c r="EI109" i="94"/>
  <c r="DV109" i="94"/>
  <c r="DQ109" i="94"/>
  <c r="DS109" i="94"/>
  <c r="DZ109" i="94"/>
  <c r="EE109" i="94"/>
  <c r="EK109" i="94"/>
  <c r="ED109" i="94"/>
  <c r="DU109" i="94"/>
  <c r="EC109" i="94"/>
  <c r="EG109" i="94"/>
  <c r="EB109" i="94"/>
  <c r="EA109" i="94"/>
  <c r="EF109" i="94"/>
  <c r="DY109" i="94"/>
  <c r="EH109" i="94"/>
  <c r="DW109" i="94"/>
  <c r="DR109" i="94"/>
  <c r="EF150" i="94"/>
  <c r="DS150" i="94"/>
  <c r="DY150" i="94"/>
  <c r="EH150" i="94"/>
  <c r="EE150" i="94"/>
  <c r="DR150" i="94"/>
  <c r="DX150" i="94"/>
  <c r="DQ150" i="94"/>
  <c r="EB150" i="94"/>
  <c r="EC150" i="94"/>
  <c r="EJ150" i="94"/>
  <c r="EL150" i="94"/>
  <c r="EI150" i="94"/>
  <c r="EA150" i="94"/>
  <c r="EK150" i="94"/>
  <c r="DU150" i="94"/>
  <c r="DT150" i="94"/>
  <c r="EG150" i="94"/>
  <c r="DZ150" i="94"/>
  <c r="DW150" i="94"/>
  <c r="ED150" i="94"/>
  <c r="DV150" i="94"/>
  <c r="DV112" i="94"/>
  <c r="DY112" i="94"/>
  <c r="DX112" i="94"/>
  <c r="EL112" i="94"/>
  <c r="DW112" i="94"/>
  <c r="DS112" i="94"/>
  <c r="EI112" i="94"/>
  <c r="DQ112" i="94"/>
  <c r="DZ112" i="94"/>
  <c r="EF112" i="94"/>
  <c r="EH112" i="94"/>
  <c r="ED112" i="94"/>
  <c r="DU112" i="94"/>
  <c r="EK112" i="94"/>
  <c r="DR112" i="94"/>
  <c r="EJ112" i="94"/>
  <c r="EG112" i="94"/>
  <c r="DT112" i="94"/>
  <c r="EC112" i="94"/>
  <c r="EE112" i="94"/>
  <c r="EB112" i="94"/>
  <c r="EA112" i="94"/>
  <c r="EH151" i="94"/>
  <c r="EG151" i="94"/>
  <c r="DU151" i="94"/>
  <c r="EC151" i="94"/>
  <c r="EI151" i="94"/>
  <c r="DT151" i="94"/>
  <c r="DS151" i="94"/>
  <c r="EL151" i="94"/>
  <c r="CO86" i="94"/>
  <c r="CP86" i="94"/>
  <c r="BY86" i="94"/>
  <c r="CS86" i="94"/>
  <c r="CM86" i="94"/>
  <c r="CL86" i="94"/>
  <c r="CH86" i="94"/>
  <c r="CT86" i="94"/>
  <c r="CK86" i="94"/>
  <c r="CE86" i="94"/>
  <c r="CI86" i="94"/>
  <c r="CG86" i="94"/>
  <c r="BZ86" i="94"/>
  <c r="CC86" i="94"/>
  <c r="CF86" i="94"/>
  <c r="CR86" i="94"/>
  <c r="CN86" i="94"/>
  <c r="CB86" i="94"/>
  <c r="CQ86" i="94"/>
  <c r="CA86" i="94"/>
  <c r="CD86" i="94"/>
  <c r="CJ86" i="94"/>
  <c r="CG75" i="94"/>
  <c r="CD75" i="94"/>
  <c r="CH75" i="94"/>
  <c r="CJ75" i="94"/>
  <c r="CL75" i="94"/>
  <c r="CR75" i="94"/>
  <c r="CE75" i="94"/>
  <c r="CF75" i="94"/>
  <c r="CT75" i="94"/>
  <c r="CN75" i="94"/>
  <c r="CM75" i="94"/>
  <c r="CK75" i="94"/>
  <c r="CS75" i="94"/>
  <c r="CC75" i="94"/>
  <c r="CA75" i="94"/>
  <c r="CP75" i="94"/>
  <c r="CO75" i="94"/>
  <c r="CB75" i="94"/>
  <c r="BY75" i="94"/>
  <c r="CQ75" i="94"/>
  <c r="CI75" i="94"/>
  <c r="BZ75" i="94"/>
  <c r="CR93" i="94"/>
  <c r="CM93" i="94"/>
  <c r="CE93" i="94"/>
  <c r="CF93" i="94"/>
  <c r="CB93" i="94"/>
  <c r="CK93" i="94"/>
  <c r="CQ93" i="94"/>
  <c r="CJ93" i="94"/>
  <c r="BZ93" i="94"/>
  <c r="CL93" i="94"/>
  <c r="BY93" i="94"/>
  <c r="CA93" i="94"/>
  <c r="CP93" i="94"/>
  <c r="CH93" i="94"/>
  <c r="CG93" i="94"/>
  <c r="CT93" i="94"/>
  <c r="CD93" i="94"/>
  <c r="CO93" i="94"/>
  <c r="CS93" i="94"/>
  <c r="CI93" i="94"/>
  <c r="CN93" i="94"/>
  <c r="CC93" i="94"/>
  <c r="CP62" i="94"/>
  <c r="CL62" i="94"/>
  <c r="CR62" i="94"/>
  <c r="CI62" i="94"/>
  <c r="BY62" i="94"/>
  <c r="CM62" i="94"/>
  <c r="CD62" i="94"/>
  <c r="CO62" i="94"/>
  <c r="CB62" i="94"/>
  <c r="CS62" i="94"/>
  <c r="CJ62" i="94"/>
  <c r="CQ62" i="94"/>
  <c r="CC62" i="94"/>
  <c r="BZ62" i="94"/>
  <c r="CE62" i="94"/>
  <c r="CN62" i="94"/>
  <c r="CK62" i="94"/>
  <c r="CH62" i="94"/>
  <c r="CT62" i="94"/>
  <c r="CA62" i="94"/>
  <c r="CG62" i="94"/>
  <c r="CF62" i="94"/>
  <c r="CD79" i="94"/>
  <c r="BZ79" i="94"/>
  <c r="CO79" i="94"/>
  <c r="CJ79" i="94"/>
  <c r="CN79" i="94"/>
  <c r="CP79" i="94"/>
  <c r="CM79" i="94"/>
  <c r="CA79" i="94"/>
  <c r="CG79" i="94"/>
  <c r="CL79" i="94"/>
  <c r="CI79" i="94"/>
  <c r="CC79" i="94"/>
  <c r="CT79" i="94"/>
  <c r="CF79" i="94"/>
  <c r="BY79" i="94"/>
  <c r="CQ79" i="94"/>
  <c r="CK79" i="94"/>
  <c r="CR79" i="94"/>
  <c r="CH79" i="94"/>
  <c r="CB79" i="94"/>
  <c r="CS79" i="94"/>
  <c r="CE79" i="94"/>
  <c r="CH89" i="94"/>
  <c r="CR89" i="94"/>
  <c r="CB89" i="94"/>
  <c r="BZ89" i="94"/>
  <c r="CA89" i="94"/>
  <c r="BY89" i="94"/>
  <c r="CM89" i="94"/>
  <c r="CL89" i="94"/>
  <c r="CS89" i="94"/>
  <c r="CJ89" i="94"/>
  <c r="CK89" i="94"/>
  <c r="CC89" i="94"/>
  <c r="CO89" i="94"/>
  <c r="CP89" i="94"/>
  <c r="CF89" i="94"/>
  <c r="CQ89" i="94"/>
  <c r="CI89" i="94"/>
  <c r="CE89" i="94"/>
  <c r="CT89" i="94"/>
  <c r="CG89" i="94"/>
  <c r="CD89" i="94"/>
  <c r="CN89" i="94"/>
  <c r="CN85" i="94"/>
  <c r="CQ85" i="94"/>
  <c r="CD85" i="94"/>
  <c r="CC85" i="94"/>
  <c r="CL85" i="94"/>
  <c r="BY85" i="94"/>
  <c r="CF85" i="94"/>
  <c r="CK85" i="94"/>
  <c r="CA85" i="94"/>
  <c r="CP85" i="94"/>
  <c r="CI85" i="94"/>
  <c r="CG85" i="94"/>
  <c r="CE85" i="94"/>
  <c r="CM85" i="94"/>
  <c r="CR85" i="94"/>
  <c r="CJ85" i="94"/>
  <c r="CS85" i="94"/>
  <c r="BZ85" i="94"/>
  <c r="CO85" i="94"/>
  <c r="CT85" i="94"/>
  <c r="CH85" i="94"/>
  <c r="CB85" i="94"/>
  <c r="CJ77" i="94"/>
  <c r="CH77" i="94"/>
  <c r="CS77" i="94"/>
  <c r="CB77" i="94"/>
  <c r="CD77" i="94"/>
  <c r="CK77" i="94"/>
  <c r="CE77" i="94"/>
  <c r="CP77" i="94"/>
  <c r="CC77" i="94"/>
  <c r="CO77" i="94"/>
  <c r="CF77" i="94"/>
  <c r="CM77" i="94"/>
  <c r="CR77" i="94"/>
  <c r="CT77" i="94"/>
  <c r="CQ77" i="94"/>
  <c r="CG77" i="94"/>
  <c r="CN77" i="94"/>
  <c r="CA77" i="94"/>
  <c r="CL77" i="94"/>
  <c r="BZ77" i="94"/>
  <c r="BY77" i="94"/>
  <c r="CI77" i="94"/>
  <c r="BZ94" i="94"/>
  <c r="CO94" i="94"/>
  <c r="CR94" i="94"/>
  <c r="CK94" i="94"/>
  <c r="CN94" i="94"/>
  <c r="CF94" i="94"/>
  <c r="CQ94" i="94"/>
  <c r="CC94" i="94"/>
  <c r="CS94" i="94"/>
  <c r="CB94" i="94"/>
  <c r="CA94" i="94"/>
  <c r="CP94" i="94"/>
  <c r="BY94" i="94"/>
  <c r="CT94" i="94"/>
  <c r="CM94" i="94"/>
  <c r="CL94" i="94"/>
  <c r="CH94" i="94"/>
  <c r="CE94" i="94"/>
  <c r="CJ94" i="94"/>
  <c r="CD94" i="94"/>
  <c r="CI94" i="94"/>
  <c r="CG94" i="94"/>
  <c r="CL58" i="94"/>
  <c r="CB58" i="94"/>
  <c r="CR58" i="94"/>
  <c r="CP58" i="94"/>
  <c r="CC58" i="94"/>
  <c r="CM58" i="94"/>
  <c r="CQ58" i="94"/>
  <c r="CE58" i="94"/>
  <c r="CD58" i="94"/>
  <c r="CT58" i="94"/>
  <c r="CA58" i="94"/>
  <c r="CI58" i="94"/>
  <c r="BY58" i="94"/>
  <c r="CG58" i="94"/>
  <c r="BZ58" i="94"/>
  <c r="CO58" i="94"/>
  <c r="CK58" i="94"/>
  <c r="CS58" i="94"/>
  <c r="CN58" i="94"/>
  <c r="CH58" i="94"/>
  <c r="CF58" i="94"/>
  <c r="CJ58" i="94"/>
  <c r="CE81" i="94"/>
  <c r="CR81" i="94"/>
  <c r="CH81" i="94"/>
  <c r="CP81" i="94"/>
  <c r="CQ81" i="94"/>
  <c r="CF81" i="94"/>
  <c r="CA81" i="94"/>
  <c r="CK81" i="94"/>
  <c r="BZ81" i="94"/>
  <c r="CB81" i="94"/>
  <c r="BY81" i="94"/>
  <c r="CN81" i="94"/>
  <c r="CM81" i="94"/>
  <c r="CL81" i="94"/>
  <c r="CJ81" i="94"/>
  <c r="CD81" i="94"/>
  <c r="CT81" i="94"/>
  <c r="CC81" i="94"/>
  <c r="CS81" i="94"/>
  <c r="CG81" i="94"/>
  <c r="CO81" i="94"/>
  <c r="CI81" i="94"/>
  <c r="CM76" i="94"/>
  <c r="CA76" i="94"/>
  <c r="BY76" i="94"/>
  <c r="CG76" i="94"/>
  <c r="CJ76" i="94"/>
  <c r="CO76" i="94"/>
  <c r="CL76" i="94"/>
  <c r="CK76" i="94"/>
  <c r="CH76" i="94"/>
  <c r="CS76" i="94"/>
  <c r="CT76" i="94"/>
  <c r="CQ76" i="94"/>
  <c r="CR76" i="94"/>
  <c r="CI76" i="94"/>
  <c r="CF76" i="94"/>
  <c r="BZ76" i="94"/>
  <c r="CB76" i="94"/>
  <c r="CE76" i="94"/>
  <c r="CC76" i="94"/>
  <c r="CP76" i="94"/>
  <c r="CN76" i="94"/>
  <c r="CD76" i="94"/>
  <c r="CT90" i="94"/>
  <c r="CC90" i="94"/>
  <c r="CQ90" i="94"/>
  <c r="CN90" i="94"/>
  <c r="CI90" i="94"/>
  <c r="CB90" i="94"/>
  <c r="CA90" i="94"/>
  <c r="CL90" i="94"/>
  <c r="CK90" i="94"/>
  <c r="CH90" i="94"/>
  <c r="CG90" i="94"/>
  <c r="CM90" i="94"/>
  <c r="CR90" i="94"/>
  <c r="BY90" i="94"/>
  <c r="CE90" i="94"/>
  <c r="CF90" i="94"/>
  <c r="CP90" i="94"/>
  <c r="CS90" i="94"/>
  <c r="CD90" i="94"/>
  <c r="CO90" i="94"/>
  <c r="BZ90" i="94"/>
  <c r="CJ90" i="94"/>
  <c r="CG88" i="94"/>
  <c r="CM88" i="94"/>
  <c r="CF88" i="94"/>
  <c r="CD88" i="94"/>
  <c r="BY88" i="94"/>
  <c r="CE88" i="94"/>
  <c r="CC88" i="94"/>
  <c r="CT88" i="94"/>
  <c r="CR88" i="94"/>
  <c r="CK88" i="94"/>
  <c r="BZ88" i="94"/>
  <c r="CP88" i="94"/>
  <c r="CB88" i="94"/>
  <c r="CL88" i="94"/>
  <c r="CA88" i="94"/>
  <c r="CJ88" i="94"/>
  <c r="CS88" i="94"/>
  <c r="CN88" i="94"/>
  <c r="CQ88" i="94"/>
  <c r="CH88" i="94"/>
  <c r="CO88" i="94"/>
  <c r="CI88" i="94"/>
  <c r="CL78" i="94"/>
  <c r="CQ78" i="94"/>
  <c r="CN78" i="94"/>
  <c r="CH78" i="94"/>
  <c r="CM78" i="94"/>
  <c r="CK78" i="94"/>
  <c r="CF78" i="94"/>
  <c r="CJ78" i="94"/>
  <c r="CP78" i="94"/>
  <c r="CE78" i="94"/>
  <c r="CT78" i="94"/>
  <c r="CI78" i="94"/>
  <c r="CG78" i="94"/>
  <c r="CD78" i="94"/>
  <c r="CC78" i="94"/>
  <c r="CS78" i="94"/>
  <c r="CB78" i="94"/>
  <c r="BZ78" i="94"/>
  <c r="CR78" i="94"/>
  <c r="CO78" i="94"/>
  <c r="CE92" i="94"/>
  <c r="CD92" i="94"/>
  <c r="CS92" i="94"/>
  <c r="CQ92" i="94"/>
  <c r="CC92" i="94"/>
  <c r="CA92" i="94"/>
  <c r="CO92" i="94"/>
  <c r="CM92" i="94"/>
  <c r="CN92" i="94"/>
  <c r="CH92" i="94"/>
  <c r="CK92" i="94"/>
  <c r="CF92" i="94"/>
  <c r="CT92" i="94"/>
  <c r="BY92" i="94"/>
  <c r="CP92" i="94"/>
  <c r="CL92" i="94"/>
  <c r="BZ92" i="94"/>
  <c r="CG92" i="94"/>
  <c r="CJ92" i="94"/>
  <c r="CR92" i="94"/>
  <c r="CI92" i="94"/>
  <c r="CB92" i="94"/>
  <c r="CD37" i="94"/>
  <c r="CF37" i="94"/>
  <c r="CK37" i="94"/>
  <c r="CJ37" i="94"/>
  <c r="CT37" i="94"/>
  <c r="CS37" i="94"/>
  <c r="CR37" i="94"/>
  <c r="CP37" i="94"/>
  <c r="CQ37" i="94"/>
  <c r="BY37" i="94"/>
  <c r="BZ37" i="94"/>
  <c r="CH37" i="94"/>
  <c r="CA37" i="94"/>
  <c r="CB37" i="94"/>
  <c r="CO37" i="94"/>
  <c r="CL37" i="94"/>
  <c r="CI37" i="94"/>
  <c r="CG37" i="94"/>
  <c r="CN37" i="94"/>
  <c r="CE37" i="94"/>
  <c r="CC37" i="94"/>
  <c r="CM37" i="94"/>
  <c r="CI87" i="94"/>
  <c r="CH87" i="94"/>
  <c r="CG87" i="94"/>
  <c r="CS87" i="94"/>
  <c r="CT87" i="94"/>
  <c r="CN87" i="94"/>
  <c r="CD87" i="94"/>
  <c r="CQ87" i="94"/>
  <c r="CL87" i="94"/>
  <c r="CA87" i="94"/>
  <c r="CR87" i="94"/>
  <c r="CP87" i="94"/>
  <c r="CJ87" i="94"/>
  <c r="BZ87" i="94"/>
  <c r="CE87" i="94"/>
  <c r="CC87" i="94"/>
  <c r="CF87" i="94"/>
  <c r="BY87" i="94"/>
  <c r="CM87" i="94"/>
  <c r="CO87" i="94"/>
  <c r="CB87" i="94"/>
  <c r="CK87" i="94"/>
  <c r="CO59" i="94"/>
  <c r="CM59" i="94"/>
  <c r="CA59" i="94"/>
  <c r="CH59" i="94"/>
  <c r="CL59" i="94"/>
  <c r="CT59" i="94"/>
  <c r="CP59" i="94"/>
  <c r="CJ59" i="94"/>
  <c r="CK59" i="94"/>
  <c r="CR59" i="94"/>
  <c r="BY59" i="94"/>
  <c r="BZ59" i="94"/>
  <c r="CI59" i="94"/>
  <c r="CD59" i="94"/>
  <c r="CS59" i="94"/>
  <c r="CN59" i="94"/>
  <c r="CE59" i="94"/>
  <c r="CC59" i="94"/>
  <c r="CG59" i="94"/>
  <c r="CF59" i="94"/>
  <c r="CB59" i="94"/>
  <c r="CQ59" i="94"/>
  <c r="CP38" i="94"/>
  <c r="CR38" i="94"/>
  <c r="CM38" i="94"/>
  <c r="CQ38" i="94"/>
  <c r="CA38" i="94"/>
  <c r="CF38" i="94"/>
  <c r="BY38" i="94"/>
  <c r="CH38" i="94"/>
  <c r="CL38" i="94"/>
  <c r="CK38" i="94"/>
  <c r="CI38" i="94"/>
  <c r="CO38" i="94"/>
  <c r="CG38" i="94"/>
  <c r="CN38" i="94"/>
  <c r="CE38" i="94"/>
  <c r="BZ38" i="94"/>
  <c r="CB38" i="94"/>
  <c r="CC38" i="94"/>
  <c r="CD38" i="94"/>
  <c r="CS38" i="94"/>
  <c r="CJ38" i="94"/>
  <c r="CT38" i="94"/>
  <c r="BY67" i="94"/>
  <c r="CK67" i="94"/>
  <c r="CJ67" i="94"/>
  <c r="CC67" i="94"/>
  <c r="CN67" i="94"/>
  <c r="CH67" i="94"/>
  <c r="CF67" i="94"/>
  <c r="CE67" i="94"/>
  <c r="CA67" i="94"/>
  <c r="CT67" i="94"/>
  <c r="CR67" i="94"/>
  <c r="CL67" i="94"/>
  <c r="CM67" i="94"/>
  <c r="CB67" i="94"/>
  <c r="CS67" i="94"/>
  <c r="CD67" i="94"/>
  <c r="CI67" i="94"/>
  <c r="CO67" i="94"/>
  <c r="CQ67" i="94"/>
  <c r="CG67" i="94"/>
  <c r="BZ67" i="94"/>
  <c r="CP67" i="94"/>
  <c r="CJ30" i="94"/>
  <c r="CK30" i="94"/>
  <c r="CH30" i="94"/>
  <c r="CF30" i="94"/>
  <c r="CA30" i="94"/>
  <c r="CE30" i="94"/>
  <c r="CP30" i="94"/>
  <c r="CO30" i="94"/>
  <c r="BZ30" i="94"/>
  <c r="BY30" i="94"/>
  <c r="CB30" i="94"/>
  <c r="CR30" i="94"/>
  <c r="CN30" i="94"/>
  <c r="CQ30" i="94"/>
  <c r="CM30" i="94"/>
  <c r="CD30" i="94"/>
  <c r="CG30" i="94"/>
  <c r="CT30" i="94"/>
  <c r="CL30" i="94"/>
  <c r="CS30" i="94"/>
  <c r="CI30" i="94"/>
  <c r="CC30" i="94"/>
  <c r="CT43" i="94"/>
  <c r="CC43" i="94"/>
  <c r="CH43" i="94"/>
  <c r="CK43" i="94"/>
  <c r="CM43" i="94"/>
  <c r="CA43" i="94"/>
  <c r="CQ43" i="94"/>
  <c r="CP43" i="94"/>
  <c r="CF43" i="94"/>
  <c r="BZ43" i="94"/>
  <c r="CO43" i="94"/>
  <c r="CI43" i="94"/>
  <c r="CS43" i="94"/>
  <c r="CL43" i="94"/>
  <c r="CN43" i="94"/>
  <c r="CD43" i="94"/>
  <c r="CB43" i="94"/>
  <c r="CR43" i="94"/>
  <c r="CJ43" i="94"/>
  <c r="BY43" i="94"/>
  <c r="CG43" i="94"/>
  <c r="CE43" i="94"/>
  <c r="BY63" i="94"/>
  <c r="BZ63" i="94"/>
  <c r="CA63" i="94"/>
  <c r="CD63" i="94"/>
  <c r="CM63" i="94"/>
  <c r="CE63" i="94"/>
  <c r="CL63" i="94"/>
  <c r="CC63" i="94"/>
  <c r="CI63" i="94"/>
  <c r="CN63" i="94"/>
  <c r="CT63" i="94"/>
  <c r="CK63" i="94"/>
  <c r="CS63" i="94"/>
  <c r="CJ63" i="94"/>
  <c r="CH63" i="94"/>
  <c r="CQ63" i="94"/>
  <c r="CR63" i="94"/>
  <c r="CG63" i="94"/>
  <c r="CF63" i="94"/>
  <c r="CB63" i="94"/>
  <c r="CO63" i="94"/>
  <c r="CP63" i="94"/>
  <c r="CK32" i="94"/>
  <c r="BY32" i="94"/>
  <c r="CJ32" i="94"/>
  <c r="CR32" i="94"/>
  <c r="CB32" i="94"/>
  <c r="CQ32" i="94"/>
  <c r="CH32" i="94"/>
  <c r="CT32" i="94"/>
  <c r="CA32" i="94"/>
  <c r="BZ32" i="94"/>
  <c r="CN32" i="94"/>
  <c r="CF32" i="94"/>
  <c r="CL32" i="94"/>
  <c r="CM32" i="94"/>
  <c r="CG32" i="94"/>
  <c r="CI32" i="94"/>
  <c r="CO32" i="94"/>
  <c r="CE32" i="94"/>
  <c r="CS32" i="94"/>
  <c r="CP32" i="94"/>
  <c r="CC32" i="94"/>
  <c r="CD32" i="94"/>
  <c r="CF66" i="94"/>
  <c r="CA66" i="94"/>
  <c r="BY66" i="94"/>
  <c r="CN66" i="94"/>
  <c r="CS66" i="94"/>
  <c r="CR66" i="94"/>
  <c r="CL66" i="94"/>
  <c r="CJ66" i="94"/>
  <c r="CH66" i="94"/>
  <c r="CE66" i="94"/>
  <c r="BZ66" i="94"/>
  <c r="CM66" i="94"/>
  <c r="CO66" i="94"/>
  <c r="CQ66" i="94"/>
  <c r="CD66" i="94"/>
  <c r="CG66" i="94"/>
  <c r="CT66" i="94"/>
  <c r="CC66" i="94"/>
  <c r="CB66" i="94"/>
  <c r="CI66" i="94"/>
  <c r="CK66" i="94"/>
  <c r="CP66" i="94"/>
  <c r="CD24" i="94"/>
  <c r="CH24" i="94"/>
  <c r="CC24" i="94"/>
  <c r="CR24" i="94"/>
  <c r="CB24" i="94"/>
  <c r="CQ24" i="94"/>
  <c r="CO24" i="94"/>
  <c r="BZ24" i="94"/>
  <c r="CA24" i="94"/>
  <c r="BY24" i="94"/>
  <c r="CF24" i="94"/>
  <c r="CM24" i="94"/>
  <c r="CP24" i="94"/>
  <c r="CI24" i="94"/>
  <c r="CN24" i="94"/>
  <c r="CE24" i="94"/>
  <c r="CL24" i="94"/>
  <c r="CK24" i="94"/>
  <c r="CG24" i="94"/>
  <c r="CT24" i="94"/>
  <c r="CJ24" i="94"/>
  <c r="CS24" i="94"/>
  <c r="CL39" i="94"/>
  <c r="CH39" i="94"/>
  <c r="CG39" i="94"/>
  <c r="CB39" i="94"/>
  <c r="CF39" i="94"/>
  <c r="CO39" i="94"/>
  <c r="CC39" i="94"/>
  <c r="CJ39" i="94"/>
  <c r="CD39" i="94"/>
  <c r="BZ39" i="94"/>
  <c r="CQ39" i="94"/>
  <c r="CI39" i="94"/>
  <c r="CT39" i="94"/>
  <c r="BY39" i="94"/>
  <c r="CA39" i="94"/>
  <c r="CS39" i="94"/>
  <c r="CP39" i="94"/>
  <c r="CR39" i="94"/>
  <c r="CM39" i="94"/>
  <c r="CE39" i="94"/>
  <c r="CK39" i="94"/>
  <c r="CN39" i="94"/>
  <c r="CO36" i="94"/>
  <c r="CP36" i="94"/>
  <c r="CN36" i="94"/>
  <c r="CM36" i="94"/>
  <c r="CK36" i="94"/>
  <c r="CA36" i="94"/>
  <c r="CI36" i="94"/>
  <c r="CE36" i="94"/>
  <c r="CF36" i="94"/>
  <c r="BY36" i="94"/>
  <c r="BZ36" i="94"/>
  <c r="CG36" i="94"/>
  <c r="CT36" i="94"/>
  <c r="CB36" i="94"/>
  <c r="CL36" i="94"/>
  <c r="CQ36" i="94"/>
  <c r="CJ36" i="94"/>
  <c r="CH36" i="94"/>
  <c r="CC36" i="94"/>
  <c r="CS36" i="94"/>
  <c r="CR36" i="94"/>
  <c r="CD36" i="94"/>
  <c r="CT65" i="94"/>
  <c r="CO65" i="94"/>
  <c r="CR65" i="94"/>
  <c r="CM65" i="94"/>
  <c r="CP65" i="94"/>
  <c r="CL65" i="94"/>
  <c r="CI65" i="94"/>
  <c r="CK65" i="94"/>
  <c r="CF65" i="94"/>
  <c r="CH65" i="94"/>
  <c r="CG65" i="94"/>
  <c r="CB65" i="94"/>
  <c r="BZ65" i="94"/>
  <c r="CC65" i="94"/>
  <c r="CA65" i="94"/>
  <c r="BY65" i="94"/>
  <c r="CS65" i="94"/>
  <c r="CE65" i="94"/>
  <c r="CQ65" i="94"/>
  <c r="CN65" i="94"/>
  <c r="CJ65" i="94"/>
  <c r="CP42" i="94"/>
  <c r="CM42" i="94"/>
  <c r="CI42" i="94"/>
  <c r="CH42" i="94"/>
  <c r="CB42" i="94"/>
  <c r="CG42" i="94"/>
  <c r="BY42" i="94"/>
  <c r="CC42" i="94"/>
  <c r="CL42" i="94"/>
  <c r="CK42" i="94"/>
  <c r="CS42" i="94"/>
  <c r="CJ42" i="94"/>
  <c r="CN42" i="94"/>
  <c r="CE42" i="94"/>
  <c r="CT42" i="94"/>
  <c r="CD42" i="94"/>
  <c r="CR42" i="94"/>
  <c r="CO42" i="94"/>
  <c r="CQ42" i="94"/>
  <c r="BZ42" i="94"/>
  <c r="CA42" i="94"/>
  <c r="CF42" i="94"/>
  <c r="CQ44" i="94"/>
  <c r="CH44" i="94"/>
  <c r="CO44" i="94"/>
  <c r="CE44" i="94"/>
  <c r="CM44" i="94"/>
  <c r="BZ44" i="94"/>
  <c r="CG44" i="94"/>
  <c r="CS44" i="94"/>
  <c r="CL44" i="94"/>
  <c r="CB44" i="94"/>
  <c r="CA44" i="94"/>
  <c r="CI44" i="94"/>
  <c r="CT44" i="94"/>
  <c r="BY44" i="94"/>
  <c r="CD44" i="94"/>
  <c r="CJ44" i="94"/>
  <c r="CR44" i="94"/>
  <c r="CC44" i="94"/>
  <c r="CP44" i="94"/>
  <c r="CK44" i="94"/>
  <c r="CN44" i="94"/>
  <c r="CF44" i="94"/>
  <c r="CG35" i="94"/>
  <c r="CM35" i="94"/>
  <c r="CT35" i="94"/>
  <c r="CA35" i="94"/>
  <c r="CL35" i="94"/>
  <c r="CF35" i="94"/>
  <c r="CO35" i="94"/>
  <c r="CP35" i="94"/>
  <c r="CR35" i="94"/>
  <c r="BZ35" i="94"/>
  <c r="CH35" i="94"/>
  <c r="CQ35" i="94"/>
  <c r="CJ35" i="94"/>
  <c r="BY35" i="94"/>
  <c r="CE35" i="94"/>
  <c r="CK35" i="94"/>
  <c r="CC35" i="94"/>
  <c r="CS35" i="94"/>
  <c r="CB35" i="94"/>
  <c r="CN35" i="94"/>
  <c r="CI35" i="94"/>
  <c r="CD35" i="94"/>
  <c r="CH68" i="94"/>
  <c r="CT68" i="94"/>
  <c r="CJ68" i="94"/>
  <c r="CR68" i="94"/>
  <c r="CN68" i="94"/>
  <c r="CM68" i="94"/>
  <c r="BZ68" i="94"/>
  <c r="CC68" i="94"/>
  <c r="CF68" i="94"/>
  <c r="CL68" i="94"/>
  <c r="BY68" i="94"/>
  <c r="CO68" i="94"/>
  <c r="CK68" i="94"/>
  <c r="CA68" i="94"/>
  <c r="CE68" i="94"/>
  <c r="CQ68" i="94"/>
  <c r="CD68" i="94"/>
  <c r="CI68" i="94"/>
  <c r="CP68" i="94"/>
  <c r="CG68" i="94"/>
  <c r="CB68" i="94"/>
  <c r="CS68" i="94"/>
  <c r="CD31" i="94"/>
  <c r="CL31" i="94"/>
  <c r="CR31" i="94"/>
  <c r="CG31" i="94"/>
  <c r="CB31" i="94"/>
  <c r="CT31" i="94"/>
  <c r="CP31" i="94"/>
  <c r="CA31" i="94"/>
  <c r="BY31" i="94"/>
  <c r="CO31" i="94"/>
  <c r="CJ31" i="94"/>
  <c r="CC31" i="94"/>
  <c r="CK31" i="94"/>
  <c r="CN31" i="94"/>
  <c r="CS31" i="94"/>
  <c r="CI31" i="94"/>
  <c r="CQ31" i="94"/>
  <c r="CH31" i="94"/>
  <c r="BZ31" i="94"/>
  <c r="CF31" i="94"/>
  <c r="CE31" i="94"/>
  <c r="CM31" i="94"/>
  <c r="CM41" i="94"/>
  <c r="CJ41" i="94"/>
  <c r="BZ41" i="94"/>
  <c r="CG41" i="94"/>
  <c r="CC41" i="94"/>
  <c r="CF41" i="94"/>
  <c r="BY41" i="94"/>
  <c r="CE41" i="94"/>
  <c r="CT41" i="94"/>
  <c r="CS41" i="94"/>
  <c r="CQ41" i="94"/>
  <c r="CA41" i="94"/>
  <c r="CP41" i="94"/>
  <c r="CB41" i="94"/>
  <c r="CI41" i="94"/>
  <c r="CK41" i="94"/>
  <c r="CO41" i="94"/>
  <c r="CH41" i="94"/>
  <c r="CD41" i="94"/>
  <c r="CR41" i="94"/>
  <c r="CN41" i="94"/>
  <c r="CL41" i="94"/>
  <c r="CB70" i="94"/>
  <c r="CN70" i="94"/>
  <c r="CT70" i="94"/>
  <c r="CF70" i="94"/>
  <c r="BY70" i="94"/>
  <c r="CC70" i="94"/>
  <c r="CR70" i="94"/>
  <c r="CE70" i="94"/>
  <c r="CM70" i="94"/>
  <c r="CP70" i="94"/>
  <c r="CA70" i="94"/>
  <c r="CQ70" i="94"/>
  <c r="CL70" i="94"/>
  <c r="CO70" i="94"/>
  <c r="CH70" i="94"/>
  <c r="CG70" i="94"/>
  <c r="CK70" i="94"/>
  <c r="BZ70" i="94"/>
  <c r="CI70" i="94"/>
  <c r="CD70" i="94"/>
  <c r="CS70" i="94"/>
  <c r="CJ70" i="94"/>
  <c r="CQ46" i="94"/>
  <c r="CJ46" i="94"/>
  <c r="CC46" i="94"/>
  <c r="CD46" i="94"/>
  <c r="CF46" i="94"/>
  <c r="CK46" i="94"/>
  <c r="CP46" i="94"/>
  <c r="CA46" i="94"/>
  <c r="BZ46" i="94"/>
  <c r="CT46" i="94"/>
  <c r="CB46" i="94"/>
  <c r="CE46" i="94"/>
  <c r="BY46" i="94"/>
  <c r="CN46" i="94"/>
  <c r="CH46" i="94"/>
  <c r="CM46" i="94"/>
  <c r="CG46" i="94"/>
  <c r="CI46" i="94"/>
  <c r="CL46" i="94"/>
  <c r="CR46" i="94"/>
  <c r="CO46" i="94"/>
  <c r="CS46" i="94"/>
  <c r="CD33" i="94"/>
  <c r="CN33" i="94"/>
  <c r="BY33" i="94"/>
  <c r="CI33" i="94"/>
  <c r="CB33" i="94"/>
  <c r="CK33" i="94"/>
  <c r="CF33" i="94"/>
  <c r="CE33" i="94"/>
  <c r="CQ33" i="94"/>
  <c r="BZ33" i="94"/>
  <c r="CR33" i="94"/>
  <c r="CH33" i="94"/>
  <c r="CA33" i="94"/>
  <c r="CT33" i="94"/>
  <c r="CO33" i="94"/>
  <c r="CS33" i="94"/>
  <c r="CP33" i="94"/>
  <c r="CM33" i="94"/>
  <c r="CL33" i="94"/>
  <c r="CG33" i="94"/>
  <c r="CJ33" i="94"/>
  <c r="CC33" i="94"/>
  <c r="CD64" i="94"/>
  <c r="CT64" i="94"/>
  <c r="CP64" i="94"/>
  <c r="CG64" i="94"/>
  <c r="CF64" i="94"/>
  <c r="CM64" i="94"/>
  <c r="CC64" i="94"/>
  <c r="CN64" i="94"/>
  <c r="CK64" i="94"/>
  <c r="BZ64" i="94"/>
  <c r="CB64" i="94"/>
  <c r="CO64" i="94"/>
  <c r="CL64" i="94"/>
  <c r="CE64" i="94"/>
  <c r="CA64" i="94"/>
  <c r="CR64" i="94"/>
  <c r="CJ64" i="94"/>
  <c r="CH64" i="94"/>
  <c r="CS64" i="94"/>
  <c r="BY64" i="94"/>
  <c r="CQ64" i="94"/>
  <c r="CI64" i="94"/>
  <c r="CC26" i="94"/>
  <c r="CI26" i="94"/>
  <c r="CA26" i="94"/>
  <c r="CT26" i="94"/>
  <c r="CH26" i="94"/>
  <c r="BY26" i="94"/>
  <c r="CS26" i="94"/>
  <c r="CP26" i="94"/>
  <c r="CN26" i="94"/>
  <c r="CF26" i="94"/>
  <c r="CE26" i="94"/>
  <c r="CL26" i="94"/>
  <c r="CK26" i="94"/>
  <c r="CM26" i="94"/>
  <c r="CR26" i="94"/>
  <c r="CJ26" i="94"/>
  <c r="BZ26" i="94"/>
  <c r="CD26" i="94"/>
  <c r="CO26" i="94"/>
  <c r="CG26" i="94"/>
  <c r="CB26" i="94"/>
  <c r="CQ26" i="94"/>
  <c r="BZ40" i="94"/>
  <c r="CG40" i="94"/>
  <c r="CE40" i="94"/>
  <c r="CP40" i="94"/>
  <c r="CN40" i="94"/>
  <c r="CF40" i="94"/>
  <c r="CL40" i="94"/>
  <c r="CT40" i="94"/>
  <c r="CK40" i="94"/>
  <c r="CD40" i="94"/>
  <c r="CO40" i="94"/>
  <c r="CJ40" i="94"/>
  <c r="CC40" i="94"/>
  <c r="BY40" i="94"/>
  <c r="CR40" i="94"/>
  <c r="CS40" i="94"/>
  <c r="CQ40" i="94"/>
  <c r="CI40" i="94"/>
  <c r="CA40" i="94"/>
  <c r="CB40" i="94"/>
  <c r="CH40" i="94"/>
  <c r="CM40" i="94"/>
  <c r="CT73" i="94"/>
  <c r="CD73" i="94"/>
  <c r="CP73" i="94"/>
  <c r="CS73" i="94"/>
  <c r="CK73" i="94"/>
  <c r="CH73" i="94"/>
  <c r="CN73" i="94"/>
  <c r="CL73" i="94"/>
  <c r="CG73" i="94"/>
  <c r="CF73" i="94"/>
  <c r="CE73" i="94"/>
  <c r="CC73" i="94"/>
  <c r="CB73" i="94"/>
  <c r="CR73" i="94"/>
  <c r="CA73" i="94"/>
  <c r="CI73" i="94"/>
  <c r="BZ73" i="94"/>
  <c r="CQ73" i="94"/>
  <c r="CO73" i="94"/>
  <c r="CM73" i="94"/>
  <c r="BY73" i="94"/>
  <c r="CJ73" i="94"/>
  <c r="CC47" i="94"/>
  <c r="CI47" i="94"/>
  <c r="CG47" i="94"/>
  <c r="CE47" i="94"/>
  <c r="CR47" i="94"/>
  <c r="CO47" i="94"/>
  <c r="CK47" i="94"/>
  <c r="CH47" i="94"/>
  <c r="CQ47" i="94"/>
  <c r="CT47" i="94"/>
  <c r="CA47" i="94"/>
  <c r="CN47" i="94"/>
  <c r="CM47" i="94"/>
  <c r="CP47" i="94"/>
  <c r="BZ47" i="94"/>
  <c r="CS47" i="94"/>
  <c r="BY47" i="94"/>
  <c r="CB47" i="94"/>
  <c r="CJ47" i="94"/>
  <c r="CD47" i="94"/>
  <c r="CL47" i="94"/>
  <c r="CF47" i="94"/>
  <c r="CB60" i="94"/>
  <c r="CR60" i="94"/>
  <c r="CF60" i="94"/>
  <c r="BY60" i="94"/>
  <c r="CA60" i="94"/>
  <c r="CE60" i="94"/>
  <c r="BZ60" i="94"/>
  <c r="CC60" i="94"/>
  <c r="CS60" i="94"/>
  <c r="CD60" i="94"/>
  <c r="CM60" i="94"/>
  <c r="CP60" i="94"/>
  <c r="CN60" i="94"/>
  <c r="CG60" i="94"/>
  <c r="CI60" i="94"/>
  <c r="CQ60" i="94"/>
  <c r="CJ60" i="94"/>
  <c r="CO60" i="94"/>
  <c r="CL60" i="94"/>
  <c r="CK60" i="94"/>
  <c r="CH60" i="94"/>
  <c r="CO25" i="94"/>
  <c r="BZ25" i="94"/>
  <c r="CI25" i="94"/>
  <c r="CD25" i="94"/>
  <c r="CT25" i="94"/>
  <c r="CF25" i="94"/>
  <c r="BY25" i="94"/>
  <c r="CP25" i="94"/>
  <c r="CA25" i="94"/>
  <c r="CH25" i="94"/>
  <c r="CN25" i="94"/>
  <c r="CC25" i="94"/>
  <c r="CB25" i="94"/>
  <c r="CL25" i="94"/>
  <c r="CG25" i="94"/>
  <c r="CJ25" i="94"/>
  <c r="CK25" i="94"/>
  <c r="CM25" i="94"/>
  <c r="CE25" i="94"/>
  <c r="CQ25" i="94"/>
  <c r="CR25" i="94"/>
  <c r="CS25" i="94"/>
  <c r="CP84" i="94"/>
  <c r="CL84" i="94"/>
  <c r="BZ84" i="94"/>
  <c r="CF84" i="94"/>
  <c r="CJ84" i="94"/>
  <c r="CR84" i="94"/>
  <c r="CI84" i="94"/>
  <c r="CB84" i="94"/>
  <c r="CC84" i="94"/>
  <c r="CE84" i="94"/>
  <c r="CS84" i="94"/>
  <c r="CQ84" i="94"/>
  <c r="CG84" i="94"/>
  <c r="BY84" i="94"/>
  <c r="CO84" i="94"/>
  <c r="CM84" i="94"/>
  <c r="CN84" i="94"/>
  <c r="CA84" i="94"/>
  <c r="CK84" i="94"/>
  <c r="CH84" i="94"/>
  <c r="CT84" i="94"/>
  <c r="CD84" i="94"/>
  <c r="CL71" i="94"/>
  <c r="BY71" i="94"/>
  <c r="CH71" i="94"/>
  <c r="CM71" i="94"/>
  <c r="CG71" i="94"/>
  <c r="CI71" i="94"/>
  <c r="CJ71" i="94"/>
  <c r="CE71" i="94"/>
  <c r="CQ71" i="94"/>
  <c r="CR71" i="94"/>
  <c r="CP71" i="94"/>
  <c r="CT71" i="94"/>
  <c r="CB71" i="94"/>
  <c r="CD71" i="94"/>
  <c r="CK71" i="94"/>
  <c r="BZ71" i="94"/>
  <c r="CF71" i="94"/>
  <c r="CO71" i="94"/>
  <c r="CC71" i="94"/>
  <c r="CA71" i="94"/>
  <c r="CN71" i="94"/>
  <c r="CS71" i="94"/>
  <c r="CK45" i="94"/>
  <c r="CC45" i="94"/>
  <c r="CO45" i="94"/>
  <c r="CB45" i="94"/>
  <c r="BZ45" i="94"/>
  <c r="CE45" i="94"/>
  <c r="CA45" i="94"/>
  <c r="CQ45" i="94"/>
  <c r="BY45" i="94"/>
  <c r="CT45" i="94"/>
  <c r="CH45" i="94"/>
  <c r="CI45" i="94"/>
  <c r="CD45" i="94"/>
  <c r="CS45" i="94"/>
  <c r="CP45" i="94"/>
  <c r="CN45" i="94"/>
  <c r="CF45" i="94"/>
  <c r="CR45" i="94"/>
  <c r="CL45" i="94"/>
  <c r="CJ45" i="94"/>
  <c r="CM45" i="94"/>
  <c r="CG45" i="94"/>
  <c r="CD80" i="94"/>
  <c r="CC80" i="94"/>
  <c r="BZ80" i="94"/>
  <c r="BY80" i="94"/>
  <c r="CG80" i="94"/>
  <c r="CP80" i="94"/>
  <c r="CT80" i="94"/>
  <c r="CM80" i="94"/>
  <c r="CF80" i="94"/>
  <c r="CL80" i="94"/>
  <c r="CR80" i="94"/>
  <c r="CO80" i="94"/>
  <c r="CQ80" i="94"/>
  <c r="CN80" i="94"/>
  <c r="CA80" i="94"/>
  <c r="CI80" i="94"/>
  <c r="CH80" i="94"/>
  <c r="CK80" i="94"/>
  <c r="CS80" i="94"/>
  <c r="CJ80" i="94"/>
  <c r="CB80" i="94"/>
  <c r="CE80" i="94"/>
  <c r="CD50" i="94"/>
  <c r="CR50" i="94"/>
  <c r="CP50" i="94"/>
  <c r="CB50" i="94"/>
  <c r="CQ50" i="94"/>
  <c r="CS50" i="94"/>
  <c r="CO50" i="94"/>
  <c r="CJ50" i="94"/>
  <c r="CA50" i="94"/>
  <c r="BY50" i="94"/>
  <c r="BZ50" i="94"/>
  <c r="CK50" i="94"/>
  <c r="CC50" i="94"/>
  <c r="CI50" i="94"/>
  <c r="CE50" i="94"/>
  <c r="CN50" i="94"/>
  <c r="CM50" i="94"/>
  <c r="CG50" i="94"/>
  <c r="CF50" i="94"/>
  <c r="CH50" i="94"/>
  <c r="CT50" i="94"/>
  <c r="CL50" i="94"/>
  <c r="CP55" i="94"/>
  <c r="CE55" i="94"/>
  <c r="CM55" i="94"/>
  <c r="CR55" i="94"/>
  <c r="CK55" i="94"/>
  <c r="CN55" i="94"/>
  <c r="CL55" i="94"/>
  <c r="CH55" i="94"/>
  <c r="CG55" i="94"/>
  <c r="BY55" i="94"/>
  <c r="CF55" i="94"/>
  <c r="CO55" i="94"/>
  <c r="CC55" i="94"/>
  <c r="CJ55" i="94"/>
  <c r="CD55" i="94"/>
  <c r="BZ55" i="94"/>
  <c r="CQ55" i="94"/>
  <c r="CI55" i="94"/>
  <c r="CT55" i="94"/>
  <c r="CB55" i="94"/>
  <c r="CA55" i="94"/>
  <c r="CS55" i="94"/>
  <c r="CQ29" i="94"/>
  <c r="CK29" i="94"/>
  <c r="CG29" i="94"/>
  <c r="CA29" i="94"/>
  <c r="CL29" i="94"/>
  <c r="CF29" i="94"/>
  <c r="CE29" i="94"/>
  <c r="CJ29" i="94"/>
  <c r="CB29" i="94"/>
  <c r="CH29" i="94"/>
  <c r="CP29" i="94"/>
  <c r="CS29" i="94"/>
  <c r="CR29" i="94"/>
  <c r="BY29" i="94"/>
  <c r="CO29" i="94"/>
  <c r="CI29" i="94"/>
  <c r="CD29" i="94"/>
  <c r="CT29" i="94"/>
  <c r="CN29" i="94"/>
  <c r="CC29" i="94"/>
  <c r="CM29" i="94"/>
  <c r="BZ29" i="94"/>
  <c r="CM83" i="94"/>
  <c r="CF83" i="94"/>
  <c r="CJ83" i="94"/>
  <c r="CE83" i="94"/>
  <c r="CH83" i="94"/>
  <c r="CB83" i="94"/>
  <c r="CC83" i="94"/>
  <c r="CD83" i="94"/>
  <c r="CK83" i="94"/>
  <c r="CR83" i="94"/>
  <c r="CS83" i="94"/>
  <c r="CQ83" i="94"/>
  <c r="CA83" i="94"/>
  <c r="CG83" i="94"/>
  <c r="BZ83" i="94"/>
  <c r="CI83" i="94"/>
  <c r="CO83" i="94"/>
  <c r="CP83" i="94"/>
  <c r="CN83" i="94"/>
  <c r="BY83" i="94"/>
  <c r="CL83" i="94"/>
  <c r="CT83" i="94"/>
  <c r="BY72" i="94"/>
  <c r="CE72" i="94"/>
  <c r="CB72" i="94"/>
  <c r="CJ72" i="94"/>
  <c r="CQ72" i="94"/>
  <c r="CF72" i="94"/>
  <c r="CA72" i="94"/>
  <c r="BZ72" i="94"/>
  <c r="CP72" i="94"/>
  <c r="CG72" i="94"/>
  <c r="CM72" i="94"/>
  <c r="CS72" i="94"/>
  <c r="CT72" i="94"/>
  <c r="CR72" i="94"/>
  <c r="CL72" i="94"/>
  <c r="CO72" i="94"/>
  <c r="CI72" i="94"/>
  <c r="CC72" i="94"/>
  <c r="CK72" i="94"/>
  <c r="CN72" i="94"/>
  <c r="CH72" i="94"/>
  <c r="CD72" i="94"/>
  <c r="CQ51" i="94"/>
  <c r="CI51" i="94"/>
  <c r="CD51" i="94"/>
  <c r="CG51" i="94"/>
  <c r="CP51" i="94"/>
  <c r="BZ51" i="94"/>
  <c r="BY51" i="94"/>
  <c r="CL51" i="94"/>
  <c r="CK51" i="94"/>
  <c r="CE51" i="94"/>
  <c r="CJ51" i="94"/>
  <c r="CN51" i="94"/>
  <c r="CT51" i="94"/>
  <c r="CF51" i="94"/>
  <c r="CC51" i="94"/>
  <c r="CA51" i="94"/>
  <c r="CS51" i="94"/>
  <c r="CO51" i="94"/>
  <c r="CH51" i="94"/>
  <c r="CM51" i="94"/>
  <c r="CB51" i="94"/>
  <c r="CR51" i="94"/>
  <c r="CB56" i="94"/>
  <c r="BZ56" i="94"/>
  <c r="CK56" i="94"/>
  <c r="CN56" i="94"/>
  <c r="CM56" i="94"/>
  <c r="CL56" i="94"/>
  <c r="CG56" i="94"/>
  <c r="CE56" i="94"/>
  <c r="CJ56" i="94"/>
  <c r="BY56" i="94"/>
  <c r="CI56" i="94"/>
  <c r="CF56" i="94"/>
  <c r="CT56" i="94"/>
  <c r="CA56" i="94"/>
  <c r="CH56" i="94"/>
  <c r="CD56" i="94"/>
  <c r="CS56" i="94"/>
  <c r="CR56" i="94"/>
  <c r="CC56" i="94"/>
  <c r="CQ56" i="94"/>
  <c r="CO56" i="94"/>
  <c r="CP56" i="94"/>
  <c r="CK28" i="94"/>
  <c r="CH28" i="94"/>
  <c r="BY28" i="94"/>
  <c r="CN28" i="94"/>
  <c r="CI28" i="94"/>
  <c r="CM28" i="94"/>
  <c r="CO28" i="94"/>
  <c r="CP28" i="94"/>
  <c r="CB28" i="94"/>
  <c r="CQ28" i="94"/>
  <c r="CE28" i="94"/>
  <c r="BZ28" i="94"/>
  <c r="CF28" i="94"/>
  <c r="CT28" i="94"/>
  <c r="CD28" i="94"/>
  <c r="CS28" i="94"/>
  <c r="CL28" i="94"/>
  <c r="CC28" i="94"/>
  <c r="CG28" i="94"/>
  <c r="CJ28" i="94"/>
  <c r="CA28" i="94"/>
  <c r="CR28" i="94"/>
  <c r="CQ82" i="94"/>
  <c r="CL82" i="94"/>
  <c r="CM82" i="94"/>
  <c r="CK82" i="94"/>
  <c r="CJ82" i="94"/>
  <c r="CB82" i="94"/>
  <c r="CF82" i="94"/>
  <c r="CG82" i="94"/>
  <c r="CI82" i="94"/>
  <c r="CC82" i="94"/>
  <c r="CT82" i="94"/>
  <c r="CN82" i="94"/>
  <c r="BY82" i="94"/>
  <c r="CA82" i="94"/>
  <c r="CD82" i="94"/>
  <c r="CE82" i="94"/>
  <c r="CO82" i="94"/>
  <c r="CH82" i="94"/>
  <c r="CS82" i="94"/>
  <c r="BZ82" i="94"/>
  <c r="CP82" i="94"/>
  <c r="CR82" i="94"/>
  <c r="CR69" i="94"/>
  <c r="BY69" i="94"/>
  <c r="CG69" i="94"/>
  <c r="CT69" i="94"/>
  <c r="CP69" i="94"/>
  <c r="CD69" i="94"/>
  <c r="CQ69" i="94"/>
  <c r="CO69" i="94"/>
  <c r="CI69" i="94"/>
  <c r="CE69" i="94"/>
  <c r="CN69" i="94"/>
  <c r="CF69" i="94"/>
  <c r="CL69" i="94"/>
  <c r="CB69" i="94"/>
  <c r="CK69" i="94"/>
  <c r="CJ69" i="94"/>
  <c r="BZ69" i="94"/>
  <c r="CM69" i="94"/>
  <c r="CS69" i="94"/>
  <c r="CH69" i="94"/>
  <c r="CH57" i="94"/>
  <c r="CD57" i="94"/>
  <c r="CP57" i="94"/>
  <c r="CK57" i="94"/>
  <c r="CE57" i="94"/>
  <c r="CA57" i="94"/>
  <c r="CT57" i="94"/>
  <c r="CI57" i="94"/>
  <c r="CF57" i="94"/>
  <c r="CO57" i="94"/>
  <c r="BY57" i="94"/>
  <c r="CC57" i="94"/>
  <c r="CB57" i="94"/>
  <c r="CM57" i="94"/>
  <c r="CL57" i="94"/>
  <c r="CQ57" i="94"/>
  <c r="CS57" i="94"/>
  <c r="CN57" i="94"/>
  <c r="CJ57" i="94"/>
  <c r="BZ57" i="94"/>
  <c r="CG57" i="94"/>
  <c r="CR57" i="94"/>
  <c r="CK52" i="94"/>
  <c r="CP52" i="94"/>
  <c r="CB52" i="94"/>
  <c r="CR52" i="94"/>
  <c r="CA52" i="94"/>
  <c r="CI52" i="94"/>
  <c r="CF52" i="94"/>
  <c r="CG52" i="94"/>
  <c r="CT52" i="94"/>
  <c r="CJ52" i="94"/>
  <c r="CD52" i="94"/>
  <c r="CE52" i="94"/>
  <c r="CC52" i="94"/>
  <c r="CS52" i="94"/>
  <c r="CM52" i="94"/>
  <c r="BY52" i="94"/>
  <c r="BZ52" i="94"/>
  <c r="CH52" i="94"/>
  <c r="CN52" i="94"/>
  <c r="CO52" i="94"/>
  <c r="CL52" i="94"/>
  <c r="CQ52" i="94"/>
  <c r="CM48" i="94"/>
  <c r="CS48" i="94"/>
  <c r="CF48" i="94"/>
  <c r="BY48" i="94"/>
  <c r="CR48" i="94"/>
  <c r="CG48" i="94"/>
  <c r="CQ48" i="94"/>
  <c r="CH48" i="94"/>
  <c r="BZ48" i="94"/>
  <c r="CC48" i="94"/>
  <c r="CN48" i="94"/>
  <c r="CP48" i="94"/>
  <c r="CO48" i="94"/>
  <c r="CL48" i="94"/>
  <c r="CK48" i="94"/>
  <c r="CJ48" i="94"/>
  <c r="CT48" i="94"/>
  <c r="CB48" i="94"/>
  <c r="CE48" i="94"/>
  <c r="CI48" i="94"/>
  <c r="CA48" i="94"/>
  <c r="CD48" i="94"/>
  <c r="CF54" i="94"/>
  <c r="CL54" i="94"/>
  <c r="CA54" i="94"/>
  <c r="BZ54" i="94"/>
  <c r="CI54" i="94"/>
  <c r="CN54" i="94"/>
  <c r="CG54" i="94"/>
  <c r="CH54" i="94"/>
  <c r="CE54" i="94"/>
  <c r="CS54" i="94"/>
  <c r="CD54" i="94"/>
  <c r="CJ54" i="94"/>
  <c r="CC54" i="94"/>
  <c r="CT54" i="94"/>
  <c r="CB54" i="94"/>
  <c r="CR54" i="94"/>
  <c r="CQ54" i="94"/>
  <c r="CO54" i="94"/>
  <c r="CP54" i="94"/>
  <c r="BY54" i="94"/>
  <c r="CK54" i="94"/>
  <c r="CM54" i="94"/>
  <c r="CD49" i="94"/>
  <c r="CR49" i="94"/>
  <c r="CF49" i="94"/>
  <c r="CH49" i="94"/>
  <c r="CQ49" i="94"/>
  <c r="CK49" i="94"/>
  <c r="CT49" i="94"/>
  <c r="CN49" i="94"/>
  <c r="CA49" i="94"/>
  <c r="CB49" i="94"/>
  <c r="CO49" i="94"/>
  <c r="BZ49" i="94"/>
  <c r="CS49" i="94"/>
  <c r="CM49" i="94"/>
  <c r="CL49" i="94"/>
  <c r="CG49" i="94"/>
  <c r="CJ49" i="94"/>
  <c r="CE49" i="94"/>
  <c r="CP49" i="94"/>
  <c r="CI49" i="94"/>
  <c r="BY49" i="94"/>
  <c r="CC49" i="94"/>
  <c r="CC74" i="94"/>
  <c r="CK74" i="94"/>
  <c r="CM74" i="94"/>
  <c r="CR74" i="94"/>
  <c r="CL74" i="94"/>
  <c r="CA74" i="94"/>
  <c r="CJ74" i="94"/>
  <c r="CH74" i="94"/>
  <c r="CI74" i="94"/>
  <c r="BZ74" i="94"/>
  <c r="CF74" i="94"/>
  <c r="CS74" i="94"/>
  <c r="CE74" i="94"/>
  <c r="BY74" i="94"/>
  <c r="CD74" i="94"/>
  <c r="CG74" i="94"/>
  <c r="CQ74" i="94"/>
  <c r="CT74" i="94"/>
  <c r="CP74" i="94"/>
  <c r="CO74" i="94"/>
  <c r="CN74" i="94"/>
  <c r="CB74" i="94"/>
  <c r="CC91" i="94"/>
  <c r="CN91" i="94"/>
  <c r="CQ91" i="94"/>
  <c r="CG91" i="94"/>
  <c r="CB91" i="94"/>
  <c r="CR91" i="94"/>
  <c r="CE91" i="94"/>
  <c r="CD91" i="94"/>
  <c r="CL91" i="94"/>
  <c r="CO91" i="94"/>
  <c r="CK91" i="94"/>
  <c r="CF91" i="94"/>
  <c r="CP91" i="94"/>
  <c r="CI91" i="94"/>
  <c r="CH91" i="94"/>
  <c r="CJ91" i="94"/>
  <c r="BZ91" i="94"/>
  <c r="CA91" i="94"/>
  <c r="CT91" i="94"/>
  <c r="CS91" i="94"/>
  <c r="BY91" i="94"/>
  <c r="CM91" i="94"/>
  <c r="CL6" i="94"/>
  <c r="CI6" i="94"/>
  <c r="CH6" i="94"/>
  <c r="CF6" i="94"/>
  <c r="CT6" i="94"/>
  <c r="CA6" i="94"/>
  <c r="CC6" i="94"/>
  <c r="CS6" i="94"/>
  <c r="CE6" i="94"/>
  <c r="CR6" i="94"/>
  <c r="CG6" i="94"/>
  <c r="CB6" i="94"/>
  <c r="CD6" i="94"/>
  <c r="CQ6" i="94"/>
  <c r="BZ6" i="94"/>
  <c r="CN6" i="94"/>
  <c r="BY6" i="94"/>
  <c r="CK6" i="94"/>
  <c r="CP6" i="94"/>
  <c r="CM6" i="94"/>
  <c r="CO6" i="94"/>
  <c r="CJ6" i="94"/>
  <c r="CF11" i="94"/>
  <c r="CL11" i="94"/>
  <c r="CS11" i="94"/>
  <c r="CQ11" i="94"/>
  <c r="CB11" i="94"/>
  <c r="CH11" i="94"/>
  <c r="CA11" i="94"/>
  <c r="CO11" i="94"/>
  <c r="BY11" i="94"/>
  <c r="CR11" i="94"/>
  <c r="CD11" i="94"/>
  <c r="CJ11" i="94"/>
  <c r="CP11" i="94"/>
  <c r="CT11" i="94"/>
  <c r="BZ11" i="94"/>
  <c r="CE11" i="94"/>
  <c r="CN11" i="94"/>
  <c r="CM11" i="94"/>
  <c r="CK11" i="94"/>
  <c r="CI11" i="94"/>
  <c r="CG11" i="94"/>
  <c r="CC11" i="94"/>
  <c r="CC20" i="94"/>
  <c r="CP20" i="94"/>
  <c r="BZ20" i="94"/>
  <c r="CO20" i="94"/>
  <c r="BY20" i="94"/>
  <c r="CA20" i="94"/>
  <c r="CT20" i="94"/>
  <c r="CN20" i="94"/>
  <c r="CR20" i="94"/>
  <c r="CJ20" i="94"/>
  <c r="CG20" i="94"/>
  <c r="CB20" i="94"/>
  <c r="CI20" i="94"/>
  <c r="CK20" i="94"/>
  <c r="CQ20" i="94"/>
  <c r="CH20" i="94"/>
  <c r="CL20" i="94"/>
  <c r="CF20" i="94"/>
  <c r="CM20" i="94"/>
  <c r="CE20" i="94"/>
  <c r="CD20" i="94"/>
  <c r="CS20" i="94"/>
  <c r="CH18" i="94"/>
  <c r="CL18" i="94"/>
  <c r="CJ18" i="94"/>
  <c r="CA18" i="94"/>
  <c r="CG18" i="94"/>
  <c r="CE18" i="94"/>
  <c r="CF18" i="94"/>
  <c r="CR18" i="94"/>
  <c r="CN18" i="94"/>
  <c r="CB18" i="94"/>
  <c r="CC18" i="94"/>
  <c r="CP18" i="94"/>
  <c r="BY18" i="94"/>
  <c r="BZ18" i="94"/>
  <c r="CT18" i="94"/>
  <c r="CD18" i="94"/>
  <c r="CS18" i="94"/>
  <c r="CQ18" i="94"/>
  <c r="CM18" i="94"/>
  <c r="CO18" i="94"/>
  <c r="CI18" i="94"/>
  <c r="CK18" i="94"/>
  <c r="CT96" i="94"/>
  <c r="CR96" i="94"/>
  <c r="CM96" i="94"/>
  <c r="CI96" i="94"/>
  <c r="CD96" i="94"/>
  <c r="CC96" i="94"/>
  <c r="CG96" i="94"/>
  <c r="CH96" i="94"/>
  <c r="CF96" i="94"/>
  <c r="CK96" i="94"/>
  <c r="BY96" i="94"/>
  <c r="CE96" i="94"/>
  <c r="CS96" i="94"/>
  <c r="CB96" i="94"/>
  <c r="CQ96" i="94"/>
  <c r="CJ96" i="94"/>
  <c r="CP96" i="94"/>
  <c r="CO96" i="94"/>
  <c r="BZ96" i="94"/>
  <c r="CA96" i="94"/>
  <c r="CN96" i="94"/>
  <c r="CL96" i="94"/>
  <c r="CO7" i="94"/>
  <c r="BY7" i="94"/>
  <c r="CH7" i="94"/>
  <c r="CM7" i="94"/>
  <c r="CK7" i="94"/>
  <c r="CL7" i="94"/>
  <c r="CR7" i="94"/>
  <c r="CS7" i="94"/>
  <c r="CN7" i="94"/>
  <c r="CE7" i="94"/>
  <c r="CG7" i="94"/>
  <c r="CC7" i="94"/>
  <c r="CD7" i="94"/>
  <c r="CT7" i="94"/>
  <c r="CI7" i="94"/>
  <c r="CQ7" i="94"/>
  <c r="CF7" i="94"/>
  <c r="CB7" i="94"/>
  <c r="CA7" i="94"/>
  <c r="CP7" i="94"/>
  <c r="CJ7" i="94"/>
  <c r="BZ7" i="94"/>
  <c r="CC10" i="94"/>
  <c r="CN10" i="94"/>
  <c r="CO10" i="94"/>
  <c r="CI10" i="94"/>
  <c r="BY10" i="94"/>
  <c r="CG10" i="94"/>
  <c r="CF10" i="94"/>
  <c r="CL10" i="94"/>
  <c r="CK10" i="94"/>
  <c r="CJ10" i="94"/>
  <c r="CR10" i="94"/>
  <c r="CQ10" i="94"/>
  <c r="CB10" i="94"/>
  <c r="BZ10" i="94"/>
  <c r="CT10" i="94"/>
  <c r="CM10" i="94"/>
  <c r="CA10" i="94"/>
  <c r="CH10" i="94"/>
  <c r="CS10" i="94"/>
  <c r="CE10" i="94"/>
  <c r="CP10" i="94"/>
  <c r="CD10" i="94"/>
  <c r="CN23" i="94"/>
  <c r="CC23" i="94"/>
  <c r="CJ23" i="94"/>
  <c r="CE23" i="94"/>
  <c r="CL23" i="94"/>
  <c r="BY23" i="94"/>
  <c r="CF23" i="94"/>
  <c r="BZ23" i="94"/>
  <c r="CO23" i="94"/>
  <c r="CG23" i="94"/>
  <c r="CT23" i="94"/>
  <c r="CI23" i="94"/>
  <c r="CH23" i="94"/>
  <c r="CQ23" i="94"/>
  <c r="CR23" i="94"/>
  <c r="CP23" i="94"/>
  <c r="CB23" i="94"/>
  <c r="CM23" i="94"/>
  <c r="CA23" i="94"/>
  <c r="CK23" i="94"/>
  <c r="CS23" i="94"/>
  <c r="CN15" i="94"/>
  <c r="CG15" i="94"/>
  <c r="CM15" i="94"/>
  <c r="CL15" i="94"/>
  <c r="CE15" i="94"/>
  <c r="CR15" i="94"/>
  <c r="CI15" i="94"/>
  <c r="CJ15" i="94"/>
  <c r="CC15" i="94"/>
  <c r="CQ15" i="94"/>
  <c r="CB15" i="94"/>
  <c r="CS15" i="94"/>
  <c r="BZ15" i="94"/>
  <c r="CP15" i="94"/>
  <c r="CF15" i="94"/>
  <c r="CK15" i="94"/>
  <c r="CT15" i="94"/>
  <c r="BY15" i="94"/>
  <c r="CD15" i="94"/>
  <c r="CH15" i="94"/>
  <c r="CA15" i="94"/>
  <c r="CO15" i="94"/>
  <c r="CP17" i="94"/>
  <c r="CQ17" i="94"/>
  <c r="CG17" i="94"/>
  <c r="BZ17" i="94"/>
  <c r="CL17" i="94"/>
  <c r="CN17" i="94"/>
  <c r="CF17" i="94"/>
  <c r="CA17" i="94"/>
  <c r="CR17" i="94"/>
  <c r="CK17" i="94"/>
  <c r="CB17" i="94"/>
  <c r="CJ17" i="94"/>
  <c r="CI17" i="94"/>
  <c r="CT17" i="94"/>
  <c r="CM17" i="94"/>
  <c r="CS17" i="94"/>
  <c r="CE17" i="94"/>
  <c r="CO17" i="94"/>
  <c r="CD17" i="94"/>
  <c r="BY17" i="94"/>
  <c r="CC17" i="94"/>
  <c r="CH17" i="94"/>
  <c r="CF97" i="94"/>
  <c r="CP97" i="94"/>
  <c r="CO97" i="94"/>
  <c r="CT97" i="94"/>
  <c r="CL97" i="94"/>
  <c r="CD97" i="94"/>
  <c r="CN97" i="94"/>
  <c r="CI97" i="94"/>
  <c r="CS97" i="94"/>
  <c r="CE97" i="94"/>
  <c r="CJ97" i="94"/>
  <c r="CR97" i="94"/>
  <c r="CC97" i="94"/>
  <c r="CH97" i="94"/>
  <c r="CQ97" i="94"/>
  <c r="CB97" i="94"/>
  <c r="BY97" i="94"/>
  <c r="CA97" i="94"/>
  <c r="BZ97" i="94"/>
  <c r="CK97" i="94"/>
  <c r="CG97" i="94"/>
  <c r="CM97" i="94"/>
  <c r="CD22" i="94"/>
  <c r="BY22" i="94"/>
  <c r="BZ22" i="94"/>
  <c r="CM22" i="94"/>
  <c r="CS22" i="94"/>
  <c r="CL22" i="94"/>
  <c r="CO22" i="94"/>
  <c r="CH22" i="94"/>
  <c r="CT22" i="94"/>
  <c r="CB22" i="94"/>
  <c r="CN22" i="94"/>
  <c r="CR22" i="94"/>
  <c r="CC22" i="94"/>
  <c r="CJ22" i="94"/>
  <c r="CF22" i="94"/>
  <c r="CK22" i="94"/>
  <c r="CE22" i="94"/>
  <c r="CI22" i="94"/>
  <c r="CP22" i="94"/>
  <c r="CA22" i="94"/>
  <c r="CQ22" i="94"/>
  <c r="CG22" i="94"/>
  <c r="CI14" i="94"/>
  <c r="CO14" i="94"/>
  <c r="CN14" i="94"/>
  <c r="CJ14" i="94"/>
  <c r="CE14" i="94"/>
  <c r="CS14" i="94"/>
  <c r="BZ14" i="94"/>
  <c r="CP14" i="94"/>
  <c r="CH14" i="94"/>
  <c r="CK14" i="94"/>
  <c r="CG14" i="94"/>
  <c r="CC14" i="94"/>
  <c r="CQ14" i="94"/>
  <c r="CL14" i="94"/>
  <c r="CA14" i="94"/>
  <c r="CT14" i="94"/>
  <c r="CB14" i="94"/>
  <c r="CD14" i="94"/>
  <c r="CF14" i="94"/>
  <c r="CM14" i="94"/>
  <c r="BY14" i="94"/>
  <c r="CR14" i="94"/>
  <c r="CT12" i="94"/>
  <c r="CA12" i="94"/>
  <c r="CL12" i="94"/>
  <c r="CR12" i="94"/>
  <c r="CK12" i="94"/>
  <c r="CM12" i="94"/>
  <c r="CI12" i="94"/>
  <c r="CP12" i="94"/>
  <c r="CN12" i="94"/>
  <c r="BZ12" i="94"/>
  <c r="BY12" i="94"/>
  <c r="CH12" i="94"/>
  <c r="CG12" i="94"/>
  <c r="CD12" i="94"/>
  <c r="CS12" i="94"/>
  <c r="CO12" i="94"/>
  <c r="CF12" i="94"/>
  <c r="CC12" i="94"/>
  <c r="CE12" i="94"/>
  <c r="CB12" i="94"/>
  <c r="CJ12" i="94"/>
  <c r="CQ12" i="94"/>
  <c r="BZ9" i="94"/>
  <c r="CM9" i="94"/>
  <c r="CI9" i="94"/>
  <c r="CG9" i="94"/>
  <c r="CH9" i="94"/>
  <c r="CS9" i="94"/>
  <c r="CE9" i="94"/>
  <c r="CT9" i="94"/>
  <c r="CB9" i="94"/>
  <c r="CC9" i="94"/>
  <c r="CL9" i="94"/>
  <c r="CR9" i="94"/>
  <c r="CP9" i="94"/>
  <c r="BY9" i="94"/>
  <c r="CJ9" i="94"/>
  <c r="CN9" i="94"/>
  <c r="CO9" i="94"/>
  <c r="CQ9" i="94"/>
  <c r="CF9" i="94"/>
  <c r="CK9" i="94"/>
  <c r="CD9" i="94"/>
  <c r="CA9" i="94"/>
  <c r="CR21" i="94"/>
  <c r="BY21" i="94"/>
  <c r="CB21" i="94"/>
  <c r="CH21" i="94"/>
  <c r="BZ21" i="94"/>
  <c r="CO21" i="94"/>
  <c r="CM21" i="94"/>
  <c r="CI21" i="94"/>
  <c r="CG21" i="94"/>
  <c r="CQ21" i="94"/>
  <c r="CF21" i="94"/>
  <c r="CP21" i="94"/>
  <c r="CD21" i="94"/>
  <c r="CL21" i="94"/>
  <c r="CJ21" i="94"/>
  <c r="CK21" i="94"/>
  <c r="CS21" i="94"/>
  <c r="CT21" i="94"/>
  <c r="CA21" i="94"/>
  <c r="CN21" i="94"/>
  <c r="CC21" i="94"/>
  <c r="CE21" i="94"/>
  <c r="CE5" i="94"/>
  <c r="CK5" i="94"/>
  <c r="CJ5" i="94"/>
  <c r="CD5" i="94"/>
  <c r="CQ5" i="94"/>
  <c r="CP5" i="94"/>
  <c r="CA5" i="94"/>
  <c r="BY5" i="94"/>
  <c r="CS5" i="94"/>
  <c r="CL5" i="94"/>
  <c r="BZ5" i="94"/>
  <c r="CT5" i="94"/>
  <c r="CC5" i="94"/>
  <c r="CH5" i="94"/>
  <c r="CO5" i="94"/>
  <c r="CB5" i="94"/>
  <c r="CR5" i="94"/>
  <c r="CI5" i="94"/>
  <c r="CN5" i="94"/>
  <c r="CG5" i="94"/>
  <c r="CM5" i="94"/>
  <c r="CF5" i="94"/>
  <c r="CB16" i="94"/>
  <c r="CQ16" i="94"/>
  <c r="CA16" i="94"/>
  <c r="CH16" i="94"/>
  <c r="CT16" i="94"/>
  <c r="BZ16" i="94"/>
  <c r="CI16" i="94"/>
  <c r="CS16" i="94"/>
  <c r="CM16" i="94"/>
  <c r="CO16" i="94"/>
  <c r="CG16" i="94"/>
  <c r="CN16" i="94"/>
  <c r="BY16" i="94"/>
  <c r="CL16" i="94"/>
  <c r="CE16" i="94"/>
  <c r="CK16" i="94"/>
  <c r="CJ16" i="94"/>
  <c r="CD16" i="94"/>
  <c r="CR16" i="94"/>
  <c r="CC16" i="94"/>
  <c r="CF16" i="94"/>
  <c r="CP16" i="94"/>
  <c r="CR8" i="94"/>
  <c r="CO8" i="94"/>
  <c r="CF8" i="94"/>
  <c r="BY8" i="94"/>
  <c r="CB8" i="94"/>
  <c r="CM8" i="94"/>
  <c r="CA8" i="94"/>
  <c r="CL8" i="94"/>
  <c r="CK8" i="94"/>
  <c r="CT8" i="94"/>
  <c r="CS8" i="94"/>
  <c r="CE8" i="94"/>
  <c r="CI8" i="94"/>
  <c r="CQ8" i="94"/>
  <c r="CD8" i="94"/>
  <c r="CH8" i="94"/>
  <c r="CP8" i="94"/>
  <c r="CG8" i="94"/>
  <c r="BZ8" i="94"/>
  <c r="CN8" i="94"/>
  <c r="CJ8" i="94"/>
  <c r="CC8" i="94"/>
  <c r="BY95" i="94"/>
  <c r="CC95" i="94"/>
  <c r="CM95" i="94"/>
  <c r="CL95" i="94"/>
  <c r="CH95" i="94"/>
  <c r="CG95" i="94"/>
  <c r="CN95" i="94"/>
  <c r="CT95" i="94"/>
  <c r="CK95" i="94"/>
  <c r="CJ95" i="94"/>
  <c r="CF95" i="94"/>
  <c r="CE95" i="94"/>
  <c r="CS95" i="94"/>
  <c r="BZ95" i="94"/>
  <c r="CP95" i="94"/>
  <c r="CR95" i="94"/>
  <c r="CD95" i="94"/>
  <c r="CO95" i="94"/>
  <c r="CB95" i="94"/>
  <c r="CI95" i="94"/>
  <c r="CA95" i="94"/>
  <c r="CQ95" i="94"/>
  <c r="BY19" i="94"/>
  <c r="CT19" i="94"/>
  <c r="CC19" i="94"/>
  <c r="CQ19" i="94"/>
  <c r="CN19" i="94"/>
  <c r="CA19" i="94"/>
  <c r="CP19" i="94"/>
  <c r="CO19" i="94"/>
  <c r="CJ19" i="94"/>
  <c r="BZ19" i="94"/>
  <c r="CK19" i="94"/>
  <c r="CI19" i="94"/>
  <c r="CD19" i="94"/>
  <c r="CE19" i="94"/>
  <c r="CG19" i="94"/>
  <c r="CF19" i="94"/>
  <c r="CR19" i="94"/>
  <c r="CM19" i="94"/>
  <c r="CL19" i="94"/>
  <c r="CH19" i="94"/>
  <c r="CS19" i="94"/>
  <c r="CB19" i="94"/>
  <c r="BY153" i="94"/>
  <c r="CN153" i="94"/>
  <c r="CH153" i="94"/>
  <c r="CI153" i="94"/>
  <c r="CG153" i="94"/>
  <c r="CF153" i="94"/>
  <c r="CM153" i="94"/>
  <c r="CR153" i="94"/>
  <c r="CL153" i="94"/>
  <c r="CB153" i="94"/>
  <c r="CE153" i="94"/>
  <c r="CA153" i="94"/>
  <c r="CK153" i="94"/>
  <c r="CQ153" i="94"/>
  <c r="CS153" i="94"/>
  <c r="BZ153" i="94"/>
  <c r="CD153" i="94"/>
  <c r="CO153" i="94"/>
  <c r="CC153" i="94"/>
  <c r="CJ153" i="94"/>
  <c r="CT153" i="94"/>
  <c r="CP153" i="94"/>
  <c r="CN106" i="94"/>
  <c r="CG106" i="94"/>
  <c r="CC106" i="94"/>
  <c r="CD106" i="94"/>
  <c r="BY106" i="94"/>
  <c r="CS106" i="94"/>
  <c r="CQ106" i="94"/>
  <c r="CM106" i="94"/>
  <c r="CJ106" i="94"/>
  <c r="BZ106" i="94"/>
  <c r="CF106" i="94"/>
  <c r="CK106" i="94"/>
  <c r="CR106" i="94"/>
  <c r="CB106" i="94"/>
  <c r="CL106" i="94"/>
  <c r="CP106" i="94"/>
  <c r="CA106" i="94"/>
  <c r="CE106" i="94"/>
  <c r="CO106" i="94"/>
  <c r="CI106" i="94"/>
  <c r="CN123" i="94"/>
  <c r="CE123" i="94"/>
  <c r="CA123" i="94"/>
  <c r="CH123" i="94"/>
  <c r="CF123" i="94"/>
  <c r="CD123" i="94"/>
  <c r="CS123" i="94"/>
  <c r="CJ123" i="94"/>
  <c r="CR123" i="94"/>
  <c r="CT123" i="94"/>
  <c r="CB123" i="94"/>
  <c r="BY123" i="94"/>
  <c r="CM123" i="94"/>
  <c r="CO123" i="94"/>
  <c r="CC123" i="94"/>
  <c r="CQ123" i="94"/>
  <c r="CL123" i="94"/>
  <c r="CI123" i="94"/>
  <c r="CP123" i="94"/>
  <c r="CK123" i="94"/>
  <c r="BZ123" i="94"/>
  <c r="CG123" i="94"/>
  <c r="CL135" i="94"/>
  <c r="CR135" i="94"/>
  <c r="CN135" i="94"/>
  <c r="CT135" i="94"/>
  <c r="CG135" i="94"/>
  <c r="CM135" i="94"/>
  <c r="CJ135" i="94"/>
  <c r="CI135" i="94"/>
  <c r="CH135" i="94"/>
  <c r="CS135" i="94"/>
  <c r="CK135" i="94"/>
  <c r="CO135" i="94"/>
  <c r="CA135" i="94"/>
  <c r="CE135" i="94"/>
  <c r="BY135" i="94"/>
  <c r="CD135" i="94"/>
  <c r="CF135" i="94"/>
  <c r="CB135" i="94"/>
  <c r="CQ135" i="94"/>
  <c r="CC135" i="94"/>
  <c r="CP135" i="94"/>
  <c r="BZ135" i="94"/>
  <c r="CC138" i="94"/>
  <c r="CT138" i="94"/>
  <c r="CP138" i="94"/>
  <c r="CE138" i="94"/>
  <c r="CR138" i="94"/>
  <c r="CS138" i="94"/>
  <c r="CN138" i="94"/>
  <c r="CB138" i="94"/>
  <c r="BZ138" i="94"/>
  <c r="CQ138" i="94"/>
  <c r="CA138" i="94"/>
  <c r="CK138" i="94"/>
  <c r="CJ138" i="94"/>
  <c r="CL138" i="94"/>
  <c r="CH138" i="94"/>
  <c r="CO138" i="94"/>
  <c r="CM138" i="94"/>
  <c r="CI138" i="94"/>
  <c r="CG138" i="94"/>
  <c r="CD138" i="94"/>
  <c r="CF138" i="94"/>
  <c r="BY138" i="94"/>
  <c r="CQ154" i="94"/>
  <c r="CL154" i="94"/>
  <c r="CC154" i="94"/>
  <c r="CA154" i="94"/>
  <c r="CP154" i="94"/>
  <c r="BZ154" i="94"/>
  <c r="CT154" i="94"/>
  <c r="CH154" i="94"/>
  <c r="CS154" i="94"/>
  <c r="CB154" i="94"/>
  <c r="CG154" i="94"/>
  <c r="CO154" i="94"/>
  <c r="CD154" i="94"/>
  <c r="CM154" i="94"/>
  <c r="CR154" i="94"/>
  <c r="CJ154" i="94"/>
  <c r="CI154" i="94"/>
  <c r="CN154" i="94"/>
  <c r="CF154" i="94"/>
  <c r="CK154" i="94"/>
  <c r="CE154" i="94"/>
  <c r="BY154" i="94"/>
  <c r="CL100" i="94"/>
  <c r="CK100" i="94"/>
  <c r="CA100" i="94"/>
  <c r="CJ100" i="94"/>
  <c r="CC100" i="94"/>
  <c r="CI100" i="94"/>
  <c r="CS100" i="94"/>
  <c r="CH100" i="94"/>
  <c r="BY100" i="94"/>
  <c r="CT100" i="94"/>
  <c r="BZ100" i="94"/>
  <c r="CD100" i="94"/>
  <c r="CN100" i="94"/>
  <c r="CG100" i="94"/>
  <c r="CR100" i="94"/>
  <c r="CF100" i="94"/>
  <c r="CP100" i="94"/>
  <c r="CQ100" i="94"/>
  <c r="CO100" i="94"/>
  <c r="CE100" i="94"/>
  <c r="CM100" i="94"/>
  <c r="CB100" i="94"/>
  <c r="CK133" i="94"/>
  <c r="CS133" i="94"/>
  <c r="CF133" i="94"/>
  <c r="CI133" i="94"/>
  <c r="CE133" i="94"/>
  <c r="CG133" i="94"/>
  <c r="CD133" i="94"/>
  <c r="CN133" i="94"/>
  <c r="CJ133" i="94"/>
  <c r="CR133" i="94"/>
  <c r="CM133" i="94"/>
  <c r="CB133" i="94"/>
  <c r="CC133" i="94"/>
  <c r="CQ133" i="94"/>
  <c r="CT133" i="94"/>
  <c r="CA133" i="94"/>
  <c r="BZ133" i="94"/>
  <c r="CP133" i="94"/>
  <c r="CH133" i="94"/>
  <c r="CO133" i="94"/>
  <c r="CL133" i="94"/>
  <c r="BY133" i="94"/>
  <c r="BZ139" i="94"/>
  <c r="CA139" i="94"/>
  <c r="CM139" i="94"/>
  <c r="CS139" i="94"/>
  <c r="CL139" i="94"/>
  <c r="CH139" i="94"/>
  <c r="CF139" i="94"/>
  <c r="CG139" i="94"/>
  <c r="CN139" i="94"/>
  <c r="BY139" i="94"/>
  <c r="CJ139" i="94"/>
  <c r="CE139" i="94"/>
  <c r="CP139" i="94"/>
  <c r="CI139" i="94"/>
  <c r="CC139" i="94"/>
  <c r="CO139" i="94"/>
  <c r="CK139" i="94"/>
  <c r="CR139" i="94"/>
  <c r="CD139" i="94"/>
  <c r="CQ139" i="94"/>
  <c r="CT139" i="94"/>
  <c r="CB139" i="94"/>
  <c r="CB152" i="94"/>
  <c r="CA152" i="94"/>
  <c r="CR152" i="94"/>
  <c r="BY152" i="94"/>
  <c r="CQ152" i="94"/>
  <c r="CK152" i="94"/>
  <c r="CP152" i="94"/>
  <c r="BZ152" i="94"/>
  <c r="CG152" i="94"/>
  <c r="CN152" i="94"/>
  <c r="CC152" i="94"/>
  <c r="CM152" i="94"/>
  <c r="CH152" i="94"/>
  <c r="CL152" i="94"/>
  <c r="CT152" i="94"/>
  <c r="CJ152" i="94"/>
  <c r="CD152" i="94"/>
  <c r="CF152" i="94"/>
  <c r="CI152" i="94"/>
  <c r="CE152" i="94"/>
  <c r="CS152" i="94"/>
  <c r="CO152" i="94"/>
  <c r="CA98" i="94"/>
  <c r="BZ98" i="94"/>
  <c r="CN98" i="94"/>
  <c r="CL98" i="94"/>
  <c r="CS98" i="94"/>
  <c r="CR98" i="94"/>
  <c r="CO98" i="94"/>
  <c r="CE98" i="94"/>
  <c r="BY98" i="94"/>
  <c r="CK98" i="94"/>
  <c r="CH98" i="94"/>
  <c r="CT98" i="94"/>
  <c r="CM98" i="94"/>
  <c r="CQ98" i="94"/>
  <c r="CI98" i="94"/>
  <c r="CD98" i="94"/>
  <c r="CJ98" i="94"/>
  <c r="CC98" i="94"/>
  <c r="CG98" i="94"/>
  <c r="CB98" i="94"/>
  <c r="CF98" i="94"/>
  <c r="CP98" i="94"/>
  <c r="CG140" i="94"/>
  <c r="CF140" i="94"/>
  <c r="CR140" i="94"/>
  <c r="CA140" i="94"/>
  <c r="CT140" i="94"/>
  <c r="CS140" i="94"/>
  <c r="CN140" i="94"/>
  <c r="CM140" i="94"/>
  <c r="CK140" i="94"/>
  <c r="CD140" i="94"/>
  <c r="CE140" i="94"/>
  <c r="CP140" i="94"/>
  <c r="CI140" i="94"/>
  <c r="CB140" i="94"/>
  <c r="CC140" i="94"/>
  <c r="CO140" i="94"/>
  <c r="CQ140" i="94"/>
  <c r="CL140" i="94"/>
  <c r="BY140" i="94"/>
  <c r="CJ140" i="94"/>
  <c r="BZ140" i="94"/>
  <c r="CH140" i="94"/>
  <c r="CK151" i="94"/>
  <c r="CE151" i="94"/>
  <c r="CF151" i="94"/>
  <c r="CP151" i="94"/>
  <c r="CJ151" i="94"/>
  <c r="CO151" i="94"/>
  <c r="CC151" i="94"/>
  <c r="BY151" i="94"/>
  <c r="CH151" i="94"/>
  <c r="CD151" i="94"/>
  <c r="CR151" i="94"/>
  <c r="CM151" i="94"/>
  <c r="CG151" i="94"/>
  <c r="CT151" i="94"/>
  <c r="CB151" i="94"/>
  <c r="CS151" i="94"/>
  <c r="CQ151" i="94"/>
  <c r="CI151" i="94"/>
  <c r="CA151" i="94"/>
  <c r="BZ151" i="94"/>
  <c r="CL151" i="94"/>
  <c r="CN151" i="94"/>
  <c r="CR101" i="94"/>
  <c r="CQ101" i="94"/>
  <c r="CP101" i="94"/>
  <c r="CN101" i="94"/>
  <c r="BY101" i="94"/>
  <c r="CH101" i="94"/>
  <c r="CK101" i="94"/>
  <c r="CM101" i="94"/>
  <c r="CI101" i="94"/>
  <c r="CS101" i="94"/>
  <c r="CA101" i="94"/>
  <c r="CL101" i="94"/>
  <c r="CO101" i="94"/>
  <c r="CG101" i="94"/>
  <c r="CE101" i="94"/>
  <c r="CD101" i="94"/>
  <c r="CC101" i="94"/>
  <c r="CJ101" i="94"/>
  <c r="CB101" i="94"/>
  <c r="CF101" i="94"/>
  <c r="CT101" i="94"/>
  <c r="BZ101" i="94"/>
  <c r="BY137" i="94"/>
  <c r="CS137" i="94"/>
  <c r="CN137" i="94"/>
  <c r="CM137" i="94"/>
  <c r="CH137" i="94"/>
  <c r="CC137" i="94"/>
  <c r="CK137" i="94"/>
  <c r="CB137" i="94"/>
  <c r="CI137" i="94"/>
  <c r="CG137" i="94"/>
  <c r="CD137" i="94"/>
  <c r="CQ137" i="94"/>
  <c r="CT137" i="94"/>
  <c r="CA137" i="94"/>
  <c r="CE137" i="94"/>
  <c r="CF137" i="94"/>
  <c r="CR137" i="94"/>
  <c r="CJ137" i="94"/>
  <c r="BZ137" i="94"/>
  <c r="CL137" i="94"/>
  <c r="CO137" i="94"/>
  <c r="CP137" i="94"/>
  <c r="CS99" i="94"/>
  <c r="BY99" i="94"/>
  <c r="CO99" i="94"/>
  <c r="CP99" i="94"/>
  <c r="CH99" i="94"/>
  <c r="CJ99" i="94"/>
  <c r="CM99" i="94"/>
  <c r="CA99" i="94"/>
  <c r="CN99" i="94"/>
  <c r="CR99" i="94"/>
  <c r="CI99" i="94"/>
  <c r="BZ99" i="94"/>
  <c r="CT99" i="94"/>
  <c r="CL99" i="94"/>
  <c r="CG99" i="94"/>
  <c r="CK99" i="94"/>
  <c r="CF99" i="94"/>
  <c r="CE99" i="94"/>
  <c r="CD99" i="94"/>
  <c r="CQ99" i="94"/>
  <c r="CC99" i="94"/>
  <c r="CB99" i="94"/>
  <c r="CQ142" i="94"/>
  <c r="CK142" i="94"/>
  <c r="CD142" i="94"/>
  <c r="CO142" i="94"/>
  <c r="CA142" i="94"/>
  <c r="CJ142" i="94"/>
  <c r="CN142" i="94"/>
  <c r="CP142" i="94"/>
  <c r="CS142" i="94"/>
  <c r="CL142" i="94"/>
  <c r="CE142" i="94"/>
  <c r="CF142" i="94"/>
  <c r="CT142" i="94"/>
  <c r="CC142" i="94"/>
  <c r="CM142" i="94"/>
  <c r="CR142" i="94"/>
  <c r="CB142" i="94"/>
  <c r="CH142" i="94"/>
  <c r="BZ142" i="94"/>
  <c r="CG142" i="94"/>
  <c r="BY142" i="94"/>
  <c r="CF158" i="94"/>
  <c r="CA158" i="94"/>
  <c r="CB158" i="94"/>
  <c r="CH158" i="94"/>
  <c r="CT158" i="94"/>
  <c r="BY158" i="94"/>
  <c r="CQ158" i="94"/>
  <c r="CE158" i="94"/>
  <c r="CD158" i="94"/>
  <c r="CN158" i="94"/>
  <c r="CP158" i="94"/>
  <c r="CO158" i="94"/>
  <c r="CK158" i="94"/>
  <c r="BZ158" i="94"/>
  <c r="CJ158" i="94"/>
  <c r="CS158" i="94"/>
  <c r="CL158" i="94"/>
  <c r="CI158" i="94"/>
  <c r="CM158" i="94"/>
  <c r="CC158" i="94"/>
  <c r="CG158" i="94"/>
  <c r="CR158" i="94"/>
  <c r="CA143" i="94"/>
  <c r="BY143" i="94"/>
  <c r="BZ143" i="94"/>
  <c r="CC143" i="94"/>
  <c r="CM143" i="94"/>
  <c r="CB143" i="94"/>
  <c r="CI143" i="94"/>
  <c r="CP143" i="94"/>
  <c r="CK143" i="94"/>
  <c r="CH143" i="94"/>
  <c r="CO143" i="94"/>
  <c r="CE143" i="94"/>
  <c r="CJ143" i="94"/>
  <c r="CD143" i="94"/>
  <c r="CL143" i="94"/>
  <c r="CS143" i="94"/>
  <c r="CG143" i="94"/>
  <c r="CF143" i="94"/>
  <c r="CR143" i="94"/>
  <c r="CT143" i="94"/>
  <c r="CQ143" i="94"/>
  <c r="CN143" i="94"/>
  <c r="CP102" i="94"/>
  <c r="CH102" i="94"/>
  <c r="CN102" i="94"/>
  <c r="CB102" i="94"/>
  <c r="CO102" i="94"/>
  <c r="CM102" i="94"/>
  <c r="CS102" i="94"/>
  <c r="BZ102" i="94"/>
  <c r="CJ102" i="94"/>
  <c r="CA102" i="94"/>
  <c r="CC102" i="94"/>
  <c r="CL102" i="94"/>
  <c r="CI102" i="94"/>
  <c r="CK102" i="94"/>
  <c r="CG102" i="94"/>
  <c r="CE102" i="94"/>
  <c r="CR102" i="94"/>
  <c r="BY102" i="94"/>
  <c r="CF102" i="94"/>
  <c r="CT102" i="94"/>
  <c r="CD102" i="94"/>
  <c r="CQ102" i="94"/>
  <c r="CH141" i="94"/>
  <c r="CK141" i="94"/>
  <c r="CE141" i="94"/>
  <c r="CN141" i="94"/>
  <c r="CC141" i="94"/>
  <c r="CM141" i="94"/>
  <c r="CB141" i="94"/>
  <c r="CD141" i="94"/>
  <c r="CG141" i="94"/>
  <c r="CL141" i="94"/>
  <c r="CQ141" i="94"/>
  <c r="CS141" i="94"/>
  <c r="CF141" i="94"/>
  <c r="CA141" i="94"/>
  <c r="CT141" i="94"/>
  <c r="CP141" i="94"/>
  <c r="CR141" i="94"/>
  <c r="CO141" i="94"/>
  <c r="CJ141" i="94"/>
  <c r="BY141" i="94"/>
  <c r="CI141" i="94"/>
  <c r="BZ141" i="94"/>
  <c r="CA104" i="94"/>
  <c r="CR104" i="94"/>
  <c r="CJ104" i="94"/>
  <c r="CG104" i="94"/>
  <c r="CP104" i="94"/>
  <c r="CO104" i="94"/>
  <c r="CI104" i="94"/>
  <c r="CD104" i="94"/>
  <c r="CL104" i="94"/>
  <c r="CB104" i="94"/>
  <c r="CH104" i="94"/>
  <c r="CQ104" i="94"/>
  <c r="BZ104" i="94"/>
  <c r="CM104" i="94"/>
  <c r="CC104" i="94"/>
  <c r="CS104" i="94"/>
  <c r="CK104" i="94"/>
  <c r="CF104" i="94"/>
  <c r="CN104" i="94"/>
  <c r="BY104" i="94"/>
  <c r="CE104" i="94"/>
  <c r="CT104" i="94"/>
  <c r="CP149" i="94"/>
  <c r="CM149" i="94"/>
  <c r="BZ149" i="94"/>
  <c r="CE149" i="94"/>
  <c r="CD149" i="94"/>
  <c r="BY149" i="94"/>
  <c r="CN149" i="94"/>
  <c r="CR149" i="94"/>
  <c r="CK149" i="94"/>
  <c r="CH149" i="94"/>
  <c r="CS149" i="94"/>
  <c r="CO149" i="94"/>
  <c r="CJ149" i="94"/>
  <c r="CA149" i="94"/>
  <c r="CQ149" i="94"/>
  <c r="CG149" i="94"/>
  <c r="CF149" i="94"/>
  <c r="CL149" i="94"/>
  <c r="CB149" i="94"/>
  <c r="CC149" i="94"/>
  <c r="CI149" i="94"/>
  <c r="CT149" i="94"/>
  <c r="CR117" i="94"/>
  <c r="CJ117" i="94"/>
  <c r="CM117" i="94"/>
  <c r="CN117" i="94"/>
  <c r="CB117" i="94"/>
  <c r="CH117" i="94"/>
  <c r="CL117" i="94"/>
  <c r="CF117" i="94"/>
  <c r="CA117" i="94"/>
  <c r="BY117" i="94"/>
  <c r="CC117" i="94"/>
  <c r="CP117" i="94"/>
  <c r="CT117" i="94"/>
  <c r="BZ117" i="94"/>
  <c r="CO117" i="94"/>
  <c r="CK117" i="94"/>
  <c r="CS117" i="94"/>
  <c r="CE117" i="94"/>
  <c r="CD117" i="94"/>
  <c r="CQ117" i="94"/>
  <c r="CI117" i="94"/>
  <c r="CG117" i="94"/>
  <c r="CC164" i="94"/>
  <c r="CB164" i="94"/>
  <c r="CO164" i="94"/>
  <c r="CQ164" i="94"/>
  <c r="CA164" i="94"/>
  <c r="CK164" i="94"/>
  <c r="CE164" i="94"/>
  <c r="CH164" i="94"/>
  <c r="CR164" i="94"/>
  <c r="CL164" i="94"/>
  <c r="CD164" i="94"/>
  <c r="CF164" i="94"/>
  <c r="CP164" i="94"/>
  <c r="BZ164" i="94"/>
  <c r="BY164" i="94"/>
  <c r="CJ164" i="94"/>
  <c r="CM164" i="94"/>
  <c r="CN164" i="94"/>
  <c r="CS164" i="94"/>
  <c r="CI164" i="94"/>
  <c r="CT164" i="94"/>
  <c r="CG164" i="94"/>
  <c r="CR148" i="94"/>
  <c r="CT148" i="94"/>
  <c r="CL148" i="94"/>
  <c r="CB148" i="94"/>
  <c r="CQ148" i="94"/>
  <c r="CM148" i="94"/>
  <c r="CO148" i="94"/>
  <c r="CA148" i="94"/>
  <c r="CI148" i="94"/>
  <c r="CP148" i="94"/>
  <c r="CN148" i="94"/>
  <c r="CF148" i="94"/>
  <c r="CK148" i="94"/>
  <c r="CE148" i="94"/>
  <c r="CD148" i="94"/>
  <c r="CG148" i="94"/>
  <c r="BY148" i="94"/>
  <c r="CC148" i="94"/>
  <c r="CH148" i="94"/>
  <c r="CJ148" i="94"/>
  <c r="BZ148" i="94"/>
  <c r="CS148" i="94"/>
  <c r="CR121" i="94"/>
  <c r="CP121" i="94"/>
  <c r="CO121" i="94"/>
  <c r="CE121" i="94"/>
  <c r="BY121" i="94"/>
  <c r="CF121" i="94"/>
  <c r="CN121" i="94"/>
  <c r="CK121" i="94"/>
  <c r="CM121" i="94"/>
  <c r="CL121" i="94"/>
  <c r="CJ121" i="94"/>
  <c r="CS121" i="94"/>
  <c r="CC121" i="94"/>
  <c r="CI121" i="94"/>
  <c r="CB121" i="94"/>
  <c r="CG121" i="94"/>
  <c r="CD121" i="94"/>
  <c r="CH121" i="94"/>
  <c r="BZ121" i="94"/>
  <c r="CT121" i="94"/>
  <c r="CA121" i="94"/>
  <c r="CQ121" i="94"/>
  <c r="CF116" i="94"/>
  <c r="CN116" i="94"/>
  <c r="BZ116" i="94"/>
  <c r="CI116" i="94"/>
  <c r="CS116" i="94"/>
  <c r="CM116" i="94"/>
  <c r="BY116" i="94"/>
  <c r="CT116" i="94"/>
  <c r="CR116" i="94"/>
  <c r="CL116" i="94"/>
  <c r="CK116" i="94"/>
  <c r="CD116" i="94"/>
  <c r="CE116" i="94"/>
  <c r="CJ116" i="94"/>
  <c r="CC116" i="94"/>
  <c r="CH116" i="94"/>
  <c r="CQ116" i="94"/>
  <c r="CG116" i="94"/>
  <c r="CA116" i="94"/>
  <c r="CP116" i="94"/>
  <c r="CO116" i="94"/>
  <c r="CB116" i="94"/>
  <c r="CI155" i="94"/>
  <c r="CC155" i="94"/>
  <c r="CG155" i="94"/>
  <c r="CR155" i="94"/>
  <c r="CA155" i="94"/>
  <c r="CF155" i="94"/>
  <c r="CQ155" i="94"/>
  <c r="CB155" i="94"/>
  <c r="CM155" i="94"/>
  <c r="CP155" i="94"/>
  <c r="CH155" i="94"/>
  <c r="CO155" i="94"/>
  <c r="CD155" i="94"/>
  <c r="CE155" i="94"/>
  <c r="CS155" i="94"/>
  <c r="CN155" i="94"/>
  <c r="CL155" i="94"/>
  <c r="BZ155" i="94"/>
  <c r="CK155" i="94"/>
  <c r="BY155" i="94"/>
  <c r="CJ155" i="94"/>
  <c r="CT155" i="94"/>
  <c r="CR162" i="94"/>
  <c r="CF162" i="94"/>
  <c r="CE162" i="94"/>
  <c r="BZ162" i="94"/>
  <c r="CC162" i="94"/>
  <c r="CH162" i="94"/>
  <c r="CQ162" i="94"/>
  <c r="CA162" i="94"/>
  <c r="CG162" i="94"/>
  <c r="BY162" i="94"/>
  <c r="CN162" i="94"/>
  <c r="CD162" i="94"/>
  <c r="CM162" i="94"/>
  <c r="CP162" i="94"/>
  <c r="CI162" i="94"/>
  <c r="CT162" i="94"/>
  <c r="CO162" i="94"/>
  <c r="CL162" i="94"/>
  <c r="CB162" i="94"/>
  <c r="CK162" i="94"/>
  <c r="CS162" i="94"/>
  <c r="CJ162" i="94"/>
  <c r="CD150" i="94"/>
  <c r="CQ150" i="94"/>
  <c r="CA150" i="94"/>
  <c r="CB150" i="94"/>
  <c r="CS150" i="94"/>
  <c r="CP150" i="94"/>
  <c r="CG150" i="94"/>
  <c r="CN150" i="94"/>
  <c r="CC150" i="94"/>
  <c r="BZ150" i="94"/>
  <c r="BY150" i="94"/>
  <c r="CL150" i="94"/>
  <c r="CH150" i="94"/>
  <c r="CM150" i="94"/>
  <c r="CJ150" i="94"/>
  <c r="CK150" i="94"/>
  <c r="CR150" i="94"/>
  <c r="CI150" i="94"/>
  <c r="CE150" i="94"/>
  <c r="CF150" i="94"/>
  <c r="CT150" i="94"/>
  <c r="CO150" i="94"/>
  <c r="CE119" i="94"/>
  <c r="CG119" i="94"/>
  <c r="CR119" i="94"/>
  <c r="CH119" i="94"/>
  <c r="CO119" i="94"/>
  <c r="CF119" i="94"/>
  <c r="CQ119" i="94"/>
  <c r="CT119" i="94"/>
  <c r="BY119" i="94"/>
  <c r="CS119" i="94"/>
  <c r="CP119" i="94"/>
  <c r="CN119" i="94"/>
  <c r="CB119" i="94"/>
  <c r="CK119" i="94"/>
  <c r="CJ119" i="94"/>
  <c r="CD119" i="94"/>
  <c r="CA119" i="94"/>
  <c r="CL119" i="94"/>
  <c r="CI119" i="94"/>
  <c r="BZ119" i="94"/>
  <c r="CC119" i="94"/>
  <c r="CM119" i="94"/>
  <c r="CB156" i="94"/>
  <c r="CL156" i="94"/>
  <c r="CQ156" i="94"/>
  <c r="CH156" i="94"/>
  <c r="CF156" i="94"/>
  <c r="CT156" i="94"/>
  <c r="CI156" i="94"/>
  <c r="CG156" i="94"/>
  <c r="CP156" i="94"/>
  <c r="CD156" i="94"/>
  <c r="CK156" i="94"/>
  <c r="CO156" i="94"/>
  <c r="CJ156" i="94"/>
  <c r="CA156" i="94"/>
  <c r="CE156" i="94"/>
  <c r="CS156" i="94"/>
  <c r="BY156" i="94"/>
  <c r="BZ156" i="94"/>
  <c r="CC156" i="94"/>
  <c r="CN156" i="94"/>
  <c r="CR156" i="94"/>
  <c r="CM156" i="94"/>
  <c r="CK160" i="94"/>
  <c r="CA160" i="94"/>
  <c r="CP160" i="94"/>
  <c r="CB160" i="94"/>
  <c r="CM160" i="94"/>
  <c r="CJ160" i="94"/>
  <c r="CI160" i="94"/>
  <c r="CE160" i="94"/>
  <c r="CT160" i="94"/>
  <c r="CF160" i="94"/>
  <c r="CC160" i="94"/>
  <c r="BZ160" i="94"/>
  <c r="BY160" i="94"/>
  <c r="CN160" i="94"/>
  <c r="CQ160" i="94"/>
  <c r="CH160" i="94"/>
  <c r="CR160" i="94"/>
  <c r="CS160" i="94"/>
  <c r="CL160" i="94"/>
  <c r="CG160" i="94"/>
  <c r="CO160" i="94"/>
  <c r="CD160" i="94"/>
  <c r="CA147" i="94"/>
  <c r="CI147" i="94"/>
  <c r="CK147" i="94"/>
  <c r="CS147" i="94"/>
  <c r="CM147" i="94"/>
  <c r="CJ147" i="94"/>
  <c r="CD147" i="94"/>
  <c r="CT147" i="94"/>
  <c r="CH147" i="94"/>
  <c r="CE147" i="94"/>
  <c r="BZ147" i="94"/>
  <c r="CF147" i="94"/>
  <c r="CC147" i="94"/>
  <c r="BY147" i="94"/>
  <c r="CB147" i="94"/>
  <c r="CQ147" i="94"/>
  <c r="CG147" i="94"/>
  <c r="CN147" i="94"/>
  <c r="CR147" i="94"/>
  <c r="CP147" i="94"/>
  <c r="CL147" i="94"/>
  <c r="CO147" i="94"/>
  <c r="CO122" i="94"/>
  <c r="CR122" i="94"/>
  <c r="CK122" i="94"/>
  <c r="CS122" i="94"/>
  <c r="CJ122" i="94"/>
  <c r="CB122" i="94"/>
  <c r="CE122" i="94"/>
  <c r="CF122" i="94"/>
  <c r="CI122" i="94"/>
  <c r="CT122" i="94"/>
  <c r="CH122" i="94"/>
  <c r="CD122" i="94"/>
  <c r="CG122" i="94"/>
  <c r="CC122" i="94"/>
  <c r="BY122" i="94"/>
  <c r="CQ122" i="94"/>
  <c r="CN122" i="94"/>
  <c r="BZ122" i="94"/>
  <c r="CL122" i="94"/>
  <c r="CA122" i="94"/>
  <c r="CP122" i="94"/>
  <c r="CM122" i="94"/>
  <c r="BY157" i="94"/>
  <c r="CN157" i="94"/>
  <c r="CD157" i="94"/>
  <c r="CR157" i="94"/>
  <c r="CA157" i="94"/>
  <c r="CJ157" i="94"/>
  <c r="CS157" i="94"/>
  <c r="CI157" i="94"/>
  <c r="CM157" i="94"/>
  <c r="CH157" i="94"/>
  <c r="CL157" i="94"/>
  <c r="CB157" i="94"/>
  <c r="CK157" i="94"/>
  <c r="CG157" i="94"/>
  <c r="CQ157" i="94"/>
  <c r="CE157" i="94"/>
  <c r="CF157" i="94"/>
  <c r="CP157" i="94"/>
  <c r="CT157" i="94"/>
  <c r="BZ157" i="94"/>
  <c r="CC157" i="94"/>
  <c r="CO157" i="94"/>
  <c r="CD163" i="94"/>
  <c r="CQ163" i="94"/>
  <c r="CT163" i="94"/>
  <c r="CN163" i="94"/>
  <c r="CM163" i="94"/>
  <c r="CL163" i="94"/>
  <c r="CE163" i="94"/>
  <c r="CK163" i="94"/>
  <c r="CJ163" i="94"/>
  <c r="CS163" i="94"/>
  <c r="BZ163" i="94"/>
  <c r="CH163" i="94"/>
  <c r="CO163" i="94"/>
  <c r="CC163" i="94"/>
  <c r="CA163" i="94"/>
  <c r="BY163" i="94"/>
  <c r="CP163" i="94"/>
  <c r="CR163" i="94"/>
  <c r="CI163" i="94"/>
  <c r="CG163" i="94"/>
  <c r="CF163" i="94"/>
  <c r="CB163" i="94"/>
  <c r="CB146" i="94"/>
  <c r="CG146" i="94"/>
  <c r="CL146" i="94"/>
  <c r="CQ146" i="94"/>
  <c r="CA146" i="94"/>
  <c r="CH146" i="94"/>
  <c r="CI146" i="94"/>
  <c r="CE146" i="94"/>
  <c r="CJ146" i="94"/>
  <c r="BZ146" i="94"/>
  <c r="CF146" i="94"/>
  <c r="CO146" i="94"/>
  <c r="CC146" i="94"/>
  <c r="CN146" i="94"/>
  <c r="CM146" i="94"/>
  <c r="CP146" i="94"/>
  <c r="CS146" i="94"/>
  <c r="BY146" i="94"/>
  <c r="CK146" i="94"/>
  <c r="CT146" i="94"/>
  <c r="CD146" i="94"/>
  <c r="CR146" i="94"/>
  <c r="CG120" i="94"/>
  <c r="CL120" i="94"/>
  <c r="CJ120" i="94"/>
  <c r="CM120" i="94"/>
  <c r="CT120" i="94"/>
  <c r="CQ120" i="94"/>
  <c r="CD120" i="94"/>
  <c r="CA120" i="94"/>
  <c r="CS120" i="94"/>
  <c r="CC120" i="94"/>
  <c r="CR120" i="94"/>
  <c r="CP120" i="94"/>
  <c r="CF120" i="94"/>
  <c r="BY120" i="94"/>
  <c r="CN120" i="94"/>
  <c r="CH120" i="94"/>
  <c r="CK120" i="94"/>
  <c r="CB120" i="94"/>
  <c r="CI120" i="94"/>
  <c r="BZ120" i="94"/>
  <c r="CE120" i="94"/>
  <c r="CO120" i="94"/>
  <c r="BZ161" i="94"/>
  <c r="CN161" i="94"/>
  <c r="CO161" i="94"/>
  <c r="CG161" i="94"/>
  <c r="BY161" i="94"/>
  <c r="CL161" i="94"/>
  <c r="CJ161" i="94"/>
  <c r="CF161" i="94"/>
  <c r="CH161" i="94"/>
  <c r="CE161" i="94"/>
  <c r="CQ161" i="94"/>
  <c r="CK161" i="94"/>
  <c r="CD161" i="94"/>
  <c r="CM161" i="94"/>
  <c r="CS161" i="94"/>
  <c r="CI161" i="94"/>
  <c r="CC161" i="94"/>
  <c r="CA161" i="94"/>
  <c r="CR161" i="94"/>
  <c r="CT161" i="94"/>
  <c r="CB161" i="94"/>
  <c r="CP161" i="94"/>
  <c r="CN126" i="94"/>
  <c r="CH126" i="94"/>
  <c r="CT126" i="94"/>
  <c r="CF126" i="94"/>
  <c r="CO126" i="94"/>
  <c r="CD126" i="94"/>
  <c r="CS126" i="94"/>
  <c r="BY126" i="94"/>
  <c r="CM126" i="94"/>
  <c r="CJ126" i="94"/>
  <c r="CC126" i="94"/>
  <c r="CL126" i="94"/>
  <c r="CR126" i="94"/>
  <c r="CG126" i="94"/>
  <c r="CQ126" i="94"/>
  <c r="CK126" i="94"/>
  <c r="CA126" i="94"/>
  <c r="CE126" i="94"/>
  <c r="BZ126" i="94"/>
  <c r="CB126" i="94"/>
  <c r="CI126" i="94"/>
  <c r="CP126" i="94"/>
  <c r="CN144" i="94"/>
  <c r="CP144" i="94"/>
  <c r="CH144" i="94"/>
  <c r="CB144" i="94"/>
  <c r="CT144" i="94"/>
  <c r="CD144" i="94"/>
  <c r="CS144" i="94"/>
  <c r="CK144" i="94"/>
  <c r="CQ144" i="94"/>
  <c r="CJ144" i="94"/>
  <c r="CO144" i="94"/>
  <c r="CG144" i="94"/>
  <c r="CF144" i="94"/>
  <c r="CM144" i="94"/>
  <c r="CE144" i="94"/>
  <c r="CL144" i="94"/>
  <c r="CI144" i="94"/>
  <c r="CA144" i="94"/>
  <c r="BZ144" i="94"/>
  <c r="CR144" i="94"/>
  <c r="BY144" i="94"/>
  <c r="CC144" i="94"/>
  <c r="CH108" i="94"/>
  <c r="CP108" i="94"/>
  <c r="CK108" i="94"/>
  <c r="CB108" i="94"/>
  <c r="CF108" i="94"/>
  <c r="CQ108" i="94"/>
  <c r="CI108" i="94"/>
  <c r="CG108" i="94"/>
  <c r="CO108" i="94"/>
  <c r="CE108" i="94"/>
  <c r="CT108" i="94"/>
  <c r="CA108" i="94"/>
  <c r="CM108" i="94"/>
  <c r="BY108" i="94"/>
  <c r="CD108" i="94"/>
  <c r="CN108" i="94"/>
  <c r="BZ108" i="94"/>
  <c r="CR108" i="94"/>
  <c r="CL108" i="94"/>
  <c r="CS108" i="94"/>
  <c r="CJ108" i="94"/>
  <c r="CC108" i="94"/>
  <c r="CD128" i="94"/>
  <c r="CI128" i="94"/>
  <c r="CC128" i="94"/>
  <c r="CM128" i="94"/>
  <c r="CK128" i="94"/>
  <c r="CB128" i="94"/>
  <c r="BY128" i="94"/>
  <c r="BZ128" i="94"/>
  <c r="CL128" i="94"/>
  <c r="CO128" i="94"/>
  <c r="CP128" i="94"/>
  <c r="CG128" i="94"/>
  <c r="CT128" i="94"/>
  <c r="CQ128" i="94"/>
  <c r="CS128" i="94"/>
  <c r="CE128" i="94"/>
  <c r="CR128" i="94"/>
  <c r="CN128" i="94"/>
  <c r="CJ128" i="94"/>
  <c r="CH128" i="94"/>
  <c r="CA128" i="94"/>
  <c r="CF128" i="94"/>
  <c r="CF145" i="94"/>
  <c r="BY145" i="94"/>
  <c r="CE145" i="94"/>
  <c r="CO145" i="94"/>
  <c r="CM145" i="94"/>
  <c r="CH145" i="94"/>
  <c r="CT145" i="94"/>
  <c r="CK145" i="94"/>
  <c r="CD145" i="94"/>
  <c r="CS145" i="94"/>
  <c r="CR145" i="94"/>
  <c r="CC145" i="94"/>
  <c r="CP145" i="94"/>
  <c r="CN145" i="94"/>
  <c r="CQ145" i="94"/>
  <c r="CI145" i="94"/>
  <c r="CA145" i="94"/>
  <c r="BZ145" i="94"/>
  <c r="CG145" i="94"/>
  <c r="CJ145" i="94"/>
  <c r="CL145" i="94"/>
  <c r="CB145" i="94"/>
  <c r="CB105" i="94"/>
  <c r="BY105" i="94"/>
  <c r="CC105" i="94"/>
  <c r="CP105" i="94"/>
  <c r="CT105" i="94"/>
  <c r="CK105" i="94"/>
  <c r="CI105" i="94"/>
  <c r="CD105" i="94"/>
  <c r="CO105" i="94"/>
  <c r="CN105" i="94"/>
  <c r="CL105" i="94"/>
  <c r="CA105" i="94"/>
  <c r="CH105" i="94"/>
  <c r="CE105" i="94"/>
  <c r="BZ105" i="94"/>
  <c r="CR105" i="94"/>
  <c r="CS105" i="94"/>
  <c r="CJ105" i="94"/>
  <c r="CF105" i="94"/>
  <c r="CM105" i="94"/>
  <c r="CG105" i="94"/>
  <c r="CQ105" i="94"/>
  <c r="CQ132" i="94"/>
  <c r="CG132" i="94"/>
  <c r="CA132" i="94"/>
  <c r="BY132" i="94"/>
  <c r="CB132" i="94"/>
  <c r="BZ132" i="94"/>
  <c r="CD132" i="94"/>
  <c r="CN132" i="94"/>
  <c r="CC132" i="94"/>
  <c r="CT132" i="94"/>
  <c r="CO132" i="94"/>
  <c r="CE132" i="94"/>
  <c r="CF132" i="94"/>
  <c r="CS132" i="94"/>
  <c r="CM132" i="94"/>
  <c r="CL132" i="94"/>
  <c r="CK132" i="94"/>
  <c r="CP132" i="94"/>
  <c r="CJ132" i="94"/>
  <c r="CI132" i="94"/>
  <c r="CH132" i="94"/>
  <c r="CR132" i="94"/>
  <c r="CQ125" i="94"/>
  <c r="CE125" i="94"/>
  <c r="CT125" i="94"/>
  <c r="CI125" i="94"/>
  <c r="CL125" i="94"/>
  <c r="CM125" i="94"/>
  <c r="CN125" i="94"/>
  <c r="CK125" i="94"/>
  <c r="CJ125" i="94"/>
  <c r="CH125" i="94"/>
  <c r="CG125" i="94"/>
  <c r="CF125" i="94"/>
  <c r="CB125" i="94"/>
  <c r="BZ125" i="94"/>
  <c r="CD125" i="94"/>
  <c r="CS125" i="94"/>
  <c r="CO125" i="94"/>
  <c r="CP125" i="94"/>
  <c r="CR125" i="94"/>
  <c r="BY125" i="94"/>
  <c r="CC125" i="94"/>
  <c r="CA125" i="94"/>
  <c r="CI134" i="94"/>
  <c r="CB134" i="94"/>
  <c r="CT134" i="94"/>
  <c r="CA134" i="94"/>
  <c r="CD134" i="94"/>
  <c r="CP134" i="94"/>
  <c r="CN134" i="94"/>
  <c r="CF134" i="94"/>
  <c r="CO134" i="94"/>
  <c r="BZ134" i="94"/>
  <c r="CG134" i="94"/>
  <c r="CE134" i="94"/>
  <c r="CK134" i="94"/>
  <c r="BY134" i="94"/>
  <c r="CJ134" i="94"/>
  <c r="CM134" i="94"/>
  <c r="CS134" i="94"/>
  <c r="CH134" i="94"/>
  <c r="CC134" i="94"/>
  <c r="CL134" i="94"/>
  <c r="CR134" i="94"/>
  <c r="CQ134" i="94"/>
  <c r="CT107" i="94"/>
  <c r="CN107" i="94"/>
  <c r="CS107" i="94"/>
  <c r="CJ107" i="94"/>
  <c r="BY107" i="94"/>
  <c r="CG107" i="94"/>
  <c r="CD107" i="94"/>
  <c r="CI107" i="94"/>
  <c r="CC107" i="94"/>
  <c r="CK107" i="94"/>
  <c r="CB107" i="94"/>
  <c r="CF107" i="94"/>
  <c r="CR107" i="94"/>
  <c r="CQ107" i="94"/>
  <c r="CM107" i="94"/>
  <c r="CP107" i="94"/>
  <c r="CH107" i="94"/>
  <c r="BZ107" i="94"/>
  <c r="CO107" i="94"/>
  <c r="CL107" i="94"/>
  <c r="CE107" i="94"/>
  <c r="CA107" i="94"/>
  <c r="CL127" i="94"/>
  <c r="CE127" i="94"/>
  <c r="CT127" i="94"/>
  <c r="BZ127" i="94"/>
  <c r="CJ127" i="94"/>
  <c r="CF127" i="94"/>
  <c r="CD127" i="94"/>
  <c r="CQ127" i="94"/>
  <c r="CI127" i="94"/>
  <c r="CG127" i="94"/>
  <c r="CS127" i="94"/>
  <c r="CB127" i="94"/>
  <c r="CH127" i="94"/>
  <c r="CK127" i="94"/>
  <c r="CC127" i="94"/>
  <c r="CA127" i="94"/>
  <c r="CR127" i="94"/>
  <c r="CO127" i="94"/>
  <c r="CP127" i="94"/>
  <c r="BY127" i="94"/>
  <c r="CN127" i="94"/>
  <c r="CM127" i="94"/>
  <c r="CG131" i="94"/>
  <c r="BZ131" i="94"/>
  <c r="CJ131" i="94"/>
  <c r="CA131" i="94"/>
  <c r="CE131" i="94"/>
  <c r="CI131" i="94"/>
  <c r="CT131" i="94"/>
  <c r="CD131" i="94"/>
  <c r="CC131" i="94"/>
  <c r="CO131" i="94"/>
  <c r="BY131" i="94"/>
  <c r="CK131" i="94"/>
  <c r="CN131" i="94"/>
  <c r="CH131" i="94"/>
  <c r="CR131" i="94"/>
  <c r="CF131" i="94"/>
  <c r="CM131" i="94"/>
  <c r="CS131" i="94"/>
  <c r="CB131" i="94"/>
  <c r="CP131" i="94"/>
  <c r="CL131" i="94"/>
  <c r="CQ131" i="94"/>
  <c r="CO124" i="94"/>
  <c r="BY124" i="94"/>
  <c r="CN124" i="94"/>
  <c r="CT124" i="94"/>
  <c r="CH124" i="94"/>
  <c r="BZ124" i="94"/>
  <c r="CM124" i="94"/>
  <c r="CJ124" i="94"/>
  <c r="CI124" i="94"/>
  <c r="CR124" i="94"/>
  <c r="CC124" i="94"/>
  <c r="CL124" i="94"/>
  <c r="CK124" i="94"/>
  <c r="CG124" i="94"/>
  <c r="CF124" i="94"/>
  <c r="CS124" i="94"/>
  <c r="CP124" i="94"/>
  <c r="CA124" i="94"/>
  <c r="CD124" i="94"/>
  <c r="CQ124" i="94"/>
  <c r="CB124" i="94"/>
  <c r="CE124" i="94"/>
  <c r="CP136" i="94"/>
  <c r="CJ136" i="94"/>
  <c r="CO136" i="94"/>
  <c r="CR136" i="94"/>
  <c r="CI136" i="94"/>
  <c r="BZ136" i="94"/>
  <c r="CE136" i="94"/>
  <c r="CM136" i="94"/>
  <c r="CB136" i="94"/>
  <c r="CL136" i="94"/>
  <c r="CF136" i="94"/>
  <c r="CG136" i="94"/>
  <c r="BY136" i="94"/>
  <c r="CK136" i="94"/>
  <c r="CN136" i="94"/>
  <c r="CA136" i="94"/>
  <c r="CQ136" i="94"/>
  <c r="CD136" i="94"/>
  <c r="CH136" i="94"/>
  <c r="CS136" i="94"/>
  <c r="CC136" i="94"/>
  <c r="CT136" i="94"/>
  <c r="CP159" i="94"/>
  <c r="CA159" i="94"/>
  <c r="BY159" i="94"/>
  <c r="CH159" i="94"/>
  <c r="CR159" i="94"/>
  <c r="CN159" i="94"/>
  <c r="CE159" i="94"/>
  <c r="CL159" i="94"/>
  <c r="CB159" i="94"/>
  <c r="CF159" i="94"/>
  <c r="BZ159" i="94"/>
  <c r="CJ159" i="94"/>
  <c r="CD159" i="94"/>
  <c r="CK159" i="94"/>
  <c r="CS159" i="94"/>
  <c r="CT159" i="94"/>
  <c r="CC159" i="94"/>
  <c r="CM159" i="94"/>
  <c r="CG159" i="94"/>
  <c r="CI159" i="94"/>
  <c r="CO159" i="94"/>
  <c r="CQ159" i="94"/>
  <c r="CM112" i="94"/>
  <c r="CL112" i="94"/>
  <c r="CQ112" i="94"/>
  <c r="CK112" i="94"/>
  <c r="BY112" i="94"/>
  <c r="CE112" i="94"/>
  <c r="CN112" i="94"/>
  <c r="CT112" i="94"/>
  <c r="CH112" i="94"/>
  <c r="CB112" i="94"/>
  <c r="CA112" i="94"/>
  <c r="CF112" i="94"/>
  <c r="CC112" i="94"/>
  <c r="CD112" i="94"/>
  <c r="CR112" i="94"/>
  <c r="CI112" i="94"/>
  <c r="BZ112" i="94"/>
  <c r="CJ112" i="94"/>
  <c r="CO112" i="94"/>
  <c r="CS112" i="94"/>
  <c r="CG112" i="94"/>
  <c r="CP112" i="94"/>
  <c r="CS115" i="94"/>
  <c r="CB115" i="94"/>
  <c r="CT115" i="94"/>
  <c r="CN115" i="94"/>
  <c r="CR115" i="94"/>
  <c r="CG115" i="94"/>
  <c r="CD115" i="94"/>
  <c r="BY115" i="94"/>
  <c r="CQ115" i="94"/>
  <c r="CJ115" i="94"/>
  <c r="CL115" i="94"/>
  <c r="CC115" i="94"/>
  <c r="CA115" i="94"/>
  <c r="CH115" i="94"/>
  <c r="CP115" i="94"/>
  <c r="CF115" i="94"/>
  <c r="BZ115" i="94"/>
  <c r="CI115" i="94"/>
  <c r="CM115" i="94"/>
  <c r="CK115" i="94"/>
  <c r="CO115" i="94"/>
  <c r="CE115" i="94"/>
  <c r="CQ114" i="94"/>
  <c r="CJ114" i="94"/>
  <c r="CA114" i="94"/>
  <c r="CE114" i="94"/>
  <c r="CI114" i="94"/>
  <c r="CK114" i="94"/>
  <c r="CH114" i="94"/>
  <c r="CO114" i="94"/>
  <c r="BZ114" i="94"/>
  <c r="CN114" i="94"/>
  <c r="CL114" i="94"/>
  <c r="CC114" i="94"/>
  <c r="CF114" i="94"/>
  <c r="CB114" i="94"/>
  <c r="CD114" i="94"/>
  <c r="CG114" i="94"/>
  <c r="CS114" i="94"/>
  <c r="CM114" i="94"/>
  <c r="CT114" i="94"/>
  <c r="BY114" i="94"/>
  <c r="CR114" i="94"/>
  <c r="CP114" i="94"/>
  <c r="CF111" i="94"/>
  <c r="CO111" i="94"/>
  <c r="CT111" i="94"/>
  <c r="CG111" i="94"/>
  <c r="CC111" i="94"/>
  <c r="CP111" i="94"/>
  <c r="CM111" i="94"/>
  <c r="CN111" i="94"/>
  <c r="CB111" i="94"/>
  <c r="BY111" i="94"/>
  <c r="CL111" i="94"/>
  <c r="BZ111" i="94"/>
  <c r="CA111" i="94"/>
  <c r="CE111" i="94"/>
  <c r="CK111" i="94"/>
  <c r="CD111" i="94"/>
  <c r="CJ111" i="94"/>
  <c r="CS111" i="94"/>
  <c r="CQ111" i="94"/>
  <c r="CI111" i="94"/>
  <c r="CH111" i="94"/>
  <c r="CR111" i="94"/>
  <c r="CC113" i="94"/>
  <c r="CL113" i="94"/>
  <c r="CJ113" i="94"/>
  <c r="CR113" i="94"/>
  <c r="CK113" i="94"/>
  <c r="CB113" i="94"/>
  <c r="CF113" i="94"/>
  <c r="CN113" i="94"/>
  <c r="CA113" i="94"/>
  <c r="CE113" i="94"/>
  <c r="CP113" i="94"/>
  <c r="CO113" i="94"/>
  <c r="BY113" i="94"/>
  <c r="CH113" i="94"/>
  <c r="BZ113" i="94"/>
  <c r="CG113" i="94"/>
  <c r="CM113" i="94"/>
  <c r="CD113" i="94"/>
  <c r="CS113" i="94"/>
  <c r="CT113" i="94"/>
  <c r="CI113" i="94"/>
  <c r="CQ113" i="94"/>
  <c r="CM109" i="94"/>
  <c r="CL109" i="94"/>
  <c r="CK109" i="94"/>
  <c r="CH109" i="94"/>
  <c r="CR109" i="94"/>
  <c r="CT109" i="94"/>
  <c r="CI109" i="94"/>
  <c r="CB109" i="94"/>
  <c r="CQ109" i="94"/>
  <c r="CD109" i="94"/>
  <c r="CJ109" i="94"/>
  <c r="CP109" i="94"/>
  <c r="CC109" i="94"/>
  <c r="CS109" i="94"/>
  <c r="CG109" i="94"/>
  <c r="BY109" i="94"/>
  <c r="CF109" i="94"/>
  <c r="CE109" i="94"/>
  <c r="CN109" i="94"/>
  <c r="CO109" i="94"/>
  <c r="CA109" i="94"/>
  <c r="BZ109" i="94"/>
  <c r="DJ70" i="94" l="1"/>
  <c r="DF52" i="94"/>
  <c r="DE70" i="94"/>
  <c r="DK8" i="94"/>
  <c r="DI70" i="94"/>
  <c r="DN8" i="94"/>
  <c r="AY121" i="94"/>
  <c r="AS19" i="94"/>
  <c r="AU77" i="94"/>
  <c r="AR121" i="94"/>
  <c r="AP19" i="94"/>
  <c r="AZ77" i="94"/>
  <c r="BT145" i="94"/>
  <c r="BA161" i="94"/>
  <c r="AN47" i="94"/>
  <c r="BX131" i="94"/>
  <c r="BQ109" i="94"/>
  <c r="DN76" i="94"/>
  <c r="DD76" i="94"/>
  <c r="CY32" i="94"/>
  <c r="DB32" i="94"/>
  <c r="DC32" i="94"/>
  <c r="DO32" i="94"/>
  <c r="DJ76" i="94"/>
  <c r="DI76" i="94"/>
  <c r="DD32" i="94"/>
  <c r="DB76" i="94"/>
  <c r="DH76" i="94"/>
  <c r="DE32" i="94"/>
  <c r="DP76" i="94"/>
  <c r="DA32" i="94"/>
  <c r="DG76" i="94"/>
  <c r="DH32" i="94"/>
  <c r="DA76" i="94"/>
  <c r="DF32" i="94"/>
  <c r="DC76" i="94"/>
  <c r="DI32" i="94"/>
  <c r="DE76" i="94"/>
  <c r="DN32" i="94"/>
  <c r="DK76" i="94"/>
  <c r="DJ32" i="94"/>
  <c r="CW76" i="94"/>
  <c r="DG32" i="94"/>
  <c r="CV76" i="94"/>
  <c r="CZ32" i="94"/>
  <c r="DK32" i="94"/>
  <c r="CU32" i="94"/>
  <c r="BT58" i="94"/>
  <c r="DF93" i="94"/>
  <c r="BL46" i="94"/>
  <c r="EC66" i="94"/>
  <c r="EC83" i="94"/>
  <c r="EL89" i="94"/>
  <c r="DZ89" i="94"/>
  <c r="EG44" i="94"/>
  <c r="DV61" i="94"/>
  <c r="EG61" i="94"/>
  <c r="EA84" i="94"/>
  <c r="AM144" i="94"/>
  <c r="AU147" i="94"/>
  <c r="AG147" i="94"/>
  <c r="AP108" i="94"/>
  <c r="AU121" i="94"/>
  <c r="AV161" i="94"/>
  <c r="AT161" i="94"/>
  <c r="AL65" i="94"/>
  <c r="AR19" i="94"/>
  <c r="AK19" i="94"/>
  <c r="AJ47" i="94"/>
  <c r="AI32" i="94"/>
  <c r="AM77" i="94"/>
  <c r="AJ77" i="94"/>
  <c r="BP131" i="94"/>
  <c r="BG100" i="94"/>
  <c r="BC145" i="94"/>
  <c r="BC109" i="94"/>
  <c r="BO137" i="94"/>
  <c r="BQ58" i="94"/>
  <c r="BI77" i="94"/>
  <c r="CY34" i="94"/>
  <c r="DW144" i="94"/>
  <c r="EH144" i="94"/>
  <c r="DR66" i="94"/>
  <c r="DR83" i="94"/>
  <c r="DQ83" i="94"/>
  <c r="DQ89" i="94"/>
  <c r="DU44" i="94"/>
  <c r="DW61" i="94"/>
  <c r="DU61" i="94"/>
  <c r="EF84" i="94"/>
  <c r="AS144" i="94"/>
  <c r="AW147" i="94"/>
  <c r="AK147" i="94"/>
  <c r="AV108" i="94"/>
  <c r="AH121" i="94"/>
  <c r="AV121" i="94"/>
  <c r="AO161" i="94"/>
  <c r="BB65" i="94"/>
  <c r="AM19" i="94"/>
  <c r="BA19" i="94"/>
  <c r="AZ47" i="94"/>
  <c r="AY32" i="94"/>
  <c r="AN77" i="94"/>
  <c r="AK77" i="94"/>
  <c r="BK131" i="94"/>
  <c r="BH100" i="94"/>
  <c r="BF100" i="94"/>
  <c r="BD145" i="94"/>
  <c r="BF109" i="94"/>
  <c r="BL109" i="94"/>
  <c r="BQ137" i="94"/>
  <c r="BP58" i="94"/>
  <c r="BK46" i="94"/>
  <c r="DJ93" i="94"/>
  <c r="DB54" i="94"/>
  <c r="DN54" i="94"/>
  <c r="DC17" i="94"/>
  <c r="DN17" i="94"/>
  <c r="EB151" i="94"/>
  <c r="DR151" i="94"/>
  <c r="DS123" i="94"/>
  <c r="EK161" i="94"/>
  <c r="EA161" i="94"/>
  <c r="EK144" i="94"/>
  <c r="EJ66" i="94"/>
  <c r="EL83" i="94"/>
  <c r="EJ83" i="94"/>
  <c r="EB89" i="94"/>
  <c r="EB44" i="94"/>
  <c r="DS61" i="94"/>
  <c r="EB61" i="94"/>
  <c r="DS84" i="94"/>
  <c r="AK144" i="94"/>
  <c r="AH144" i="94"/>
  <c r="AH147" i="94"/>
  <c r="AW108" i="94"/>
  <c r="AK121" i="94"/>
  <c r="AS121" i="94"/>
  <c r="AQ161" i="94"/>
  <c r="AY65" i="94"/>
  <c r="AT19" i="94"/>
  <c r="AQ19" i="94"/>
  <c r="AO47" i="94"/>
  <c r="AS32" i="94"/>
  <c r="AM32" i="94"/>
  <c r="AT77" i="94"/>
  <c r="BL131" i="94"/>
  <c r="BO100" i="94"/>
  <c r="BV100" i="94"/>
  <c r="BF145" i="94"/>
  <c r="BD109" i="94"/>
  <c r="BV109" i="94"/>
  <c r="BR137" i="94"/>
  <c r="BI58" i="94"/>
  <c r="BU58" i="94"/>
  <c r="BR46" i="94"/>
  <c r="CX110" i="94"/>
  <c r="DW151" i="94"/>
  <c r="DV151" i="94"/>
  <c r="EF123" i="94"/>
  <c r="DW161" i="94"/>
  <c r="DX161" i="94"/>
  <c r="EE144" i="94"/>
  <c r="EI66" i="94"/>
  <c r="EH83" i="94"/>
  <c r="EF83" i="94"/>
  <c r="DR89" i="94"/>
  <c r="EA44" i="94"/>
  <c r="EK61" i="94"/>
  <c r="DR61" i="94"/>
  <c r="ED84" i="94"/>
  <c r="BA144" i="94"/>
  <c r="AL144" i="94"/>
  <c r="AZ147" i="94"/>
  <c r="AI108" i="94"/>
  <c r="AL121" i="94"/>
  <c r="AW121" i="94"/>
  <c r="AU161" i="94"/>
  <c r="AM65" i="94"/>
  <c r="AU19" i="94"/>
  <c r="AL19" i="94"/>
  <c r="AK47" i="94"/>
  <c r="AT32" i="94"/>
  <c r="AN32" i="94"/>
  <c r="AO77" i="94"/>
  <c r="BR131" i="94"/>
  <c r="BK100" i="94"/>
  <c r="BL100" i="94"/>
  <c r="BU145" i="94"/>
  <c r="BX109" i="94"/>
  <c r="BM109" i="94"/>
  <c r="BF137" i="94"/>
  <c r="BV58" i="94"/>
  <c r="BR58" i="94"/>
  <c r="BX46" i="94"/>
  <c r="DL110" i="94"/>
  <c r="DF54" i="94"/>
  <c r="DI54" i="94"/>
  <c r="DH17" i="94"/>
  <c r="CW17" i="94"/>
  <c r="ED151" i="94"/>
  <c r="EI123" i="94"/>
  <c r="ED161" i="94"/>
  <c r="EH161" i="94"/>
  <c r="EC144" i="94"/>
  <c r="EA66" i="94"/>
  <c r="EK83" i="94"/>
  <c r="EA83" i="94"/>
  <c r="DU89" i="94"/>
  <c r="EC44" i="94"/>
  <c r="DQ44" i="94"/>
  <c r="DY61" i="94"/>
  <c r="DX84" i="94"/>
  <c r="AT144" i="94"/>
  <c r="BB144" i="94"/>
  <c r="AY147" i="94"/>
  <c r="AX108" i="94"/>
  <c r="AO121" i="94"/>
  <c r="AI121" i="94"/>
  <c r="AZ161" i="94"/>
  <c r="AU65" i="94"/>
  <c r="AN65" i="94"/>
  <c r="AV19" i="94"/>
  <c r="AP47" i="94"/>
  <c r="AU32" i="94"/>
  <c r="AO32" i="94"/>
  <c r="AV77" i="94"/>
  <c r="BM131" i="94"/>
  <c r="BS100" i="94"/>
  <c r="BP145" i="94"/>
  <c r="BN109" i="94"/>
  <c r="BK109" i="94"/>
  <c r="BI137" i="94"/>
  <c r="BE58" i="94"/>
  <c r="BD58" i="94"/>
  <c r="DN137" i="94"/>
  <c r="CZ54" i="94"/>
  <c r="DA54" i="94"/>
  <c r="DP17" i="94"/>
  <c r="DJ17" i="94"/>
  <c r="DX151" i="94"/>
  <c r="DZ123" i="94"/>
  <c r="EG161" i="94"/>
  <c r="DV161" i="94"/>
  <c r="DY144" i="94"/>
  <c r="DS66" i="94"/>
  <c r="DW83" i="94"/>
  <c r="EG83" i="94"/>
  <c r="EA89" i="94"/>
  <c r="EK44" i="94"/>
  <c r="EI44" i="94"/>
  <c r="EL61" i="94"/>
  <c r="DQ84" i="94"/>
  <c r="AZ144" i="94"/>
  <c r="AJ144" i="94"/>
  <c r="BA147" i="94"/>
  <c r="AL108" i="94"/>
  <c r="AX121" i="94"/>
  <c r="BB121" i="94"/>
  <c r="AR161" i="94"/>
  <c r="AV65" i="94"/>
  <c r="AO65" i="94"/>
  <c r="AG19" i="94"/>
  <c r="BA47" i="94"/>
  <c r="AV32" i="94"/>
  <c r="AP32" i="94"/>
  <c r="AP77" i="94"/>
  <c r="BE131" i="94"/>
  <c r="BW100" i="94"/>
  <c r="BO145" i="94"/>
  <c r="BO109" i="94"/>
  <c r="BS109" i="94"/>
  <c r="BS137" i="94"/>
  <c r="BC58" i="94"/>
  <c r="BF58" i="94"/>
  <c r="CZ137" i="94"/>
  <c r="DK54" i="94"/>
  <c r="DH54" i="94"/>
  <c r="DI17" i="94"/>
  <c r="DA17" i="94"/>
  <c r="CT106" i="94"/>
  <c r="CA69" i="94"/>
  <c r="CA78" i="94"/>
  <c r="EJ151" i="94"/>
  <c r="EK123" i="94"/>
  <c r="DQ161" i="94"/>
  <c r="DU161" i="94"/>
  <c r="EB144" i="94"/>
  <c r="DU66" i="94"/>
  <c r="EK66" i="94"/>
  <c r="DV83" i="94"/>
  <c r="EC89" i="94"/>
  <c r="DR44" i="94"/>
  <c r="DT44" i="94"/>
  <c r="EI61" i="94"/>
  <c r="DY84" i="94"/>
  <c r="AR144" i="94"/>
  <c r="AW144" i="94"/>
  <c r="AM147" i="94"/>
  <c r="AS108" i="94"/>
  <c r="AJ108" i="94"/>
  <c r="AT121" i="94"/>
  <c r="BB161" i="94"/>
  <c r="AJ65" i="94"/>
  <c r="AP65" i="94"/>
  <c r="AW19" i="94"/>
  <c r="AQ47" i="94"/>
  <c r="BA32" i="94"/>
  <c r="AQ32" i="94"/>
  <c r="AG77" i="94"/>
  <c r="BH131" i="94"/>
  <c r="BN131" i="94"/>
  <c r="BM100" i="94"/>
  <c r="BG145" i="94"/>
  <c r="BT109" i="94"/>
  <c r="BL137" i="94"/>
  <c r="BJ58" i="94"/>
  <c r="DK137" i="94"/>
  <c r="DO100" i="94"/>
  <c r="CV54" i="94"/>
  <c r="DE54" i="94"/>
  <c r="DF17" i="94"/>
  <c r="DG17" i="94"/>
  <c r="EE151" i="94"/>
  <c r="DQ123" i="94"/>
  <c r="DR161" i="94"/>
  <c r="EC161" i="94"/>
  <c r="EF144" i="94"/>
  <c r="EF66" i="94"/>
  <c r="EE66" i="94"/>
  <c r="DX83" i="94"/>
  <c r="EG89" i="94"/>
  <c r="DV44" i="94"/>
  <c r="DS44" i="94"/>
  <c r="EE61" i="94"/>
  <c r="EJ84" i="94"/>
  <c r="AU144" i="94"/>
  <c r="AI144" i="94"/>
  <c r="AV147" i="94"/>
  <c r="BB108" i="94"/>
  <c r="BA108" i="94"/>
  <c r="AJ121" i="94"/>
  <c r="AP161" i="94"/>
  <c r="AG65" i="94"/>
  <c r="AQ65" i="94"/>
  <c r="AH19" i="94"/>
  <c r="AL47" i="94"/>
  <c r="AG32" i="94"/>
  <c r="AR32" i="94"/>
  <c r="AQ77" i="94"/>
  <c r="BJ131" i="94"/>
  <c r="BC131" i="94"/>
  <c r="BX100" i="94"/>
  <c r="BE145" i="94"/>
  <c r="BI109" i="94"/>
  <c r="BJ137" i="94"/>
  <c r="BH58" i="94"/>
  <c r="CU137" i="94"/>
  <c r="CW54" i="94"/>
  <c r="CU17" i="94"/>
  <c r="DY151" i="94"/>
  <c r="DY123" i="94"/>
  <c r="EH123" i="94"/>
  <c r="EE161" i="94"/>
  <c r="EG144" i="94"/>
  <c r="DW66" i="94"/>
  <c r="DV66" i="94"/>
  <c r="ED83" i="94"/>
  <c r="DS89" i="94"/>
  <c r="DW44" i="94"/>
  <c r="EH44" i="94"/>
  <c r="DX61" i="94"/>
  <c r="DT84" i="94"/>
  <c r="EG84" i="94"/>
  <c r="AQ144" i="94"/>
  <c r="AQ147" i="94"/>
  <c r="AT108" i="94"/>
  <c r="AZ108" i="94"/>
  <c r="AZ121" i="94"/>
  <c r="AY161" i="94"/>
  <c r="AT65" i="94"/>
  <c r="AR65" i="94"/>
  <c r="AX19" i="94"/>
  <c r="AV47" i="94"/>
  <c r="AR47" i="94"/>
  <c r="AZ32" i="94"/>
  <c r="AW77" i="94"/>
  <c r="BQ131" i="94"/>
  <c r="BD131" i="94"/>
  <c r="BQ100" i="94"/>
  <c r="BL145" i="94"/>
  <c r="BH145" i="94"/>
  <c r="BP109" i="94"/>
  <c r="BT137" i="94"/>
  <c r="BG58" i="94"/>
  <c r="BO12" i="94"/>
  <c r="DI106" i="94"/>
  <c r="DL54" i="94"/>
  <c r="DB17" i="94"/>
  <c r="EF151" i="94"/>
  <c r="EB123" i="94"/>
  <c r="DR123" i="94"/>
  <c r="DS161" i="94"/>
  <c r="ED144" i="94"/>
  <c r="DQ66" i="94"/>
  <c r="EL66" i="94"/>
  <c r="DZ83" i="94"/>
  <c r="EF89" i="94"/>
  <c r="EL44" i="94"/>
  <c r="DX44" i="94"/>
  <c r="DQ61" i="94"/>
  <c r="EB84" i="94"/>
  <c r="DU84" i="94"/>
  <c r="AN144" i="94"/>
  <c r="AX147" i="94"/>
  <c r="AQ108" i="94"/>
  <c r="AG108" i="94"/>
  <c r="BA121" i="94"/>
  <c r="AG161" i="94"/>
  <c r="BA65" i="94"/>
  <c r="AS65" i="94"/>
  <c r="AI19" i="94"/>
  <c r="AG47" i="94"/>
  <c r="BB47" i="94"/>
  <c r="AW32" i="94"/>
  <c r="AR77" i="94"/>
  <c r="BW131" i="94"/>
  <c r="BT131" i="94"/>
  <c r="BR100" i="94"/>
  <c r="BR145" i="94"/>
  <c r="BX145" i="94"/>
  <c r="BG109" i="94"/>
  <c r="BD137" i="94"/>
  <c r="BS58" i="94"/>
  <c r="BI12" i="94"/>
  <c r="DN106" i="94"/>
  <c r="DM54" i="94"/>
  <c r="DK17" i="94"/>
  <c r="DZ151" i="94"/>
  <c r="EG123" i="94"/>
  <c r="DU123" i="94"/>
  <c r="EI161" i="94"/>
  <c r="DS144" i="94"/>
  <c r="DZ66" i="94"/>
  <c r="EB66" i="94"/>
  <c r="EE83" i="94"/>
  <c r="DV89" i="94"/>
  <c r="DT89" i="94"/>
  <c r="DY44" i="94"/>
  <c r="EC61" i="94"/>
  <c r="EC84" i="94"/>
  <c r="DR84" i="94"/>
  <c r="AP144" i="94"/>
  <c r="AL147" i="94"/>
  <c r="AH108" i="94"/>
  <c r="AO108" i="94"/>
  <c r="AM121" i="94"/>
  <c r="AM161" i="94"/>
  <c r="AJ161" i="94"/>
  <c r="AW65" i="94"/>
  <c r="AY19" i="94"/>
  <c r="AW47" i="94"/>
  <c r="AS47" i="94"/>
  <c r="AK32" i="94"/>
  <c r="AH77" i="94"/>
  <c r="BS131" i="94"/>
  <c r="BI131" i="94"/>
  <c r="BD100" i="94"/>
  <c r="BS145" i="94"/>
  <c r="BI145" i="94"/>
  <c r="BU109" i="94"/>
  <c r="BX137" i="94"/>
  <c r="BU137" i="94"/>
  <c r="BW58" i="94"/>
  <c r="BJ7" i="94"/>
  <c r="DF106" i="94"/>
  <c r="CX54" i="94"/>
  <c r="CY17" i="94"/>
  <c r="DQ151" i="94"/>
  <c r="EJ123" i="94"/>
  <c r="EA123" i="94"/>
  <c r="DT161" i="94"/>
  <c r="DZ144" i="94"/>
  <c r="DY66" i="94"/>
  <c r="DX66" i="94"/>
  <c r="EB83" i="94"/>
  <c r="ED89" i="94"/>
  <c r="EH89" i="94"/>
  <c r="EJ44" i="94"/>
  <c r="EH61" i="94"/>
  <c r="DZ84" i="94"/>
  <c r="EK84" i="94"/>
  <c r="AY144" i="94"/>
  <c r="AI147" i="94"/>
  <c r="AN108" i="94"/>
  <c r="AK108" i="94"/>
  <c r="AG121" i="94"/>
  <c r="AK161" i="94"/>
  <c r="AS161" i="94"/>
  <c r="AK65" i="94"/>
  <c r="AJ19" i="94"/>
  <c r="AH47" i="94"/>
  <c r="AM47" i="94"/>
  <c r="AH32" i="94"/>
  <c r="AS77" i="94"/>
  <c r="BO131" i="94"/>
  <c r="BU131" i="94"/>
  <c r="BP100" i="94"/>
  <c r="BK145" i="94"/>
  <c r="BJ145" i="94"/>
  <c r="BR109" i="94"/>
  <c r="BK137" i="94"/>
  <c r="BG137" i="94"/>
  <c r="BL58" i="94"/>
  <c r="BM7" i="94"/>
  <c r="DM106" i="94"/>
  <c r="DD54" i="94"/>
  <c r="CV17" i="94"/>
  <c r="EA151" i="94"/>
  <c r="EL123" i="94"/>
  <c r="DX123" i="94"/>
  <c r="EJ161" i="94"/>
  <c r="EI144" i="94"/>
  <c r="EL144" i="94"/>
  <c r="ED66" i="94"/>
  <c r="EI83" i="94"/>
  <c r="DW89" i="94"/>
  <c r="EI89" i="94"/>
  <c r="ED44" i="94"/>
  <c r="DZ61" i="94"/>
  <c r="EL84" i="94"/>
  <c r="EH84" i="94"/>
  <c r="AX144" i="94"/>
  <c r="AR147" i="94"/>
  <c r="AN147" i="94"/>
  <c r="AM108" i="94"/>
  <c r="AN121" i="94"/>
  <c r="AW161" i="94"/>
  <c r="AN161" i="94"/>
  <c r="AH65" i="94"/>
  <c r="AN19" i="94"/>
  <c r="AX47" i="94"/>
  <c r="AT47" i="94"/>
  <c r="AJ32" i="94"/>
  <c r="AL77" i="94"/>
  <c r="AX77" i="94"/>
  <c r="BG131" i="94"/>
  <c r="BT100" i="94"/>
  <c r="BV145" i="94"/>
  <c r="BQ145" i="94"/>
  <c r="BW109" i="94"/>
  <c r="BW137" i="94"/>
  <c r="BE137" i="94"/>
  <c r="BM58" i="94"/>
  <c r="DB153" i="94"/>
  <c r="CY54" i="94"/>
  <c r="DD17" i="94"/>
  <c r="DV123" i="94"/>
  <c r="EB161" i="94"/>
  <c r="DU144" i="94"/>
  <c r="DR144" i="94"/>
  <c r="EG66" i="94"/>
  <c r="DS83" i="94"/>
  <c r="EJ89" i="94"/>
  <c r="DY89" i="94"/>
  <c r="EF44" i="94"/>
  <c r="EF61" i="94"/>
  <c r="EE84" i="94"/>
  <c r="DV84" i="94"/>
  <c r="AO144" i="94"/>
  <c r="AT147" i="94"/>
  <c r="BB147" i="94"/>
  <c r="AR108" i="94"/>
  <c r="AQ121" i="94"/>
  <c r="AL161" i="94"/>
  <c r="AI161" i="94"/>
  <c r="AZ65" i="94"/>
  <c r="AZ19" i="94"/>
  <c r="AI47" i="94"/>
  <c r="AU47" i="94"/>
  <c r="AX32" i="94"/>
  <c r="BA77" i="94"/>
  <c r="AI77" i="94"/>
  <c r="BV131" i="94"/>
  <c r="BN100" i="94"/>
  <c r="BW145" i="94"/>
  <c r="BE109" i="94"/>
  <c r="BM137" i="94"/>
  <c r="BC137" i="94"/>
  <c r="BN58" i="94"/>
  <c r="DK153" i="94"/>
  <c r="DC54" i="94"/>
  <c r="DM17" i="94"/>
  <c r="DT144" i="94"/>
  <c r="DX89" i="94"/>
  <c r="EJ61" i="94"/>
  <c r="AS147" i="94"/>
  <c r="AH161" i="94"/>
  <c r="BB19" i="94"/>
  <c r="BB77" i="94"/>
  <c r="BU100" i="94"/>
  <c r="BN145" i="94"/>
  <c r="BH109" i="94"/>
  <c r="BN137" i="94"/>
  <c r="BO58" i="94"/>
  <c r="BF77" i="94"/>
  <c r="BH7" i="94"/>
  <c r="BS46" i="94"/>
  <c r="BE46" i="94"/>
  <c r="BT12" i="94"/>
  <c r="BO77" i="94"/>
  <c r="CY137" i="94"/>
  <c r="DL137" i="94"/>
  <c r="DH153" i="94"/>
  <c r="CY110" i="94"/>
  <c r="DG110" i="94"/>
  <c r="DJ106" i="94"/>
  <c r="DL93" i="94"/>
  <c r="BR7" i="94"/>
  <c r="BC46" i="94"/>
  <c r="BU46" i="94"/>
  <c r="BN12" i="94"/>
  <c r="BJ77" i="94"/>
  <c r="DA137" i="94"/>
  <c r="DP137" i="94"/>
  <c r="DM153" i="94"/>
  <c r="DO110" i="94"/>
  <c r="CU110" i="94"/>
  <c r="DA106" i="94"/>
  <c r="DM93" i="94"/>
  <c r="BK58" i="94"/>
  <c r="BN7" i="94"/>
  <c r="BN46" i="94"/>
  <c r="BJ46" i="94"/>
  <c r="BE12" i="94"/>
  <c r="BV77" i="94"/>
  <c r="BP77" i="94"/>
  <c r="DI137" i="94"/>
  <c r="CV153" i="94"/>
  <c r="DE110" i="94"/>
  <c r="DN110" i="94"/>
  <c r="DP106" i="94"/>
  <c r="DN93" i="94"/>
  <c r="BC100" i="94"/>
  <c r="BH137" i="94"/>
  <c r="BS7" i="94"/>
  <c r="BI46" i="94"/>
  <c r="BQ46" i="94"/>
  <c r="BR12" i="94"/>
  <c r="BG77" i="94"/>
  <c r="BK77" i="94"/>
  <c r="DB137" i="94"/>
  <c r="CX153" i="94"/>
  <c r="DA110" i="94"/>
  <c r="DH110" i="94"/>
  <c r="DD106" i="94"/>
  <c r="CV93" i="94"/>
  <c r="DF10" i="94"/>
  <c r="BV7" i="94"/>
  <c r="BO7" i="94"/>
  <c r="BD46" i="94"/>
  <c r="BP12" i="94"/>
  <c r="BS77" i="94"/>
  <c r="BQ77" i="94"/>
  <c r="DM137" i="94"/>
  <c r="DJ153" i="94"/>
  <c r="DF110" i="94"/>
  <c r="DP110" i="94"/>
  <c r="DK106" i="94"/>
  <c r="DC93" i="94"/>
  <c r="DP93" i="94"/>
  <c r="DA10" i="94"/>
  <c r="BL7" i="94"/>
  <c r="BC7" i="94"/>
  <c r="BF46" i="94"/>
  <c r="BG12" i="94"/>
  <c r="BW77" i="94"/>
  <c r="BL77" i="94"/>
  <c r="DC137" i="94"/>
  <c r="DD153" i="94"/>
  <c r="DC110" i="94"/>
  <c r="CV110" i="94"/>
  <c r="DB106" i="94"/>
  <c r="DD93" i="94"/>
  <c r="CY93" i="94"/>
  <c r="BX7" i="94"/>
  <c r="BU7" i="94"/>
  <c r="BT46" i="94"/>
  <c r="BQ12" i="94"/>
  <c r="BD77" i="94"/>
  <c r="BR77" i="94"/>
  <c r="DH137" i="94"/>
  <c r="CZ153" i="94"/>
  <c r="DN153" i="94"/>
  <c r="DI110" i="94"/>
  <c r="DC106" i="94"/>
  <c r="DH93" i="94"/>
  <c r="DA93" i="94"/>
  <c r="BP7" i="94"/>
  <c r="BT7" i="94"/>
  <c r="BG46" i="94"/>
  <c r="BC12" i="94"/>
  <c r="BH77" i="94"/>
  <c r="BM77" i="94"/>
  <c r="DF137" i="94"/>
  <c r="DL153" i="94"/>
  <c r="DA153" i="94"/>
  <c r="DB110" i="94"/>
  <c r="CU106" i="94"/>
  <c r="DB93" i="94"/>
  <c r="BG7" i="94"/>
  <c r="BF7" i="94"/>
  <c r="BM46" i="94"/>
  <c r="BM12" i="94"/>
  <c r="BD12" i="94"/>
  <c r="BT77" i="94"/>
  <c r="DJ137" i="94"/>
  <c r="DC153" i="94"/>
  <c r="CY153" i="94"/>
  <c r="DK110" i="94"/>
  <c r="CV106" i="94"/>
  <c r="CU93" i="94"/>
  <c r="DK26" i="94"/>
  <c r="BQ7" i="94"/>
  <c r="BE7" i="94"/>
  <c r="BO46" i="94"/>
  <c r="BW12" i="94"/>
  <c r="BS12" i="94"/>
  <c r="BC77" i="94"/>
  <c r="DG137" i="94"/>
  <c r="DF153" i="94"/>
  <c r="DG153" i="94"/>
  <c r="DJ110" i="94"/>
  <c r="CX106" i="94"/>
  <c r="CW93" i="94"/>
  <c r="DE26" i="94"/>
  <c r="BI7" i="94"/>
  <c r="BV46" i="94"/>
  <c r="BH12" i="94"/>
  <c r="BV12" i="94"/>
  <c r="BE77" i="94"/>
  <c r="DD137" i="94"/>
  <c r="DP153" i="94"/>
  <c r="DO153" i="94"/>
  <c r="CZ110" i="94"/>
  <c r="CY106" i="94"/>
  <c r="DG106" i="94"/>
  <c r="DK93" i="94"/>
  <c r="CX26" i="94"/>
  <c r="BK7" i="94"/>
  <c r="BW46" i="94"/>
  <c r="BX12" i="94"/>
  <c r="BU12" i="94"/>
  <c r="BX77" i="94"/>
  <c r="CV137" i="94"/>
  <c r="CW153" i="94"/>
  <c r="CU153" i="94"/>
  <c r="DM110" i="94"/>
  <c r="DO106" i="94"/>
  <c r="CZ106" i="94"/>
  <c r="CZ93" i="94"/>
  <c r="DK100" i="94"/>
  <c r="BW7" i="94"/>
  <c r="BP46" i="94"/>
  <c r="BL12" i="94"/>
  <c r="BF12" i="94"/>
  <c r="BU77" i="94"/>
  <c r="CW137" i="94"/>
  <c r="DO137" i="94"/>
  <c r="DE153" i="94"/>
  <c r="DD110" i="94"/>
  <c r="DH106" i="94"/>
  <c r="DL106" i="94"/>
  <c r="CX93" i="94"/>
  <c r="CY100" i="94"/>
  <c r="CY16" i="94"/>
  <c r="BJ12" i="94"/>
  <c r="DE137" i="94"/>
  <c r="DE106" i="94"/>
  <c r="DE93" i="94"/>
  <c r="DA100" i="94"/>
  <c r="CW16" i="94"/>
  <c r="CL34" i="94"/>
  <c r="EB98" i="94"/>
  <c r="CK103" i="94"/>
  <c r="EL135" i="94"/>
  <c r="BW154" i="94"/>
  <c r="CW100" i="94"/>
  <c r="DG100" i="94"/>
  <c r="DM10" i="94"/>
  <c r="CY26" i="94"/>
  <c r="DO26" i="94"/>
  <c r="DD16" i="94"/>
  <c r="DG93" i="94"/>
  <c r="CZ100" i="94"/>
  <c r="DH100" i="94"/>
  <c r="CW10" i="94"/>
  <c r="CW26" i="94"/>
  <c r="DI26" i="94"/>
  <c r="DG16" i="94"/>
  <c r="DM100" i="94"/>
  <c r="DO10" i="94"/>
  <c r="CZ26" i="94"/>
  <c r="DF26" i="94"/>
  <c r="DE16" i="94"/>
  <c r="CX100" i="94"/>
  <c r="DB10" i="94"/>
  <c r="DB26" i="94"/>
  <c r="CU26" i="94"/>
  <c r="DI16" i="94"/>
  <c r="EI32" i="94"/>
  <c r="DI93" i="94"/>
  <c r="DC100" i="94"/>
  <c r="DJ10" i="94"/>
  <c r="DM26" i="94"/>
  <c r="DP26" i="94"/>
  <c r="DJ16" i="94"/>
  <c r="DB100" i="94"/>
  <c r="DE10" i="94"/>
  <c r="DJ26" i="94"/>
  <c r="DF16" i="94"/>
  <c r="AT6" i="94"/>
  <c r="DL100" i="94"/>
  <c r="CY10" i="94"/>
  <c r="DG10" i="94"/>
  <c r="DC26" i="94"/>
  <c r="DC16" i="94"/>
  <c r="DB16" i="94"/>
  <c r="DD100" i="94"/>
  <c r="DL10" i="94"/>
  <c r="DC10" i="94"/>
  <c r="DD26" i="94"/>
  <c r="CU16" i="94"/>
  <c r="DK16" i="94"/>
  <c r="CV100" i="94"/>
  <c r="CZ10" i="94"/>
  <c r="DK10" i="94"/>
  <c r="DL26" i="94"/>
  <c r="DP16" i="94"/>
  <c r="DM16" i="94"/>
  <c r="DE100" i="94"/>
  <c r="CX10" i="94"/>
  <c r="DH10" i="94"/>
  <c r="DG26" i="94"/>
  <c r="CV16" i="94"/>
  <c r="DH16" i="94"/>
  <c r="DP100" i="94"/>
  <c r="DI10" i="94"/>
  <c r="DD10" i="94"/>
  <c r="DA26" i="94"/>
  <c r="DA16" i="94"/>
  <c r="CZ16" i="94"/>
  <c r="CU100" i="94"/>
  <c r="DN10" i="94"/>
  <c r="CV10" i="94"/>
  <c r="CV26" i="94"/>
  <c r="DN16" i="94"/>
  <c r="CX16" i="94"/>
  <c r="DI100" i="94"/>
  <c r="DN100" i="94"/>
  <c r="DP10" i="94"/>
  <c r="DN26" i="94"/>
  <c r="DO16" i="94"/>
  <c r="DK34" i="94"/>
  <c r="AN137" i="94"/>
  <c r="DJ100" i="94"/>
  <c r="DE34" i="94"/>
  <c r="CB103" i="94"/>
  <c r="CC34" i="94"/>
  <c r="EA135" i="94"/>
  <c r="EI98" i="94"/>
  <c r="EF32" i="94"/>
  <c r="AG137" i="94"/>
  <c r="AQ6" i="94"/>
  <c r="BF154" i="94"/>
  <c r="BX21" i="94"/>
  <c r="CX38" i="94"/>
  <c r="DF70" i="94"/>
  <c r="DC70" i="94"/>
  <c r="DF8" i="94"/>
  <c r="CX52" i="94"/>
  <c r="DA70" i="94"/>
  <c r="DH8" i="94"/>
  <c r="CT118" i="94"/>
  <c r="CH53" i="94"/>
  <c r="EE111" i="94"/>
  <c r="DR71" i="94"/>
  <c r="EL20" i="94"/>
  <c r="AZ164" i="94"/>
  <c r="AV22" i="94"/>
  <c r="BH106" i="94"/>
  <c r="DF38" i="94"/>
  <c r="DD38" i="94"/>
  <c r="CV70" i="94"/>
  <c r="CW8" i="94"/>
  <c r="CS118" i="94"/>
  <c r="CB53" i="94"/>
  <c r="EL111" i="94"/>
  <c r="EJ71" i="94"/>
  <c r="EG20" i="94"/>
  <c r="BA164" i="94"/>
  <c r="AQ22" i="94"/>
  <c r="BV106" i="94"/>
  <c r="DE38" i="94"/>
  <c r="DH38" i="94"/>
  <c r="DP70" i="94"/>
  <c r="DI8" i="94"/>
  <c r="CC129" i="94"/>
  <c r="CZ38" i="94"/>
  <c r="CV38" i="94"/>
  <c r="DG70" i="94"/>
  <c r="DO8" i="94"/>
  <c r="CU8" i="94"/>
  <c r="CS110" i="94"/>
  <c r="CM110" i="94"/>
  <c r="CM129" i="94"/>
  <c r="CU38" i="94"/>
  <c r="DO38" i="94"/>
  <c r="DD70" i="94"/>
  <c r="DM8" i="94"/>
  <c r="CV8" i="94"/>
  <c r="BZ110" i="94"/>
  <c r="BZ129" i="94"/>
  <c r="CH13" i="94"/>
  <c r="CK61" i="94"/>
  <c r="EH132" i="94"/>
  <c r="EE34" i="94"/>
  <c r="AR99" i="94"/>
  <c r="AQ62" i="94"/>
  <c r="AV84" i="94"/>
  <c r="BM161" i="94"/>
  <c r="DG38" i="94"/>
  <c r="DL70" i="94"/>
  <c r="DG8" i="94"/>
  <c r="DL8" i="94"/>
  <c r="CJ110" i="94"/>
  <c r="CR129" i="94"/>
  <c r="CK13" i="94"/>
  <c r="BZ61" i="94"/>
  <c r="DT132" i="94"/>
  <c r="DZ34" i="94"/>
  <c r="AS99" i="94"/>
  <c r="AG62" i="94"/>
  <c r="AQ84" i="94"/>
  <c r="DP38" i="94"/>
  <c r="DH70" i="94"/>
  <c r="CY8" i="94"/>
  <c r="DP8" i="94"/>
  <c r="CR110" i="94"/>
  <c r="DI38" i="94"/>
  <c r="CW70" i="94"/>
  <c r="CX8" i="94"/>
  <c r="DB8" i="94"/>
  <c r="CK110" i="94"/>
  <c r="CY38" i="94"/>
  <c r="DK70" i="94"/>
  <c r="CZ8" i="94"/>
  <c r="DC8" i="94"/>
  <c r="CH130" i="94"/>
  <c r="CH27" i="94"/>
  <c r="EH153" i="94"/>
  <c r="EB25" i="94"/>
  <c r="AP158" i="94"/>
  <c r="AG131" i="94"/>
  <c r="AW25" i="94"/>
  <c r="BV135" i="94"/>
  <c r="DJ38" i="94"/>
  <c r="CU70" i="94"/>
  <c r="DM70" i="94"/>
  <c r="DJ8" i="94"/>
  <c r="CS130" i="94"/>
  <c r="CL27" i="94"/>
  <c r="EB153" i="94"/>
  <c r="DU25" i="94"/>
  <c r="AM158" i="94"/>
  <c r="AR131" i="94"/>
  <c r="AU25" i="94"/>
  <c r="BI135" i="94"/>
  <c r="CW38" i="94"/>
  <c r="CY70" i="94"/>
  <c r="CZ70" i="94"/>
  <c r="DD8" i="94"/>
  <c r="DI52" i="94"/>
  <c r="DK38" i="94"/>
  <c r="DB70" i="94"/>
  <c r="CX70" i="94"/>
  <c r="DA8" i="94"/>
  <c r="DK52" i="94"/>
  <c r="DO70" i="94"/>
  <c r="DN52" i="94"/>
  <c r="CD110" i="94"/>
  <c r="CG110" i="94"/>
  <c r="CN129" i="94"/>
  <c r="CB129" i="94"/>
  <c r="CQ118" i="94"/>
  <c r="CM118" i="94"/>
  <c r="CL103" i="94"/>
  <c r="CP103" i="94"/>
  <c r="CP130" i="94"/>
  <c r="CM130" i="94"/>
  <c r="CP13" i="94"/>
  <c r="CS13" i="94"/>
  <c r="CC53" i="94"/>
  <c r="CM53" i="94"/>
  <c r="CF34" i="94"/>
  <c r="CB34" i="94"/>
  <c r="CC27" i="94"/>
  <c r="BZ27" i="94"/>
  <c r="CQ61" i="94"/>
  <c r="CC61" i="94"/>
  <c r="DX111" i="94"/>
  <c r="DZ111" i="94"/>
  <c r="EB135" i="94"/>
  <c r="ED135" i="94"/>
  <c r="EG153" i="94"/>
  <c r="DQ153" i="94"/>
  <c r="DS132" i="94"/>
  <c r="EB132" i="94"/>
  <c r="EI71" i="94"/>
  <c r="DS71" i="94"/>
  <c r="EK98" i="94"/>
  <c r="EG98" i="94"/>
  <c r="EK25" i="94"/>
  <c r="ED25" i="94"/>
  <c r="EK34" i="94"/>
  <c r="DV34" i="94"/>
  <c r="DV20" i="94"/>
  <c r="EJ20" i="94"/>
  <c r="DX32" i="94"/>
  <c r="EJ32" i="94"/>
  <c r="AR158" i="94"/>
  <c r="AY158" i="94"/>
  <c r="AL99" i="94"/>
  <c r="AZ99" i="94"/>
  <c r="AR164" i="94"/>
  <c r="AN164" i="94"/>
  <c r="AS137" i="94"/>
  <c r="AI137" i="94"/>
  <c r="AV131" i="94"/>
  <c r="AM131" i="94"/>
  <c r="AX62" i="94"/>
  <c r="AP62" i="94"/>
  <c r="AJ22" i="94"/>
  <c r="AR22" i="94"/>
  <c r="AU6" i="94"/>
  <c r="AL6" i="94"/>
  <c r="AI25" i="94"/>
  <c r="AO25" i="94"/>
  <c r="AH84" i="94"/>
  <c r="AM84" i="94"/>
  <c r="BL106" i="94"/>
  <c r="BF106" i="94"/>
  <c r="BV154" i="94"/>
  <c r="BO154" i="94"/>
  <c r="BC135" i="94"/>
  <c r="BP135" i="94"/>
  <c r="BC161" i="94"/>
  <c r="CL110" i="94"/>
  <c r="CB118" i="94"/>
  <c r="CS103" i="94"/>
  <c r="CI130" i="94"/>
  <c r="BZ13" i="94"/>
  <c r="CS53" i="94"/>
  <c r="CI34" i="94"/>
  <c r="CM27" i="94"/>
  <c r="CF61" i="94"/>
  <c r="EJ111" i="94"/>
  <c r="DR135" i="94"/>
  <c r="DT153" i="94"/>
  <c r="EE132" i="94"/>
  <c r="DT71" i="94"/>
  <c r="EC98" i="94"/>
  <c r="EE25" i="94"/>
  <c r="ED34" i="94"/>
  <c r="DW20" i="94"/>
  <c r="DZ32" i="94"/>
  <c r="AT158" i="94"/>
  <c r="AO99" i="94"/>
  <c r="AU164" i="94"/>
  <c r="AT137" i="94"/>
  <c r="AW131" i="94"/>
  <c r="AT62" i="94"/>
  <c r="AG22" i="94"/>
  <c r="AV6" i="94"/>
  <c r="AX25" i="94"/>
  <c r="AW84" i="94"/>
  <c r="BM106" i="94"/>
  <c r="BH154" i="94"/>
  <c r="BG135" i="94"/>
  <c r="BW161" i="94"/>
  <c r="CE110" i="94"/>
  <c r="CD129" i="94"/>
  <c r="CK118" i="94"/>
  <c r="CF103" i="94"/>
  <c r="CJ130" i="94"/>
  <c r="CQ13" i="94"/>
  <c r="CT53" i="94"/>
  <c r="CG34" i="94"/>
  <c r="CS27" i="94"/>
  <c r="CL61" i="94"/>
  <c r="EG111" i="94"/>
  <c r="DZ135" i="94"/>
  <c r="DR153" i="94"/>
  <c r="DW132" i="94"/>
  <c r="DY71" i="94"/>
  <c r="EL98" i="94"/>
  <c r="EL25" i="94"/>
  <c r="DQ34" i="94"/>
  <c r="EI20" i="94"/>
  <c r="EK32" i="94"/>
  <c r="AU158" i="94"/>
  <c r="BB99" i="94"/>
  <c r="AS164" i="94"/>
  <c r="AJ137" i="94"/>
  <c r="BB131" i="94"/>
  <c r="AI62" i="94"/>
  <c r="AK22" i="94"/>
  <c r="AG6" i="94"/>
  <c r="AJ25" i="94"/>
  <c r="AI84" i="94"/>
  <c r="BS106" i="94"/>
  <c r="BM154" i="94"/>
  <c r="BJ135" i="94"/>
  <c r="BN161" i="94"/>
  <c r="BE65" i="94"/>
  <c r="CP129" i="94"/>
  <c r="CA129" i="94"/>
  <c r="CF118" i="94"/>
  <c r="BZ103" i="94"/>
  <c r="CB130" i="94"/>
  <c r="CR13" i="94"/>
  <c r="CJ53" i="94"/>
  <c r="CA34" i="94"/>
  <c r="CB27" i="94"/>
  <c r="CG61" i="94"/>
  <c r="DV111" i="94"/>
  <c r="DX135" i="94"/>
  <c r="DU153" i="94"/>
  <c r="DU132" i="94"/>
  <c r="DU71" i="94"/>
  <c r="EE98" i="94"/>
  <c r="EF25" i="94"/>
  <c r="EA34" i="94"/>
  <c r="EA20" i="94"/>
  <c r="EB32" i="94"/>
  <c r="AV158" i="94"/>
  <c r="AG99" i="94"/>
  <c r="AH164" i="94"/>
  <c r="AY137" i="94"/>
  <c r="AY131" i="94"/>
  <c r="AU62" i="94"/>
  <c r="AW22" i="94"/>
  <c r="AW6" i="94"/>
  <c r="AY25" i="94"/>
  <c r="BB84" i="94"/>
  <c r="BN106" i="94"/>
  <c r="BX154" i="94"/>
  <c r="BH135" i="94"/>
  <c r="BQ161" i="94"/>
  <c r="BN65" i="94"/>
  <c r="BY110" i="94"/>
  <c r="CA110" i="94"/>
  <c r="CL118" i="94"/>
  <c r="CJ103" i="94"/>
  <c r="BZ130" i="94"/>
  <c r="CI13" i="94"/>
  <c r="CK53" i="94"/>
  <c r="CM34" i="94"/>
  <c r="CG27" i="94"/>
  <c r="CA61" i="94"/>
  <c r="ED111" i="94"/>
  <c r="EC135" i="94"/>
  <c r="EJ153" i="94"/>
  <c r="DY132" i="94"/>
  <c r="EC71" i="94"/>
  <c r="DR98" i="94"/>
  <c r="EA25" i="94"/>
  <c r="DR34" i="94"/>
  <c r="EE20" i="94"/>
  <c r="ED32" i="94"/>
  <c r="AG158" i="94"/>
  <c r="AQ99" i="94"/>
  <c r="AV164" i="94"/>
  <c r="AL137" i="94"/>
  <c r="AQ131" i="94"/>
  <c r="AY62" i="94"/>
  <c r="BA22" i="94"/>
  <c r="AH6" i="94"/>
  <c r="AK25" i="94"/>
  <c r="AX84" i="94"/>
  <c r="BD106" i="94"/>
  <c r="BG154" i="94"/>
  <c r="BK135" i="94"/>
  <c r="BH161" i="94"/>
  <c r="CS129" i="94"/>
  <c r="CQ110" i="94"/>
  <c r="CJ129" i="94"/>
  <c r="CR118" i="94"/>
  <c r="CQ103" i="94"/>
  <c r="CA130" i="94"/>
  <c r="CD13" i="94"/>
  <c r="CF53" i="94"/>
  <c r="CJ34" i="94"/>
  <c r="CP27" i="94"/>
  <c r="CD61" i="94"/>
  <c r="DU111" i="94"/>
  <c r="EK135" i="94"/>
  <c r="EL153" i="94"/>
  <c r="DZ132" i="94"/>
  <c r="EA71" i="94"/>
  <c r="DV98" i="94"/>
  <c r="DQ25" i="94"/>
  <c r="EF34" i="94"/>
  <c r="DX20" i="94"/>
  <c r="EC32" i="94"/>
  <c r="AO158" i="94"/>
  <c r="AH99" i="94"/>
  <c r="AW164" i="94"/>
  <c r="AO137" i="94"/>
  <c r="AZ131" i="94"/>
  <c r="AJ62" i="94"/>
  <c r="AH22" i="94"/>
  <c r="AX6" i="94"/>
  <c r="AZ25" i="94"/>
  <c r="AJ84" i="94"/>
  <c r="BC106" i="94"/>
  <c r="BI154" i="94"/>
  <c r="BX135" i="94"/>
  <c r="BX161" i="94"/>
  <c r="CT129" i="94"/>
  <c r="CN118" i="94"/>
  <c r="CA103" i="94"/>
  <c r="CR130" i="94"/>
  <c r="CL13" i="94"/>
  <c r="CL53" i="94"/>
  <c r="CH34" i="94"/>
  <c r="CE27" i="94"/>
  <c r="CN61" i="94"/>
  <c r="EF111" i="94"/>
  <c r="DU135" i="94"/>
  <c r="DY153" i="94"/>
  <c r="EK132" i="94"/>
  <c r="EG71" i="94"/>
  <c r="EJ98" i="94"/>
  <c r="DS25" i="94"/>
  <c r="DS34" i="94"/>
  <c r="DU20" i="94"/>
  <c r="EE32" i="94"/>
  <c r="AW158" i="94"/>
  <c r="AM99" i="94"/>
  <c r="AY164" i="94"/>
  <c r="BA137" i="94"/>
  <c r="AK131" i="94"/>
  <c r="AZ62" i="94"/>
  <c r="AZ22" i="94"/>
  <c r="AI6" i="94"/>
  <c r="AL25" i="94"/>
  <c r="AY84" i="94"/>
  <c r="BI106" i="94"/>
  <c r="BJ154" i="94"/>
  <c r="BQ135" i="94"/>
  <c r="BT161" i="94"/>
  <c r="BJ34" i="94"/>
  <c r="CG129" i="94"/>
  <c r="CI118" i="94"/>
  <c r="CM103" i="94"/>
  <c r="CD130" i="94"/>
  <c r="CG13" i="94"/>
  <c r="BY53" i="94"/>
  <c r="CN34" i="94"/>
  <c r="CO27" i="94"/>
  <c r="CM61" i="94"/>
  <c r="DR111" i="94"/>
  <c r="EE135" i="94"/>
  <c r="DW153" i="94"/>
  <c r="EA132" i="94"/>
  <c r="EK71" i="94"/>
  <c r="DQ98" i="94"/>
  <c r="EG25" i="94"/>
  <c r="EI34" i="94"/>
  <c r="EB20" i="94"/>
  <c r="DS32" i="94"/>
  <c r="AQ158" i="94"/>
  <c r="AX99" i="94"/>
  <c r="AI164" i="94"/>
  <c r="AQ137" i="94"/>
  <c r="AH131" i="94"/>
  <c r="AK62" i="94"/>
  <c r="AX22" i="94"/>
  <c r="AY6" i="94"/>
  <c r="BA25" i="94"/>
  <c r="AK84" i="94"/>
  <c r="BQ106" i="94"/>
  <c r="BK154" i="94"/>
  <c r="BO135" i="94"/>
  <c r="BR161" i="94"/>
  <c r="BM34" i="94"/>
  <c r="BY129" i="94"/>
  <c r="CO118" i="94"/>
  <c r="BY103" i="94"/>
  <c r="CK130" i="94"/>
  <c r="CJ13" i="94"/>
  <c r="CG53" i="94"/>
  <c r="CK34" i="94"/>
  <c r="CN27" i="94"/>
  <c r="BY61" i="94"/>
  <c r="EB111" i="94"/>
  <c r="EH135" i="94"/>
  <c r="DZ153" i="94"/>
  <c r="EC132" i="94"/>
  <c r="EB71" i="94"/>
  <c r="DZ98" i="94"/>
  <c r="DT25" i="94"/>
  <c r="EJ34" i="94"/>
  <c r="ED20" i="94"/>
  <c r="DU32" i="94"/>
  <c r="AH158" i="94"/>
  <c r="AT99" i="94"/>
  <c r="AG164" i="94"/>
  <c r="AR137" i="94"/>
  <c r="AS131" i="94"/>
  <c r="BA62" i="94"/>
  <c r="AL22" i="94"/>
  <c r="AJ6" i="94"/>
  <c r="AM25" i="94"/>
  <c r="AN84" i="94"/>
  <c r="BP106" i="94"/>
  <c r="BN154" i="94"/>
  <c r="BD135" i="94"/>
  <c r="BU161" i="94"/>
  <c r="CN110" i="94"/>
  <c r="CH129" i="94"/>
  <c r="CG118" i="94"/>
  <c r="CE103" i="94"/>
  <c r="CT130" i="94"/>
  <c r="BY13" i="94"/>
  <c r="CE53" i="94"/>
  <c r="CS34" i="94"/>
  <c r="CD27" i="94"/>
  <c r="CH61" i="94"/>
  <c r="EH111" i="94"/>
  <c r="DV135" i="94"/>
  <c r="EK153" i="94"/>
  <c r="EL132" i="94"/>
  <c r="DW71" i="94"/>
  <c r="EA98" i="94"/>
  <c r="DR25" i="94"/>
  <c r="EG34" i="94"/>
  <c r="DY20" i="94"/>
  <c r="DR32" i="94"/>
  <c r="AX158" i="94"/>
  <c r="AI99" i="94"/>
  <c r="AX164" i="94"/>
  <c r="AU137" i="94"/>
  <c r="AO131" i="94"/>
  <c r="AV62" i="94"/>
  <c r="AI22" i="94"/>
  <c r="AN6" i="94"/>
  <c r="AR25" i="94"/>
  <c r="AZ84" i="94"/>
  <c r="BO106" i="94"/>
  <c r="BL154" i="94"/>
  <c r="BW135" i="94"/>
  <c r="BI161" i="94"/>
  <c r="BU112" i="94"/>
  <c r="CP118" i="94"/>
  <c r="CC103" i="94"/>
  <c r="CQ130" i="94"/>
  <c r="CF13" i="94"/>
  <c r="CD53" i="94"/>
  <c r="BY34" i="94"/>
  <c r="CI27" i="94"/>
  <c r="CT61" i="94"/>
  <c r="EA111" i="94"/>
  <c r="EJ135" i="94"/>
  <c r="EI153" i="94"/>
  <c r="EF132" i="94"/>
  <c r="DQ71" i="94"/>
  <c r="DX98" i="94"/>
  <c r="DX25" i="94"/>
  <c r="EH34" i="94"/>
  <c r="EH20" i="94"/>
  <c r="EA32" i="94"/>
  <c r="AN158" i="94"/>
  <c r="AU99" i="94"/>
  <c r="BB164" i="94"/>
  <c r="AV137" i="94"/>
  <c r="BA131" i="94"/>
  <c r="AL62" i="94"/>
  <c r="BB22" i="94"/>
  <c r="AZ6" i="94"/>
  <c r="BB25" i="94"/>
  <c r="AO84" i="94"/>
  <c r="BK106" i="94"/>
  <c r="BE154" i="94"/>
  <c r="BN135" i="94"/>
  <c r="BJ161" i="94"/>
  <c r="BD112" i="94"/>
  <c r="BT17" i="94"/>
  <c r="CP110" i="94"/>
  <c r="CI110" i="94"/>
  <c r="CB110" i="94"/>
  <c r="CL129" i="94"/>
  <c r="CQ129" i="94"/>
  <c r="BY118" i="94"/>
  <c r="CJ118" i="94"/>
  <c r="CD103" i="94"/>
  <c r="CH103" i="94"/>
  <c r="CN130" i="94"/>
  <c r="CL130" i="94"/>
  <c r="CA13" i="94"/>
  <c r="CO13" i="94"/>
  <c r="BZ53" i="94"/>
  <c r="CQ53" i="94"/>
  <c r="BZ34" i="94"/>
  <c r="CO34" i="94"/>
  <c r="BY27" i="94"/>
  <c r="CT27" i="94"/>
  <c r="CP61" i="94"/>
  <c r="CJ61" i="94"/>
  <c r="EK111" i="94"/>
  <c r="DS111" i="94"/>
  <c r="EF135" i="94"/>
  <c r="DS135" i="94"/>
  <c r="EC153" i="94"/>
  <c r="EA153" i="94"/>
  <c r="DV132" i="94"/>
  <c r="EI132" i="94"/>
  <c r="EE71" i="94"/>
  <c r="DZ71" i="94"/>
  <c r="DW98" i="94"/>
  <c r="EH98" i="94"/>
  <c r="DZ25" i="94"/>
  <c r="EH25" i="94"/>
  <c r="EB34" i="94"/>
  <c r="EL34" i="94"/>
  <c r="EC20" i="94"/>
  <c r="EF20" i="94"/>
  <c r="EG32" i="94"/>
  <c r="DT32" i="94"/>
  <c r="AS158" i="94"/>
  <c r="AJ158" i="94"/>
  <c r="AN99" i="94"/>
  <c r="AY99" i="94"/>
  <c r="AM164" i="94"/>
  <c r="AJ164" i="94"/>
  <c r="BB137" i="94"/>
  <c r="AZ137" i="94"/>
  <c r="AJ131" i="94"/>
  <c r="AX131" i="94"/>
  <c r="AW62" i="94"/>
  <c r="BB62" i="94"/>
  <c r="AN22" i="94"/>
  <c r="AY22" i="94"/>
  <c r="AR6" i="94"/>
  <c r="AO6" i="94"/>
  <c r="AV25" i="94"/>
  <c r="AS25" i="94"/>
  <c r="AS84" i="94"/>
  <c r="AL84" i="94"/>
  <c r="BX106" i="94"/>
  <c r="BR106" i="94"/>
  <c r="BR154" i="94"/>
  <c r="BC154" i="94"/>
  <c r="BE135" i="94"/>
  <c r="BU135" i="94"/>
  <c r="BE161" i="94"/>
  <c r="BS161" i="94"/>
  <c r="BE112" i="94"/>
  <c r="CO129" i="94"/>
  <c r="CF129" i="94"/>
  <c r="CI129" i="94"/>
  <c r="CE118" i="94"/>
  <c r="CD118" i="94"/>
  <c r="CR103" i="94"/>
  <c r="CO103" i="94"/>
  <c r="CF130" i="94"/>
  <c r="CE130" i="94"/>
  <c r="CB13" i="94"/>
  <c r="CM13" i="94"/>
  <c r="CP53" i="94"/>
  <c r="CI53" i="94"/>
  <c r="CD34" i="94"/>
  <c r="CP34" i="94"/>
  <c r="CA27" i="94"/>
  <c r="CR27" i="94"/>
  <c r="CS61" i="94"/>
  <c r="CE61" i="94"/>
  <c r="DW111" i="94"/>
  <c r="DT111" i="94"/>
  <c r="DQ135" i="94"/>
  <c r="DW135" i="94"/>
  <c r="DS153" i="94"/>
  <c r="DX153" i="94"/>
  <c r="DR132" i="94"/>
  <c r="DQ132" i="94"/>
  <c r="EL71" i="94"/>
  <c r="EH71" i="94"/>
  <c r="DT98" i="94"/>
  <c r="ED98" i="94"/>
  <c r="DW25" i="94"/>
  <c r="EI25" i="94"/>
  <c r="DX34" i="94"/>
  <c r="DW34" i="94"/>
  <c r="DT20" i="94"/>
  <c r="EK20" i="94"/>
  <c r="EL32" i="94"/>
  <c r="EH32" i="94"/>
  <c r="AK158" i="94"/>
  <c r="AI158" i="94"/>
  <c r="AK99" i="94"/>
  <c r="AW99" i="94"/>
  <c r="AO164" i="94"/>
  <c r="AQ164" i="94"/>
  <c r="AP137" i="94"/>
  <c r="AH137" i="94"/>
  <c r="AU131" i="94"/>
  <c r="AT131" i="94"/>
  <c r="AR62" i="94"/>
  <c r="AM62" i="94"/>
  <c r="AS22" i="94"/>
  <c r="AM22" i="94"/>
  <c r="BB6" i="94"/>
  <c r="AK6" i="94"/>
  <c r="AP25" i="94"/>
  <c r="AG25" i="94"/>
  <c r="AG84" i="94"/>
  <c r="AR84" i="94"/>
  <c r="BG106" i="94"/>
  <c r="BT106" i="94"/>
  <c r="BP154" i="94"/>
  <c r="BQ154" i="94"/>
  <c r="BR135" i="94"/>
  <c r="BS135" i="94"/>
  <c r="BF161" i="94"/>
  <c r="BK161" i="94"/>
  <c r="CO110" i="94"/>
  <c r="CH110" i="94"/>
  <c r="CF110" i="94"/>
  <c r="CT110" i="94"/>
  <c r="CE129" i="94"/>
  <c r="BZ118" i="94"/>
  <c r="CC118" i="94"/>
  <c r="CT103" i="94"/>
  <c r="CN103" i="94"/>
  <c r="CG130" i="94"/>
  <c r="BY130" i="94"/>
  <c r="CT13" i="94"/>
  <c r="CC13" i="94"/>
  <c r="CR53" i="94"/>
  <c r="CN53" i="94"/>
  <c r="CE34" i="94"/>
  <c r="CR34" i="94"/>
  <c r="CQ27" i="94"/>
  <c r="CJ27" i="94"/>
  <c r="CI61" i="94"/>
  <c r="CR61" i="94"/>
  <c r="DQ111" i="94"/>
  <c r="EI111" i="94"/>
  <c r="EG135" i="94"/>
  <c r="DT135" i="94"/>
  <c r="EE153" i="94"/>
  <c r="DV153" i="94"/>
  <c r="ED132" i="94"/>
  <c r="DX132" i="94"/>
  <c r="EF71" i="94"/>
  <c r="ED71" i="94"/>
  <c r="DY98" i="94"/>
  <c r="DS98" i="94"/>
  <c r="DV25" i="94"/>
  <c r="DY25" i="94"/>
  <c r="EC34" i="94"/>
  <c r="DU34" i="94"/>
  <c r="DR20" i="94"/>
  <c r="DQ20" i="94"/>
  <c r="DW32" i="94"/>
  <c r="DY32" i="94"/>
  <c r="BB158" i="94"/>
  <c r="AZ158" i="94"/>
  <c r="AP99" i="94"/>
  <c r="AJ99" i="94"/>
  <c r="AT164" i="94"/>
  <c r="AL164" i="94"/>
  <c r="AM137" i="94"/>
  <c r="AK137" i="94"/>
  <c r="AN131" i="94"/>
  <c r="AI131" i="94"/>
  <c r="AH62" i="94"/>
  <c r="AN62" i="94"/>
  <c r="AT22" i="94"/>
  <c r="AO22" i="94"/>
  <c r="AS6" i="94"/>
  <c r="AP6" i="94"/>
  <c r="AH25" i="94"/>
  <c r="AT25" i="94"/>
  <c r="AT84" i="94"/>
  <c r="AP84" i="94"/>
  <c r="BW106" i="94"/>
  <c r="BU106" i="94"/>
  <c r="BS154" i="94"/>
  <c r="BU154" i="94"/>
  <c r="BM135" i="94"/>
  <c r="BF135" i="94"/>
  <c r="BV161" i="94"/>
  <c r="BO161" i="94"/>
  <c r="CA118" i="94"/>
  <c r="CI103" i="94"/>
  <c r="CO130" i="94"/>
  <c r="CE13" i="94"/>
  <c r="CO53" i="94"/>
  <c r="CT34" i="94"/>
  <c r="CF27" i="94"/>
  <c r="CO61" i="94"/>
  <c r="EC111" i="94"/>
  <c r="EI135" i="94"/>
  <c r="EF153" i="94"/>
  <c r="EJ132" i="94"/>
  <c r="DX71" i="94"/>
  <c r="DU98" i="94"/>
  <c r="EC25" i="94"/>
  <c r="DT34" i="94"/>
  <c r="DS20" i="94"/>
  <c r="DQ32" i="94"/>
  <c r="BA158" i="94"/>
  <c r="BA99" i="94"/>
  <c r="AP164" i="94"/>
  <c r="AX137" i="94"/>
  <c r="AL131" i="94"/>
  <c r="AS62" i="94"/>
  <c r="AU22" i="94"/>
  <c r="AM6" i="94"/>
  <c r="AQ25" i="94"/>
  <c r="AU84" i="94"/>
  <c r="BJ106" i="94"/>
  <c r="BT154" i="94"/>
  <c r="BL135" i="94"/>
  <c r="BG161" i="94"/>
  <c r="BP161" i="94"/>
  <c r="BJ21" i="94"/>
  <c r="DC52" i="94"/>
  <c r="DH52" i="94"/>
  <c r="DD52" i="94"/>
  <c r="CU52" i="94"/>
  <c r="DO52" i="94"/>
  <c r="CY52" i="94"/>
  <c r="CV52" i="94"/>
  <c r="CZ52" i="94"/>
  <c r="DM52" i="94"/>
  <c r="DE52" i="94"/>
  <c r="DB52" i="94"/>
  <c r="DG52" i="94"/>
  <c r="CW52" i="94"/>
  <c r="DP52" i="94"/>
  <c r="DJ52" i="94"/>
  <c r="DA52" i="94"/>
  <c r="DH34" i="94"/>
  <c r="DL34" i="94"/>
  <c r="CW34" i="94"/>
  <c r="DP34" i="94"/>
  <c r="DI34" i="94"/>
  <c r="DM34" i="94"/>
  <c r="CV34" i="94"/>
  <c r="CU34" i="94"/>
  <c r="DG34" i="94"/>
  <c r="DN34" i="94"/>
  <c r="DB34" i="94"/>
  <c r="DA34" i="94"/>
  <c r="DD34" i="94"/>
  <c r="CX34" i="94"/>
  <c r="DJ34" i="94"/>
  <c r="CZ34" i="94"/>
  <c r="DC34" i="94"/>
  <c r="DF34" i="94"/>
  <c r="BI112" i="94"/>
  <c r="BV112" i="94"/>
  <c r="BK34" i="94"/>
  <c r="BS34" i="94"/>
  <c r="BH65" i="94"/>
  <c r="BW65" i="94"/>
  <c r="BT21" i="94"/>
  <c r="BN21" i="94"/>
  <c r="BN17" i="94"/>
  <c r="CV126" i="94"/>
  <c r="BJ112" i="94"/>
  <c r="BP112" i="94"/>
  <c r="BI34" i="94"/>
  <c r="BP34" i="94"/>
  <c r="BU65" i="94"/>
  <c r="BO65" i="94"/>
  <c r="BP21" i="94"/>
  <c r="BO21" i="94"/>
  <c r="BE17" i="94"/>
  <c r="CV96" i="94"/>
  <c r="BL161" i="94"/>
  <c r="BM112" i="94"/>
  <c r="BG112" i="94"/>
  <c r="BW34" i="94"/>
  <c r="BD34" i="94"/>
  <c r="BP65" i="94"/>
  <c r="BM65" i="94"/>
  <c r="BK21" i="94"/>
  <c r="BD21" i="94"/>
  <c r="BJ17" i="94"/>
  <c r="BK112" i="94"/>
  <c r="BR112" i="94"/>
  <c r="BN34" i="94"/>
  <c r="BG34" i="94"/>
  <c r="BF65" i="94"/>
  <c r="BT65" i="94"/>
  <c r="BC21" i="94"/>
  <c r="BO17" i="94"/>
  <c r="BC112" i="94"/>
  <c r="BX112" i="94"/>
  <c r="BL34" i="94"/>
  <c r="BT34" i="94"/>
  <c r="BQ65" i="94"/>
  <c r="BR65" i="94"/>
  <c r="BU21" i="94"/>
  <c r="BC17" i="94"/>
  <c r="DE121" i="94"/>
  <c r="BL112" i="94"/>
  <c r="BV34" i="94"/>
  <c r="BK65" i="94"/>
  <c r="BW21" i="94"/>
  <c r="BQ17" i="94"/>
  <c r="DI121" i="94"/>
  <c r="BF112" i="94"/>
  <c r="BO34" i="94"/>
  <c r="BS65" i="94"/>
  <c r="BQ21" i="94"/>
  <c r="BH17" i="94"/>
  <c r="DA134" i="94"/>
  <c r="BS112" i="94"/>
  <c r="BH34" i="94"/>
  <c r="BV65" i="94"/>
  <c r="BV21" i="94"/>
  <c r="BK17" i="94"/>
  <c r="BK86" i="94"/>
  <c r="BW112" i="94"/>
  <c r="BR34" i="94"/>
  <c r="BD65" i="94"/>
  <c r="BF21" i="94"/>
  <c r="BL17" i="94"/>
  <c r="BQ86" i="94"/>
  <c r="BN112" i="94"/>
  <c r="BX34" i="94"/>
  <c r="BJ65" i="94"/>
  <c r="BL21" i="94"/>
  <c r="BS17" i="94"/>
  <c r="BS86" i="94"/>
  <c r="BQ112" i="94"/>
  <c r="BE34" i="94"/>
  <c r="BC65" i="94"/>
  <c r="BS21" i="94"/>
  <c r="BI17" i="94"/>
  <c r="BO112" i="94"/>
  <c r="BF34" i="94"/>
  <c r="BI65" i="94"/>
  <c r="BH21" i="94"/>
  <c r="BF17" i="94"/>
  <c r="DH130" i="94"/>
  <c r="BH112" i="94"/>
  <c r="BU34" i="94"/>
  <c r="BG65" i="94"/>
  <c r="BG21" i="94"/>
  <c r="BM17" i="94"/>
  <c r="CU5" i="94"/>
  <c r="BC34" i="94"/>
  <c r="BX65" i="94"/>
  <c r="BM21" i="94"/>
  <c r="BD17" i="94"/>
  <c r="BR21" i="94"/>
  <c r="BV17" i="94"/>
  <c r="DN42" i="94"/>
  <c r="DJ81" i="94"/>
  <c r="DE37" i="94"/>
  <c r="BR86" i="94"/>
  <c r="DD121" i="94"/>
  <c r="CY126" i="94"/>
  <c r="CV130" i="94"/>
  <c r="DI134" i="94"/>
  <c r="DB96" i="94"/>
  <c r="DC5" i="94"/>
  <c r="CY81" i="94"/>
  <c r="DB42" i="94"/>
  <c r="CW37" i="94"/>
  <c r="BD86" i="94"/>
  <c r="DL121" i="94"/>
  <c r="DN126" i="94"/>
  <c r="DN130" i="94"/>
  <c r="DB134" i="94"/>
  <c r="DL96" i="94"/>
  <c r="DF5" i="94"/>
  <c r="DB81" i="94"/>
  <c r="DO42" i="94"/>
  <c r="CX37" i="94"/>
  <c r="BH86" i="94"/>
  <c r="BV86" i="94"/>
  <c r="CY121" i="94"/>
  <c r="CZ121" i="94"/>
  <c r="DP126" i="94"/>
  <c r="DO126" i="94"/>
  <c r="CY130" i="94"/>
  <c r="DA130" i="94"/>
  <c r="DO134" i="94"/>
  <c r="CU134" i="94"/>
  <c r="DJ96" i="94"/>
  <c r="CY96" i="94"/>
  <c r="DJ5" i="94"/>
  <c r="DH5" i="94"/>
  <c r="DM81" i="94"/>
  <c r="CW81" i="94"/>
  <c r="DJ42" i="94"/>
  <c r="CY42" i="94"/>
  <c r="DH37" i="94"/>
  <c r="DJ37" i="94"/>
  <c r="DD60" i="94"/>
  <c r="BG17" i="94"/>
  <c r="BP17" i="94"/>
  <c r="BN86" i="94"/>
  <c r="BO86" i="94"/>
  <c r="DB121" i="94"/>
  <c r="DH121" i="94"/>
  <c r="DI126" i="94"/>
  <c r="CU126" i="94"/>
  <c r="DP130" i="94"/>
  <c r="DK130" i="94"/>
  <c r="DC134" i="94"/>
  <c r="DD134" i="94"/>
  <c r="DG96" i="94"/>
  <c r="CW96" i="94"/>
  <c r="DN5" i="94"/>
  <c r="CY5" i="94"/>
  <c r="CV81" i="94"/>
  <c r="CZ81" i="94"/>
  <c r="DD42" i="94"/>
  <c r="DC42" i="94"/>
  <c r="DO37" i="94"/>
  <c r="CU37" i="94"/>
  <c r="DG60" i="94"/>
  <c r="BW17" i="94"/>
  <c r="BR17" i="94"/>
  <c r="BE86" i="94"/>
  <c r="BG86" i="94"/>
  <c r="DG121" i="94"/>
  <c r="DP121" i="94"/>
  <c r="DA126" i="94"/>
  <c r="CZ126" i="94"/>
  <c r="DL130" i="94"/>
  <c r="CU130" i="94"/>
  <c r="DG134" i="94"/>
  <c r="CW134" i="94"/>
  <c r="DK96" i="94"/>
  <c r="DC96" i="94"/>
  <c r="DK5" i="94"/>
  <c r="DD5" i="94"/>
  <c r="DF81" i="94"/>
  <c r="CX81" i="94"/>
  <c r="DK42" i="94"/>
  <c r="DI42" i="94"/>
  <c r="DG37" i="94"/>
  <c r="DN37" i="94"/>
  <c r="CW60" i="94"/>
  <c r="BE21" i="94"/>
  <c r="BU17" i="94"/>
  <c r="BI86" i="94"/>
  <c r="BT86" i="94"/>
  <c r="CX121" i="94"/>
  <c r="DN121" i="94"/>
  <c r="DH126" i="94"/>
  <c r="DL126" i="94"/>
  <c r="DI130" i="94"/>
  <c r="DG130" i="94"/>
  <c r="DL134" i="94"/>
  <c r="DF134" i="94"/>
  <c r="DA96" i="94"/>
  <c r="DD96" i="94"/>
  <c r="CX5" i="94"/>
  <c r="DO5" i="94"/>
  <c r="DE81" i="94"/>
  <c r="DA81" i="94"/>
  <c r="DP42" i="94"/>
  <c r="DE42" i="94"/>
  <c r="DA37" i="94"/>
  <c r="DL37" i="94"/>
  <c r="BU86" i="94"/>
  <c r="BF86" i="94"/>
  <c r="DM121" i="94"/>
  <c r="DA121" i="94"/>
  <c r="DB126" i="94"/>
  <c r="DK126" i="94"/>
  <c r="CX130" i="94"/>
  <c r="CZ130" i="94"/>
  <c r="DH134" i="94"/>
  <c r="DK134" i="94"/>
  <c r="DM96" i="94"/>
  <c r="DI96" i="94"/>
  <c r="CV5" i="94"/>
  <c r="DI5" i="94"/>
  <c r="DG81" i="94"/>
  <c r="DP81" i="94"/>
  <c r="DG42" i="94"/>
  <c r="CZ42" i="94"/>
  <c r="DB37" i="94"/>
  <c r="CY37" i="94"/>
  <c r="BM86" i="94"/>
  <c r="BP86" i="94"/>
  <c r="DC121" i="94"/>
  <c r="CU121" i="94"/>
  <c r="DE126" i="94"/>
  <c r="DD126" i="94"/>
  <c r="DC130" i="94"/>
  <c r="DB130" i="94"/>
  <c r="CY134" i="94"/>
  <c r="DM134" i="94"/>
  <c r="DH96" i="94"/>
  <c r="DO96" i="94"/>
  <c r="CZ5" i="94"/>
  <c r="DB5" i="94"/>
  <c r="DH81" i="94"/>
  <c r="DD81" i="94"/>
  <c r="CW42" i="94"/>
  <c r="DF42" i="94"/>
  <c r="DP37" i="94"/>
  <c r="CZ37" i="94"/>
  <c r="BW86" i="94"/>
  <c r="DK121" i="94"/>
  <c r="DJ126" i="94"/>
  <c r="CW130" i="94"/>
  <c r="DJ134" i="94"/>
  <c r="CU96" i="94"/>
  <c r="DL5" i="94"/>
  <c r="DN81" i="94"/>
  <c r="CX42" i="94"/>
  <c r="DI37" i="94"/>
  <c r="BX86" i="94"/>
  <c r="DO121" i="94"/>
  <c r="DC126" i="94"/>
  <c r="DJ130" i="94"/>
  <c r="DE134" i="94"/>
  <c r="DP96" i="94"/>
  <c r="DP5" i="94"/>
  <c r="DC81" i="94"/>
  <c r="CU42" i="94"/>
  <c r="DK37" i="94"/>
  <c r="BJ86" i="94"/>
  <c r="CW121" i="94"/>
  <c r="CW126" i="94"/>
  <c r="DD130" i="94"/>
  <c r="CV134" i="94"/>
  <c r="CX96" i="94"/>
  <c r="CW5" i="94"/>
  <c r="DL81" i="94"/>
  <c r="CV42" i="94"/>
  <c r="DC37" i="94"/>
  <c r="BC86" i="94"/>
  <c r="DF121" i="94"/>
  <c r="DF126" i="94"/>
  <c r="DE130" i="94"/>
  <c r="CZ134" i="94"/>
  <c r="DF96" i="94"/>
  <c r="DA5" i="94"/>
  <c r="DI81" i="94"/>
  <c r="DM42" i="94"/>
  <c r="DF37" i="94"/>
  <c r="DM126" i="94"/>
  <c r="DF130" i="94"/>
  <c r="CX134" i="94"/>
  <c r="CZ96" i="94"/>
  <c r="DG5" i="94"/>
  <c r="CU81" i="94"/>
  <c r="DA42" i="94"/>
  <c r="DM37" i="94"/>
  <c r="DJ121" i="94"/>
  <c r="DG126" i="94"/>
  <c r="DM130" i="94"/>
  <c r="DP134" i="94"/>
  <c r="DE96" i="94"/>
  <c r="DM5" i="94"/>
  <c r="DK81" i="94"/>
  <c r="DL42" i="94"/>
  <c r="CV37" i="94"/>
  <c r="DB60" i="94"/>
  <c r="CU60" i="94"/>
  <c r="DF60" i="94"/>
  <c r="CZ60" i="94"/>
  <c r="DJ60" i="94"/>
  <c r="DP60" i="94"/>
  <c r="DC60" i="94"/>
  <c r="CV60" i="94"/>
  <c r="DO60" i="94"/>
  <c r="DA60" i="94"/>
  <c r="DI60" i="94"/>
  <c r="DM60" i="94"/>
  <c r="DK60" i="94"/>
  <c r="DE60" i="94"/>
  <c r="DN60" i="94"/>
  <c r="CX60" i="94"/>
  <c r="DL60" i="94"/>
  <c r="CY60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G6" authorId="0" shapeId="0" xr:uid="{2AAB8B38-EB63-4CE2-AA15-B9BF4E5D6CA5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G51" authorId="0" shapeId="0" xr:uid="{DEEFA5AD-9070-41C1-BE04-362693A9D80F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G96" authorId="0" shapeId="0" xr:uid="{B5186F4F-6488-4D83-B6FA-D9037AA8142A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G141" authorId="0" shapeId="0" xr:uid="{82175E35-0B68-4A5D-9945-C365DE58BE26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G186" authorId="0" shapeId="0" xr:uid="{16E0F7EF-A9D1-4A31-86B4-50F1F6FD958D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A6" authorId="0" shapeId="0" xr:uid="{72D1425B-4743-4CC0-9FA6-501C81B0B6EF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E6" authorId="0" shapeId="0" xr:uid="{CC382300-1F60-4B94-B95F-2189F1614FF1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A51" authorId="0" shapeId="0" xr:uid="{E94A2A2D-B756-4C9A-9578-FD882F0A60F4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E51" authorId="0" shapeId="0" xr:uid="{2DAD44F0-98B1-4232-BB1B-5743FCDA9138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A96" authorId="0" shapeId="0" xr:uid="{DA937741-04A2-468C-B5DF-E5D35FCCEC1C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E96" authorId="0" shapeId="0" xr:uid="{9299A423-9A4F-467F-A4C9-3A3035119312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A141" authorId="0" shapeId="0" xr:uid="{0CF3FF47-2256-426C-9C9D-55BA32A6AFC8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E141" authorId="0" shapeId="0" xr:uid="{8F409A79-85F4-4B58-A773-E98F6DA68C4C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A186" authorId="0" shapeId="0" xr:uid="{4DDD14B0-AFEE-47A7-8B0E-D0BF4813148C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  <comment ref="AE186" authorId="0" shapeId="0" xr:uid="{D6679EEA-DEBE-4CF3-AD42-2A3679C4115E}">
      <text>
        <r>
          <rPr>
            <b/>
            <sz val="9"/>
            <color indexed="81"/>
            <rFont val="宋体"/>
            <family val="3"/>
            <charset val="134"/>
          </rPr>
          <t xml:space="preserve">橙卡引入许愿获得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abc123</author>
  </authors>
  <commentList>
    <comment ref="D1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提前3级左右作为缓冲</t>
        </r>
      </text>
    </comment>
    <comment ref="L4" authorId="1" shapeId="0" xr:uid="{00000000-0006-0000-0B00-000002000000}">
      <text>
        <r>
          <rPr>
            <b/>
            <sz val="9"/>
            <color indexed="81"/>
            <rFont val="宋体"/>
            <family val="3"/>
            <charset val="134"/>
          </rPr>
          <t>固定值</t>
        </r>
      </text>
    </comment>
    <comment ref="M4" authorId="1" shapeId="0" xr:uid="{00000000-0006-0000-0B00-000003000000}">
      <text>
        <r>
          <rPr>
            <b/>
            <sz val="9"/>
            <color indexed="81"/>
            <rFont val="宋体"/>
            <family val="3"/>
            <charset val="134"/>
          </rPr>
          <t>固定值</t>
        </r>
      </text>
    </comment>
  </commentList>
</comments>
</file>

<file path=xl/sharedStrings.xml><?xml version="1.0" encoding="utf-8"?>
<sst xmlns="http://schemas.openxmlformats.org/spreadsheetml/2006/main" count="948" uniqueCount="248">
  <si>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</si>
  <si>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</si>
  <si>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</si>
  <si>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</si>
  <si>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</si>
  <si>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</si>
  <si>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</si>
  <si>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</si>
  <si>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</si>
  <si>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</si>
  <si>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</si>
  <si>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</si>
  <si>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</si>
  <si>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橙</t>
    <phoneticPr fontId="1" type="noConversion"/>
  </si>
  <si>
    <t>蓝</t>
    <phoneticPr fontId="1" type="noConversion"/>
  </si>
  <si>
    <t>紫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</si>
  <si>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</si>
  <si>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</si>
  <si>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</si>
  <si>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</si>
  <si>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</si>
  <si>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</si>
  <si>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</si>
  <si>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</si>
  <si>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</si>
  <si>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</si>
  <si>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</si>
  <si>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</si>
  <si>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</si>
  <si>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</si>
  <si>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</si>
  <si>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</si>
  <si>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</si>
  <si>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</si>
  <si>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</si>
  <si>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</si>
  <si>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</si>
  <si>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</si>
  <si>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</si>
  <si>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</si>
  <si>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</si>
  <si>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</si>
  <si>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</si>
  <si>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</si>
  <si>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大殿等级</t>
  </si>
  <si>
    <t>非r完成预估</t>
    <phoneticPr fontId="1" type="noConversion"/>
  </si>
  <si>
    <t>小r完成预估</t>
    <phoneticPr fontId="1" type="noConversion"/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</si>
  <si>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</si>
  <si>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</si>
  <si>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</si>
  <si>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大殿等级</t>
    <phoneticPr fontId="1" type="noConversion"/>
  </si>
  <si>
    <t>百家学馆等级</t>
    <phoneticPr fontId="1" type="noConversion"/>
  </si>
  <si>
    <t>大殿对应学馆等级</t>
    <phoneticPr fontId="1" type="noConversion"/>
  </si>
  <si>
    <t>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</si>
  <si>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</si>
  <si>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</si>
  <si>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</si>
  <si>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</si>
  <si>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</si>
  <si>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开启等级</t>
    <phoneticPr fontId="1" type="noConversion"/>
  </si>
  <si>
    <t>城池木石铜粮产出提升</t>
  </si>
  <si>
    <t>城池内铁产出提升</t>
  </si>
  <si>
    <t>城池内银币产出提升</t>
  </si>
  <si>
    <t>国建捐献可获得国家币上限提升</t>
  </si>
  <si>
    <t>等级对应极限加成</t>
    <phoneticPr fontId="1" type="noConversion"/>
  </si>
  <si>
    <t>极限满天赋时对应玩家等级</t>
    <phoneticPr fontId="1" type="noConversion"/>
  </si>
  <si>
    <t>当前版本派系数</t>
    <phoneticPr fontId="1" type="noConversion"/>
  </si>
  <si>
    <t>完成进度预估</t>
    <phoneticPr fontId="1" type="noConversion"/>
  </si>
  <si>
    <t>说明</t>
    <phoneticPr fontId="1" type="noConversion"/>
  </si>
  <si>
    <t>这里的完成进度是指相对于等级对应极限状态实际的完成比例</t>
    <phoneticPr fontId="1" type="noConversion"/>
  </si>
  <si>
    <t>汇总入其他表中时，输出总等级对应极限加成*付费层对应完成进度*加成对象值，作为圣人附带值</t>
    <phoneticPr fontId="1" type="noConversion"/>
  </si>
  <si>
    <t>木石铜粮产出</t>
    <phoneticPr fontId="1" type="noConversion"/>
  </si>
  <si>
    <t>等级</t>
    <phoneticPr fontId="1" type="noConversion"/>
  </si>
  <si>
    <t>两个部分，一个是城池内加成一个是负重提升</t>
    <phoneticPr fontId="1" type="noConversion"/>
  </si>
  <si>
    <t>铁产出</t>
    <phoneticPr fontId="1" type="noConversion"/>
  </si>
  <si>
    <t>银币产出</t>
    <phoneticPr fontId="1" type="noConversion"/>
  </si>
  <si>
    <t>战损降低</t>
    <phoneticPr fontId="1" type="noConversion"/>
  </si>
  <si>
    <t>部队攻城值提升</t>
    <phoneticPr fontId="1" type="noConversion"/>
  </si>
  <si>
    <t>国建捐献可获得国家币上限提升</t>
    <phoneticPr fontId="1" type="noConversion"/>
  </si>
  <si>
    <t>打野战损降低</t>
    <phoneticPr fontId="1" type="noConversion"/>
  </si>
  <si>
    <t>部队攻城值提升（主推）</t>
    <phoneticPr fontId="1" type="noConversion"/>
  </si>
  <si>
    <t>主推max</t>
    <phoneticPr fontId="1" type="noConversion"/>
  </si>
  <si>
    <t>打野行军速度</t>
    <phoneticPr fontId="1" type="noConversion"/>
  </si>
  <si>
    <t>掠夺行军速度</t>
    <phoneticPr fontId="1" type="noConversion"/>
  </si>
  <si>
    <t>攻城行军速度</t>
    <phoneticPr fontId="1" type="noConversion"/>
  </si>
  <si>
    <t>攻城疲劳消耗降低</t>
    <phoneticPr fontId="1" type="noConversion"/>
  </si>
  <si>
    <t>掠夺和打野疲劳消耗降低</t>
    <phoneticPr fontId="1" type="noConversion"/>
  </si>
  <si>
    <t>定义等级累积停留天数（天）</t>
  </si>
  <si>
    <t>定义等级阶段停留天数（天）</t>
  </si>
  <si>
    <t>天数对应定义等级</t>
  </si>
  <si>
    <t>大殿等级对应定义等级</t>
  </si>
  <si>
    <t>定义等级</t>
  </si>
  <si>
    <t>对应定义等级</t>
  </si>
  <si>
    <t>定义等级</t>
    <phoneticPr fontId="1" type="noConversion"/>
  </si>
  <si>
    <t>定义等级对应大殿等级</t>
    <phoneticPr fontId="1" type="noConversion"/>
  </si>
  <si>
    <t>非R</t>
    <phoneticPr fontId="1" type="noConversion"/>
  </si>
  <si>
    <t>星级消耗卡累计</t>
    <phoneticPr fontId="8" type="noConversion"/>
  </si>
  <si>
    <t>上阵武将星级</t>
    <phoneticPr fontId="1" type="noConversion"/>
  </si>
  <si>
    <t>战法星级</t>
    <phoneticPr fontId="1" type="noConversion"/>
  </si>
  <si>
    <t>星级对应同名卡累计消耗</t>
    <phoneticPr fontId="1" type="noConversion"/>
  </si>
  <si>
    <t>星级对应实际同名战法累计消耗</t>
    <phoneticPr fontId="1" type="noConversion"/>
  </si>
  <si>
    <t>星级</t>
    <phoneticPr fontId="1" type="noConversion"/>
  </si>
  <si>
    <t>橙+</t>
  </si>
  <si>
    <t>完成天数</t>
    <phoneticPr fontId="1" type="noConversion"/>
  </si>
  <si>
    <t>绿</t>
    <phoneticPr fontId="1" type="noConversion"/>
  </si>
  <si>
    <t>橙色及以下星级对应同资质累计消耗</t>
    <phoneticPr fontId="1" type="noConversion"/>
  </si>
  <si>
    <t>橙+色星级对应同资质累计消耗</t>
  </si>
  <si>
    <t>红色星级对应同资质累计消耗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</si>
  <si>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</si>
  <si>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</si>
  <si>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</si>
  <si>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</si>
  <si>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单个武将对应将星点</t>
    <phoneticPr fontId="8" type="noConversion"/>
  </si>
  <si>
    <t>单个兵法对应将星点</t>
    <phoneticPr fontId="8" type="noConversion"/>
  </si>
  <si>
    <t>红</t>
    <phoneticPr fontId="1" type="noConversion"/>
  </si>
  <si>
    <t>武将各星级对应将星点</t>
    <phoneticPr fontId="8" type="noConversion"/>
  </si>
  <si>
    <t>兵法各星级对应将星点</t>
    <phoneticPr fontId="8" type="noConversion"/>
  </si>
  <si>
    <t>星级对应将星点</t>
    <phoneticPr fontId="1" type="noConversion"/>
  </si>
  <si>
    <t>星级</t>
  </si>
  <si>
    <t>绿</t>
  </si>
  <si>
    <t>蓝</t>
  </si>
  <si>
    <t>紫</t>
  </si>
  <si>
    <t>橙</t>
  </si>
  <si>
    <t>红</t>
  </si>
  <si>
    <t>星级</t>
    <phoneticPr fontId="8" type="noConversion"/>
  </si>
  <si>
    <t>将入削减系数后，武将各星级对应将星点</t>
    <phoneticPr fontId="8" type="noConversion"/>
  </si>
  <si>
    <t>削减系数</t>
    <phoneticPr fontId="8" type="noConversion"/>
  </si>
  <si>
    <t>主队上阵武将星级</t>
    <phoneticPr fontId="1" type="noConversion"/>
  </si>
  <si>
    <t>主队上阵武将养成进度</t>
    <phoneticPr fontId="1" type="noConversion"/>
  </si>
  <si>
    <t>替补队伍上阵人数</t>
  </si>
  <si>
    <t>星级/替补队伍</t>
  </si>
  <si>
    <t>主队上阵武将将星点</t>
    <phoneticPr fontId="1" type="noConversion"/>
  </si>
  <si>
    <t>替补上阵武将将星点</t>
    <phoneticPr fontId="1" type="noConversion"/>
  </si>
  <si>
    <t>武将总将星点</t>
    <phoneticPr fontId="1" type="noConversion"/>
  </si>
  <si>
    <t>战法将星点</t>
    <phoneticPr fontId="1" type="noConversion"/>
  </si>
  <si>
    <t>拥有战法数量</t>
    <phoneticPr fontId="1" type="noConversion"/>
  </si>
  <si>
    <t>战法总将星点</t>
    <phoneticPr fontId="1" type="noConversion"/>
  </si>
  <si>
    <t>武将和战法合计将星点</t>
    <phoneticPr fontId="1" type="noConversion"/>
  </si>
  <si>
    <t>星阵点亮消耗</t>
    <phoneticPr fontId="1" type="noConversion"/>
  </si>
  <si>
    <t>星阵编号</t>
    <phoneticPr fontId="1" type="noConversion"/>
  </si>
  <si>
    <t>星点编号</t>
    <phoneticPr fontId="1" type="noConversion"/>
  </si>
  <si>
    <t>累计消耗</t>
    <phoneticPr fontId="1" type="noConversion"/>
  </si>
  <si>
    <t>铁产量增加</t>
  </si>
  <si>
    <t>城建加速</t>
  </si>
  <si>
    <t>铁采集增加</t>
  </si>
  <si>
    <t>治疗加速</t>
  </si>
  <si>
    <t>士兵训练加速</t>
  </si>
  <si>
    <t>科研加速</t>
  </si>
  <si>
    <t>武将攻击提升%</t>
  </si>
  <si>
    <t>武将生命提升%</t>
  </si>
  <si>
    <t>士兵攻击提升%</t>
  </si>
  <si>
    <t>士兵生命提升%</t>
  </si>
  <si>
    <t>点亮效果</t>
    <phoneticPr fontId="1" type="noConversion"/>
  </si>
  <si>
    <t>buff类型</t>
    <phoneticPr fontId="1" type="noConversion"/>
  </si>
  <si>
    <t>累计点亮</t>
    <phoneticPr fontId="1" type="noConversion"/>
  </si>
  <si>
    <t>累积将星点</t>
    <phoneticPr fontId="1" type="noConversion"/>
  </si>
  <si>
    <t>停留天数</t>
    <phoneticPr fontId="1" type="noConversion"/>
  </si>
  <si>
    <t>进度预期</t>
    <phoneticPr fontId="1" type="noConversion"/>
  </si>
  <si>
    <t>点亮消耗和buff</t>
    <phoneticPr fontId="1" type="noConversion"/>
  </si>
  <si>
    <t>buff统计</t>
    <phoneticPr fontId="1" type="noConversion"/>
  </si>
  <si>
    <t>木产量增加</t>
  </si>
  <si>
    <t>木产量增加</t>
    <phoneticPr fontId="1" type="noConversion"/>
  </si>
  <si>
    <t>石产量增加</t>
  </si>
  <si>
    <t>石产量增加</t>
    <phoneticPr fontId="1" type="noConversion"/>
  </si>
  <si>
    <t>铜产量增加</t>
  </si>
  <si>
    <t>铜产量增加</t>
    <phoneticPr fontId="1" type="noConversion"/>
  </si>
  <si>
    <t>粮产量增加</t>
  </si>
  <si>
    <t>粮产量增加</t>
    <phoneticPr fontId="1" type="noConversion"/>
  </si>
  <si>
    <t>木采集增加</t>
  </si>
  <si>
    <t>木采集增加</t>
    <phoneticPr fontId="1" type="noConversion"/>
  </si>
  <si>
    <t>石采集增加</t>
  </si>
  <si>
    <t>石采集增加</t>
    <phoneticPr fontId="1" type="noConversion"/>
  </si>
  <si>
    <t>铜采集增加</t>
  </si>
  <si>
    <t>铜采集增加</t>
    <phoneticPr fontId="1" type="noConversion"/>
  </si>
  <si>
    <t>粮采集增加</t>
  </si>
  <si>
    <t>粮采集增加</t>
    <phoneticPr fontId="1" type="noConversion"/>
  </si>
  <si>
    <t>步兵招募加速</t>
  </si>
  <si>
    <t>步兵招募加速</t>
    <phoneticPr fontId="1" type="noConversion"/>
  </si>
  <si>
    <t>骑兵招募加速</t>
  </si>
  <si>
    <t>骑兵招募加速</t>
    <phoneticPr fontId="1" type="noConversion"/>
  </si>
  <si>
    <t>弓兵招募加速</t>
  </si>
  <si>
    <t>弓兵招募加速</t>
    <phoneticPr fontId="1" type="noConversion"/>
  </si>
  <si>
    <t>器械招募加速</t>
  </si>
  <si>
    <t>器械招募加速</t>
    <phoneticPr fontId="1" type="noConversion"/>
  </si>
  <si>
    <t>效果值</t>
    <phoneticPr fontId="1" type="noConversion"/>
  </si>
  <si>
    <t>城建加速</t>
    <phoneticPr fontId="1" type="noConversion"/>
  </si>
  <si>
    <t>非Rbuff</t>
    <phoneticPr fontId="1" type="noConversion"/>
  </si>
  <si>
    <t>小Rbuff</t>
    <phoneticPr fontId="1" type="noConversion"/>
  </si>
  <si>
    <t>中Rbuff</t>
    <phoneticPr fontId="1" type="noConversion"/>
  </si>
  <si>
    <t>大Rbuff</t>
    <phoneticPr fontId="1" type="noConversion"/>
  </si>
  <si>
    <t>超Rbuff</t>
    <phoneticPr fontId="1" type="noConversion"/>
  </si>
  <si>
    <t>总计效果值</t>
    <phoneticPr fontId="1" type="noConversion"/>
  </si>
  <si>
    <t>1单位价值</t>
  </si>
  <si>
    <t>数据类型</t>
  </si>
  <si>
    <t>养成</t>
  </si>
  <si>
    <t>临时</t>
  </si>
  <si>
    <t>木产量额外增加+（天）</t>
  </si>
  <si>
    <t>固定值</t>
  </si>
  <si>
    <t>石产量额外增加+（天）</t>
  </si>
  <si>
    <t>粮产量额外增加+（天）</t>
  </si>
  <si>
    <t>铜产量额外增加+（天）</t>
  </si>
  <si>
    <t>铁产量额外增加+（天）</t>
  </si>
  <si>
    <t>刀币产量额外增加+（天）</t>
  </si>
  <si>
    <t>百分比</t>
  </si>
  <si>
    <t>打野武将经验%</t>
  </si>
  <si>
    <t>建筑木消耗减少%(除法）</t>
  </si>
  <si>
    <t>建筑石消耗减少%(除法）</t>
  </si>
  <si>
    <t>建筑铜消耗减少%(除法）</t>
  </si>
  <si>
    <t>建筑铁消耗减少%(除法）</t>
  </si>
  <si>
    <t>城池刀币产量加成%</t>
  </si>
  <si>
    <t>国建捐献上限增加%</t>
  </si>
  <si>
    <t>仓库上限增加%</t>
  </si>
  <si>
    <t>仓库保护量增加%</t>
  </si>
  <si>
    <t>负重增加%</t>
  </si>
  <si>
    <t>占领城池数量上限增加</t>
  </si>
  <si>
    <t>打野战损降低%(除法）</t>
  </si>
  <si>
    <t>行军速度增加%</t>
  </si>
  <si>
    <t>城防值上限增加%</t>
  </si>
  <si>
    <t>兵营上限增加%</t>
  </si>
  <si>
    <t>招募士兵消耗降低%(除法）</t>
  </si>
  <si>
    <t>城建全部效果提高%</t>
  </si>
  <si>
    <t>每日直接回复%兵力</t>
  </si>
  <si>
    <t>三维提升（全）</t>
  </si>
  <si>
    <t>值</t>
  </si>
  <si>
    <t>武将伤害提升%</t>
  </si>
  <si>
    <t>武将免伤提升%</t>
  </si>
  <si>
    <t>士兵伤害提升%</t>
  </si>
  <si>
    <t>士兵免伤提升%</t>
  </si>
  <si>
    <t>部队攻城力提升%</t>
  </si>
  <si>
    <t>玩家城防和城防恢复提高%</t>
  </si>
  <si>
    <t>国家城防提高%</t>
  </si>
  <si>
    <t>疲劳恢复速度提高%</t>
  </si>
  <si>
    <t>医馆上限增加</t>
  </si>
  <si>
    <t>铁产量增加</t>
    <phoneticPr fontId="1" type="noConversion"/>
  </si>
  <si>
    <t>铁采集增加</t>
    <phoneticPr fontId="1" type="noConversion"/>
  </si>
  <si>
    <t>治疗加速</t>
    <phoneticPr fontId="1" type="noConversion"/>
  </si>
  <si>
    <t>士兵训练消耗减少%(除法）</t>
    <phoneticPr fontId="1" type="noConversion"/>
  </si>
  <si>
    <t>士兵训练加速</t>
    <phoneticPr fontId="1" type="noConversion"/>
  </si>
  <si>
    <t>科研加速</t>
    <phoneticPr fontId="1" type="noConversion"/>
  </si>
  <si>
    <t>价值</t>
    <phoneticPr fontId="1" type="noConversion"/>
  </si>
  <si>
    <t>实力</t>
    <phoneticPr fontId="1" type="noConversion"/>
  </si>
  <si>
    <t>消耗数值美化</t>
    <phoneticPr fontId="1" type="noConversion"/>
  </si>
  <si>
    <t>消耗增加</t>
    <phoneticPr fontId="1" type="noConversion"/>
  </si>
  <si>
    <t>小R实力</t>
    <phoneticPr fontId="1" type="noConversion"/>
  </si>
  <si>
    <t>非R实力</t>
    <phoneticPr fontId="1" type="noConversion"/>
  </si>
  <si>
    <t>中R实力</t>
    <phoneticPr fontId="1" type="noConversion"/>
  </si>
  <si>
    <t>大R实力</t>
    <phoneticPr fontId="1" type="noConversion"/>
  </si>
  <si>
    <t>超R实力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</si>
</sst>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49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176" fontId="5" fillId="0" borderId="0" xfId="1" applyNumberFormat="1" applyFont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&#65288;&#26085;&#29256;&#6528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7861;&#65288;&#26085;&#29256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4"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Q4">
            <v>0.10358867312681475</v>
          </cell>
          <cell r="BR4">
            <v>9.9484920169810143E-2</v>
          </cell>
          <cell r="BS4">
            <v>9.5370882117675193E-2</v>
          </cell>
          <cell r="BT4">
            <v>9.1267553415695812E-2</v>
          </cell>
          <cell r="BU4">
            <v>8.7269311817030126E-2</v>
          </cell>
          <cell r="BX4">
            <v>3.4919352669146524</v>
          </cell>
          <cell r="BY4">
            <v>3.5640303448543476</v>
          </cell>
          <cell r="BZ4">
            <v>3.6425338741664604</v>
          </cell>
          <cell r="CA4">
            <v>3.7278827947172908</v>
          </cell>
          <cell r="CB4">
            <v>3.8187662869079366</v>
          </cell>
        </row>
        <row r="5"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Q5">
            <v>0.33387121731586833</v>
          </cell>
          <cell r="BR5">
            <v>0.3206446264738233</v>
          </cell>
          <cell r="BS5">
            <v>0.30738488628129679</v>
          </cell>
          <cell r="BT5">
            <v>0.29415966283336437</v>
          </cell>
          <cell r="BU5">
            <v>0.2812731401144638</v>
          </cell>
          <cell r="BX5">
            <v>4.977308377450588</v>
          </cell>
          <cell r="BY5">
            <v>5.0895603019048199</v>
          </cell>
          <cell r="BZ5">
            <v>5.2088085130582007</v>
          </cell>
          <cell r="CA5">
            <v>5.348253402094703</v>
          </cell>
          <cell r="CB5">
            <v>5.5020994005782997</v>
          </cell>
        </row>
        <row r="6"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Q6">
            <v>0.71853377040242361</v>
          </cell>
          <cell r="BR6">
            <v>0.69006844696511282</v>
          </cell>
          <cell r="BS6">
            <v>0.66153178186505168</v>
          </cell>
          <cell r="BT6">
            <v>0.63306940123561561</v>
          </cell>
          <cell r="BU6">
            <v>0.60533594810650693</v>
          </cell>
          <cell r="BX6">
            <v>6.1165253069520942</v>
          </cell>
          <cell r="BY6">
            <v>6.2666264078379221</v>
          </cell>
          <cell r="BZ6">
            <v>6.4370802003692873</v>
          </cell>
          <cell r="CA6">
            <v>6.6323388358436492</v>
          </cell>
          <cell r="CB6">
            <v>6.8403179035964721</v>
          </cell>
        </row>
        <row r="7"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Q7">
            <v>1.2712279162221225</v>
          </cell>
          <cell r="BR7">
            <v>1.2194461831474863</v>
          </cell>
          <cell r="BS7">
            <v>1.1691695709192234</v>
          </cell>
          <cell r="BT7">
            <v>1.1200180669001034</v>
          </cell>
          <cell r="BU7">
            <v>1.0742533268514161</v>
          </cell>
          <cell r="BX7">
            <v>7.0702756195404151</v>
          </cell>
          <cell r="BY7">
            <v>7.2477985806027867</v>
          </cell>
          <cell r="BZ7">
            <v>7.4530595043311552</v>
          </cell>
          <cell r="CA7">
            <v>7.6839780435255705</v>
          </cell>
          <cell r="CB7">
            <v>7.9454083416525796</v>
          </cell>
        </row>
        <row r="8"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Q8">
            <v>2.0157878378790723</v>
          </cell>
          <cell r="BR8">
            <v>1.9225452774961409</v>
          </cell>
          <cell r="BS8">
            <v>1.830216243198636</v>
          </cell>
          <cell r="BT8">
            <v>1.7360956328017618</v>
          </cell>
          <cell r="BU8">
            <v>1.6465506273391022</v>
          </cell>
          <cell r="BX8">
            <v>7.8924592775257718</v>
          </cell>
          <cell r="BY8">
            <v>8.0964284787133458</v>
          </cell>
          <cell r="BZ8">
            <v>8.3140998912475936</v>
          </cell>
          <cell r="CA8">
            <v>8.5599968276049641</v>
          </cell>
          <cell r="CB8">
            <v>8.8384248761652557</v>
          </cell>
        </row>
        <row r="9"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Q9">
            <v>2.871589098883871</v>
          </cell>
          <cell r="BR9">
            <v>2.7261617729946108</v>
          </cell>
          <cell r="BS9">
            <v>2.5843312604883417</v>
          </cell>
          <cell r="BT9">
            <v>2.4445753343885266</v>
          </cell>
          <cell r="BU9">
            <v>2.3151343284372583</v>
          </cell>
          <cell r="BX9">
            <v>8.6175479890862157</v>
          </cell>
          <cell r="BY9">
            <v>8.849843797743457</v>
          </cell>
          <cell r="BZ9">
            <v>9.1007395721182949</v>
          </cell>
          <cell r="CA9">
            <v>9.3635025505897787</v>
          </cell>
          <cell r="CB9">
            <v>9.6752186318997833</v>
          </cell>
        </row>
        <row r="10"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Q10">
            <v>3.9083908523902386</v>
          </cell>
          <cell r="BR10">
            <v>3.7000938700170019</v>
          </cell>
          <cell r="BS10">
            <v>3.4949550680198662</v>
          </cell>
          <cell r="BT10">
            <v>3.2977452115900578</v>
          </cell>
          <cell r="BU10">
            <v>3.1175616442680676</v>
          </cell>
          <cell r="BX10">
            <v>9.2992754060675331</v>
          </cell>
          <cell r="BY10">
            <v>9.5403165281128111</v>
          </cell>
          <cell r="BZ10">
            <v>9.8205867658616608</v>
          </cell>
          <cell r="CA10">
            <v>10.128686248037246</v>
          </cell>
          <cell r="CB10">
            <v>10.460138723751793</v>
          </cell>
        </row>
        <row r="11"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Q11">
            <v>5.1220396939633002</v>
          </cell>
          <cell r="BR11">
            <v>4.8616228494416447</v>
          </cell>
          <cell r="BS11">
            <v>4.5815795834661612</v>
          </cell>
          <cell r="BT11">
            <v>4.3105632736922681</v>
          </cell>
          <cell r="BU11">
            <v>4.0494061619177515</v>
          </cell>
          <cell r="BX11">
            <v>9.9503115729287064</v>
          </cell>
          <cell r="BY11">
            <v>10.209179596854964</v>
          </cell>
          <cell r="BZ11">
            <v>10.501003645853389</v>
          </cell>
          <cell r="CA11">
            <v>10.838817158161019</v>
          </cell>
          <cell r="CB11">
            <v>11.201197012273351</v>
          </cell>
        </row>
        <row r="12"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Q12">
            <v>6.5073154848533106</v>
          </cell>
          <cell r="BR12">
            <v>6.182955000821134</v>
          </cell>
          <cell r="BS12">
            <v>5.8458242478885518</v>
          </cell>
          <cell r="BT12">
            <v>5.4937555014634736</v>
          </cell>
          <cell r="BU12">
            <v>5.1616447031846953</v>
          </cell>
          <cell r="BX12">
            <v>10.62858551654854</v>
          </cell>
          <cell r="BY12">
            <v>10.92759887154785</v>
          </cell>
          <cell r="BZ12">
            <v>11.242219885173299</v>
          </cell>
          <cell r="CA12">
            <v>11.610247668732617</v>
          </cell>
          <cell r="CB12">
            <v>12.017497952687538</v>
          </cell>
        </row>
        <row r="13"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Q13">
            <v>8.071211008105136</v>
          </cell>
          <cell r="BR13">
            <v>7.6806609280366285</v>
          </cell>
          <cell r="BS13">
            <v>7.2577959560771719</v>
          </cell>
          <cell r="BT13">
            <v>6.8275081581253696</v>
          </cell>
          <cell r="BU13">
            <v>6.4063898414553373</v>
          </cell>
          <cell r="BX13">
            <v>11.296493250964016</v>
          </cell>
          <cell r="BY13">
            <v>11.607260419981094</v>
          </cell>
          <cell r="BZ13">
            <v>11.973224677412396</v>
          </cell>
          <cell r="CA13">
            <v>12.359692277800681</v>
          </cell>
          <cell r="CB13">
            <v>12.803444306803474</v>
          </cell>
        </row>
        <row r="14"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Q14">
            <v>9.5120454660969038</v>
          </cell>
          <cell r="BR14">
            <v>9.0908055284315381</v>
          </cell>
          <cell r="BS14">
            <v>8.6331257373661145</v>
          </cell>
          <cell r="BT14">
            <v>8.1811718053632738</v>
          </cell>
          <cell r="BU14">
            <v>7.6920934414083888</v>
          </cell>
          <cell r="BX14">
            <v>11.947729331634296</v>
          </cell>
          <cell r="BY14">
            <v>12.268098330256127</v>
          </cell>
          <cell r="BZ14">
            <v>12.644330976574002</v>
          </cell>
          <cell r="CA14">
            <v>13.069974059992543</v>
          </cell>
          <cell r="CB14">
            <v>13.547253897167892</v>
          </cell>
        </row>
        <row r="15"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Q15">
            <v>11.074888753130331</v>
          </cell>
          <cell r="BR15">
            <v>10.551555449265667</v>
          </cell>
          <cell r="BS15">
            <v>10.033713322824047</v>
          </cell>
          <cell r="BT15">
            <v>9.4763743598650301</v>
          </cell>
          <cell r="BU15">
            <v>8.9745731744178503</v>
          </cell>
          <cell r="BX15">
            <v>12.542132297048981</v>
          </cell>
          <cell r="BY15">
            <v>12.897943579612605</v>
          </cell>
          <cell r="BZ15">
            <v>13.295232951964469</v>
          </cell>
          <cell r="CA15">
            <v>13.76223932139796</v>
          </cell>
          <cell r="CB15">
            <v>14.265591764569512</v>
          </cell>
        </row>
        <row r="16"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Q16">
            <v>12.728996915718925</v>
          </cell>
          <cell r="BR16">
            <v>12.142721275836225</v>
          </cell>
          <cell r="BS16">
            <v>11.503343391504416</v>
          </cell>
          <cell r="BT16">
            <v>10.885031205321049</v>
          </cell>
          <cell r="BU16">
            <v>10.232039772979649</v>
          </cell>
          <cell r="BX16">
            <v>13.143190924164548</v>
          </cell>
          <cell r="BY16">
            <v>13.515704114816591</v>
          </cell>
          <cell r="BZ16">
            <v>13.955379012797932</v>
          </cell>
          <cell r="CA16">
            <v>14.429987921274376</v>
          </cell>
          <cell r="CB16">
            <v>14.981817088938907</v>
          </cell>
        </row>
        <row r="17"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Q17">
            <v>14.478648759442287</v>
          </cell>
          <cell r="BR17">
            <v>13.801686811891411</v>
          </cell>
          <cell r="BS17">
            <v>13.066802237788149</v>
          </cell>
          <cell r="BT17">
            <v>12.317859861087916</v>
          </cell>
          <cell r="BU17">
            <v>11.589582338965862</v>
          </cell>
          <cell r="BX17">
            <v>13.709487920387797</v>
          </cell>
          <cell r="BY17">
            <v>14.100956885571147</v>
          </cell>
          <cell r="BZ17">
            <v>14.525291242595772</v>
          </cell>
          <cell r="CA17">
            <v>15.034528001908788</v>
          </cell>
          <cell r="CB17">
            <v>15.548154022600523</v>
          </cell>
        </row>
        <row r="18"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Q18">
            <v>16.315139190025224</v>
          </cell>
          <cell r="BR18">
            <v>15.561358773741674</v>
          </cell>
          <cell r="BS18">
            <v>14.762349831349963</v>
          </cell>
          <cell r="BT18">
            <v>13.933035582501875</v>
          </cell>
          <cell r="BU18">
            <v>13.02723395474071</v>
          </cell>
          <cell r="BX18">
            <v>14.266658834916136</v>
          </cell>
          <cell r="BY18">
            <v>14.660415593263824</v>
          </cell>
          <cell r="BZ18">
            <v>15.124897159472612</v>
          </cell>
          <cell r="CA18">
            <v>15.620787661421978</v>
          </cell>
          <cell r="CB18">
            <v>16.186655799493046</v>
          </cell>
        </row>
        <row r="19"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Q19">
            <v>18.226342304552581</v>
          </cell>
          <cell r="BR19">
            <v>17.420973982667814</v>
          </cell>
          <cell r="BS19">
            <v>16.55360159735687</v>
          </cell>
          <cell r="BT19">
            <v>15.589627930182091</v>
          </cell>
          <cell r="BU19">
            <v>14.671687356650759</v>
          </cell>
          <cell r="BX19">
            <v>14.814845624513547</v>
          </cell>
          <cell r="BY19">
            <v>15.223953663630512</v>
          </cell>
          <cell r="BZ19">
            <v>15.68326996451129</v>
          </cell>
          <cell r="CA19">
            <v>16.223055450854915</v>
          </cell>
          <cell r="CB19">
            <v>16.836396297114952</v>
          </cell>
        </row>
        <row r="20"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Q20">
            <v>20.20181641490861</v>
          </cell>
          <cell r="BR20">
            <v>19.316761289213389</v>
          </cell>
          <cell r="BS20">
            <v>18.361080760620879</v>
          </cell>
          <cell r="BT20">
            <v>17.369785176246889</v>
          </cell>
          <cell r="BU20">
            <v>16.290326765372022</v>
          </cell>
          <cell r="BX20">
            <v>15.339606019664149</v>
          </cell>
          <cell r="BY20">
            <v>15.750302066190816</v>
          </cell>
          <cell r="BZ20">
            <v>16.215846584296784</v>
          </cell>
          <cell r="CA20">
            <v>16.764198848718195</v>
          </cell>
          <cell r="CB20">
            <v>17.338393226762065</v>
          </cell>
        </row>
        <row r="21"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Q21">
            <v>22.23257120211764</v>
          </cell>
          <cell r="BR21">
            <v>21.313236761787984</v>
          </cell>
          <cell r="BS21">
            <v>20.31364557414641</v>
          </cell>
          <cell r="BT21">
            <v>19.206606162403641</v>
          </cell>
          <cell r="BU21">
            <v>18.113419670820548</v>
          </cell>
          <cell r="BX21">
            <v>15.871072726902106</v>
          </cell>
          <cell r="BY21">
            <v>16.290260811148702</v>
          </cell>
          <cell r="BZ21">
            <v>16.78909022643807</v>
          </cell>
          <cell r="CA21">
            <v>17.340049562343136</v>
          </cell>
          <cell r="CB21">
            <v>17.928688718553115</v>
          </cell>
        </row>
        <row r="22"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Q22">
            <v>24.310866931512376</v>
          </cell>
          <cell r="BR22">
            <v>23.346355732194773</v>
          </cell>
          <cell r="BS22">
            <v>22.270075478919804</v>
          </cell>
          <cell r="BT22">
            <v>21.127034033068878</v>
          </cell>
          <cell r="BU22">
            <v>19.990401674856564</v>
          </cell>
          <cell r="BX22">
            <v>16.372441911687645</v>
          </cell>
          <cell r="BY22">
            <v>16.824360525554045</v>
          </cell>
          <cell r="BZ22">
            <v>17.315787914321945</v>
          </cell>
          <cell r="CA22">
            <v>17.881687348051518</v>
          </cell>
          <cell r="CB22">
            <v>18.472191841608893</v>
          </cell>
        </row>
        <row r="23"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Q23">
            <v>26.430041330048915</v>
          </cell>
          <cell r="BR23">
            <v>25.411137335118717</v>
          </cell>
          <cell r="BS23">
            <v>24.291601023356559</v>
          </cell>
          <cell r="BT23">
            <v>23.104674507319633</v>
          </cell>
          <cell r="BU23">
            <v>21.807019312177008</v>
          </cell>
          <cell r="BX23">
            <v>16.888397947066121</v>
          </cell>
          <cell r="BY23">
            <v>17.320567635394323</v>
          </cell>
          <cell r="BZ23">
            <v>17.821544339079665</v>
          </cell>
          <cell r="CA23">
            <v>18.384863983569073</v>
          </cell>
          <cell r="CB23">
            <v>19.004337291338853</v>
          </cell>
        </row>
        <row r="24"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Q24">
            <v>28.584360328652647</v>
          </cell>
          <cell r="BR24">
            <v>27.538147336025965</v>
          </cell>
          <cell r="BS24">
            <v>26.374084715154964</v>
          </cell>
          <cell r="BT24">
            <v>25.113701488415835</v>
          </cell>
          <cell r="BU24">
            <v>23.834029842136172</v>
          </cell>
          <cell r="BX24">
            <v>17.373487155583607</v>
          </cell>
          <cell r="BY24">
            <v>17.826194772754434</v>
          </cell>
          <cell r="BZ24">
            <v>18.330803528855718</v>
          </cell>
          <cell r="CA24">
            <v>18.92494047784373</v>
          </cell>
          <cell r="CB24">
            <v>19.541473862851607</v>
          </cell>
        </row>
        <row r="25"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Q25">
            <v>30.768889392009427</v>
          </cell>
          <cell r="BR25">
            <v>29.682299134892848</v>
          </cell>
          <cell r="BS25">
            <v>28.504605619902428</v>
          </cell>
          <cell r="BT25">
            <v>27.228985792746204</v>
          </cell>
          <cell r="BU25">
            <v>25.905106178844033</v>
          </cell>
          <cell r="BX25">
            <v>17.874992861074709</v>
          </cell>
          <cell r="BY25">
            <v>18.322795653110926</v>
          </cell>
          <cell r="BZ25">
            <v>18.856122636792893</v>
          </cell>
          <cell r="CA25">
            <v>19.437362382301988</v>
          </cell>
          <cell r="CB25">
            <v>20.093055324260185</v>
          </cell>
        </row>
        <row r="26"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Q26">
            <v>32.979382606869549</v>
          </cell>
          <cell r="BR26">
            <v>31.845462834406923</v>
          </cell>
          <cell r="BS26">
            <v>30.615521552489891</v>
          </cell>
          <cell r="BT26">
            <v>29.279653557700659</v>
          </cell>
          <cell r="BU26">
            <v>27.953695907743711</v>
          </cell>
          <cell r="BX26">
            <v>18.349419791058079</v>
          </cell>
          <cell r="BY26">
            <v>18.812694466249869</v>
          </cell>
          <cell r="BZ26">
            <v>19.32971877176227</v>
          </cell>
          <cell r="CA26">
            <v>19.940393983271228</v>
          </cell>
          <cell r="CB26">
            <v>20.55086831448148</v>
          </cell>
        </row>
        <row r="27"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Q27">
            <v>35.197977552877902</v>
          </cell>
          <cell r="BR27">
            <v>34.072116335246974</v>
          </cell>
          <cell r="BS27">
            <v>32.816661243819851</v>
          </cell>
          <cell r="BT27">
            <v>31.412793977181359</v>
          </cell>
          <cell r="BU27">
            <v>29.964600225621755</v>
          </cell>
          <cell r="BX27">
            <v>18.837411459307198</v>
          </cell>
          <cell r="BY27">
            <v>19.299728534552713</v>
          </cell>
          <cell r="BZ27">
            <v>19.843744575465458</v>
          </cell>
          <cell r="CA27">
            <v>20.432690473143754</v>
          </cell>
          <cell r="CB27">
            <v>21.075914438033141</v>
          </cell>
        </row>
        <row r="28"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Q28">
            <v>37.433077144085807</v>
          </cell>
          <cell r="BR28">
            <v>36.256047084538473</v>
          </cell>
          <cell r="BS28">
            <v>34.973799799710449</v>
          </cell>
          <cell r="BT28">
            <v>33.570278782515963</v>
          </cell>
          <cell r="BU28">
            <v>32.075561469230017</v>
          </cell>
          <cell r="BX28">
            <v>19.305616573096692</v>
          </cell>
          <cell r="BY28">
            <v>19.786727569248686</v>
          </cell>
          <cell r="BZ28">
            <v>20.32215968530463</v>
          </cell>
          <cell r="CA28">
            <v>20.939833289691578</v>
          </cell>
          <cell r="CB28">
            <v>21.544273429748305</v>
          </cell>
        </row>
        <row r="29"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Q29">
            <v>39.683540456879165</v>
          </cell>
          <cell r="BR29">
            <v>38.510750823022413</v>
          </cell>
          <cell r="BS29">
            <v>37.198506294230036</v>
          </cell>
          <cell r="BT29">
            <v>35.753927091474367</v>
          </cell>
          <cell r="BU29">
            <v>34.222396456091865</v>
          </cell>
          <cell r="BX29">
            <v>19.780926419241737</v>
          </cell>
          <cell r="BY29">
            <v>20.259244188823619</v>
          </cell>
          <cell r="BZ29">
            <v>20.806693001307259</v>
          </cell>
          <cell r="CA29">
            <v>21.398356957135043</v>
          </cell>
          <cell r="CB29">
            <v>22.040613536331495</v>
          </cell>
        </row>
        <row r="30"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Q30">
            <v>41.947199016886806</v>
          </cell>
          <cell r="BR30">
            <v>40.787439392565133</v>
          </cell>
          <cell r="BS30">
            <v>39.486304880774611</v>
          </cell>
          <cell r="BT30">
            <v>38.056251761612167</v>
          </cell>
          <cell r="BU30">
            <v>36.474789469426575</v>
          </cell>
          <cell r="BX30">
            <v>20.246416839245761</v>
          </cell>
          <cell r="BY30">
            <v>20.730530825071739</v>
          </cell>
          <cell r="BZ30">
            <v>21.274723266233853</v>
          </cell>
          <cell r="CA30">
            <v>21.881755925323187</v>
          </cell>
          <cell r="CB30">
            <v>22.50487323022379</v>
          </cell>
        </row>
        <row r="31"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Q31">
            <v>44.207309026381338</v>
          </cell>
          <cell r="BR31">
            <v>43.001962251090099</v>
          </cell>
          <cell r="BS31">
            <v>41.684581461949612</v>
          </cell>
          <cell r="BT31">
            <v>40.269613788949812</v>
          </cell>
          <cell r="BU31">
            <v>38.716188571600512</v>
          </cell>
          <cell r="BX31">
            <v>20.709789085251497</v>
          </cell>
          <cell r="BY31">
            <v>21.196432625118295</v>
          </cell>
          <cell r="BZ31">
            <v>21.73332002826092</v>
          </cell>
          <cell r="CA31">
            <v>22.338424098785335</v>
          </cell>
          <cell r="CB31">
            <v>23.020448156730307</v>
          </cell>
        </row>
        <row r="32"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Q32">
            <v>46.472959498348729</v>
          </cell>
          <cell r="BR32">
            <v>45.255017621525596</v>
          </cell>
          <cell r="BS32">
            <v>43.924726999026539</v>
          </cell>
          <cell r="BT32">
            <v>42.440671676816109</v>
          </cell>
          <cell r="BU32">
            <v>40.873232138623273</v>
          </cell>
          <cell r="BX32">
            <v>21.175328404170024</v>
          </cell>
          <cell r="BY32">
            <v>21.66151840648989</v>
          </cell>
          <cell r="BZ32">
            <v>22.222544796364009</v>
          </cell>
          <cell r="CA32">
            <v>22.854718731192797</v>
          </cell>
          <cell r="CB32">
            <v>23.517361184365331</v>
          </cell>
        </row>
        <row r="33"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Q33">
            <v>48.746400836475651</v>
          </cell>
          <cell r="BR33">
            <v>47.534861085979394</v>
          </cell>
          <cell r="BS33">
            <v>46.203853617695223</v>
          </cell>
          <cell r="BT33">
            <v>44.710696649522191</v>
          </cell>
          <cell r="BU33">
            <v>43.073827164214144</v>
          </cell>
          <cell r="BX33">
            <v>21.627432338833255</v>
          </cell>
          <cell r="BY33">
            <v>22.133969730796721</v>
          </cell>
          <cell r="BZ33">
            <v>22.690075277664143</v>
          </cell>
          <cell r="CA33">
            <v>23.318316384114386</v>
          </cell>
          <cell r="CB33">
            <v>24.015075841763835</v>
          </cell>
        </row>
        <row r="34"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Q34">
            <v>51.024751728602688</v>
          </cell>
          <cell r="BR34">
            <v>49.81327866937707</v>
          </cell>
          <cell r="BS34">
            <v>48.49295716189016</v>
          </cell>
          <cell r="BT34">
            <v>47.007818211309306</v>
          </cell>
          <cell r="BU34">
            <v>45.378719658137989</v>
          </cell>
          <cell r="BX34">
            <v>22.095189537639744</v>
          </cell>
          <cell r="BY34">
            <v>22.590285126353667</v>
          </cell>
          <cell r="BZ34">
            <v>23.164669534623123</v>
          </cell>
          <cell r="CA34">
            <v>23.790108012583765</v>
          </cell>
          <cell r="CB34">
            <v>24.476288482572343</v>
          </cell>
        </row>
        <row r="35"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Q35">
            <v>53.291472423922521</v>
          </cell>
          <cell r="BR35">
            <v>52.125901161769718</v>
          </cell>
          <cell r="BS35">
            <v>50.840747976078326</v>
          </cell>
          <cell r="BT35">
            <v>49.375604977850649</v>
          </cell>
          <cell r="BU35">
            <v>47.775197036238126</v>
          </cell>
          <cell r="BX35">
            <v>22.536630202092223</v>
          </cell>
          <cell r="BY35">
            <v>23.063701323157773</v>
          </cell>
          <cell r="BZ35">
            <v>23.615240622314541</v>
          </cell>
          <cell r="CA35">
            <v>24.25413190852499</v>
          </cell>
          <cell r="CB35">
            <v>24.96122010782668</v>
          </cell>
        </row>
        <row r="36"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Q36">
            <v>55.562784736889313</v>
          </cell>
          <cell r="BR36">
            <v>54.355378546520704</v>
          </cell>
          <cell r="BS36">
            <v>53.035165520933894</v>
          </cell>
          <cell r="BT36">
            <v>51.629711452863589</v>
          </cell>
          <cell r="BU36">
            <v>50.042836137195067</v>
          </cell>
          <cell r="BX36">
            <v>23.008297311415273</v>
          </cell>
          <cell r="BY36">
            <v>23.490868763053822</v>
          </cell>
          <cell r="BZ36">
            <v>24.073520379044336</v>
          </cell>
          <cell r="CA36">
            <v>24.709259009726921</v>
          </cell>
          <cell r="CB36">
            <v>25.404062586103631</v>
          </cell>
        </row>
        <row r="37"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Q37">
            <v>57.838035023028112</v>
          </cell>
          <cell r="BR37">
            <v>56.663402979853082</v>
          </cell>
          <cell r="BS37">
            <v>55.366968636624627</v>
          </cell>
          <cell r="BT37">
            <v>53.918275980301416</v>
          </cell>
          <cell r="BU37">
            <v>52.327997946582151</v>
          </cell>
          <cell r="BX37">
            <v>23.439624304552691</v>
          </cell>
          <cell r="BY37">
            <v>23.962932129146886</v>
          </cell>
          <cell r="BZ37">
            <v>24.525526780322963</v>
          </cell>
          <cell r="CA37">
            <v>25.186582215718527</v>
          </cell>
          <cell r="CB37">
            <v>25.887144728338249</v>
          </cell>
        </row>
        <row r="38"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Q38">
            <v>60.108849423225884</v>
          </cell>
          <cell r="BR38">
            <v>58.959670032750353</v>
          </cell>
          <cell r="BS38">
            <v>57.686819122040689</v>
          </cell>
          <cell r="BT38">
            <v>56.279027610646125</v>
          </cell>
          <cell r="BU38">
            <v>54.706384157580409</v>
          </cell>
          <cell r="BX38">
            <v>23.901909129472951</v>
          </cell>
          <cell r="BY38">
            <v>24.40594174135834</v>
          </cell>
          <cell r="BZ38">
            <v>25.010872039771339</v>
          </cell>
          <cell r="CA38">
            <v>25.641910798382057</v>
          </cell>
          <cell r="CB38">
            <v>26.336246235371831</v>
          </cell>
        </row>
        <row r="39"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Q39">
            <v>62.233138599165841</v>
          </cell>
          <cell r="BR39">
            <v>61.094363540297287</v>
          </cell>
          <cell r="BS39">
            <v>59.843011412474425</v>
          </cell>
          <cell r="BT39">
            <v>58.455174432146173</v>
          </cell>
          <cell r="BU39">
            <v>56.931905949406854</v>
          </cell>
          <cell r="BX39">
            <v>24.338224722802163</v>
          </cell>
          <cell r="BY39">
            <v>24.874135482075868</v>
          </cell>
          <cell r="BZ39">
            <v>25.442715250695745</v>
          </cell>
          <cell r="CA39">
            <v>26.0995934757591</v>
          </cell>
          <cell r="CB39">
            <v>26.766316250847538</v>
          </cell>
        </row>
        <row r="40"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Q40">
            <v>64.359497111737156</v>
          </cell>
          <cell r="BR40">
            <v>63.209317326948991</v>
          </cell>
          <cell r="BS40">
            <v>61.962579408406434</v>
          </cell>
          <cell r="BT40">
            <v>60.595449466932955</v>
          </cell>
          <cell r="BU40">
            <v>59.095772172790291</v>
          </cell>
          <cell r="BX40">
            <v>24.790207436719726</v>
          </cell>
          <cell r="BY40">
            <v>25.311453581089211</v>
          </cell>
          <cell r="BZ40">
            <v>25.904599594946017</v>
          </cell>
          <cell r="CA40">
            <v>26.520408035249631</v>
          </cell>
          <cell r="CB40">
            <v>27.220389775920598</v>
          </cell>
        </row>
        <row r="41"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Q41">
            <v>66.487641207576758</v>
          </cell>
          <cell r="BR41">
            <v>65.328126673719694</v>
          </cell>
          <cell r="BS41">
            <v>64.062055525287363</v>
          </cell>
          <cell r="BT41">
            <v>62.675920173751969</v>
          </cell>
          <cell r="BU41">
            <v>61.182714958690575</v>
          </cell>
          <cell r="BX41">
            <v>25.233890826430223</v>
          </cell>
          <cell r="BY41">
            <v>25.758552007948477</v>
          </cell>
          <cell r="BZ41">
            <v>26.328232260907932</v>
          </cell>
          <cell r="CA41">
            <v>26.972253230365787</v>
          </cell>
          <cell r="CB41">
            <v>27.655588848776532</v>
          </cell>
        </row>
        <row r="42"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Q42">
            <v>68.617325920549462</v>
          </cell>
          <cell r="BR42">
            <v>67.444013295864096</v>
          </cell>
          <cell r="BS42">
            <v>66.152018816255293</v>
          </cell>
          <cell r="BT42">
            <v>64.756218484668864</v>
          </cell>
          <cell r="BU42">
            <v>63.227467500622204</v>
          </cell>
          <cell r="BX42">
            <v>25.676063828071452</v>
          </cell>
          <cell r="BY42">
            <v>26.19708330565534</v>
          </cell>
          <cell r="BZ42">
            <v>26.766006813599326</v>
          </cell>
          <cell r="CA42">
            <v>27.396883495694844</v>
          </cell>
          <cell r="CB42">
            <v>28.116418470149469</v>
          </cell>
        </row>
        <row r="43"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Q43">
            <v>70.748339784677938</v>
          </cell>
          <cell r="BR43">
            <v>69.615263433680354</v>
          </cell>
          <cell r="BS43">
            <v>68.367495331711169</v>
          </cell>
          <cell r="BT43">
            <v>66.978083215330415</v>
          </cell>
          <cell r="BU43">
            <v>65.42062527862636</v>
          </cell>
          <cell r="BX43">
            <v>26.127796402772656</v>
          </cell>
          <cell r="BY43">
            <v>26.626710211681832</v>
          </cell>
          <cell r="BZ43">
            <v>27.210732057225155</v>
          </cell>
          <cell r="CA43">
            <v>27.863833570485102</v>
          </cell>
          <cell r="CB43">
            <v>28.568390277483555</v>
          </cell>
        </row>
        <row r="44"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Q44">
            <v>72.880500265925534</v>
          </cell>
          <cell r="BR44">
            <v>71.728439272842749</v>
          </cell>
          <cell r="BS44">
            <v>70.476853761910021</v>
          </cell>
          <cell r="BT44">
            <v>69.13548950479607</v>
          </cell>
          <cell r="BU44">
            <v>67.614538970700607</v>
          </cell>
          <cell r="BX44">
            <v>26.560612527540403</v>
          </cell>
          <cell r="BY44">
            <v>27.085909727083454</v>
          </cell>
          <cell r="BZ44">
            <v>27.660585260415356</v>
          </cell>
          <cell r="CA44">
            <v>28.314646355865854</v>
          </cell>
          <cell r="CB44">
            <v>29.053470241147885</v>
          </cell>
        </row>
        <row r="45"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Q45">
            <v>75.012735728019962</v>
          </cell>
          <cell r="BR45">
            <v>73.895779769437553</v>
          </cell>
          <cell r="BS45">
            <v>72.65984060067882</v>
          </cell>
          <cell r="BT45">
            <v>71.293724037797247</v>
          </cell>
          <cell r="BU45">
            <v>69.810299559768239</v>
          </cell>
          <cell r="BX45">
            <v>27.020882333389096</v>
          </cell>
          <cell r="BY45">
            <v>27.534650375663031</v>
          </cell>
          <cell r="BZ45">
            <v>28.133393592464987</v>
          </cell>
          <cell r="CA45">
            <v>28.789161632421735</v>
          </cell>
          <cell r="CB45">
            <v>29.507063914299049</v>
          </cell>
        </row>
        <row r="46"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Q46">
            <v>77.137764615612369</v>
          </cell>
          <cell r="BR46">
            <v>76.018081402346411</v>
          </cell>
          <cell r="BS46">
            <v>74.771148405180824</v>
          </cell>
          <cell r="BT46">
            <v>73.446658299619131</v>
          </cell>
          <cell r="BU46">
            <v>71.964465094771541</v>
          </cell>
          <cell r="BX46">
            <v>27.444759493295177</v>
          </cell>
          <cell r="BY46">
            <v>27.999026312380973</v>
          </cell>
          <cell r="BZ46">
            <v>28.572743465906495</v>
          </cell>
          <cell r="CA46">
            <v>29.228371965502063</v>
          </cell>
          <cell r="CB46">
            <v>29.964225263024609</v>
          </cell>
        </row>
        <row r="47"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Q47">
            <v>79.263479982320931</v>
          </cell>
          <cell r="BR47">
            <v>78.132225077256265</v>
          </cell>
          <cell r="BS47">
            <v>76.889385936298638</v>
          </cell>
          <cell r="BT47">
            <v>75.547388626818275</v>
          </cell>
          <cell r="BU47">
            <v>74.085064391446963</v>
          </cell>
          <cell r="BX47">
            <v>27.899059784657766</v>
          </cell>
          <cell r="BY47">
            <v>28.42242948848067</v>
          </cell>
          <cell r="BZ47">
            <v>29.029679451959648</v>
          </cell>
          <cell r="CA47">
            <v>29.665539289707144</v>
          </cell>
          <cell r="CB47">
            <v>30.383161594939057</v>
          </cell>
        </row>
        <row r="48"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Q48">
            <v>81.389787349771211</v>
          </cell>
          <cell r="BR48">
            <v>80.245839937472738</v>
          </cell>
          <cell r="BS48">
            <v>78.990840028799411</v>
          </cell>
          <cell r="BT48">
            <v>77.645290038760592</v>
          </cell>
          <cell r="BU48">
            <v>76.140895902703022</v>
          </cell>
          <cell r="BX48">
            <v>28.329224478524736</v>
          </cell>
          <cell r="BY48">
            <v>28.87680933825774</v>
          </cell>
          <cell r="BZ48">
            <v>29.451960522840583</v>
          </cell>
          <cell r="CA48">
            <v>30.116236887917406</v>
          </cell>
          <cell r="CB48">
            <v>30.827767428124027</v>
          </cell>
        </row>
        <row r="49"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Q49">
            <v>83.516605196495291</v>
          </cell>
          <cell r="BR49">
            <v>82.409830559291493</v>
          </cell>
          <cell r="BS49">
            <v>81.207352055772077</v>
          </cell>
          <cell r="BT49">
            <v>79.853954326796469</v>
          </cell>
          <cell r="BU49">
            <v>78.340013067243973</v>
          </cell>
          <cell r="BX49">
            <v>28.77435892693326</v>
          </cell>
          <cell r="BY49">
            <v>29.307110785373723</v>
          </cell>
          <cell r="BZ49">
            <v>29.901500340512762</v>
          </cell>
          <cell r="CA49">
            <v>30.541959062513101</v>
          </cell>
          <cell r="CB49">
            <v>31.241319778905254</v>
          </cell>
        </row>
        <row r="50"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Q50">
            <v>85.643863186592412</v>
          </cell>
          <cell r="BR50">
            <v>84.53544812855209</v>
          </cell>
          <cell r="BS50">
            <v>83.32493049129468</v>
          </cell>
          <cell r="BT50">
            <v>82.027450452783569</v>
          </cell>
          <cell r="BU50">
            <v>80.54663523468885</v>
          </cell>
          <cell r="BX50">
            <v>29.214575269515649</v>
          </cell>
          <cell r="BY50">
            <v>29.749456349782722</v>
          </cell>
          <cell r="BZ50">
            <v>30.328427037480733</v>
          </cell>
          <cell r="CA50">
            <v>30.996355742175876</v>
          </cell>
          <cell r="CB50">
            <v>31.657589077576048</v>
          </cell>
        </row>
        <row r="51"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Q51">
            <v>87.771500639866005</v>
          </cell>
          <cell r="BR51">
            <v>86.672065508292405</v>
          </cell>
          <cell r="BS51">
            <v>85.481735065071589</v>
          </cell>
          <cell r="BT51">
            <v>84.173317183629351</v>
          </cell>
          <cell r="BU51">
            <v>82.729418319864251</v>
          </cell>
          <cell r="BX51">
            <v>29.65092898211061</v>
          </cell>
          <cell r="BY51">
            <v>30.186017902912305</v>
          </cell>
          <cell r="BZ51">
            <v>30.771956904722533</v>
          </cell>
          <cell r="CA51">
            <v>31.395003378607552</v>
          </cell>
          <cell r="CB51">
            <v>32.084842711724434</v>
          </cell>
        </row>
        <row r="52"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Q52">
            <v>89.899465210602642</v>
          </cell>
          <cell r="BR52">
            <v>88.787413007435532</v>
          </cell>
          <cell r="BS52">
            <v>87.591558541772201</v>
          </cell>
          <cell r="BT52">
            <v>86.275030259152317</v>
          </cell>
          <cell r="BU52">
            <v>84.851224267970963</v>
          </cell>
          <cell r="BX52">
            <v>30.101255625879666</v>
          </cell>
          <cell r="BY52">
            <v>30.620606377192669</v>
          </cell>
          <cell r="BZ52">
            <v>31.200336585588083</v>
          </cell>
          <cell r="CA52">
            <v>31.820892668144523</v>
          </cell>
          <cell r="CB52">
            <v>32.512459036550872</v>
          </cell>
        </row>
        <row r="53"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Q53">
            <v>92.02585597384136</v>
          </cell>
          <cell r="BR53">
            <v>91.028813161489012</v>
          </cell>
          <cell r="BS53">
            <v>89.944796604838743</v>
          </cell>
          <cell r="BT53">
            <v>88.648964439402022</v>
          </cell>
          <cell r="BU53">
            <v>87.254811090446921</v>
          </cell>
          <cell r="BX53">
            <v>30.529187213831889</v>
          </cell>
          <cell r="BY53">
            <v>31.07439649010124</v>
          </cell>
          <cell r="BZ53">
            <v>31.622732396398735</v>
          </cell>
          <cell r="CA53">
            <v>32.254400792232055</v>
          </cell>
          <cell r="CB53">
            <v>32.979479362275733</v>
          </cell>
        </row>
        <row r="54"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Q54">
            <v>94.145740969946885</v>
          </cell>
          <cell r="BR54">
            <v>93.183924727109627</v>
          </cell>
          <cell r="BS54">
            <v>92.135531632926771</v>
          </cell>
          <cell r="BT54">
            <v>91.002520783186228</v>
          </cell>
          <cell r="BU54">
            <v>89.726519272163628</v>
          </cell>
          <cell r="BX54">
            <v>30.987832933580094</v>
          </cell>
          <cell r="BY54">
            <v>31.478003617690753</v>
          </cell>
          <cell r="BZ54">
            <v>32.061058431778378</v>
          </cell>
          <cell r="CA54">
            <v>32.691861136941853</v>
          </cell>
          <cell r="CB54">
            <v>33.39192659810282</v>
          </cell>
        </row>
        <row r="55"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Q55">
            <v>96.265821375882837</v>
          </cell>
          <cell r="BR55">
            <v>95.320056465518832</v>
          </cell>
          <cell r="BS55">
            <v>94.309081972684396</v>
          </cell>
          <cell r="BT55">
            <v>93.208444061349098</v>
          </cell>
          <cell r="BU55">
            <v>92.03038330510195</v>
          </cell>
          <cell r="BX55">
            <v>31.409452382022582</v>
          </cell>
          <cell r="BY55">
            <v>31.937003907261929</v>
          </cell>
          <cell r="BZ55">
            <v>32.503757225034654</v>
          </cell>
          <cell r="CA55">
            <v>33.154875618998368</v>
          </cell>
          <cell r="CB55">
            <v>33.843039941845369</v>
          </cell>
        </row>
        <row r="56"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Q56">
            <v>98.386070168033314</v>
          </cell>
          <cell r="BR56">
            <v>97.463615621461287</v>
          </cell>
          <cell r="BS56">
            <v>96.485848981556117</v>
          </cell>
          <cell r="BT56">
            <v>95.421390644954613</v>
          </cell>
          <cell r="BU56">
            <v>94.2564978309629</v>
          </cell>
          <cell r="BX56">
            <v>31.859430310817384</v>
          </cell>
          <cell r="BY56">
            <v>32.373698557428163</v>
          </cell>
          <cell r="BZ56">
            <v>32.983145201793022</v>
          </cell>
          <cell r="CA56">
            <v>33.587424938353614</v>
          </cell>
          <cell r="CB56">
            <v>34.274966559784382</v>
          </cell>
        </row>
        <row r="57"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Q57">
            <v>100.5064640446531</v>
          </cell>
          <cell r="BR57">
            <v>99.5379191894814</v>
          </cell>
          <cell r="BS57">
            <v>98.506974116675693</v>
          </cell>
          <cell r="BT57">
            <v>97.444645169634811</v>
          </cell>
          <cell r="BU57">
            <v>96.315276464549527</v>
          </cell>
          <cell r="BX57">
            <v>32.291963103880526</v>
          </cell>
          <cell r="BY57">
            <v>32.832647261636957</v>
          </cell>
          <cell r="BZ57">
            <v>33.39527305342645</v>
          </cell>
          <cell r="CA57">
            <v>34.031395739895665</v>
          </cell>
          <cell r="CB57">
            <v>34.686702458597871</v>
          </cell>
        </row>
        <row r="58"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Q58">
            <v>102.62698291511826</v>
          </cell>
          <cell r="BR58">
            <v>101.66666489356477</v>
          </cell>
          <cell r="BS58">
            <v>100.60993958592766</v>
          </cell>
          <cell r="BT58">
            <v>99.483765111599226</v>
          </cell>
          <cell r="BU58">
            <v>98.289119177560053</v>
          </cell>
          <cell r="BX58">
            <v>32.733609014843147</v>
          </cell>
          <cell r="BY58">
            <v>33.259468274083204</v>
          </cell>
          <cell r="BZ58">
            <v>33.828861415776679</v>
          </cell>
          <cell r="CA58">
            <v>34.436170958710932</v>
          </cell>
          <cell r="CB58">
            <v>35.119323824093144</v>
          </cell>
        </row>
        <row r="59"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Q59">
            <v>104.74760945904168</v>
          </cell>
          <cell r="BR59">
            <v>103.83698778121276</v>
          </cell>
          <cell r="BS59">
            <v>102.85713143900996</v>
          </cell>
          <cell r="BT59">
            <v>101.75206987035675</v>
          </cell>
          <cell r="BU59">
            <v>100.52336200343598</v>
          </cell>
          <cell r="BX59">
            <v>33.176892907302189</v>
          </cell>
          <cell r="BY59">
            <v>33.68650047037341</v>
          </cell>
          <cell r="BZ59">
            <v>34.252426803545553</v>
          </cell>
          <cell r="CA59">
            <v>34.869671993596455</v>
          </cell>
          <cell r="CB59">
            <v>35.555098518625485</v>
          </cell>
        </row>
        <row r="60"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Q60">
            <v>106.86832874572353</v>
          </cell>
          <cell r="BR60">
            <v>105.93060744042049</v>
          </cell>
          <cell r="BS60">
            <v>104.93378702762401</v>
          </cell>
          <cell r="BT60">
            <v>103.87052361677672</v>
          </cell>
          <cell r="BU60">
            <v>102.71853803916484</v>
          </cell>
          <cell r="BX60">
            <v>33.610521693288518</v>
          </cell>
          <cell r="BY60">
            <v>34.136006917064577</v>
          </cell>
          <cell r="BZ60">
            <v>34.683321882159184</v>
          </cell>
          <cell r="CA60">
            <v>35.308560867691789</v>
          </cell>
          <cell r="CB60">
            <v>36.028038378653754</v>
          </cell>
        </row>
        <row r="61"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Q61">
            <v>108.98912790570419</v>
          </cell>
          <cell r="BR61">
            <v>108.05706415648734</v>
          </cell>
          <cell r="BS61">
            <v>107.0450185423547</v>
          </cell>
          <cell r="BT61">
            <v>105.98041084497018</v>
          </cell>
          <cell r="BU61">
            <v>104.81855388022134</v>
          </cell>
          <cell r="BX61">
            <v>34.064362584006396</v>
          </cell>
          <cell r="BY61">
            <v>34.555333392643561</v>
          </cell>
          <cell r="BZ61">
            <v>35.132313012164516</v>
          </cell>
          <cell r="CA61">
            <v>35.773967769083114</v>
          </cell>
          <cell r="CB61">
            <v>36.465928362136154</v>
          </cell>
        </row>
        <row r="62"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Q62">
            <v>111.10262975447033</v>
          </cell>
          <cell r="BR62">
            <v>110.20947507564244</v>
          </cell>
          <cell r="BS62">
            <v>109.25629876969376</v>
          </cell>
          <cell r="BT62">
            <v>108.20567887066987</v>
          </cell>
          <cell r="BU62">
            <v>107.05837602863994</v>
          </cell>
          <cell r="BX62">
            <v>34.490270152469755</v>
          </cell>
          <cell r="BY62">
            <v>35.017122693980703</v>
          </cell>
          <cell r="BZ62">
            <v>35.590118732830298</v>
          </cell>
          <cell r="CA62">
            <v>36.233346855347108</v>
          </cell>
          <cell r="CB62">
            <v>36.948702736645387</v>
          </cell>
        </row>
        <row r="63"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Q63">
            <v>113.21545878873063</v>
          </cell>
          <cell r="BR63">
            <v>112.29538714242203</v>
          </cell>
          <cell r="BS63">
            <v>111.32275250484524</v>
          </cell>
          <cell r="BT63">
            <v>110.29731048917512</v>
          </cell>
          <cell r="BU63">
            <v>109.19465210702913</v>
          </cell>
          <cell r="BX63">
            <v>34.946746581842135</v>
          </cell>
          <cell r="BY63">
            <v>35.462275685369235</v>
          </cell>
          <cell r="BZ63">
            <v>36.065833153381824</v>
          </cell>
          <cell r="CA63">
            <v>36.696861105963713</v>
          </cell>
          <cell r="CB63">
            <v>37.417758642742506</v>
          </cell>
        </row>
        <row r="64"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Q64">
            <v>115.32833539528137</v>
          </cell>
          <cell r="BR64">
            <v>114.41842394774007</v>
          </cell>
          <cell r="BS64">
            <v>113.42974477170841</v>
          </cell>
          <cell r="BT64">
            <v>112.37441833838224</v>
          </cell>
          <cell r="BU64">
            <v>111.23877737165789</v>
          </cell>
          <cell r="BX64">
            <v>35.39948832484999</v>
          </cell>
          <cell r="BY64">
            <v>35.951121278937144</v>
          </cell>
          <cell r="BZ64">
            <v>36.523226353203405</v>
          </cell>
          <cell r="CA64">
            <v>37.177648787597903</v>
          </cell>
          <cell r="CB64">
            <v>37.899048700813722</v>
          </cell>
        </row>
        <row r="65"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Q65">
            <v>117.44125295293078</v>
          </cell>
          <cell r="BR65">
            <v>116.57008716694446</v>
          </cell>
          <cell r="BS65">
            <v>115.63935175516689</v>
          </cell>
          <cell r="BT65">
            <v>114.60606674176169</v>
          </cell>
          <cell r="BU65">
            <v>113.4549371467006</v>
          </cell>
          <cell r="BX65">
            <v>35.879946954767739</v>
          </cell>
          <cell r="BY65">
            <v>36.404595889192997</v>
          </cell>
          <cell r="BZ65">
            <v>37.015987444264518</v>
          </cell>
          <cell r="CA65">
            <v>37.65260406528229</v>
          </cell>
          <cell r="CB65">
            <v>38.389532424015663</v>
          </cell>
        </row>
        <row r="66"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Q66">
            <v>119.55420575752977</v>
          </cell>
          <cell r="BR66">
            <v>118.67207694028556</v>
          </cell>
          <cell r="BS66">
            <v>117.73975971101574</v>
          </cell>
          <cell r="BT66">
            <v>116.73393678080937</v>
          </cell>
          <cell r="BU66">
            <v>115.65492353979617</v>
          </cell>
          <cell r="BX66">
            <v>36.340586819184892</v>
          </cell>
          <cell r="BY66">
            <v>36.891430076047094</v>
          </cell>
          <cell r="BZ66">
            <v>37.472329150700546</v>
          </cell>
          <cell r="CA66">
            <v>38.143685709059689</v>
          </cell>
          <cell r="CB66">
            <v>38.883046871454752</v>
          </cell>
        </row>
        <row r="67"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Q67">
            <v>121.66718889550316</v>
          </cell>
          <cell r="BR67">
            <v>120.7875236036714</v>
          </cell>
          <cell r="BS67">
            <v>119.82684914766305</v>
          </cell>
          <cell r="BT67">
            <v>118.81193261353252</v>
          </cell>
          <cell r="BU67">
            <v>117.74192085001619</v>
          </cell>
          <cell r="BX67">
            <v>36.816594496836878</v>
          </cell>
          <cell r="BY67">
            <v>37.353752318195028</v>
          </cell>
          <cell r="BZ67">
            <v>37.96668081559784</v>
          </cell>
          <cell r="CA67">
            <v>38.619769456836295</v>
          </cell>
          <cell r="CB67">
            <v>39.342673018124934</v>
          </cell>
        </row>
        <row r="68"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Q68">
            <v>123.78019813475611</v>
          </cell>
          <cell r="BR68">
            <v>122.94202904218383</v>
          </cell>
          <cell r="BS68">
            <v>122.04564028811234</v>
          </cell>
          <cell r="BT68">
            <v>121.05089677308304</v>
          </cell>
          <cell r="BU68">
            <v>119.95354120546152</v>
          </cell>
          <cell r="BX68">
            <v>37.281858261446175</v>
          </cell>
          <cell r="BY68">
            <v>37.830182618345603</v>
          </cell>
          <cell r="BZ68">
            <v>38.434433483033168</v>
          </cell>
          <cell r="CA68">
            <v>39.10574775257124</v>
          </cell>
          <cell r="CB68">
            <v>39.788896264020153</v>
          </cell>
        </row>
        <row r="69"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Q69">
            <v>125.89322983057725</v>
          </cell>
          <cell r="BR69">
            <v>125.03207854890056</v>
          </cell>
          <cell r="BS69">
            <v>124.09865268465654</v>
          </cell>
          <cell r="BT69">
            <v>123.12386763900987</v>
          </cell>
          <cell r="BU69">
            <v>122.09304851303449</v>
          </cell>
          <cell r="BX69">
            <v>37.753500482504599</v>
          </cell>
          <cell r="BY69">
            <v>38.299957868613873</v>
          </cell>
          <cell r="BZ69">
            <v>38.923795989405541</v>
          </cell>
          <cell r="CA69">
            <v>39.54248642883109</v>
          </cell>
          <cell r="CB69">
            <v>40.250881200683118</v>
          </cell>
        </row>
        <row r="70"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Q70">
            <v>128.00586023511804</v>
          </cell>
          <cell r="BR70">
            <v>127.12838978012395</v>
          </cell>
          <cell r="BS70">
            <v>126.19151638854794</v>
          </cell>
          <cell r="BT70">
            <v>125.19410714767859</v>
          </cell>
          <cell r="BU70">
            <v>124.11624751239822</v>
          </cell>
          <cell r="BX70">
            <v>38.223420039247138</v>
          </cell>
          <cell r="BY70">
            <v>38.778836653495254</v>
          </cell>
          <cell r="BZ70">
            <v>39.366722334610458</v>
          </cell>
          <cell r="CA70">
            <v>40.008845309680844</v>
          </cell>
          <cell r="CB70">
            <v>40.704888716037352</v>
          </cell>
        </row>
        <row r="71"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Q71">
            <v>130.11135606394996</v>
          </cell>
          <cell r="BR71">
            <v>129.28753527830008</v>
          </cell>
          <cell r="BS71">
            <v>128.41849022048493</v>
          </cell>
          <cell r="BT71">
            <v>127.45983734027742</v>
          </cell>
          <cell r="BU71">
            <v>126.37501502290067</v>
          </cell>
          <cell r="BX71">
            <v>38.690779383138512</v>
          </cell>
          <cell r="BY71">
            <v>39.238919857187803</v>
          </cell>
          <cell r="BZ71">
            <v>39.813229873395798</v>
          </cell>
          <cell r="CA71">
            <v>40.450201830884396</v>
          </cell>
          <cell r="CB71">
            <v>41.159720729358739</v>
          </cell>
        </row>
        <row r="72"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Q72">
            <v>132.21686522535077</v>
          </cell>
          <cell r="BR72">
            <v>131.37187315551134</v>
          </cell>
          <cell r="BS72">
            <v>130.47467154691921</v>
          </cell>
          <cell r="BT72">
            <v>129.52983824261307</v>
          </cell>
          <cell r="BU72">
            <v>128.52822980669353</v>
          </cell>
          <cell r="BX72">
            <v>39.165368824198744</v>
          </cell>
          <cell r="BY72">
            <v>39.690086613900846</v>
          </cell>
          <cell r="BZ72">
            <v>40.27734947532835</v>
          </cell>
          <cell r="CA72">
            <v>40.930671141986089</v>
          </cell>
          <cell r="CB72">
            <v>41.602363103332472</v>
          </cell>
        </row>
        <row r="73"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Q73">
            <v>134.32238585092639</v>
          </cell>
          <cell r="BR73">
            <v>133.48248819741508</v>
          </cell>
          <cell r="BS73">
            <v>132.56461040487298</v>
          </cell>
          <cell r="BT73">
            <v>131.5959653197481</v>
          </cell>
          <cell r="BU73">
            <v>130.57679608675303</v>
          </cell>
          <cell r="BX73">
            <v>39.628525141348646</v>
          </cell>
          <cell r="BY73">
            <v>40.167205562734367</v>
          </cell>
          <cell r="BZ73">
            <v>40.760009392249536</v>
          </cell>
          <cell r="CA73">
            <v>41.381700810460785</v>
          </cell>
          <cell r="CB73">
            <v>42.080332137364977</v>
          </cell>
        </row>
        <row r="74"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Q74">
            <v>136.42791633259191</v>
          </cell>
          <cell r="BR74">
            <v>135.62040290082996</v>
          </cell>
          <cell r="BS74">
            <v>134.76985377611533</v>
          </cell>
          <cell r="BT74">
            <v>133.82828810970861</v>
          </cell>
          <cell r="BU74">
            <v>132.7790170152997</v>
          </cell>
          <cell r="BX74">
            <v>40.107783723382404</v>
          </cell>
          <cell r="BY74">
            <v>40.637125609793571</v>
          </cell>
          <cell r="BZ74">
            <v>41.227183381803457</v>
          </cell>
          <cell r="CA74">
            <v>41.85307774965591</v>
          </cell>
          <cell r="CB74">
            <v>42.536236620449564</v>
          </cell>
        </row>
        <row r="75"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Q75">
            <v>138.53345528648683</v>
          </cell>
          <cell r="BR75">
            <v>137.70627422196659</v>
          </cell>
          <cell r="BS75">
            <v>136.8190741194654</v>
          </cell>
          <cell r="BT75">
            <v>135.89542876835631</v>
          </cell>
          <cell r="BU75">
            <v>134.91256595481366</v>
          </cell>
          <cell r="BX75">
            <v>40.566814302636963</v>
          </cell>
          <cell r="BY75">
            <v>41.116727813554483</v>
          </cell>
          <cell r="BZ75">
            <v>41.67870926132386</v>
          </cell>
          <cell r="CA75">
            <v>42.304861384799864</v>
          </cell>
          <cell r="CB75">
            <v>43.014746184152813</v>
          </cell>
        </row>
        <row r="76"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Q76">
            <v>140.63900152187057</v>
          </cell>
          <cell r="BR76">
            <v>139.81183580038677</v>
          </cell>
          <cell r="BS76">
            <v>138.91106706435997</v>
          </cell>
          <cell r="BT76">
            <v>137.96184741964817</v>
          </cell>
          <cell r="BU76">
            <v>136.95030487715928</v>
          </cell>
          <cell r="BX76">
            <v>41.050728962151652</v>
          </cell>
          <cell r="BY76">
            <v>41.560938373564056</v>
          </cell>
          <cell r="BZ76">
            <v>42.142929396202454</v>
          </cell>
          <cell r="CA76">
            <v>42.770735222023518</v>
          </cell>
          <cell r="CB76">
            <v>43.461216869621744</v>
          </cell>
        </row>
        <row r="77"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Q77">
            <v>142.74455401431342</v>
          </cell>
          <cell r="BR77">
            <v>141.95854268233577</v>
          </cell>
          <cell r="BS77">
            <v>141.12063409703663</v>
          </cell>
          <cell r="BT77">
            <v>140.18479766698579</v>
          </cell>
          <cell r="BU77">
            <v>139.16271061168544</v>
          </cell>
          <cell r="BX77">
            <v>41.505708681037625</v>
          </cell>
          <cell r="BY77">
            <v>42.044081480508389</v>
          </cell>
          <cell r="BZ77">
            <v>42.612813526599879</v>
          </cell>
          <cell r="CA77">
            <v>43.245114997782593</v>
          </cell>
          <cell r="CB77">
            <v>43.954310083598529</v>
          </cell>
        </row>
        <row r="78"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Q78">
            <v>144.85011188259233</v>
          </cell>
          <cell r="BR78">
            <v>144.04377283559913</v>
          </cell>
          <cell r="BS78">
            <v>143.16904869712448</v>
          </cell>
          <cell r="BT78">
            <v>142.25753558451294</v>
          </cell>
          <cell r="BU78">
            <v>141.29248112662486</v>
          </cell>
          <cell r="BX78">
            <v>41.993343869731824</v>
          </cell>
          <cell r="BY78">
            <v>42.503546986076806</v>
          </cell>
          <cell r="BZ78">
            <v>43.099163240208767</v>
          </cell>
          <cell r="CA78">
            <v>43.720246163774526</v>
          </cell>
          <cell r="CB78">
            <v>44.424142211876969</v>
          </cell>
        </row>
        <row r="79"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Q79">
            <v>146.95567436878142</v>
          </cell>
          <cell r="BR79">
            <v>146.1345285871148</v>
          </cell>
          <cell r="BS79">
            <v>145.25314650323406</v>
          </cell>
          <cell r="BT79">
            <v>144.32236845404299</v>
          </cell>
          <cell r="BU79">
            <v>143.33605108914449</v>
          </cell>
          <cell r="BX79">
            <v>42.445257628160959</v>
          </cell>
          <cell r="BY79">
            <v>42.990467569098698</v>
          </cell>
          <cell r="BZ79">
            <v>43.55528950171113</v>
          </cell>
          <cell r="CA79">
            <v>44.199643027024372</v>
          </cell>
          <cell r="CB79">
            <v>44.929489637728736</v>
          </cell>
        </row>
        <row r="80"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Q80">
            <v>149.05713970651243</v>
          </cell>
          <cell r="BR80">
            <v>148.27357279823164</v>
          </cell>
          <cell r="BS80">
            <v>147.45018844840658</v>
          </cell>
          <cell r="BT80">
            <v>146.55064673623977</v>
          </cell>
          <cell r="BU80">
            <v>145.53468456757108</v>
          </cell>
          <cell r="BX80">
            <v>42.928629024654093</v>
          </cell>
          <cell r="BY80">
            <v>43.44674694915556</v>
          </cell>
          <cell r="BZ80">
            <v>44.047735983456604</v>
          </cell>
          <cell r="CA80">
            <v>44.676858376824399</v>
          </cell>
          <cell r="CB80">
            <v>45.371092241532111</v>
          </cell>
        </row>
        <row r="81"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Q81">
            <v>151.15563986695878</v>
          </cell>
          <cell r="BR81">
            <v>150.36857275778672</v>
          </cell>
          <cell r="BS81">
            <v>149.53271887048692</v>
          </cell>
          <cell r="BT81">
            <v>148.64897064481843</v>
          </cell>
          <cell r="BU81">
            <v>147.71229603325094</v>
          </cell>
          <cell r="BX81">
            <v>43.385499964596733</v>
          </cell>
          <cell r="BY81">
            <v>43.930502277742427</v>
          </cell>
          <cell r="BZ81">
            <v>44.508869383463988</v>
          </cell>
          <cell r="CA81">
            <v>45.153317888009887</v>
          </cell>
          <cell r="CB81">
            <v>45.830400612131918</v>
          </cell>
        </row>
        <row r="82"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Q82">
            <v>153.254142755516</v>
          </cell>
          <cell r="BR82">
            <v>152.42090057971816</v>
          </cell>
          <cell r="BS82">
            <v>151.57476523052998</v>
          </cell>
          <cell r="BT82">
            <v>150.68887650130068</v>
          </cell>
          <cell r="BU82">
            <v>149.76122007031191</v>
          </cell>
          <cell r="BX82">
            <v>43.864683073228825</v>
          </cell>
          <cell r="BY82">
            <v>44.393651798323852</v>
          </cell>
          <cell r="BZ82">
            <v>45.003918944161271</v>
          </cell>
          <cell r="CA82">
            <v>45.596669566151888</v>
          </cell>
          <cell r="CB82">
            <v>46.284169788056381</v>
          </cell>
        </row>
        <row r="83"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Q83">
            <v>155.35264798579232</v>
          </cell>
          <cell r="BR83">
            <v>154.14666602127767</v>
          </cell>
          <cell r="BS83">
            <v>153.14946182958477</v>
          </cell>
          <cell r="BT83">
            <v>152.12605579164665</v>
          </cell>
          <cell r="BU83">
            <v>151.0810487166913</v>
          </cell>
          <cell r="BX83">
            <v>44.326465623783335</v>
          </cell>
          <cell r="BY83">
            <v>44.878640998911052</v>
          </cell>
          <cell r="BZ83">
            <v>45.435402391663246</v>
          </cell>
          <cell r="CA83">
            <v>46.059542756901394</v>
          </cell>
          <cell r="CB83">
            <v>46.732532092773639</v>
          </cell>
        </row>
        <row r="84"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X84">
            <v>44.801533759886318</v>
          </cell>
          <cell r="BY84">
            <v>45.321339851414862</v>
          </cell>
          <cell r="BZ84">
            <v>45.894311889804285</v>
          </cell>
          <cell r="CA84">
            <v>46.501665826971653</v>
          </cell>
          <cell r="CB84">
            <v>47.191499408717924</v>
          </cell>
        </row>
        <row r="85"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X85">
            <v>45.268177050953859</v>
          </cell>
          <cell r="BY85">
            <v>45.789768933125814</v>
          </cell>
          <cell r="BZ85">
            <v>46.348748235109454</v>
          </cell>
          <cell r="CA85">
            <v>46.985765853689557</v>
          </cell>
          <cell r="CB85">
            <v>47.638352338376762</v>
          </cell>
        </row>
        <row r="86"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X86">
            <v>45.739201449359612</v>
          </cell>
          <cell r="BY86">
            <v>46.261326328729815</v>
          </cell>
          <cell r="BZ86">
            <v>46.836037098586509</v>
          </cell>
          <cell r="CA86">
            <v>47.435350717115057</v>
          </cell>
          <cell r="CB86">
            <v>48.115820139041681</v>
          </cell>
        </row>
        <row r="87"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X87">
            <v>46.210650393413601</v>
          </cell>
          <cell r="BY87">
            <v>46.736179569673936</v>
          </cell>
          <cell r="BZ87">
            <v>47.294068993376605</v>
          </cell>
          <cell r="CA87">
            <v>47.909233956913006</v>
          </cell>
          <cell r="CB87">
            <v>48.579255981153665</v>
          </cell>
        </row>
        <row r="88"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X88">
            <v>46.67770030767965</v>
          </cell>
          <cell r="BY88">
            <v>47.197592678461184</v>
          </cell>
          <cell r="BZ88">
            <v>47.755472167192657</v>
          </cell>
          <cell r="CA88">
            <v>48.373763930639598</v>
          </cell>
          <cell r="CB88">
            <v>49.063491154445543</v>
          </cell>
        </row>
        <row r="89"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X89">
            <v>47.153896513009251</v>
          </cell>
          <cell r="BY89">
            <v>47.660748183577851</v>
          </cell>
          <cell r="BZ89">
            <v>48.227116435634038</v>
          </cell>
          <cell r="CA89">
            <v>48.869826703325636</v>
          </cell>
          <cell r="CB89">
            <v>49.460909841064307</v>
          </cell>
        </row>
        <row r="90"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X90">
            <v>47.617039306482319</v>
          </cell>
          <cell r="BY90">
            <v>48.142913866891206</v>
          </cell>
          <cell r="BZ90">
            <v>48.709766300257584</v>
          </cell>
          <cell r="CA90">
            <v>49.296256903639559</v>
          </cell>
          <cell r="CB90">
            <v>49.882526243554615</v>
          </cell>
        </row>
        <row r="91"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X91">
            <v>48.097921847068633</v>
          </cell>
          <cell r="BY91">
            <v>48.618296173791954</v>
          </cell>
          <cell r="BZ91">
            <v>49.173016331799893</v>
          </cell>
          <cell r="CA91">
            <v>49.712343474857072</v>
          </cell>
          <cell r="CB91">
            <v>50.296637451558702</v>
          </cell>
        </row>
        <row r="92"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X92">
            <v>48.557223076748912</v>
          </cell>
          <cell r="BY92">
            <v>49.088974957750068</v>
          </cell>
          <cell r="BZ92">
            <v>49.579936789633926</v>
          </cell>
          <cell r="CA92">
            <v>50.13435118838489</v>
          </cell>
          <cell r="CB92">
            <v>50.6943349274338</v>
          </cell>
        </row>
        <row r="93"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X93">
            <v>49.042729140195462</v>
          </cell>
          <cell r="BY93">
            <v>49.497214321439728</v>
          </cell>
          <cell r="BZ93">
            <v>50.021192353066951</v>
          </cell>
          <cell r="CA93">
            <v>50.524371596694976</v>
          </cell>
          <cell r="CB93">
            <v>51.099355476740961</v>
          </cell>
        </row>
        <row r="94"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X94">
            <v>49.498252634231747</v>
          </cell>
          <cell r="BY94">
            <v>49.985421626173121</v>
          </cell>
          <cell r="BZ94">
            <v>50.454959541611018</v>
          </cell>
          <cell r="CA94">
            <v>50.998721372753316</v>
          </cell>
          <cell r="CB94">
            <v>51.534250551986972</v>
          </cell>
        </row>
        <row r="95"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X95">
            <v>49.986470626701646</v>
          </cell>
          <cell r="BY95">
            <v>50.424285339835969</v>
          </cell>
          <cell r="BZ95">
            <v>50.930950009437595</v>
          </cell>
          <cell r="CA95">
            <v>51.436896660010483</v>
          </cell>
          <cell r="CB95">
            <v>51.984969997617021</v>
          </cell>
        </row>
        <row r="96"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X96">
            <v>50.440125995524625</v>
          </cell>
          <cell r="BY96">
            <v>50.90659544186844</v>
          </cell>
          <cell r="BZ96">
            <v>51.380310631705122</v>
          </cell>
          <cell r="CA96">
            <v>51.897988787201882</v>
          </cell>
          <cell r="CB96">
            <v>52.414208810757216</v>
          </cell>
        </row>
        <row r="97"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X97">
            <v>50.924361744560407</v>
          </cell>
          <cell r="BY97">
            <v>51.357869409358393</v>
          </cell>
          <cell r="BZ97">
            <v>51.84807662595162</v>
          </cell>
          <cell r="CA97">
            <v>52.334530106928973</v>
          </cell>
          <cell r="CB97">
            <v>52.864865346365669</v>
          </cell>
        </row>
        <row r="98"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X98">
            <v>51.382838700936844</v>
          </cell>
          <cell r="BY98">
            <v>51.841452913721341</v>
          </cell>
          <cell r="BZ98">
            <v>52.293273390033363</v>
          </cell>
          <cell r="CA98">
            <v>52.787185373346801</v>
          </cell>
          <cell r="CB98">
            <v>53.338289705589766</v>
          </cell>
        </row>
        <row r="99"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X99">
            <v>51.863157135581275</v>
          </cell>
          <cell r="BY99">
            <v>52.290870529884771</v>
          </cell>
          <cell r="BZ99">
            <v>52.745792648501016</v>
          </cell>
          <cell r="CA99">
            <v>53.252362918407712</v>
          </cell>
          <cell r="CB99">
            <v>53.821316321108398</v>
          </cell>
        </row>
        <row r="100"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X100">
            <v>52.326384257945534</v>
          </cell>
          <cell r="BY100">
            <v>52.756535794428025</v>
          </cell>
          <cell r="BZ100">
            <v>53.232327712261743</v>
          </cell>
          <cell r="CA100">
            <v>53.753890418265996</v>
          </cell>
          <cell r="CB100">
            <v>54.335165952675545</v>
          </cell>
        </row>
        <row r="101"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X101">
            <v>52.802848669690398</v>
          </cell>
          <cell r="BY101">
            <v>53.243263351667181</v>
          </cell>
          <cell r="BZ101">
            <v>53.734023573310566</v>
          </cell>
          <cell r="CA101">
            <v>54.265483052665907</v>
          </cell>
          <cell r="CB101">
            <v>54.855218110725374</v>
          </cell>
        </row>
        <row r="102"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X102">
            <v>53.27075451697057</v>
          </cell>
          <cell r="BY102">
            <v>53.72715308914038</v>
          </cell>
          <cell r="BZ102">
            <v>54.223397539416098</v>
          </cell>
          <cell r="CA102">
            <v>54.763650287732681</v>
          </cell>
          <cell r="CB102">
            <v>55.30747709307812</v>
          </cell>
        </row>
        <row r="103"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X103">
            <v>53.743426622219623</v>
          </cell>
          <cell r="BY103">
            <v>54.202428306858415</v>
          </cell>
          <cell r="BZ103">
            <v>54.700042099102475</v>
          </cell>
          <cell r="CA103">
            <v>55.217844456964613</v>
          </cell>
          <cell r="CB103">
            <v>55.74912762806774</v>
          </cell>
        </row>
        <row r="104"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X104">
            <v>54.215939989486415</v>
          </cell>
          <cell r="BY104">
            <v>54.676955934140729</v>
          </cell>
          <cell r="BZ104">
            <v>55.165685304832408</v>
          </cell>
          <cell r="CA104">
            <v>55.651975168978964</v>
          </cell>
          <cell r="CB104">
            <v>56.197353484420169</v>
          </cell>
        </row>
        <row r="105"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X105">
            <v>54.684879988131968</v>
          </cell>
          <cell r="BY105">
            <v>55.13951273920545</v>
          </cell>
          <cell r="BZ105">
            <v>55.594010346323124</v>
          </cell>
          <cell r="CA105">
            <v>56.09910300880712</v>
          </cell>
          <cell r="CB105">
            <v>56.644593793802954</v>
          </cell>
        </row>
        <row r="106"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X106">
            <v>55.161930117011792</v>
          </cell>
          <cell r="BY106">
            <v>55.583763667062648</v>
          </cell>
          <cell r="BZ106">
            <v>56.058453389976094</v>
          </cell>
          <cell r="CA106">
            <v>56.554541998878705</v>
          </cell>
          <cell r="CB106">
            <v>57.120261567759663</v>
          </cell>
        </row>
        <row r="107"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X107">
            <v>55.627196747503149</v>
          </cell>
          <cell r="BY107">
            <v>56.070023936067749</v>
          </cell>
          <cell r="BZ107">
            <v>56.53153340227184</v>
          </cell>
          <cell r="CA107">
            <v>57.057233285169012</v>
          </cell>
          <cell r="CB107">
            <v>57.593396752318156</v>
          </cell>
        </row>
        <row r="108"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X108">
            <v>56.108713498260869</v>
          </cell>
          <cell r="BY108">
            <v>56.536952996213088</v>
          </cell>
          <cell r="BZ108">
            <v>57.028694970852825</v>
          </cell>
          <cell r="CA108">
            <v>57.522396624597881</v>
          </cell>
          <cell r="CB108">
            <v>58.077862645108048</v>
          </cell>
        </row>
        <row r="109"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X109">
            <v>56.570364089495698</v>
          </cell>
          <cell r="BY109">
            <v>57.029826574193862</v>
          </cell>
          <cell r="BZ109">
            <v>57.485837231091942</v>
          </cell>
          <cell r="CA109">
            <v>58.008243903139835</v>
          </cell>
          <cell r="CB109">
            <v>58.512079069363097</v>
          </cell>
        </row>
        <row r="110"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X110">
            <v>57.056278080669266</v>
          </cell>
          <cell r="BY110">
            <v>57.482847825450328</v>
          </cell>
          <cell r="BZ110">
            <v>57.977987660046658</v>
          </cell>
          <cell r="CA110">
            <v>58.436970459928517</v>
          </cell>
          <cell r="CB110">
            <v>58.970102918190015</v>
          </cell>
        </row>
        <row r="111"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X111">
            <v>57.514368600997656</v>
          </cell>
          <cell r="BY111">
            <v>57.971573149325678</v>
          </cell>
          <cell r="BZ111">
            <v>58.403392312856369</v>
          </cell>
          <cell r="CA111">
            <v>58.897540390571457</v>
          </cell>
          <cell r="CB111">
            <v>59.41663449571719</v>
          </cell>
        </row>
        <row r="112"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X112">
            <v>58.004611321594084</v>
          </cell>
          <cell r="BY112">
            <v>58.405793781313918</v>
          </cell>
          <cell r="BZ112">
            <v>58.86447642263726</v>
          </cell>
          <cell r="CA112">
            <v>59.34185552053183</v>
          </cell>
          <cell r="CB112">
            <v>59.895591141330719</v>
          </cell>
        </row>
        <row r="113"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X113">
            <v>58.459196425189646</v>
          </cell>
          <cell r="BY113">
            <v>58.889188215849849</v>
          </cell>
          <cell r="BZ113">
            <v>59.339742830719779</v>
          </cell>
          <cell r="CA113">
            <v>59.839943614471814</v>
          </cell>
          <cell r="CB113">
            <v>60.373224714907948</v>
          </cell>
        </row>
        <row r="114"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X114">
            <v>58.946408675687671</v>
          </cell>
          <cell r="BY114">
            <v>59.361287240722291</v>
          </cell>
          <cell r="BZ114">
            <v>59.832224211633438</v>
          </cell>
          <cell r="CA114">
            <v>60.326839752914957</v>
          </cell>
          <cell r="CB114">
            <v>60.881867647056097</v>
          </cell>
        </row>
        <row r="115"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X115">
            <v>59.404833394530556</v>
          </cell>
          <cell r="BY115">
            <v>59.846737906797472</v>
          </cell>
          <cell r="BZ115">
            <v>60.304169527518312</v>
          </cell>
          <cell r="CA115">
            <v>60.81372235837329</v>
          </cell>
          <cell r="CB115">
            <v>61.325402417517608</v>
          </cell>
        </row>
        <row r="116"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X116">
            <v>59.888345847910635</v>
          </cell>
          <cell r="BY116">
            <v>60.315865619841162</v>
          </cell>
          <cell r="BZ116">
            <v>60.787957794339562</v>
          </cell>
          <cell r="CA116">
            <v>61.268918714801863</v>
          </cell>
          <cell r="CB116">
            <v>61.779418699074547</v>
          </cell>
        </row>
        <row r="117"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X117">
            <v>60.351265141991014</v>
          </cell>
          <cell r="BY117">
            <v>60.79487602158224</v>
          </cell>
          <cell r="BZ117">
            <v>61.243116472404502</v>
          </cell>
          <cell r="CA117">
            <v>61.715681191539097</v>
          </cell>
          <cell r="CB117">
            <v>62.228360857153817</v>
          </cell>
        </row>
        <row r="118"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X118">
            <v>60.831133697131506</v>
          </cell>
          <cell r="BY118">
            <v>61.24634276522368</v>
          </cell>
          <cell r="BZ118">
            <v>61.683465384084933</v>
          </cell>
          <cell r="CA118">
            <v>62.159685532497839</v>
          </cell>
          <cell r="CB118">
            <v>62.670432709865914</v>
          </cell>
        </row>
        <row r="119"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X119">
            <v>61.298477193800437</v>
          </cell>
          <cell r="BY119">
            <v>61.71059773831081</v>
          </cell>
          <cell r="BZ119">
            <v>62.154284734329579</v>
          </cell>
          <cell r="CA119">
            <v>62.630528781601228</v>
          </cell>
          <cell r="CB119">
            <v>63.150055056035825</v>
          </cell>
        </row>
        <row r="120"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X120">
            <v>61.774756475513705</v>
          </cell>
          <cell r="BY120">
            <v>62.188581397582936</v>
          </cell>
          <cell r="BZ120">
            <v>62.627597957455222</v>
          </cell>
          <cell r="CA120">
            <v>63.115741365011118</v>
          </cell>
          <cell r="CB120">
            <v>63.626729194306485</v>
          </cell>
        </row>
        <row r="121"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X121">
            <v>62.246455046493132</v>
          </cell>
          <cell r="BY121">
            <v>62.6588254638406</v>
          </cell>
          <cell r="BZ121">
            <v>63.11320815441082</v>
          </cell>
          <cell r="CA121">
            <v>63.592126738180539</v>
          </cell>
          <cell r="CB121">
            <v>64.112208257096498</v>
          </cell>
        </row>
        <row r="122"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X122">
            <v>62.719198446077925</v>
          </cell>
          <cell r="BY122">
            <v>63.143850498495951</v>
          </cell>
          <cell r="BZ122">
            <v>63.587780384292174</v>
          </cell>
          <cell r="CA122">
            <v>64.081643983802394</v>
          </cell>
          <cell r="CB122">
            <v>64.554656492906943</v>
          </cell>
        </row>
        <row r="123"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X123">
            <v>63.195184230627639</v>
          </cell>
          <cell r="BY123">
            <v>63.614335426471264</v>
          </cell>
          <cell r="BZ123">
            <v>64.074598905166155</v>
          </cell>
          <cell r="CA123">
            <v>64.513314878136029</v>
          </cell>
          <cell r="CB123">
            <v>65.018752205023816</v>
          </cell>
        </row>
        <row r="124"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X124">
            <v>63.664443944555515</v>
          </cell>
          <cell r="BY124">
            <v>64.08992124447893</v>
          </cell>
          <cell r="BZ124">
            <v>64.504131448162894</v>
          </cell>
          <cell r="CA124">
            <v>64.973838755872734</v>
          </cell>
          <cell r="CB124">
            <v>65.467913166257659</v>
          </cell>
        </row>
        <row r="125"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X125">
            <v>64.144650363204718</v>
          </cell>
          <cell r="BY125">
            <v>64.534793164008732</v>
          </cell>
          <cell r="BZ125">
            <v>64.975224641839446</v>
          </cell>
          <cell r="CA125">
            <v>65.421609454055499</v>
          </cell>
          <cell r="CB125">
            <v>65.948748404290441</v>
          </cell>
        </row>
        <row r="126"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X126">
            <v>64.610477430073331</v>
          </cell>
          <cell r="BY126">
            <v>65.024741214672602</v>
          </cell>
          <cell r="BZ126">
            <v>65.447726095039712</v>
          </cell>
          <cell r="CA126">
            <v>65.933069314785968</v>
          </cell>
          <cell r="CB126">
            <v>66.431751354934946</v>
          </cell>
        </row>
        <row r="127"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X127">
            <v>65.094839190509248</v>
          </cell>
          <cell r="BY127">
            <v>65.495043356939604</v>
          </cell>
          <cell r="BZ127">
            <v>65.947319695259623</v>
          </cell>
          <cell r="CA127">
            <v>66.409155912065103</v>
          </cell>
          <cell r="CB127">
            <v>66.943644127984214</v>
          </cell>
        </row>
        <row r="128"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X128">
            <v>65.557283526381681</v>
          </cell>
          <cell r="BY128">
            <v>65.98276486592421</v>
          </cell>
          <cell r="BZ128">
            <v>66.4159903320772</v>
          </cell>
          <cell r="CA128">
            <v>66.904808743128513</v>
          </cell>
          <cell r="CB128">
            <v>67.370305760801529</v>
          </cell>
        </row>
        <row r="129"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X129">
            <v>66.045736622847244</v>
          </cell>
          <cell r="BY129">
            <v>66.44946074184756</v>
          </cell>
          <cell r="BZ129">
            <v>66.907014743381254</v>
          </cell>
          <cell r="CA129">
            <v>67.341591574598297</v>
          </cell>
          <cell r="CB129">
            <v>67.816988171637291</v>
          </cell>
        </row>
        <row r="130"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X130">
            <v>66.504847055084383</v>
          </cell>
          <cell r="BY130">
            <v>66.937552520119667</v>
          </cell>
          <cell r="BZ130">
            <v>67.339276425805934</v>
          </cell>
          <cell r="CA130">
            <v>67.779184324795935</v>
          </cell>
          <cell r="CB130">
            <v>68.263631118638116</v>
          </cell>
        </row>
        <row r="131"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X131">
            <v>66.996909432729709</v>
          </cell>
          <cell r="BY131">
            <v>67.366421618366019</v>
          </cell>
          <cell r="BZ131">
            <v>67.780493532013153</v>
          </cell>
          <cell r="CA131">
            <v>68.224205790273416</v>
          </cell>
          <cell r="CB131">
            <v>68.722305062357819</v>
          </cell>
        </row>
        <row r="132"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X132">
            <v>67.453153062113969</v>
          </cell>
          <cell r="BY132">
            <v>67.848740705467691</v>
          </cell>
          <cell r="BZ132">
            <v>68.263642627369293</v>
          </cell>
          <cell r="CA132">
            <v>68.720041734936714</v>
          </cell>
          <cell r="CB132">
            <v>69.214384865866279</v>
          </cell>
        </row>
        <row r="133"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X133">
            <v>67.941693450092984</v>
          </cell>
          <cell r="BY133">
            <v>68.323959633193709</v>
          </cell>
          <cell r="BZ133">
            <v>68.754536673852911</v>
          </cell>
          <cell r="CA133">
            <v>69.214741439167099</v>
          </cell>
          <cell r="CB133">
            <v>69.710697401213693</v>
          </cell>
        </row>
        <row r="134"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X134">
            <v>68.402186838509962</v>
          </cell>
          <cell r="BY134">
            <v>68.806795553848815</v>
          </cell>
          <cell r="BZ134">
            <v>69.234824229174819</v>
          </cell>
          <cell r="CA134">
            <v>69.702613670489626</v>
          </cell>
          <cell r="CB134">
            <v>70.183493178644127</v>
          </cell>
        </row>
        <row r="135"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X135">
            <v>68.887255337837544</v>
          </cell>
          <cell r="BY135">
            <v>69.282090336127212</v>
          </cell>
          <cell r="BZ135">
            <v>69.723722100118692</v>
          </cell>
          <cell r="CA135">
            <v>70.174284544754997</v>
          </cell>
          <cell r="CB135">
            <v>70.631595403974814</v>
          </cell>
        </row>
        <row r="136"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X136">
            <v>69.351933936401693</v>
          </cell>
          <cell r="BY136">
            <v>69.763758437872809</v>
          </cell>
          <cell r="BZ136">
            <v>70.18416857784301</v>
          </cell>
          <cell r="CA136">
            <v>70.61001750564904</v>
          </cell>
          <cell r="CB136">
            <v>71.090343829912982</v>
          </cell>
        </row>
        <row r="137"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X137">
            <v>69.833579581329417</v>
          </cell>
          <cell r="BY137">
            <v>70.219043358665743</v>
          </cell>
          <cell r="BZ137">
            <v>70.621840083786836</v>
          </cell>
          <cell r="CA137">
            <v>71.069891702784773</v>
          </cell>
          <cell r="CB137">
            <v>71.537462736334334</v>
          </cell>
        </row>
        <row r="138"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X138">
            <v>70.302380180961919</v>
          </cell>
          <cell r="BY138">
            <v>70.68300638407095</v>
          </cell>
          <cell r="BZ138">
            <v>71.09773107342663</v>
          </cell>
          <cell r="CA138">
            <v>71.534542692944868</v>
          </cell>
          <cell r="CB138">
            <v>72.038312955064598</v>
          </cell>
        </row>
        <row r="139"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X139">
            <v>70.780650969721208</v>
          </cell>
          <cell r="BY139">
            <v>71.167672232752054</v>
          </cell>
          <cell r="BZ139">
            <v>71.585162950829655</v>
          </cell>
          <cell r="CA139">
            <v>72.046994133534497</v>
          </cell>
          <cell r="CB139">
            <v>72.52201443082113</v>
          </cell>
        </row>
        <row r="140"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X140">
            <v>71.253511678983699</v>
          </cell>
          <cell r="BY140">
            <v>71.64472716890711</v>
          </cell>
          <cell r="BZ140">
            <v>72.079220511445328</v>
          </cell>
          <cell r="CA140">
            <v>72.52016913289016</v>
          </cell>
          <cell r="CB140">
            <v>73.021610706471975</v>
          </cell>
        </row>
        <row r="141"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X141">
            <v>71.728454603344318</v>
          </cell>
          <cell r="BY141">
            <v>72.127736001811627</v>
          </cell>
          <cell r="BZ141">
            <v>72.546944450679874</v>
          </cell>
          <cell r="CA141">
            <v>73.016455431801333</v>
          </cell>
          <cell r="CB141">
            <v>73.453766032826792</v>
          </cell>
        </row>
        <row r="142"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X142">
            <v>72.205314824634726</v>
          </cell>
          <cell r="BY142">
            <v>72.597116346388717</v>
          </cell>
          <cell r="BZ142">
            <v>73.038235529163615</v>
          </cell>
          <cell r="CA142">
            <v>73.447756321697511</v>
          </cell>
          <cell r="CB142">
            <v>73.91787672283759</v>
          </cell>
        </row>
        <row r="143"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X143">
            <v>72.676975898343528</v>
          </cell>
          <cell r="BY143">
            <v>73.080733134525161</v>
          </cell>
          <cell r="BZ143">
            <v>73.468653197407107</v>
          </cell>
          <cell r="CA143">
            <v>73.905031554605898</v>
          </cell>
          <cell r="CB143">
            <v>74.365384246573853</v>
          </cell>
        </row>
        <row r="144"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X144">
            <v>73.157776302859972</v>
          </cell>
          <cell r="BY144">
            <v>73.525682689904926</v>
          </cell>
          <cell r="BZ144">
            <v>73.934376924737577</v>
          </cell>
          <cell r="CA144">
            <v>74.362219724987099</v>
          </cell>
          <cell r="CB144">
            <v>74.843246220121955</v>
          </cell>
        </row>
        <row r="145"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X145">
            <v>73.626200589019419</v>
          </cell>
          <cell r="BY145">
            <v>74.017737097591251</v>
          </cell>
          <cell r="BZ145">
            <v>74.413599457823011</v>
          </cell>
          <cell r="CA145">
            <v>74.862125874890182</v>
          </cell>
          <cell r="CB145">
            <v>75.327870415328007</v>
          </cell>
        </row>
        <row r="146"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X146">
            <v>74.110883090832957</v>
          </cell>
          <cell r="BY146">
            <v>74.48438665440473</v>
          </cell>
          <cell r="BZ146">
            <v>74.910283342584549</v>
          </cell>
          <cell r="CA146">
            <v>75.343688653389123</v>
          </cell>
          <cell r="CB146">
            <v>75.8312700089093</v>
          </cell>
        </row>
        <row r="147"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X147">
            <v>74.576114728274206</v>
          </cell>
          <cell r="BY147">
            <v>74.976427264953529</v>
          </cell>
          <cell r="BZ147">
            <v>75.381312336600743</v>
          </cell>
          <cell r="CA147">
            <v>75.837817686537164</v>
          </cell>
          <cell r="CB147">
            <v>76.288260794883655</v>
          </cell>
        </row>
        <row r="148"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X148">
            <v>75.064622457794115</v>
          </cell>
          <cell r="BY148">
            <v>75.445256632228848</v>
          </cell>
          <cell r="BZ148">
            <v>75.874710693729909</v>
          </cell>
          <cell r="CA148">
            <v>76.294787124638759</v>
          </cell>
          <cell r="CB148">
            <v>76.744300993869714</v>
          </cell>
        </row>
        <row r="149"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X149">
            <v>75.526704686495577</v>
          </cell>
          <cell r="BY149">
            <v>75.932934505318755</v>
          </cell>
          <cell r="BZ149">
            <v>76.319625507968723</v>
          </cell>
          <cell r="CA149">
            <v>76.740746590526484</v>
          </cell>
          <cell r="CB149">
            <v>77.192425415760482</v>
          </cell>
        </row>
        <row r="150"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X150">
            <v>76.018981963564528</v>
          </cell>
          <cell r="BY150">
            <v>76.37307935688159</v>
          </cell>
          <cell r="BZ150">
            <v>76.767142595945487</v>
          </cell>
          <cell r="CA150">
            <v>77.182945989803613</v>
          </cell>
          <cell r="CB150">
            <v>77.639136792985582</v>
          </cell>
        </row>
        <row r="151"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X151">
            <v>76.477957149162563</v>
          </cell>
          <cell r="BY151">
            <v>76.857470293382107</v>
          </cell>
          <cell r="BZ151">
            <v>77.245919604256756</v>
          </cell>
          <cell r="CA151">
            <v>77.668675027947558</v>
          </cell>
          <cell r="CB151">
            <v>78.126046531078771</v>
          </cell>
        </row>
        <row r="152"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X152">
            <v>76.969874573049196</v>
          </cell>
          <cell r="BY152">
            <v>77.327271482343065</v>
          </cell>
          <cell r="BZ152">
            <v>77.727703112223537</v>
          </cell>
          <cell r="CA152">
            <v>78.1549799524241</v>
          </cell>
          <cell r="CB152">
            <v>78.598533634779585</v>
          </cell>
        </row>
        <row r="153"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X153">
            <v>77.429859113413457</v>
          </cell>
          <cell r="BY153">
            <v>77.808541114473428</v>
          </cell>
          <cell r="BZ153">
            <v>78.206550290005254</v>
          </cell>
          <cell r="CA153">
            <v>78.628465142683979</v>
          </cell>
          <cell r="CB153">
            <v>79.108907766261424</v>
          </cell>
        </row>
        <row r="154"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X154">
            <v>77.918490985566862</v>
          </cell>
          <cell r="BY154">
            <v>78.283647251084375</v>
          </cell>
          <cell r="BZ154">
            <v>78.684578676520431</v>
          </cell>
          <cell r="CA154">
            <v>79.145115266529871</v>
          </cell>
          <cell r="CB154">
            <v>79.683968750737293</v>
          </cell>
        </row>
        <row r="155"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X155">
            <v>78.382397883778651</v>
          </cell>
          <cell r="BY155">
            <v>78.760259571422736</v>
          </cell>
          <cell r="BZ155">
            <v>79.201814062049863</v>
          </cell>
          <cell r="CA155">
            <v>79.708675804221045</v>
          </cell>
          <cell r="CB155">
            <v>80</v>
          </cell>
        </row>
        <row r="156"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X156">
            <v>78.867787811519349</v>
          </cell>
          <cell r="BY156">
            <v>79.28525743882193</v>
          </cell>
          <cell r="BZ156">
            <v>79.75275890824517</v>
          </cell>
          <cell r="CA156">
            <v>80</v>
          </cell>
          <cell r="CB156">
            <v>80</v>
          </cell>
        </row>
        <row r="157"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X157">
            <v>79.335561067249373</v>
          </cell>
          <cell r="BY157">
            <v>79.797428791068725</v>
          </cell>
          <cell r="BZ157">
            <v>80</v>
          </cell>
          <cell r="CA157">
            <v>80</v>
          </cell>
          <cell r="CB157">
            <v>80</v>
          </cell>
        </row>
        <row r="158"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X158">
            <v>79.8177517942256</v>
          </cell>
          <cell r="BY158">
            <v>80</v>
          </cell>
          <cell r="BZ158">
            <v>80</v>
          </cell>
          <cell r="CA158">
            <v>80</v>
          </cell>
          <cell r="CB158">
            <v>80</v>
          </cell>
        </row>
        <row r="159"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X159">
            <v>80</v>
          </cell>
          <cell r="BY159">
            <v>80</v>
          </cell>
          <cell r="BZ159">
            <v>80</v>
          </cell>
          <cell r="CA159">
            <v>80</v>
          </cell>
          <cell r="CB159">
            <v>80</v>
          </cell>
        </row>
        <row r="160"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X160">
            <v>80</v>
          </cell>
          <cell r="BY160">
            <v>80</v>
          </cell>
          <cell r="BZ160">
            <v>80</v>
          </cell>
          <cell r="CA160">
            <v>80</v>
          </cell>
          <cell r="CB160">
            <v>80</v>
          </cell>
        </row>
        <row r="161"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X161">
            <v>80</v>
          </cell>
          <cell r="BY161">
            <v>80</v>
          </cell>
          <cell r="BZ161">
            <v>80</v>
          </cell>
          <cell r="CA161">
            <v>80</v>
          </cell>
          <cell r="CB161">
            <v>80</v>
          </cell>
        </row>
        <row r="162"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X162">
            <v>80</v>
          </cell>
          <cell r="BY162">
            <v>80</v>
          </cell>
          <cell r="BZ162">
            <v>80</v>
          </cell>
          <cell r="CA162">
            <v>80</v>
          </cell>
          <cell r="CB162">
            <v>80</v>
          </cell>
        </row>
        <row r="163"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X163">
            <v>80</v>
          </cell>
          <cell r="BY163">
            <v>80</v>
          </cell>
          <cell r="BZ163">
            <v>80</v>
          </cell>
          <cell r="CA163">
            <v>80</v>
          </cell>
          <cell r="CB163">
            <v>80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4">
          <cell r="EX4">
            <v>1907.0045220506599</v>
          </cell>
          <cell r="EY4">
            <v>1607.4598161939193</v>
          </cell>
          <cell r="EZ4">
            <v>1272.4440909640425</v>
          </cell>
          <cell r="FA4">
            <v>896.74831554399543</v>
          </cell>
          <cell r="FB4">
            <v>474.17126277064233</v>
          </cell>
          <cell r="GF4">
            <v>1282.2865007752878</v>
          </cell>
          <cell r="GG4">
            <v>1070.6227314952807</v>
          </cell>
          <cell r="GH4">
            <v>839.54843216941822</v>
          </cell>
          <cell r="GI4">
            <v>586.2131053783794</v>
          </cell>
          <cell r="GJ4">
            <v>307.22330181344796</v>
          </cell>
          <cell r="HM4">
            <v>0</v>
          </cell>
          <cell r="HN4">
            <v>0</v>
          </cell>
          <cell r="HO4">
            <v>0</v>
          </cell>
          <cell r="HP4">
            <v>0</v>
          </cell>
          <cell r="HQ4">
            <v>0</v>
          </cell>
        </row>
        <row r="5">
          <cell r="EX5">
            <v>3304.3437107162481</v>
          </cell>
          <cell r="EY5">
            <v>2900.7888448332806</v>
          </cell>
          <cell r="EZ5">
            <v>2399.5250119701595</v>
          </cell>
          <cell r="FA5">
            <v>1777.9187546380194</v>
          </cell>
          <cell r="FB5">
            <v>988.21164093867185</v>
          </cell>
          <cell r="GF5">
            <v>1504.5854804031799</v>
          </cell>
          <cell r="GG5">
            <v>1343.2851665956687</v>
          </cell>
          <cell r="GH5">
            <v>1134.447707928432</v>
          </cell>
          <cell r="GI5">
            <v>857.29613473057884</v>
          </cell>
          <cell r="GJ5">
            <v>484.8715880888285</v>
          </cell>
          <cell r="HM5">
            <v>0</v>
          </cell>
          <cell r="HN5">
            <v>0</v>
          </cell>
          <cell r="HO5">
            <v>0</v>
          </cell>
          <cell r="HP5">
            <v>0</v>
          </cell>
          <cell r="HQ5">
            <v>0</v>
          </cell>
        </row>
        <row r="6">
          <cell r="EX6">
            <v>4855.8599352848505</v>
          </cell>
          <cell r="EY6">
            <v>4299.6182007531161</v>
          </cell>
          <cell r="EZ6">
            <v>3576.19445778714</v>
          </cell>
          <cell r="FA6">
            <v>2647.9267171061792</v>
          </cell>
          <cell r="FB6">
            <v>1460.1330651888329</v>
          </cell>
          <cell r="GF6">
            <v>2807.3039695353036</v>
          </cell>
          <cell r="GG6">
            <v>2572.0216257824545</v>
          </cell>
          <cell r="GH6">
            <v>2200.3168562977953</v>
          </cell>
          <cell r="GI6">
            <v>1671.4651381389144</v>
          </cell>
          <cell r="GJ6">
            <v>942.25938142492282</v>
          </cell>
          <cell r="HM6">
            <v>0</v>
          </cell>
          <cell r="HN6">
            <v>0</v>
          </cell>
          <cell r="HO6">
            <v>0</v>
          </cell>
          <cell r="HP6">
            <v>0</v>
          </cell>
          <cell r="HQ6">
            <v>0</v>
          </cell>
        </row>
        <row r="7">
          <cell r="EX7">
            <v>6527.3248007912698</v>
          </cell>
          <cell r="EY7">
            <v>6446.5205699130729</v>
          </cell>
          <cell r="EZ7">
            <v>5908.5838668354654</v>
          </cell>
          <cell r="FA7">
            <v>4735.5388047564202</v>
          </cell>
          <cell r="FB7">
            <v>2835.0590364457917</v>
          </cell>
          <cell r="GF7">
            <v>4164.5533364744651</v>
          </cell>
          <cell r="GG7">
            <v>3645.5376794684225</v>
          </cell>
          <cell r="GH7">
            <v>3014.2694285218768</v>
          </cell>
          <cell r="GI7">
            <v>2213.65042183884</v>
          </cell>
          <cell r="GJ7">
            <v>1233.5034242668369</v>
          </cell>
          <cell r="HM7">
            <v>0</v>
          </cell>
          <cell r="HN7">
            <v>0</v>
          </cell>
          <cell r="HO7">
            <v>0</v>
          </cell>
          <cell r="HP7">
            <v>0</v>
          </cell>
          <cell r="HQ7">
            <v>0</v>
          </cell>
        </row>
        <row r="8">
          <cell r="EX8">
            <v>11455.595617560306</v>
          </cell>
          <cell r="EY8">
            <v>10436.293597103258</v>
          </cell>
          <cell r="EZ8">
            <v>9585.0902376963804</v>
          </cell>
          <cell r="FA8">
            <v>7719.2786329066439</v>
          </cell>
          <cell r="FB8">
            <v>4612.2787771739058</v>
          </cell>
          <cell r="GF8">
            <v>4773.1648406501281</v>
          </cell>
          <cell r="GG8">
            <v>4094.6430440142776</v>
          </cell>
          <cell r="GH8">
            <v>3373.7229833502479</v>
          </cell>
          <cell r="GI8">
            <v>2479.3729145736452</v>
          </cell>
          <cell r="GJ8">
            <v>1370.0712896781979</v>
          </cell>
          <cell r="HM8">
            <v>0</v>
          </cell>
          <cell r="HN8">
            <v>0</v>
          </cell>
          <cell r="HO8">
            <v>0</v>
          </cell>
          <cell r="HP8">
            <v>0</v>
          </cell>
          <cell r="HQ8">
            <v>0</v>
          </cell>
        </row>
        <row r="9">
          <cell r="EX9">
            <v>17924.168339825461</v>
          </cell>
          <cell r="EY9">
            <v>16031.71414422461</v>
          </cell>
          <cell r="EZ9">
            <v>13290.760251285465</v>
          </cell>
          <cell r="FA9">
            <v>10321.072554870141</v>
          </cell>
          <cell r="FB9">
            <v>6097.5162508930898</v>
          </cell>
          <cell r="GF9">
            <v>5436.567599393773</v>
          </cell>
          <cell r="GG9">
            <v>4696.7912531908078</v>
          </cell>
          <cell r="GH9">
            <v>3849.93584161326</v>
          </cell>
          <cell r="GI9">
            <v>2918.2882064448586</v>
          </cell>
          <cell r="GJ9">
            <v>1688.4306369784099</v>
          </cell>
          <cell r="HM9">
            <v>0</v>
          </cell>
          <cell r="HN9">
            <v>0</v>
          </cell>
          <cell r="HO9">
            <v>0</v>
          </cell>
          <cell r="HP9">
            <v>0</v>
          </cell>
          <cell r="HQ9">
            <v>0</v>
          </cell>
        </row>
        <row r="10">
          <cell r="EX10">
            <v>21780.711795194162</v>
          </cell>
          <cell r="EY10">
            <v>19961.088878370334</v>
          </cell>
          <cell r="EZ10">
            <v>16752.578990103822</v>
          </cell>
          <cell r="FA10">
            <v>12240.26218731112</v>
          </cell>
          <cell r="FB10">
            <v>6747.779771127829</v>
          </cell>
          <cell r="GF10">
            <v>6163.9948971041376</v>
          </cell>
          <cell r="GG10">
            <v>5534.4496321198894</v>
          </cell>
          <cell r="GH10">
            <v>4594.7066711554689</v>
          </cell>
          <cell r="GI10">
            <v>3324.3593311668646</v>
          </cell>
          <cell r="GJ10">
            <v>1792.1340510136524</v>
          </cell>
          <cell r="HM10">
            <v>0</v>
          </cell>
          <cell r="HN10">
            <v>0</v>
          </cell>
          <cell r="HO10">
            <v>0</v>
          </cell>
          <cell r="HP10">
            <v>0</v>
          </cell>
          <cell r="HQ10">
            <v>0</v>
          </cell>
        </row>
        <row r="11">
          <cell r="EX11">
            <v>25251.967606346647</v>
          </cell>
          <cell r="EY11">
            <v>21952.679717113722</v>
          </cell>
          <cell r="EZ11">
            <v>17986.818014828837</v>
          </cell>
          <cell r="FA11">
            <v>13051.04305676584</v>
          </cell>
          <cell r="FB11">
            <v>7454.0379647661066</v>
          </cell>
          <cell r="GF11">
            <v>6925.8222324587732</v>
          </cell>
          <cell r="GG11">
            <v>5914.4268287107661</v>
          </cell>
          <cell r="GH11">
            <v>4741.9043247603004</v>
          </cell>
          <cell r="GI11">
            <v>3398.7091293661015</v>
          </cell>
          <cell r="GJ11">
            <v>1914.5467405723066</v>
          </cell>
          <cell r="HM11">
            <v>0</v>
          </cell>
          <cell r="HN11">
            <v>0</v>
          </cell>
          <cell r="HO11">
            <v>0</v>
          </cell>
          <cell r="HP11">
            <v>0</v>
          </cell>
          <cell r="HQ11">
            <v>0</v>
          </cell>
        </row>
        <row r="12">
          <cell r="EX12">
            <v>30808.213107330957</v>
          </cell>
          <cell r="EY12">
            <v>26406.739245284014</v>
          </cell>
          <cell r="EZ12">
            <v>22760.586728742681</v>
          </cell>
          <cell r="FA12">
            <v>18086.179032124994</v>
          </cell>
          <cell r="FB12">
            <v>10186.343611495588</v>
          </cell>
          <cell r="GF12">
            <v>8049.6687835906996</v>
          </cell>
          <cell r="GG12">
            <v>6876.7550117927058</v>
          </cell>
          <cell r="GH12">
            <v>5831.1329515895231</v>
          </cell>
          <cell r="GI12">
            <v>4548.5278559936014</v>
          </cell>
          <cell r="GJ12">
            <v>2541.5367063421436</v>
          </cell>
          <cell r="HM12">
            <v>0</v>
          </cell>
          <cell r="HN12">
            <v>0</v>
          </cell>
          <cell r="HO12">
            <v>0</v>
          </cell>
          <cell r="HP12">
            <v>0</v>
          </cell>
          <cell r="HQ12">
            <v>0</v>
          </cell>
        </row>
        <row r="13">
          <cell r="EX13">
            <v>35435.118595490552</v>
          </cell>
          <cell r="EY13">
            <v>32760.965810683556</v>
          </cell>
          <cell r="EZ13">
            <v>27174.979168140679</v>
          </cell>
          <cell r="FA13">
            <v>21495.129978820405</v>
          </cell>
          <cell r="FB13">
            <v>12930.932836621418</v>
          </cell>
          <cell r="GF13">
            <v>9031.834335166408</v>
          </cell>
          <cell r="GG13">
            <v>8210.2526072714463</v>
          </cell>
          <cell r="GH13">
            <v>6786.7839879449712</v>
          </cell>
          <cell r="GI13">
            <v>5267.9624983380709</v>
          </cell>
          <cell r="GJ13">
            <v>3119.8252478061804</v>
          </cell>
          <cell r="HM13">
            <v>0</v>
          </cell>
          <cell r="HN13">
            <v>0</v>
          </cell>
          <cell r="HO13">
            <v>0</v>
          </cell>
          <cell r="HP13">
            <v>0</v>
          </cell>
          <cell r="HQ13">
            <v>0</v>
          </cell>
        </row>
        <row r="14">
          <cell r="EX14">
            <v>40349.318074803101</v>
          </cell>
          <cell r="EY14">
            <v>37110.459425804002</v>
          </cell>
          <cell r="EZ14">
            <v>32798.304264884369</v>
          </cell>
          <cell r="FA14">
            <v>24088.336614037646</v>
          </cell>
          <cell r="FB14">
            <v>15038.46884781633</v>
          </cell>
          <cell r="GF14">
            <v>10076.99414009555</v>
          </cell>
          <cell r="GG14">
            <v>9118.5699736714305</v>
          </cell>
          <cell r="GH14">
            <v>7921.6300262802106</v>
          </cell>
          <cell r="GI14">
            <v>5987.5835562468274</v>
          </cell>
          <cell r="GJ14">
            <v>4315.8718815997781</v>
          </cell>
          <cell r="HM14">
            <v>0</v>
          </cell>
          <cell r="HN14">
            <v>0</v>
          </cell>
          <cell r="HO14">
            <v>0</v>
          </cell>
          <cell r="HP14">
            <v>0</v>
          </cell>
          <cell r="HQ14">
            <v>0</v>
          </cell>
        </row>
        <row r="15">
          <cell r="EX15">
            <v>47836.265678097086</v>
          </cell>
          <cell r="EY15">
            <v>41450.598119027738</v>
          </cell>
          <cell r="EZ15">
            <v>36660.199906829454</v>
          </cell>
          <cell r="FA15">
            <v>29865.163624793728</v>
          </cell>
          <cell r="FB15">
            <v>17380.075002161742</v>
          </cell>
          <cell r="GF15">
            <v>11568.826999828627</v>
          </cell>
          <cell r="GG15">
            <v>10000.718755739697</v>
          </cell>
          <cell r="GH15">
            <v>9957.7311323542963</v>
          </cell>
          <cell r="GI15">
            <v>8945.031299564951</v>
          </cell>
          <cell r="GJ15">
            <v>5580.6308489107505</v>
          </cell>
          <cell r="HM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</row>
        <row r="16">
          <cell r="EX16">
            <v>53109.355809941713</v>
          </cell>
          <cell r="EY16">
            <v>51212.614082296641</v>
          </cell>
          <cell r="EZ16">
            <v>42719.253490407922</v>
          </cell>
          <cell r="FA16">
            <v>34911.337530614372</v>
          </cell>
          <cell r="FB16">
            <v>20532.968981994185</v>
          </cell>
          <cell r="GF16">
            <v>13713.127251795435</v>
          </cell>
          <cell r="GG16">
            <v>14947.688433365605</v>
          </cell>
          <cell r="GH16">
            <v>12795.009743342314</v>
          </cell>
          <cell r="GI16">
            <v>11670.850489936398</v>
          </cell>
          <cell r="GJ16">
            <v>7161.331257670965</v>
          </cell>
          <cell r="HM16">
            <v>0</v>
          </cell>
          <cell r="HN16">
            <v>0</v>
          </cell>
          <cell r="HO16">
            <v>0</v>
          </cell>
          <cell r="HP16">
            <v>0</v>
          </cell>
          <cell r="HQ16">
            <v>0</v>
          </cell>
        </row>
        <row r="17">
          <cell r="E17">
            <v>1</v>
          </cell>
          <cell r="EX17">
            <v>61076.849422218278</v>
          </cell>
          <cell r="EY17">
            <v>53363.277421025792</v>
          </cell>
          <cell r="EZ17">
            <v>48065.140446744655</v>
          </cell>
          <cell r="FA17">
            <v>35928.76809010905</v>
          </cell>
          <cell r="FB17">
            <v>26289.044768160471</v>
          </cell>
          <cell r="GF17">
            <v>18293.364691529699</v>
          </cell>
          <cell r="GG17">
            <v>16553.310218783488</v>
          </cell>
          <cell r="GH17">
            <v>16621.556627340236</v>
          </cell>
          <cell r="GI17">
            <v>12282.317239210322</v>
          </cell>
          <cell r="GJ17">
            <v>7195.2112407856002</v>
          </cell>
          <cell r="HM17">
            <v>0</v>
          </cell>
          <cell r="HN17">
            <v>0</v>
          </cell>
          <cell r="HO17">
            <v>0</v>
          </cell>
          <cell r="HP17">
            <v>0</v>
          </cell>
          <cell r="HQ17">
            <v>0</v>
          </cell>
        </row>
        <row r="18">
          <cell r="E18">
            <v>1</v>
          </cell>
          <cell r="EX18">
            <v>69555.898833973624</v>
          </cell>
          <cell r="EY18">
            <v>64154.940636171377</v>
          </cell>
          <cell r="EZ18">
            <v>58440.889773033501</v>
          </cell>
          <cell r="FA18">
            <v>55118.102927064785</v>
          </cell>
          <cell r="FB18">
            <v>34904.67712733621</v>
          </cell>
          <cell r="GF18">
            <v>22715.777082889399</v>
          </cell>
          <cell r="GG18">
            <v>22375.46757678967</v>
          </cell>
          <cell r="GH18">
            <v>19033.453008515688</v>
          </cell>
          <cell r="GI18">
            <v>15001.903014422875</v>
          </cell>
          <cell r="GJ18">
            <v>8816.2726892644423</v>
          </cell>
          <cell r="HM18">
            <v>0</v>
          </cell>
          <cell r="HN18">
            <v>0</v>
          </cell>
          <cell r="HO18">
            <v>0</v>
          </cell>
          <cell r="HP18">
            <v>0</v>
          </cell>
          <cell r="HQ18">
            <v>0</v>
          </cell>
        </row>
        <row r="19">
          <cell r="E19">
            <v>2</v>
          </cell>
          <cell r="EX19">
            <v>78577.94163486833</v>
          </cell>
          <cell r="EY19">
            <v>81051.938720125065</v>
          </cell>
          <cell r="EZ19">
            <v>78744.416165401926</v>
          </cell>
          <cell r="FA19">
            <v>68309.88052819093</v>
          </cell>
          <cell r="FB19">
            <v>47564.40042796795</v>
          </cell>
          <cell r="GF19">
            <v>27405.811117071833</v>
          </cell>
          <cell r="GG19">
            <v>25043.208204712413</v>
          </cell>
          <cell r="GH19">
            <v>21432.451980502548</v>
          </cell>
          <cell r="GI19">
            <v>16957.652534387977</v>
          </cell>
          <cell r="GJ19">
            <v>10565.009286236753</v>
          </cell>
          <cell r="HM19">
            <v>0</v>
          </cell>
          <cell r="HN19">
            <v>0</v>
          </cell>
          <cell r="HO19">
            <v>0</v>
          </cell>
          <cell r="HP19">
            <v>0</v>
          </cell>
          <cell r="HQ19">
            <v>0</v>
          </cell>
        </row>
        <row r="20">
          <cell r="E20">
            <v>2</v>
          </cell>
          <cell r="EX20">
            <v>106361.76905580726</v>
          </cell>
          <cell r="EY20">
            <v>98970.908050896775</v>
          </cell>
          <cell r="EZ20">
            <v>92070.086026798061</v>
          </cell>
          <cell r="FA20">
            <v>79229.050241218414</v>
          </cell>
          <cell r="FB20">
            <v>43835.443439554976</v>
          </cell>
          <cell r="GF20">
            <v>30982.124597149086</v>
          </cell>
          <cell r="GG20">
            <v>26937.646344498091</v>
          </cell>
          <cell r="GH20">
            <v>22686.516474802658</v>
          </cell>
          <cell r="GI20">
            <v>17598.364407133369</v>
          </cell>
          <cell r="GJ20">
            <v>9724.0412040462397</v>
          </cell>
          <cell r="HM20">
            <v>0</v>
          </cell>
          <cell r="HN20">
            <v>0</v>
          </cell>
          <cell r="HO20">
            <v>0</v>
          </cell>
          <cell r="HP20">
            <v>0</v>
          </cell>
          <cell r="HQ20">
            <v>0</v>
          </cell>
        </row>
        <row r="21">
          <cell r="E21">
            <v>3</v>
          </cell>
          <cell r="EX21">
            <v>124916.64826543827</v>
          </cell>
          <cell r="EY21">
            <v>131945.90396393603</v>
          </cell>
          <cell r="EZ21">
            <v>125893.29234081943</v>
          </cell>
          <cell r="FA21">
            <v>98553.226968470903</v>
          </cell>
          <cell r="FB21">
            <v>55574.706941511802</v>
          </cell>
          <cell r="GF21">
            <v>33999.490959343064</v>
          </cell>
          <cell r="GG21">
            <v>31658.101945815928</v>
          </cell>
          <cell r="GH21">
            <v>27963.430437222472</v>
          </cell>
          <cell r="GI21">
            <v>21865.144610455973</v>
          </cell>
          <cell r="GJ21">
            <v>12322.119707252117</v>
          </cell>
          <cell r="HM21">
            <v>0</v>
          </cell>
          <cell r="HN21">
            <v>0</v>
          </cell>
          <cell r="HO21">
            <v>0</v>
          </cell>
          <cell r="HP21">
            <v>0</v>
          </cell>
          <cell r="HQ21">
            <v>0</v>
          </cell>
        </row>
        <row r="22">
          <cell r="E22">
            <v>3</v>
          </cell>
          <cell r="EX22">
            <v>166626.71222814091</v>
          </cell>
          <cell r="EY22">
            <v>156395.56270492531</v>
          </cell>
          <cell r="EZ22">
            <v>135510.80008447194</v>
          </cell>
          <cell r="FA22">
            <v>101987.43384558317</v>
          </cell>
          <cell r="FB22">
            <v>63449.137445868517</v>
          </cell>
          <cell r="GF22">
            <v>38528.040644115972</v>
          </cell>
          <cell r="GG22">
            <v>34738.597720916325</v>
          </cell>
          <cell r="GH22">
            <v>30064.140336461074</v>
          </cell>
          <cell r="GI22">
            <v>22612.829426222917</v>
          </cell>
          <cell r="GJ22">
            <v>14047.198622289317</v>
          </cell>
          <cell r="HM22">
            <v>0</v>
          </cell>
          <cell r="HN22">
            <v>0</v>
          </cell>
          <cell r="HO22">
            <v>0</v>
          </cell>
          <cell r="HP22">
            <v>0</v>
          </cell>
          <cell r="HQ22">
            <v>0</v>
          </cell>
        </row>
        <row r="23">
          <cell r="E23">
            <v>4</v>
          </cell>
          <cell r="EX23">
            <v>188853.39269901556</v>
          </cell>
          <cell r="EY23">
            <v>172153.17650147295</v>
          </cell>
          <cell r="EZ23">
            <v>142846.75461986999</v>
          </cell>
          <cell r="FA23">
            <v>114762.92746518075</v>
          </cell>
          <cell r="FB23">
            <v>64088.798469018133</v>
          </cell>
          <cell r="GF23">
            <v>41948.134101343807</v>
          </cell>
          <cell r="GG23">
            <v>38190.587550373224</v>
          </cell>
          <cell r="GH23">
            <v>31672.2283766779</v>
          </cell>
          <cell r="GI23">
            <v>25411.440427160909</v>
          </cell>
          <cell r="GJ23">
            <v>14183.863982467432</v>
          </cell>
          <cell r="HM23">
            <v>0</v>
          </cell>
          <cell r="HN23">
            <v>0</v>
          </cell>
          <cell r="HO23">
            <v>0</v>
          </cell>
          <cell r="HP23">
            <v>0</v>
          </cell>
          <cell r="HQ23">
            <v>0</v>
          </cell>
        </row>
        <row r="24">
          <cell r="E24">
            <v>4</v>
          </cell>
          <cell r="EX24">
            <v>216663.24166437914</v>
          </cell>
          <cell r="EY24">
            <v>190413.65127288259</v>
          </cell>
          <cell r="EZ24">
            <v>169644.67602322926</v>
          </cell>
          <cell r="FA24">
            <v>129783.87111492897</v>
          </cell>
          <cell r="FB24">
            <v>83090.58565580874</v>
          </cell>
          <cell r="GF24">
            <v>48055.220356565434</v>
          </cell>
          <cell r="GG24">
            <v>42218.842599543044</v>
          </cell>
          <cell r="GH24">
            <v>37570.081892219954</v>
          </cell>
          <cell r="GI24">
            <v>28728.200637419155</v>
          </cell>
          <cell r="GJ24">
            <v>18087.971267789369</v>
          </cell>
          <cell r="HM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</row>
        <row r="25">
          <cell r="E25">
            <v>5</v>
          </cell>
          <cell r="EX25">
            <v>236076.95636975928</v>
          </cell>
          <cell r="EY25">
            <v>220592.91032754793</v>
          </cell>
          <cell r="EZ25">
            <v>189356.36374147213</v>
          </cell>
          <cell r="FA25">
            <v>153349.97552315157</v>
          </cell>
          <cell r="FB25">
            <v>89315.816685394384</v>
          </cell>
          <cell r="GF25">
            <v>52343.389225126826</v>
          </cell>
          <cell r="GG25">
            <v>48853.217473600816</v>
          </cell>
          <cell r="GH25">
            <v>41914.820099023753</v>
          </cell>
          <cell r="GI25">
            <v>33448.817961677734</v>
          </cell>
          <cell r="GJ25">
            <v>19385.756772587643</v>
          </cell>
          <cell r="HM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</row>
        <row r="26">
          <cell r="E26">
            <v>5</v>
          </cell>
          <cell r="EX26">
            <v>268764.98572746431</v>
          </cell>
          <cell r="EY26">
            <v>235451.7002602485</v>
          </cell>
          <cell r="EZ26">
            <v>204876.29194892384</v>
          </cell>
          <cell r="FA26">
            <v>155629.65750106564</v>
          </cell>
          <cell r="FB26">
            <v>90453.431996191503</v>
          </cell>
          <cell r="GF26">
            <v>59513.878369880433</v>
          </cell>
          <cell r="GG26">
            <v>52118.214901357016</v>
          </cell>
          <cell r="GH26">
            <v>44789.517225767078</v>
          </cell>
          <cell r="GI26">
            <v>33878.985821041453</v>
          </cell>
          <cell r="GJ26">
            <v>19408.471874182811</v>
          </cell>
          <cell r="HM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</row>
        <row r="27">
          <cell r="E27">
            <v>6</v>
          </cell>
          <cell r="EX27">
            <v>293168.87722664885</v>
          </cell>
          <cell r="EY27">
            <v>275483.56247969414</v>
          </cell>
          <cell r="EZ27">
            <v>238546.62298421469</v>
          </cell>
          <cell r="FA27">
            <v>189420.70400519017</v>
          </cell>
          <cell r="FB27">
            <v>107764.84522565664</v>
          </cell>
          <cell r="GF27">
            <v>64894.152511107095</v>
          </cell>
          <cell r="GG27">
            <v>60299.829449869751</v>
          </cell>
          <cell r="GH27">
            <v>51929.161751732288</v>
          </cell>
          <cell r="GI27">
            <v>40701.303897217673</v>
          </cell>
          <cell r="GJ27">
            <v>23120.906098138978</v>
          </cell>
          <cell r="HM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</row>
        <row r="28">
          <cell r="E28">
            <v>6</v>
          </cell>
          <cell r="EX28">
            <v>334059.47461927915</v>
          </cell>
          <cell r="EY28">
            <v>301338.8933301568</v>
          </cell>
          <cell r="EZ28">
            <v>263468.5408105657</v>
          </cell>
          <cell r="FA28">
            <v>200399.76693012472</v>
          </cell>
          <cell r="FB28">
            <v>117386.08466531371</v>
          </cell>
          <cell r="GF28">
            <v>73079.262245089281</v>
          </cell>
          <cell r="GG28">
            <v>65598.397236020362</v>
          </cell>
          <cell r="GH28">
            <v>56758.417818082264</v>
          </cell>
          <cell r="GI28">
            <v>42999.509849663649</v>
          </cell>
          <cell r="GJ28">
            <v>25174.711784840561</v>
          </cell>
          <cell r="HM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</row>
        <row r="29">
          <cell r="E29">
            <v>7</v>
          </cell>
          <cell r="EX29">
            <v>367632.51264884742</v>
          </cell>
          <cell r="EY29">
            <v>336848.94182668347</v>
          </cell>
          <cell r="EZ29">
            <v>287198.28151499806</v>
          </cell>
          <cell r="FA29">
            <v>223457.71609859401</v>
          </cell>
          <cell r="FB29">
            <v>127056.08174697135</v>
          </cell>
          <cell r="GF29">
            <v>80029.840606048238</v>
          </cell>
          <cell r="GG29">
            <v>72689.107893709908</v>
          </cell>
          <cell r="GH29">
            <v>61623.750985282357</v>
          </cell>
          <cell r="GI29">
            <v>47925.481862575922</v>
          </cell>
          <cell r="GJ29">
            <v>27247.347971580544</v>
          </cell>
          <cell r="HM29">
            <v>0</v>
          </cell>
          <cell r="HN29">
            <v>0</v>
          </cell>
          <cell r="HO29">
            <v>0</v>
          </cell>
          <cell r="HP29">
            <v>0</v>
          </cell>
          <cell r="HQ29">
            <v>0</v>
          </cell>
        </row>
        <row r="30">
          <cell r="E30">
            <v>7</v>
          </cell>
          <cell r="EX30">
            <v>412876.16462063324</v>
          </cell>
          <cell r="EY30">
            <v>372462.07174660545</v>
          </cell>
          <cell r="EZ30">
            <v>321143.10856568208</v>
          </cell>
          <cell r="FA30">
            <v>242311.18953884952</v>
          </cell>
          <cell r="FB30">
            <v>146731.41370847262</v>
          </cell>
          <cell r="GF30">
            <v>89119.141948995413</v>
          </cell>
          <cell r="GG30">
            <v>79918.68836992525</v>
          </cell>
          <cell r="GH30">
            <v>68884.963475286611</v>
          </cell>
          <cell r="GI30">
            <v>51966.247756493452</v>
          </cell>
          <cell r="GJ30">
            <v>31454.428434076166</v>
          </cell>
          <cell r="HM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</row>
        <row r="31">
          <cell r="E31">
            <v>8</v>
          </cell>
          <cell r="EX31">
            <v>457759.07235334581</v>
          </cell>
          <cell r="EY31">
            <v>409893.68192472961</v>
          </cell>
          <cell r="EZ31">
            <v>344818.05166636221</v>
          </cell>
          <cell r="FA31">
            <v>273192.65547581716</v>
          </cell>
          <cell r="FB31">
            <v>164594.50606578938</v>
          </cell>
          <cell r="GF31">
            <v>98220.751660324051</v>
          </cell>
          <cell r="GG31">
            <v>87929.0945592348</v>
          </cell>
          <cell r="GH31">
            <v>73949.949805898592</v>
          </cell>
          <cell r="GI31">
            <v>58569.129601512221</v>
          </cell>
          <cell r="GJ31">
            <v>35572.581014589348</v>
          </cell>
          <cell r="HM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</row>
        <row r="32">
          <cell r="E32">
            <v>8</v>
          </cell>
          <cell r="EX32">
            <v>506410.54131946526</v>
          </cell>
          <cell r="EY32">
            <v>466262.84430915117</v>
          </cell>
          <cell r="EZ32">
            <v>411525.09677633783</v>
          </cell>
          <cell r="FA32">
            <v>326354.59119058447</v>
          </cell>
          <cell r="FB32">
            <v>197019.13261518162</v>
          </cell>
          <cell r="GF32">
            <v>108636.12990158994</v>
          </cell>
          <cell r="GG32">
            <v>99995.095286889002</v>
          </cell>
          <cell r="GH32">
            <v>88236.285464117769</v>
          </cell>
          <cell r="GI32">
            <v>69959.778027707245</v>
          </cell>
          <cell r="GJ32">
            <v>49254.783153795404</v>
          </cell>
          <cell r="HM32">
            <v>0</v>
          </cell>
          <cell r="HN32">
            <v>0</v>
          </cell>
          <cell r="HO32">
            <v>0</v>
          </cell>
          <cell r="HP32">
            <v>0</v>
          </cell>
          <cell r="HQ32">
            <v>0</v>
          </cell>
        </row>
        <row r="33">
          <cell r="E33">
            <v>9</v>
          </cell>
          <cell r="EX33">
            <v>566560.17809704831</v>
          </cell>
          <cell r="EY33">
            <v>508705.24094111286</v>
          </cell>
          <cell r="EZ33">
            <v>443295.48338232422</v>
          </cell>
          <cell r="FA33">
            <v>344249.70223874785</v>
          </cell>
          <cell r="FB33">
            <v>198903.97913680924</v>
          </cell>
          <cell r="GF33">
            <v>121504.94015561696</v>
          </cell>
          <cell r="GG33">
            <v>109081.50501777825</v>
          </cell>
          <cell r="GH33">
            <v>95028.090473535471</v>
          </cell>
          <cell r="GI33">
            <v>82790.152619151748</v>
          </cell>
          <cell r="GJ33">
            <v>49971.788879531377</v>
          </cell>
          <cell r="HM33">
            <v>0</v>
          </cell>
          <cell r="HN33">
            <v>0</v>
          </cell>
          <cell r="HO33">
            <v>0</v>
          </cell>
          <cell r="HP33">
            <v>0</v>
          </cell>
          <cell r="HQ33">
            <v>0</v>
          </cell>
        </row>
        <row r="34">
          <cell r="E34">
            <v>9</v>
          </cell>
          <cell r="EX34">
            <v>617313.67624916695</v>
          </cell>
          <cell r="EY34">
            <v>576882.32657599449</v>
          </cell>
          <cell r="EZ34">
            <v>489726.97498923354</v>
          </cell>
          <cell r="FA34">
            <v>374117.6916150921</v>
          </cell>
          <cell r="FB34">
            <v>230803.73540236219</v>
          </cell>
          <cell r="GF34">
            <v>132375.52449578978</v>
          </cell>
          <cell r="GG34">
            <v>123664.75179077627</v>
          </cell>
          <cell r="GH34">
            <v>111960.76262053638</v>
          </cell>
          <cell r="GI34">
            <v>93529.422903773026</v>
          </cell>
          <cell r="GJ34">
            <v>65220.470442821679</v>
          </cell>
          <cell r="HM34">
            <v>0</v>
          </cell>
          <cell r="HN34">
            <v>0</v>
          </cell>
          <cell r="HO34">
            <v>0</v>
          </cell>
          <cell r="HP34">
            <v>0</v>
          </cell>
          <cell r="HQ34">
            <v>0</v>
          </cell>
        </row>
        <row r="35">
          <cell r="E35">
            <v>10</v>
          </cell>
          <cell r="EX35">
            <v>697596.77197550703</v>
          </cell>
          <cell r="EY35">
            <v>618995.8577494761</v>
          </cell>
          <cell r="EZ35">
            <v>535935.58595716581</v>
          </cell>
          <cell r="FA35">
            <v>420787.9945665095</v>
          </cell>
          <cell r="FB35">
            <v>242673.38017283124</v>
          </cell>
          <cell r="GF35">
            <v>149541.99094368238</v>
          </cell>
          <cell r="GG35">
            <v>136292.36772156181</v>
          </cell>
          <cell r="GH35">
            <v>133983.89648929145</v>
          </cell>
          <cell r="GI35">
            <v>113483.65003113518</v>
          </cell>
          <cell r="GJ35">
            <v>68574.592136604595</v>
          </cell>
          <cell r="HM35">
            <v>0</v>
          </cell>
          <cell r="HN35">
            <v>0</v>
          </cell>
          <cell r="HO35">
            <v>0</v>
          </cell>
          <cell r="HP35">
            <v>0</v>
          </cell>
          <cell r="HQ35">
            <v>0</v>
          </cell>
        </row>
        <row r="36">
          <cell r="E36">
            <v>10</v>
          </cell>
          <cell r="EX36">
            <v>748699.63516954891</v>
          </cell>
          <cell r="EY36">
            <v>677463.8925472647</v>
          </cell>
          <cell r="EZ36">
            <v>568030.26799760014</v>
          </cell>
          <cell r="FA36">
            <v>455516.72155433521</v>
          </cell>
          <cell r="FB36">
            <v>315555.95490577444</v>
          </cell>
          <cell r="GF36">
            <v>161082.89322142233</v>
          </cell>
          <cell r="GG36">
            <v>169365.97313681617</v>
          </cell>
          <cell r="GH36">
            <v>145603.56024578703</v>
          </cell>
          <cell r="GI36">
            <v>128719.8182583726</v>
          </cell>
          <cell r="GJ36">
            <v>77179.627820417052</v>
          </cell>
          <cell r="HM36">
            <v>0</v>
          </cell>
          <cell r="HN36">
            <v>0</v>
          </cell>
          <cell r="HO36">
            <v>0</v>
          </cell>
          <cell r="HP36">
            <v>0</v>
          </cell>
          <cell r="HQ36">
            <v>0</v>
          </cell>
        </row>
        <row r="37">
          <cell r="E37">
            <v>11</v>
          </cell>
          <cell r="EX37">
            <v>855075.89191105589</v>
          </cell>
          <cell r="EY37">
            <v>748666.34404577408</v>
          </cell>
          <cell r="EZ37">
            <v>678590.0251433095</v>
          </cell>
          <cell r="FA37">
            <v>564493.12378195021</v>
          </cell>
          <cell r="FB37">
            <v>354065.17745126644</v>
          </cell>
          <cell r="GF37">
            <v>213768.97297776397</v>
          </cell>
          <cell r="GG37">
            <v>187166.58601144352</v>
          </cell>
          <cell r="GH37">
            <v>191755.82492414</v>
          </cell>
          <cell r="GI37">
            <v>148441.10832930822</v>
          </cell>
          <cell r="GJ37">
            <v>85716.738499884726</v>
          </cell>
          <cell r="HM37">
            <v>0</v>
          </cell>
          <cell r="HN37">
            <v>0</v>
          </cell>
          <cell r="HO37">
            <v>0</v>
          </cell>
          <cell r="HP37">
            <v>0</v>
          </cell>
          <cell r="HQ37">
            <v>0</v>
          </cell>
        </row>
        <row r="38">
          <cell r="E38">
            <v>11</v>
          </cell>
          <cell r="EX38">
            <v>916447.64940482564</v>
          </cell>
          <cell r="EY38">
            <v>871366.10070039053</v>
          </cell>
          <cell r="EZ38">
            <v>736224.42014603689</v>
          </cell>
          <cell r="FA38">
            <v>667447.54700991325</v>
          </cell>
          <cell r="FB38">
            <v>434618.89144055033</v>
          </cell>
          <cell r="GF38">
            <v>229111.91235120595</v>
          </cell>
          <cell r="GG38">
            <v>244315.16018308024</v>
          </cell>
          <cell r="GH38">
            <v>207074.29302250058</v>
          </cell>
          <cell r="GI38">
            <v>161584.44968034979</v>
          </cell>
          <cell r="GJ38">
            <v>94537.090339256334</v>
          </cell>
          <cell r="HM38">
            <v>0</v>
          </cell>
          <cell r="HN38">
            <v>0</v>
          </cell>
          <cell r="HO38">
            <v>0</v>
          </cell>
          <cell r="HP38">
            <v>0</v>
          </cell>
          <cell r="HQ38">
            <v>0</v>
          </cell>
        </row>
        <row r="39">
          <cell r="E39">
            <v>12</v>
          </cell>
          <cell r="EX39">
            <v>1040744.0239728242</v>
          </cell>
          <cell r="EY39">
            <v>937189.09403852187</v>
          </cell>
          <cell r="EZ39">
            <v>949531.95164569933</v>
          </cell>
          <cell r="FA39">
            <v>733370.63620494679</v>
          </cell>
          <cell r="FB39">
            <v>450096.72017866466</v>
          </cell>
          <cell r="GF39">
            <v>287757.81294812541</v>
          </cell>
          <cell r="GG39">
            <v>264830.69479147065</v>
          </cell>
          <cell r="GH39">
            <v>229875.13932431862</v>
          </cell>
          <cell r="GI39">
            <v>171216.63256864692</v>
          </cell>
          <cell r="GJ39">
            <v>95303.773986428743</v>
          </cell>
          <cell r="HM39">
            <v>0</v>
          </cell>
          <cell r="HN39">
            <v>0</v>
          </cell>
          <cell r="HO39">
            <v>0</v>
          </cell>
          <cell r="HP39">
            <v>0</v>
          </cell>
          <cell r="HQ39">
            <v>0</v>
          </cell>
        </row>
        <row r="40">
          <cell r="E40">
            <v>12</v>
          </cell>
          <cell r="EX40">
            <v>1130924.1061411276</v>
          </cell>
          <cell r="EY40">
            <v>1165038.6663412135</v>
          </cell>
          <cell r="EZ40">
            <v>1015586.0546973506</v>
          </cell>
          <cell r="FA40">
            <v>880820.54648990557</v>
          </cell>
          <cell r="FB40">
            <v>531537.5690047713</v>
          </cell>
          <cell r="GF40">
            <v>319576.29329120927</v>
          </cell>
          <cell r="GG40">
            <v>292248.22726310184</v>
          </cell>
          <cell r="GH40">
            <v>245866.38228947064</v>
          </cell>
          <cell r="GI40">
            <v>186505.51875151321</v>
          </cell>
          <cell r="GJ40">
            <v>112525.03662247653</v>
          </cell>
          <cell r="HM40">
            <v>0</v>
          </cell>
          <cell r="HN40">
            <v>0</v>
          </cell>
          <cell r="HO40">
            <v>0</v>
          </cell>
          <cell r="HP40">
            <v>0</v>
          </cell>
          <cell r="HQ40">
            <v>20543.154605859265</v>
          </cell>
        </row>
        <row r="41">
          <cell r="E41">
            <v>13</v>
          </cell>
          <cell r="EX41">
            <v>1382057.8922707271</v>
          </cell>
          <cell r="EY41">
            <v>1310766.596437132</v>
          </cell>
          <cell r="EZ41">
            <v>1240315.6485070679</v>
          </cell>
          <cell r="FA41">
            <v>945771.77218605392</v>
          </cell>
          <cell r="FB41">
            <v>566677.72882769909</v>
          </cell>
          <cell r="GF41">
            <v>355839.37752623064</v>
          </cell>
          <cell r="GG41">
            <v>317327.5564402258</v>
          </cell>
          <cell r="GH41">
            <v>268992.13882244751</v>
          </cell>
          <cell r="GI41">
            <v>200258.3337718721</v>
          </cell>
          <cell r="GJ41">
            <v>119943.14538444206</v>
          </cell>
          <cell r="HM41">
            <v>0</v>
          </cell>
          <cell r="HN41">
            <v>0</v>
          </cell>
          <cell r="HO41">
            <v>0</v>
          </cell>
          <cell r="HP41">
            <v>0</v>
          </cell>
          <cell r="HQ41">
            <v>40566.13697555114</v>
          </cell>
        </row>
        <row r="42">
          <cell r="E42">
            <v>13</v>
          </cell>
          <cell r="EX42">
            <v>1620408.2970865089</v>
          </cell>
          <cell r="EY42">
            <v>1532900.3387553804</v>
          </cell>
          <cell r="EZ42">
            <v>1374480.0840820912</v>
          </cell>
          <cell r="FA42">
            <v>1091650.8080921955</v>
          </cell>
          <cell r="FB42">
            <v>636355.88236342371</v>
          </cell>
          <cell r="GF42">
            <v>392289.6774663059</v>
          </cell>
          <cell r="GG42">
            <v>346062.53032459691</v>
          </cell>
          <cell r="GH42">
            <v>291033.31219612062</v>
          </cell>
          <cell r="GI42">
            <v>231063.74467351474</v>
          </cell>
          <cell r="GJ42">
            <v>134677.7681161752</v>
          </cell>
          <cell r="HM42">
            <v>0</v>
          </cell>
          <cell r="HN42">
            <v>0</v>
          </cell>
          <cell r="HO42">
            <v>0</v>
          </cell>
          <cell r="HP42">
            <v>73989.267229079036</v>
          </cell>
          <cell r="HQ42">
            <v>46048.807062153632</v>
          </cell>
        </row>
        <row r="43">
          <cell r="E43">
            <v>14</v>
          </cell>
          <cell r="EX43">
            <v>1855848.9106566831</v>
          </cell>
          <cell r="EY43">
            <v>1798531.9073140789</v>
          </cell>
          <cell r="EZ43">
            <v>1557857.9661808033</v>
          </cell>
          <cell r="FA43">
            <v>1216042.1488106586</v>
          </cell>
          <cell r="FB43">
            <v>729462.08343950193</v>
          </cell>
          <cell r="GF43">
            <v>428990.42101276945</v>
          </cell>
          <cell r="GG43">
            <v>380822.32266434189</v>
          </cell>
          <cell r="GH43">
            <v>329795.67064063856</v>
          </cell>
          <cell r="GI43">
            <v>257387.77585302666</v>
          </cell>
          <cell r="GJ43">
            <v>154345.81843609246</v>
          </cell>
          <cell r="HM43">
            <v>0</v>
          </cell>
          <cell r="HN43">
            <v>0</v>
          </cell>
          <cell r="HO43">
            <v>58928.793959300659</v>
          </cell>
          <cell r="HP43">
            <v>87051.475410454557</v>
          </cell>
          <cell r="HQ43">
            <v>54139.76400527556</v>
          </cell>
        </row>
        <row r="44">
          <cell r="E44">
            <v>14</v>
          </cell>
          <cell r="EX44">
            <v>2264853.5260348357</v>
          </cell>
          <cell r="EY44">
            <v>2010146.0091532972</v>
          </cell>
          <cell r="EZ44">
            <v>1757277.1225140691</v>
          </cell>
          <cell r="FA44">
            <v>1370257.7689490598</v>
          </cell>
          <cell r="FB44">
            <v>804044.78009223565</v>
          </cell>
          <cell r="GF44">
            <v>479561.56728249323</v>
          </cell>
          <cell r="GG44">
            <v>425593.65021839645</v>
          </cell>
          <cell r="GH44">
            <v>371945.70152331749</v>
          </cell>
          <cell r="GI44">
            <v>289956.26863666298</v>
          </cell>
          <cell r="GJ44">
            <v>170106.08835402108</v>
          </cell>
          <cell r="HM44">
            <v>0</v>
          </cell>
          <cell r="HN44">
            <v>32031.554971196088</v>
          </cell>
          <cell r="HO44">
            <v>125796.26978349606</v>
          </cell>
          <cell r="HP44">
            <v>100765.1908559287</v>
          </cell>
          <cell r="HQ44">
            <v>60391.177216075914</v>
          </cell>
        </row>
        <row r="45">
          <cell r="E45">
            <v>15</v>
          </cell>
          <cell r="EX45">
            <v>2435195.9112627432</v>
          </cell>
          <cell r="EY45">
            <v>2337241.4826253261</v>
          </cell>
          <cell r="EZ45">
            <v>1971741.2337158322</v>
          </cell>
          <cell r="FA45">
            <v>1531692.4491463378</v>
          </cell>
          <cell r="FB45">
            <v>911477.24901804607</v>
          </cell>
          <cell r="GF45">
            <v>515619.04291664902</v>
          </cell>
          <cell r="GG45">
            <v>494701.098504466</v>
          </cell>
          <cell r="GH45">
            <v>417292.9177155639</v>
          </cell>
          <cell r="GI45">
            <v>324088.57159671839</v>
          </cell>
          <cell r="GJ45">
            <v>192683.60962697654</v>
          </cell>
          <cell r="HM45">
            <v>9732.5069085294308</v>
          </cell>
          <cell r="HN45">
            <v>167313.54225842099</v>
          </cell>
          <cell r="HO45">
            <v>142849.36344305286</v>
          </cell>
          <cell r="HP45">
            <v>113680.29896007979</v>
          </cell>
          <cell r="HQ45">
            <v>73722.424552930199</v>
          </cell>
        </row>
        <row r="46">
          <cell r="E46">
            <v>15</v>
          </cell>
          <cell r="EX46">
            <v>2759676.6774021611</v>
          </cell>
          <cell r="EY46">
            <v>2418677.0382084101</v>
          </cell>
          <cell r="EZ46">
            <v>2127272.5566439517</v>
          </cell>
          <cell r="FA46">
            <v>1598374.763810616</v>
          </cell>
          <cell r="FB46">
            <v>918646.3417775305</v>
          </cell>
          <cell r="GF46">
            <v>584113.83418307081</v>
          </cell>
          <cell r="GG46">
            <v>511937.76793026272</v>
          </cell>
          <cell r="GH46">
            <v>450106.49798781564</v>
          </cell>
          <cell r="GI46">
            <v>338022.04091072362</v>
          </cell>
          <cell r="GJ46">
            <v>194199.13475076458</v>
          </cell>
          <cell r="HM46">
            <v>197553.94717085958</v>
          </cell>
          <cell r="HN46">
            <v>173143.1800479588</v>
          </cell>
          <cell r="HO46">
            <v>157883.5100634183</v>
          </cell>
          <cell r="HP46">
            <v>124745.28214828513</v>
          </cell>
          <cell r="HQ46">
            <v>74302.277643770794</v>
          </cell>
        </row>
        <row r="47">
          <cell r="E47">
            <v>16</v>
          </cell>
          <cell r="EX47">
            <v>2957748.2280199565</v>
          </cell>
          <cell r="EY47">
            <v>2732199.8599172272</v>
          </cell>
          <cell r="EZ47">
            <v>2247637.0461000688</v>
          </cell>
          <cell r="FA47">
            <v>1756938.3949243575</v>
          </cell>
          <cell r="FB47">
            <v>1026780.8612817395</v>
          </cell>
          <cell r="GF47">
            <v>626037.70657773782</v>
          </cell>
          <cell r="GG47">
            <v>578102.54752426501</v>
          </cell>
          <cell r="GH47">
            <v>475539.98489977885</v>
          </cell>
          <cell r="GI47">
            <v>371411.60922114179</v>
          </cell>
          <cell r="GJ47">
            <v>216895.92467785976</v>
          </cell>
          <cell r="HM47">
            <v>211733.0779970235</v>
          </cell>
          <cell r="HN47">
            <v>202767.10613473511</v>
          </cell>
          <cell r="HO47">
            <v>168009.05585694307</v>
          </cell>
          <cell r="HP47">
            <v>142105.31135417597</v>
          </cell>
          <cell r="HQ47">
            <v>119650.08491889271</v>
          </cell>
        </row>
        <row r="48">
          <cell r="E48">
            <v>16</v>
          </cell>
          <cell r="EX48">
            <v>3313944.2826377004</v>
          </cell>
          <cell r="EY48">
            <v>2933394.2207267545</v>
          </cell>
          <cell r="EZ48">
            <v>2545667.7082266584</v>
          </cell>
          <cell r="FA48">
            <v>1923526.8501828462</v>
          </cell>
          <cell r="FB48">
            <v>1108020.8018907383</v>
          </cell>
          <cell r="GF48">
            <v>701239.75793532096</v>
          </cell>
          <cell r="GG48">
            <v>620672.60529700201</v>
          </cell>
          <cell r="GH48">
            <v>538146.6662611505</v>
          </cell>
          <cell r="GI48">
            <v>406529.30798989302</v>
          </cell>
          <cell r="GJ48">
            <v>234043.7457697452</v>
          </cell>
          <cell r="HM48">
            <v>244226.55555446184</v>
          </cell>
          <cell r="HN48">
            <v>217712.85231956374</v>
          </cell>
          <cell r="HO48">
            <v>205899.59404774464</v>
          </cell>
          <cell r="HP48">
            <v>177786.50877050275</v>
          </cell>
          <cell r="HQ48">
            <v>132090.44281799311</v>
          </cell>
        </row>
        <row r="49">
          <cell r="E49">
            <v>17</v>
          </cell>
          <cell r="EX49">
            <v>3592134.4747368135</v>
          </cell>
          <cell r="EY49">
            <v>3263801.0500907265</v>
          </cell>
          <cell r="EZ49">
            <v>2709993.5950783752</v>
          </cell>
          <cell r="FA49">
            <v>2121920.0922267027</v>
          </cell>
          <cell r="FB49">
            <v>1172484.8211794198</v>
          </cell>
          <cell r="GF49">
            <v>760054.4949801201</v>
          </cell>
          <cell r="GG49">
            <v>690110.2282392066</v>
          </cell>
          <cell r="GH49">
            <v>572884.67543017026</v>
          </cell>
          <cell r="GI49">
            <v>448206.50096223736</v>
          </cell>
          <cell r="GJ49">
            <v>247547.08670722274</v>
          </cell>
          <cell r="HM49">
            <v>266603.73054687295</v>
          </cell>
          <cell r="HN49">
            <v>258684.36732542014</v>
          </cell>
          <cell r="HO49">
            <v>219190.65842545661</v>
          </cell>
          <cell r="HP49">
            <v>252960.38136498863</v>
          </cell>
          <cell r="HQ49">
            <v>183195.42439779616</v>
          </cell>
        </row>
        <row r="50">
          <cell r="E50">
            <v>17</v>
          </cell>
          <cell r="EX50">
            <v>3976772.0226570852</v>
          </cell>
          <cell r="EY50">
            <v>3555498.6061587371</v>
          </cell>
          <cell r="EZ50">
            <v>3049252.9553979561</v>
          </cell>
          <cell r="FA50">
            <v>2264841.9602132142</v>
          </cell>
          <cell r="FB50">
            <v>1282095.472001167</v>
          </cell>
          <cell r="GF50">
            <v>841026.57504537143</v>
          </cell>
          <cell r="GG50">
            <v>751621.94799311459</v>
          </cell>
          <cell r="GH50">
            <v>644185.16991996858</v>
          </cell>
          <cell r="GI50">
            <v>478395.4371978147</v>
          </cell>
          <cell r="GJ50">
            <v>270617.73943007039</v>
          </cell>
          <cell r="HM50">
            <v>309517.1069331381</v>
          </cell>
          <cell r="HN50">
            <v>287577.0931451919</v>
          </cell>
          <cell r="HO50">
            <v>340750.04456332419</v>
          </cell>
          <cell r="HP50">
            <v>269998.52071986301</v>
          </cell>
          <cell r="HQ50">
            <v>227740.64305283851</v>
          </cell>
        </row>
        <row r="51">
          <cell r="E51">
            <v>18</v>
          </cell>
          <cell r="EX51">
            <v>4384171.3971869871</v>
          </cell>
          <cell r="EY51">
            <v>3868159.3574915826</v>
          </cell>
          <cell r="EZ51">
            <v>3316018.0264164358</v>
          </cell>
          <cell r="FA51">
            <v>2451358.3184102774</v>
          </cell>
          <cell r="FB51">
            <v>1376543.0164101906</v>
          </cell>
          <cell r="GF51">
            <v>926800.93874357361</v>
          </cell>
          <cell r="GG51">
            <v>817401.89100025222</v>
          </cell>
          <cell r="GH51">
            <v>700432.04840393458</v>
          </cell>
          <cell r="GI51">
            <v>517422.14810725581</v>
          </cell>
          <cell r="GJ51">
            <v>290509.08941978589</v>
          </cell>
          <cell r="HM51">
            <v>354602.09830188891</v>
          </cell>
          <cell r="HN51">
            <v>383943.50712328102</v>
          </cell>
          <cell r="HO51">
            <v>395312.33416769956</v>
          </cell>
          <cell r="HP51">
            <v>434377.53205714654</v>
          </cell>
          <cell r="HQ51">
            <v>314092.26747461408</v>
          </cell>
        </row>
        <row r="52">
          <cell r="E52">
            <v>18</v>
          </cell>
          <cell r="EX52">
            <v>4768933.9427172244</v>
          </cell>
          <cell r="EY52">
            <v>4332224.4903095439</v>
          </cell>
          <cell r="EZ52">
            <v>3556037.1053185239</v>
          </cell>
          <cell r="FA52">
            <v>2623449.442140922</v>
          </cell>
          <cell r="FB52">
            <v>1622555.8481149711</v>
          </cell>
          <cell r="GF52">
            <v>1007923.856199408</v>
          </cell>
          <cell r="GG52">
            <v>915082.14060357772</v>
          </cell>
          <cell r="GH52">
            <v>750848.61951645277</v>
          </cell>
          <cell r="GI52">
            <v>553743.44036417454</v>
          </cell>
          <cell r="GJ52">
            <v>342257.87421175186</v>
          </cell>
          <cell r="HM52">
            <v>434084.97722084075</v>
          </cell>
          <cell r="HN52">
            <v>516457.31771051255</v>
          </cell>
          <cell r="HO52">
            <v>532063.82881540363</v>
          </cell>
          <cell r="HP52">
            <v>466007.46669608494</v>
          </cell>
          <cell r="HQ52">
            <v>638881.36519527016</v>
          </cell>
        </row>
        <row r="53">
          <cell r="E53">
            <v>19</v>
          </cell>
          <cell r="EX53">
            <v>5332331.0879722014</v>
          </cell>
          <cell r="EY53">
            <v>4698565.6666920632</v>
          </cell>
          <cell r="EZ53">
            <v>3902894.7714509442</v>
          </cell>
          <cell r="FA53">
            <v>3033895.9487932064</v>
          </cell>
          <cell r="FB53">
            <v>1772071.1691748481</v>
          </cell>
          <cell r="GF53">
            <v>1126331.508744128</v>
          </cell>
          <cell r="GG53">
            <v>992323.65145731717</v>
          </cell>
          <cell r="GH53">
            <v>823801.80208805483</v>
          </cell>
          <cell r="GI53">
            <v>640113.64505716693</v>
          </cell>
          <cell r="GJ53">
            <v>373796.26224781992</v>
          </cell>
          <cell r="HM53">
            <v>635682.98849668633</v>
          </cell>
          <cell r="HN53">
            <v>613673.79608918354</v>
          </cell>
          <cell r="HO53">
            <v>693277.36071825959</v>
          </cell>
          <cell r="HP53">
            <v>956155.42199664423</v>
          </cell>
          <cell r="HQ53">
            <v>697753.02286259644</v>
          </cell>
        </row>
        <row r="54">
          <cell r="E54">
            <v>19</v>
          </cell>
          <cell r="EX54">
            <v>5715050.9535458535</v>
          </cell>
          <cell r="EY54">
            <v>4972385.6397984549</v>
          </cell>
          <cell r="EZ54">
            <v>4180958.6464643925</v>
          </cell>
          <cell r="FA54">
            <v>3319816.3840699159</v>
          </cell>
          <cell r="FB54">
            <v>1904708.1644234806</v>
          </cell>
          <cell r="GF54">
            <v>1207172.2210904155</v>
          </cell>
          <cell r="GG54">
            <v>1049544.1180495638</v>
          </cell>
          <cell r="GH54">
            <v>882398.74884708971</v>
          </cell>
          <cell r="GI54">
            <v>700273.76851474773</v>
          </cell>
          <cell r="GJ54">
            <v>403813.26710541174</v>
          </cell>
          <cell r="HM54">
            <v>681308.15765650757</v>
          </cell>
          <cell r="HN54">
            <v>883252.71233261935</v>
          </cell>
          <cell r="HO54">
            <v>892882.09055229742</v>
          </cell>
          <cell r="HP54">
            <v>1307177.7012275294</v>
          </cell>
          <cell r="HQ54">
            <v>748347.72880387772</v>
          </cell>
        </row>
        <row r="55">
          <cell r="E55">
            <v>20</v>
          </cell>
          <cell r="EX55">
            <v>6457108.2641759217</v>
          </cell>
          <cell r="EY55">
            <v>5654821.9605484307</v>
          </cell>
          <cell r="EZ55">
            <v>5039355.1947038025</v>
          </cell>
          <cell r="FA55">
            <v>3782225.7063374966</v>
          </cell>
          <cell r="FB55">
            <v>2102724.9038189165</v>
          </cell>
          <cell r="GF55">
            <v>1362954.383592939</v>
          </cell>
          <cell r="GG55">
            <v>1193589.0651376899</v>
          </cell>
          <cell r="GH55">
            <v>1062988.9863828328</v>
          </cell>
          <cell r="GI55">
            <v>799424.62924125977</v>
          </cell>
          <cell r="GJ55">
            <v>445890.32558660023</v>
          </cell>
          <cell r="HM55">
            <v>1138129.4738573562</v>
          </cell>
          <cell r="HN55">
            <v>1004474.9535184707</v>
          </cell>
          <cell r="HO55">
            <v>1984246.1079146224</v>
          </cell>
          <cell r="HP55">
            <v>1487962.2564218314</v>
          </cell>
          <cell r="HQ55">
            <v>826070.49792885967</v>
          </cell>
        </row>
        <row r="56">
          <cell r="E56">
            <v>20</v>
          </cell>
          <cell r="EX56">
            <v>6929584.6084547192</v>
          </cell>
          <cell r="EY56">
            <v>6447980.2237249911</v>
          </cell>
          <cell r="EZ56">
            <v>5456997.6872680113</v>
          </cell>
          <cell r="FA56">
            <v>4032388.9264391586</v>
          </cell>
          <cell r="FB56">
            <v>2311460.0189178176</v>
          </cell>
          <cell r="GF56">
            <v>1462659.0319380835</v>
          </cell>
          <cell r="GG56">
            <v>1360227.2022642475</v>
          </cell>
          <cell r="GH56">
            <v>1151085.4496580977</v>
          </cell>
          <cell r="GI56">
            <v>855082.47324044816</v>
          </cell>
          <cell r="GJ56">
            <v>489728.48147467896</v>
          </cell>
          <cell r="HM56">
            <v>1230913.0554491915</v>
          </cell>
          <cell r="HN56">
            <v>2371161.9701531269</v>
          </cell>
          <cell r="HO56">
            <v>2148692.8393617813</v>
          </cell>
          <cell r="HP56">
            <v>1584152.7925296705</v>
          </cell>
          <cell r="HQ56">
            <v>911982.38977158442</v>
          </cell>
        </row>
        <row r="57">
          <cell r="E57">
            <v>20</v>
          </cell>
          <cell r="EX57">
            <v>7703902.5350254476</v>
          </cell>
          <cell r="EY57">
            <v>6965776.1948262751</v>
          </cell>
          <cell r="EZ57">
            <v>5719190.6811475456</v>
          </cell>
          <cell r="FA57">
            <v>4206954.1082705036</v>
          </cell>
          <cell r="FB57">
            <v>2365657.1052319035</v>
          </cell>
          <cell r="GF57">
            <v>1625338.6446043756</v>
          </cell>
          <cell r="GG57">
            <v>1469343.4160961676</v>
          </cell>
          <cell r="GH57">
            <v>1212560.6773193069</v>
          </cell>
          <cell r="GI57">
            <v>892002.61983056925</v>
          </cell>
          <cell r="GJ57">
            <v>501009.83497475367</v>
          </cell>
          <cell r="HM57">
            <v>2565569.3512964472</v>
          </cell>
          <cell r="HN57">
            <v>2742774.3767128456</v>
          </cell>
          <cell r="HO57">
            <v>2246996.2162900474</v>
          </cell>
          <cell r="HP57">
            <v>1653624.5888177445</v>
          </cell>
          <cell r="HQ57">
            <v>935218.35861954</v>
          </cell>
        </row>
        <row r="58">
          <cell r="E58">
            <v>21</v>
          </cell>
          <cell r="EX58">
            <v>8378949.9374155402</v>
          </cell>
          <cell r="EY58">
            <v>7377749.6347492337</v>
          </cell>
          <cell r="EZ58">
            <v>6063112.919401072</v>
          </cell>
          <cell r="FA58">
            <v>4651328.0730272084</v>
          </cell>
          <cell r="FB58">
            <v>2586603.8554969765</v>
          </cell>
          <cell r="GF58">
            <v>1767434.7524235919</v>
          </cell>
          <cell r="GG58">
            <v>1561643.3085142411</v>
          </cell>
          <cell r="GH58">
            <v>1285704.748533709</v>
          </cell>
          <cell r="GI58">
            <v>985079.83474314958</v>
          </cell>
          <cell r="GJ58">
            <v>547612.04546805844</v>
          </cell>
          <cell r="HM58">
            <v>3299211.5378573667</v>
          </cell>
          <cell r="HN58">
            <v>2900669.5227350537</v>
          </cell>
          <cell r="HO58">
            <v>2381937.2183361351</v>
          </cell>
          <cell r="HP58">
            <v>1838815.6915205456</v>
          </cell>
          <cell r="HQ58">
            <v>1024321.9680149117</v>
          </cell>
        </row>
        <row r="59">
          <cell r="E59">
            <v>21</v>
          </cell>
          <cell r="EX59">
            <v>9176653.1892796606</v>
          </cell>
          <cell r="EY59">
            <v>7961912.4224739671</v>
          </cell>
          <cell r="EZ59">
            <v>6744135.2701018974</v>
          </cell>
          <cell r="FA59">
            <v>4981420.4020470083</v>
          </cell>
          <cell r="FB59">
            <v>2872438.6986762136</v>
          </cell>
          <cell r="GF59">
            <v>1940301.4618583098</v>
          </cell>
          <cell r="GG59">
            <v>1688351.9645871148</v>
          </cell>
          <cell r="GH59">
            <v>1428947.8413996138</v>
          </cell>
          <cell r="GI59">
            <v>1054988.3193341289</v>
          </cell>
          <cell r="GJ59">
            <v>607641.15558941197</v>
          </cell>
          <cell r="HM59">
            <v>3609626.2494831644</v>
          </cell>
          <cell r="HN59">
            <v>3127894.165971918</v>
          </cell>
          <cell r="HO59">
            <v>2660246.8984248862</v>
          </cell>
          <cell r="HP59">
            <v>1969311.5294237062</v>
          </cell>
          <cell r="HQ59">
            <v>1141979.5685997847</v>
          </cell>
        </row>
        <row r="60">
          <cell r="E60">
            <v>21</v>
          </cell>
          <cell r="EX60">
            <v>10106130.310197368</v>
          </cell>
          <cell r="EY60">
            <v>8970871.8272075653</v>
          </cell>
          <cell r="EZ60">
            <v>7427212.4966705441</v>
          </cell>
          <cell r="FA60">
            <v>5565417.282615453</v>
          </cell>
          <cell r="FB60">
            <v>3157320.4169545285</v>
          </cell>
          <cell r="GF60">
            <v>2143041.0255998895</v>
          </cell>
          <cell r="GG60">
            <v>1901464.7932255566</v>
          </cell>
          <cell r="GH60">
            <v>1572969.5140727349</v>
          </cell>
          <cell r="GI60">
            <v>1177682.4978278633</v>
          </cell>
          <cell r="GJ60">
            <v>667856.09690825827</v>
          </cell>
          <cell r="HM60">
            <v>3970265.4790061079</v>
          </cell>
          <cell r="HN60">
            <v>3532004.7473425902</v>
          </cell>
          <cell r="HO60">
            <v>2936209.7596024387</v>
          </cell>
          <cell r="HP60">
            <v>2209267.7761136349</v>
          </cell>
          <cell r="HQ60">
            <v>1255693.6356812157</v>
          </cell>
        </row>
        <row r="61">
          <cell r="E61">
            <v>22</v>
          </cell>
          <cell r="EX61">
            <v>10926159.904654577</v>
          </cell>
          <cell r="EY61">
            <v>9637077.1577013433</v>
          </cell>
          <cell r="EZ61">
            <v>8074938.9384875596</v>
          </cell>
          <cell r="FA61">
            <v>6135522.8330644071</v>
          </cell>
          <cell r="FB61">
            <v>3509598.7882386819</v>
          </cell>
          <cell r="GF61">
            <v>2316433.9733255096</v>
          </cell>
          <cell r="GG61">
            <v>2040984.902562879</v>
          </cell>
          <cell r="GH61">
            <v>1709512.9251941442</v>
          </cell>
          <cell r="GI61">
            <v>1297920.1910023876</v>
          </cell>
          <cell r="GJ61">
            <v>741654.45704326499</v>
          </cell>
          <cell r="HM61">
            <v>4296994.7219394743</v>
          </cell>
          <cell r="HN61">
            <v>3809838.4847840406</v>
          </cell>
          <cell r="HO61">
            <v>3198119.2252940685</v>
          </cell>
          <cell r="HP61">
            <v>2439265.88277274</v>
          </cell>
          <cell r="HQ61">
            <v>1402401.155136358</v>
          </cell>
        </row>
        <row r="62">
          <cell r="E62">
            <v>22</v>
          </cell>
          <cell r="EX62">
            <v>12235407.070538238</v>
          </cell>
          <cell r="EY62">
            <v>10670912.715066671</v>
          </cell>
          <cell r="EZ62">
            <v>9052973.1419601589</v>
          </cell>
          <cell r="FA62">
            <v>6720268.593105197</v>
          </cell>
          <cell r="FB62">
            <v>3869338.0156716853</v>
          </cell>
          <cell r="GF62">
            <v>2591271.2639976479</v>
          </cell>
          <cell r="GG62">
            <v>2259825.8077176996</v>
          </cell>
          <cell r="GH62">
            <v>1915083.188384749</v>
          </cell>
          <cell r="GI62">
            <v>1420794.8344904855</v>
          </cell>
          <cell r="GJ62">
            <v>817675.16980766878</v>
          </cell>
          <cell r="HM62">
            <v>4837039.6927956119</v>
          </cell>
          <cell r="HN62">
            <v>4219554.2449346706</v>
          </cell>
          <cell r="HO62">
            <v>3599140.4683294334</v>
          </cell>
          <cell r="HP62">
            <v>2679317.0377778225</v>
          </cell>
          <cell r="HQ62">
            <v>1546149.4119999576</v>
          </cell>
        </row>
        <row r="63">
          <cell r="E63">
            <v>22</v>
          </cell>
          <cell r="EX63">
            <v>13113584.601531565</v>
          </cell>
          <cell r="EY63">
            <v>11737025.534886673</v>
          </cell>
          <cell r="EZ63">
            <v>9688199.0427765846</v>
          </cell>
          <cell r="FA63">
            <v>7429944.1122557074</v>
          </cell>
          <cell r="FB63">
            <v>4980918.1753930897</v>
          </cell>
          <cell r="GF63">
            <v>2777255.7749855034</v>
          </cell>
          <cell r="GG63">
            <v>2482872.745896291</v>
          </cell>
          <cell r="GH63">
            <v>2049111.5524396673</v>
          </cell>
          <cell r="GI63">
            <v>1570108.5790499393</v>
          </cell>
          <cell r="GJ63">
            <v>948604.76948955096</v>
          </cell>
          <cell r="HM63">
            <v>5184210.7799729407</v>
          </cell>
          <cell r="HN63">
            <v>4666224.3351447769</v>
          </cell>
          <cell r="HO63">
            <v>3854890.2240627035</v>
          </cell>
          <cell r="HP63">
            <v>2968932.5858398862</v>
          </cell>
          <cell r="HQ63">
            <v>2202591.6516340375</v>
          </cell>
        </row>
        <row r="64">
          <cell r="E64">
            <v>23</v>
          </cell>
          <cell r="EX64">
            <v>14696129.057685196</v>
          </cell>
          <cell r="EY64">
            <v>12889036.635307282</v>
          </cell>
          <cell r="EZ64">
            <v>10997739.252286121</v>
          </cell>
          <cell r="FA64">
            <v>8745724.1874682009</v>
          </cell>
          <cell r="FB64">
            <v>5264738.9645528048</v>
          </cell>
          <cell r="GF64">
            <v>3109218.4902203903</v>
          </cell>
          <cell r="GG64">
            <v>2726571.3691720515</v>
          </cell>
          <cell r="GH64">
            <v>2324061.1893278807</v>
          </cell>
          <cell r="GI64">
            <v>1759735.3163261302</v>
          </cell>
          <cell r="GJ64">
            <v>992770.61994758248</v>
          </cell>
          <cell r="HM64">
            <v>5839242.3689221218</v>
          </cell>
          <cell r="HN64">
            <v>5124223.0176185891</v>
          </cell>
          <cell r="HO64">
            <v>4394588.4307290874</v>
          </cell>
          <cell r="HP64">
            <v>3675234.2497584671</v>
          </cell>
          <cell r="HQ64">
            <v>2348284.351029858</v>
          </cell>
        </row>
        <row r="65">
          <cell r="E65">
            <v>23</v>
          </cell>
          <cell r="EX65">
            <v>15834879.571996868</v>
          </cell>
          <cell r="EY65">
            <v>14259763.417850524</v>
          </cell>
          <cell r="EZ65">
            <v>11988380.918272987</v>
          </cell>
          <cell r="FA65">
            <v>10390888.051441774</v>
          </cell>
          <cell r="FB65">
            <v>6836205.418069452</v>
          </cell>
          <cell r="GF65">
            <v>3349740.5971384794</v>
          </cell>
          <cell r="GG65">
            <v>3013681.5131959692</v>
          </cell>
          <cell r="GH65">
            <v>2521468.464802146</v>
          </cell>
          <cell r="GI65">
            <v>1959407.378426794</v>
          </cell>
          <cell r="GJ65">
            <v>1184452.4976809695</v>
          </cell>
          <cell r="HM65">
            <v>6295385.503193602</v>
          </cell>
          <cell r="HN65">
            <v>5695450.5891842544</v>
          </cell>
          <cell r="HO65">
            <v>4814809.0533667244</v>
          </cell>
          <cell r="HP65">
            <v>4634752.0682018325</v>
          </cell>
          <cell r="HQ65">
            <v>3265371.7557540312</v>
          </cell>
        </row>
        <row r="66">
          <cell r="E66">
            <v>23</v>
          </cell>
          <cell r="EX66">
            <v>17605358.278395504</v>
          </cell>
          <cell r="EY66">
            <v>15607506.329954445</v>
          </cell>
          <cell r="EZ66">
            <v>14975501.29740335</v>
          </cell>
          <cell r="FA66">
            <v>11828826.855014116</v>
          </cell>
          <cell r="FB66">
            <v>7262000.5304137319</v>
          </cell>
          <cell r="GF66">
            <v>3721265.8158944473</v>
          </cell>
          <cell r="GG66">
            <v>3298205.1030257158</v>
          </cell>
          <cell r="GH66">
            <v>2823926.847494103</v>
          </cell>
          <cell r="GI66">
            <v>2153355.8744446598</v>
          </cell>
          <cell r="GJ66">
            <v>1236809.4653360881</v>
          </cell>
          <cell r="HM66">
            <v>7026912.9587605894</v>
          </cell>
          <cell r="HN66">
            <v>6236606.0129940882</v>
          </cell>
          <cell r="HO66">
            <v>6679673.1200341359</v>
          </cell>
          <cell r="HP66">
            <v>5435591.9387308434</v>
          </cell>
          <cell r="HQ66">
            <v>3512992.7565876469</v>
          </cell>
        </row>
        <row r="67">
          <cell r="E67">
            <v>24</v>
          </cell>
          <cell r="EX67">
            <v>19075521.611547232</v>
          </cell>
          <cell r="EY67">
            <v>18959176.138409346</v>
          </cell>
          <cell r="EZ67">
            <v>16222852.074733108</v>
          </cell>
          <cell r="FA67">
            <v>14011020.130476475</v>
          </cell>
          <cell r="FB67">
            <v>7843321.5583863109</v>
          </cell>
          <cell r="GF67">
            <v>4031072.0618664101</v>
          </cell>
          <cell r="GG67">
            <v>3654319.3731249869</v>
          </cell>
          <cell r="GH67">
            <v>3059139.4977013394</v>
          </cell>
          <cell r="GI67">
            <v>2386251.8659717701</v>
          </cell>
          <cell r="GJ67">
            <v>1334194.6991029195</v>
          </cell>
          <cell r="HM67">
            <v>7622390.8078928441</v>
          </cell>
          <cell r="HN67">
            <v>8294875.2346323431</v>
          </cell>
          <cell r="HO67">
            <v>7236041.5041781813</v>
          </cell>
          <cell r="HP67">
            <v>6777830.9881179854</v>
          </cell>
          <cell r="HQ67">
            <v>3791412.2846255265</v>
          </cell>
        </row>
        <row r="68">
          <cell r="E68">
            <v>24</v>
          </cell>
          <cell r="EX68">
            <v>22765753.604658216</v>
          </cell>
          <cell r="EY68">
            <v>20846316.046072781</v>
          </cell>
          <cell r="EZ68">
            <v>20271311.968879998</v>
          </cell>
          <cell r="FA68">
            <v>14968772.367869735</v>
          </cell>
          <cell r="FB68">
            <v>7972452.9536905587</v>
          </cell>
          <cell r="GF68">
            <v>4460154.9582383335</v>
          </cell>
          <cell r="GG68">
            <v>3930985.0391492024</v>
          </cell>
          <cell r="GH68">
            <v>3472420.6183651984</v>
          </cell>
          <cell r="GI68">
            <v>2548368.5711446851</v>
          </cell>
          <cell r="GJ68">
            <v>1355697.5488077626</v>
          </cell>
          <cell r="HM68">
            <v>9813040.8148594946</v>
          </cell>
          <cell r="HN68">
            <v>9298291.5349106193</v>
          </cell>
          <cell r="HO68">
            <v>9765014.4719366133</v>
          </cell>
          <cell r="HP68">
            <v>7239418.8742866293</v>
          </cell>
          <cell r="HQ68">
            <v>3853035.1387167983</v>
          </cell>
        </row>
        <row r="69">
          <cell r="E69">
            <v>24</v>
          </cell>
          <cell r="EX69">
            <v>25796015.696703881</v>
          </cell>
          <cell r="EY69">
            <v>25085761.302792102</v>
          </cell>
          <cell r="EZ69">
            <v>21602715.782374412</v>
          </cell>
          <cell r="FA69">
            <v>15605993.553981274</v>
          </cell>
          <cell r="FB69">
            <v>9202439.2139406353</v>
          </cell>
          <cell r="GF69">
            <v>4864348.7678727955</v>
          </cell>
          <cell r="GG69">
            <v>4408077.5126821846</v>
          </cell>
          <cell r="GH69">
            <v>3679212.5316856429</v>
          </cell>
          <cell r="GI69">
            <v>2653763.8203369118</v>
          </cell>
          <cell r="GJ69">
            <v>1563540.786163155</v>
          </cell>
          <cell r="HM69">
            <v>11506055.739391401</v>
          </cell>
          <cell r="HN69">
            <v>11855036.975672603</v>
          </cell>
          <cell r="HO69">
            <v>10450313.759723619</v>
          </cell>
          <cell r="HP69">
            <v>7542276.1209575459</v>
          </cell>
          <cell r="HQ69">
            <v>4445215.7973882928</v>
          </cell>
        </row>
        <row r="70">
          <cell r="E70">
            <v>25</v>
          </cell>
          <cell r="EX70">
            <v>29920036.246355593</v>
          </cell>
          <cell r="EY70">
            <v>28186554.682305634</v>
          </cell>
          <cell r="EZ70">
            <v>23020143.057035834</v>
          </cell>
          <cell r="FA70">
            <v>16731287.020600021</v>
          </cell>
          <cell r="FB70">
            <v>9827767.5703044981</v>
          </cell>
          <cell r="GF70">
            <v>5341901.6660195589</v>
          </cell>
          <cell r="GG70">
            <v>4800522.5943301767</v>
          </cell>
          <cell r="GH70">
            <v>3915413.8093927205</v>
          </cell>
          <cell r="GI70">
            <v>2845024.8284722567</v>
          </cell>
          <cell r="GJ70">
            <v>1668813.2717840113</v>
          </cell>
          <cell r="HM70">
            <v>13965409.78479819</v>
          </cell>
          <cell r="HN70">
            <v>13635245.827565342</v>
          </cell>
          <cell r="HO70">
            <v>11127022.275206372</v>
          </cell>
          <cell r="HP70">
            <v>8085963.574409917</v>
          </cell>
          <cell r="HQ70">
            <v>4745600.0938799083</v>
          </cell>
        </row>
        <row r="71">
          <cell r="E71">
            <v>25</v>
          </cell>
          <cell r="EX71">
            <v>34385658.017152905</v>
          </cell>
          <cell r="EY71">
            <v>30092216.772179246</v>
          </cell>
          <cell r="EZ71">
            <v>23932596.828024834</v>
          </cell>
          <cell r="FA71">
            <v>19107830.41836822</v>
          </cell>
          <cell r="FB71">
            <v>10568904.607694939</v>
          </cell>
          <cell r="GF71">
            <v>5856307.3810463473</v>
          </cell>
          <cell r="GG71">
            <v>5120559.8578799739</v>
          </cell>
          <cell r="GH71">
            <v>4069683.8281545788</v>
          </cell>
          <cell r="GI71">
            <v>3244623.0305162966</v>
          </cell>
          <cell r="GJ71">
            <v>1796594.7183258198</v>
          </cell>
          <cell r="HM71">
            <v>16634062.065797701</v>
          </cell>
          <cell r="HN71">
            <v>14549316.239844069</v>
          </cell>
          <cell r="HO71">
            <v>11566469.827386707</v>
          </cell>
          <cell r="HP71">
            <v>9226726.3321572617</v>
          </cell>
          <cell r="HQ71">
            <v>5101880.1117349863</v>
          </cell>
        </row>
        <row r="72">
          <cell r="E72">
            <v>25</v>
          </cell>
          <cell r="EX72">
            <v>37523524.983631253</v>
          </cell>
          <cell r="EY72">
            <v>32243104.9951033</v>
          </cell>
          <cell r="EZ72">
            <v>28021900.416289359</v>
          </cell>
          <cell r="FA72">
            <v>20801156.608553499</v>
          </cell>
          <cell r="FB72">
            <v>11586239.184582591</v>
          </cell>
          <cell r="GF72">
            <v>6386813.9889672175</v>
          </cell>
          <cell r="GG72">
            <v>5482866.8995253295</v>
          </cell>
          <cell r="GH72">
            <v>4760705.606464535</v>
          </cell>
          <cell r="GI72">
            <v>3532159.8693177253</v>
          </cell>
          <cell r="GJ72">
            <v>1972766.381948214</v>
          </cell>
          <cell r="HM72">
            <v>18145262.246881828</v>
          </cell>
          <cell r="HN72">
            <v>15582884.872335151</v>
          </cell>
          <cell r="HO72">
            <v>13535296.082410783</v>
          </cell>
          <cell r="HP72">
            <v>10044394.11577411</v>
          </cell>
          <cell r="HQ72">
            <v>5590297.02450867</v>
          </cell>
        </row>
        <row r="73">
          <cell r="E73">
            <v>26</v>
          </cell>
          <cell r="EX73">
            <v>41374939.367784441</v>
          </cell>
          <cell r="EY73">
            <v>36626084.028754234</v>
          </cell>
          <cell r="EZ73">
            <v>31343993.118502796</v>
          </cell>
          <cell r="FA73">
            <v>22983649.779677868</v>
          </cell>
          <cell r="FB73">
            <v>12946201.788641676</v>
          </cell>
          <cell r="GF73">
            <v>7035714.6299633533</v>
          </cell>
          <cell r="GG73">
            <v>6224681.8636962697</v>
          </cell>
          <cell r="GH73">
            <v>5322396.091754891</v>
          </cell>
          <cell r="GI73">
            <v>3911994.2530911341</v>
          </cell>
          <cell r="GJ73">
            <v>2205403.7817186005</v>
          </cell>
          <cell r="HM73">
            <v>19996241.579895839</v>
          </cell>
          <cell r="HN73">
            <v>17695115.415557817</v>
          </cell>
          <cell r="HO73">
            <v>15135284.348318115</v>
          </cell>
          <cell r="HP73">
            <v>11090632.402681962</v>
          </cell>
          <cell r="HQ73">
            <v>6245579.0008097142</v>
          </cell>
        </row>
        <row r="74">
          <cell r="E74">
            <v>26</v>
          </cell>
          <cell r="EX74">
            <v>44850613.28987205</v>
          </cell>
          <cell r="EY74">
            <v>40688885.914332092</v>
          </cell>
          <cell r="EZ74">
            <v>33424709.569359362</v>
          </cell>
          <cell r="FA74">
            <v>24676742.601851493</v>
          </cell>
          <cell r="FB74">
            <v>14403704.668999523</v>
          </cell>
          <cell r="GF74">
            <v>7623924.3457402587</v>
          </cell>
          <cell r="GG74">
            <v>6909214.3604530841</v>
          </cell>
          <cell r="GH74">
            <v>5683958.1107687801</v>
          </cell>
          <cell r="GI74">
            <v>4201660.9052660167</v>
          </cell>
          <cell r="GJ74">
            <v>2458615.5553701892</v>
          </cell>
          <cell r="HM74">
            <v>21671149.568054646</v>
          </cell>
          <cell r="HN74">
            <v>19647715.458632946</v>
          </cell>
          <cell r="HO74">
            <v>16133195.844697997</v>
          </cell>
          <cell r="HP74">
            <v>11906393.312271893</v>
          </cell>
          <cell r="HQ74">
            <v>6944643.3225533366</v>
          </cell>
        </row>
        <row r="75">
          <cell r="E75">
            <v>26</v>
          </cell>
          <cell r="EX75">
            <v>49682501.8089872</v>
          </cell>
          <cell r="EY75">
            <v>43641623.36103332</v>
          </cell>
          <cell r="EZ75">
            <v>35456299.345142484</v>
          </cell>
          <cell r="FA75">
            <v>26954821.472855031</v>
          </cell>
          <cell r="FB75">
            <v>15213384.934560597</v>
          </cell>
          <cell r="GF75">
            <v>8436383.7261265367</v>
          </cell>
          <cell r="GG75">
            <v>7416254.4540110528</v>
          </cell>
          <cell r="GH75">
            <v>6037075.0389363244</v>
          </cell>
          <cell r="GI75">
            <v>4597736.2299510911</v>
          </cell>
          <cell r="GJ75">
            <v>2597042.9241765402</v>
          </cell>
          <cell r="HM75">
            <v>23990523.133791745</v>
          </cell>
          <cell r="HN75">
            <v>21068852.76948899</v>
          </cell>
          <cell r="HO75">
            <v>17107470.471780986</v>
          </cell>
          <cell r="HP75">
            <v>12998779.502195001</v>
          </cell>
          <cell r="HQ75">
            <v>7334842.6100946218</v>
          </cell>
        </row>
        <row r="76">
          <cell r="E76">
            <v>27</v>
          </cell>
          <cell r="EX76">
            <v>53524414.830603004</v>
          </cell>
          <cell r="EY76">
            <v>46509146.879767478</v>
          </cell>
          <cell r="EZ76">
            <v>38776519.551508963</v>
          </cell>
          <cell r="FA76">
            <v>29437346.695878685</v>
          </cell>
          <cell r="FB76">
            <v>16997184.42050299</v>
          </cell>
          <cell r="GF76">
            <v>9091831.4446807057</v>
          </cell>
          <cell r="GG76">
            <v>7919021.8634177446</v>
          </cell>
          <cell r="GH76">
            <v>6608162.988066107</v>
          </cell>
          <cell r="GI76">
            <v>5024757.1828574389</v>
          </cell>
          <cell r="GJ76">
            <v>2907977.8901239336</v>
          </cell>
          <cell r="HM76">
            <v>25843156.076312214</v>
          </cell>
          <cell r="HN76">
            <v>22440408.943082571</v>
          </cell>
          <cell r="HO76">
            <v>18704694.451941967</v>
          </cell>
          <cell r="HP76">
            <v>14193006.442655772</v>
          </cell>
          <cell r="HQ76">
            <v>8189552.4935150892</v>
          </cell>
        </row>
        <row r="77">
          <cell r="E77">
            <v>27</v>
          </cell>
          <cell r="EX77">
            <v>59545856.396701336</v>
          </cell>
          <cell r="EY77">
            <v>51540836.469980896</v>
          </cell>
          <cell r="EZ77">
            <v>44536119.915529072</v>
          </cell>
          <cell r="FA77">
            <v>33149746.214068711</v>
          </cell>
          <cell r="FB77">
            <v>18772108.824253619</v>
          </cell>
          <cell r="GF77">
            <v>10138757.004088238</v>
          </cell>
          <cell r="GG77">
            <v>8778126.6873242557</v>
          </cell>
          <cell r="GH77">
            <v>7602016.2670939863</v>
          </cell>
          <cell r="GI77">
            <v>5665765.6091771498</v>
          </cell>
          <cell r="GJ77">
            <v>3211642.3556646034</v>
          </cell>
          <cell r="HM77">
            <v>28730549.968211502</v>
          </cell>
          <cell r="HN77">
            <v>24866212.552886814</v>
          </cell>
          <cell r="HO77">
            <v>21472772.102130085</v>
          </cell>
          <cell r="HP77">
            <v>15976853.903274059</v>
          </cell>
          <cell r="HQ77">
            <v>9044743.3425949216</v>
          </cell>
        </row>
        <row r="78">
          <cell r="E78">
            <v>27</v>
          </cell>
          <cell r="EX78">
            <v>63819668.68998158</v>
          </cell>
          <cell r="EY78">
            <v>58064842.030275106</v>
          </cell>
          <cell r="EZ78">
            <v>48023411.560354292</v>
          </cell>
          <cell r="FA78">
            <v>36176583.659960687</v>
          </cell>
          <cell r="FB78">
            <v>21241980.296318501</v>
          </cell>
          <cell r="GF78">
            <v>10866450.700085759</v>
          </cell>
          <cell r="GG78">
            <v>9911278.1826887578</v>
          </cell>
          <cell r="GH78">
            <v>8201719.6719575971</v>
          </cell>
          <cell r="GI78">
            <v>6189301.876167506</v>
          </cell>
          <cell r="GJ78">
            <v>3628332.6565381661</v>
          </cell>
          <cell r="HM78">
            <v>30792641.020002037</v>
          </cell>
          <cell r="HN78">
            <v>27995548.836025447</v>
          </cell>
          <cell r="HO78">
            <v>23150467.760777533</v>
          </cell>
          <cell r="HP78">
            <v>17430535.763435602</v>
          </cell>
          <cell r="HQ78">
            <v>10192509.904835925</v>
          </cell>
        </row>
        <row r="79">
          <cell r="E79">
            <v>28</v>
          </cell>
          <cell r="EX79">
            <v>71207782.894532919</v>
          </cell>
          <cell r="EY79">
            <v>61534470.796622276</v>
          </cell>
          <cell r="EZ79">
            <v>52094319.547411621</v>
          </cell>
          <cell r="FA79">
            <v>39660159.01178956</v>
          </cell>
          <cell r="FB79">
            <v>23236472.309400737</v>
          </cell>
          <cell r="GF79">
            <v>12154319.407644302</v>
          </cell>
          <cell r="GG79">
            <v>10503520.487868831</v>
          </cell>
          <cell r="GH79">
            <v>8912601.3872149885</v>
          </cell>
          <cell r="GI79">
            <v>6779766.5645107925</v>
          </cell>
          <cell r="GJ79">
            <v>3968438.2214456126</v>
          </cell>
          <cell r="HM79">
            <v>34332630.246790469</v>
          </cell>
          <cell r="HN79">
            <v>29668405.562657177</v>
          </cell>
          <cell r="HO79">
            <v>25099990.32738921</v>
          </cell>
          <cell r="HP79">
            <v>19069200.005635589</v>
          </cell>
          <cell r="HQ79">
            <v>11145400.962357894</v>
          </cell>
        </row>
        <row r="80">
          <cell r="E80">
            <v>28</v>
          </cell>
          <cell r="EX80">
            <v>76357429.010379553</v>
          </cell>
          <cell r="EY80">
            <v>69235465.87600565</v>
          </cell>
          <cell r="EZ80">
            <v>57375392.674862385</v>
          </cell>
          <cell r="FA80">
            <v>43885852.362101197</v>
          </cell>
          <cell r="FB80">
            <v>23815503.622588158</v>
          </cell>
          <cell r="GF80">
            <v>13033699.804817945</v>
          </cell>
          <cell r="GG80">
            <v>11844736.197560683</v>
          </cell>
          <cell r="GH80">
            <v>9814136.4368413687</v>
          </cell>
          <cell r="GI80">
            <v>7495040.1926553696</v>
          </cell>
          <cell r="GJ80">
            <v>4073592.6392473802</v>
          </cell>
          <cell r="HM80">
            <v>36815188.987147391</v>
          </cell>
          <cell r="HN80">
            <v>33359297.408649266</v>
          </cell>
          <cell r="HO80">
            <v>27630237.83911103</v>
          </cell>
          <cell r="HP80">
            <v>21049900.11554271</v>
          </cell>
          <cell r="HQ80">
            <v>13019860.938951701</v>
          </cell>
        </row>
        <row r="81">
          <cell r="E81">
            <v>28</v>
          </cell>
          <cell r="EX81">
            <v>84654476.531318903</v>
          </cell>
          <cell r="EY81">
            <v>73666458.309627771</v>
          </cell>
          <cell r="EZ81">
            <v>63610377.328930378</v>
          </cell>
          <cell r="FA81">
            <v>46716755.361565113</v>
          </cell>
          <cell r="FB81">
            <v>25464055.94599396</v>
          </cell>
          <cell r="GF81">
            <v>14478757.697025001</v>
          </cell>
          <cell r="GG81">
            <v>12603289.268882021</v>
          </cell>
          <cell r="GH81">
            <v>10863690.895565867</v>
          </cell>
          <cell r="GI81">
            <v>7983692.1277564019</v>
          </cell>
          <cell r="GJ81">
            <v>4356629.6834975779</v>
          </cell>
          <cell r="HM81">
            <v>40791726.472285748</v>
          </cell>
          <cell r="HN81">
            <v>35493839.003729701</v>
          </cell>
          <cell r="HO81">
            <v>30510791.451376438</v>
          </cell>
          <cell r="HP81">
            <v>23727131.207176208</v>
          </cell>
          <cell r="HQ81">
            <v>14190165.254820704</v>
          </cell>
        </row>
        <row r="82">
          <cell r="E82">
            <v>29</v>
          </cell>
          <cell r="EX82">
            <v>91212748.492715955</v>
          </cell>
          <cell r="EY82">
            <v>82985442.446659446</v>
          </cell>
          <cell r="EZ82">
            <v>68400098.598832607</v>
          </cell>
          <cell r="FA82">
            <v>49158833.84060818</v>
          </cell>
          <cell r="FB82">
            <v>28367340.896981955</v>
          </cell>
          <cell r="GF82">
            <v>15605211.389852315</v>
          </cell>
          <cell r="GG82">
            <v>14175844.398344696</v>
          </cell>
          <cell r="GH82">
            <v>11681901.359576494</v>
          </cell>
          <cell r="GI82">
            <v>8410554.6724504381</v>
          </cell>
          <cell r="GJ82">
            <v>4858691.0591672286</v>
          </cell>
          <cell r="HM82">
            <v>43947960.637399495</v>
          </cell>
          <cell r="HN82">
            <v>39826997.833087265</v>
          </cell>
          <cell r="HO82">
            <v>32858773.849115133</v>
          </cell>
          <cell r="HP82">
            <v>27394378.075981408</v>
          </cell>
          <cell r="HQ82">
            <v>17271112.571696371</v>
          </cell>
        </row>
        <row r="83">
          <cell r="E83">
            <v>29</v>
          </cell>
          <cell r="EX83">
            <v>100814023.29174483</v>
          </cell>
          <cell r="EY83">
            <v>89201508.137165904</v>
          </cell>
          <cell r="EZ83">
            <v>71764326.65017128</v>
          </cell>
          <cell r="FA83">
            <v>52668735.051976085</v>
          </cell>
          <cell r="FB83">
            <v>29922531.420968473</v>
          </cell>
          <cell r="GF83">
            <v>17225263.649299711</v>
          </cell>
          <cell r="GG83">
            <v>15234269.194937468</v>
          </cell>
          <cell r="GH83">
            <v>12278114.545594931</v>
          </cell>
          <cell r="GI83">
            <v>9013299.3766721636</v>
          </cell>
          <cell r="GJ83">
            <v>5127853.1668998376</v>
          </cell>
          <cell r="HM83">
            <v>48411380.806149304</v>
          </cell>
          <cell r="HN83">
            <v>42785607.100675464</v>
          </cell>
          <cell r="HO83">
            <v>39991573.09136641</v>
          </cell>
          <cell r="HP83">
            <v>29963429.400766641</v>
          </cell>
          <cell r="HQ83">
            <v>18983111.331582129</v>
          </cell>
        </row>
        <row r="84">
          <cell r="E84">
            <v>29</v>
          </cell>
          <cell r="EX84">
            <v>109220973.77887654</v>
          </cell>
          <cell r="EY84">
            <v>93581246.7137779</v>
          </cell>
          <cell r="EZ84">
            <v>76325827.370953798</v>
          </cell>
          <cell r="FA84">
            <v>59012282.330269217</v>
          </cell>
          <cell r="FB84">
            <v>33211674.585727215</v>
          </cell>
          <cell r="GF84">
            <v>18653291.30671221</v>
          </cell>
          <cell r="GG84">
            <v>16003961.232455015</v>
          </cell>
          <cell r="GH84">
            <v>13058538.900756747</v>
          </cell>
          <cell r="GI84">
            <v>10112991.931598544</v>
          </cell>
          <cell r="GJ84">
            <v>5695528.587991491</v>
          </cell>
          <cell r="HM84">
            <v>52387967.074170411</v>
          </cell>
          <cell r="HN84">
            <v>50416967.89999634</v>
          </cell>
          <cell r="HO84">
            <v>42533526.705321968</v>
          </cell>
          <cell r="HP84">
            <v>37437899.542858899</v>
          </cell>
          <cell r="HQ84">
            <v>21034682.399919182</v>
          </cell>
        </row>
        <row r="85">
          <cell r="E85">
            <v>30</v>
          </cell>
          <cell r="EX85">
            <v>119967240.39503694</v>
          </cell>
          <cell r="EY85">
            <v>103878832.67044866</v>
          </cell>
          <cell r="EZ85">
            <v>87401690.676111102</v>
          </cell>
          <cell r="FA85">
            <v>64615147.651597977</v>
          </cell>
          <cell r="FB85">
            <v>35845331.260030329</v>
          </cell>
          <cell r="GF85">
            <v>20511227.459076077</v>
          </cell>
          <cell r="GG85">
            <v>17772565.645432919</v>
          </cell>
          <cell r="GH85">
            <v>14973162.647289038</v>
          </cell>
          <cell r="GI85">
            <v>11073160.383842394</v>
          </cell>
          <cell r="GJ85">
            <v>6152210.3522720337</v>
          </cell>
          <cell r="HM85">
            <v>63311955.762968659</v>
          </cell>
          <cell r="HN85">
            <v>57887785.24512434</v>
          </cell>
          <cell r="HO85">
            <v>54092307.871385336</v>
          </cell>
          <cell r="HP85">
            <v>40992405.499400854</v>
          </cell>
          <cell r="HQ85">
            <v>22658706.806858569</v>
          </cell>
        </row>
        <row r="86">
          <cell r="EX86">
            <v>130567962.6224668</v>
          </cell>
          <cell r="EY86">
            <v>116381792.97435689</v>
          </cell>
          <cell r="EZ86">
            <v>97561165.435228944</v>
          </cell>
          <cell r="FA86">
            <v>71745209.508554697</v>
          </cell>
          <cell r="FB86">
            <v>40162274.791015506</v>
          </cell>
          <cell r="GF86">
            <v>22338792.487782359</v>
          </cell>
          <cell r="GG86">
            <v>19931332.887407482</v>
          </cell>
          <cell r="GH86">
            <v>16719151.334666252</v>
          </cell>
          <cell r="GI86">
            <v>12313286.54870677</v>
          </cell>
          <cell r="GJ86">
            <v>6895845.0611038804</v>
          </cell>
          <cell r="HM86">
            <v>72760638.388776779</v>
          </cell>
          <cell r="HN86">
            <v>70236997.677019358</v>
          </cell>
          <cell r="HO86">
            <v>61893642.587940872</v>
          </cell>
          <cell r="HP86">
            <v>45356233.938894808</v>
          </cell>
          <cell r="HQ86">
            <v>25363861.419711262</v>
          </cell>
        </row>
        <row r="87">
          <cell r="EX87">
            <v>142584648.5497973</v>
          </cell>
          <cell r="EY87">
            <v>126761869.79152608</v>
          </cell>
          <cell r="EZ87">
            <v>103595623.44810367</v>
          </cell>
          <cell r="FA87">
            <v>76027259.000416398</v>
          </cell>
          <cell r="FB87">
            <v>44622468.96066606</v>
          </cell>
          <cell r="GF87">
            <v>24414512.679511487</v>
          </cell>
          <cell r="GG87">
            <v>21723304.29895103</v>
          </cell>
          <cell r="GH87">
            <v>17771763.841361403</v>
          </cell>
          <cell r="GI87">
            <v>13048719.970926404</v>
          </cell>
          <cell r="GJ87">
            <v>7669486.8526144773</v>
          </cell>
          <cell r="HM87">
            <v>84879781.849920154</v>
          </cell>
          <cell r="HN87">
            <v>80418820.620430589</v>
          </cell>
          <cell r="HO87">
            <v>65560302.290180385</v>
          </cell>
          <cell r="HP87">
            <v>48058681.855185509</v>
          </cell>
          <cell r="HQ87">
            <v>28112155.445219636</v>
          </cell>
        </row>
        <row r="88">
          <cell r="EX88">
            <v>155848468.83592892</v>
          </cell>
          <cell r="EY88">
            <v>133828148.29859567</v>
          </cell>
          <cell r="EZ88">
            <v>111037537.26640821</v>
          </cell>
          <cell r="FA88">
            <v>86538617.598550558</v>
          </cell>
          <cell r="FB88">
            <v>47863858.623515844</v>
          </cell>
          <cell r="GF88">
            <v>26707902.925512016</v>
          </cell>
          <cell r="GG88">
            <v>22950816.979012787</v>
          </cell>
          <cell r="GH88">
            <v>19057608.403884798</v>
          </cell>
          <cell r="GI88">
            <v>14870288.14163366</v>
          </cell>
          <cell r="GJ88">
            <v>8227891.4351918995</v>
          </cell>
          <cell r="HM88">
            <v>98871609.26150322</v>
          </cell>
          <cell r="HN88">
            <v>84756903.860572457</v>
          </cell>
          <cell r="HO88">
            <v>70189531.329024792</v>
          </cell>
          <cell r="HP88">
            <v>54550263.931418777</v>
          </cell>
          <cell r="HQ88">
            <v>30124846.445088863</v>
          </cell>
        </row>
        <row r="89">
          <cell r="EX89">
            <v>169273012.8943007</v>
          </cell>
          <cell r="EY89">
            <v>148612318.76437664</v>
          </cell>
          <cell r="EZ89">
            <v>124450605.60299945</v>
          </cell>
          <cell r="FA89">
            <v>95527983.229988098</v>
          </cell>
          <cell r="FB89">
            <v>46019498.68540132</v>
          </cell>
          <cell r="GF89">
            <v>29024600.134673059</v>
          </cell>
          <cell r="GG89">
            <v>25506647.974455833</v>
          </cell>
          <cell r="GH89">
            <v>21375655.558081001</v>
          </cell>
          <cell r="GI89">
            <v>16418872.117654204</v>
          </cell>
          <cell r="GJ89">
            <v>7917680.6024742573</v>
          </cell>
          <cell r="HM89">
            <v>107247258.3299011</v>
          </cell>
          <cell r="HN89">
            <v>93941465.747429848</v>
          </cell>
          <cell r="HO89">
            <v>78528891.338383794</v>
          </cell>
          <cell r="HP89">
            <v>60182629.434892595</v>
          </cell>
          <cell r="HQ89">
            <v>28808353.91220957</v>
          </cell>
        </row>
        <row r="90">
          <cell r="EX90">
            <v>185760299.98743343</v>
          </cell>
          <cell r="EY90">
            <v>163897969.78938437</v>
          </cell>
          <cell r="EZ90">
            <v>139417541.62702131</v>
          </cell>
          <cell r="FA90">
            <v>93678515.562193155</v>
          </cell>
          <cell r="FB90">
            <v>48821497.663391352</v>
          </cell>
          <cell r="GF90">
            <v>31882434.90716964</v>
          </cell>
          <cell r="GG90">
            <v>28143525.220597446</v>
          </cell>
          <cell r="GH90">
            <v>23962389.967144251</v>
          </cell>
          <cell r="GI90">
            <v>16113040.286314756</v>
          </cell>
          <cell r="GJ90">
            <v>8399766.1007941514</v>
          </cell>
          <cell r="HM90">
            <v>117423609.31848133</v>
          </cell>
          <cell r="HN90">
            <v>103486968.28786099</v>
          </cell>
          <cell r="HO90">
            <v>87833051.225023389</v>
          </cell>
          <cell r="HP90">
            <v>58743242.12151742</v>
          </cell>
          <cell r="HQ90">
            <v>30562414.267612517</v>
          </cell>
        </row>
        <row r="91">
          <cell r="EX91">
            <v>200742951.09880567</v>
          </cell>
          <cell r="EY91">
            <v>183090993.88995886</v>
          </cell>
          <cell r="EZ91">
            <v>143940289.89815831</v>
          </cell>
          <cell r="FA91">
            <v>96362330.518824816</v>
          </cell>
          <cell r="FB91">
            <v>54597860.548123956</v>
          </cell>
          <cell r="GF91">
            <v>34465388.936597526</v>
          </cell>
          <cell r="GG91">
            <v>31468764.574836671</v>
          </cell>
          <cell r="GH91">
            <v>24750289.258002102</v>
          </cell>
          <cell r="GI91">
            <v>16579193.101904571</v>
          </cell>
          <cell r="GJ91">
            <v>9444263.9821605086</v>
          </cell>
          <cell r="HM91">
            <v>126794360.44534564</v>
          </cell>
          <cell r="HN91">
            <v>115347326.15067399</v>
          </cell>
          <cell r="HO91">
            <v>90442160.372317672</v>
          </cell>
          <cell r="HP91">
            <v>60323128.254159927</v>
          </cell>
          <cell r="HQ91">
            <v>34185200.705399871</v>
          </cell>
        </row>
        <row r="92">
          <cell r="EX92">
            <v>221121814.52779675</v>
          </cell>
          <cell r="EY92">
            <v>188223000.83245468</v>
          </cell>
          <cell r="EZ92">
            <v>141359297.67429209</v>
          </cell>
          <cell r="FA92">
            <v>103753237.48313999</v>
          </cell>
          <cell r="FB92">
            <v>54961217.789777756</v>
          </cell>
          <cell r="GF92">
            <v>38005311.871965051</v>
          </cell>
          <cell r="GG92">
            <v>32358063.482406676</v>
          </cell>
          <cell r="GH92">
            <v>24320946.580197752</v>
          </cell>
          <cell r="GI92">
            <v>17896702.349282652</v>
          </cell>
          <cell r="GJ92">
            <v>9524042.8023563325</v>
          </cell>
          <cell r="HM92">
            <v>139306743.15251184</v>
          </cell>
          <cell r="HN92">
            <v>118415775.70224714</v>
          </cell>
          <cell r="HO92">
            <v>88491374.146025658</v>
          </cell>
          <cell r="HP92">
            <v>64955987.417878628</v>
          </cell>
          <cell r="HQ92">
            <v>34414968.148739278</v>
          </cell>
        </row>
        <row r="93">
          <cell r="EX93">
            <v>237905822.42893553</v>
          </cell>
          <cell r="EY93">
            <v>189089959.71462345</v>
          </cell>
          <cell r="EZ93">
            <v>154711190.55235028</v>
          </cell>
          <cell r="FA93">
            <v>107800516.24124765</v>
          </cell>
          <cell r="FB93">
            <v>58663767.850781798</v>
          </cell>
          <cell r="GF93">
            <v>40894406.509464622</v>
          </cell>
          <cell r="GG93">
            <v>32533033.799215436</v>
          </cell>
          <cell r="GH93">
            <v>26629007.43969512</v>
          </cell>
          <cell r="GI93">
            <v>18680385.407848626</v>
          </cell>
          <cell r="GJ93">
            <v>10176133.986178786</v>
          </cell>
          <cell r="HM93">
            <v>149781790.27026772</v>
          </cell>
          <cell r="HN93">
            <v>118370921.81172252</v>
          </cell>
          <cell r="HO93">
            <v>96851151.806703925</v>
          </cell>
          <cell r="HP93">
            <v>67501257.833304644</v>
          </cell>
          <cell r="HQ93">
            <v>36704915.526305854</v>
          </cell>
        </row>
        <row r="94">
          <cell r="EX94">
            <v>263739018.07845116</v>
          </cell>
          <cell r="EY94">
            <v>226129834.10046339</v>
          </cell>
          <cell r="EZ94">
            <v>179838000.23249769</v>
          </cell>
          <cell r="FA94">
            <v>131108910.32490492</v>
          </cell>
          <cell r="FB94">
            <v>71878680.284018397</v>
          </cell>
          <cell r="GF94">
            <v>45376446.22838515</v>
          </cell>
          <cell r="GG94">
            <v>38905764.99621737</v>
          </cell>
          <cell r="GH94">
            <v>31163516.395428896</v>
          </cell>
          <cell r="GI94">
            <v>22719417.871722251</v>
          </cell>
          <cell r="GJ94">
            <v>12501523.861615211</v>
          </cell>
          <cell r="HM94">
            <v>165101471.99132562</v>
          </cell>
          <cell r="HN94">
            <v>141558002.08536243</v>
          </cell>
          <cell r="HO94">
            <v>112608841.26707792</v>
          </cell>
          <cell r="HP94">
            <v>82096233.567931294</v>
          </cell>
          <cell r="HQ94">
            <v>44883519.81535989</v>
          </cell>
        </row>
        <row r="95">
          <cell r="EX95">
            <v>282668480.6118598</v>
          </cell>
          <cell r="EY95">
            <v>241294959.18111897</v>
          </cell>
          <cell r="EZ95">
            <v>197343589.19811821</v>
          </cell>
          <cell r="FA95">
            <v>144772406.1527257</v>
          </cell>
          <cell r="FB95">
            <v>74494103.921286464</v>
          </cell>
          <cell r="GF95">
            <v>48633270.891787708</v>
          </cell>
          <cell r="GG95">
            <v>41804837.785489857</v>
          </cell>
          <cell r="GH95">
            <v>34197000.464627206</v>
          </cell>
          <cell r="GI95">
            <v>25179364.136394441</v>
          </cell>
          <cell r="GJ95">
            <v>12956412.305314243</v>
          </cell>
          <cell r="HM95">
            <v>176951376.30597949</v>
          </cell>
          <cell r="HN95">
            <v>151090121.87046957</v>
          </cell>
          <cell r="HO95">
            <v>123570284.82499003</v>
          </cell>
          <cell r="HP95">
            <v>90401481.753093004</v>
          </cell>
          <cell r="HQ95">
            <v>46516680.276640356</v>
          </cell>
        </row>
        <row r="96">
          <cell r="EX96">
            <v>311957127.48203564</v>
          </cell>
          <cell r="EY96">
            <v>266618242.94144297</v>
          </cell>
          <cell r="EZ96">
            <v>217199010.64890671</v>
          </cell>
          <cell r="FA96">
            <v>152416964.35913968</v>
          </cell>
          <cell r="FB96">
            <v>84270758.908836961</v>
          </cell>
          <cell r="GF96">
            <v>54048309.112963438</v>
          </cell>
          <cell r="GG96">
            <v>46201369.980117619</v>
          </cell>
          <cell r="GH96">
            <v>37758126.04168129</v>
          </cell>
          <cell r="GI96">
            <v>26509172.251377583</v>
          </cell>
          <cell r="GJ96">
            <v>14705852.605337948</v>
          </cell>
          <cell r="HM96">
            <v>195336347.97883701</v>
          </cell>
          <cell r="HN96">
            <v>166947871.74838018</v>
          </cell>
          <cell r="HO96">
            <v>135676167.47014093</v>
          </cell>
          <cell r="HP96">
            <v>95174394.03421402</v>
          </cell>
          <cell r="HQ96">
            <v>52488462.62789011</v>
          </cell>
        </row>
        <row r="97">
          <cell r="EX97">
            <v>334603411.87468195</v>
          </cell>
          <cell r="EY97">
            <v>288225564.98050165</v>
          </cell>
          <cell r="EZ97">
            <v>231934580.97331142</v>
          </cell>
          <cell r="FA97">
            <v>165828173.31672907</v>
          </cell>
          <cell r="FB97">
            <v>88983326.822309971</v>
          </cell>
          <cell r="GF97">
            <v>57982289.051492691</v>
          </cell>
          <cell r="GG97">
            <v>50096749.078764677</v>
          </cell>
          <cell r="GH97">
            <v>40339300.706613779</v>
          </cell>
          <cell r="GI97">
            <v>28920921.800723612</v>
          </cell>
          <cell r="GJ97">
            <v>15529802.104405344</v>
          </cell>
          <cell r="HM97">
            <v>209518024.25797796</v>
          </cell>
          <cell r="HN97">
            <v>180067478.58274436</v>
          </cell>
          <cell r="HO97">
            <v>144827928.39057446</v>
          </cell>
          <cell r="HP97">
            <v>103333825.76962137</v>
          </cell>
          <cell r="HQ97">
            <v>55419440.389333367</v>
          </cell>
        </row>
        <row r="98">
          <cell r="EX98">
            <v>368639968.42634439</v>
          </cell>
          <cell r="EY98">
            <v>319703267.10245419</v>
          </cell>
          <cell r="EZ98">
            <v>249051694.08395243</v>
          </cell>
          <cell r="FA98">
            <v>178755963.03120112</v>
          </cell>
          <cell r="FB98">
            <v>106401587.7351439</v>
          </cell>
          <cell r="GF98">
            <v>64082447.815065145</v>
          </cell>
          <cell r="GG98">
            <v>55604499.227378249</v>
          </cell>
          <cell r="GH98">
            <v>43420549.753602684</v>
          </cell>
          <cell r="GI98">
            <v>31197358.314107656</v>
          </cell>
          <cell r="GJ98">
            <v>18614666.950071007</v>
          </cell>
          <cell r="HM98">
            <v>230282093.23985624</v>
          </cell>
          <cell r="HN98">
            <v>199633714.29926991</v>
          </cell>
          <cell r="HO98">
            <v>155233730.87124443</v>
          </cell>
          <cell r="HP98">
            <v>111330468.20364285</v>
          </cell>
          <cell r="HQ98">
            <v>66145651.988551378</v>
          </cell>
        </row>
        <row r="99">
          <cell r="EX99">
            <v>396930859.45842075</v>
          </cell>
          <cell r="EY99">
            <v>334550142.28469038</v>
          </cell>
          <cell r="EZ99">
            <v>268053379.15659428</v>
          </cell>
          <cell r="FA99">
            <v>202981644.57006836</v>
          </cell>
          <cell r="FB99">
            <v>113826540.21990395</v>
          </cell>
          <cell r="GF99">
            <v>69036334.436348677</v>
          </cell>
          <cell r="GG99">
            <v>58324475.057838559</v>
          </cell>
          <cell r="GH99">
            <v>46781976.808214128</v>
          </cell>
          <cell r="GI99">
            <v>35492400.069848061</v>
          </cell>
          <cell r="GJ99">
            <v>19929735.543821812</v>
          </cell>
          <cell r="HM99">
            <v>247857278.75684166</v>
          </cell>
          <cell r="HN99">
            <v>208530753.38276291</v>
          </cell>
          <cell r="HO99">
            <v>166945525.61507177</v>
          </cell>
          <cell r="HP99">
            <v>126236364.26999092</v>
          </cell>
          <cell r="HQ99">
            <v>70717765.413216829</v>
          </cell>
        </row>
        <row r="100">
          <cell r="EX100">
            <v>435312901.42430592</v>
          </cell>
          <cell r="EY100">
            <v>367787360.44472504</v>
          </cell>
          <cell r="EZ100">
            <v>314827723.36203527</v>
          </cell>
          <cell r="FA100">
            <v>236372648.21406126</v>
          </cell>
          <cell r="FB100">
            <v>136280765.28503156</v>
          </cell>
          <cell r="GF100">
            <v>75905123.957629442</v>
          </cell>
          <cell r="GG100">
            <v>64188035.311533689</v>
          </cell>
          <cell r="GH100">
            <v>55037864.058303714</v>
          </cell>
          <cell r="GI100">
            <v>41386168.459465504</v>
          </cell>
          <cell r="GJ100">
            <v>23911238.825971603</v>
          </cell>
          <cell r="HM100">
            <v>271299962.32235575</v>
          </cell>
          <cell r="HN100">
            <v>229060549.04890776</v>
          </cell>
          <cell r="HO100">
            <v>195825549.80148458</v>
          </cell>
          <cell r="HP100">
            <v>146852794.2095871</v>
          </cell>
          <cell r="HQ100">
            <v>84532262.609776735</v>
          </cell>
        </row>
        <row r="101">
          <cell r="EX101">
            <v>470395801.67465591</v>
          </cell>
          <cell r="EY101">
            <v>421593300.40661621</v>
          </cell>
          <cell r="EZ101">
            <v>354677996.64321327</v>
          </cell>
          <cell r="FA101">
            <v>265181331.49868679</v>
          </cell>
          <cell r="FB101">
            <v>146121988.92318845</v>
          </cell>
          <cell r="GF101">
            <v>82095758.515953422</v>
          </cell>
          <cell r="GG101">
            <v>73707789.671737432</v>
          </cell>
          <cell r="GH101">
            <v>62100092.497371197</v>
          </cell>
          <cell r="GI101">
            <v>46509488.297902942</v>
          </cell>
          <cell r="GJ101">
            <v>25661919.542295456</v>
          </cell>
          <cell r="HM101">
            <v>292965806.30614614</v>
          </cell>
          <cell r="HN101">
            <v>262220336.20590401</v>
          </cell>
          <cell r="HO101">
            <v>220353138.34003878</v>
          </cell>
          <cell r="HP101">
            <v>164535842.16714907</v>
          </cell>
          <cell r="HQ101">
            <v>90571480.737513423</v>
          </cell>
        </row>
        <row r="102">
          <cell r="EX102">
            <v>513660466.6139822</v>
          </cell>
          <cell r="EY102">
            <v>456119749.05649757</v>
          </cell>
          <cell r="EZ102">
            <v>376342013.65201855</v>
          </cell>
          <cell r="FA102">
            <v>279945717.28072071</v>
          </cell>
          <cell r="FB102">
            <v>143597106.78276443</v>
          </cell>
          <cell r="GF102">
            <v>89826381.009689808</v>
          </cell>
          <cell r="GG102">
            <v>79861392.232853174</v>
          </cell>
          <cell r="GH102">
            <v>65993241.800223589</v>
          </cell>
          <cell r="GI102">
            <v>49164020.596820772</v>
          </cell>
          <cell r="GJ102">
            <v>25270094.115792632</v>
          </cell>
          <cell r="HM102">
            <v>319423107.76696014</v>
          </cell>
          <cell r="HN102">
            <v>283376524.94573927</v>
          </cell>
          <cell r="HO102">
            <v>233540966.88346863</v>
          </cell>
          <cell r="HP102">
            <v>173520072.69466162</v>
          </cell>
          <cell r="HQ102">
            <v>88866420.237817883</v>
          </cell>
        </row>
        <row r="103">
          <cell r="EX103">
            <v>556932358.07709694</v>
          </cell>
          <cell r="EY103">
            <v>484698170.60719872</v>
          </cell>
          <cell r="EZ103">
            <v>401776533.33063412</v>
          </cell>
          <cell r="FA103">
            <v>278648252.6446166</v>
          </cell>
          <cell r="FB103">
            <v>147826667.12190318</v>
          </cell>
          <cell r="GF103">
            <v>97512536.099491715</v>
          </cell>
          <cell r="GG103">
            <v>84985998.658400059</v>
          </cell>
          <cell r="GH103">
            <v>70559928.374181628</v>
          </cell>
          <cell r="GI103">
            <v>49009267.681802511</v>
          </cell>
          <cell r="GJ103">
            <v>26035402.802175879</v>
          </cell>
          <cell r="HM103">
            <v>346009039.48619652</v>
          </cell>
          <cell r="HN103">
            <v>300803586.58343649</v>
          </cell>
          <cell r="HO103">
            <v>249035041.32064104</v>
          </cell>
          <cell r="HP103">
            <v>172517409.73059702</v>
          </cell>
          <cell r="HQ103">
            <v>91426934.6858356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4">
          <cell r="L4">
            <v>7.0946046316341441E-6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天赋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天赋进度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</sheetNames>
    <sheetDataSet>
      <sheetData sheetId="0"/>
      <sheetData sheetId="1"/>
      <sheetData sheetId="2">
        <row r="17">
          <cell r="D17">
            <v>10</v>
          </cell>
          <cell r="F17"/>
          <cell r="G17"/>
          <cell r="H17">
            <v>2</v>
          </cell>
          <cell r="I17">
            <v>4</v>
          </cell>
          <cell r="J17"/>
          <cell r="K17"/>
          <cell r="L17"/>
          <cell r="M17">
            <v>0.38264191752289722</v>
          </cell>
          <cell r="N17">
            <v>0</v>
          </cell>
          <cell r="O17"/>
        </row>
        <row r="18">
          <cell r="D18">
            <v>20</v>
          </cell>
          <cell r="F18"/>
          <cell r="G18"/>
          <cell r="H18"/>
          <cell r="I18">
            <v>6</v>
          </cell>
          <cell r="J18"/>
          <cell r="K18"/>
          <cell r="L18"/>
          <cell r="M18"/>
          <cell r="N18">
            <v>0</v>
          </cell>
          <cell r="O18"/>
        </row>
        <row r="19">
          <cell r="D19">
            <v>28.071211008105138</v>
          </cell>
          <cell r="F19"/>
          <cell r="G19"/>
          <cell r="H19"/>
          <cell r="I19">
            <v>6</v>
          </cell>
          <cell r="J19"/>
          <cell r="K19"/>
          <cell r="L19"/>
          <cell r="M19"/>
          <cell r="N19">
            <v>0</v>
          </cell>
          <cell r="O19"/>
        </row>
        <row r="20">
          <cell r="D20">
            <v>34.585942742481357</v>
          </cell>
          <cell r="F20"/>
          <cell r="G20"/>
          <cell r="H20"/>
          <cell r="I20">
            <v>6</v>
          </cell>
          <cell r="J20"/>
          <cell r="K20"/>
          <cell r="L20"/>
          <cell r="M20"/>
          <cell r="N20">
            <v>0</v>
          </cell>
          <cell r="O20"/>
        </row>
        <row r="21">
          <cell r="D21">
            <v>40</v>
          </cell>
          <cell r="F21"/>
          <cell r="G21"/>
          <cell r="H21"/>
          <cell r="I21">
            <v>6</v>
          </cell>
          <cell r="J21"/>
          <cell r="K21"/>
          <cell r="L21"/>
          <cell r="M21"/>
          <cell r="N21">
            <v>6.0014233230571756E-2</v>
          </cell>
          <cell r="O21"/>
        </row>
        <row r="22">
          <cell r="D22">
            <v>43.920692243099523</v>
          </cell>
          <cell r="F22"/>
          <cell r="G22"/>
          <cell r="H22"/>
          <cell r="I22">
            <v>6</v>
          </cell>
          <cell r="J22"/>
          <cell r="K22"/>
          <cell r="L22"/>
          <cell r="M22"/>
          <cell r="N22">
            <v>0.31163226502501917</v>
          </cell>
          <cell r="O22"/>
        </row>
        <row r="23">
          <cell r="D23">
            <v>49.533352307096472</v>
          </cell>
          <cell r="F23"/>
          <cell r="G23"/>
          <cell r="H23"/>
          <cell r="I23">
            <v>6</v>
          </cell>
          <cell r="J23"/>
          <cell r="K23"/>
          <cell r="L23"/>
          <cell r="M23"/>
          <cell r="N23">
            <v>0.77611254357931014</v>
          </cell>
          <cell r="O23"/>
        </row>
        <row r="24">
          <cell r="D24">
            <v>53.567039423670657</v>
          </cell>
          <cell r="F24"/>
          <cell r="G24"/>
          <cell r="H24"/>
          <cell r="I24">
            <v>5</v>
          </cell>
          <cell r="J24">
            <v>1</v>
          </cell>
          <cell r="K24"/>
          <cell r="L24"/>
          <cell r="M24"/>
          <cell r="N24">
            <v>1.22119383781311</v>
          </cell>
          <cell r="O24">
            <v>0</v>
          </cell>
        </row>
        <row r="25">
          <cell r="D25">
            <v>59.300028460644697</v>
          </cell>
          <cell r="F25"/>
          <cell r="G25"/>
          <cell r="H25"/>
          <cell r="I25">
            <v>4</v>
          </cell>
          <cell r="J25">
            <v>2</v>
          </cell>
          <cell r="K25"/>
          <cell r="L25"/>
          <cell r="M25"/>
          <cell r="N25">
            <v>1.9349759911879749</v>
          </cell>
          <cell r="O25">
            <v>0</v>
          </cell>
        </row>
        <row r="26">
          <cell r="D26">
            <v>65.075479910097457</v>
          </cell>
          <cell r="F26"/>
          <cell r="G26"/>
          <cell r="H26"/>
          <cell r="I26">
            <v>3</v>
          </cell>
          <cell r="J26">
            <v>3</v>
          </cell>
          <cell r="K26"/>
          <cell r="L26"/>
          <cell r="M26"/>
          <cell r="N26">
            <v>2.6067935709357495</v>
          </cell>
          <cell r="O26">
            <v>0.39667743813264456</v>
          </cell>
        </row>
        <row r="27">
          <cell r="D27">
            <v>69.18336653741882</v>
          </cell>
          <cell r="F27"/>
          <cell r="G27"/>
          <cell r="H27"/>
          <cell r="I27">
            <v>2</v>
          </cell>
          <cell r="J27">
            <v>4</v>
          </cell>
          <cell r="K27"/>
          <cell r="L27"/>
          <cell r="M27"/>
          <cell r="N27">
            <v>3.0734059016701503</v>
          </cell>
          <cell r="O27">
            <v>0.54753846594040123</v>
          </cell>
        </row>
        <row r="28">
          <cell r="D28">
            <v>72.375871759353331</v>
          </cell>
          <cell r="F28"/>
          <cell r="G28"/>
          <cell r="H28"/>
          <cell r="I28">
            <v>1</v>
          </cell>
          <cell r="J28">
            <v>5</v>
          </cell>
          <cell r="K28"/>
          <cell r="L28"/>
          <cell r="M28"/>
          <cell r="N28">
            <v>3.3401358523199178</v>
          </cell>
          <cell r="O28">
            <v>0.62931064115170154</v>
          </cell>
        </row>
        <row r="29">
          <cell r="D29">
            <v>74.998404927577795</v>
          </cell>
          <cell r="F29"/>
          <cell r="G29"/>
          <cell r="H29"/>
          <cell r="I29">
            <v>0.5</v>
          </cell>
          <cell r="J29">
            <v>5.5</v>
          </cell>
          <cell r="K29"/>
          <cell r="L29"/>
          <cell r="M29"/>
          <cell r="N29">
            <v>3.602282356190682</v>
          </cell>
          <cell r="O29">
            <v>0.82578907709734017</v>
          </cell>
        </row>
        <row r="30">
          <cell r="D30">
            <v>77.875308029777003</v>
          </cell>
          <cell r="F30"/>
          <cell r="G30"/>
          <cell r="H30"/>
          <cell r="I30"/>
          <cell r="J30">
            <v>6</v>
          </cell>
          <cell r="K30"/>
          <cell r="L30"/>
          <cell r="M30"/>
          <cell r="N30"/>
          <cell r="O30">
            <v>1.0275986097422289</v>
          </cell>
        </row>
        <row r="31">
          <cell r="D31">
            <v>80.272123558064706</v>
          </cell>
          <cell r="F31"/>
          <cell r="G31"/>
          <cell r="H31"/>
          <cell r="I31"/>
          <cell r="J31">
            <v>6</v>
          </cell>
          <cell r="K31"/>
          <cell r="L31"/>
          <cell r="M31"/>
          <cell r="N31"/>
          <cell r="O31">
            <v>1.3632886477348949</v>
          </cell>
        </row>
        <row r="32">
          <cell r="D32">
            <v>82.328492296001457</v>
          </cell>
          <cell r="F32"/>
          <cell r="G32"/>
          <cell r="H32"/>
          <cell r="I32"/>
          <cell r="J32">
            <v>6</v>
          </cell>
          <cell r="K32"/>
          <cell r="L32"/>
          <cell r="M32"/>
          <cell r="N32"/>
          <cell r="O32">
            <v>1.7052382542385671</v>
          </cell>
        </row>
        <row r="33">
          <cell r="D33">
            <v>84.132234338875293</v>
          </cell>
          <cell r="F33"/>
          <cell r="G33"/>
          <cell r="H33"/>
          <cell r="I33"/>
          <cell r="J33">
            <v>6</v>
          </cell>
          <cell r="K33"/>
          <cell r="L33"/>
          <cell r="M33"/>
          <cell r="N33"/>
          <cell r="O33">
            <v>2.0322119479409646</v>
          </cell>
        </row>
        <row r="34">
          <cell r="D34">
            <v>86.465948248806328</v>
          </cell>
          <cell r="F34"/>
          <cell r="G34"/>
          <cell r="H34"/>
          <cell r="I34"/>
          <cell r="J34">
            <v>6</v>
          </cell>
          <cell r="K34"/>
          <cell r="L34"/>
          <cell r="M34"/>
          <cell r="N34"/>
          <cell r="O34">
            <v>2.4865153565654303</v>
          </cell>
        </row>
        <row r="35">
          <cell r="D35">
            <v>90.244911202258237</v>
          </cell>
          <cell r="F35"/>
          <cell r="G35"/>
          <cell r="H35"/>
          <cell r="I35"/>
          <cell r="J35">
            <v>6</v>
          </cell>
          <cell r="K35"/>
          <cell r="L35"/>
          <cell r="M35"/>
          <cell r="N35"/>
          <cell r="O35">
            <v>3.1633430656911465</v>
          </cell>
        </row>
        <row r="36">
          <cell r="D36">
            <v>93.235489905456092</v>
          </cell>
          <cell r="F36"/>
          <cell r="G36"/>
          <cell r="H36"/>
          <cell r="I36"/>
          <cell r="J36">
            <v>6</v>
          </cell>
          <cell r="K36"/>
          <cell r="L36"/>
          <cell r="M36"/>
          <cell r="N36"/>
          <cell r="O36">
            <v>3.5804588126018682</v>
          </cell>
        </row>
        <row r="37">
          <cell r="D37">
            <v>96.807063977001675</v>
          </cell>
          <cell r="F37"/>
          <cell r="G37"/>
          <cell r="H37"/>
          <cell r="I37"/>
          <cell r="J37">
            <v>6</v>
          </cell>
          <cell r="K37"/>
          <cell r="L37"/>
          <cell r="M37"/>
          <cell r="N37"/>
          <cell r="O37">
            <v>4.1505701387554996</v>
          </cell>
        </row>
        <row r="38">
          <cell r="D38">
            <v>100.50342858241972</v>
          </cell>
          <cell r="F38"/>
          <cell r="G38"/>
          <cell r="H38"/>
          <cell r="I38"/>
          <cell r="J38">
            <v>6</v>
          </cell>
          <cell r="K38"/>
          <cell r="L38"/>
          <cell r="M38"/>
          <cell r="N38"/>
          <cell r="O38">
            <v>4.8493030549985026</v>
          </cell>
        </row>
        <row r="39">
          <cell r="D39">
            <v>104.10129967499306</v>
          </cell>
          <cell r="F39"/>
          <cell r="G39"/>
          <cell r="H39"/>
          <cell r="I39"/>
          <cell r="J39">
            <v>6</v>
          </cell>
          <cell r="K39"/>
          <cell r="L39"/>
          <cell r="M39"/>
          <cell r="N39"/>
          <cell r="O39">
            <v>5.468631993786353</v>
          </cell>
        </row>
        <row r="40">
          <cell r="D40">
            <v>107.48165553683219</v>
          </cell>
          <cell r="F40"/>
          <cell r="G40"/>
          <cell r="H40"/>
          <cell r="I40"/>
          <cell r="J40">
            <v>6</v>
          </cell>
          <cell r="K40"/>
          <cell r="L40"/>
          <cell r="M40"/>
          <cell r="N40"/>
          <cell r="O40">
            <v>6.0952249373760301</v>
          </cell>
        </row>
        <row r="41">
          <cell r="D41">
            <v>111.03813549320469</v>
          </cell>
          <cell r="F41"/>
          <cell r="G41"/>
          <cell r="H41"/>
          <cell r="I41"/>
          <cell r="J41">
            <v>6</v>
          </cell>
          <cell r="K41"/>
          <cell r="L41"/>
          <cell r="M41"/>
          <cell r="N41"/>
          <cell r="O41">
            <v>6.8805377800516423</v>
          </cell>
        </row>
        <row r="42">
          <cell r="D42">
            <v>114.50860608277577</v>
          </cell>
          <cell r="F42"/>
          <cell r="G42"/>
          <cell r="H42"/>
          <cell r="I42"/>
          <cell r="J42">
            <v>6</v>
          </cell>
          <cell r="K42"/>
          <cell r="L42"/>
          <cell r="M42"/>
          <cell r="N42"/>
          <cell r="O42">
            <v>7.6204341742698301</v>
          </cell>
        </row>
        <row r="43">
          <cell r="D43">
            <v>118.05948896247369</v>
          </cell>
          <cell r="F43"/>
          <cell r="G43"/>
          <cell r="H43"/>
          <cell r="I43"/>
          <cell r="J43">
            <v>6</v>
          </cell>
          <cell r="K43"/>
          <cell r="L43"/>
          <cell r="M43"/>
          <cell r="N43"/>
          <cell r="O43">
            <v>8</v>
          </cell>
        </row>
        <row r="44">
          <cell r="D44">
            <v>121.47928719052189</v>
          </cell>
          <cell r="F44"/>
          <cell r="G44"/>
          <cell r="H44"/>
          <cell r="I44"/>
          <cell r="J44">
            <v>6</v>
          </cell>
          <cell r="K44"/>
          <cell r="L44"/>
          <cell r="M44"/>
          <cell r="N44"/>
          <cell r="O44">
            <v>8</v>
          </cell>
        </row>
        <row r="45">
          <cell r="D45">
            <v>125.02015904129435</v>
          </cell>
          <cell r="F45"/>
          <cell r="G45"/>
          <cell r="H45"/>
          <cell r="I45"/>
          <cell r="J45">
            <v>6</v>
          </cell>
          <cell r="K45"/>
          <cell r="L45"/>
          <cell r="M45"/>
          <cell r="N45"/>
          <cell r="O45">
            <v>8</v>
          </cell>
        </row>
        <row r="46">
          <cell r="D46">
            <v>128.56549059889721</v>
          </cell>
          <cell r="F46"/>
          <cell r="G46"/>
          <cell r="H46"/>
          <cell r="I46"/>
          <cell r="J46">
            <v>6</v>
          </cell>
          <cell r="K46"/>
          <cell r="L46"/>
          <cell r="M46"/>
          <cell r="N46"/>
          <cell r="O46">
            <v>8</v>
          </cell>
        </row>
        <row r="47">
          <cell r="D47">
            <v>132.07530828871487</v>
          </cell>
          <cell r="F47"/>
          <cell r="G47"/>
          <cell r="H47"/>
          <cell r="I47"/>
          <cell r="J47">
            <v>6</v>
          </cell>
          <cell r="K47"/>
          <cell r="L47"/>
          <cell r="M47"/>
          <cell r="N47"/>
          <cell r="O47">
            <v>8</v>
          </cell>
        </row>
        <row r="48">
          <cell r="D48">
            <v>135.54811255008914</v>
          </cell>
          <cell r="F48"/>
          <cell r="G48"/>
          <cell r="H48"/>
          <cell r="I48"/>
          <cell r="J48">
            <v>6</v>
          </cell>
          <cell r="K48"/>
          <cell r="L48"/>
          <cell r="M48"/>
          <cell r="N48"/>
          <cell r="O48">
            <v>8</v>
          </cell>
        </row>
        <row r="49">
          <cell r="D49">
            <v>139.0493876099641</v>
          </cell>
          <cell r="F49"/>
          <cell r="G49"/>
          <cell r="H49"/>
          <cell r="I49"/>
          <cell r="J49">
            <v>6</v>
          </cell>
          <cell r="K49"/>
          <cell r="L49"/>
          <cell r="M49"/>
          <cell r="N49"/>
          <cell r="O49">
            <v>8</v>
          </cell>
        </row>
        <row r="50">
          <cell r="D50">
            <v>142.53355653582128</v>
          </cell>
          <cell r="F50"/>
          <cell r="G50"/>
          <cell r="H50"/>
          <cell r="I50"/>
          <cell r="J50">
            <v>6</v>
          </cell>
          <cell r="K50"/>
          <cell r="L50"/>
          <cell r="M50"/>
          <cell r="N50"/>
          <cell r="O50">
            <v>8</v>
          </cell>
        </row>
        <row r="51">
          <cell r="D51">
            <v>146.02664953963369</v>
          </cell>
          <cell r="F51"/>
          <cell r="G51"/>
          <cell r="H51"/>
          <cell r="I51"/>
          <cell r="J51">
            <v>6</v>
          </cell>
          <cell r="K51"/>
          <cell r="L51"/>
          <cell r="M51"/>
          <cell r="N51"/>
          <cell r="O51">
            <v>8</v>
          </cell>
        </row>
        <row r="52">
          <cell r="D52">
            <v>149.52287096243165</v>
          </cell>
          <cell r="F52"/>
          <cell r="G52"/>
          <cell r="H52"/>
          <cell r="I52"/>
          <cell r="J52">
            <v>6</v>
          </cell>
          <cell r="K52"/>
          <cell r="L52"/>
          <cell r="M52"/>
          <cell r="N52"/>
          <cell r="O52">
            <v>8</v>
          </cell>
        </row>
        <row r="53">
          <cell r="D53">
            <v>153.02723536432757</v>
          </cell>
          <cell r="F53"/>
          <cell r="G53"/>
          <cell r="H53"/>
          <cell r="I53"/>
          <cell r="J53">
            <v>6</v>
          </cell>
          <cell r="K53"/>
          <cell r="L53"/>
          <cell r="M53"/>
          <cell r="N53"/>
          <cell r="O53">
            <v>8</v>
          </cell>
        </row>
        <row r="54">
          <cell r="D54">
            <v>156.52008914974525</v>
          </cell>
          <cell r="F54"/>
          <cell r="G54"/>
          <cell r="H54"/>
          <cell r="I54"/>
          <cell r="J54">
            <v>6</v>
          </cell>
          <cell r="K54"/>
          <cell r="L54"/>
          <cell r="M54"/>
          <cell r="N54"/>
          <cell r="O54">
            <v>8</v>
          </cell>
        </row>
        <row r="55">
          <cell r="D55">
            <v>159.99202506384199</v>
          </cell>
          <cell r="F55"/>
          <cell r="G55"/>
          <cell r="H55"/>
          <cell r="I55"/>
          <cell r="J55">
            <v>6</v>
          </cell>
          <cell r="K55"/>
          <cell r="L55"/>
          <cell r="M55"/>
          <cell r="N55"/>
          <cell r="O55">
            <v>8</v>
          </cell>
        </row>
        <row r="62">
          <cell r="D62">
            <v>9.9592453074578113</v>
          </cell>
          <cell r="F62"/>
          <cell r="G62"/>
          <cell r="H62">
            <v>2</v>
          </cell>
          <cell r="I62">
            <v>4</v>
          </cell>
          <cell r="J62"/>
          <cell r="K62"/>
          <cell r="L62"/>
          <cell r="M62">
            <v>0.54012019288390922</v>
          </cell>
          <cell r="N62">
            <v>0</v>
          </cell>
          <cell r="O62"/>
        </row>
        <row r="63">
          <cell r="D63">
            <v>19.766822802328868</v>
          </cell>
          <cell r="F63"/>
          <cell r="G63"/>
          <cell r="H63"/>
          <cell r="I63">
            <v>6</v>
          </cell>
          <cell r="J63"/>
          <cell r="K63"/>
          <cell r="L63"/>
          <cell r="M63"/>
          <cell r="N63">
            <v>0</v>
          </cell>
          <cell r="O63"/>
        </row>
        <row r="64">
          <cell r="D64">
            <v>27.773265580596355</v>
          </cell>
          <cell r="F64"/>
          <cell r="G64"/>
          <cell r="H64"/>
          <cell r="I64">
            <v>6</v>
          </cell>
          <cell r="J64"/>
          <cell r="K64"/>
          <cell r="L64"/>
          <cell r="M64"/>
          <cell r="N64">
            <v>0</v>
          </cell>
          <cell r="O64"/>
        </row>
        <row r="65">
          <cell r="D65">
            <v>34.250806171891597</v>
          </cell>
          <cell r="F65"/>
          <cell r="G65"/>
          <cell r="H65"/>
          <cell r="I65">
            <v>6</v>
          </cell>
          <cell r="J65"/>
          <cell r="K65"/>
          <cell r="L65"/>
          <cell r="M65"/>
          <cell r="N65">
            <v>0</v>
          </cell>
          <cell r="O65"/>
        </row>
        <row r="66">
          <cell r="D66">
            <v>39.661158518499626</v>
          </cell>
          <cell r="F66"/>
          <cell r="G66"/>
          <cell r="H66"/>
          <cell r="I66">
            <v>6</v>
          </cell>
          <cell r="J66"/>
          <cell r="K66"/>
          <cell r="L66"/>
          <cell r="M66"/>
          <cell r="N66">
            <v>0.23229478243937529</v>
          </cell>
          <cell r="O66"/>
        </row>
        <row r="67">
          <cell r="D67">
            <v>43.535389560453282</v>
          </cell>
          <cell r="F67"/>
          <cell r="G67"/>
          <cell r="H67"/>
          <cell r="I67">
            <v>6</v>
          </cell>
          <cell r="J67"/>
          <cell r="K67"/>
          <cell r="L67"/>
          <cell r="M67"/>
          <cell r="N67">
            <v>0.5155370005844655</v>
          </cell>
          <cell r="O67"/>
        </row>
        <row r="68">
          <cell r="D68">
            <v>49.178590903134719</v>
          </cell>
          <cell r="F68"/>
          <cell r="G68"/>
          <cell r="H68"/>
          <cell r="I68">
            <v>6</v>
          </cell>
          <cell r="J68"/>
          <cell r="K68"/>
          <cell r="L68"/>
          <cell r="M68"/>
          <cell r="N68">
            <v>1.031291182502831</v>
          </cell>
          <cell r="O68"/>
        </row>
        <row r="69">
          <cell r="D69">
            <v>53.226994578658328</v>
          </cell>
          <cell r="F69"/>
          <cell r="G69"/>
          <cell r="H69"/>
          <cell r="I69">
            <v>5</v>
          </cell>
          <cell r="J69">
            <v>1</v>
          </cell>
          <cell r="K69"/>
          <cell r="L69"/>
          <cell r="M69"/>
          <cell r="N69">
            <v>1.5179751030665232</v>
          </cell>
          <cell r="O69">
            <v>0</v>
          </cell>
        </row>
        <row r="70">
          <cell r="D70">
            <v>59.016342740868758</v>
          </cell>
          <cell r="F70"/>
          <cell r="G70"/>
          <cell r="H70"/>
          <cell r="I70">
            <v>4</v>
          </cell>
          <cell r="J70">
            <v>2</v>
          </cell>
          <cell r="K70"/>
          <cell r="L70"/>
          <cell r="M70"/>
          <cell r="N70">
            <v>2.3049571647612241</v>
          </cell>
          <cell r="O70">
            <v>0</v>
          </cell>
        </row>
        <row r="71">
          <cell r="D71">
            <v>64.781009552500748</v>
          </cell>
          <cell r="F71"/>
          <cell r="G71"/>
          <cell r="H71"/>
          <cell r="I71">
            <v>3</v>
          </cell>
          <cell r="J71">
            <v>3</v>
          </cell>
          <cell r="K71"/>
          <cell r="L71"/>
          <cell r="M71"/>
          <cell r="N71">
            <v>3.0094437122595719</v>
          </cell>
          <cell r="O71">
            <v>0.64462271402140225</v>
          </cell>
        </row>
        <row r="72">
          <cell r="D72">
            <v>68.923431594456531</v>
          </cell>
          <cell r="F72"/>
          <cell r="G72"/>
          <cell r="H72"/>
          <cell r="I72">
            <v>2</v>
          </cell>
          <cell r="J72">
            <v>4</v>
          </cell>
          <cell r="K72"/>
          <cell r="L72"/>
          <cell r="M72"/>
          <cell r="N72">
            <v>3.3323209952844213</v>
          </cell>
          <cell r="O72">
            <v>0.96972464559888372</v>
          </cell>
        </row>
        <row r="73">
          <cell r="D73">
            <v>72.103942950990486</v>
          </cell>
          <cell r="F73"/>
          <cell r="G73"/>
          <cell r="H73"/>
          <cell r="I73">
            <v>1</v>
          </cell>
          <cell r="J73">
            <v>5</v>
          </cell>
          <cell r="K73"/>
          <cell r="L73"/>
          <cell r="M73"/>
          <cell r="N73">
            <v>3.6205192065184972</v>
          </cell>
          <cell r="O73">
            <v>1.0723082797699766</v>
          </cell>
        </row>
        <row r="74">
          <cell r="D74">
            <v>74.74003809013405</v>
          </cell>
          <cell r="F74"/>
          <cell r="G74"/>
          <cell r="H74"/>
          <cell r="I74">
            <v>0.5</v>
          </cell>
          <cell r="J74">
            <v>5.5</v>
          </cell>
          <cell r="K74"/>
          <cell r="L74"/>
          <cell r="M74"/>
          <cell r="N74">
            <v>3.902872478182962</v>
          </cell>
          <cell r="O74">
            <v>1.3211366704926193</v>
          </cell>
        </row>
        <row r="75">
          <cell r="D75">
            <v>77.609642525433856</v>
          </cell>
          <cell r="F75"/>
          <cell r="G75"/>
          <cell r="H75"/>
          <cell r="I75"/>
          <cell r="J75">
            <v>6</v>
          </cell>
          <cell r="K75"/>
          <cell r="L75"/>
          <cell r="M75"/>
          <cell r="N75"/>
          <cell r="O75">
            <v>1.6281088731394537</v>
          </cell>
        </row>
        <row r="76">
          <cell r="D76">
            <v>79.994335665275713</v>
          </cell>
          <cell r="F76"/>
          <cell r="G76"/>
          <cell r="H76"/>
          <cell r="I76"/>
          <cell r="J76">
            <v>6</v>
          </cell>
          <cell r="K76"/>
          <cell r="L76"/>
          <cell r="M76"/>
          <cell r="N76"/>
          <cell r="O76">
            <v>2.0688627431900444</v>
          </cell>
        </row>
        <row r="77">
          <cell r="D77">
            <v>82.100546804797787</v>
          </cell>
          <cell r="F77"/>
          <cell r="G77"/>
          <cell r="H77"/>
          <cell r="I77"/>
          <cell r="J77">
            <v>6</v>
          </cell>
          <cell r="K77"/>
          <cell r="L77"/>
          <cell r="M77"/>
          <cell r="N77"/>
          <cell r="O77">
            <v>2.5164211958710969</v>
          </cell>
        </row>
        <row r="78">
          <cell r="D78">
            <v>83.885420957389968</v>
          </cell>
          <cell r="F78"/>
          <cell r="G78"/>
          <cell r="H78"/>
          <cell r="I78"/>
          <cell r="J78">
            <v>6</v>
          </cell>
          <cell r="K78"/>
          <cell r="L78"/>
          <cell r="M78"/>
          <cell r="N78"/>
          <cell r="O78">
            <v>2.944635871395533</v>
          </cell>
        </row>
        <row r="79">
          <cell r="D79">
            <v>86.247032860782397</v>
          </cell>
          <cell r="F79"/>
          <cell r="G79"/>
          <cell r="H79"/>
          <cell r="I79"/>
          <cell r="J79">
            <v>6</v>
          </cell>
          <cell r="K79"/>
          <cell r="L79"/>
          <cell r="M79"/>
          <cell r="N79"/>
          <cell r="O79">
            <v>3.2921694267425439</v>
          </cell>
        </row>
        <row r="80">
          <cell r="D80">
            <v>90.122782504866933</v>
          </cell>
          <cell r="F80"/>
          <cell r="G80"/>
          <cell r="H80"/>
          <cell r="I80"/>
          <cell r="J80">
            <v>6</v>
          </cell>
          <cell r="K80"/>
          <cell r="L80"/>
          <cell r="M80"/>
          <cell r="N80"/>
          <cell r="O80">
            <v>3.8683893458943941</v>
          </cell>
        </row>
        <row r="81">
          <cell r="D81">
            <v>93.149045658279036</v>
          </cell>
          <cell r="F81"/>
          <cell r="G81"/>
          <cell r="H81"/>
          <cell r="I81"/>
          <cell r="J81">
            <v>6</v>
          </cell>
          <cell r="K81"/>
          <cell r="L81"/>
          <cell r="M81"/>
          <cell r="N81"/>
          <cell r="O81">
            <v>4.4297867848721495</v>
          </cell>
        </row>
        <row r="82">
          <cell r="D82">
            <v>96.770480813454071</v>
          </cell>
          <cell r="F82"/>
          <cell r="G82"/>
          <cell r="H82"/>
          <cell r="I82"/>
          <cell r="J82">
            <v>6</v>
          </cell>
          <cell r="K82"/>
          <cell r="L82"/>
          <cell r="M82"/>
          <cell r="N82"/>
          <cell r="O82">
            <v>5.1580451681173232</v>
          </cell>
        </row>
        <row r="83">
          <cell r="D83">
            <v>100.40175326279811</v>
          </cell>
          <cell r="F83"/>
          <cell r="G83"/>
          <cell r="H83"/>
          <cell r="I83"/>
          <cell r="J83">
            <v>6</v>
          </cell>
          <cell r="K83"/>
          <cell r="L83"/>
          <cell r="M83"/>
          <cell r="N83"/>
          <cell r="O83">
            <v>5.8068072442036263</v>
          </cell>
        </row>
        <row r="84">
          <cell r="D84">
            <v>104.06236366727887</v>
          </cell>
          <cell r="F84"/>
          <cell r="G84"/>
          <cell r="H84"/>
          <cell r="I84"/>
          <cell r="J84">
            <v>6</v>
          </cell>
          <cell r="K84"/>
          <cell r="L84"/>
          <cell r="M84"/>
          <cell r="N84"/>
          <cell r="O84">
            <v>6.5919083163317866</v>
          </cell>
        </row>
        <row r="85">
          <cell r="D85">
            <v>107.42257994053838</v>
          </cell>
          <cell r="F85"/>
          <cell r="G85"/>
          <cell r="H85"/>
          <cell r="I85"/>
          <cell r="J85">
            <v>6</v>
          </cell>
          <cell r="K85"/>
          <cell r="L85"/>
          <cell r="M85"/>
          <cell r="N85"/>
          <cell r="O85">
            <v>7.3742161095566559</v>
          </cell>
        </row>
        <row r="86">
          <cell r="D86">
            <v>111.00691759243479</v>
          </cell>
          <cell r="F86"/>
          <cell r="G86"/>
          <cell r="H86"/>
          <cell r="I86"/>
          <cell r="J86">
            <v>6</v>
          </cell>
          <cell r="K86"/>
          <cell r="L86"/>
          <cell r="M86"/>
          <cell r="N86"/>
          <cell r="O86">
            <v>8</v>
          </cell>
        </row>
        <row r="87">
          <cell r="D87">
            <v>114.47614359759058</v>
          </cell>
          <cell r="F87"/>
          <cell r="G87"/>
          <cell r="H87"/>
          <cell r="I87"/>
          <cell r="J87">
            <v>6</v>
          </cell>
          <cell r="K87"/>
          <cell r="L87"/>
          <cell r="M87"/>
          <cell r="N87"/>
          <cell r="O87">
            <v>8</v>
          </cell>
        </row>
        <row r="88">
          <cell r="D88">
            <v>118.05724034557241</v>
          </cell>
          <cell r="F88"/>
          <cell r="G88"/>
          <cell r="H88"/>
          <cell r="I88"/>
          <cell r="J88">
            <v>6</v>
          </cell>
          <cell r="K88"/>
          <cell r="L88"/>
          <cell r="M88"/>
          <cell r="N88"/>
          <cell r="O88">
            <v>8</v>
          </cell>
        </row>
        <row r="89">
          <cell r="D89">
            <v>121.49411884885473</v>
          </cell>
          <cell r="F89"/>
          <cell r="G89"/>
          <cell r="H89"/>
          <cell r="I89"/>
          <cell r="J89">
            <v>6</v>
          </cell>
          <cell r="K89"/>
          <cell r="L89"/>
          <cell r="M89"/>
          <cell r="N89"/>
          <cell r="O89">
            <v>8</v>
          </cell>
        </row>
        <row r="90">
          <cell r="D90">
            <v>125.03100311549058</v>
          </cell>
          <cell r="F90"/>
          <cell r="G90"/>
          <cell r="H90"/>
          <cell r="I90"/>
          <cell r="J90">
            <v>6</v>
          </cell>
          <cell r="K90"/>
          <cell r="L90"/>
          <cell r="M90"/>
          <cell r="N90"/>
          <cell r="O90">
            <v>8</v>
          </cell>
        </row>
        <row r="91">
          <cell r="D91">
            <v>128.62542789463421</v>
          </cell>
          <cell r="F91"/>
          <cell r="G91"/>
          <cell r="H91"/>
          <cell r="I91"/>
          <cell r="J91">
            <v>6</v>
          </cell>
          <cell r="K91"/>
          <cell r="L91"/>
          <cell r="M91"/>
          <cell r="N91"/>
          <cell r="O91">
            <v>8</v>
          </cell>
        </row>
        <row r="92">
          <cell r="D92">
            <v>132.09902390525281</v>
          </cell>
          <cell r="F92"/>
          <cell r="G92"/>
          <cell r="H92"/>
          <cell r="I92"/>
          <cell r="J92">
            <v>6</v>
          </cell>
          <cell r="K92"/>
          <cell r="L92"/>
          <cell r="M92"/>
          <cell r="N92"/>
          <cell r="O92">
            <v>8</v>
          </cell>
        </row>
        <row r="93">
          <cell r="D93">
            <v>135.61521761503846</v>
          </cell>
          <cell r="F93"/>
          <cell r="G93"/>
          <cell r="H93"/>
          <cell r="I93"/>
          <cell r="J93">
            <v>6</v>
          </cell>
          <cell r="K93"/>
          <cell r="L93"/>
          <cell r="M93"/>
          <cell r="N93"/>
          <cell r="O93">
            <v>8</v>
          </cell>
        </row>
        <row r="94">
          <cell r="D94">
            <v>139.08794136138388</v>
          </cell>
          <cell r="F94"/>
          <cell r="G94"/>
          <cell r="H94"/>
          <cell r="I94"/>
          <cell r="J94">
            <v>6</v>
          </cell>
          <cell r="K94"/>
          <cell r="L94"/>
          <cell r="M94"/>
          <cell r="N94"/>
          <cell r="O94">
            <v>8</v>
          </cell>
        </row>
        <row r="95">
          <cell r="D95">
            <v>142.60670974426387</v>
          </cell>
          <cell r="F95"/>
          <cell r="G95"/>
          <cell r="H95"/>
          <cell r="I95"/>
          <cell r="J95">
            <v>6</v>
          </cell>
          <cell r="K95"/>
          <cell r="L95"/>
          <cell r="M95"/>
          <cell r="N95"/>
          <cell r="O95">
            <v>8</v>
          </cell>
        </row>
        <row r="96">
          <cell r="D96">
            <v>146.07830147206653</v>
          </cell>
          <cell r="F96"/>
          <cell r="G96"/>
          <cell r="H96"/>
          <cell r="I96"/>
          <cell r="J96">
            <v>6</v>
          </cell>
          <cell r="K96"/>
          <cell r="L96"/>
          <cell r="M96"/>
          <cell r="N96"/>
          <cell r="O96">
            <v>8</v>
          </cell>
        </row>
        <row r="97">
          <cell r="D97">
            <v>149.61701338734093</v>
          </cell>
          <cell r="F97"/>
          <cell r="G97"/>
          <cell r="H97"/>
          <cell r="I97"/>
          <cell r="J97">
            <v>6</v>
          </cell>
          <cell r="K97"/>
          <cell r="L97"/>
          <cell r="M97"/>
          <cell r="N97"/>
          <cell r="O97">
            <v>8</v>
          </cell>
        </row>
        <row r="98">
          <cell r="D98">
            <v>153.01012120353457</v>
          </cell>
          <cell r="F98"/>
          <cell r="G98"/>
          <cell r="H98"/>
          <cell r="I98"/>
          <cell r="J98">
            <v>6</v>
          </cell>
          <cell r="K98"/>
          <cell r="L98"/>
          <cell r="M98"/>
          <cell r="N98"/>
          <cell r="O98">
            <v>8</v>
          </cell>
        </row>
        <row r="99">
          <cell r="D99">
            <v>154.95970315183646</v>
          </cell>
          <cell r="F99"/>
          <cell r="G99"/>
          <cell r="H99"/>
          <cell r="I99"/>
          <cell r="J99">
            <v>6</v>
          </cell>
          <cell r="K99"/>
          <cell r="L99"/>
          <cell r="M99"/>
          <cell r="N99"/>
          <cell r="O99">
            <v>8</v>
          </cell>
        </row>
        <row r="100">
          <cell r="D100">
            <v>157.63974470288184</v>
          </cell>
          <cell r="F100"/>
          <cell r="G100"/>
          <cell r="H100"/>
          <cell r="I100"/>
          <cell r="J100">
            <v>6</v>
          </cell>
          <cell r="K100"/>
          <cell r="L100"/>
          <cell r="M100"/>
          <cell r="N100"/>
          <cell r="O100">
            <v>8</v>
          </cell>
        </row>
        <row r="107">
          <cell r="D107">
            <v>10.099965341977441</v>
          </cell>
          <cell r="F107"/>
          <cell r="G107"/>
          <cell r="H107">
            <v>2</v>
          </cell>
          <cell r="I107">
            <v>4</v>
          </cell>
          <cell r="J107"/>
          <cell r="K107"/>
          <cell r="L107"/>
          <cell r="M107">
            <v>0.95229770414189363</v>
          </cell>
          <cell r="N107">
            <v>0</v>
          </cell>
          <cell r="O107"/>
        </row>
        <row r="108">
          <cell r="D108">
            <v>19.800198258084681</v>
          </cell>
          <cell r="F108"/>
          <cell r="G108"/>
          <cell r="H108"/>
          <cell r="I108">
            <v>6</v>
          </cell>
          <cell r="J108"/>
          <cell r="K108"/>
          <cell r="L108"/>
          <cell r="M108"/>
          <cell r="N108">
            <v>0</v>
          </cell>
          <cell r="O108"/>
        </row>
        <row r="109">
          <cell r="D109">
            <v>27.769105021676069</v>
          </cell>
          <cell r="F109"/>
          <cell r="G109"/>
          <cell r="H109"/>
          <cell r="I109">
            <v>6</v>
          </cell>
          <cell r="J109"/>
          <cell r="K109"/>
          <cell r="L109"/>
          <cell r="M109"/>
          <cell r="N109">
            <v>0</v>
          </cell>
          <cell r="O109"/>
        </row>
        <row r="110">
          <cell r="D110">
            <v>34.192155176139416</v>
          </cell>
          <cell r="F110"/>
          <cell r="G110"/>
          <cell r="H110"/>
          <cell r="I110">
            <v>6</v>
          </cell>
          <cell r="J110"/>
          <cell r="K110"/>
          <cell r="L110"/>
          <cell r="M110"/>
          <cell r="N110">
            <v>0.24629079215903205</v>
          </cell>
          <cell r="O110"/>
        </row>
        <row r="111">
          <cell r="D111">
            <v>39.631851677253941</v>
          </cell>
          <cell r="F111"/>
          <cell r="G111"/>
          <cell r="H111"/>
          <cell r="I111">
            <v>6</v>
          </cell>
          <cell r="J111"/>
          <cell r="K111"/>
          <cell r="L111"/>
          <cell r="M111"/>
          <cell r="N111">
            <v>0.63858043051182434</v>
          </cell>
          <cell r="O111"/>
        </row>
        <row r="112">
          <cell r="D112">
            <v>43.484929789964411</v>
          </cell>
          <cell r="F112"/>
          <cell r="G112"/>
          <cell r="H112"/>
          <cell r="I112">
            <v>6</v>
          </cell>
          <cell r="J112"/>
          <cell r="K112"/>
          <cell r="L112"/>
          <cell r="M112"/>
          <cell r="N112">
            <v>1.0203642572712983</v>
          </cell>
          <cell r="O112"/>
        </row>
        <row r="113">
          <cell r="D113">
            <v>49.18886033229559</v>
          </cell>
          <cell r="F113"/>
          <cell r="G113"/>
          <cell r="H113"/>
          <cell r="I113">
            <v>6</v>
          </cell>
          <cell r="J113"/>
          <cell r="K113"/>
          <cell r="L113"/>
          <cell r="M113"/>
          <cell r="N113">
            <v>1.6781889742723117</v>
          </cell>
          <cell r="O113"/>
        </row>
        <row r="114">
          <cell r="D114">
            <v>53.212684955585161</v>
          </cell>
          <cell r="F114"/>
          <cell r="G114"/>
          <cell r="H114"/>
          <cell r="I114">
            <v>5</v>
          </cell>
          <cell r="J114">
            <v>1</v>
          </cell>
          <cell r="K114"/>
          <cell r="L114"/>
          <cell r="M114"/>
          <cell r="N114">
            <v>2.2826436518017683</v>
          </cell>
          <cell r="O114">
            <v>0</v>
          </cell>
        </row>
        <row r="115">
          <cell r="D115">
            <v>59.09095196730258</v>
          </cell>
          <cell r="F115"/>
          <cell r="G115"/>
          <cell r="H115"/>
          <cell r="I115">
            <v>4</v>
          </cell>
          <cell r="J115">
            <v>2</v>
          </cell>
          <cell r="K115"/>
          <cell r="L115"/>
          <cell r="M115"/>
          <cell r="N115">
            <v>3.1340072884565995</v>
          </cell>
          <cell r="O115">
            <v>0</v>
          </cell>
        </row>
        <row r="116">
          <cell r="D116">
            <v>64.819145630244321</v>
          </cell>
          <cell r="F116"/>
          <cell r="G116"/>
          <cell r="H116"/>
          <cell r="I116">
            <v>3</v>
          </cell>
          <cell r="J116">
            <v>3</v>
          </cell>
          <cell r="K116"/>
          <cell r="L116"/>
          <cell r="M116"/>
          <cell r="N116">
            <v>3.5629305287645163</v>
          </cell>
          <cell r="O116">
            <v>0.9396509055261586</v>
          </cell>
        </row>
        <row r="117">
          <cell r="D117">
            <v>69.01697485309198</v>
          </cell>
          <cell r="F117"/>
          <cell r="G117"/>
          <cell r="H117"/>
          <cell r="I117">
            <v>2</v>
          </cell>
          <cell r="J117">
            <v>4</v>
          </cell>
          <cell r="K117"/>
          <cell r="L117"/>
          <cell r="M117"/>
          <cell r="N117">
            <v>3.9826716303999277</v>
          </cell>
          <cell r="O117">
            <v>1.4339830589145661</v>
          </cell>
        </row>
        <row r="118">
          <cell r="D118">
            <v>72.23150684883845</v>
          </cell>
          <cell r="F118"/>
          <cell r="G118"/>
          <cell r="H118"/>
          <cell r="I118">
            <v>1</v>
          </cell>
          <cell r="J118">
            <v>5</v>
          </cell>
          <cell r="K118"/>
          <cell r="L118"/>
          <cell r="M118"/>
          <cell r="N118">
            <v>4.3579049192939214</v>
          </cell>
          <cell r="O118">
            <v>1.6267307878843065</v>
          </cell>
        </row>
        <row r="119">
          <cell r="D119">
            <v>74.840792411391348</v>
          </cell>
          <cell r="F119"/>
          <cell r="G119"/>
          <cell r="H119"/>
          <cell r="I119">
            <v>0.5</v>
          </cell>
          <cell r="J119">
            <v>5.5</v>
          </cell>
          <cell r="K119"/>
          <cell r="L119"/>
          <cell r="M119"/>
          <cell r="N119">
            <v>4.7093451729823999</v>
          </cell>
          <cell r="O119">
            <v>1.9552345877188704</v>
          </cell>
        </row>
        <row r="120">
          <cell r="D120">
            <v>77.697893604818219</v>
          </cell>
          <cell r="F120"/>
          <cell r="G120"/>
          <cell r="H120"/>
          <cell r="I120"/>
          <cell r="J120">
            <v>6</v>
          </cell>
          <cell r="K120"/>
          <cell r="L120"/>
          <cell r="M120"/>
          <cell r="N120"/>
          <cell r="O120">
            <v>2.3708913960133526</v>
          </cell>
        </row>
        <row r="121">
          <cell r="D121">
            <v>80.134867890916794</v>
          </cell>
          <cell r="F121"/>
          <cell r="G121"/>
          <cell r="H121"/>
          <cell r="I121"/>
          <cell r="J121">
            <v>6</v>
          </cell>
          <cell r="K121"/>
          <cell r="L121"/>
          <cell r="M121"/>
          <cell r="N121"/>
          <cell r="O121">
            <v>2.9964325797504592</v>
          </cell>
        </row>
        <row r="122">
          <cell r="D122">
            <v>82.238672852681816</v>
          </cell>
          <cell r="F122"/>
          <cell r="G122"/>
          <cell r="H122"/>
          <cell r="I122"/>
          <cell r="J122">
            <v>6</v>
          </cell>
          <cell r="K122"/>
          <cell r="L122"/>
          <cell r="M122"/>
          <cell r="N122"/>
          <cell r="O122">
            <v>3.2983565880731107</v>
          </cell>
        </row>
        <row r="123">
          <cell r="D123">
            <v>84.043767921022209</v>
          </cell>
          <cell r="F123"/>
          <cell r="G123"/>
          <cell r="H123"/>
          <cell r="I123"/>
          <cell r="J123">
            <v>6</v>
          </cell>
          <cell r="K123"/>
          <cell r="L123"/>
          <cell r="M123"/>
          <cell r="N123"/>
          <cell r="O123">
            <v>3.5856210492083469</v>
          </cell>
        </row>
        <row r="124">
          <cell r="D124">
            <v>86.385105215793828</v>
          </cell>
          <cell r="F124"/>
          <cell r="G124"/>
          <cell r="H124"/>
          <cell r="I124"/>
          <cell r="J124">
            <v>6</v>
          </cell>
          <cell r="K124"/>
          <cell r="L124"/>
          <cell r="M124"/>
          <cell r="N124"/>
          <cell r="O124">
            <v>4.0140892726544681</v>
          </cell>
        </row>
        <row r="125">
          <cell r="D125">
            <v>90.406191748048585</v>
          </cell>
          <cell r="F125"/>
          <cell r="G125"/>
          <cell r="H125"/>
          <cell r="I125"/>
          <cell r="J125">
            <v>6</v>
          </cell>
          <cell r="K125"/>
          <cell r="L125"/>
          <cell r="M125"/>
          <cell r="N125"/>
          <cell r="O125">
            <v>4.832804185111744</v>
          </cell>
        </row>
        <row r="126">
          <cell r="D126">
            <v>93.471491811086082</v>
          </cell>
          <cell r="F126"/>
          <cell r="G126"/>
          <cell r="H126"/>
          <cell r="I126"/>
          <cell r="J126">
            <v>6</v>
          </cell>
          <cell r="K126"/>
          <cell r="L126"/>
          <cell r="M126"/>
          <cell r="N126"/>
          <cell r="O126">
            <v>5.4054509817285021</v>
          </cell>
        </row>
        <row r="127">
          <cell r="D127">
            <v>97.107381566993553</v>
          </cell>
          <cell r="F127"/>
          <cell r="G127"/>
          <cell r="H127"/>
          <cell r="I127"/>
          <cell r="J127">
            <v>6</v>
          </cell>
          <cell r="K127"/>
          <cell r="L127"/>
          <cell r="M127"/>
          <cell r="N127"/>
          <cell r="O127">
            <v>6.1465860183787742</v>
          </cell>
        </row>
        <row r="128">
          <cell r="D128">
            <v>100.71243145193914</v>
          </cell>
          <cell r="F128"/>
          <cell r="G128"/>
          <cell r="H128"/>
          <cell r="I128"/>
          <cell r="J128">
            <v>6</v>
          </cell>
          <cell r="K128"/>
          <cell r="L128"/>
          <cell r="M128"/>
          <cell r="N128"/>
          <cell r="O128">
            <v>7.0649254828466006</v>
          </cell>
        </row>
        <row r="129">
          <cell r="D129">
            <v>104.39233713204413</v>
          </cell>
          <cell r="F129"/>
          <cell r="G129"/>
          <cell r="H129"/>
          <cell r="I129"/>
          <cell r="J129">
            <v>6</v>
          </cell>
          <cell r="K129"/>
          <cell r="L129"/>
          <cell r="M129"/>
          <cell r="N129"/>
          <cell r="O129">
            <v>7.8958415706924541</v>
          </cell>
        </row>
        <row r="130">
          <cell r="D130">
            <v>107.81562240612369</v>
          </cell>
          <cell r="F130"/>
          <cell r="G130"/>
          <cell r="H130"/>
          <cell r="I130"/>
          <cell r="J130">
            <v>6</v>
          </cell>
          <cell r="K130"/>
          <cell r="L130"/>
          <cell r="M130"/>
          <cell r="N130"/>
          <cell r="O130">
            <v>8</v>
          </cell>
        </row>
        <row r="131">
          <cell r="D131">
            <v>111.36292001894914</v>
          </cell>
          <cell r="F131"/>
          <cell r="G131"/>
          <cell r="H131"/>
          <cell r="I131"/>
          <cell r="J131">
            <v>6</v>
          </cell>
          <cell r="K131"/>
          <cell r="L131"/>
          <cell r="M131"/>
          <cell r="N131"/>
          <cell r="O131">
            <v>8</v>
          </cell>
        </row>
        <row r="132">
          <cell r="D132">
            <v>114.91934497223426</v>
          </cell>
          <cell r="F132"/>
          <cell r="G132"/>
          <cell r="H132"/>
          <cell r="I132"/>
          <cell r="J132">
            <v>6</v>
          </cell>
          <cell r="K132"/>
          <cell r="L132"/>
          <cell r="M132"/>
          <cell r="N132"/>
          <cell r="O132">
            <v>8</v>
          </cell>
        </row>
        <row r="133">
          <cell r="D133">
            <v>118.44741987029688</v>
          </cell>
          <cell r="F133"/>
          <cell r="G133"/>
          <cell r="H133"/>
          <cell r="I133"/>
          <cell r="J133">
            <v>6</v>
          </cell>
          <cell r="K133"/>
          <cell r="L133"/>
          <cell r="M133"/>
          <cell r="N133"/>
          <cell r="O133">
            <v>8</v>
          </cell>
        </row>
        <row r="134">
          <cell r="D134">
            <v>121.97211685892326</v>
          </cell>
          <cell r="F134"/>
          <cell r="G134"/>
          <cell r="H134"/>
          <cell r="I134"/>
          <cell r="J134">
            <v>6</v>
          </cell>
          <cell r="K134"/>
          <cell r="L134"/>
          <cell r="M134"/>
          <cell r="N134"/>
          <cell r="O134">
            <v>8</v>
          </cell>
        </row>
        <row r="135">
          <cell r="D135">
            <v>125.41953077529134</v>
          </cell>
          <cell r="F135"/>
          <cell r="G135"/>
          <cell r="H135"/>
          <cell r="I135"/>
          <cell r="J135">
            <v>6</v>
          </cell>
          <cell r="K135"/>
          <cell r="L135"/>
          <cell r="M135"/>
          <cell r="N135"/>
          <cell r="O135">
            <v>8</v>
          </cell>
        </row>
        <row r="136">
          <cell r="D136">
            <v>129.09045404756728</v>
          </cell>
          <cell r="F136"/>
          <cell r="G136"/>
          <cell r="H136"/>
          <cell r="I136"/>
          <cell r="J136">
            <v>6</v>
          </cell>
          <cell r="K136"/>
          <cell r="L136"/>
          <cell r="M136"/>
          <cell r="N136"/>
          <cell r="O136">
            <v>8</v>
          </cell>
        </row>
        <row r="137">
          <cell r="D137">
            <v>132.53488795708068</v>
          </cell>
          <cell r="F137"/>
          <cell r="G137"/>
          <cell r="H137"/>
          <cell r="I137"/>
          <cell r="J137">
            <v>6</v>
          </cell>
          <cell r="K137"/>
          <cell r="L137"/>
          <cell r="M137"/>
          <cell r="N137"/>
          <cell r="O137">
            <v>8</v>
          </cell>
        </row>
        <row r="138">
          <cell r="D138">
            <v>136.07141427598387</v>
          </cell>
          <cell r="F138"/>
          <cell r="G138"/>
          <cell r="H138"/>
          <cell r="I138"/>
          <cell r="J138">
            <v>6</v>
          </cell>
          <cell r="K138"/>
          <cell r="L138"/>
          <cell r="M138"/>
          <cell r="N138"/>
          <cell r="O138">
            <v>8</v>
          </cell>
        </row>
        <row r="139">
          <cell r="D139">
            <v>139.56936219880694</v>
          </cell>
          <cell r="F139"/>
          <cell r="G139"/>
          <cell r="H139"/>
          <cell r="I139"/>
          <cell r="J139">
            <v>6</v>
          </cell>
          <cell r="K139"/>
          <cell r="L139"/>
          <cell r="M139"/>
          <cell r="N139"/>
          <cell r="O139">
            <v>8</v>
          </cell>
        </row>
        <row r="140">
          <cell r="D140">
            <v>143.08413721822018</v>
          </cell>
          <cell r="F140"/>
          <cell r="G140"/>
          <cell r="H140"/>
          <cell r="I140"/>
          <cell r="J140">
            <v>6</v>
          </cell>
          <cell r="K140"/>
          <cell r="L140"/>
          <cell r="M140"/>
          <cell r="N140"/>
          <cell r="O140">
            <v>8</v>
          </cell>
        </row>
        <row r="141">
          <cell r="D141">
            <v>146.62302564097175</v>
          </cell>
          <cell r="F141"/>
          <cell r="G141"/>
          <cell r="H141"/>
          <cell r="I141"/>
          <cell r="J141">
            <v>6</v>
          </cell>
          <cell r="K141"/>
          <cell r="L141"/>
          <cell r="M141"/>
          <cell r="N141"/>
          <cell r="O141">
            <v>8</v>
          </cell>
        </row>
        <row r="142">
          <cell r="D142">
            <v>150.12999034316616</v>
          </cell>
          <cell r="F142"/>
          <cell r="G142"/>
          <cell r="H142"/>
          <cell r="I142"/>
          <cell r="J142">
            <v>6</v>
          </cell>
          <cell r="K142"/>
          <cell r="L142"/>
          <cell r="M142"/>
          <cell r="N142"/>
          <cell r="O142">
            <v>8</v>
          </cell>
        </row>
        <row r="143">
          <cell r="D143">
            <v>153.11600330857166</v>
          </cell>
          <cell r="F143"/>
          <cell r="G143"/>
          <cell r="H143"/>
          <cell r="I143"/>
          <cell r="J143">
            <v>6</v>
          </cell>
          <cell r="K143"/>
          <cell r="L143"/>
          <cell r="M143"/>
          <cell r="N143"/>
          <cell r="O143">
            <v>8</v>
          </cell>
        </row>
        <row r="144">
          <cell r="D144">
            <v>154.20294442048996</v>
          </cell>
          <cell r="F144"/>
          <cell r="G144"/>
          <cell r="H144"/>
          <cell r="I144"/>
          <cell r="J144">
            <v>6</v>
          </cell>
          <cell r="K144"/>
          <cell r="L144"/>
          <cell r="M144"/>
          <cell r="N144"/>
          <cell r="O144">
            <v>8</v>
          </cell>
        </row>
        <row r="145">
          <cell r="D145">
            <v>155.2512378743358</v>
          </cell>
          <cell r="F145"/>
          <cell r="G145"/>
          <cell r="H145"/>
          <cell r="I145"/>
          <cell r="J145">
            <v>6</v>
          </cell>
          <cell r="K145"/>
          <cell r="L145"/>
          <cell r="M145"/>
          <cell r="N145"/>
          <cell r="O145">
            <v>8</v>
          </cell>
        </row>
        <row r="152">
          <cell r="D152">
            <v>10.00263241450434</v>
          </cell>
          <cell r="F152"/>
          <cell r="G152"/>
          <cell r="H152"/>
          <cell r="I152">
            <v>6</v>
          </cell>
          <cell r="J152"/>
          <cell r="K152"/>
          <cell r="L152"/>
          <cell r="M152"/>
          <cell r="N152">
            <v>0</v>
          </cell>
          <cell r="O152"/>
        </row>
        <row r="153">
          <cell r="D153">
            <v>19.43005414991557</v>
          </cell>
          <cell r="F153"/>
          <cell r="G153"/>
          <cell r="H153"/>
          <cell r="I153">
            <v>6</v>
          </cell>
          <cell r="J153"/>
          <cell r="K153"/>
          <cell r="L153"/>
          <cell r="M153"/>
          <cell r="N153">
            <v>0</v>
          </cell>
          <cell r="O153"/>
        </row>
        <row r="154">
          <cell r="D154">
            <v>27.324610510337703</v>
          </cell>
          <cell r="F154"/>
          <cell r="G154"/>
          <cell r="H154"/>
          <cell r="I154">
            <v>6</v>
          </cell>
          <cell r="J154"/>
          <cell r="K154"/>
          <cell r="L154"/>
          <cell r="M154"/>
          <cell r="N154">
            <v>0.40521222492145181</v>
          </cell>
          <cell r="O154"/>
        </row>
        <row r="155">
          <cell r="D155">
            <v>33.672145166817529</v>
          </cell>
          <cell r="F155"/>
          <cell r="G155"/>
          <cell r="H155"/>
          <cell r="I155">
            <v>6</v>
          </cell>
          <cell r="J155"/>
          <cell r="K155"/>
          <cell r="L155"/>
          <cell r="M155"/>
          <cell r="N155">
            <v>1.0971453345747504</v>
          </cell>
          <cell r="O155"/>
        </row>
        <row r="156">
          <cell r="D156">
            <v>39.138098927718012</v>
          </cell>
          <cell r="F156"/>
          <cell r="G156"/>
          <cell r="H156"/>
          <cell r="I156">
            <v>6</v>
          </cell>
          <cell r="J156"/>
          <cell r="K156"/>
          <cell r="L156"/>
          <cell r="M156"/>
          <cell r="N156">
            <v>1.9079626268144594</v>
          </cell>
          <cell r="O156"/>
        </row>
        <row r="157">
          <cell r="D157">
            <v>42.970748198558951</v>
          </cell>
          <cell r="F157"/>
          <cell r="G157"/>
          <cell r="H157"/>
          <cell r="I157">
            <v>6</v>
          </cell>
          <cell r="J157"/>
          <cell r="K157"/>
          <cell r="L157"/>
          <cell r="M157"/>
          <cell r="N157">
            <v>2.6074663889615612</v>
          </cell>
          <cell r="O157"/>
        </row>
        <row r="158">
          <cell r="D158">
            <v>48.731413734867289</v>
          </cell>
          <cell r="F158"/>
          <cell r="G158"/>
          <cell r="H158"/>
          <cell r="I158">
            <v>6</v>
          </cell>
          <cell r="J158"/>
          <cell r="K158"/>
          <cell r="L158"/>
          <cell r="M158"/>
          <cell r="N158">
            <v>3.4257104915500984</v>
          </cell>
          <cell r="O158"/>
        </row>
        <row r="159">
          <cell r="D159">
            <v>52.769987980532711</v>
          </cell>
          <cell r="F159"/>
          <cell r="G159"/>
          <cell r="H159"/>
          <cell r="I159">
            <v>5</v>
          </cell>
          <cell r="J159">
            <v>1</v>
          </cell>
          <cell r="K159"/>
          <cell r="L159"/>
          <cell r="M159"/>
          <cell r="N159">
            <v>3.9460188324987273</v>
          </cell>
          <cell r="O159">
            <v>0</v>
          </cell>
        </row>
        <row r="160">
          <cell r="D160">
            <v>58.701446767877648</v>
          </cell>
          <cell r="F160"/>
          <cell r="G160"/>
          <cell r="H160"/>
          <cell r="I160">
            <v>4</v>
          </cell>
          <cell r="J160">
            <v>2</v>
          </cell>
          <cell r="K160"/>
          <cell r="L160"/>
          <cell r="M160"/>
          <cell r="N160">
            <v>4.7477779650018288</v>
          </cell>
          <cell r="O160">
            <v>0.36649900938125635</v>
          </cell>
        </row>
        <row r="161">
          <cell r="D161">
            <v>64.399012521055653</v>
          </cell>
          <cell r="F161"/>
          <cell r="G161"/>
          <cell r="H161"/>
          <cell r="I161">
            <v>3</v>
          </cell>
          <cell r="J161">
            <v>3</v>
          </cell>
          <cell r="K161"/>
          <cell r="L161"/>
          <cell r="M161"/>
          <cell r="N161">
            <v>5.2956035757558197</v>
          </cell>
          <cell r="O161">
            <v>2.0297573350271727</v>
          </cell>
        </row>
        <row r="162">
          <cell r="D162">
            <v>68.627579426319684</v>
          </cell>
          <cell r="F162"/>
          <cell r="G162"/>
          <cell r="H162"/>
          <cell r="I162">
            <v>2</v>
          </cell>
          <cell r="J162">
            <v>4</v>
          </cell>
          <cell r="K162"/>
          <cell r="L162"/>
          <cell r="M162"/>
          <cell r="N162">
            <v>5.7489151462672803</v>
          </cell>
          <cell r="O162">
            <v>2.8222363906883587</v>
          </cell>
        </row>
        <row r="163">
          <cell r="D163">
            <v>71.882008108111634</v>
          </cell>
          <cell r="F163"/>
          <cell r="G163"/>
          <cell r="H163"/>
          <cell r="I163">
            <v>1</v>
          </cell>
          <cell r="J163">
            <v>5</v>
          </cell>
          <cell r="K163"/>
          <cell r="L163"/>
          <cell r="M163"/>
          <cell r="N163">
            <v>6.1926945819947017</v>
          </cell>
          <cell r="O163">
            <v>3.134563709866474</v>
          </cell>
        </row>
        <row r="164">
          <cell r="D164">
            <v>74.493385467679886</v>
          </cell>
          <cell r="F164"/>
          <cell r="G164"/>
          <cell r="H164"/>
          <cell r="I164">
            <v>0.5</v>
          </cell>
          <cell r="J164">
            <v>5.5</v>
          </cell>
          <cell r="K164"/>
          <cell r="L164"/>
          <cell r="M164"/>
          <cell r="N164">
            <v>6.6204130370488947</v>
          </cell>
          <cell r="O164">
            <v>3.4692194476797864</v>
          </cell>
        </row>
        <row r="165">
          <cell r="D165">
            <v>77.332919927503724</v>
          </cell>
          <cell r="F165"/>
          <cell r="G165"/>
          <cell r="H165"/>
          <cell r="I165"/>
          <cell r="J165">
            <v>6</v>
          </cell>
          <cell r="K165"/>
          <cell r="L165"/>
          <cell r="M165"/>
          <cell r="N165"/>
          <cell r="O165">
            <v>3.8454578495058556</v>
          </cell>
        </row>
        <row r="166">
          <cell r="D166">
            <v>79.813360188853366</v>
          </cell>
          <cell r="F166"/>
          <cell r="G166"/>
          <cell r="H166"/>
          <cell r="I166"/>
          <cell r="J166">
            <v>6</v>
          </cell>
          <cell r="K166"/>
          <cell r="L166"/>
          <cell r="M166"/>
          <cell r="N166"/>
          <cell r="O166">
            <v>4.394392694673348</v>
          </cell>
        </row>
        <row r="167">
          <cell r="D167">
            <v>81.919202803497143</v>
          </cell>
          <cell r="F167"/>
          <cell r="G167"/>
          <cell r="H167"/>
          <cell r="I167"/>
          <cell r="J167">
            <v>6</v>
          </cell>
          <cell r="K167"/>
          <cell r="L167"/>
          <cell r="M167"/>
          <cell r="N167"/>
          <cell r="O167">
            <v>4.9476954756879028</v>
          </cell>
        </row>
        <row r="168">
          <cell r="D168">
            <v>83.738783536778797</v>
          </cell>
          <cell r="F168"/>
          <cell r="G168"/>
          <cell r="H168"/>
          <cell r="I168"/>
          <cell r="J168">
            <v>6</v>
          </cell>
          <cell r="K168"/>
          <cell r="L168"/>
          <cell r="M168"/>
          <cell r="N168"/>
          <cell r="O168">
            <v>5.3183727282442197</v>
          </cell>
        </row>
        <row r="169">
          <cell r="D169">
            <v>86.045919706798657</v>
          </cell>
          <cell r="F169"/>
          <cell r="G169"/>
          <cell r="H169"/>
          <cell r="I169"/>
          <cell r="J169">
            <v>6</v>
          </cell>
          <cell r="K169"/>
          <cell r="L169"/>
          <cell r="M169"/>
          <cell r="N169"/>
          <cell r="O169">
            <v>5.8365140048616935</v>
          </cell>
        </row>
        <row r="170">
          <cell r="D170">
            <v>90.288435080379244</v>
          </cell>
          <cell r="F170"/>
          <cell r="G170"/>
          <cell r="H170"/>
          <cell r="I170"/>
          <cell r="J170">
            <v>6</v>
          </cell>
          <cell r="K170"/>
          <cell r="L170"/>
          <cell r="M170"/>
          <cell r="N170"/>
          <cell r="O170">
            <v>6.8224799219132448</v>
          </cell>
        </row>
        <row r="171">
          <cell r="D171">
            <v>93.400072017025948</v>
          </cell>
          <cell r="F171"/>
          <cell r="G171"/>
          <cell r="H171"/>
          <cell r="I171"/>
          <cell r="J171">
            <v>6</v>
          </cell>
          <cell r="K171"/>
          <cell r="L171"/>
          <cell r="M171"/>
          <cell r="N171"/>
          <cell r="O171">
            <v>7.5942143103752517</v>
          </cell>
        </row>
        <row r="172">
          <cell r="D172">
            <v>97.006001686863456</v>
          </cell>
          <cell r="F172"/>
          <cell r="G172"/>
          <cell r="H172"/>
          <cell r="I172"/>
          <cell r="J172">
            <v>6</v>
          </cell>
          <cell r="K172"/>
          <cell r="L172"/>
          <cell r="M172"/>
          <cell r="N172"/>
          <cell r="O172">
            <v>8</v>
          </cell>
        </row>
        <row r="173">
          <cell r="D173">
            <v>100.64473135315967</v>
          </cell>
          <cell r="F173"/>
          <cell r="G173"/>
          <cell r="H173"/>
          <cell r="I173"/>
          <cell r="J173">
            <v>6</v>
          </cell>
          <cell r="K173"/>
          <cell r="L173"/>
          <cell r="M173"/>
          <cell r="N173"/>
          <cell r="O173">
            <v>8</v>
          </cell>
        </row>
        <row r="174">
          <cell r="D174">
            <v>104.30731379164318</v>
          </cell>
          <cell r="F174"/>
          <cell r="G174"/>
          <cell r="H174"/>
          <cell r="I174"/>
          <cell r="J174">
            <v>6</v>
          </cell>
          <cell r="K174"/>
          <cell r="L174"/>
          <cell r="M174"/>
          <cell r="N174"/>
          <cell r="O174">
            <v>8</v>
          </cell>
        </row>
        <row r="175">
          <cell r="D175">
            <v>107.78950972208385</v>
          </cell>
          <cell r="F175"/>
          <cell r="G175"/>
          <cell r="H175"/>
          <cell r="I175"/>
          <cell r="J175">
            <v>6</v>
          </cell>
          <cell r="K175"/>
          <cell r="L175"/>
          <cell r="M175"/>
          <cell r="N175"/>
          <cell r="O175">
            <v>8</v>
          </cell>
        </row>
        <row r="176">
          <cell r="D176">
            <v>111.29737083030383</v>
          </cell>
          <cell r="F176"/>
          <cell r="G176"/>
          <cell r="H176"/>
          <cell r="I176"/>
          <cell r="J176">
            <v>6</v>
          </cell>
          <cell r="K176"/>
          <cell r="L176"/>
          <cell r="M176"/>
          <cell r="N176"/>
          <cell r="O176">
            <v>8</v>
          </cell>
        </row>
        <row r="177">
          <cell r="D177">
            <v>114.91888401282834</v>
          </cell>
          <cell r="F177"/>
          <cell r="G177"/>
          <cell r="H177"/>
          <cell r="I177"/>
          <cell r="J177">
            <v>6</v>
          </cell>
          <cell r="K177"/>
          <cell r="L177"/>
          <cell r="M177"/>
          <cell r="N177"/>
          <cell r="O177">
            <v>8</v>
          </cell>
        </row>
        <row r="178">
          <cell r="D178">
            <v>118.4172728380062</v>
          </cell>
          <cell r="F178"/>
          <cell r="G178"/>
          <cell r="H178"/>
          <cell r="I178"/>
          <cell r="J178">
            <v>6</v>
          </cell>
          <cell r="K178"/>
          <cell r="L178"/>
          <cell r="M178"/>
          <cell r="N178"/>
          <cell r="O178">
            <v>8</v>
          </cell>
        </row>
        <row r="179">
          <cell r="D179">
            <v>121.99245722798884</v>
          </cell>
          <cell r="F179"/>
          <cell r="G179"/>
          <cell r="H179"/>
          <cell r="I179"/>
          <cell r="J179">
            <v>6</v>
          </cell>
          <cell r="K179"/>
          <cell r="L179"/>
          <cell r="M179"/>
          <cell r="N179"/>
          <cell r="O179">
            <v>8</v>
          </cell>
        </row>
        <row r="180">
          <cell r="D180">
            <v>125.43876546297123</v>
          </cell>
          <cell r="F180"/>
          <cell r="G180"/>
          <cell r="H180"/>
          <cell r="I180"/>
          <cell r="J180">
            <v>6</v>
          </cell>
          <cell r="K180"/>
          <cell r="L180"/>
          <cell r="M180"/>
          <cell r="N180"/>
          <cell r="O180">
            <v>8</v>
          </cell>
        </row>
        <row r="181">
          <cell r="D181">
            <v>129.12105302323599</v>
          </cell>
          <cell r="F181"/>
          <cell r="G181"/>
          <cell r="H181"/>
          <cell r="I181"/>
          <cell r="J181">
            <v>6</v>
          </cell>
          <cell r="K181"/>
          <cell r="L181"/>
          <cell r="M181"/>
          <cell r="N181"/>
          <cell r="O181">
            <v>8</v>
          </cell>
        </row>
        <row r="182">
          <cell r="D182">
            <v>132.61179169042359</v>
          </cell>
          <cell r="F182"/>
          <cell r="G182"/>
          <cell r="H182"/>
          <cell r="I182"/>
          <cell r="J182">
            <v>6</v>
          </cell>
          <cell r="K182"/>
          <cell r="L182"/>
          <cell r="M182"/>
          <cell r="N182"/>
          <cell r="O182">
            <v>8</v>
          </cell>
        </row>
        <row r="183">
          <cell r="D183">
            <v>136.12035534953262</v>
          </cell>
          <cell r="F183"/>
          <cell r="G183"/>
          <cell r="H183"/>
          <cell r="I183"/>
          <cell r="J183">
            <v>6</v>
          </cell>
          <cell r="K183"/>
          <cell r="L183"/>
          <cell r="M183"/>
          <cell r="N183"/>
          <cell r="O183">
            <v>8</v>
          </cell>
        </row>
        <row r="184">
          <cell r="D184">
            <v>139.6793621861803</v>
          </cell>
          <cell r="F184"/>
          <cell r="G184"/>
          <cell r="H184"/>
          <cell r="I184"/>
          <cell r="J184">
            <v>6</v>
          </cell>
          <cell r="K184"/>
          <cell r="L184"/>
          <cell r="M184"/>
          <cell r="N184"/>
          <cell r="O184">
            <v>8</v>
          </cell>
        </row>
        <row r="185">
          <cell r="D185">
            <v>143.14123736077869</v>
          </cell>
          <cell r="F185"/>
          <cell r="G185"/>
          <cell r="H185"/>
          <cell r="I185"/>
          <cell r="J185">
            <v>6</v>
          </cell>
          <cell r="K185"/>
          <cell r="L185"/>
          <cell r="M185"/>
          <cell r="N185"/>
          <cell r="O185">
            <v>8</v>
          </cell>
        </row>
        <row r="186">
          <cell r="D186">
            <v>146.75578521325724</v>
          </cell>
          <cell r="F186"/>
          <cell r="G186"/>
          <cell r="H186"/>
          <cell r="I186"/>
          <cell r="J186">
            <v>6</v>
          </cell>
          <cell r="K186"/>
          <cell r="L186"/>
          <cell r="M186"/>
          <cell r="N186"/>
          <cell r="O186">
            <v>8</v>
          </cell>
        </row>
        <row r="187">
          <cell r="D187">
            <v>150.21349802228445</v>
          </cell>
          <cell r="F187"/>
          <cell r="G187"/>
          <cell r="H187"/>
          <cell r="I187"/>
          <cell r="J187">
            <v>6</v>
          </cell>
          <cell r="K187"/>
          <cell r="L187"/>
          <cell r="M187"/>
          <cell r="N187"/>
          <cell r="O187">
            <v>8</v>
          </cell>
        </row>
        <row r="188">
          <cell r="D188">
            <v>152.32856849044819</v>
          </cell>
          <cell r="F188"/>
          <cell r="G188"/>
          <cell r="H188"/>
          <cell r="I188"/>
          <cell r="J188">
            <v>6</v>
          </cell>
          <cell r="K188"/>
          <cell r="L188"/>
          <cell r="M188"/>
          <cell r="N188"/>
          <cell r="O188">
            <v>8</v>
          </cell>
        </row>
        <row r="189">
          <cell r="D189">
            <v>153.15627769682186</v>
          </cell>
          <cell r="F189"/>
          <cell r="G189"/>
          <cell r="H189"/>
          <cell r="I189"/>
          <cell r="J189">
            <v>6</v>
          </cell>
          <cell r="K189"/>
          <cell r="L189"/>
          <cell r="M189"/>
          <cell r="N189"/>
          <cell r="O189">
            <v>8</v>
          </cell>
        </row>
        <row r="190">
          <cell r="D190">
            <v>153.85863088955028</v>
          </cell>
          <cell r="F190"/>
          <cell r="G190"/>
          <cell r="H190"/>
          <cell r="I190"/>
          <cell r="J190">
            <v>6</v>
          </cell>
          <cell r="K190"/>
          <cell r="L190"/>
          <cell r="M190"/>
          <cell r="N190"/>
          <cell r="O190">
            <v>8</v>
          </cell>
        </row>
        <row r="197">
          <cell r="D197">
            <v>10.040470049930473</v>
          </cell>
          <cell r="F197"/>
          <cell r="G197"/>
          <cell r="H197"/>
          <cell r="I197">
            <v>6</v>
          </cell>
          <cell r="J197"/>
          <cell r="K197"/>
          <cell r="L197"/>
          <cell r="M197"/>
          <cell r="N197">
            <v>0</v>
          </cell>
          <cell r="O197"/>
        </row>
        <row r="198">
          <cell r="D198">
            <v>19.288856680060892</v>
          </cell>
          <cell r="F198"/>
          <cell r="G198"/>
          <cell r="H198"/>
          <cell r="I198">
            <v>6</v>
          </cell>
          <cell r="J198"/>
          <cell r="K198"/>
          <cell r="L198"/>
          <cell r="M198"/>
          <cell r="N198">
            <v>0</v>
          </cell>
          <cell r="O198"/>
        </row>
        <row r="199">
          <cell r="D199">
            <v>27.144641112884834</v>
          </cell>
          <cell r="F199"/>
          <cell r="G199"/>
          <cell r="H199"/>
          <cell r="I199">
            <v>6</v>
          </cell>
          <cell r="J199"/>
          <cell r="K199"/>
          <cell r="L199"/>
          <cell r="M199"/>
          <cell r="N199">
            <v>0.52879294642818553</v>
          </cell>
          <cell r="O199"/>
        </row>
        <row r="200">
          <cell r="D200">
            <v>33.399598377161809</v>
          </cell>
          <cell r="F200"/>
          <cell r="G200"/>
          <cell r="H200"/>
          <cell r="I200">
            <v>6</v>
          </cell>
          <cell r="J200"/>
          <cell r="K200"/>
          <cell r="L200"/>
          <cell r="M200"/>
          <cell r="N200">
            <v>1.2315161541088231</v>
          </cell>
          <cell r="O200"/>
        </row>
        <row r="201">
          <cell r="D201">
            <v>38.848984787984186</v>
          </cell>
          <cell r="F201"/>
          <cell r="G201"/>
          <cell r="H201"/>
          <cell r="I201">
            <v>6</v>
          </cell>
          <cell r="J201"/>
          <cell r="K201"/>
          <cell r="L201"/>
          <cell r="M201"/>
          <cell r="N201">
            <v>2.0945508794395717</v>
          </cell>
          <cell r="O201"/>
        </row>
        <row r="202">
          <cell r="D202">
            <v>42.643360270022924</v>
          </cell>
          <cell r="F202"/>
          <cell r="G202"/>
          <cell r="H202"/>
          <cell r="I202">
            <v>6</v>
          </cell>
          <cell r="J202"/>
          <cell r="K202"/>
          <cell r="L202"/>
          <cell r="M202"/>
          <cell r="N202">
            <v>2.9480378590372114</v>
          </cell>
          <cell r="O202"/>
        </row>
        <row r="203">
          <cell r="D203">
            <v>48.493134765265182</v>
          </cell>
          <cell r="F203"/>
          <cell r="G203"/>
          <cell r="H203"/>
          <cell r="I203">
            <v>6</v>
          </cell>
          <cell r="J203"/>
          <cell r="K203"/>
          <cell r="L203"/>
          <cell r="M203"/>
          <cell r="N203">
            <v>3.7756959890327284</v>
          </cell>
          <cell r="O203"/>
        </row>
        <row r="204">
          <cell r="D204">
            <v>52.559419343629337</v>
          </cell>
          <cell r="F204"/>
          <cell r="G204"/>
          <cell r="H204"/>
          <cell r="I204">
            <v>5</v>
          </cell>
          <cell r="J204">
            <v>1</v>
          </cell>
          <cell r="K204"/>
          <cell r="L204"/>
          <cell r="M204"/>
          <cell r="N204">
            <v>4.5194940869892894</v>
          </cell>
          <cell r="O204">
            <v>0</v>
          </cell>
        </row>
        <row r="205">
          <cell r="D205">
            <v>58.560986008166232</v>
          </cell>
          <cell r="F205"/>
          <cell r="G205"/>
          <cell r="H205"/>
          <cell r="I205">
            <v>4</v>
          </cell>
          <cell r="J205">
            <v>2</v>
          </cell>
          <cell r="K205"/>
          <cell r="L205"/>
          <cell r="M205"/>
          <cell r="N205">
            <v>5.3933308348064131</v>
          </cell>
          <cell r="O205">
            <v>0.58763563494102167</v>
          </cell>
        </row>
        <row r="206">
          <cell r="D206">
            <v>64.247064283227857</v>
          </cell>
          <cell r="F206"/>
          <cell r="G206"/>
          <cell r="H206"/>
          <cell r="I206">
            <v>3</v>
          </cell>
          <cell r="J206">
            <v>3</v>
          </cell>
          <cell r="K206"/>
          <cell r="L206"/>
          <cell r="M206"/>
          <cell r="N206">
            <v>5.925595804380329</v>
          </cell>
          <cell r="O206">
            <v>2.1845277965186631</v>
          </cell>
        </row>
        <row r="207">
          <cell r="D207">
            <v>68.518369035696878</v>
          </cell>
          <cell r="F207"/>
          <cell r="G207"/>
          <cell r="H207"/>
          <cell r="I207">
            <v>2</v>
          </cell>
          <cell r="J207">
            <v>4</v>
          </cell>
          <cell r="K207"/>
          <cell r="L207"/>
          <cell r="M207"/>
          <cell r="N207">
            <v>6.4594959111259005</v>
          </cell>
          <cell r="O207">
            <v>2.9880836809689093</v>
          </cell>
        </row>
        <row r="208">
          <cell r="D208">
            <v>71.7664716439551</v>
          </cell>
          <cell r="F208"/>
          <cell r="G208"/>
          <cell r="H208"/>
          <cell r="I208">
            <v>1</v>
          </cell>
          <cell r="J208">
            <v>5</v>
          </cell>
          <cell r="K208"/>
          <cell r="L208"/>
          <cell r="M208"/>
          <cell r="N208">
            <v>7.0032857150673395</v>
          </cell>
          <cell r="O208">
            <v>3.2488397752590865</v>
          </cell>
        </row>
        <row r="209">
          <cell r="D209">
            <v>74.370993278111257</v>
          </cell>
          <cell r="F209"/>
          <cell r="G209"/>
          <cell r="H209"/>
          <cell r="I209">
            <v>0.5</v>
          </cell>
          <cell r="J209">
            <v>5.5</v>
          </cell>
          <cell r="K209"/>
          <cell r="L209"/>
          <cell r="M209"/>
          <cell r="N209">
            <v>7.3991094245767099</v>
          </cell>
          <cell r="O209">
            <v>3.6191326888860953</v>
          </cell>
        </row>
        <row r="210">
          <cell r="D210">
            <v>77.234275947206214</v>
          </cell>
          <cell r="F210"/>
          <cell r="G210"/>
          <cell r="H210"/>
          <cell r="I210"/>
          <cell r="J210">
            <v>6</v>
          </cell>
          <cell r="K210"/>
          <cell r="L210"/>
          <cell r="M210"/>
          <cell r="N210"/>
          <cell r="O210">
            <v>4.0715819298236369</v>
          </cell>
        </row>
        <row r="211">
          <cell r="D211">
            <v>79.725666247801229</v>
          </cell>
          <cell r="F211"/>
          <cell r="G211"/>
          <cell r="H211"/>
          <cell r="I211"/>
          <cell r="J211">
            <v>6</v>
          </cell>
          <cell r="K211"/>
          <cell r="L211"/>
          <cell r="M211"/>
          <cell r="N211"/>
          <cell r="O211">
            <v>4.7080545221665631</v>
          </cell>
        </row>
        <row r="212">
          <cell r="D212">
            <v>81.863982387630472</v>
          </cell>
          <cell r="F212"/>
          <cell r="G212"/>
          <cell r="H212"/>
          <cell r="I212"/>
          <cell r="J212">
            <v>6</v>
          </cell>
          <cell r="K212"/>
          <cell r="L212"/>
          <cell r="M212"/>
          <cell r="N212"/>
          <cell r="O212">
            <v>5.2321699298251731</v>
          </cell>
        </row>
        <row r="213">
          <cell r="D213">
            <v>83.667042947574714</v>
          </cell>
          <cell r="F213"/>
          <cell r="G213"/>
          <cell r="H213"/>
          <cell r="I213"/>
          <cell r="J213">
            <v>6</v>
          </cell>
          <cell r="K213"/>
          <cell r="L213"/>
          <cell r="M213"/>
          <cell r="N213"/>
          <cell r="O213">
            <v>5.6363341451042315</v>
          </cell>
        </row>
        <row r="214">
          <cell r="D214">
            <v>86.154780808490059</v>
          </cell>
          <cell r="F214"/>
          <cell r="G214"/>
          <cell r="H214"/>
          <cell r="I214"/>
          <cell r="J214">
            <v>6</v>
          </cell>
          <cell r="K214"/>
          <cell r="L214"/>
          <cell r="M214"/>
          <cell r="N214"/>
          <cell r="O214">
            <v>6.2244025246024606</v>
          </cell>
        </row>
        <row r="215">
          <cell r="D215">
            <v>90.480184629206022</v>
          </cell>
          <cell r="F215"/>
          <cell r="G215"/>
          <cell r="H215"/>
          <cell r="I215"/>
          <cell r="J215">
            <v>6</v>
          </cell>
          <cell r="K215"/>
          <cell r="L215"/>
          <cell r="M215"/>
          <cell r="N215"/>
          <cell r="O215">
            <v>7.2629260421834143</v>
          </cell>
        </row>
        <row r="216">
          <cell r="D216">
            <v>93.6774218048877</v>
          </cell>
          <cell r="F216"/>
          <cell r="G216"/>
          <cell r="H216"/>
          <cell r="I216"/>
          <cell r="J216">
            <v>6</v>
          </cell>
          <cell r="K216"/>
          <cell r="L216"/>
          <cell r="M216"/>
          <cell r="N216"/>
          <cell r="O216">
            <v>8</v>
          </cell>
        </row>
        <row r="217">
          <cell r="D217">
            <v>97.125654465362558</v>
          </cell>
          <cell r="F217"/>
          <cell r="G217"/>
          <cell r="H217"/>
          <cell r="I217"/>
          <cell r="J217">
            <v>6</v>
          </cell>
          <cell r="K217"/>
          <cell r="L217"/>
          <cell r="M217"/>
          <cell r="N217"/>
          <cell r="O217">
            <v>8</v>
          </cell>
        </row>
        <row r="218">
          <cell r="D218">
            <v>100.89689545435591</v>
          </cell>
          <cell r="F218"/>
          <cell r="G218"/>
          <cell r="H218"/>
          <cell r="I218"/>
          <cell r="J218">
            <v>6</v>
          </cell>
          <cell r="K218"/>
          <cell r="L218"/>
          <cell r="M218"/>
          <cell r="N218"/>
          <cell r="O218">
            <v>8</v>
          </cell>
        </row>
        <row r="219">
          <cell r="D219">
            <v>104.52148587104635</v>
          </cell>
          <cell r="F219"/>
          <cell r="G219"/>
          <cell r="H219"/>
          <cell r="I219"/>
          <cell r="J219">
            <v>6</v>
          </cell>
          <cell r="K219"/>
          <cell r="L219"/>
          <cell r="M219"/>
          <cell r="N219"/>
          <cell r="O219">
            <v>8</v>
          </cell>
        </row>
        <row r="220">
          <cell r="D220">
            <v>108.05586950728798</v>
          </cell>
          <cell r="F220"/>
          <cell r="G220"/>
          <cell r="H220"/>
          <cell r="I220"/>
          <cell r="J220">
            <v>6</v>
          </cell>
          <cell r="K220"/>
          <cell r="L220"/>
          <cell r="M220"/>
          <cell r="N220"/>
          <cell r="O220">
            <v>8</v>
          </cell>
        </row>
        <row r="221">
          <cell r="D221">
            <v>111.54601176466306</v>
          </cell>
          <cell r="F221"/>
          <cell r="G221"/>
          <cell r="H221"/>
          <cell r="I221"/>
          <cell r="J221">
            <v>6</v>
          </cell>
          <cell r="K221"/>
          <cell r="L221"/>
          <cell r="M221"/>
          <cell r="N221"/>
          <cell r="O221">
            <v>8</v>
          </cell>
        </row>
        <row r="222">
          <cell r="D222">
            <v>115.20444967370992</v>
          </cell>
          <cell r="F222"/>
          <cell r="G222"/>
          <cell r="H222"/>
          <cell r="I222"/>
          <cell r="J222">
            <v>6</v>
          </cell>
          <cell r="K222"/>
          <cell r="L222"/>
          <cell r="M222"/>
          <cell r="N222"/>
          <cell r="O222">
            <v>8</v>
          </cell>
        </row>
        <row r="223">
          <cell r="D223">
            <v>118.75432507225094</v>
          </cell>
          <cell r="F223"/>
          <cell r="G223"/>
          <cell r="H223"/>
          <cell r="I223"/>
          <cell r="J223">
            <v>6</v>
          </cell>
          <cell r="K223"/>
          <cell r="L223"/>
          <cell r="M223"/>
          <cell r="N223"/>
          <cell r="O223">
            <v>8</v>
          </cell>
        </row>
        <row r="224">
          <cell r="D224">
            <v>122.26514676047371</v>
          </cell>
          <cell r="F224"/>
          <cell r="G224"/>
          <cell r="H224"/>
          <cell r="I224"/>
          <cell r="J224">
            <v>6</v>
          </cell>
          <cell r="K224"/>
          <cell r="L224"/>
          <cell r="M224"/>
          <cell r="N224"/>
          <cell r="O224">
            <v>8</v>
          </cell>
        </row>
        <row r="225">
          <cell r="D225">
            <v>125.84855083483956</v>
          </cell>
          <cell r="F225"/>
          <cell r="G225"/>
          <cell r="H225"/>
          <cell r="I225"/>
          <cell r="J225">
            <v>6</v>
          </cell>
          <cell r="K225"/>
          <cell r="L225"/>
          <cell r="M225"/>
          <cell r="N225"/>
          <cell r="O225">
            <v>8</v>
          </cell>
        </row>
        <row r="226">
          <cell r="D226">
            <v>129.43528964176323</v>
          </cell>
          <cell r="F226"/>
          <cell r="G226"/>
          <cell r="H226"/>
          <cell r="I226"/>
          <cell r="J226">
            <v>6</v>
          </cell>
          <cell r="K226"/>
          <cell r="L226"/>
          <cell r="M226"/>
          <cell r="N226"/>
          <cell r="O226">
            <v>8</v>
          </cell>
        </row>
        <row r="227">
          <cell r="D227">
            <v>133.03192104200832</v>
          </cell>
          <cell r="F227"/>
          <cell r="G227"/>
          <cell r="H227"/>
          <cell r="I227"/>
          <cell r="J227">
            <v>6</v>
          </cell>
          <cell r="K227"/>
          <cell r="L227"/>
          <cell r="M227"/>
          <cell r="N227"/>
          <cell r="O227">
            <v>8</v>
          </cell>
        </row>
        <row r="228">
          <cell r="D228">
            <v>136.45508882162355</v>
          </cell>
          <cell r="F228"/>
          <cell r="G228"/>
          <cell r="H228"/>
          <cell r="I228"/>
          <cell r="J228">
            <v>6</v>
          </cell>
          <cell r="K228"/>
          <cell r="L228"/>
          <cell r="M228"/>
          <cell r="N228"/>
          <cell r="O228">
            <v>8</v>
          </cell>
        </row>
        <row r="229">
          <cell r="D229">
            <v>140.08772492574531</v>
          </cell>
          <cell r="F229"/>
          <cell r="G229"/>
          <cell r="H229"/>
          <cell r="I229"/>
          <cell r="J229">
            <v>6</v>
          </cell>
          <cell r="K229"/>
          <cell r="L229"/>
          <cell r="M229"/>
          <cell r="N229"/>
          <cell r="O229">
            <v>8</v>
          </cell>
        </row>
        <row r="230">
          <cell r="D230">
            <v>143.51956656528549</v>
          </cell>
          <cell r="F230"/>
          <cell r="G230"/>
          <cell r="H230"/>
          <cell r="I230"/>
          <cell r="J230">
            <v>6</v>
          </cell>
          <cell r="K230"/>
          <cell r="L230"/>
          <cell r="M230"/>
          <cell r="N230"/>
          <cell r="O230">
            <v>8</v>
          </cell>
        </row>
        <row r="231">
          <cell r="D231">
            <v>147.17868266109423</v>
          </cell>
          <cell r="F231"/>
          <cell r="G231"/>
          <cell r="H231"/>
          <cell r="I231"/>
          <cell r="J231">
            <v>6</v>
          </cell>
          <cell r="K231"/>
          <cell r="L231"/>
          <cell r="M231"/>
          <cell r="N231"/>
          <cell r="O231">
            <v>8</v>
          </cell>
        </row>
        <row r="232">
          <cell r="D232">
            <v>150.49637054967232</v>
          </cell>
          <cell r="F232"/>
          <cell r="G232"/>
          <cell r="H232"/>
          <cell r="I232"/>
          <cell r="J232">
            <v>6</v>
          </cell>
          <cell r="K232"/>
          <cell r="L232"/>
          <cell r="M232"/>
          <cell r="N232"/>
          <cell r="O232">
            <v>8</v>
          </cell>
        </row>
        <row r="233">
          <cell r="D233">
            <v>151.40240982411487</v>
          </cell>
          <cell r="F233"/>
          <cell r="G233"/>
          <cell r="H233"/>
          <cell r="I233"/>
          <cell r="J233">
            <v>6</v>
          </cell>
          <cell r="K233"/>
          <cell r="L233"/>
          <cell r="M233"/>
          <cell r="N233"/>
          <cell r="O233">
            <v>8</v>
          </cell>
        </row>
        <row r="234">
          <cell r="D234">
            <v>152.00526961196863</v>
          </cell>
          <cell r="F234"/>
          <cell r="G234"/>
          <cell r="H234"/>
          <cell r="I234"/>
          <cell r="J234">
            <v>6</v>
          </cell>
          <cell r="K234"/>
          <cell r="L234"/>
          <cell r="M234"/>
          <cell r="N234"/>
          <cell r="O234">
            <v>8</v>
          </cell>
        </row>
        <row r="235">
          <cell r="D235">
            <v>152.38629594951036</v>
          </cell>
          <cell r="F235"/>
          <cell r="G235"/>
          <cell r="H235"/>
          <cell r="I235"/>
          <cell r="J235">
            <v>6</v>
          </cell>
          <cell r="K235"/>
          <cell r="L235"/>
          <cell r="M235"/>
          <cell r="N235"/>
          <cell r="O235">
            <v>8</v>
          </cell>
        </row>
      </sheetData>
      <sheetData sheetId="3"/>
      <sheetData sheetId="4">
        <row r="103">
          <cell r="C103" t="str">
            <v>星级</v>
          </cell>
          <cell r="D103" t="str">
            <v>绿</v>
          </cell>
          <cell r="E103" t="str">
            <v>蓝</v>
          </cell>
          <cell r="F103" t="str">
            <v>紫</v>
          </cell>
          <cell r="G103" t="str">
            <v>橙</v>
          </cell>
          <cell r="H103" t="str">
            <v>橙+</v>
          </cell>
          <cell r="I103" t="str">
            <v>红</v>
          </cell>
        </row>
        <row r="104">
          <cell r="C104">
            <v>0</v>
          </cell>
          <cell r="D104">
            <v>1</v>
          </cell>
          <cell r="E104">
            <v>1</v>
          </cell>
          <cell r="F104">
            <v>1</v>
          </cell>
          <cell r="G104">
            <v>1</v>
          </cell>
          <cell r="H104">
            <v>1</v>
          </cell>
          <cell r="I104">
            <v>1</v>
          </cell>
        </row>
        <row r="105">
          <cell r="C105">
            <v>1</v>
          </cell>
          <cell r="D105">
            <v>1</v>
          </cell>
          <cell r="E105">
            <v>2</v>
          </cell>
          <cell r="F105">
            <v>2</v>
          </cell>
          <cell r="G105">
            <v>2</v>
          </cell>
          <cell r="H105">
            <v>2</v>
          </cell>
          <cell r="I105">
            <v>2</v>
          </cell>
        </row>
        <row r="106">
          <cell r="C106">
            <v>2</v>
          </cell>
          <cell r="D106">
            <v>1</v>
          </cell>
          <cell r="E106">
            <v>3</v>
          </cell>
          <cell r="F106">
            <v>3</v>
          </cell>
          <cell r="G106">
            <v>3</v>
          </cell>
          <cell r="H106">
            <v>3</v>
          </cell>
          <cell r="I106">
            <v>3</v>
          </cell>
        </row>
        <row r="107">
          <cell r="C107">
            <v>3</v>
          </cell>
          <cell r="D107">
            <v>1</v>
          </cell>
          <cell r="E107">
            <v>5</v>
          </cell>
          <cell r="F107">
            <v>5</v>
          </cell>
          <cell r="G107">
            <v>4</v>
          </cell>
          <cell r="H107">
            <v>4</v>
          </cell>
          <cell r="I107">
            <v>4</v>
          </cell>
        </row>
        <row r="108">
          <cell r="C108">
            <v>4</v>
          </cell>
          <cell r="D108">
            <v>1</v>
          </cell>
          <cell r="E108">
            <v>5</v>
          </cell>
          <cell r="F108">
            <v>7</v>
          </cell>
          <cell r="G108">
            <v>6</v>
          </cell>
          <cell r="H108">
            <v>6</v>
          </cell>
          <cell r="I108">
            <v>6</v>
          </cell>
        </row>
        <row r="109">
          <cell r="C109">
            <v>5</v>
          </cell>
          <cell r="D109">
            <v>1</v>
          </cell>
          <cell r="E109">
            <v>5</v>
          </cell>
          <cell r="F109">
            <v>10</v>
          </cell>
          <cell r="G109">
            <v>8</v>
          </cell>
          <cell r="H109">
            <v>8</v>
          </cell>
          <cell r="I109">
            <v>8</v>
          </cell>
        </row>
        <row r="110">
          <cell r="C110">
            <v>6</v>
          </cell>
          <cell r="D110">
            <v>1</v>
          </cell>
          <cell r="E110">
            <v>5</v>
          </cell>
          <cell r="F110">
            <v>13</v>
          </cell>
          <cell r="G110">
            <v>11</v>
          </cell>
          <cell r="H110">
            <v>11</v>
          </cell>
          <cell r="I110">
            <v>11</v>
          </cell>
        </row>
        <row r="111">
          <cell r="C111">
            <v>7</v>
          </cell>
          <cell r="D111">
            <v>1</v>
          </cell>
          <cell r="E111">
            <v>5</v>
          </cell>
          <cell r="F111">
            <v>13</v>
          </cell>
          <cell r="G111">
            <v>14</v>
          </cell>
          <cell r="H111">
            <v>14</v>
          </cell>
          <cell r="I111">
            <v>14</v>
          </cell>
        </row>
        <row r="112">
          <cell r="C112">
            <v>8</v>
          </cell>
          <cell r="D112">
            <v>1</v>
          </cell>
          <cell r="E112">
            <v>5</v>
          </cell>
          <cell r="F112">
            <v>13</v>
          </cell>
          <cell r="G112">
            <v>18</v>
          </cell>
          <cell r="H112">
            <v>18</v>
          </cell>
          <cell r="I112">
            <v>18</v>
          </cell>
        </row>
        <row r="113">
          <cell r="C113" t="str">
            <v>星级</v>
          </cell>
          <cell r="D113" t="str">
            <v>绿</v>
          </cell>
          <cell r="E113" t="str">
            <v>蓝</v>
          </cell>
          <cell r="F113" t="str">
            <v>紫</v>
          </cell>
          <cell r="G113" t="str">
            <v>橙</v>
          </cell>
          <cell r="H113" t="str">
            <v>橙+</v>
          </cell>
          <cell r="I113" t="str">
            <v>红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</row>
        <row r="115">
          <cell r="C115">
            <v>1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</row>
        <row r="116">
          <cell r="C116">
            <v>2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</row>
        <row r="117">
          <cell r="C117">
            <v>3</v>
          </cell>
          <cell r="D117">
            <v>0</v>
          </cell>
          <cell r="E117">
            <v>0</v>
          </cell>
          <cell r="F117">
            <v>0</v>
          </cell>
          <cell r="G117">
            <v>1</v>
          </cell>
          <cell r="H117">
            <v>0</v>
          </cell>
          <cell r="I117">
            <v>0</v>
          </cell>
        </row>
        <row r="118">
          <cell r="C118">
            <v>4</v>
          </cell>
          <cell r="D118">
            <v>0</v>
          </cell>
          <cell r="E118">
            <v>0</v>
          </cell>
          <cell r="F118">
            <v>1</v>
          </cell>
          <cell r="G118">
            <v>1</v>
          </cell>
          <cell r="H118">
            <v>0</v>
          </cell>
          <cell r="I118">
            <v>0</v>
          </cell>
        </row>
        <row r="119">
          <cell r="C119">
            <v>5</v>
          </cell>
          <cell r="D119">
            <v>0</v>
          </cell>
          <cell r="E119">
            <v>0</v>
          </cell>
          <cell r="F119">
            <v>1</v>
          </cell>
          <cell r="G119">
            <v>3</v>
          </cell>
          <cell r="H119">
            <v>0</v>
          </cell>
          <cell r="I119">
            <v>0</v>
          </cell>
        </row>
        <row r="120">
          <cell r="C120">
            <v>6</v>
          </cell>
          <cell r="D120">
            <v>0</v>
          </cell>
          <cell r="E120">
            <v>0</v>
          </cell>
          <cell r="F120">
            <v>3</v>
          </cell>
          <cell r="G120">
            <v>3</v>
          </cell>
          <cell r="H120">
            <v>0</v>
          </cell>
          <cell r="I120">
            <v>0</v>
          </cell>
        </row>
        <row r="121">
          <cell r="C121">
            <v>7</v>
          </cell>
          <cell r="D121">
            <v>0</v>
          </cell>
          <cell r="E121">
            <v>0</v>
          </cell>
          <cell r="F121">
            <v>3</v>
          </cell>
          <cell r="G121">
            <v>6</v>
          </cell>
          <cell r="H121">
            <v>0</v>
          </cell>
          <cell r="I121">
            <v>0</v>
          </cell>
        </row>
        <row r="122">
          <cell r="C122">
            <v>8</v>
          </cell>
          <cell r="D122">
            <v>0</v>
          </cell>
          <cell r="E122">
            <v>0</v>
          </cell>
          <cell r="F122">
            <v>3</v>
          </cell>
          <cell r="G122">
            <v>6</v>
          </cell>
          <cell r="H122">
            <v>0</v>
          </cell>
          <cell r="I122">
            <v>0</v>
          </cell>
        </row>
        <row r="123">
          <cell r="C123" t="str">
            <v>星级</v>
          </cell>
          <cell r="D123" t="str">
            <v>绿</v>
          </cell>
          <cell r="E123" t="str">
            <v>蓝</v>
          </cell>
          <cell r="F123" t="str">
            <v>紫</v>
          </cell>
          <cell r="G123" t="str">
            <v>橙</v>
          </cell>
          <cell r="H123" t="str">
            <v>橙+</v>
          </cell>
          <cell r="I123" t="str">
            <v>红</v>
          </cell>
        </row>
        <row r="124"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</row>
        <row r="125">
          <cell r="C125">
            <v>1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</row>
        <row r="126">
          <cell r="C126">
            <v>2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</row>
        <row r="127">
          <cell r="C127">
            <v>3</v>
          </cell>
          <cell r="D127">
            <v>0</v>
          </cell>
          <cell r="E127">
            <v>0</v>
          </cell>
          <cell r="F127">
            <v>0</v>
          </cell>
          <cell r="G127">
            <v>3</v>
          </cell>
          <cell r="H127">
            <v>0</v>
          </cell>
          <cell r="I127">
            <v>0</v>
          </cell>
        </row>
        <row r="128">
          <cell r="C128">
            <v>4</v>
          </cell>
          <cell r="D128">
            <v>0</v>
          </cell>
          <cell r="E128">
            <v>0</v>
          </cell>
          <cell r="F128">
            <v>0</v>
          </cell>
          <cell r="G128">
            <v>3</v>
          </cell>
          <cell r="H128">
            <v>0</v>
          </cell>
          <cell r="I128">
            <v>0</v>
          </cell>
        </row>
        <row r="129">
          <cell r="C129">
            <v>5</v>
          </cell>
          <cell r="D129">
            <v>0</v>
          </cell>
          <cell r="E129">
            <v>0</v>
          </cell>
          <cell r="F129">
            <v>0</v>
          </cell>
          <cell r="G129">
            <v>6</v>
          </cell>
          <cell r="H129">
            <v>0</v>
          </cell>
          <cell r="I129">
            <v>0</v>
          </cell>
        </row>
        <row r="130">
          <cell r="C130">
            <v>6</v>
          </cell>
          <cell r="D130">
            <v>0</v>
          </cell>
          <cell r="E130">
            <v>0</v>
          </cell>
          <cell r="F130">
            <v>0</v>
          </cell>
          <cell r="G130">
            <v>6</v>
          </cell>
          <cell r="H130">
            <v>0</v>
          </cell>
          <cell r="I130">
            <v>0</v>
          </cell>
        </row>
        <row r="131">
          <cell r="C131">
            <v>7</v>
          </cell>
          <cell r="D131">
            <v>0</v>
          </cell>
          <cell r="E131">
            <v>0</v>
          </cell>
          <cell r="F131">
            <v>0</v>
          </cell>
          <cell r="G131">
            <v>9</v>
          </cell>
          <cell r="H131">
            <v>0</v>
          </cell>
          <cell r="I131">
            <v>0</v>
          </cell>
        </row>
        <row r="132">
          <cell r="C132">
            <v>8</v>
          </cell>
          <cell r="D132">
            <v>0</v>
          </cell>
          <cell r="E132">
            <v>0</v>
          </cell>
          <cell r="F132">
            <v>0</v>
          </cell>
          <cell r="G132">
            <v>9</v>
          </cell>
          <cell r="H132">
            <v>0</v>
          </cell>
          <cell r="I132">
            <v>0</v>
          </cell>
        </row>
        <row r="133">
          <cell r="C133" t="str">
            <v>星级</v>
          </cell>
          <cell r="D133" t="str">
            <v>绿</v>
          </cell>
          <cell r="E133" t="str">
            <v>蓝</v>
          </cell>
          <cell r="F133" t="str">
            <v>紫</v>
          </cell>
          <cell r="G133" t="str">
            <v>橙</v>
          </cell>
          <cell r="H133" t="str">
            <v>橙+</v>
          </cell>
          <cell r="I133" t="str">
            <v>红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</row>
        <row r="135">
          <cell r="C135">
            <v>1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</row>
        <row r="136">
          <cell r="C136">
            <v>2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</row>
        <row r="137">
          <cell r="C137">
            <v>3</v>
          </cell>
          <cell r="D137">
            <v>0</v>
          </cell>
          <cell r="E137">
            <v>0</v>
          </cell>
          <cell r="F137">
            <v>0</v>
          </cell>
          <cell r="G137">
            <v>5</v>
          </cell>
          <cell r="H137">
            <v>0</v>
          </cell>
          <cell r="I137">
            <v>0</v>
          </cell>
        </row>
        <row r="138">
          <cell r="C138">
            <v>4</v>
          </cell>
          <cell r="D138">
            <v>0</v>
          </cell>
          <cell r="E138">
            <v>0</v>
          </cell>
          <cell r="F138">
            <v>0</v>
          </cell>
          <cell r="G138">
            <v>5</v>
          </cell>
          <cell r="H138">
            <v>0</v>
          </cell>
          <cell r="I138">
            <v>0</v>
          </cell>
        </row>
        <row r="139">
          <cell r="C139">
            <v>5</v>
          </cell>
          <cell r="D139">
            <v>0</v>
          </cell>
          <cell r="E139">
            <v>0</v>
          </cell>
          <cell r="F139">
            <v>0</v>
          </cell>
          <cell r="G139">
            <v>15</v>
          </cell>
          <cell r="H139">
            <v>0</v>
          </cell>
          <cell r="I139">
            <v>0</v>
          </cell>
        </row>
        <row r="140">
          <cell r="C140">
            <v>6</v>
          </cell>
          <cell r="D140">
            <v>0</v>
          </cell>
          <cell r="E140">
            <v>0</v>
          </cell>
          <cell r="F140">
            <v>0</v>
          </cell>
          <cell r="G140">
            <v>15</v>
          </cell>
          <cell r="H140">
            <v>0</v>
          </cell>
          <cell r="I140">
            <v>0</v>
          </cell>
        </row>
        <row r="141">
          <cell r="C141">
            <v>7</v>
          </cell>
          <cell r="D141">
            <v>0</v>
          </cell>
          <cell r="E141">
            <v>0</v>
          </cell>
          <cell r="F141">
            <v>0</v>
          </cell>
          <cell r="G141">
            <v>35</v>
          </cell>
          <cell r="H141">
            <v>0</v>
          </cell>
          <cell r="I141">
            <v>0</v>
          </cell>
        </row>
        <row r="142">
          <cell r="C142">
            <v>8</v>
          </cell>
          <cell r="D142">
            <v>0</v>
          </cell>
          <cell r="E142">
            <v>0</v>
          </cell>
          <cell r="F142">
            <v>0</v>
          </cell>
          <cell r="G142">
            <v>35</v>
          </cell>
          <cell r="H142">
            <v>0</v>
          </cell>
          <cell r="I142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1"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3</v>
          </cell>
          <cell r="L11">
            <v>0.38264191752289722</v>
          </cell>
          <cell r="M11">
            <v>0</v>
          </cell>
          <cell r="N11">
            <v>0</v>
          </cell>
        </row>
        <row r="12">
          <cell r="G12">
            <v>6</v>
          </cell>
          <cell r="H12">
            <v>0</v>
          </cell>
          <cell r="I12">
            <v>0</v>
          </cell>
          <cell r="J12">
            <v>0</v>
          </cell>
          <cell r="K12">
            <v>3</v>
          </cell>
          <cell r="L12">
            <v>1.9658275683558069</v>
          </cell>
          <cell r="M12">
            <v>0</v>
          </cell>
          <cell r="N12">
            <v>0</v>
          </cell>
        </row>
        <row r="13">
          <cell r="G13">
            <v>6</v>
          </cell>
          <cell r="H13">
            <v>0</v>
          </cell>
          <cell r="I13">
            <v>0</v>
          </cell>
          <cell r="J13">
            <v>0</v>
          </cell>
          <cell r="K13">
            <v>3</v>
          </cell>
          <cell r="L13">
            <v>3.1149615275400024</v>
          </cell>
          <cell r="M13">
            <v>0</v>
          </cell>
          <cell r="N13">
            <v>0</v>
          </cell>
        </row>
        <row r="14">
          <cell r="G14">
            <v>6</v>
          </cell>
          <cell r="H14">
            <v>2</v>
          </cell>
          <cell r="I14">
            <v>0</v>
          </cell>
          <cell r="J14">
            <v>0</v>
          </cell>
          <cell r="K14">
            <v>3</v>
          </cell>
          <cell r="L14">
            <v>4.1675282297875524</v>
          </cell>
          <cell r="M14">
            <v>0</v>
          </cell>
          <cell r="N14">
            <v>0</v>
          </cell>
        </row>
        <row r="15">
          <cell r="G15">
            <v>6</v>
          </cell>
          <cell r="H15">
            <v>4</v>
          </cell>
          <cell r="I15">
            <v>0</v>
          </cell>
          <cell r="J15">
            <v>0</v>
          </cell>
          <cell r="K15">
            <v>3</v>
          </cell>
          <cell r="L15">
            <v>5.0105249261329243</v>
          </cell>
          <cell r="M15">
            <v>6.0014233230571756E-2</v>
          </cell>
          <cell r="N15">
            <v>0</v>
          </cell>
        </row>
        <row r="16">
          <cell r="G16">
            <v>6</v>
          </cell>
          <cell r="H16">
            <v>6</v>
          </cell>
          <cell r="I16">
            <v>0</v>
          </cell>
          <cell r="J16">
            <v>0</v>
          </cell>
          <cell r="K16">
            <v>3</v>
          </cell>
          <cell r="L16">
            <v>5.844459892453143</v>
          </cell>
          <cell r="M16">
            <v>0.31163226502501917</v>
          </cell>
          <cell r="N16">
            <v>0</v>
          </cell>
        </row>
        <row r="17">
          <cell r="G17">
            <v>6</v>
          </cell>
          <cell r="H17">
            <v>8</v>
          </cell>
          <cell r="I17">
            <v>0</v>
          </cell>
          <cell r="J17">
            <v>0</v>
          </cell>
          <cell r="K17">
            <v>3</v>
          </cell>
          <cell r="L17">
            <v>6</v>
          </cell>
          <cell r="M17">
            <v>0.77611254357931014</v>
          </cell>
          <cell r="N17">
            <v>0</v>
          </cell>
        </row>
        <row r="18">
          <cell r="G18">
            <v>6</v>
          </cell>
          <cell r="H18">
            <v>10</v>
          </cell>
          <cell r="I18">
            <v>0</v>
          </cell>
          <cell r="J18">
            <v>0</v>
          </cell>
          <cell r="K18">
            <v>3</v>
          </cell>
          <cell r="L18">
            <v>6</v>
          </cell>
          <cell r="M18">
            <v>1.22119383781311</v>
          </cell>
          <cell r="N18">
            <v>0</v>
          </cell>
        </row>
        <row r="19">
          <cell r="G19">
            <v>6</v>
          </cell>
          <cell r="H19">
            <v>13</v>
          </cell>
          <cell r="I19">
            <v>1</v>
          </cell>
          <cell r="J19">
            <v>0</v>
          </cell>
          <cell r="K19">
            <v>3</v>
          </cell>
          <cell r="L19">
            <v>6</v>
          </cell>
          <cell r="M19">
            <v>1.9349759911879749</v>
          </cell>
          <cell r="N19">
            <v>0</v>
          </cell>
        </row>
        <row r="20">
          <cell r="G20">
            <v>5</v>
          </cell>
          <cell r="H20">
            <v>13</v>
          </cell>
          <cell r="I20">
            <v>3</v>
          </cell>
          <cell r="J20">
            <v>0</v>
          </cell>
          <cell r="K20">
            <v>3</v>
          </cell>
          <cell r="L20">
            <v>6</v>
          </cell>
          <cell r="M20">
            <v>2.6067935709357495</v>
          </cell>
          <cell r="N20">
            <v>0.39667743813264456</v>
          </cell>
        </row>
        <row r="21">
          <cell r="G21">
            <v>2</v>
          </cell>
          <cell r="H21">
            <v>14</v>
          </cell>
          <cell r="I21">
            <v>5</v>
          </cell>
          <cell r="J21">
            <v>0</v>
          </cell>
          <cell r="K21">
            <v>3</v>
          </cell>
          <cell r="L21">
            <v>6</v>
          </cell>
          <cell r="M21">
            <v>3.0734059016701503</v>
          </cell>
          <cell r="N21">
            <v>0.54753846594040123</v>
          </cell>
        </row>
        <row r="22">
          <cell r="G22">
            <v>0</v>
          </cell>
          <cell r="H22">
            <v>15</v>
          </cell>
          <cell r="I22">
            <v>6</v>
          </cell>
          <cell r="J22">
            <v>0</v>
          </cell>
          <cell r="K22">
            <v>3</v>
          </cell>
          <cell r="L22">
            <v>6</v>
          </cell>
          <cell r="M22">
            <v>3.3401358523199178</v>
          </cell>
          <cell r="N22">
            <v>0.62931064115170154</v>
          </cell>
        </row>
        <row r="23">
          <cell r="G23">
            <v>0</v>
          </cell>
          <cell r="H23">
            <v>16</v>
          </cell>
          <cell r="I23">
            <v>7</v>
          </cell>
          <cell r="J23">
            <v>0</v>
          </cell>
          <cell r="K23">
            <v>3</v>
          </cell>
          <cell r="L23">
            <v>6</v>
          </cell>
          <cell r="M23">
            <v>3.602282356190682</v>
          </cell>
          <cell r="N23">
            <v>0.82578907709734017</v>
          </cell>
        </row>
        <row r="24">
          <cell r="G24">
            <v>0</v>
          </cell>
          <cell r="H24">
            <v>16</v>
          </cell>
          <cell r="I24">
            <v>8</v>
          </cell>
          <cell r="J24">
            <v>0</v>
          </cell>
          <cell r="K24">
            <v>3</v>
          </cell>
          <cell r="L24">
            <v>6</v>
          </cell>
          <cell r="M24">
            <v>3.9215637362720326</v>
          </cell>
          <cell r="N24">
            <v>1.0275986097422289</v>
          </cell>
        </row>
        <row r="25">
          <cell r="G25">
            <v>0</v>
          </cell>
          <cell r="H25">
            <v>14</v>
          </cell>
          <cell r="I25">
            <v>10</v>
          </cell>
          <cell r="J25">
            <v>0</v>
          </cell>
          <cell r="K25">
            <v>3</v>
          </cell>
          <cell r="L25">
            <v>6</v>
          </cell>
          <cell r="M25">
            <v>4.2326242533687317</v>
          </cell>
          <cell r="N25">
            <v>1.3632886477348949</v>
          </cell>
        </row>
        <row r="26">
          <cell r="G26">
            <v>0</v>
          </cell>
          <cell r="H26">
            <v>12</v>
          </cell>
          <cell r="I26">
            <v>12</v>
          </cell>
          <cell r="J26">
            <v>0</v>
          </cell>
          <cell r="K26">
            <v>3</v>
          </cell>
          <cell r="L26">
            <v>6</v>
          </cell>
          <cell r="M26">
            <v>4.5465015762953858</v>
          </cell>
          <cell r="N26">
            <v>1.7052382542385671</v>
          </cell>
        </row>
        <row r="27">
          <cell r="G27">
            <v>0</v>
          </cell>
          <cell r="H27">
            <v>10</v>
          </cell>
          <cell r="I27">
            <v>14</v>
          </cell>
          <cell r="J27">
            <v>0</v>
          </cell>
          <cell r="K27">
            <v>3</v>
          </cell>
          <cell r="L27">
            <v>6</v>
          </cell>
          <cell r="M27">
            <v>4.8536397384614638</v>
          </cell>
          <cell r="N27">
            <v>2.0322119479409646</v>
          </cell>
        </row>
        <row r="28">
          <cell r="G28">
            <v>0</v>
          </cell>
          <cell r="H28">
            <v>8</v>
          </cell>
          <cell r="I28">
            <v>16</v>
          </cell>
          <cell r="J28">
            <v>0</v>
          </cell>
          <cell r="K28">
            <v>3</v>
          </cell>
          <cell r="L28">
            <v>6</v>
          </cell>
          <cell r="M28">
            <v>5.198717514894982</v>
          </cell>
          <cell r="N28">
            <v>2.4865153565654303</v>
          </cell>
        </row>
        <row r="29">
          <cell r="G29">
            <v>0</v>
          </cell>
          <cell r="H29">
            <v>6</v>
          </cell>
          <cell r="I29">
            <v>18</v>
          </cell>
          <cell r="J29">
            <v>0</v>
          </cell>
          <cell r="K29">
            <v>3</v>
          </cell>
          <cell r="L29">
            <v>6</v>
          </cell>
          <cell r="M29">
            <v>5.7707687473400417</v>
          </cell>
          <cell r="N29">
            <v>3.1633430656911465</v>
          </cell>
        </row>
        <row r="30">
          <cell r="G30">
            <v>0</v>
          </cell>
          <cell r="H30">
            <v>4</v>
          </cell>
          <cell r="I30">
            <v>20</v>
          </cell>
          <cell r="J30">
            <v>0</v>
          </cell>
          <cell r="K30">
            <v>3</v>
          </cell>
          <cell r="L30">
            <v>6</v>
          </cell>
          <cell r="M30">
            <v>6.3410381954864743</v>
          </cell>
          <cell r="N30">
            <v>3.5804588126018682</v>
          </cell>
        </row>
        <row r="31">
          <cell r="G31">
            <v>0</v>
          </cell>
          <cell r="H31">
            <v>2</v>
          </cell>
          <cell r="I31">
            <v>22</v>
          </cell>
          <cell r="J31">
            <v>0</v>
          </cell>
          <cell r="K31">
            <v>3</v>
          </cell>
          <cell r="L31">
            <v>6</v>
          </cell>
          <cell r="M31">
            <v>7.1223287433839904</v>
          </cell>
          <cell r="N31">
            <v>4.1505701387554996</v>
          </cell>
        </row>
        <row r="32">
          <cell r="G32">
            <v>0</v>
          </cell>
          <cell r="H32">
            <v>0</v>
          </cell>
          <cell r="I32">
            <v>24</v>
          </cell>
          <cell r="J32">
            <v>0</v>
          </cell>
          <cell r="K32">
            <v>3</v>
          </cell>
          <cell r="L32">
            <v>6</v>
          </cell>
          <cell r="M32">
            <v>7.9167585556933417</v>
          </cell>
          <cell r="N32">
            <v>4.8493030549985026</v>
          </cell>
        </row>
        <row r="33">
          <cell r="G33">
            <v>0</v>
          </cell>
          <cell r="H33">
            <v>0</v>
          </cell>
          <cell r="I33">
            <v>24</v>
          </cell>
          <cell r="J33">
            <v>0</v>
          </cell>
          <cell r="K33">
            <v>3</v>
          </cell>
          <cell r="L33">
            <v>6</v>
          </cell>
          <cell r="M33">
            <v>8</v>
          </cell>
          <cell r="N33">
            <v>5.468631993786353</v>
          </cell>
        </row>
        <row r="34">
          <cell r="G34">
            <v>0</v>
          </cell>
          <cell r="H34">
            <v>0</v>
          </cell>
          <cell r="I34">
            <v>24</v>
          </cell>
          <cell r="J34">
            <v>0</v>
          </cell>
          <cell r="K34">
            <v>3</v>
          </cell>
          <cell r="L34">
            <v>6</v>
          </cell>
          <cell r="M34">
            <v>8</v>
          </cell>
          <cell r="N34">
            <v>6.0952249373760301</v>
          </cell>
        </row>
        <row r="35">
          <cell r="G35">
            <v>0</v>
          </cell>
          <cell r="H35">
            <v>0</v>
          </cell>
          <cell r="I35">
            <v>24</v>
          </cell>
          <cell r="J35">
            <v>0</v>
          </cell>
          <cell r="K35">
            <v>3</v>
          </cell>
          <cell r="L35">
            <v>6</v>
          </cell>
          <cell r="M35">
            <v>8</v>
          </cell>
          <cell r="N35">
            <v>6.8805377800516423</v>
          </cell>
        </row>
        <row r="36">
          <cell r="G36">
            <v>0</v>
          </cell>
          <cell r="H36">
            <v>0</v>
          </cell>
          <cell r="I36">
            <v>24</v>
          </cell>
          <cell r="J36">
            <v>0</v>
          </cell>
          <cell r="K36">
            <v>3</v>
          </cell>
          <cell r="L36">
            <v>6</v>
          </cell>
          <cell r="M36">
            <v>8</v>
          </cell>
          <cell r="N36">
            <v>7.6204341742698301</v>
          </cell>
        </row>
        <row r="37">
          <cell r="G37">
            <v>0</v>
          </cell>
          <cell r="H37">
            <v>0</v>
          </cell>
          <cell r="I37">
            <v>24</v>
          </cell>
          <cell r="J37">
            <v>0</v>
          </cell>
          <cell r="K37">
            <v>3</v>
          </cell>
          <cell r="L37">
            <v>6</v>
          </cell>
          <cell r="M37">
            <v>8</v>
          </cell>
          <cell r="N37">
            <v>8</v>
          </cell>
        </row>
        <row r="38">
          <cell r="G38">
            <v>0</v>
          </cell>
          <cell r="H38">
            <v>0</v>
          </cell>
          <cell r="I38">
            <v>24</v>
          </cell>
          <cell r="J38">
            <v>0</v>
          </cell>
          <cell r="K38">
            <v>3</v>
          </cell>
          <cell r="L38">
            <v>6</v>
          </cell>
          <cell r="M38">
            <v>8</v>
          </cell>
          <cell r="N38">
            <v>8</v>
          </cell>
        </row>
        <row r="39">
          <cell r="G39">
            <v>0</v>
          </cell>
          <cell r="H39">
            <v>0</v>
          </cell>
          <cell r="I39">
            <v>24</v>
          </cell>
          <cell r="J39">
            <v>0</v>
          </cell>
          <cell r="K39">
            <v>3</v>
          </cell>
          <cell r="L39">
            <v>6</v>
          </cell>
          <cell r="M39">
            <v>8</v>
          </cell>
          <cell r="N39">
            <v>8</v>
          </cell>
        </row>
        <row r="40">
          <cell r="G40">
            <v>0</v>
          </cell>
          <cell r="H40">
            <v>0</v>
          </cell>
          <cell r="I40">
            <v>24</v>
          </cell>
          <cell r="J40">
            <v>0</v>
          </cell>
          <cell r="K40">
            <v>3</v>
          </cell>
          <cell r="L40">
            <v>6</v>
          </cell>
          <cell r="M40">
            <v>8</v>
          </cell>
          <cell r="N40">
            <v>8</v>
          </cell>
        </row>
        <row r="41">
          <cell r="G41">
            <v>0</v>
          </cell>
          <cell r="H41">
            <v>0</v>
          </cell>
          <cell r="I41">
            <v>24</v>
          </cell>
          <cell r="J41">
            <v>0</v>
          </cell>
          <cell r="K41">
            <v>3</v>
          </cell>
          <cell r="L41">
            <v>6</v>
          </cell>
          <cell r="M41">
            <v>8</v>
          </cell>
          <cell r="N41">
            <v>8</v>
          </cell>
        </row>
        <row r="42">
          <cell r="G42">
            <v>0</v>
          </cell>
          <cell r="H42">
            <v>0</v>
          </cell>
          <cell r="I42">
            <v>24</v>
          </cell>
          <cell r="J42">
            <v>0</v>
          </cell>
          <cell r="K42">
            <v>3</v>
          </cell>
          <cell r="L42">
            <v>6</v>
          </cell>
          <cell r="M42">
            <v>8</v>
          </cell>
          <cell r="N42">
            <v>8</v>
          </cell>
        </row>
        <row r="43">
          <cell r="G43">
            <v>0</v>
          </cell>
          <cell r="H43">
            <v>0</v>
          </cell>
          <cell r="I43">
            <v>24</v>
          </cell>
          <cell r="J43">
            <v>0</v>
          </cell>
          <cell r="K43">
            <v>3</v>
          </cell>
          <cell r="L43">
            <v>6</v>
          </cell>
          <cell r="M43">
            <v>8</v>
          </cell>
          <cell r="N43">
            <v>8</v>
          </cell>
        </row>
        <row r="44">
          <cell r="G44">
            <v>0</v>
          </cell>
          <cell r="H44">
            <v>0</v>
          </cell>
          <cell r="I44">
            <v>24</v>
          </cell>
          <cell r="J44">
            <v>0</v>
          </cell>
          <cell r="K44">
            <v>3</v>
          </cell>
          <cell r="L44">
            <v>6</v>
          </cell>
          <cell r="M44">
            <v>8</v>
          </cell>
          <cell r="N44">
            <v>8</v>
          </cell>
        </row>
        <row r="45">
          <cell r="G45">
            <v>0</v>
          </cell>
          <cell r="H45">
            <v>0</v>
          </cell>
          <cell r="I45">
            <v>24</v>
          </cell>
          <cell r="J45">
            <v>0</v>
          </cell>
          <cell r="K45">
            <v>3</v>
          </cell>
          <cell r="L45">
            <v>6</v>
          </cell>
          <cell r="M45">
            <v>8</v>
          </cell>
          <cell r="N45">
            <v>8</v>
          </cell>
        </row>
        <row r="46">
          <cell r="G46">
            <v>0</v>
          </cell>
          <cell r="H46">
            <v>0</v>
          </cell>
          <cell r="I46">
            <v>24</v>
          </cell>
          <cell r="J46">
            <v>0</v>
          </cell>
          <cell r="K46">
            <v>3</v>
          </cell>
          <cell r="L46">
            <v>6</v>
          </cell>
          <cell r="M46">
            <v>8</v>
          </cell>
          <cell r="N46">
            <v>8</v>
          </cell>
        </row>
        <row r="47">
          <cell r="G47">
            <v>0</v>
          </cell>
          <cell r="H47">
            <v>0</v>
          </cell>
          <cell r="I47">
            <v>24</v>
          </cell>
          <cell r="J47">
            <v>0</v>
          </cell>
          <cell r="K47">
            <v>3</v>
          </cell>
          <cell r="L47">
            <v>6</v>
          </cell>
          <cell r="M47">
            <v>8</v>
          </cell>
          <cell r="N47">
            <v>8</v>
          </cell>
        </row>
        <row r="48">
          <cell r="G48">
            <v>0</v>
          </cell>
          <cell r="H48">
            <v>0</v>
          </cell>
          <cell r="I48">
            <v>24</v>
          </cell>
          <cell r="J48">
            <v>0</v>
          </cell>
          <cell r="K48">
            <v>3</v>
          </cell>
          <cell r="L48">
            <v>6</v>
          </cell>
          <cell r="M48">
            <v>8</v>
          </cell>
          <cell r="N48">
            <v>8</v>
          </cell>
        </row>
        <row r="49">
          <cell r="G49">
            <v>0</v>
          </cell>
          <cell r="H49">
            <v>0</v>
          </cell>
          <cell r="I49">
            <v>24</v>
          </cell>
          <cell r="J49">
            <v>0</v>
          </cell>
          <cell r="K49">
            <v>3</v>
          </cell>
          <cell r="L49">
            <v>6</v>
          </cell>
          <cell r="M49">
            <v>8</v>
          </cell>
          <cell r="N49">
            <v>8</v>
          </cell>
        </row>
        <row r="56"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3</v>
          </cell>
          <cell r="L56">
            <v>0.54012019288390922</v>
          </cell>
          <cell r="M56">
            <v>0</v>
          </cell>
          <cell r="N56">
            <v>0</v>
          </cell>
        </row>
        <row r="57">
          <cell r="G57">
            <v>6</v>
          </cell>
          <cell r="H57">
            <v>0</v>
          </cell>
          <cell r="I57">
            <v>0</v>
          </cell>
          <cell r="J57">
            <v>0</v>
          </cell>
          <cell r="K57">
            <v>3</v>
          </cell>
          <cell r="L57">
            <v>2.1687703458217906</v>
          </cell>
          <cell r="M57">
            <v>0</v>
          </cell>
          <cell r="N57">
            <v>0</v>
          </cell>
        </row>
        <row r="58">
          <cell r="G58">
            <v>6</v>
          </cell>
          <cell r="H58">
            <v>0</v>
          </cell>
          <cell r="I58">
            <v>0</v>
          </cell>
          <cell r="J58">
            <v>0</v>
          </cell>
          <cell r="K58">
            <v>3</v>
          </cell>
          <cell r="L58">
            <v>3.3786509208296396</v>
          </cell>
          <cell r="M58">
            <v>0</v>
          </cell>
          <cell r="N58">
            <v>0</v>
          </cell>
        </row>
        <row r="59">
          <cell r="G59">
            <v>6</v>
          </cell>
          <cell r="H59">
            <v>2</v>
          </cell>
          <cell r="I59">
            <v>0</v>
          </cell>
          <cell r="J59">
            <v>0</v>
          </cell>
          <cell r="K59">
            <v>3</v>
          </cell>
          <cell r="L59">
            <v>4.4965141005010834</v>
          </cell>
          <cell r="M59">
            <v>0</v>
          </cell>
          <cell r="N59">
            <v>0</v>
          </cell>
        </row>
        <row r="60">
          <cell r="G60">
            <v>6</v>
          </cell>
          <cell r="H60">
            <v>4</v>
          </cell>
          <cell r="I60">
            <v>0</v>
          </cell>
          <cell r="J60">
            <v>0</v>
          </cell>
          <cell r="K60">
            <v>3</v>
          </cell>
          <cell r="L60">
            <v>5.4230816292477249</v>
          </cell>
          <cell r="M60">
            <v>0.23229478243937529</v>
          </cell>
          <cell r="N60">
            <v>0</v>
          </cell>
        </row>
        <row r="61">
          <cell r="G61">
            <v>6</v>
          </cell>
          <cell r="H61">
            <v>6</v>
          </cell>
          <cell r="I61">
            <v>0</v>
          </cell>
          <cell r="J61">
            <v>0</v>
          </cell>
          <cell r="K61">
            <v>3</v>
          </cell>
          <cell r="L61">
            <v>6</v>
          </cell>
          <cell r="M61">
            <v>0.5155370005844655</v>
          </cell>
          <cell r="N61">
            <v>0</v>
          </cell>
        </row>
        <row r="62">
          <cell r="G62">
            <v>6</v>
          </cell>
          <cell r="H62">
            <v>8</v>
          </cell>
          <cell r="I62">
            <v>0</v>
          </cell>
          <cell r="J62">
            <v>0</v>
          </cell>
          <cell r="K62">
            <v>3</v>
          </cell>
          <cell r="L62">
            <v>6</v>
          </cell>
          <cell r="M62">
            <v>1.031291182502831</v>
          </cell>
          <cell r="N62">
            <v>0</v>
          </cell>
        </row>
        <row r="63">
          <cell r="G63">
            <v>2</v>
          </cell>
          <cell r="H63">
            <v>10</v>
          </cell>
          <cell r="I63">
            <v>0</v>
          </cell>
          <cell r="J63">
            <v>0</v>
          </cell>
          <cell r="K63">
            <v>3</v>
          </cell>
          <cell r="L63">
            <v>6</v>
          </cell>
          <cell r="M63">
            <v>1.5179751030665232</v>
          </cell>
          <cell r="N63">
            <v>0</v>
          </cell>
        </row>
        <row r="64">
          <cell r="G64">
            <v>0</v>
          </cell>
          <cell r="H64">
            <v>12</v>
          </cell>
          <cell r="I64">
            <v>4</v>
          </cell>
          <cell r="J64">
            <v>0</v>
          </cell>
          <cell r="K64">
            <v>3</v>
          </cell>
          <cell r="L64">
            <v>6</v>
          </cell>
          <cell r="M64">
            <v>2.3049571647612241</v>
          </cell>
          <cell r="N64">
            <v>0</v>
          </cell>
        </row>
        <row r="65">
          <cell r="G65">
            <v>0</v>
          </cell>
          <cell r="H65">
            <v>14</v>
          </cell>
          <cell r="I65">
            <v>6</v>
          </cell>
          <cell r="J65">
            <v>0</v>
          </cell>
          <cell r="K65">
            <v>3</v>
          </cell>
          <cell r="L65">
            <v>6</v>
          </cell>
          <cell r="M65">
            <v>3.0094437122595719</v>
          </cell>
          <cell r="N65">
            <v>0.64462271402140225</v>
          </cell>
        </row>
        <row r="66">
          <cell r="G66">
            <v>0</v>
          </cell>
          <cell r="H66">
            <v>16</v>
          </cell>
          <cell r="I66">
            <v>6</v>
          </cell>
          <cell r="J66">
            <v>0</v>
          </cell>
          <cell r="K66">
            <v>3</v>
          </cell>
          <cell r="L66">
            <v>6</v>
          </cell>
          <cell r="M66">
            <v>3.3323209952844213</v>
          </cell>
          <cell r="N66">
            <v>0.96972464559888372</v>
          </cell>
        </row>
        <row r="67">
          <cell r="G67">
            <v>0</v>
          </cell>
          <cell r="H67">
            <v>12</v>
          </cell>
          <cell r="I67">
            <v>12</v>
          </cell>
          <cell r="J67">
            <v>0</v>
          </cell>
          <cell r="K67">
            <v>3</v>
          </cell>
          <cell r="L67">
            <v>6</v>
          </cell>
          <cell r="M67">
            <v>3.6205192065184972</v>
          </cell>
          <cell r="N67">
            <v>1.0723082797699766</v>
          </cell>
        </row>
        <row r="68">
          <cell r="G68">
            <v>0</v>
          </cell>
          <cell r="H68">
            <v>12</v>
          </cell>
          <cell r="I68">
            <v>12</v>
          </cell>
          <cell r="J68">
            <v>0</v>
          </cell>
          <cell r="K68">
            <v>3</v>
          </cell>
          <cell r="L68">
            <v>6</v>
          </cell>
          <cell r="M68">
            <v>3.902872478182962</v>
          </cell>
          <cell r="N68">
            <v>1.3211366704926193</v>
          </cell>
        </row>
        <row r="69">
          <cell r="G69">
            <v>0</v>
          </cell>
          <cell r="H69">
            <v>10</v>
          </cell>
          <cell r="I69">
            <v>14</v>
          </cell>
          <cell r="J69">
            <v>0</v>
          </cell>
          <cell r="K69">
            <v>3</v>
          </cell>
          <cell r="L69">
            <v>6</v>
          </cell>
          <cell r="M69">
            <v>4.2640525945175103</v>
          </cell>
          <cell r="N69">
            <v>1.6281088731394537</v>
          </cell>
        </row>
        <row r="70">
          <cell r="G70">
            <v>0</v>
          </cell>
          <cell r="H70">
            <v>8</v>
          </cell>
          <cell r="I70">
            <v>16</v>
          </cell>
          <cell r="J70">
            <v>0</v>
          </cell>
          <cell r="K70">
            <v>3</v>
          </cell>
          <cell r="L70">
            <v>6</v>
          </cell>
          <cell r="M70">
            <v>4.5983918360402765</v>
          </cell>
          <cell r="N70">
            <v>2.0688627431900444</v>
          </cell>
        </row>
        <row r="71">
          <cell r="G71">
            <v>0</v>
          </cell>
          <cell r="H71">
            <v>6</v>
          </cell>
          <cell r="I71">
            <v>18</v>
          </cell>
          <cell r="J71">
            <v>0</v>
          </cell>
          <cell r="K71">
            <v>3</v>
          </cell>
          <cell r="L71">
            <v>6</v>
          </cell>
          <cell r="M71">
            <v>4.9357931397467496</v>
          </cell>
          <cell r="N71">
            <v>2.5164211958710969</v>
          </cell>
        </row>
        <row r="72">
          <cell r="G72">
            <v>0</v>
          </cell>
          <cell r="H72">
            <v>4</v>
          </cell>
          <cell r="I72">
            <v>20</v>
          </cell>
          <cell r="J72">
            <v>0</v>
          </cell>
          <cell r="K72">
            <v>3</v>
          </cell>
          <cell r="L72">
            <v>6</v>
          </cell>
          <cell r="M72">
            <v>5.1763264958218302</v>
          </cell>
          <cell r="N72">
            <v>2.944635871395533</v>
          </cell>
        </row>
        <row r="73">
          <cell r="G73">
            <v>0</v>
          </cell>
          <cell r="H73">
            <v>2</v>
          </cell>
          <cell r="I73">
            <v>22</v>
          </cell>
          <cell r="J73">
            <v>0</v>
          </cell>
          <cell r="K73">
            <v>3</v>
          </cell>
          <cell r="L73">
            <v>6</v>
          </cell>
          <cell r="M73">
            <v>5.5042373904486972</v>
          </cell>
          <cell r="N73">
            <v>3.2921694267425439</v>
          </cell>
        </row>
        <row r="74">
          <cell r="G74">
            <v>0</v>
          </cell>
          <cell r="H74">
            <v>0</v>
          </cell>
          <cell r="I74">
            <v>24</v>
          </cell>
          <cell r="J74">
            <v>0</v>
          </cell>
          <cell r="K74">
            <v>3</v>
          </cell>
          <cell r="L74">
            <v>6</v>
          </cell>
          <cell r="M74">
            <v>6.1219693419398071</v>
          </cell>
          <cell r="N74">
            <v>3.8683893458943941</v>
          </cell>
        </row>
        <row r="75">
          <cell r="G75">
            <v>0</v>
          </cell>
          <cell r="H75">
            <v>0</v>
          </cell>
          <cell r="I75">
            <v>24</v>
          </cell>
          <cell r="J75">
            <v>0</v>
          </cell>
          <cell r="K75">
            <v>3</v>
          </cell>
          <cell r="L75">
            <v>6</v>
          </cell>
          <cell r="M75">
            <v>6.7308078053264611</v>
          </cell>
          <cell r="N75">
            <v>4.4297867848721495</v>
          </cell>
        </row>
        <row r="76">
          <cell r="G76">
            <v>0</v>
          </cell>
          <cell r="H76">
            <v>0</v>
          </cell>
          <cell r="I76">
            <v>24</v>
          </cell>
          <cell r="J76">
            <v>0</v>
          </cell>
          <cell r="K76">
            <v>3</v>
          </cell>
          <cell r="L76">
            <v>6</v>
          </cell>
          <cell r="M76">
            <v>7.4673822892815709</v>
          </cell>
          <cell r="N76">
            <v>5.1580451681173232</v>
          </cell>
        </row>
        <row r="77">
          <cell r="G77">
            <v>0</v>
          </cell>
          <cell r="H77">
            <v>0</v>
          </cell>
          <cell r="I77">
            <v>24</v>
          </cell>
          <cell r="J77">
            <v>0</v>
          </cell>
          <cell r="K77">
            <v>3</v>
          </cell>
          <cell r="L77">
            <v>6</v>
          </cell>
          <cell r="M77">
            <v>8</v>
          </cell>
          <cell r="N77">
            <v>5.8068072442036263</v>
          </cell>
        </row>
        <row r="78">
          <cell r="G78">
            <v>0</v>
          </cell>
          <cell r="H78">
            <v>0</v>
          </cell>
          <cell r="I78">
            <v>24</v>
          </cell>
          <cell r="J78">
            <v>0</v>
          </cell>
          <cell r="K78">
            <v>3</v>
          </cell>
          <cell r="L78">
            <v>6</v>
          </cell>
          <cell r="M78">
            <v>8</v>
          </cell>
          <cell r="N78">
            <v>6.5919083163317866</v>
          </cell>
        </row>
        <row r="79">
          <cell r="G79">
            <v>0</v>
          </cell>
          <cell r="H79">
            <v>0</v>
          </cell>
          <cell r="I79">
            <v>24</v>
          </cell>
          <cell r="J79">
            <v>0</v>
          </cell>
          <cell r="K79">
            <v>3</v>
          </cell>
          <cell r="L79">
            <v>6</v>
          </cell>
          <cell r="M79">
            <v>8</v>
          </cell>
          <cell r="N79">
            <v>7.3742161095566559</v>
          </cell>
        </row>
        <row r="80">
          <cell r="G80">
            <v>0</v>
          </cell>
          <cell r="H80">
            <v>0</v>
          </cell>
          <cell r="I80">
            <v>24</v>
          </cell>
          <cell r="J80">
            <v>0</v>
          </cell>
          <cell r="K80">
            <v>3</v>
          </cell>
          <cell r="L80">
            <v>6</v>
          </cell>
          <cell r="M80">
            <v>8</v>
          </cell>
          <cell r="N80">
            <v>8</v>
          </cell>
        </row>
        <row r="81">
          <cell r="G81">
            <v>0</v>
          </cell>
          <cell r="H81">
            <v>0</v>
          </cell>
          <cell r="I81">
            <v>24</v>
          </cell>
          <cell r="J81">
            <v>0</v>
          </cell>
          <cell r="K81">
            <v>3</v>
          </cell>
          <cell r="L81">
            <v>6</v>
          </cell>
          <cell r="M81">
            <v>8</v>
          </cell>
          <cell r="N81">
            <v>8</v>
          </cell>
        </row>
        <row r="82">
          <cell r="G82">
            <v>0</v>
          </cell>
          <cell r="H82">
            <v>0</v>
          </cell>
          <cell r="I82">
            <v>24</v>
          </cell>
          <cell r="J82">
            <v>0</v>
          </cell>
          <cell r="K82">
            <v>3</v>
          </cell>
          <cell r="L82">
            <v>6</v>
          </cell>
          <cell r="M82">
            <v>8</v>
          </cell>
          <cell r="N82">
            <v>8</v>
          </cell>
        </row>
        <row r="83">
          <cell r="G83">
            <v>0</v>
          </cell>
          <cell r="H83">
            <v>0</v>
          </cell>
          <cell r="I83">
            <v>24</v>
          </cell>
          <cell r="J83">
            <v>0</v>
          </cell>
          <cell r="K83">
            <v>3</v>
          </cell>
          <cell r="L83">
            <v>6</v>
          </cell>
          <cell r="M83">
            <v>8</v>
          </cell>
          <cell r="N83">
            <v>8</v>
          </cell>
        </row>
        <row r="84">
          <cell r="G84">
            <v>0</v>
          </cell>
          <cell r="H84">
            <v>0</v>
          </cell>
          <cell r="I84">
            <v>24</v>
          </cell>
          <cell r="J84">
            <v>0</v>
          </cell>
          <cell r="K84">
            <v>3</v>
          </cell>
          <cell r="L84">
            <v>6</v>
          </cell>
          <cell r="M84">
            <v>8</v>
          </cell>
          <cell r="N84">
            <v>8</v>
          </cell>
        </row>
        <row r="85">
          <cell r="G85">
            <v>0</v>
          </cell>
          <cell r="H85">
            <v>0</v>
          </cell>
          <cell r="I85">
            <v>24</v>
          </cell>
          <cell r="J85">
            <v>0</v>
          </cell>
          <cell r="K85">
            <v>3</v>
          </cell>
          <cell r="L85">
            <v>6</v>
          </cell>
          <cell r="M85">
            <v>8</v>
          </cell>
          <cell r="N85">
            <v>8</v>
          </cell>
        </row>
        <row r="86">
          <cell r="G86">
            <v>0</v>
          </cell>
          <cell r="H86">
            <v>0</v>
          </cell>
          <cell r="I86">
            <v>24</v>
          </cell>
          <cell r="J86">
            <v>0</v>
          </cell>
          <cell r="K86">
            <v>3</v>
          </cell>
          <cell r="L86">
            <v>6</v>
          </cell>
          <cell r="M86">
            <v>8</v>
          </cell>
          <cell r="N86">
            <v>8</v>
          </cell>
        </row>
        <row r="87">
          <cell r="G87">
            <v>0</v>
          </cell>
          <cell r="H87">
            <v>0</v>
          </cell>
          <cell r="I87">
            <v>24</v>
          </cell>
          <cell r="J87">
            <v>0</v>
          </cell>
          <cell r="K87">
            <v>3</v>
          </cell>
          <cell r="L87">
            <v>6</v>
          </cell>
          <cell r="M87">
            <v>8</v>
          </cell>
          <cell r="N87">
            <v>8</v>
          </cell>
        </row>
        <row r="88">
          <cell r="G88">
            <v>0</v>
          </cell>
          <cell r="H88">
            <v>0</v>
          </cell>
          <cell r="I88">
            <v>24</v>
          </cell>
          <cell r="J88">
            <v>0</v>
          </cell>
          <cell r="K88">
            <v>3</v>
          </cell>
          <cell r="L88">
            <v>6</v>
          </cell>
          <cell r="M88">
            <v>8</v>
          </cell>
          <cell r="N88">
            <v>8</v>
          </cell>
        </row>
        <row r="89">
          <cell r="G89">
            <v>0</v>
          </cell>
          <cell r="H89">
            <v>0</v>
          </cell>
          <cell r="I89">
            <v>24</v>
          </cell>
          <cell r="J89">
            <v>0</v>
          </cell>
          <cell r="K89">
            <v>3</v>
          </cell>
          <cell r="L89">
            <v>6</v>
          </cell>
          <cell r="M89">
            <v>8</v>
          </cell>
          <cell r="N89">
            <v>8</v>
          </cell>
        </row>
        <row r="90">
          <cell r="G90">
            <v>0</v>
          </cell>
          <cell r="H90">
            <v>0</v>
          </cell>
          <cell r="I90">
            <v>24</v>
          </cell>
          <cell r="J90">
            <v>0</v>
          </cell>
          <cell r="K90">
            <v>3</v>
          </cell>
          <cell r="L90">
            <v>6</v>
          </cell>
          <cell r="M90">
            <v>8</v>
          </cell>
          <cell r="N90">
            <v>8</v>
          </cell>
        </row>
        <row r="91">
          <cell r="G91">
            <v>0</v>
          </cell>
          <cell r="H91">
            <v>0</v>
          </cell>
          <cell r="I91">
            <v>24</v>
          </cell>
          <cell r="J91">
            <v>0</v>
          </cell>
          <cell r="K91">
            <v>3</v>
          </cell>
          <cell r="L91">
            <v>6</v>
          </cell>
          <cell r="M91">
            <v>8</v>
          </cell>
          <cell r="N91">
            <v>8</v>
          </cell>
        </row>
        <row r="92">
          <cell r="G92">
            <v>0</v>
          </cell>
          <cell r="H92">
            <v>0</v>
          </cell>
          <cell r="I92">
            <v>24</v>
          </cell>
          <cell r="J92">
            <v>0</v>
          </cell>
          <cell r="K92">
            <v>3</v>
          </cell>
          <cell r="L92">
            <v>6</v>
          </cell>
          <cell r="M92">
            <v>8</v>
          </cell>
          <cell r="N92">
            <v>8</v>
          </cell>
        </row>
        <row r="93">
          <cell r="G93">
            <v>0</v>
          </cell>
          <cell r="H93">
            <v>0</v>
          </cell>
          <cell r="I93">
            <v>24</v>
          </cell>
          <cell r="J93">
            <v>0</v>
          </cell>
          <cell r="K93">
            <v>3</v>
          </cell>
          <cell r="L93">
            <v>6</v>
          </cell>
          <cell r="M93">
            <v>8</v>
          </cell>
          <cell r="N93">
            <v>8</v>
          </cell>
        </row>
        <row r="94">
          <cell r="G94">
            <v>0</v>
          </cell>
          <cell r="H94">
            <v>0</v>
          </cell>
          <cell r="I94">
            <v>24</v>
          </cell>
          <cell r="J94">
            <v>0</v>
          </cell>
          <cell r="K94">
            <v>3</v>
          </cell>
          <cell r="L94">
            <v>6</v>
          </cell>
          <cell r="M94">
            <v>8</v>
          </cell>
          <cell r="N94">
            <v>8</v>
          </cell>
        </row>
        <row r="101">
          <cell r="G101">
            <v>4</v>
          </cell>
          <cell r="H101">
            <v>0</v>
          </cell>
          <cell r="I101">
            <v>0</v>
          </cell>
          <cell r="J101">
            <v>0</v>
          </cell>
          <cell r="K101">
            <v>3</v>
          </cell>
          <cell r="L101">
            <v>0.95229770414189363</v>
          </cell>
          <cell r="M101">
            <v>0</v>
          </cell>
          <cell r="N101">
            <v>0</v>
          </cell>
        </row>
        <row r="102">
          <cell r="G102">
            <v>6</v>
          </cell>
          <cell r="H102">
            <v>0</v>
          </cell>
          <cell r="I102">
            <v>0</v>
          </cell>
          <cell r="J102">
            <v>0</v>
          </cell>
          <cell r="K102">
            <v>3</v>
          </cell>
          <cell r="L102">
            <v>2.6630840504326772</v>
          </cell>
          <cell r="M102">
            <v>0</v>
          </cell>
          <cell r="N102">
            <v>0</v>
          </cell>
        </row>
        <row r="103">
          <cell r="G103">
            <v>6</v>
          </cell>
          <cell r="H103">
            <v>2</v>
          </cell>
          <cell r="I103">
            <v>0</v>
          </cell>
          <cell r="J103">
            <v>0</v>
          </cell>
          <cell r="K103">
            <v>3</v>
          </cell>
          <cell r="L103">
            <v>4.0767046858310074</v>
          </cell>
          <cell r="M103">
            <v>0</v>
          </cell>
          <cell r="N103">
            <v>0</v>
          </cell>
        </row>
        <row r="104">
          <cell r="G104">
            <v>6</v>
          </cell>
          <cell r="H104">
            <v>4</v>
          </cell>
          <cell r="I104">
            <v>2</v>
          </cell>
          <cell r="J104">
            <v>0</v>
          </cell>
          <cell r="K104">
            <v>3</v>
          </cell>
          <cell r="L104">
            <v>5.3011335324476603</v>
          </cell>
          <cell r="M104">
            <v>0.24629079215903205</v>
          </cell>
          <cell r="N104">
            <v>0</v>
          </cell>
        </row>
        <row r="105">
          <cell r="G105">
            <v>6</v>
          </cell>
          <cell r="H105">
            <v>6</v>
          </cell>
          <cell r="I105">
            <v>4</v>
          </cell>
          <cell r="J105">
            <v>0</v>
          </cell>
          <cell r="K105">
            <v>3</v>
          </cell>
          <cell r="L105">
            <v>6</v>
          </cell>
          <cell r="M105">
            <v>0.63858043051182434</v>
          </cell>
          <cell r="N105">
            <v>0</v>
          </cell>
        </row>
        <row r="106">
          <cell r="G106">
            <v>5</v>
          </cell>
          <cell r="H106">
            <v>8</v>
          </cell>
          <cell r="I106">
            <v>6</v>
          </cell>
          <cell r="J106">
            <v>0</v>
          </cell>
          <cell r="K106">
            <v>3</v>
          </cell>
          <cell r="L106">
            <v>6</v>
          </cell>
          <cell r="M106">
            <v>1.0203642572712983</v>
          </cell>
          <cell r="N106">
            <v>0</v>
          </cell>
        </row>
        <row r="107">
          <cell r="G107">
            <v>0</v>
          </cell>
          <cell r="H107">
            <v>10</v>
          </cell>
          <cell r="I107">
            <v>6</v>
          </cell>
          <cell r="J107">
            <v>0</v>
          </cell>
          <cell r="K107">
            <v>3</v>
          </cell>
          <cell r="L107">
            <v>6</v>
          </cell>
          <cell r="M107">
            <v>1.6781889742723117</v>
          </cell>
          <cell r="N107">
            <v>0</v>
          </cell>
        </row>
        <row r="108">
          <cell r="G108">
            <v>0</v>
          </cell>
          <cell r="H108">
            <v>12</v>
          </cell>
          <cell r="I108">
            <v>6</v>
          </cell>
          <cell r="J108">
            <v>0</v>
          </cell>
          <cell r="K108">
            <v>3</v>
          </cell>
          <cell r="L108">
            <v>6</v>
          </cell>
          <cell r="M108">
            <v>2.2826436518017683</v>
          </cell>
          <cell r="N108">
            <v>0</v>
          </cell>
        </row>
        <row r="109">
          <cell r="G109">
            <v>0</v>
          </cell>
          <cell r="H109">
            <v>14</v>
          </cell>
          <cell r="I109">
            <v>8</v>
          </cell>
          <cell r="J109">
            <v>0</v>
          </cell>
          <cell r="K109">
            <v>3</v>
          </cell>
          <cell r="L109">
            <v>6</v>
          </cell>
          <cell r="M109">
            <v>3.1340072884565995</v>
          </cell>
          <cell r="N109">
            <v>0</v>
          </cell>
        </row>
        <row r="110">
          <cell r="G110">
            <v>0</v>
          </cell>
          <cell r="H110">
            <v>15</v>
          </cell>
          <cell r="I110">
            <v>9</v>
          </cell>
          <cell r="J110">
            <v>0</v>
          </cell>
          <cell r="K110">
            <v>3</v>
          </cell>
          <cell r="L110">
            <v>6</v>
          </cell>
          <cell r="M110">
            <v>3.5629305287645163</v>
          </cell>
          <cell r="N110">
            <v>0.9396509055261586</v>
          </cell>
        </row>
        <row r="111">
          <cell r="G111">
            <v>0</v>
          </cell>
          <cell r="H111">
            <v>8</v>
          </cell>
          <cell r="I111">
            <v>16</v>
          </cell>
          <cell r="J111">
            <v>0</v>
          </cell>
          <cell r="K111">
            <v>3</v>
          </cell>
          <cell r="L111">
            <v>6</v>
          </cell>
          <cell r="M111">
            <v>3.9826716303999277</v>
          </cell>
          <cell r="N111">
            <v>1.4339830589145661</v>
          </cell>
        </row>
        <row r="112">
          <cell r="G112">
            <v>0</v>
          </cell>
          <cell r="H112">
            <v>6</v>
          </cell>
          <cell r="I112">
            <v>18</v>
          </cell>
          <cell r="J112">
            <v>0</v>
          </cell>
          <cell r="K112">
            <v>3</v>
          </cell>
          <cell r="L112">
            <v>6</v>
          </cell>
          <cell r="M112">
            <v>4.3579049192939214</v>
          </cell>
          <cell r="N112">
            <v>1.6267307878843065</v>
          </cell>
        </row>
        <row r="113">
          <cell r="G113">
            <v>0</v>
          </cell>
          <cell r="H113">
            <v>4</v>
          </cell>
          <cell r="I113">
            <v>20</v>
          </cell>
          <cell r="J113">
            <v>0</v>
          </cell>
          <cell r="K113">
            <v>3</v>
          </cell>
          <cell r="L113">
            <v>6</v>
          </cell>
          <cell r="M113">
            <v>4.7093451729823999</v>
          </cell>
          <cell r="N113">
            <v>1.9552345877188704</v>
          </cell>
        </row>
        <row r="114">
          <cell r="G114">
            <v>0</v>
          </cell>
          <cell r="H114">
            <v>4</v>
          </cell>
          <cell r="I114">
            <v>20</v>
          </cell>
          <cell r="J114">
            <v>0</v>
          </cell>
          <cell r="K114">
            <v>3</v>
          </cell>
          <cell r="L114">
            <v>6</v>
          </cell>
          <cell r="M114">
            <v>5.1078429616240575</v>
          </cell>
          <cell r="N114">
            <v>2.3708913960133526</v>
          </cell>
        </row>
        <row r="115">
          <cell r="G115">
            <v>0</v>
          </cell>
          <cell r="H115">
            <v>4</v>
          </cell>
          <cell r="I115">
            <v>20</v>
          </cell>
          <cell r="J115">
            <v>0</v>
          </cell>
          <cell r="K115">
            <v>3</v>
          </cell>
          <cell r="L115">
            <v>6</v>
          </cell>
          <cell r="M115">
            <v>5.3969808912863027</v>
          </cell>
          <cell r="N115">
            <v>2.9964325797504592</v>
          </cell>
        </row>
        <row r="116">
          <cell r="G116">
            <v>0</v>
          </cell>
          <cell r="H116">
            <v>4</v>
          </cell>
          <cell r="I116">
            <v>20</v>
          </cell>
          <cell r="J116">
            <v>0</v>
          </cell>
          <cell r="K116">
            <v>3</v>
          </cell>
          <cell r="L116">
            <v>6</v>
          </cell>
          <cell r="M116">
            <v>5.6774580481458017</v>
          </cell>
          <cell r="N116">
            <v>3.2983565880731107</v>
          </cell>
        </row>
        <row r="117">
          <cell r="G117">
            <v>0</v>
          </cell>
          <cell r="H117">
            <v>2</v>
          </cell>
          <cell r="I117">
            <v>22</v>
          </cell>
          <cell r="J117">
            <v>0</v>
          </cell>
          <cell r="K117">
            <v>3</v>
          </cell>
          <cell r="L117">
            <v>6</v>
          </cell>
          <cell r="M117">
            <v>5.9491060595909167</v>
          </cell>
          <cell r="N117">
            <v>3.5856210492083469</v>
          </cell>
        </row>
        <row r="118">
          <cell r="G118">
            <v>0</v>
          </cell>
          <cell r="H118">
            <v>0</v>
          </cell>
          <cell r="I118">
            <v>24</v>
          </cell>
          <cell r="J118">
            <v>0</v>
          </cell>
          <cell r="K118">
            <v>3</v>
          </cell>
          <cell r="L118">
            <v>6</v>
          </cell>
          <cell r="M118">
            <v>6.354912841382542</v>
          </cell>
          <cell r="N118">
            <v>4.0140892726544681</v>
          </cell>
        </row>
        <row r="119">
          <cell r="G119">
            <v>0</v>
          </cell>
          <cell r="H119">
            <v>0</v>
          </cell>
          <cell r="I119">
            <v>24</v>
          </cell>
          <cell r="J119">
            <v>0</v>
          </cell>
          <cell r="K119">
            <v>3</v>
          </cell>
          <cell r="L119">
            <v>6</v>
          </cell>
          <cell r="M119">
            <v>7.1052380145863641</v>
          </cell>
          <cell r="N119">
            <v>4.832804185111744</v>
          </cell>
        </row>
        <row r="120">
          <cell r="G120">
            <v>0</v>
          </cell>
          <cell r="H120">
            <v>0</v>
          </cell>
          <cell r="I120">
            <v>24</v>
          </cell>
          <cell r="J120">
            <v>0</v>
          </cell>
          <cell r="K120">
            <v>3</v>
          </cell>
          <cell r="L120">
            <v>6</v>
          </cell>
          <cell r="M120">
            <v>7.6720009052908829</v>
          </cell>
          <cell r="N120">
            <v>5.4054509817285021</v>
          </cell>
        </row>
        <row r="121">
          <cell r="G121">
            <v>0</v>
          </cell>
          <cell r="H121">
            <v>0</v>
          </cell>
          <cell r="I121">
            <v>24</v>
          </cell>
          <cell r="J121">
            <v>0</v>
          </cell>
          <cell r="K121">
            <v>3</v>
          </cell>
          <cell r="L121">
            <v>6</v>
          </cell>
          <cell r="M121">
            <v>8</v>
          </cell>
          <cell r="N121">
            <v>6.1465860183787742</v>
          </cell>
        </row>
        <row r="122">
          <cell r="G122">
            <v>0</v>
          </cell>
          <cell r="H122">
            <v>0</v>
          </cell>
          <cell r="I122">
            <v>24</v>
          </cell>
          <cell r="J122">
            <v>0</v>
          </cell>
          <cell r="K122">
            <v>3</v>
          </cell>
          <cell r="L122">
            <v>6</v>
          </cell>
          <cell r="M122">
            <v>8</v>
          </cell>
          <cell r="N122">
            <v>7.0649254828466006</v>
          </cell>
        </row>
        <row r="123">
          <cell r="G123">
            <v>0</v>
          </cell>
          <cell r="H123">
            <v>0</v>
          </cell>
          <cell r="I123">
            <v>24</v>
          </cell>
          <cell r="J123">
            <v>0</v>
          </cell>
          <cell r="K123">
            <v>3</v>
          </cell>
          <cell r="L123">
            <v>6</v>
          </cell>
          <cell r="M123">
            <v>8</v>
          </cell>
          <cell r="N123">
            <v>7.8958415706924541</v>
          </cell>
        </row>
        <row r="124">
          <cell r="G124">
            <v>0</v>
          </cell>
          <cell r="H124">
            <v>0</v>
          </cell>
          <cell r="I124">
            <v>24</v>
          </cell>
          <cell r="J124">
            <v>0</v>
          </cell>
          <cell r="K124">
            <v>3</v>
          </cell>
          <cell r="L124">
            <v>6</v>
          </cell>
          <cell r="M124">
            <v>8</v>
          </cell>
          <cell r="N124">
            <v>8</v>
          </cell>
        </row>
        <row r="125">
          <cell r="G125">
            <v>0</v>
          </cell>
          <cell r="H125">
            <v>0</v>
          </cell>
          <cell r="I125">
            <v>24</v>
          </cell>
          <cell r="J125">
            <v>0</v>
          </cell>
          <cell r="K125">
            <v>3</v>
          </cell>
          <cell r="L125">
            <v>6</v>
          </cell>
          <cell r="M125">
            <v>8</v>
          </cell>
          <cell r="N125">
            <v>8</v>
          </cell>
        </row>
        <row r="126">
          <cell r="G126">
            <v>0</v>
          </cell>
          <cell r="H126">
            <v>0</v>
          </cell>
          <cell r="I126">
            <v>24</v>
          </cell>
          <cell r="J126">
            <v>0</v>
          </cell>
          <cell r="K126">
            <v>3</v>
          </cell>
          <cell r="L126">
            <v>6</v>
          </cell>
          <cell r="M126">
            <v>8</v>
          </cell>
          <cell r="N126">
            <v>8</v>
          </cell>
        </row>
        <row r="127">
          <cell r="G127">
            <v>0</v>
          </cell>
          <cell r="H127">
            <v>0</v>
          </cell>
          <cell r="I127">
            <v>24</v>
          </cell>
          <cell r="J127">
            <v>0</v>
          </cell>
          <cell r="K127">
            <v>3</v>
          </cell>
          <cell r="L127">
            <v>6</v>
          </cell>
          <cell r="M127">
            <v>8</v>
          </cell>
          <cell r="N127">
            <v>8</v>
          </cell>
        </row>
        <row r="128">
          <cell r="G128">
            <v>0</v>
          </cell>
          <cell r="H128">
            <v>0</v>
          </cell>
          <cell r="I128">
            <v>24</v>
          </cell>
          <cell r="J128">
            <v>0</v>
          </cell>
          <cell r="K128">
            <v>3</v>
          </cell>
          <cell r="L128">
            <v>6</v>
          </cell>
          <cell r="M128">
            <v>8</v>
          </cell>
          <cell r="N128">
            <v>8</v>
          </cell>
        </row>
        <row r="129">
          <cell r="G129">
            <v>0</v>
          </cell>
          <cell r="H129">
            <v>0</v>
          </cell>
          <cell r="I129">
            <v>24</v>
          </cell>
          <cell r="J129">
            <v>0</v>
          </cell>
          <cell r="K129">
            <v>3</v>
          </cell>
          <cell r="L129">
            <v>6</v>
          </cell>
          <cell r="M129">
            <v>8</v>
          </cell>
          <cell r="N129">
            <v>8</v>
          </cell>
        </row>
        <row r="130">
          <cell r="G130">
            <v>0</v>
          </cell>
          <cell r="H130">
            <v>0</v>
          </cell>
          <cell r="I130">
            <v>24</v>
          </cell>
          <cell r="J130">
            <v>0</v>
          </cell>
          <cell r="K130">
            <v>3</v>
          </cell>
          <cell r="L130">
            <v>6</v>
          </cell>
          <cell r="M130">
            <v>8</v>
          </cell>
          <cell r="N130">
            <v>8</v>
          </cell>
        </row>
        <row r="131">
          <cell r="G131">
            <v>0</v>
          </cell>
          <cell r="H131">
            <v>0</v>
          </cell>
          <cell r="I131">
            <v>24</v>
          </cell>
          <cell r="J131">
            <v>0</v>
          </cell>
          <cell r="K131">
            <v>3</v>
          </cell>
          <cell r="L131">
            <v>6</v>
          </cell>
          <cell r="M131">
            <v>8</v>
          </cell>
          <cell r="N131">
            <v>8</v>
          </cell>
        </row>
        <row r="132">
          <cell r="G132">
            <v>0</v>
          </cell>
          <cell r="H132">
            <v>0</v>
          </cell>
          <cell r="I132">
            <v>24</v>
          </cell>
          <cell r="J132">
            <v>0</v>
          </cell>
          <cell r="K132">
            <v>3</v>
          </cell>
          <cell r="L132">
            <v>6</v>
          </cell>
          <cell r="M132">
            <v>8</v>
          </cell>
          <cell r="N132">
            <v>8</v>
          </cell>
        </row>
        <row r="133">
          <cell r="G133">
            <v>0</v>
          </cell>
          <cell r="H133">
            <v>0</v>
          </cell>
          <cell r="I133">
            <v>24</v>
          </cell>
          <cell r="J133">
            <v>0</v>
          </cell>
          <cell r="K133">
            <v>3</v>
          </cell>
          <cell r="L133">
            <v>6</v>
          </cell>
          <cell r="M133">
            <v>8</v>
          </cell>
          <cell r="N133">
            <v>8</v>
          </cell>
        </row>
        <row r="134">
          <cell r="G134">
            <v>0</v>
          </cell>
          <cell r="H134">
            <v>0</v>
          </cell>
          <cell r="I134">
            <v>24</v>
          </cell>
          <cell r="J134">
            <v>0</v>
          </cell>
          <cell r="K134">
            <v>3</v>
          </cell>
          <cell r="L134">
            <v>6</v>
          </cell>
          <cell r="M134">
            <v>8</v>
          </cell>
          <cell r="N134">
            <v>8</v>
          </cell>
        </row>
        <row r="135">
          <cell r="G135">
            <v>0</v>
          </cell>
          <cell r="H135">
            <v>0</v>
          </cell>
          <cell r="I135">
            <v>24</v>
          </cell>
          <cell r="J135">
            <v>0</v>
          </cell>
          <cell r="K135">
            <v>3</v>
          </cell>
          <cell r="L135">
            <v>6</v>
          </cell>
          <cell r="M135">
            <v>8</v>
          </cell>
          <cell r="N135">
            <v>8</v>
          </cell>
        </row>
        <row r="136">
          <cell r="G136">
            <v>0</v>
          </cell>
          <cell r="H136">
            <v>0</v>
          </cell>
          <cell r="I136">
            <v>24</v>
          </cell>
          <cell r="J136">
            <v>0</v>
          </cell>
          <cell r="K136">
            <v>3</v>
          </cell>
          <cell r="L136">
            <v>6</v>
          </cell>
          <cell r="M136">
            <v>8</v>
          </cell>
          <cell r="N136">
            <v>8</v>
          </cell>
        </row>
        <row r="137">
          <cell r="G137">
            <v>0</v>
          </cell>
          <cell r="H137">
            <v>0</v>
          </cell>
          <cell r="I137">
            <v>24</v>
          </cell>
          <cell r="J137">
            <v>0</v>
          </cell>
          <cell r="K137">
            <v>3</v>
          </cell>
          <cell r="L137">
            <v>6</v>
          </cell>
          <cell r="M137">
            <v>8</v>
          </cell>
          <cell r="N137">
            <v>8</v>
          </cell>
        </row>
        <row r="138">
          <cell r="G138">
            <v>0</v>
          </cell>
          <cell r="H138">
            <v>0</v>
          </cell>
          <cell r="I138">
            <v>24</v>
          </cell>
          <cell r="J138">
            <v>0</v>
          </cell>
          <cell r="K138">
            <v>3</v>
          </cell>
          <cell r="L138">
            <v>6</v>
          </cell>
          <cell r="M138">
            <v>8</v>
          </cell>
          <cell r="N138">
            <v>8</v>
          </cell>
        </row>
        <row r="139">
          <cell r="G139">
            <v>0</v>
          </cell>
          <cell r="H139">
            <v>0</v>
          </cell>
          <cell r="I139">
            <v>24</v>
          </cell>
          <cell r="J139">
            <v>0</v>
          </cell>
          <cell r="K139">
            <v>3</v>
          </cell>
          <cell r="L139">
            <v>6</v>
          </cell>
          <cell r="M139">
            <v>8</v>
          </cell>
          <cell r="N139">
            <v>8</v>
          </cell>
        </row>
        <row r="146">
          <cell r="G146">
            <v>5</v>
          </cell>
          <cell r="H146">
            <v>2</v>
          </cell>
          <cell r="I146">
            <v>0</v>
          </cell>
          <cell r="J146">
            <v>0</v>
          </cell>
          <cell r="K146">
            <v>3</v>
          </cell>
          <cell r="L146">
            <v>2.174849098055744</v>
          </cell>
          <cell r="M146">
            <v>0</v>
          </cell>
          <cell r="N146">
            <v>0</v>
          </cell>
        </row>
        <row r="147">
          <cell r="G147">
            <v>6</v>
          </cell>
          <cell r="H147">
            <v>4</v>
          </cell>
          <cell r="I147">
            <v>0</v>
          </cell>
          <cell r="J147">
            <v>0</v>
          </cell>
          <cell r="K147">
            <v>3</v>
          </cell>
          <cell r="L147">
            <v>4.3490379128662537</v>
          </cell>
          <cell r="M147">
            <v>0</v>
          </cell>
          <cell r="N147">
            <v>0</v>
          </cell>
        </row>
        <row r="148">
          <cell r="G148">
            <v>6</v>
          </cell>
          <cell r="H148">
            <v>6</v>
          </cell>
          <cell r="I148">
            <v>0</v>
          </cell>
          <cell r="J148">
            <v>0</v>
          </cell>
          <cell r="K148">
            <v>3</v>
          </cell>
          <cell r="L148">
            <v>5.8917128593494938</v>
          </cell>
          <cell r="M148">
            <v>0.40521222492145181</v>
          </cell>
          <cell r="N148">
            <v>0</v>
          </cell>
        </row>
        <row r="149">
          <cell r="G149">
            <v>6</v>
          </cell>
          <cell r="H149">
            <v>8</v>
          </cell>
          <cell r="I149">
            <v>0</v>
          </cell>
          <cell r="J149">
            <v>0</v>
          </cell>
          <cell r="K149">
            <v>3</v>
          </cell>
          <cell r="L149">
            <v>6</v>
          </cell>
          <cell r="M149">
            <v>1.0971453345747504</v>
          </cell>
          <cell r="N149">
            <v>0</v>
          </cell>
        </row>
        <row r="150">
          <cell r="G150">
            <v>0</v>
          </cell>
          <cell r="H150">
            <v>10</v>
          </cell>
          <cell r="I150">
            <v>6</v>
          </cell>
          <cell r="J150">
            <v>0</v>
          </cell>
          <cell r="K150">
            <v>3</v>
          </cell>
          <cell r="L150">
            <v>6</v>
          </cell>
          <cell r="M150">
            <v>1.9079626268144594</v>
          </cell>
          <cell r="N150">
            <v>0</v>
          </cell>
        </row>
        <row r="151">
          <cell r="G151">
            <v>0</v>
          </cell>
          <cell r="H151">
            <v>11</v>
          </cell>
          <cell r="I151">
            <v>7</v>
          </cell>
          <cell r="J151">
            <v>0</v>
          </cell>
          <cell r="K151">
            <v>3</v>
          </cell>
          <cell r="L151">
            <v>6</v>
          </cell>
          <cell r="M151">
            <v>2.6074663889615612</v>
          </cell>
          <cell r="N151">
            <v>0</v>
          </cell>
        </row>
        <row r="152">
          <cell r="G152">
            <v>0</v>
          </cell>
          <cell r="H152">
            <v>14</v>
          </cell>
          <cell r="I152">
            <v>8</v>
          </cell>
          <cell r="J152">
            <v>0</v>
          </cell>
          <cell r="K152">
            <v>3</v>
          </cell>
          <cell r="L152">
            <v>6</v>
          </cell>
          <cell r="M152">
            <v>3.4257104915500984</v>
          </cell>
          <cell r="N152">
            <v>0</v>
          </cell>
        </row>
        <row r="153">
          <cell r="G153">
            <v>0</v>
          </cell>
          <cell r="H153">
            <v>15</v>
          </cell>
          <cell r="I153">
            <v>9</v>
          </cell>
          <cell r="J153">
            <v>0</v>
          </cell>
          <cell r="K153">
            <v>3</v>
          </cell>
          <cell r="L153">
            <v>6</v>
          </cell>
          <cell r="M153">
            <v>3.9460188324987273</v>
          </cell>
          <cell r="N153">
            <v>0</v>
          </cell>
        </row>
        <row r="154">
          <cell r="G154">
            <v>0</v>
          </cell>
          <cell r="H154">
            <v>8</v>
          </cell>
          <cell r="I154">
            <v>16</v>
          </cell>
          <cell r="J154">
            <v>0</v>
          </cell>
          <cell r="K154">
            <v>3</v>
          </cell>
          <cell r="L154">
            <v>6</v>
          </cell>
          <cell r="M154">
            <v>4.7477779650018288</v>
          </cell>
          <cell r="N154">
            <v>0.36649900938125635</v>
          </cell>
        </row>
        <row r="155">
          <cell r="G155">
            <v>0</v>
          </cell>
          <cell r="H155">
            <v>4</v>
          </cell>
          <cell r="I155">
            <v>20</v>
          </cell>
          <cell r="J155">
            <v>0</v>
          </cell>
          <cell r="K155">
            <v>3</v>
          </cell>
          <cell r="L155">
            <v>6</v>
          </cell>
          <cell r="M155">
            <v>5.2956035757558197</v>
          </cell>
          <cell r="N155">
            <v>2.0297573350271727</v>
          </cell>
        </row>
        <row r="156">
          <cell r="G156">
            <v>0</v>
          </cell>
          <cell r="H156">
            <v>4</v>
          </cell>
          <cell r="I156">
            <v>20</v>
          </cell>
          <cell r="J156">
            <v>0</v>
          </cell>
          <cell r="K156">
            <v>3</v>
          </cell>
          <cell r="L156">
            <v>6</v>
          </cell>
          <cell r="M156">
            <v>5.7489151462672803</v>
          </cell>
          <cell r="N156">
            <v>2.8222363906883587</v>
          </cell>
        </row>
        <row r="157">
          <cell r="G157">
            <v>0</v>
          </cell>
          <cell r="H157">
            <v>2</v>
          </cell>
          <cell r="I157">
            <v>20</v>
          </cell>
          <cell r="J157">
            <v>0</v>
          </cell>
          <cell r="K157">
            <v>3</v>
          </cell>
          <cell r="L157">
            <v>6</v>
          </cell>
          <cell r="M157">
            <v>6.1926945819947017</v>
          </cell>
          <cell r="N157">
            <v>3.134563709866474</v>
          </cell>
        </row>
        <row r="158">
          <cell r="G158">
            <v>0</v>
          </cell>
          <cell r="H158">
            <v>0</v>
          </cell>
          <cell r="I158">
            <v>24</v>
          </cell>
          <cell r="J158">
            <v>0</v>
          </cell>
          <cell r="K158">
            <v>3</v>
          </cell>
          <cell r="L158">
            <v>6</v>
          </cell>
          <cell r="M158">
            <v>6.6204130370488947</v>
          </cell>
          <cell r="N158">
            <v>3.4692194476797864</v>
          </cell>
        </row>
        <row r="159">
          <cell r="G159">
            <v>0</v>
          </cell>
          <cell r="H159">
            <v>0</v>
          </cell>
          <cell r="I159">
            <v>24</v>
          </cell>
          <cell r="J159">
            <v>0</v>
          </cell>
          <cell r="K159">
            <v>3</v>
          </cell>
          <cell r="L159">
            <v>6</v>
          </cell>
          <cell r="M159">
            <v>7.1045137912663021</v>
          </cell>
          <cell r="N159">
            <v>3.8454578495058556</v>
          </cell>
        </row>
        <row r="160">
          <cell r="G160">
            <v>0</v>
          </cell>
          <cell r="H160">
            <v>0</v>
          </cell>
          <cell r="I160">
            <v>24</v>
          </cell>
          <cell r="J160">
            <v>0</v>
          </cell>
          <cell r="K160">
            <v>3</v>
          </cell>
          <cell r="L160">
            <v>6</v>
          </cell>
          <cell r="M160">
            <v>7.4738746983667976</v>
          </cell>
          <cell r="N160">
            <v>4.394392694673348</v>
          </cell>
        </row>
        <row r="161">
          <cell r="G161">
            <v>0</v>
          </cell>
          <cell r="H161">
            <v>0</v>
          </cell>
          <cell r="I161">
            <v>24</v>
          </cell>
          <cell r="J161">
            <v>0</v>
          </cell>
          <cell r="K161">
            <v>3</v>
          </cell>
          <cell r="L161">
            <v>6</v>
          </cell>
          <cell r="M161">
            <v>7.8458563669755303</v>
          </cell>
          <cell r="N161">
            <v>4.9476954756879028</v>
          </cell>
        </row>
        <row r="162">
          <cell r="G162">
            <v>0</v>
          </cell>
          <cell r="H162">
            <v>0</v>
          </cell>
          <cell r="I162">
            <v>24</v>
          </cell>
          <cell r="J162">
            <v>0</v>
          </cell>
          <cell r="K162">
            <v>3</v>
          </cell>
          <cell r="L162">
            <v>6</v>
          </cell>
          <cell r="M162">
            <v>8</v>
          </cell>
          <cell r="N162">
            <v>5.3183727282442197</v>
          </cell>
        </row>
        <row r="163">
          <cell r="G163">
            <v>0</v>
          </cell>
          <cell r="H163">
            <v>0</v>
          </cell>
          <cell r="I163">
            <v>24</v>
          </cell>
          <cell r="J163">
            <v>0</v>
          </cell>
          <cell r="K163">
            <v>3</v>
          </cell>
          <cell r="L163">
            <v>6</v>
          </cell>
          <cell r="M163">
            <v>8</v>
          </cell>
          <cell r="N163">
            <v>5.8365140048616935</v>
          </cell>
        </row>
        <row r="164">
          <cell r="G164">
            <v>0</v>
          </cell>
          <cell r="H164">
            <v>0</v>
          </cell>
          <cell r="I164">
            <v>24</v>
          </cell>
          <cell r="J164">
            <v>0</v>
          </cell>
          <cell r="K164">
            <v>3</v>
          </cell>
          <cell r="L164">
            <v>6</v>
          </cell>
          <cell r="M164">
            <v>8</v>
          </cell>
          <cell r="N164">
            <v>6.8224799219132448</v>
          </cell>
        </row>
        <row r="165">
          <cell r="G165">
            <v>0</v>
          </cell>
          <cell r="H165">
            <v>0</v>
          </cell>
          <cell r="I165">
            <v>24</v>
          </cell>
          <cell r="J165">
            <v>0</v>
          </cell>
          <cell r="K165">
            <v>3</v>
          </cell>
          <cell r="L165">
            <v>6</v>
          </cell>
          <cell r="M165">
            <v>8</v>
          </cell>
          <cell r="N165">
            <v>7.5942143103752517</v>
          </cell>
        </row>
        <row r="166">
          <cell r="G166">
            <v>0</v>
          </cell>
          <cell r="H166">
            <v>0</v>
          </cell>
          <cell r="I166">
            <v>24</v>
          </cell>
          <cell r="J166">
            <v>0</v>
          </cell>
          <cell r="K166">
            <v>3</v>
          </cell>
          <cell r="L166">
            <v>6</v>
          </cell>
          <cell r="M166">
            <v>8</v>
          </cell>
          <cell r="N166">
            <v>8</v>
          </cell>
        </row>
        <row r="167">
          <cell r="G167">
            <v>0</v>
          </cell>
          <cell r="H167">
            <v>0</v>
          </cell>
          <cell r="I167">
            <v>24</v>
          </cell>
          <cell r="J167">
            <v>0</v>
          </cell>
          <cell r="K167">
            <v>3</v>
          </cell>
          <cell r="L167">
            <v>6</v>
          </cell>
          <cell r="M167">
            <v>8</v>
          </cell>
          <cell r="N167">
            <v>8</v>
          </cell>
        </row>
        <row r="168">
          <cell r="G168">
            <v>0</v>
          </cell>
          <cell r="H168">
            <v>0</v>
          </cell>
          <cell r="I168">
            <v>24</v>
          </cell>
          <cell r="J168">
            <v>0</v>
          </cell>
          <cell r="K168">
            <v>3</v>
          </cell>
          <cell r="L168">
            <v>6</v>
          </cell>
          <cell r="M168">
            <v>8</v>
          </cell>
          <cell r="N168">
            <v>8</v>
          </cell>
        </row>
        <row r="169">
          <cell r="G169">
            <v>0</v>
          </cell>
          <cell r="H169">
            <v>0</v>
          </cell>
          <cell r="I169">
            <v>24</v>
          </cell>
          <cell r="J169">
            <v>0</v>
          </cell>
          <cell r="K169">
            <v>3</v>
          </cell>
          <cell r="L169">
            <v>6</v>
          </cell>
          <cell r="M169">
            <v>8</v>
          </cell>
          <cell r="N169">
            <v>8</v>
          </cell>
        </row>
        <row r="170">
          <cell r="G170">
            <v>0</v>
          </cell>
          <cell r="H170">
            <v>0</v>
          </cell>
          <cell r="I170">
            <v>24</v>
          </cell>
          <cell r="J170">
            <v>0</v>
          </cell>
          <cell r="K170">
            <v>3</v>
          </cell>
          <cell r="L170">
            <v>6</v>
          </cell>
          <cell r="M170">
            <v>8</v>
          </cell>
          <cell r="N170">
            <v>8</v>
          </cell>
        </row>
        <row r="171">
          <cell r="G171">
            <v>0</v>
          </cell>
          <cell r="H171">
            <v>0</v>
          </cell>
          <cell r="I171">
            <v>24</v>
          </cell>
          <cell r="J171">
            <v>0</v>
          </cell>
          <cell r="K171">
            <v>3</v>
          </cell>
          <cell r="L171">
            <v>6</v>
          </cell>
          <cell r="M171">
            <v>8</v>
          </cell>
          <cell r="N171">
            <v>8</v>
          </cell>
        </row>
        <row r="172">
          <cell r="G172">
            <v>0</v>
          </cell>
          <cell r="H172">
            <v>0</v>
          </cell>
          <cell r="I172">
            <v>24</v>
          </cell>
          <cell r="J172">
            <v>0</v>
          </cell>
          <cell r="K172">
            <v>3</v>
          </cell>
          <cell r="L172">
            <v>6</v>
          </cell>
          <cell r="M172">
            <v>8</v>
          </cell>
          <cell r="N172">
            <v>8</v>
          </cell>
        </row>
        <row r="173">
          <cell r="G173">
            <v>0</v>
          </cell>
          <cell r="H173">
            <v>0</v>
          </cell>
          <cell r="I173">
            <v>24</v>
          </cell>
          <cell r="J173">
            <v>0</v>
          </cell>
          <cell r="K173">
            <v>3</v>
          </cell>
          <cell r="L173">
            <v>6</v>
          </cell>
          <cell r="M173">
            <v>8</v>
          </cell>
          <cell r="N173">
            <v>8</v>
          </cell>
        </row>
        <row r="174">
          <cell r="G174">
            <v>0</v>
          </cell>
          <cell r="H174">
            <v>0</v>
          </cell>
          <cell r="I174">
            <v>24</v>
          </cell>
          <cell r="J174">
            <v>0</v>
          </cell>
          <cell r="K174">
            <v>3</v>
          </cell>
          <cell r="L174">
            <v>6</v>
          </cell>
          <cell r="M174">
            <v>8</v>
          </cell>
          <cell r="N174">
            <v>8</v>
          </cell>
        </row>
        <row r="175">
          <cell r="G175">
            <v>0</v>
          </cell>
          <cell r="H175">
            <v>0</v>
          </cell>
          <cell r="I175">
            <v>24</v>
          </cell>
          <cell r="J175">
            <v>0</v>
          </cell>
          <cell r="K175">
            <v>3</v>
          </cell>
          <cell r="L175">
            <v>6</v>
          </cell>
          <cell r="M175">
            <v>8</v>
          </cell>
          <cell r="N175">
            <v>8</v>
          </cell>
        </row>
        <row r="176">
          <cell r="G176">
            <v>0</v>
          </cell>
          <cell r="H176">
            <v>0</v>
          </cell>
          <cell r="I176">
            <v>24</v>
          </cell>
          <cell r="J176">
            <v>0</v>
          </cell>
          <cell r="K176">
            <v>3</v>
          </cell>
          <cell r="L176">
            <v>6</v>
          </cell>
          <cell r="M176">
            <v>8</v>
          </cell>
          <cell r="N176">
            <v>8</v>
          </cell>
        </row>
        <row r="177">
          <cell r="G177">
            <v>0</v>
          </cell>
          <cell r="H177">
            <v>0</v>
          </cell>
          <cell r="I177">
            <v>24</v>
          </cell>
          <cell r="J177">
            <v>0</v>
          </cell>
          <cell r="K177">
            <v>3</v>
          </cell>
          <cell r="L177">
            <v>6</v>
          </cell>
          <cell r="M177">
            <v>8</v>
          </cell>
          <cell r="N177">
            <v>8</v>
          </cell>
        </row>
        <row r="178">
          <cell r="G178">
            <v>0</v>
          </cell>
          <cell r="H178">
            <v>0</v>
          </cell>
          <cell r="I178">
            <v>24</v>
          </cell>
          <cell r="J178">
            <v>0</v>
          </cell>
          <cell r="K178">
            <v>3</v>
          </cell>
          <cell r="L178">
            <v>6</v>
          </cell>
          <cell r="M178">
            <v>8</v>
          </cell>
          <cell r="N178">
            <v>8</v>
          </cell>
        </row>
        <row r="179">
          <cell r="G179">
            <v>0</v>
          </cell>
          <cell r="H179">
            <v>0</v>
          </cell>
          <cell r="I179">
            <v>24</v>
          </cell>
          <cell r="J179">
            <v>0</v>
          </cell>
          <cell r="K179">
            <v>3</v>
          </cell>
          <cell r="L179">
            <v>6</v>
          </cell>
          <cell r="M179">
            <v>8</v>
          </cell>
          <cell r="N179">
            <v>8</v>
          </cell>
        </row>
        <row r="180">
          <cell r="G180">
            <v>0</v>
          </cell>
          <cell r="H180">
            <v>0</v>
          </cell>
          <cell r="I180">
            <v>24</v>
          </cell>
          <cell r="J180">
            <v>0</v>
          </cell>
          <cell r="K180">
            <v>3</v>
          </cell>
          <cell r="L180">
            <v>6</v>
          </cell>
          <cell r="M180">
            <v>8</v>
          </cell>
          <cell r="N180">
            <v>8</v>
          </cell>
        </row>
        <row r="181">
          <cell r="G181">
            <v>0</v>
          </cell>
          <cell r="H181">
            <v>0</v>
          </cell>
          <cell r="I181">
            <v>24</v>
          </cell>
          <cell r="J181">
            <v>0</v>
          </cell>
          <cell r="K181">
            <v>3</v>
          </cell>
          <cell r="L181">
            <v>6</v>
          </cell>
          <cell r="M181">
            <v>8</v>
          </cell>
          <cell r="N181">
            <v>8</v>
          </cell>
        </row>
        <row r="182">
          <cell r="G182">
            <v>0</v>
          </cell>
          <cell r="H182">
            <v>0</v>
          </cell>
          <cell r="I182">
            <v>24</v>
          </cell>
          <cell r="J182">
            <v>0</v>
          </cell>
          <cell r="K182">
            <v>3</v>
          </cell>
          <cell r="L182">
            <v>6</v>
          </cell>
          <cell r="M182">
            <v>8</v>
          </cell>
          <cell r="N182">
            <v>8</v>
          </cell>
        </row>
        <row r="183">
          <cell r="G183">
            <v>0</v>
          </cell>
          <cell r="H183">
            <v>0</v>
          </cell>
          <cell r="I183">
            <v>24</v>
          </cell>
          <cell r="J183">
            <v>0</v>
          </cell>
          <cell r="K183">
            <v>3</v>
          </cell>
          <cell r="L183">
            <v>6</v>
          </cell>
          <cell r="M183">
            <v>8</v>
          </cell>
          <cell r="N183">
            <v>8</v>
          </cell>
        </row>
        <row r="184">
          <cell r="G184">
            <v>0</v>
          </cell>
          <cell r="H184">
            <v>0</v>
          </cell>
          <cell r="I184">
            <v>24</v>
          </cell>
          <cell r="J184">
            <v>0</v>
          </cell>
          <cell r="K184">
            <v>3</v>
          </cell>
          <cell r="L184">
            <v>6</v>
          </cell>
          <cell r="M184">
            <v>8</v>
          </cell>
          <cell r="N184">
            <v>8</v>
          </cell>
        </row>
        <row r="191">
          <cell r="G191">
            <v>5</v>
          </cell>
          <cell r="H191">
            <v>1</v>
          </cell>
          <cell r="I191">
            <v>0</v>
          </cell>
          <cell r="J191">
            <v>0</v>
          </cell>
          <cell r="K191">
            <v>3</v>
          </cell>
          <cell r="L191">
            <v>2.6095540168237257</v>
          </cell>
          <cell r="M191">
            <v>0</v>
          </cell>
          <cell r="N191">
            <v>0</v>
          </cell>
        </row>
        <row r="192">
          <cell r="G192">
            <v>6</v>
          </cell>
          <cell r="H192">
            <v>2</v>
          </cell>
          <cell r="I192">
            <v>0</v>
          </cell>
          <cell r="J192">
            <v>0</v>
          </cell>
          <cell r="K192">
            <v>3</v>
          </cell>
          <cell r="L192">
            <v>5.6259217608754417</v>
          </cell>
          <cell r="M192">
            <v>0</v>
          </cell>
          <cell r="N192">
            <v>0</v>
          </cell>
        </row>
        <row r="193">
          <cell r="G193">
            <v>6</v>
          </cell>
          <cell r="H193">
            <v>4</v>
          </cell>
          <cell r="I193">
            <v>0</v>
          </cell>
          <cell r="J193">
            <v>0</v>
          </cell>
          <cell r="K193">
            <v>3</v>
          </cell>
          <cell r="L193">
            <v>6</v>
          </cell>
          <cell r="M193">
            <v>0.52879294642818553</v>
          </cell>
          <cell r="N193">
            <v>0</v>
          </cell>
        </row>
        <row r="194">
          <cell r="G194">
            <v>6</v>
          </cell>
          <cell r="H194">
            <v>6</v>
          </cell>
          <cell r="I194">
            <v>0</v>
          </cell>
          <cell r="J194">
            <v>0</v>
          </cell>
          <cell r="K194">
            <v>3</v>
          </cell>
          <cell r="L194">
            <v>6</v>
          </cell>
          <cell r="M194">
            <v>1.2315161541088231</v>
          </cell>
          <cell r="N194">
            <v>0</v>
          </cell>
        </row>
        <row r="195">
          <cell r="G195">
            <v>0</v>
          </cell>
          <cell r="H195">
            <v>8</v>
          </cell>
          <cell r="I195">
            <v>12</v>
          </cell>
          <cell r="J195">
            <v>0</v>
          </cell>
          <cell r="K195">
            <v>3</v>
          </cell>
          <cell r="L195">
            <v>6</v>
          </cell>
          <cell r="M195">
            <v>2.0945508794395717</v>
          </cell>
          <cell r="N195">
            <v>0</v>
          </cell>
        </row>
        <row r="196">
          <cell r="G196">
            <v>0</v>
          </cell>
          <cell r="H196">
            <v>8</v>
          </cell>
          <cell r="I196">
            <v>16</v>
          </cell>
          <cell r="J196">
            <v>0</v>
          </cell>
          <cell r="K196">
            <v>3</v>
          </cell>
          <cell r="L196">
            <v>6</v>
          </cell>
          <cell r="M196">
            <v>2.9480378590372114</v>
          </cell>
          <cell r="N196">
            <v>0</v>
          </cell>
        </row>
        <row r="197">
          <cell r="G197">
            <v>0</v>
          </cell>
          <cell r="H197">
            <v>4</v>
          </cell>
          <cell r="I197">
            <v>20</v>
          </cell>
          <cell r="J197">
            <v>0</v>
          </cell>
          <cell r="K197">
            <v>3</v>
          </cell>
          <cell r="L197">
            <v>6</v>
          </cell>
          <cell r="M197">
            <v>3.7756959890327284</v>
          </cell>
          <cell r="N197">
            <v>0</v>
          </cell>
        </row>
        <row r="198">
          <cell r="G198">
            <v>0</v>
          </cell>
          <cell r="H198">
            <v>2</v>
          </cell>
          <cell r="I198">
            <v>22</v>
          </cell>
          <cell r="J198">
            <v>0</v>
          </cell>
          <cell r="K198">
            <v>3</v>
          </cell>
          <cell r="L198">
            <v>6</v>
          </cell>
          <cell r="M198">
            <v>4.5194940869892894</v>
          </cell>
          <cell r="N198">
            <v>0</v>
          </cell>
        </row>
        <row r="199">
          <cell r="G199">
            <v>0</v>
          </cell>
          <cell r="H199">
            <v>0</v>
          </cell>
          <cell r="I199">
            <v>24</v>
          </cell>
          <cell r="J199">
            <v>0</v>
          </cell>
          <cell r="K199">
            <v>3</v>
          </cell>
          <cell r="L199">
            <v>6</v>
          </cell>
          <cell r="M199">
            <v>5.3933308348064131</v>
          </cell>
          <cell r="N199">
            <v>0.58763563494102167</v>
          </cell>
        </row>
        <row r="200">
          <cell r="G200">
            <v>0</v>
          </cell>
          <cell r="H200">
            <v>0</v>
          </cell>
          <cell r="I200">
            <v>24</v>
          </cell>
          <cell r="J200">
            <v>0</v>
          </cell>
          <cell r="K200">
            <v>3</v>
          </cell>
          <cell r="L200">
            <v>6</v>
          </cell>
          <cell r="M200">
            <v>5.925595804380329</v>
          </cell>
          <cell r="N200">
            <v>2.1845277965186631</v>
          </cell>
        </row>
        <row r="201">
          <cell r="G201">
            <v>0</v>
          </cell>
          <cell r="H201">
            <v>0</v>
          </cell>
          <cell r="I201">
            <v>24</v>
          </cell>
          <cell r="J201">
            <v>0</v>
          </cell>
          <cell r="K201">
            <v>3</v>
          </cell>
          <cell r="L201">
            <v>6</v>
          </cell>
          <cell r="M201">
            <v>6.4594959111259005</v>
          </cell>
          <cell r="N201">
            <v>2.9880836809689093</v>
          </cell>
        </row>
        <row r="202">
          <cell r="G202">
            <v>0</v>
          </cell>
          <cell r="H202">
            <v>0</v>
          </cell>
          <cell r="I202">
            <v>24</v>
          </cell>
          <cell r="J202">
            <v>0</v>
          </cell>
          <cell r="K202">
            <v>3</v>
          </cell>
          <cell r="L202">
            <v>6</v>
          </cell>
          <cell r="M202">
            <v>7.0032857150673395</v>
          </cell>
          <cell r="N202">
            <v>3.2488397752590865</v>
          </cell>
        </row>
        <row r="203">
          <cell r="G203">
            <v>0</v>
          </cell>
          <cell r="H203">
            <v>0</v>
          </cell>
          <cell r="I203">
            <v>24</v>
          </cell>
          <cell r="J203">
            <v>0</v>
          </cell>
          <cell r="K203">
            <v>3</v>
          </cell>
          <cell r="L203">
            <v>6</v>
          </cell>
          <cell r="M203">
            <v>7.3991094245767099</v>
          </cell>
          <cell r="N203">
            <v>3.6191326888860953</v>
          </cell>
        </row>
        <row r="204">
          <cell r="G204">
            <v>0</v>
          </cell>
          <cell r="H204">
            <v>0</v>
          </cell>
          <cell r="I204">
            <v>24</v>
          </cell>
          <cell r="J204">
            <v>0</v>
          </cell>
          <cell r="K204">
            <v>3</v>
          </cell>
          <cell r="L204">
            <v>6</v>
          </cell>
          <cell r="M204">
            <v>7.9040208393849056</v>
          </cell>
          <cell r="N204">
            <v>4.0715819298236369</v>
          </cell>
        </row>
        <row r="205">
          <cell r="G205">
            <v>0</v>
          </cell>
          <cell r="H205">
            <v>0</v>
          </cell>
          <cell r="I205">
            <v>24</v>
          </cell>
          <cell r="J205">
            <v>0</v>
          </cell>
          <cell r="K205">
            <v>3</v>
          </cell>
          <cell r="L205">
            <v>6</v>
          </cell>
          <cell r="M205">
            <v>8</v>
          </cell>
          <cell r="N205">
            <v>4.7080545221665631</v>
          </cell>
        </row>
        <row r="206">
          <cell r="G206">
            <v>0</v>
          </cell>
          <cell r="H206">
            <v>0</v>
          </cell>
          <cell r="I206">
            <v>24</v>
          </cell>
          <cell r="J206">
            <v>0</v>
          </cell>
          <cell r="K206">
            <v>3</v>
          </cell>
          <cell r="L206">
            <v>6</v>
          </cell>
          <cell r="M206">
            <v>8</v>
          </cell>
          <cell r="N206">
            <v>5.2321699298251731</v>
          </cell>
        </row>
        <row r="207">
          <cell r="G207">
            <v>0</v>
          </cell>
          <cell r="H207">
            <v>0</v>
          </cell>
          <cell r="I207">
            <v>24</v>
          </cell>
          <cell r="J207">
            <v>0</v>
          </cell>
          <cell r="K207">
            <v>3</v>
          </cell>
          <cell r="L207">
            <v>6</v>
          </cell>
          <cell r="M207">
            <v>8</v>
          </cell>
          <cell r="N207">
            <v>5.6363341451042315</v>
          </cell>
        </row>
        <row r="208">
          <cell r="G208">
            <v>0</v>
          </cell>
          <cell r="H208">
            <v>0</v>
          </cell>
          <cell r="I208">
            <v>24</v>
          </cell>
          <cell r="J208">
            <v>0</v>
          </cell>
          <cell r="K208">
            <v>3</v>
          </cell>
          <cell r="L208">
            <v>6</v>
          </cell>
          <cell r="M208">
            <v>8</v>
          </cell>
          <cell r="N208">
            <v>6.2244025246024606</v>
          </cell>
        </row>
        <row r="209">
          <cell r="G209">
            <v>0</v>
          </cell>
          <cell r="H209">
            <v>0</v>
          </cell>
          <cell r="I209">
            <v>24</v>
          </cell>
          <cell r="J209">
            <v>0</v>
          </cell>
          <cell r="K209">
            <v>3</v>
          </cell>
          <cell r="L209">
            <v>6</v>
          </cell>
          <cell r="M209">
            <v>8</v>
          </cell>
          <cell r="N209">
            <v>7.2629260421834143</v>
          </cell>
        </row>
        <row r="210">
          <cell r="G210">
            <v>0</v>
          </cell>
          <cell r="H210">
            <v>0</v>
          </cell>
          <cell r="I210">
            <v>24</v>
          </cell>
          <cell r="J210">
            <v>0</v>
          </cell>
          <cell r="K210">
            <v>3</v>
          </cell>
          <cell r="L210">
            <v>6</v>
          </cell>
          <cell r="M210">
            <v>8</v>
          </cell>
          <cell r="N210">
            <v>8</v>
          </cell>
        </row>
        <row r="211">
          <cell r="G211">
            <v>0</v>
          </cell>
          <cell r="H211">
            <v>0</v>
          </cell>
          <cell r="I211">
            <v>24</v>
          </cell>
          <cell r="J211">
            <v>0</v>
          </cell>
          <cell r="K211">
            <v>3</v>
          </cell>
          <cell r="L211">
            <v>6</v>
          </cell>
          <cell r="M211">
            <v>8</v>
          </cell>
          <cell r="N211">
            <v>8</v>
          </cell>
        </row>
        <row r="212">
          <cell r="G212">
            <v>0</v>
          </cell>
          <cell r="H212">
            <v>0</v>
          </cell>
          <cell r="I212">
            <v>24</v>
          </cell>
          <cell r="J212">
            <v>0</v>
          </cell>
          <cell r="K212">
            <v>3</v>
          </cell>
          <cell r="L212">
            <v>6</v>
          </cell>
          <cell r="M212">
            <v>8</v>
          </cell>
          <cell r="N212">
            <v>8</v>
          </cell>
        </row>
        <row r="213">
          <cell r="G213">
            <v>0</v>
          </cell>
          <cell r="H213">
            <v>0</v>
          </cell>
          <cell r="I213">
            <v>24</v>
          </cell>
          <cell r="J213">
            <v>0</v>
          </cell>
          <cell r="K213">
            <v>3</v>
          </cell>
          <cell r="L213">
            <v>6</v>
          </cell>
          <cell r="M213">
            <v>8</v>
          </cell>
          <cell r="N213">
            <v>8</v>
          </cell>
        </row>
        <row r="214">
          <cell r="G214">
            <v>0</v>
          </cell>
          <cell r="H214">
            <v>0</v>
          </cell>
          <cell r="I214">
            <v>24</v>
          </cell>
          <cell r="J214">
            <v>0</v>
          </cell>
          <cell r="K214">
            <v>3</v>
          </cell>
          <cell r="L214">
            <v>6</v>
          </cell>
          <cell r="M214">
            <v>8</v>
          </cell>
          <cell r="N214">
            <v>8</v>
          </cell>
        </row>
        <row r="215">
          <cell r="G215">
            <v>0</v>
          </cell>
          <cell r="H215">
            <v>0</v>
          </cell>
          <cell r="I215">
            <v>24</v>
          </cell>
          <cell r="J215">
            <v>0</v>
          </cell>
          <cell r="K215">
            <v>3</v>
          </cell>
          <cell r="L215">
            <v>6</v>
          </cell>
          <cell r="M215">
            <v>8</v>
          </cell>
          <cell r="N215">
            <v>8</v>
          </cell>
        </row>
        <row r="216">
          <cell r="G216">
            <v>0</v>
          </cell>
          <cell r="H216">
            <v>0</v>
          </cell>
          <cell r="I216">
            <v>24</v>
          </cell>
          <cell r="J216">
            <v>0</v>
          </cell>
          <cell r="K216">
            <v>3</v>
          </cell>
          <cell r="L216">
            <v>6</v>
          </cell>
          <cell r="M216">
            <v>8</v>
          </cell>
          <cell r="N216">
            <v>8</v>
          </cell>
        </row>
        <row r="217">
          <cell r="G217">
            <v>0</v>
          </cell>
          <cell r="H217">
            <v>0</v>
          </cell>
          <cell r="I217">
            <v>24</v>
          </cell>
          <cell r="J217">
            <v>0</v>
          </cell>
          <cell r="K217">
            <v>3</v>
          </cell>
          <cell r="L217">
            <v>6</v>
          </cell>
          <cell r="M217">
            <v>8</v>
          </cell>
          <cell r="N217">
            <v>8</v>
          </cell>
        </row>
        <row r="218">
          <cell r="G218">
            <v>0</v>
          </cell>
          <cell r="H218">
            <v>0</v>
          </cell>
          <cell r="I218">
            <v>24</v>
          </cell>
          <cell r="J218">
            <v>0</v>
          </cell>
          <cell r="K218">
            <v>3</v>
          </cell>
          <cell r="L218">
            <v>6</v>
          </cell>
          <cell r="M218">
            <v>8</v>
          </cell>
          <cell r="N218">
            <v>8</v>
          </cell>
        </row>
        <row r="219">
          <cell r="G219">
            <v>0</v>
          </cell>
          <cell r="H219">
            <v>0</v>
          </cell>
          <cell r="I219">
            <v>24</v>
          </cell>
          <cell r="J219">
            <v>0</v>
          </cell>
          <cell r="K219">
            <v>3</v>
          </cell>
          <cell r="L219">
            <v>6</v>
          </cell>
          <cell r="M219">
            <v>8</v>
          </cell>
          <cell r="N219">
            <v>8</v>
          </cell>
        </row>
        <row r="220">
          <cell r="G220">
            <v>0</v>
          </cell>
          <cell r="H220">
            <v>0</v>
          </cell>
          <cell r="I220">
            <v>24</v>
          </cell>
          <cell r="J220">
            <v>0</v>
          </cell>
          <cell r="K220">
            <v>3</v>
          </cell>
          <cell r="L220">
            <v>6</v>
          </cell>
          <cell r="M220">
            <v>8</v>
          </cell>
          <cell r="N220">
            <v>8</v>
          </cell>
        </row>
        <row r="221">
          <cell r="G221">
            <v>0</v>
          </cell>
          <cell r="H221">
            <v>0</v>
          </cell>
          <cell r="I221">
            <v>24</v>
          </cell>
          <cell r="J221">
            <v>0</v>
          </cell>
          <cell r="K221">
            <v>3</v>
          </cell>
          <cell r="L221">
            <v>6</v>
          </cell>
          <cell r="M221">
            <v>8</v>
          </cell>
          <cell r="N221">
            <v>8</v>
          </cell>
        </row>
        <row r="222">
          <cell r="G222">
            <v>0</v>
          </cell>
          <cell r="H222">
            <v>0</v>
          </cell>
          <cell r="I222">
            <v>24</v>
          </cell>
          <cell r="J222">
            <v>0</v>
          </cell>
          <cell r="K222">
            <v>3</v>
          </cell>
          <cell r="L222">
            <v>6</v>
          </cell>
          <cell r="M222">
            <v>8</v>
          </cell>
          <cell r="N222">
            <v>8</v>
          </cell>
        </row>
        <row r="223">
          <cell r="G223">
            <v>0</v>
          </cell>
          <cell r="H223">
            <v>0</v>
          </cell>
          <cell r="I223">
            <v>24</v>
          </cell>
          <cell r="J223">
            <v>0</v>
          </cell>
          <cell r="K223">
            <v>3</v>
          </cell>
          <cell r="L223">
            <v>6</v>
          </cell>
          <cell r="M223">
            <v>8</v>
          </cell>
          <cell r="N223">
            <v>8</v>
          </cell>
        </row>
        <row r="224">
          <cell r="G224">
            <v>0</v>
          </cell>
          <cell r="H224">
            <v>0</v>
          </cell>
          <cell r="I224">
            <v>24</v>
          </cell>
          <cell r="J224">
            <v>0</v>
          </cell>
          <cell r="K224">
            <v>3</v>
          </cell>
          <cell r="L224">
            <v>6</v>
          </cell>
          <cell r="M224">
            <v>8</v>
          </cell>
          <cell r="N224">
            <v>8</v>
          </cell>
        </row>
        <row r="225">
          <cell r="G225">
            <v>0</v>
          </cell>
          <cell r="H225">
            <v>0</v>
          </cell>
          <cell r="I225">
            <v>24</v>
          </cell>
          <cell r="J225">
            <v>0</v>
          </cell>
          <cell r="K225">
            <v>3</v>
          </cell>
          <cell r="L225">
            <v>6</v>
          </cell>
          <cell r="M225">
            <v>8</v>
          </cell>
          <cell r="N225">
            <v>8</v>
          </cell>
        </row>
        <row r="226">
          <cell r="G226">
            <v>0</v>
          </cell>
          <cell r="H226">
            <v>0</v>
          </cell>
          <cell r="I226">
            <v>24</v>
          </cell>
          <cell r="J226">
            <v>0</v>
          </cell>
          <cell r="K226">
            <v>3</v>
          </cell>
          <cell r="L226">
            <v>6</v>
          </cell>
          <cell r="M226">
            <v>8</v>
          </cell>
          <cell r="N226">
            <v>8</v>
          </cell>
        </row>
        <row r="227">
          <cell r="G227">
            <v>0</v>
          </cell>
          <cell r="H227">
            <v>0</v>
          </cell>
          <cell r="I227">
            <v>24</v>
          </cell>
          <cell r="J227">
            <v>0</v>
          </cell>
          <cell r="K227">
            <v>3</v>
          </cell>
          <cell r="L227">
            <v>6</v>
          </cell>
          <cell r="M227">
            <v>8</v>
          </cell>
          <cell r="N227">
            <v>8</v>
          </cell>
        </row>
        <row r="228">
          <cell r="G228">
            <v>0</v>
          </cell>
          <cell r="H228">
            <v>0</v>
          </cell>
          <cell r="I228">
            <v>24</v>
          </cell>
          <cell r="J228">
            <v>0</v>
          </cell>
          <cell r="K228">
            <v>3</v>
          </cell>
          <cell r="L228">
            <v>6</v>
          </cell>
          <cell r="M228">
            <v>8</v>
          </cell>
          <cell r="N228">
            <v>8</v>
          </cell>
        </row>
        <row r="229">
          <cell r="G229">
            <v>0</v>
          </cell>
          <cell r="H229">
            <v>0</v>
          </cell>
          <cell r="I229">
            <v>24</v>
          </cell>
          <cell r="J229">
            <v>0</v>
          </cell>
          <cell r="K229">
            <v>3</v>
          </cell>
          <cell r="L229">
            <v>6</v>
          </cell>
          <cell r="M229">
            <v>8</v>
          </cell>
          <cell r="N229">
            <v>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(old)"/>
      <sheetName val="投放验证（日版）"/>
      <sheetName val="战法实力"/>
      <sheetName val="Sheet1"/>
      <sheetName val="Sheet3"/>
      <sheetName val="Sheet2"/>
      <sheetName val="Sheet4"/>
    </sheetNames>
    <sheetDataSet>
      <sheetData sheetId="0"/>
      <sheetData sheetId="1"/>
      <sheetData sheetId="2">
        <row r="17">
          <cell r="C17">
            <v>10</v>
          </cell>
          <cell r="D17">
            <v>1</v>
          </cell>
          <cell r="E17">
            <v>3</v>
          </cell>
          <cell r="F17">
            <v>3</v>
          </cell>
          <cell r="G17">
            <v>1</v>
          </cell>
          <cell r="H17">
            <v>0</v>
          </cell>
          <cell r="I17">
            <v>1.3343330496377463</v>
          </cell>
          <cell r="J17">
            <v>2</v>
          </cell>
          <cell r="K17">
            <v>3</v>
          </cell>
          <cell r="L17">
            <v>0</v>
          </cell>
        </row>
        <row r="18">
          <cell r="C18">
            <v>20</v>
          </cell>
          <cell r="D18">
            <v>3</v>
          </cell>
          <cell r="E18">
            <v>3</v>
          </cell>
          <cell r="F18">
            <v>7</v>
          </cell>
          <cell r="G18">
            <v>3</v>
          </cell>
          <cell r="H18">
            <v>0</v>
          </cell>
          <cell r="I18">
            <v>2.4520008438692154</v>
          </cell>
          <cell r="J18">
            <v>2</v>
          </cell>
          <cell r="K18">
            <v>3</v>
          </cell>
          <cell r="L18">
            <v>0</v>
          </cell>
        </row>
        <row r="19">
          <cell r="C19">
            <v>28.071211008105138</v>
          </cell>
          <cell r="D19">
            <v>6</v>
          </cell>
          <cell r="E19">
            <v>3</v>
          </cell>
          <cell r="F19">
            <v>7</v>
          </cell>
          <cell r="G19">
            <v>5</v>
          </cell>
          <cell r="H19">
            <v>0</v>
          </cell>
          <cell r="I19">
            <v>3.314626161222364</v>
          </cell>
          <cell r="J19">
            <v>2</v>
          </cell>
          <cell r="K19">
            <v>3</v>
          </cell>
          <cell r="L19">
            <v>0</v>
          </cell>
        </row>
        <row r="20">
          <cell r="C20">
            <v>34.585942742481357</v>
          </cell>
          <cell r="D20">
            <v>10</v>
          </cell>
          <cell r="E20">
            <v>3</v>
          </cell>
          <cell r="F20">
            <v>7</v>
          </cell>
          <cell r="G20">
            <v>8</v>
          </cell>
          <cell r="H20">
            <v>0</v>
          </cell>
          <cell r="I20">
            <v>3.9034558878380965</v>
          </cell>
          <cell r="J20">
            <v>2.2306826861022175</v>
          </cell>
          <cell r="K20">
            <v>3</v>
          </cell>
          <cell r="L20">
            <v>0</v>
          </cell>
        </row>
        <row r="21">
          <cell r="C21">
            <v>40</v>
          </cell>
          <cell r="D21">
            <v>15</v>
          </cell>
          <cell r="E21">
            <v>3</v>
          </cell>
          <cell r="F21">
            <v>7</v>
          </cell>
          <cell r="G21">
            <v>11</v>
          </cell>
          <cell r="H21">
            <v>0</v>
          </cell>
          <cell r="I21">
            <v>4.2789106360617994</v>
          </cell>
          <cell r="J21">
            <v>2.6537637535281897</v>
          </cell>
          <cell r="K21">
            <v>3</v>
          </cell>
          <cell r="L21">
            <v>0</v>
          </cell>
        </row>
        <row r="22">
          <cell r="C22">
            <v>43.920692243099523</v>
          </cell>
          <cell r="D22">
            <v>20</v>
          </cell>
          <cell r="E22">
            <v>3</v>
          </cell>
          <cell r="F22">
            <v>7</v>
          </cell>
          <cell r="G22">
            <v>13</v>
          </cell>
          <cell r="H22">
            <v>0</v>
          </cell>
          <cell r="I22">
            <v>4.6060869405984004</v>
          </cell>
          <cell r="J22">
            <v>3.038418280559311</v>
          </cell>
          <cell r="K22">
            <v>3</v>
          </cell>
          <cell r="L22">
            <v>0</v>
          </cell>
        </row>
        <row r="23">
          <cell r="C23">
            <v>49.533352307096472</v>
          </cell>
          <cell r="D23">
            <v>30</v>
          </cell>
          <cell r="E23">
            <v>3</v>
          </cell>
          <cell r="F23">
            <v>7</v>
          </cell>
          <cell r="G23">
            <v>19</v>
          </cell>
          <cell r="H23">
            <v>0</v>
          </cell>
          <cell r="I23">
            <v>5.1309497260946841</v>
          </cell>
          <cell r="J23">
            <v>3.4624349906396779</v>
          </cell>
          <cell r="K23">
            <v>3</v>
          </cell>
          <cell r="L23">
            <v>0</v>
          </cell>
        </row>
        <row r="24">
          <cell r="C24">
            <v>53.567039423670657</v>
          </cell>
          <cell r="D24">
            <v>40</v>
          </cell>
          <cell r="E24">
            <v>3</v>
          </cell>
          <cell r="F24">
            <v>7</v>
          </cell>
          <cell r="G24">
            <v>20</v>
          </cell>
          <cell r="H24">
            <v>0</v>
          </cell>
          <cell r="I24">
            <v>5.4710821785824386</v>
          </cell>
          <cell r="J24">
            <v>3.9022614378221188</v>
          </cell>
          <cell r="K24">
            <v>3.0145394335051301</v>
          </cell>
          <cell r="L24">
            <v>0</v>
          </cell>
        </row>
        <row r="25">
          <cell r="C25">
            <v>59.300028460644697</v>
          </cell>
          <cell r="D25">
            <v>60</v>
          </cell>
          <cell r="E25">
            <v>3</v>
          </cell>
          <cell r="F25">
            <v>7</v>
          </cell>
          <cell r="G25">
            <v>20</v>
          </cell>
          <cell r="H25">
            <v>0</v>
          </cell>
          <cell r="I25">
            <v>6.078418443207787</v>
          </cell>
          <cell r="J25">
            <v>4.3919010685834348</v>
          </cell>
          <cell r="K25">
            <v>3.4658882715696429</v>
          </cell>
          <cell r="L25">
            <v>0</v>
          </cell>
        </row>
        <row r="26">
          <cell r="C26">
            <v>65.075479910097457</v>
          </cell>
          <cell r="D26">
            <v>90</v>
          </cell>
          <cell r="E26">
            <v>3</v>
          </cell>
          <cell r="F26">
            <v>7</v>
          </cell>
          <cell r="G26">
            <v>20</v>
          </cell>
          <cell r="H26">
            <v>1</v>
          </cell>
          <cell r="I26">
            <v>6.59365459929327</v>
          </cell>
          <cell r="J26">
            <v>5.0251849329588048</v>
          </cell>
          <cell r="K26">
            <v>4.0560328256767892</v>
          </cell>
          <cell r="L26">
            <v>3</v>
          </cell>
        </row>
        <row r="27">
          <cell r="C27">
            <v>69.18336653741882</v>
          </cell>
          <cell r="D27">
            <v>120</v>
          </cell>
          <cell r="E27">
            <v>3</v>
          </cell>
          <cell r="F27">
            <v>7</v>
          </cell>
          <cell r="G27">
            <v>20</v>
          </cell>
          <cell r="H27">
            <v>1</v>
          </cell>
          <cell r="I27">
            <v>6.9806347024863067</v>
          </cell>
          <cell r="J27">
            <v>5.268204734605149</v>
          </cell>
          <cell r="K27">
            <v>4.2634097230816703</v>
          </cell>
          <cell r="L27">
            <v>3</v>
          </cell>
        </row>
        <row r="28">
          <cell r="C28">
            <v>72.375871759353331</v>
          </cell>
          <cell r="D28">
            <v>150</v>
          </cell>
          <cell r="E28">
            <v>3</v>
          </cell>
          <cell r="F28">
            <v>7</v>
          </cell>
          <cell r="G28">
            <v>20</v>
          </cell>
          <cell r="H28">
            <v>3</v>
          </cell>
          <cell r="I28">
            <v>7</v>
          </cell>
          <cell r="J28">
            <v>5.5098811726642998</v>
          </cell>
          <cell r="K28">
            <v>4.4180826434395266</v>
          </cell>
          <cell r="L28">
            <v>3</v>
          </cell>
        </row>
        <row r="29">
          <cell r="C29">
            <v>74.998404927577795</v>
          </cell>
          <cell r="D29">
            <v>180</v>
          </cell>
          <cell r="E29">
            <v>3</v>
          </cell>
          <cell r="F29">
            <v>7</v>
          </cell>
          <cell r="G29">
            <v>20</v>
          </cell>
          <cell r="H29">
            <v>4</v>
          </cell>
          <cell r="I29">
            <v>7</v>
          </cell>
          <cell r="J29">
            <v>5.7515416081251516</v>
          </cell>
          <cell r="K29">
            <v>4.5727453221344723</v>
          </cell>
          <cell r="L29">
            <v>3</v>
          </cell>
        </row>
        <row r="30">
          <cell r="C30">
            <v>77.875308029777003</v>
          </cell>
          <cell r="D30">
            <v>220</v>
          </cell>
          <cell r="E30">
            <v>3</v>
          </cell>
          <cell r="F30">
            <v>7</v>
          </cell>
          <cell r="G30">
            <v>20</v>
          </cell>
          <cell r="H30">
            <v>6</v>
          </cell>
          <cell r="I30">
            <v>7</v>
          </cell>
          <cell r="J30">
            <v>6.0203178438027924</v>
          </cell>
          <cell r="K30">
            <v>4.7577655330019493</v>
          </cell>
          <cell r="L30">
            <v>3</v>
          </cell>
        </row>
        <row r="31">
          <cell r="C31">
            <v>80.272123558064706</v>
          </cell>
          <cell r="D31">
            <v>260</v>
          </cell>
          <cell r="E31">
            <v>3</v>
          </cell>
          <cell r="F31">
            <v>7</v>
          </cell>
          <cell r="G31">
            <v>20</v>
          </cell>
          <cell r="H31">
            <v>7</v>
          </cell>
          <cell r="I31">
            <v>7</v>
          </cell>
          <cell r="J31">
            <v>6.1648568822438605</v>
          </cell>
          <cell r="K31">
            <v>4.9427755022065156</v>
          </cell>
          <cell r="L31">
            <v>3</v>
          </cell>
        </row>
        <row r="32">
          <cell r="C32">
            <v>82.328492296001457</v>
          </cell>
          <cell r="D32">
            <v>300</v>
          </cell>
          <cell r="E32">
            <v>3</v>
          </cell>
          <cell r="F32">
            <v>7</v>
          </cell>
          <cell r="G32">
            <v>20</v>
          </cell>
          <cell r="H32">
            <v>8</v>
          </cell>
          <cell r="I32">
            <v>7</v>
          </cell>
          <cell r="J32">
            <v>6.3093959206849277</v>
          </cell>
          <cell r="K32">
            <v>5.063892735705541</v>
          </cell>
          <cell r="L32">
            <v>3.1410157018001672</v>
          </cell>
        </row>
        <row r="33">
          <cell r="C33">
            <v>84.132234338875293</v>
          </cell>
          <cell r="D33">
            <v>340</v>
          </cell>
          <cell r="E33">
            <v>3</v>
          </cell>
          <cell r="F33">
            <v>7</v>
          </cell>
          <cell r="G33">
            <v>20</v>
          </cell>
          <cell r="H33">
            <v>8</v>
          </cell>
          <cell r="I33">
            <v>7</v>
          </cell>
          <cell r="J33">
            <v>6.4538899300201873</v>
          </cell>
          <cell r="K33">
            <v>5.1563689016801071</v>
          </cell>
          <cell r="L33">
            <v>3.3523897954563182</v>
          </cell>
        </row>
        <row r="34">
          <cell r="C34">
            <v>86.465948248806328</v>
          </cell>
          <cell r="D34">
            <v>400</v>
          </cell>
          <cell r="E34">
            <v>3</v>
          </cell>
          <cell r="F34">
            <v>7</v>
          </cell>
          <cell r="G34">
            <v>20</v>
          </cell>
          <cell r="H34">
            <v>8</v>
          </cell>
          <cell r="I34">
            <v>7</v>
          </cell>
          <cell r="J34">
            <v>6.6576296533989101</v>
          </cell>
          <cell r="K34">
            <v>5.2867623246424893</v>
          </cell>
          <cell r="L34">
            <v>3.6504319050846208</v>
          </cell>
        </row>
        <row r="35">
          <cell r="C35">
            <v>90.244911202258237</v>
          </cell>
          <cell r="D35">
            <v>520</v>
          </cell>
          <cell r="E35">
            <v>3</v>
          </cell>
          <cell r="F35">
            <v>7</v>
          </cell>
          <cell r="G35">
            <v>20</v>
          </cell>
          <cell r="H35">
            <v>8</v>
          </cell>
          <cell r="I35">
            <v>7</v>
          </cell>
          <cell r="J35">
            <v>7</v>
          </cell>
          <cell r="K35">
            <v>5.5390986607430603</v>
          </cell>
          <cell r="L35">
            <v>4.1136003366572478</v>
          </cell>
        </row>
        <row r="36">
          <cell r="C36">
            <v>93.235489905456092</v>
          </cell>
          <cell r="D36">
            <v>640</v>
          </cell>
          <cell r="E36">
            <v>3</v>
          </cell>
          <cell r="F36">
            <v>7</v>
          </cell>
          <cell r="G36">
            <v>20</v>
          </cell>
          <cell r="H36">
            <v>8</v>
          </cell>
          <cell r="I36">
            <v>7</v>
          </cell>
          <cell r="J36">
            <v>7</v>
          </cell>
          <cell r="K36">
            <v>5.7914349968436305</v>
          </cell>
          <cell r="L36">
            <v>4.4019847207721856</v>
          </cell>
        </row>
        <row r="37">
          <cell r="C37">
            <v>96.807063977001675</v>
          </cell>
          <cell r="D37">
            <v>820</v>
          </cell>
          <cell r="E37">
            <v>3</v>
          </cell>
          <cell r="F37">
            <v>7</v>
          </cell>
          <cell r="G37">
            <v>20</v>
          </cell>
          <cell r="H37">
            <v>8</v>
          </cell>
          <cell r="I37">
            <v>7</v>
          </cell>
          <cell r="J37">
            <v>7</v>
          </cell>
          <cell r="K37">
            <v>6.0769469962881653</v>
          </cell>
          <cell r="L37">
            <v>4.8162235730381289</v>
          </cell>
        </row>
        <row r="38">
          <cell r="C38">
            <v>100.50342858241972</v>
          </cell>
          <cell r="D38">
            <v>1060</v>
          </cell>
          <cell r="E38">
            <v>3</v>
          </cell>
          <cell r="F38">
            <v>7</v>
          </cell>
          <cell r="G38">
            <v>20</v>
          </cell>
          <cell r="H38">
            <v>8</v>
          </cell>
          <cell r="I38">
            <v>7</v>
          </cell>
          <cell r="J38">
            <v>7</v>
          </cell>
          <cell r="K38">
            <v>6.3100287222869493</v>
          </cell>
          <cell r="L38">
            <v>5.1744909019462462</v>
          </cell>
        </row>
        <row r="39">
          <cell r="C39">
            <v>104.10129967499306</v>
          </cell>
          <cell r="D39">
            <v>1360</v>
          </cell>
          <cell r="E39">
            <v>3</v>
          </cell>
          <cell r="F39">
            <v>7</v>
          </cell>
          <cell r="G39">
            <v>20</v>
          </cell>
          <cell r="H39">
            <v>8</v>
          </cell>
          <cell r="I39">
            <v>7</v>
          </cell>
          <cell r="J39">
            <v>7</v>
          </cell>
          <cell r="K39">
            <v>6.60134006323631</v>
          </cell>
          <cell r="L39">
            <v>5.5074181487455149</v>
          </cell>
        </row>
        <row r="40">
          <cell r="C40">
            <v>107.48165553683219</v>
          </cell>
          <cell r="D40">
            <v>1720</v>
          </cell>
          <cell r="E40">
            <v>3</v>
          </cell>
          <cell r="F40">
            <v>7</v>
          </cell>
          <cell r="G40">
            <v>20</v>
          </cell>
          <cell r="H40">
            <v>8</v>
          </cell>
          <cell r="I40">
            <v>7</v>
          </cell>
          <cell r="J40">
            <v>7</v>
          </cell>
          <cell r="K40">
            <v>6.9352347803811707</v>
          </cell>
          <cell r="L40">
            <v>5.8890121111967844</v>
          </cell>
        </row>
        <row r="41">
          <cell r="C41">
            <v>111.03813549320469</v>
          </cell>
          <cell r="D41">
            <v>2200</v>
          </cell>
          <cell r="E41">
            <v>3</v>
          </cell>
          <cell r="F41">
            <v>7</v>
          </cell>
          <cell r="G41">
            <v>20</v>
          </cell>
          <cell r="H41">
            <v>8</v>
          </cell>
          <cell r="I41">
            <v>7</v>
          </cell>
          <cell r="J41">
            <v>7</v>
          </cell>
          <cell r="K41">
            <v>7</v>
          </cell>
          <cell r="L41">
            <v>6.1954382925905369</v>
          </cell>
        </row>
        <row r="42">
          <cell r="C42">
            <v>114.50860608277577</v>
          </cell>
          <cell r="D42">
            <v>2800</v>
          </cell>
          <cell r="E42">
            <v>3</v>
          </cell>
          <cell r="F42">
            <v>7</v>
          </cell>
          <cell r="G42">
            <v>20</v>
          </cell>
          <cell r="H42">
            <v>8</v>
          </cell>
          <cell r="I42">
            <v>7</v>
          </cell>
          <cell r="J42">
            <v>7</v>
          </cell>
          <cell r="K42">
            <v>7</v>
          </cell>
          <cell r="L42">
            <v>6.5089171917120696</v>
          </cell>
        </row>
        <row r="43">
          <cell r="C43">
            <v>118.05948896247369</v>
          </cell>
          <cell r="D43">
            <v>3580</v>
          </cell>
          <cell r="E43">
            <v>3</v>
          </cell>
          <cell r="F43">
            <v>7</v>
          </cell>
          <cell r="G43">
            <v>20</v>
          </cell>
          <cell r="H43">
            <v>8</v>
          </cell>
          <cell r="I43">
            <v>7</v>
          </cell>
          <cell r="J43">
            <v>7</v>
          </cell>
          <cell r="K43">
            <v>7</v>
          </cell>
          <cell r="L43">
            <v>6.900111399358881</v>
          </cell>
        </row>
        <row r="44">
          <cell r="C44">
            <v>121.47928719052189</v>
          </cell>
          <cell r="D44">
            <v>4540</v>
          </cell>
          <cell r="E44">
            <v>3</v>
          </cell>
          <cell r="F44">
            <v>7</v>
          </cell>
          <cell r="G44">
            <v>20</v>
          </cell>
          <cell r="H44">
            <v>8</v>
          </cell>
          <cell r="I44">
            <v>7</v>
          </cell>
          <cell r="J44">
            <v>7</v>
          </cell>
          <cell r="K44">
            <v>7</v>
          </cell>
          <cell r="L44">
            <v>7</v>
          </cell>
        </row>
        <row r="45">
          <cell r="C45">
            <v>125.02015904129435</v>
          </cell>
          <cell r="D45">
            <v>5800</v>
          </cell>
          <cell r="E45">
            <v>3</v>
          </cell>
          <cell r="F45">
            <v>7</v>
          </cell>
          <cell r="G45">
            <v>20</v>
          </cell>
          <cell r="H45">
            <v>8</v>
          </cell>
          <cell r="I45">
            <v>7</v>
          </cell>
          <cell r="J45">
            <v>7</v>
          </cell>
          <cell r="K45">
            <v>7</v>
          </cell>
          <cell r="L45">
            <v>7</v>
          </cell>
        </row>
        <row r="46">
          <cell r="C46">
            <v>128.56549059889721</v>
          </cell>
          <cell r="D46">
            <v>7420</v>
          </cell>
          <cell r="E46">
            <v>3</v>
          </cell>
          <cell r="F46">
            <v>7</v>
          </cell>
          <cell r="G46">
            <v>20</v>
          </cell>
          <cell r="H46">
            <v>8</v>
          </cell>
          <cell r="I46">
            <v>7</v>
          </cell>
          <cell r="J46">
            <v>7</v>
          </cell>
          <cell r="K46">
            <v>7</v>
          </cell>
          <cell r="L46">
            <v>7</v>
          </cell>
        </row>
        <row r="47">
          <cell r="C47">
            <v>132.07530828871487</v>
          </cell>
          <cell r="D47">
            <v>9460</v>
          </cell>
          <cell r="E47">
            <v>3</v>
          </cell>
          <cell r="F47">
            <v>7</v>
          </cell>
          <cell r="G47">
            <v>20</v>
          </cell>
          <cell r="H47">
            <v>8</v>
          </cell>
          <cell r="I47">
            <v>7</v>
          </cell>
          <cell r="J47">
            <v>7</v>
          </cell>
          <cell r="K47">
            <v>7</v>
          </cell>
          <cell r="L47">
            <v>7</v>
          </cell>
        </row>
        <row r="48">
          <cell r="C48">
            <v>135.54811255008914</v>
          </cell>
          <cell r="D48">
            <v>12040</v>
          </cell>
          <cell r="E48">
            <v>3</v>
          </cell>
          <cell r="F48">
            <v>7</v>
          </cell>
          <cell r="G48">
            <v>20</v>
          </cell>
          <cell r="H48">
            <v>8</v>
          </cell>
          <cell r="I48">
            <v>7</v>
          </cell>
          <cell r="J48">
            <v>7</v>
          </cell>
          <cell r="K48">
            <v>7</v>
          </cell>
          <cell r="L48">
            <v>7</v>
          </cell>
        </row>
        <row r="49">
          <cell r="C49">
            <v>139.0493876099641</v>
          </cell>
          <cell r="D49">
            <v>15340</v>
          </cell>
          <cell r="E49">
            <v>3</v>
          </cell>
          <cell r="F49">
            <v>7</v>
          </cell>
          <cell r="G49">
            <v>20</v>
          </cell>
          <cell r="H49">
            <v>8</v>
          </cell>
          <cell r="I49">
            <v>7</v>
          </cell>
          <cell r="J49">
            <v>7</v>
          </cell>
          <cell r="K49">
            <v>7</v>
          </cell>
          <cell r="L49">
            <v>7</v>
          </cell>
        </row>
        <row r="50">
          <cell r="C50">
            <v>142.53355653582128</v>
          </cell>
          <cell r="D50">
            <v>19540</v>
          </cell>
          <cell r="E50">
            <v>3</v>
          </cell>
          <cell r="F50">
            <v>7</v>
          </cell>
          <cell r="G50">
            <v>20</v>
          </cell>
          <cell r="H50">
            <v>8</v>
          </cell>
          <cell r="I50">
            <v>7</v>
          </cell>
          <cell r="J50">
            <v>7</v>
          </cell>
          <cell r="K50">
            <v>7</v>
          </cell>
          <cell r="L50">
            <v>7</v>
          </cell>
        </row>
        <row r="51">
          <cell r="C51">
            <v>146.02664953963369</v>
          </cell>
          <cell r="D51">
            <v>24880</v>
          </cell>
          <cell r="E51">
            <v>3</v>
          </cell>
          <cell r="F51">
            <v>7</v>
          </cell>
          <cell r="G51">
            <v>20</v>
          </cell>
          <cell r="H51">
            <v>8</v>
          </cell>
          <cell r="I51">
            <v>7</v>
          </cell>
          <cell r="J51">
            <v>7</v>
          </cell>
          <cell r="K51">
            <v>7</v>
          </cell>
          <cell r="L51">
            <v>7</v>
          </cell>
        </row>
        <row r="52">
          <cell r="C52">
            <v>149.52287096243165</v>
          </cell>
          <cell r="D52">
            <v>31720</v>
          </cell>
          <cell r="E52">
            <v>3</v>
          </cell>
          <cell r="F52">
            <v>7</v>
          </cell>
          <cell r="G52">
            <v>20</v>
          </cell>
          <cell r="H52">
            <v>8</v>
          </cell>
          <cell r="I52">
            <v>7</v>
          </cell>
          <cell r="J52">
            <v>7</v>
          </cell>
          <cell r="K52">
            <v>7</v>
          </cell>
          <cell r="L52">
            <v>7</v>
          </cell>
        </row>
        <row r="53">
          <cell r="C53">
            <v>153.02723536432757</v>
          </cell>
          <cell r="D53">
            <v>40420</v>
          </cell>
          <cell r="E53">
            <v>3</v>
          </cell>
          <cell r="F53">
            <v>7</v>
          </cell>
          <cell r="G53">
            <v>20</v>
          </cell>
          <cell r="H53">
            <v>8</v>
          </cell>
          <cell r="I53">
            <v>7</v>
          </cell>
          <cell r="J53">
            <v>7</v>
          </cell>
          <cell r="K53">
            <v>7</v>
          </cell>
          <cell r="L53">
            <v>7</v>
          </cell>
        </row>
        <row r="54">
          <cell r="C54">
            <v>156.52008914974525</v>
          </cell>
          <cell r="D54">
            <v>51520</v>
          </cell>
          <cell r="E54">
            <v>3</v>
          </cell>
          <cell r="F54">
            <v>7</v>
          </cell>
          <cell r="G54">
            <v>20</v>
          </cell>
          <cell r="H54">
            <v>8</v>
          </cell>
          <cell r="I54">
            <v>7</v>
          </cell>
          <cell r="J54">
            <v>7</v>
          </cell>
          <cell r="K54">
            <v>7</v>
          </cell>
          <cell r="L54">
            <v>7</v>
          </cell>
        </row>
        <row r="55">
          <cell r="C55">
            <v>159.99202506384199</v>
          </cell>
          <cell r="D55">
            <v>65500</v>
          </cell>
          <cell r="E55">
            <v>3</v>
          </cell>
          <cell r="F55">
            <v>7</v>
          </cell>
          <cell r="G55">
            <v>20</v>
          </cell>
          <cell r="H55">
            <v>8</v>
          </cell>
          <cell r="I55">
            <v>7</v>
          </cell>
          <cell r="J55">
            <v>7</v>
          </cell>
          <cell r="K55">
            <v>7</v>
          </cell>
          <cell r="L55">
            <v>7</v>
          </cell>
        </row>
        <row r="62">
          <cell r="C62">
            <v>9.9592453074578113</v>
          </cell>
          <cell r="D62">
            <v>0.85</v>
          </cell>
          <cell r="E62">
            <v>3</v>
          </cell>
          <cell r="F62">
            <v>4</v>
          </cell>
          <cell r="G62">
            <v>2</v>
          </cell>
          <cell r="H62">
            <v>0</v>
          </cell>
          <cell r="I62">
            <v>1.5291592660896463</v>
          </cell>
          <cell r="J62">
            <v>2</v>
          </cell>
          <cell r="K62">
            <v>3</v>
          </cell>
          <cell r="L62">
            <v>0</v>
          </cell>
        </row>
        <row r="63">
          <cell r="C63">
            <v>19.766822802328868</v>
          </cell>
          <cell r="D63">
            <v>2.5499999999999998</v>
          </cell>
          <cell r="E63">
            <v>3</v>
          </cell>
          <cell r="F63">
            <v>7</v>
          </cell>
          <cell r="G63">
            <v>4</v>
          </cell>
          <cell r="H63">
            <v>0</v>
          </cell>
          <cell r="I63">
            <v>2.7054911202592899</v>
          </cell>
          <cell r="J63">
            <v>2</v>
          </cell>
          <cell r="K63">
            <v>3</v>
          </cell>
          <cell r="L63">
            <v>0</v>
          </cell>
        </row>
        <row r="64">
          <cell r="C64">
            <v>27.773265580596355</v>
          </cell>
          <cell r="D64">
            <v>5.0999999999999996</v>
          </cell>
          <cell r="E64">
            <v>3</v>
          </cell>
          <cell r="F64">
            <v>7</v>
          </cell>
          <cell r="G64">
            <v>6</v>
          </cell>
          <cell r="H64">
            <v>0</v>
          </cell>
          <cell r="I64">
            <v>3.5157337722350386</v>
          </cell>
          <cell r="J64">
            <v>2</v>
          </cell>
          <cell r="K64">
            <v>3</v>
          </cell>
          <cell r="L64">
            <v>0</v>
          </cell>
        </row>
        <row r="65">
          <cell r="C65">
            <v>34.250806171891597</v>
          </cell>
          <cell r="D65">
            <v>8.5</v>
          </cell>
          <cell r="E65">
            <v>3</v>
          </cell>
          <cell r="F65">
            <v>7</v>
          </cell>
          <cell r="G65">
            <v>9</v>
          </cell>
          <cell r="H65">
            <v>0</v>
          </cell>
          <cell r="I65">
            <v>4.1438874861848447</v>
          </cell>
          <cell r="J65">
            <v>2.4791648528252308</v>
          </cell>
          <cell r="K65">
            <v>3</v>
          </cell>
          <cell r="L65">
            <v>0</v>
          </cell>
        </row>
        <row r="66">
          <cell r="C66">
            <v>39.661158518499626</v>
          </cell>
          <cell r="D66">
            <v>12.75</v>
          </cell>
          <cell r="E66">
            <v>3</v>
          </cell>
          <cell r="F66">
            <v>7</v>
          </cell>
          <cell r="G66">
            <v>13</v>
          </cell>
          <cell r="H66">
            <v>0</v>
          </cell>
          <cell r="I66">
            <v>4.537791629153241</v>
          </cell>
          <cell r="J66">
            <v>2.9885236583878116</v>
          </cell>
          <cell r="K66">
            <v>3</v>
          </cell>
          <cell r="L66">
            <v>0</v>
          </cell>
        </row>
        <row r="67">
          <cell r="C67">
            <v>43.535389560453282</v>
          </cell>
          <cell r="D67">
            <v>17</v>
          </cell>
          <cell r="E67">
            <v>3</v>
          </cell>
          <cell r="F67">
            <v>7</v>
          </cell>
          <cell r="G67">
            <v>16</v>
          </cell>
          <cell r="H67">
            <v>0</v>
          </cell>
          <cell r="I67">
            <v>4.9239269582837402</v>
          </cell>
          <cell r="J67">
            <v>3.2439182919937979</v>
          </cell>
          <cell r="K67">
            <v>3</v>
          </cell>
          <cell r="L67">
            <v>0</v>
          </cell>
        </row>
        <row r="68">
          <cell r="C68">
            <v>49.178590903134719</v>
          </cell>
          <cell r="D68">
            <v>25.5</v>
          </cell>
          <cell r="E68">
            <v>3</v>
          </cell>
          <cell r="F68">
            <v>7</v>
          </cell>
          <cell r="G68">
            <v>20</v>
          </cell>
          <cell r="H68">
            <v>0</v>
          </cell>
          <cell r="I68">
            <v>5.3448618025065793</v>
          </cell>
          <cell r="J68">
            <v>3.7390454342757491</v>
          </cell>
          <cell r="K68">
            <v>3</v>
          </cell>
          <cell r="L68">
            <v>0</v>
          </cell>
        </row>
        <row r="69">
          <cell r="C69">
            <v>53.226994578658328</v>
          </cell>
          <cell r="D69">
            <v>34</v>
          </cell>
          <cell r="E69">
            <v>3</v>
          </cell>
          <cell r="F69">
            <v>7</v>
          </cell>
          <cell r="G69">
            <v>20</v>
          </cell>
          <cell r="H69">
            <v>0</v>
          </cell>
          <cell r="I69">
            <v>5.7361973343432489</v>
          </cell>
          <cell r="J69">
            <v>4.1225413799633071</v>
          </cell>
          <cell r="K69">
            <v>3.1973774719608619</v>
          </cell>
          <cell r="L69">
            <v>0</v>
          </cell>
        </row>
        <row r="70">
          <cell r="C70">
            <v>59.016342740868758</v>
          </cell>
          <cell r="D70">
            <v>51</v>
          </cell>
          <cell r="E70">
            <v>3</v>
          </cell>
          <cell r="F70">
            <v>7</v>
          </cell>
          <cell r="G70">
            <v>20</v>
          </cell>
          <cell r="H70">
            <v>0</v>
          </cell>
          <cell r="I70">
            <v>6.271295481542408</v>
          </cell>
          <cell r="J70">
            <v>4.6408526619042023</v>
          </cell>
          <cell r="K70">
            <v>3.728128224668338</v>
          </cell>
          <cell r="L70">
            <v>0</v>
          </cell>
        </row>
        <row r="71">
          <cell r="C71">
            <v>64.781009552500748</v>
          </cell>
          <cell r="D71">
            <v>76.5</v>
          </cell>
          <cell r="E71">
            <v>3</v>
          </cell>
          <cell r="F71">
            <v>7</v>
          </cell>
          <cell r="G71">
            <v>20</v>
          </cell>
          <cell r="H71">
            <v>1</v>
          </cell>
          <cell r="I71">
            <v>6.8796448376033217</v>
          </cell>
          <cell r="J71">
            <v>5.2091597924077728</v>
          </cell>
          <cell r="K71">
            <v>4.2455412158426675</v>
          </cell>
          <cell r="L71">
            <v>3</v>
          </cell>
        </row>
        <row r="72">
          <cell r="C72">
            <v>68.923431594456531</v>
          </cell>
          <cell r="D72">
            <v>102</v>
          </cell>
          <cell r="E72">
            <v>3</v>
          </cell>
          <cell r="F72">
            <v>7</v>
          </cell>
          <cell r="G72">
            <v>20</v>
          </cell>
          <cell r="H72">
            <v>2</v>
          </cell>
          <cell r="I72">
            <v>7</v>
          </cell>
          <cell r="J72">
            <v>5.5587766712175855</v>
          </cell>
          <cell r="K72">
            <v>4.5438809524270418</v>
          </cell>
          <cell r="L72">
            <v>3</v>
          </cell>
        </row>
        <row r="73">
          <cell r="C73">
            <v>72.103942950990486</v>
          </cell>
          <cell r="D73">
            <v>127.5</v>
          </cell>
          <cell r="E73">
            <v>3</v>
          </cell>
          <cell r="F73">
            <v>7</v>
          </cell>
          <cell r="G73">
            <v>20</v>
          </cell>
          <cell r="H73">
            <v>3</v>
          </cell>
          <cell r="I73">
            <v>7</v>
          </cell>
          <cell r="J73">
            <v>5.8643873945508087</v>
          </cell>
          <cell r="K73">
            <v>4.7394718153603046</v>
          </cell>
          <cell r="L73">
            <v>3</v>
          </cell>
        </row>
        <row r="74">
          <cell r="C74">
            <v>74.74003809013405</v>
          </cell>
          <cell r="D74">
            <v>153</v>
          </cell>
          <cell r="E74">
            <v>3</v>
          </cell>
          <cell r="F74">
            <v>7</v>
          </cell>
          <cell r="G74">
            <v>20</v>
          </cell>
          <cell r="H74">
            <v>5</v>
          </cell>
          <cell r="I74">
            <v>7</v>
          </cell>
          <cell r="J74">
            <v>6.0849990589420155</v>
          </cell>
          <cell r="K74">
            <v>4.9350626782935674</v>
          </cell>
          <cell r="L74">
            <v>3</v>
          </cell>
        </row>
        <row r="75">
          <cell r="C75">
            <v>77.609642525433856</v>
          </cell>
          <cell r="D75">
            <v>187</v>
          </cell>
          <cell r="E75">
            <v>3</v>
          </cell>
          <cell r="F75">
            <v>7</v>
          </cell>
          <cell r="G75">
            <v>20</v>
          </cell>
          <cell r="H75">
            <v>8</v>
          </cell>
          <cell r="I75">
            <v>7</v>
          </cell>
          <cell r="J75">
            <v>6.2853923221255226</v>
          </cell>
          <cell r="K75">
            <v>5.0957830275842273</v>
          </cell>
          <cell r="L75">
            <v>3</v>
          </cell>
        </row>
        <row r="76">
          <cell r="C76">
            <v>79.994335665275713</v>
          </cell>
          <cell r="D76">
            <v>221</v>
          </cell>
          <cell r="E76">
            <v>3</v>
          </cell>
          <cell r="F76">
            <v>7</v>
          </cell>
          <cell r="G76">
            <v>20</v>
          </cell>
          <cell r="H76">
            <v>8</v>
          </cell>
          <cell r="I76">
            <v>7</v>
          </cell>
          <cell r="J76">
            <v>6.4737876666208232</v>
          </cell>
          <cell r="K76">
            <v>5.2163560480612201</v>
          </cell>
          <cell r="L76">
            <v>3.2194884445748273</v>
          </cell>
        </row>
        <row r="77">
          <cell r="C77">
            <v>82.100546804797787</v>
          </cell>
          <cell r="D77">
            <v>255</v>
          </cell>
          <cell r="E77">
            <v>3</v>
          </cell>
          <cell r="F77">
            <v>7</v>
          </cell>
          <cell r="G77">
            <v>20</v>
          </cell>
          <cell r="H77">
            <v>8</v>
          </cell>
          <cell r="I77">
            <v>7</v>
          </cell>
          <cell r="J77">
            <v>6.6620271700618332</v>
          </cell>
          <cell r="K77">
            <v>5.3368293302634662</v>
          </cell>
          <cell r="L77">
            <v>3.49485594675139</v>
          </cell>
        </row>
        <row r="78">
          <cell r="C78">
            <v>83.885420957389968</v>
          </cell>
          <cell r="D78">
            <v>289</v>
          </cell>
          <cell r="E78">
            <v>3</v>
          </cell>
          <cell r="F78">
            <v>7</v>
          </cell>
          <cell r="G78">
            <v>20</v>
          </cell>
          <cell r="H78">
            <v>8</v>
          </cell>
          <cell r="I78">
            <v>7</v>
          </cell>
          <cell r="J78">
            <v>6.8502666735028432</v>
          </cell>
          <cell r="K78">
            <v>5.4573026124657131</v>
          </cell>
          <cell r="L78">
            <v>3.7702234489279536</v>
          </cell>
        </row>
        <row r="79">
          <cell r="C79">
            <v>86.247032860782397</v>
          </cell>
          <cell r="D79">
            <v>340</v>
          </cell>
          <cell r="E79">
            <v>3</v>
          </cell>
          <cell r="F79">
            <v>7</v>
          </cell>
          <cell r="G79">
            <v>20</v>
          </cell>
          <cell r="H79">
            <v>8</v>
          </cell>
          <cell r="I79">
            <v>7</v>
          </cell>
          <cell r="J79">
            <v>7</v>
          </cell>
          <cell r="K79">
            <v>5.6380125357690831</v>
          </cell>
          <cell r="L79">
            <v>4.0916373510963995</v>
          </cell>
        </row>
        <row r="80">
          <cell r="C80">
            <v>90.122782504866933</v>
          </cell>
          <cell r="D80">
            <v>442</v>
          </cell>
          <cell r="E80">
            <v>3</v>
          </cell>
          <cell r="F80">
            <v>7</v>
          </cell>
          <cell r="G80">
            <v>20</v>
          </cell>
          <cell r="H80">
            <v>8</v>
          </cell>
          <cell r="I80">
            <v>7</v>
          </cell>
          <cell r="J80">
            <v>7</v>
          </cell>
          <cell r="K80">
            <v>5.9805064547332689</v>
          </cell>
          <cell r="L80">
            <v>4.4830589727697552</v>
          </cell>
        </row>
        <row r="81">
          <cell r="C81">
            <v>93.149045658279036</v>
          </cell>
          <cell r="D81">
            <v>544</v>
          </cell>
          <cell r="E81">
            <v>3</v>
          </cell>
          <cell r="F81">
            <v>7</v>
          </cell>
          <cell r="G81">
            <v>20</v>
          </cell>
          <cell r="H81">
            <v>8</v>
          </cell>
          <cell r="I81">
            <v>7</v>
          </cell>
          <cell r="J81">
            <v>7</v>
          </cell>
          <cell r="K81">
            <v>6.1591921468923188</v>
          </cell>
          <cell r="L81">
            <v>4.869205074542748</v>
          </cell>
        </row>
        <row r="82">
          <cell r="C82">
            <v>96.770480813454071</v>
          </cell>
          <cell r="D82">
            <v>697</v>
          </cell>
          <cell r="E82">
            <v>3</v>
          </cell>
          <cell r="F82">
            <v>7</v>
          </cell>
          <cell r="G82">
            <v>20</v>
          </cell>
          <cell r="H82">
            <v>8</v>
          </cell>
          <cell r="I82">
            <v>7</v>
          </cell>
          <cell r="J82">
            <v>7</v>
          </cell>
          <cell r="K82">
            <v>6.412600526180845</v>
          </cell>
          <cell r="L82">
            <v>5.2242121136011175</v>
          </cell>
        </row>
        <row r="83">
          <cell r="C83">
            <v>100.40175326279811</v>
          </cell>
          <cell r="D83">
            <v>901</v>
          </cell>
          <cell r="E83">
            <v>3</v>
          </cell>
          <cell r="F83">
            <v>7</v>
          </cell>
          <cell r="G83">
            <v>20</v>
          </cell>
          <cell r="H83">
            <v>8</v>
          </cell>
          <cell r="I83">
            <v>7</v>
          </cell>
          <cell r="J83">
            <v>7</v>
          </cell>
          <cell r="K83">
            <v>6.7345050616019391</v>
          </cell>
          <cell r="L83">
            <v>5.5921030112252259</v>
          </cell>
        </row>
        <row r="84">
          <cell r="C84">
            <v>104.06236366727887</v>
          </cell>
          <cell r="D84">
            <v>1156</v>
          </cell>
          <cell r="E84">
            <v>3</v>
          </cell>
          <cell r="F84">
            <v>7</v>
          </cell>
          <cell r="G84">
            <v>20</v>
          </cell>
          <cell r="H84">
            <v>8</v>
          </cell>
          <cell r="I84">
            <v>7</v>
          </cell>
          <cell r="J84">
            <v>7</v>
          </cell>
          <cell r="K84">
            <v>7</v>
          </cell>
          <cell r="L84">
            <v>6.0245334903313257</v>
          </cell>
        </row>
        <row r="85">
          <cell r="C85">
            <v>107.42257994053838</v>
          </cell>
          <cell r="D85">
            <v>1462</v>
          </cell>
          <cell r="E85">
            <v>3</v>
          </cell>
          <cell r="F85">
            <v>7</v>
          </cell>
          <cell r="G85">
            <v>20</v>
          </cell>
          <cell r="H85">
            <v>8</v>
          </cell>
          <cell r="I85">
            <v>7</v>
          </cell>
          <cell r="J85">
            <v>7</v>
          </cell>
          <cell r="K85">
            <v>7</v>
          </cell>
          <cell r="L85">
            <v>6.297502575269613</v>
          </cell>
        </row>
        <row r="86">
          <cell r="C86">
            <v>111.00691759243479</v>
          </cell>
          <cell r="D86">
            <v>1870</v>
          </cell>
          <cell r="E86">
            <v>3</v>
          </cell>
          <cell r="F86">
            <v>7</v>
          </cell>
          <cell r="G86">
            <v>20</v>
          </cell>
          <cell r="H86">
            <v>8</v>
          </cell>
          <cell r="I86">
            <v>7</v>
          </cell>
          <cell r="J86">
            <v>7</v>
          </cell>
          <cell r="K86">
            <v>7</v>
          </cell>
          <cell r="L86">
            <v>6.6490614360858613</v>
          </cell>
        </row>
        <row r="87">
          <cell r="C87">
            <v>114.47614359759058</v>
          </cell>
          <cell r="D87">
            <v>2380</v>
          </cell>
          <cell r="E87">
            <v>3</v>
          </cell>
          <cell r="F87">
            <v>7</v>
          </cell>
          <cell r="G87">
            <v>20</v>
          </cell>
          <cell r="H87">
            <v>8</v>
          </cell>
          <cell r="I87">
            <v>7</v>
          </cell>
          <cell r="J87">
            <v>7</v>
          </cell>
          <cell r="K87">
            <v>7</v>
          </cell>
          <cell r="L87">
            <v>7</v>
          </cell>
        </row>
        <row r="88">
          <cell r="C88">
            <v>118.05724034557241</v>
          </cell>
          <cell r="D88">
            <v>3043</v>
          </cell>
          <cell r="E88">
            <v>3</v>
          </cell>
          <cell r="F88">
            <v>7</v>
          </cell>
          <cell r="G88">
            <v>20</v>
          </cell>
          <cell r="H88">
            <v>8</v>
          </cell>
          <cell r="I88">
            <v>7</v>
          </cell>
          <cell r="J88">
            <v>7</v>
          </cell>
          <cell r="K88">
            <v>7</v>
          </cell>
          <cell r="L88">
            <v>7</v>
          </cell>
        </row>
        <row r="89">
          <cell r="C89">
            <v>121.49411884885473</v>
          </cell>
          <cell r="D89">
            <v>3859</v>
          </cell>
          <cell r="E89">
            <v>3</v>
          </cell>
          <cell r="F89">
            <v>7</v>
          </cell>
          <cell r="G89">
            <v>20</v>
          </cell>
          <cell r="H89">
            <v>8</v>
          </cell>
          <cell r="I89">
            <v>7</v>
          </cell>
          <cell r="J89">
            <v>7</v>
          </cell>
          <cell r="K89">
            <v>7</v>
          </cell>
          <cell r="L89">
            <v>7</v>
          </cell>
        </row>
        <row r="90">
          <cell r="C90">
            <v>125.03100311549058</v>
          </cell>
          <cell r="D90">
            <v>4930</v>
          </cell>
          <cell r="E90">
            <v>3</v>
          </cell>
          <cell r="F90">
            <v>7</v>
          </cell>
          <cell r="G90">
            <v>20</v>
          </cell>
          <cell r="H90">
            <v>8</v>
          </cell>
          <cell r="I90">
            <v>7</v>
          </cell>
          <cell r="J90">
            <v>7</v>
          </cell>
          <cell r="K90">
            <v>7</v>
          </cell>
          <cell r="L90">
            <v>7</v>
          </cell>
        </row>
        <row r="91">
          <cell r="C91">
            <v>128.62542789463421</v>
          </cell>
          <cell r="D91">
            <v>6307</v>
          </cell>
          <cell r="E91">
            <v>3</v>
          </cell>
          <cell r="F91">
            <v>7</v>
          </cell>
          <cell r="G91">
            <v>20</v>
          </cell>
          <cell r="H91">
            <v>8</v>
          </cell>
          <cell r="I91">
            <v>7</v>
          </cell>
          <cell r="J91">
            <v>7</v>
          </cell>
          <cell r="K91">
            <v>7</v>
          </cell>
          <cell r="L91">
            <v>7</v>
          </cell>
        </row>
        <row r="92">
          <cell r="C92">
            <v>132.09902390525281</v>
          </cell>
          <cell r="D92">
            <v>8041</v>
          </cell>
          <cell r="E92">
            <v>3</v>
          </cell>
          <cell r="F92">
            <v>7</v>
          </cell>
          <cell r="G92">
            <v>20</v>
          </cell>
          <cell r="H92">
            <v>8</v>
          </cell>
          <cell r="I92">
            <v>7</v>
          </cell>
          <cell r="J92">
            <v>7</v>
          </cell>
          <cell r="K92">
            <v>7</v>
          </cell>
          <cell r="L92">
            <v>7</v>
          </cell>
        </row>
        <row r="93">
          <cell r="C93">
            <v>135.61521761503846</v>
          </cell>
          <cell r="D93">
            <v>10234</v>
          </cell>
          <cell r="E93">
            <v>3</v>
          </cell>
          <cell r="F93">
            <v>7</v>
          </cell>
          <cell r="G93">
            <v>20</v>
          </cell>
          <cell r="H93">
            <v>8</v>
          </cell>
          <cell r="I93">
            <v>7</v>
          </cell>
          <cell r="J93">
            <v>7</v>
          </cell>
          <cell r="K93">
            <v>7</v>
          </cell>
          <cell r="L93">
            <v>7</v>
          </cell>
        </row>
        <row r="94">
          <cell r="C94">
            <v>139.08794136138388</v>
          </cell>
          <cell r="D94">
            <v>13039</v>
          </cell>
          <cell r="E94">
            <v>3</v>
          </cell>
          <cell r="F94">
            <v>7</v>
          </cell>
          <cell r="G94">
            <v>20</v>
          </cell>
          <cell r="H94">
            <v>8</v>
          </cell>
          <cell r="I94">
            <v>7</v>
          </cell>
          <cell r="J94">
            <v>7</v>
          </cell>
          <cell r="K94">
            <v>7</v>
          </cell>
          <cell r="L94">
            <v>7</v>
          </cell>
        </row>
        <row r="95">
          <cell r="C95">
            <v>142.60670974426387</v>
          </cell>
          <cell r="D95">
            <v>16609</v>
          </cell>
          <cell r="E95">
            <v>3</v>
          </cell>
          <cell r="F95">
            <v>7</v>
          </cell>
          <cell r="G95">
            <v>20</v>
          </cell>
          <cell r="H95">
            <v>8</v>
          </cell>
          <cell r="I95">
            <v>7</v>
          </cell>
          <cell r="J95">
            <v>7</v>
          </cell>
          <cell r="K95">
            <v>7</v>
          </cell>
          <cell r="L95">
            <v>7</v>
          </cell>
        </row>
        <row r="96">
          <cell r="C96">
            <v>146.07830147206653</v>
          </cell>
          <cell r="D96">
            <v>21148</v>
          </cell>
          <cell r="E96">
            <v>3</v>
          </cell>
          <cell r="F96">
            <v>7</v>
          </cell>
          <cell r="G96">
            <v>20</v>
          </cell>
          <cell r="H96">
            <v>8</v>
          </cell>
          <cell r="I96">
            <v>7</v>
          </cell>
          <cell r="J96">
            <v>7</v>
          </cell>
          <cell r="K96">
            <v>7</v>
          </cell>
          <cell r="L96">
            <v>7</v>
          </cell>
        </row>
        <row r="97">
          <cell r="C97">
            <v>149.61701338734093</v>
          </cell>
          <cell r="D97">
            <v>26962</v>
          </cell>
          <cell r="E97">
            <v>3</v>
          </cell>
          <cell r="F97">
            <v>7</v>
          </cell>
          <cell r="G97">
            <v>20</v>
          </cell>
          <cell r="H97">
            <v>8</v>
          </cell>
          <cell r="I97">
            <v>7</v>
          </cell>
          <cell r="J97">
            <v>7</v>
          </cell>
          <cell r="K97">
            <v>7</v>
          </cell>
          <cell r="L97">
            <v>7</v>
          </cell>
        </row>
        <row r="98">
          <cell r="C98">
            <v>153.01012120353457</v>
          </cell>
          <cell r="D98">
            <v>34357</v>
          </cell>
          <cell r="E98">
            <v>3</v>
          </cell>
          <cell r="F98">
            <v>7</v>
          </cell>
          <cell r="G98">
            <v>20</v>
          </cell>
          <cell r="H98">
            <v>8</v>
          </cell>
          <cell r="I98">
            <v>7</v>
          </cell>
          <cell r="J98">
            <v>7</v>
          </cell>
          <cell r="K98">
            <v>7</v>
          </cell>
          <cell r="L98">
            <v>7</v>
          </cell>
        </row>
        <row r="99">
          <cell r="C99">
            <v>154.95970315183646</v>
          </cell>
          <cell r="D99">
            <v>43792</v>
          </cell>
          <cell r="E99">
            <v>3</v>
          </cell>
          <cell r="F99">
            <v>7</v>
          </cell>
          <cell r="G99">
            <v>20</v>
          </cell>
          <cell r="H99">
            <v>8</v>
          </cell>
          <cell r="I99">
            <v>7</v>
          </cell>
          <cell r="J99">
            <v>7</v>
          </cell>
          <cell r="K99">
            <v>7</v>
          </cell>
          <cell r="L99">
            <v>7</v>
          </cell>
        </row>
        <row r="100">
          <cell r="C100">
            <v>157.63974470288184</v>
          </cell>
          <cell r="D100">
            <v>55675</v>
          </cell>
          <cell r="E100">
            <v>3</v>
          </cell>
          <cell r="F100">
            <v>7</v>
          </cell>
          <cell r="G100">
            <v>20</v>
          </cell>
          <cell r="H100">
            <v>8</v>
          </cell>
          <cell r="I100">
            <v>7</v>
          </cell>
          <cell r="J100">
            <v>7</v>
          </cell>
          <cell r="K100">
            <v>7</v>
          </cell>
          <cell r="L100">
            <v>7</v>
          </cell>
        </row>
        <row r="107">
          <cell r="C107">
            <v>10.099965341977441</v>
          </cell>
          <cell r="D107">
            <v>0.7</v>
          </cell>
          <cell r="E107">
            <v>3</v>
          </cell>
          <cell r="F107">
            <v>5</v>
          </cell>
          <cell r="G107">
            <v>2</v>
          </cell>
          <cell r="H107">
            <v>0</v>
          </cell>
          <cell r="I107">
            <v>1.9996970280792628</v>
          </cell>
          <cell r="J107">
            <v>2</v>
          </cell>
          <cell r="K107">
            <v>3</v>
          </cell>
          <cell r="L107">
            <v>0</v>
          </cell>
        </row>
        <row r="108">
          <cell r="C108">
            <v>19.800198258084681</v>
          </cell>
          <cell r="D108">
            <v>2.0999999999999996</v>
          </cell>
          <cell r="E108">
            <v>3</v>
          </cell>
          <cell r="F108">
            <v>7</v>
          </cell>
          <cell r="G108">
            <v>5</v>
          </cell>
          <cell r="H108">
            <v>0</v>
          </cell>
          <cell r="I108">
            <v>3.1575156303665377</v>
          </cell>
          <cell r="J108">
            <v>2</v>
          </cell>
          <cell r="K108">
            <v>3</v>
          </cell>
          <cell r="L108">
            <v>0</v>
          </cell>
        </row>
        <row r="109">
          <cell r="C109">
            <v>27.769105021676069</v>
          </cell>
          <cell r="D109">
            <v>4.1999999999999993</v>
          </cell>
          <cell r="E109">
            <v>3</v>
          </cell>
          <cell r="F109">
            <v>7</v>
          </cell>
          <cell r="G109">
            <v>8</v>
          </cell>
          <cell r="H109">
            <v>0</v>
          </cell>
          <cell r="I109">
            <v>4.0019442027788514</v>
          </cell>
          <cell r="J109">
            <v>2.295617503593343</v>
          </cell>
          <cell r="K109">
            <v>3</v>
          </cell>
          <cell r="L109">
            <v>0</v>
          </cell>
        </row>
        <row r="110">
          <cell r="C110">
            <v>34.192155176139416</v>
          </cell>
          <cell r="D110">
            <v>7</v>
          </cell>
          <cell r="E110">
            <v>3</v>
          </cell>
          <cell r="F110">
            <v>7</v>
          </cell>
          <cell r="G110">
            <v>13</v>
          </cell>
          <cell r="H110">
            <v>0</v>
          </cell>
          <cell r="I110">
            <v>4.562286444327647</v>
          </cell>
          <cell r="J110">
            <v>3.0100989941773579</v>
          </cell>
          <cell r="K110">
            <v>3</v>
          </cell>
          <cell r="L110">
            <v>0</v>
          </cell>
        </row>
        <row r="111">
          <cell r="C111">
            <v>39.631851677253941</v>
          </cell>
          <cell r="D111">
            <v>10.5</v>
          </cell>
          <cell r="E111">
            <v>3</v>
          </cell>
          <cell r="F111">
            <v>7</v>
          </cell>
          <cell r="G111">
            <v>18</v>
          </cell>
          <cell r="H111">
            <v>0</v>
          </cell>
          <cell r="I111">
            <v>5.0575209272961272</v>
          </cell>
          <cell r="J111">
            <v>3.3674839577105091</v>
          </cell>
          <cell r="K111">
            <v>3</v>
          </cell>
          <cell r="L111">
            <v>0</v>
          </cell>
        </row>
        <row r="112">
          <cell r="C112">
            <v>43.484929789964411</v>
          </cell>
          <cell r="D112">
            <v>14</v>
          </cell>
          <cell r="E112">
            <v>3</v>
          </cell>
          <cell r="F112">
            <v>7</v>
          </cell>
          <cell r="G112">
            <v>20</v>
          </cell>
          <cell r="H112">
            <v>0</v>
          </cell>
          <cell r="I112">
            <v>5.3307194512484477</v>
          </cell>
          <cell r="J112">
            <v>3.7207579110971305</v>
          </cell>
          <cell r="K112">
            <v>3</v>
          </cell>
          <cell r="L112">
            <v>0</v>
          </cell>
        </row>
        <row r="113">
          <cell r="C113">
            <v>49.18886033229559</v>
          </cell>
          <cell r="D113">
            <v>21</v>
          </cell>
          <cell r="E113">
            <v>3</v>
          </cell>
          <cell r="F113">
            <v>7</v>
          </cell>
          <cell r="G113">
            <v>20</v>
          </cell>
          <cell r="H113">
            <v>0</v>
          </cell>
          <cell r="I113">
            <v>5.8468223616722046</v>
          </cell>
          <cell r="J113">
            <v>4.19406618211565</v>
          </cell>
          <cell r="K113">
            <v>3.2736705942566933</v>
          </cell>
          <cell r="L113">
            <v>0</v>
          </cell>
        </row>
        <row r="114">
          <cell r="C114">
            <v>53.212684955585161</v>
          </cell>
          <cell r="D114">
            <v>28</v>
          </cell>
          <cell r="E114">
            <v>3</v>
          </cell>
          <cell r="F114">
            <v>7</v>
          </cell>
          <cell r="G114">
            <v>20</v>
          </cell>
          <cell r="H114">
            <v>0</v>
          </cell>
          <cell r="I114">
            <v>6.1808496142693183</v>
          </cell>
          <cell r="J114">
            <v>4.5269607081068779</v>
          </cell>
          <cell r="K114">
            <v>3.6287580886473361</v>
          </cell>
          <cell r="L114">
            <v>0</v>
          </cell>
        </row>
        <row r="115">
          <cell r="C115">
            <v>59.09095196730258</v>
          </cell>
          <cell r="D115">
            <v>42</v>
          </cell>
          <cell r="E115">
            <v>3</v>
          </cell>
          <cell r="F115">
            <v>7</v>
          </cell>
          <cell r="G115">
            <v>20</v>
          </cell>
          <cell r="H115">
            <v>0</v>
          </cell>
          <cell r="I115">
            <v>6.7224314465056896</v>
          </cell>
          <cell r="J115">
            <v>5.1115832702190795</v>
          </cell>
          <cell r="K115">
            <v>4.1708364304772836</v>
          </cell>
          <cell r="L115">
            <v>0</v>
          </cell>
        </row>
        <row r="116">
          <cell r="C116">
            <v>64.819145630244321</v>
          </cell>
          <cell r="D116">
            <v>62.999999999999993</v>
          </cell>
          <cell r="E116">
            <v>3</v>
          </cell>
          <cell r="F116">
            <v>7</v>
          </cell>
          <cell r="G116">
            <v>20</v>
          </cell>
          <cell r="H116">
            <v>1</v>
          </cell>
          <cell r="I116">
            <v>7</v>
          </cell>
          <cell r="J116">
            <v>5.6375397420111435</v>
          </cell>
          <cell r="K116">
            <v>4.6869750481292298</v>
          </cell>
          <cell r="L116">
            <v>3</v>
          </cell>
        </row>
        <row r="117">
          <cell r="C117">
            <v>69.01697485309198</v>
          </cell>
          <cell r="D117">
            <v>84</v>
          </cell>
          <cell r="E117">
            <v>3</v>
          </cell>
          <cell r="F117">
            <v>7</v>
          </cell>
          <cell r="G117">
            <v>20</v>
          </cell>
          <cell r="H117">
            <v>2</v>
          </cell>
          <cell r="I117">
            <v>7</v>
          </cell>
          <cell r="J117">
            <v>6.081744865760176</v>
          </cell>
          <cell r="K117">
            <v>5.0678928529218767</v>
          </cell>
          <cell r="L117">
            <v>3</v>
          </cell>
        </row>
        <row r="118">
          <cell r="C118">
            <v>72.23150684883845</v>
          </cell>
          <cell r="D118">
            <v>105</v>
          </cell>
          <cell r="E118">
            <v>3</v>
          </cell>
          <cell r="F118">
            <v>7</v>
          </cell>
          <cell r="G118">
            <v>20</v>
          </cell>
          <cell r="H118">
            <v>5</v>
          </cell>
          <cell r="I118">
            <v>7</v>
          </cell>
          <cell r="J118">
            <v>6.3178336922286089</v>
          </cell>
          <cell r="K118">
            <v>5.2189897018616733</v>
          </cell>
          <cell r="L118">
            <v>3</v>
          </cell>
        </row>
        <row r="119">
          <cell r="C119">
            <v>74.840792411391348</v>
          </cell>
          <cell r="D119">
            <v>125.99999999999999</v>
          </cell>
          <cell r="E119">
            <v>3</v>
          </cell>
          <cell r="F119">
            <v>7</v>
          </cell>
          <cell r="G119">
            <v>20</v>
          </cell>
          <cell r="H119">
            <v>8</v>
          </cell>
          <cell r="I119">
            <v>7</v>
          </cell>
          <cell r="J119">
            <v>6.5431622173280024</v>
          </cell>
          <cell r="K119">
            <v>5.3631999579252856</v>
          </cell>
          <cell r="L119">
            <v>3</v>
          </cell>
        </row>
        <row r="120">
          <cell r="C120">
            <v>77.697893604818219</v>
          </cell>
          <cell r="D120">
            <v>154</v>
          </cell>
          <cell r="E120">
            <v>3</v>
          </cell>
          <cell r="F120">
            <v>7</v>
          </cell>
          <cell r="G120">
            <v>20</v>
          </cell>
          <cell r="H120">
            <v>8</v>
          </cell>
          <cell r="I120">
            <v>7</v>
          </cell>
          <cell r="J120">
            <v>6.8436002507938607</v>
          </cell>
          <cell r="K120">
            <v>5.5554802993434356</v>
          </cell>
          <cell r="L120">
            <v>3.4092341765829128</v>
          </cell>
        </row>
        <row r="121">
          <cell r="C121">
            <v>80.134867890916794</v>
          </cell>
          <cell r="D121">
            <v>182</v>
          </cell>
          <cell r="E121">
            <v>3</v>
          </cell>
          <cell r="F121">
            <v>7</v>
          </cell>
          <cell r="G121">
            <v>20</v>
          </cell>
          <cell r="H121">
            <v>8</v>
          </cell>
          <cell r="I121">
            <v>7</v>
          </cell>
          <cell r="J121">
            <v>7</v>
          </cell>
          <cell r="K121">
            <v>5.7471187178755887</v>
          </cell>
          <cell r="L121">
            <v>3.84726484751355</v>
          </cell>
        </row>
        <row r="122">
          <cell r="C122">
            <v>82.238672852681816</v>
          </cell>
          <cell r="D122">
            <v>210</v>
          </cell>
          <cell r="E122">
            <v>3</v>
          </cell>
          <cell r="F122">
            <v>7</v>
          </cell>
          <cell r="G122">
            <v>20</v>
          </cell>
          <cell r="H122">
            <v>8</v>
          </cell>
          <cell r="I122">
            <v>7</v>
          </cell>
          <cell r="J122">
            <v>7</v>
          </cell>
          <cell r="K122">
            <v>5.9304121388898032</v>
          </cell>
          <cell r="L122">
            <v>4.1331106192015907</v>
          </cell>
        </row>
        <row r="123">
          <cell r="C123">
            <v>84.043767921022209</v>
          </cell>
          <cell r="D123">
            <v>237.99999999999997</v>
          </cell>
          <cell r="E123">
            <v>3</v>
          </cell>
          <cell r="F123">
            <v>7</v>
          </cell>
          <cell r="G123">
            <v>20</v>
          </cell>
          <cell r="H123">
            <v>8</v>
          </cell>
          <cell r="I123">
            <v>7</v>
          </cell>
          <cell r="J123">
            <v>7</v>
          </cell>
          <cell r="K123">
            <v>6.056852779952008</v>
          </cell>
          <cell r="L123">
            <v>4.3425888146464064</v>
          </cell>
        </row>
        <row r="124">
          <cell r="C124">
            <v>86.385105215793828</v>
          </cell>
          <cell r="D124">
            <v>280</v>
          </cell>
          <cell r="E124">
            <v>3</v>
          </cell>
          <cell r="F124">
            <v>7</v>
          </cell>
          <cell r="G124">
            <v>20</v>
          </cell>
          <cell r="H124">
            <v>8</v>
          </cell>
          <cell r="I124">
            <v>7</v>
          </cell>
          <cell r="J124">
            <v>7</v>
          </cell>
          <cell r="K124">
            <v>6.1943228457126693</v>
          </cell>
          <cell r="L124">
            <v>4.6568061078136314</v>
          </cell>
        </row>
        <row r="125">
          <cell r="C125">
            <v>90.406191748048585</v>
          </cell>
          <cell r="D125">
            <v>364</v>
          </cell>
          <cell r="E125">
            <v>3</v>
          </cell>
          <cell r="F125">
            <v>7</v>
          </cell>
          <cell r="G125">
            <v>20</v>
          </cell>
          <cell r="H125">
            <v>8</v>
          </cell>
          <cell r="I125">
            <v>7</v>
          </cell>
          <cell r="J125">
            <v>7</v>
          </cell>
          <cell r="K125">
            <v>6.4683122041537446</v>
          </cell>
          <cell r="L125">
            <v>5.1415337492680457</v>
          </cell>
        </row>
        <row r="126">
          <cell r="C126">
            <v>93.471491811086082</v>
          </cell>
          <cell r="D126">
            <v>448</v>
          </cell>
          <cell r="E126">
            <v>3</v>
          </cell>
          <cell r="F126">
            <v>7</v>
          </cell>
          <cell r="G126">
            <v>20</v>
          </cell>
          <cell r="H126">
            <v>8</v>
          </cell>
          <cell r="I126">
            <v>7</v>
          </cell>
          <cell r="J126">
            <v>7</v>
          </cell>
          <cell r="K126">
            <v>6.7330321953662917</v>
          </cell>
          <cell r="L126">
            <v>5.444070882082384</v>
          </cell>
        </row>
        <row r="127">
          <cell r="C127">
            <v>97.107381566993553</v>
          </cell>
          <cell r="D127">
            <v>574</v>
          </cell>
          <cell r="E127">
            <v>3</v>
          </cell>
          <cell r="F127">
            <v>7</v>
          </cell>
          <cell r="G127">
            <v>20</v>
          </cell>
          <cell r="H127">
            <v>8</v>
          </cell>
          <cell r="I127">
            <v>7</v>
          </cell>
          <cell r="J127">
            <v>7</v>
          </cell>
          <cell r="K127">
            <v>7</v>
          </cell>
          <cell r="L127">
            <v>5.897117145378461</v>
          </cell>
        </row>
        <row r="128">
          <cell r="C128">
            <v>100.71243145193914</v>
          </cell>
          <cell r="D128">
            <v>742</v>
          </cell>
          <cell r="E128">
            <v>3</v>
          </cell>
          <cell r="F128">
            <v>7</v>
          </cell>
          <cell r="G128">
            <v>20</v>
          </cell>
          <cell r="H128">
            <v>8</v>
          </cell>
          <cell r="I128">
            <v>7</v>
          </cell>
          <cell r="J128">
            <v>7</v>
          </cell>
          <cell r="K128">
            <v>7</v>
          </cell>
          <cell r="L128">
            <v>6.2491566941586667</v>
          </cell>
        </row>
        <row r="129">
          <cell r="C129">
            <v>104.39233713204413</v>
          </cell>
          <cell r="D129">
            <v>951.99999999999989</v>
          </cell>
          <cell r="E129">
            <v>3</v>
          </cell>
          <cell r="F129">
            <v>7</v>
          </cell>
          <cell r="G129">
            <v>20</v>
          </cell>
          <cell r="H129">
            <v>8</v>
          </cell>
          <cell r="I129">
            <v>7</v>
          </cell>
          <cell r="J129">
            <v>7</v>
          </cell>
          <cell r="K129">
            <v>7</v>
          </cell>
          <cell r="L129">
            <v>6.6152585529957904</v>
          </cell>
        </row>
        <row r="130">
          <cell r="C130">
            <v>107.81562240612369</v>
          </cell>
          <cell r="D130">
            <v>1204</v>
          </cell>
          <cell r="E130">
            <v>3</v>
          </cell>
          <cell r="F130">
            <v>7</v>
          </cell>
          <cell r="G130">
            <v>20</v>
          </cell>
          <cell r="H130">
            <v>8</v>
          </cell>
          <cell r="I130">
            <v>7</v>
          </cell>
          <cell r="J130">
            <v>7</v>
          </cell>
          <cell r="K130">
            <v>7</v>
          </cell>
          <cell r="L130">
            <v>7</v>
          </cell>
        </row>
        <row r="131">
          <cell r="C131">
            <v>111.36292001894914</v>
          </cell>
          <cell r="D131">
            <v>1540</v>
          </cell>
          <cell r="E131">
            <v>3</v>
          </cell>
          <cell r="F131">
            <v>7</v>
          </cell>
          <cell r="G131">
            <v>20</v>
          </cell>
          <cell r="H131">
            <v>8</v>
          </cell>
          <cell r="I131">
            <v>7</v>
          </cell>
          <cell r="J131">
            <v>7</v>
          </cell>
          <cell r="K131">
            <v>7</v>
          </cell>
          <cell r="L131">
            <v>7</v>
          </cell>
        </row>
        <row r="132">
          <cell r="C132">
            <v>114.91934497223426</v>
          </cell>
          <cell r="D132">
            <v>1959.9999999999998</v>
          </cell>
          <cell r="E132">
            <v>3</v>
          </cell>
          <cell r="F132">
            <v>7</v>
          </cell>
          <cell r="G132">
            <v>20</v>
          </cell>
          <cell r="H132">
            <v>8</v>
          </cell>
          <cell r="I132">
            <v>7</v>
          </cell>
          <cell r="J132">
            <v>7</v>
          </cell>
          <cell r="K132">
            <v>7</v>
          </cell>
          <cell r="L132">
            <v>7</v>
          </cell>
        </row>
        <row r="133">
          <cell r="C133">
            <v>118.44741987029688</v>
          </cell>
          <cell r="D133">
            <v>2506</v>
          </cell>
          <cell r="E133">
            <v>3</v>
          </cell>
          <cell r="F133">
            <v>7</v>
          </cell>
          <cell r="G133">
            <v>20</v>
          </cell>
          <cell r="H133">
            <v>8</v>
          </cell>
          <cell r="I133">
            <v>7</v>
          </cell>
          <cell r="J133">
            <v>7</v>
          </cell>
          <cell r="K133">
            <v>7</v>
          </cell>
          <cell r="L133">
            <v>7</v>
          </cell>
        </row>
        <row r="134">
          <cell r="C134">
            <v>121.97211685892326</v>
          </cell>
          <cell r="D134">
            <v>3178</v>
          </cell>
          <cell r="E134">
            <v>3</v>
          </cell>
          <cell r="F134">
            <v>7</v>
          </cell>
          <cell r="G134">
            <v>20</v>
          </cell>
          <cell r="H134">
            <v>8</v>
          </cell>
          <cell r="I134">
            <v>7</v>
          </cell>
          <cell r="J134">
            <v>7</v>
          </cell>
          <cell r="K134">
            <v>7</v>
          </cell>
          <cell r="L134">
            <v>7</v>
          </cell>
        </row>
        <row r="135">
          <cell r="C135">
            <v>125.41953077529134</v>
          </cell>
          <cell r="D135">
            <v>4059.9999999999995</v>
          </cell>
          <cell r="E135">
            <v>3</v>
          </cell>
          <cell r="F135">
            <v>7</v>
          </cell>
          <cell r="G135">
            <v>20</v>
          </cell>
          <cell r="H135">
            <v>8</v>
          </cell>
          <cell r="I135">
            <v>7</v>
          </cell>
          <cell r="J135">
            <v>7</v>
          </cell>
          <cell r="K135">
            <v>7</v>
          </cell>
          <cell r="L135">
            <v>7</v>
          </cell>
        </row>
        <row r="136">
          <cell r="C136">
            <v>129.09045404756728</v>
          </cell>
          <cell r="D136">
            <v>5194</v>
          </cell>
          <cell r="E136">
            <v>3</v>
          </cell>
          <cell r="F136">
            <v>7</v>
          </cell>
          <cell r="G136">
            <v>20</v>
          </cell>
          <cell r="H136">
            <v>8</v>
          </cell>
          <cell r="I136">
            <v>7</v>
          </cell>
          <cell r="J136">
            <v>7</v>
          </cell>
          <cell r="K136">
            <v>7</v>
          </cell>
          <cell r="L136">
            <v>7</v>
          </cell>
        </row>
        <row r="137">
          <cell r="C137">
            <v>132.53488795708068</v>
          </cell>
          <cell r="D137">
            <v>6622</v>
          </cell>
          <cell r="E137">
            <v>3</v>
          </cell>
          <cell r="F137">
            <v>7</v>
          </cell>
          <cell r="G137">
            <v>20</v>
          </cell>
          <cell r="H137">
            <v>8</v>
          </cell>
          <cell r="I137">
            <v>7</v>
          </cell>
          <cell r="J137">
            <v>7</v>
          </cell>
          <cell r="K137">
            <v>7</v>
          </cell>
          <cell r="L137">
            <v>7</v>
          </cell>
        </row>
        <row r="138">
          <cell r="C138">
            <v>136.07141427598387</v>
          </cell>
          <cell r="D138">
            <v>8428</v>
          </cell>
          <cell r="E138">
            <v>3</v>
          </cell>
          <cell r="F138">
            <v>7</v>
          </cell>
          <cell r="G138">
            <v>20</v>
          </cell>
          <cell r="H138">
            <v>8</v>
          </cell>
          <cell r="I138">
            <v>7</v>
          </cell>
          <cell r="J138">
            <v>7</v>
          </cell>
          <cell r="K138">
            <v>7</v>
          </cell>
          <cell r="L138">
            <v>7</v>
          </cell>
        </row>
        <row r="139">
          <cell r="C139">
            <v>139.56936219880694</v>
          </cell>
          <cell r="D139">
            <v>10738</v>
          </cell>
          <cell r="E139">
            <v>3</v>
          </cell>
          <cell r="F139">
            <v>7</v>
          </cell>
          <cell r="G139">
            <v>20</v>
          </cell>
          <cell r="H139">
            <v>8</v>
          </cell>
          <cell r="I139">
            <v>7</v>
          </cell>
          <cell r="J139">
            <v>7</v>
          </cell>
          <cell r="K139">
            <v>7</v>
          </cell>
          <cell r="L139">
            <v>7</v>
          </cell>
        </row>
        <row r="140">
          <cell r="C140">
            <v>143.08413721822018</v>
          </cell>
          <cell r="D140">
            <v>13678</v>
          </cell>
          <cell r="E140">
            <v>3</v>
          </cell>
          <cell r="F140">
            <v>7</v>
          </cell>
          <cell r="G140">
            <v>20</v>
          </cell>
          <cell r="H140">
            <v>8</v>
          </cell>
          <cell r="I140">
            <v>7</v>
          </cell>
          <cell r="J140">
            <v>7</v>
          </cell>
          <cell r="K140">
            <v>7</v>
          </cell>
          <cell r="L140">
            <v>7</v>
          </cell>
        </row>
        <row r="141">
          <cell r="C141">
            <v>146.62302564097175</v>
          </cell>
          <cell r="D141">
            <v>17416</v>
          </cell>
          <cell r="E141">
            <v>3</v>
          </cell>
          <cell r="F141">
            <v>7</v>
          </cell>
          <cell r="G141">
            <v>20</v>
          </cell>
          <cell r="H141">
            <v>8</v>
          </cell>
          <cell r="I141">
            <v>7</v>
          </cell>
          <cell r="J141">
            <v>7</v>
          </cell>
          <cell r="K141">
            <v>7</v>
          </cell>
          <cell r="L141">
            <v>7</v>
          </cell>
        </row>
        <row r="142">
          <cell r="C142">
            <v>150.12999034316616</v>
          </cell>
          <cell r="D142">
            <v>22204</v>
          </cell>
          <cell r="E142">
            <v>3</v>
          </cell>
          <cell r="F142">
            <v>7</v>
          </cell>
          <cell r="G142">
            <v>20</v>
          </cell>
          <cell r="H142">
            <v>8</v>
          </cell>
          <cell r="I142">
            <v>7</v>
          </cell>
          <cell r="J142">
            <v>7</v>
          </cell>
          <cell r="K142">
            <v>7</v>
          </cell>
          <cell r="L142">
            <v>7</v>
          </cell>
        </row>
        <row r="143">
          <cell r="C143">
            <v>153.11600330857166</v>
          </cell>
          <cell r="D143">
            <v>28294</v>
          </cell>
          <cell r="E143">
            <v>3</v>
          </cell>
          <cell r="F143">
            <v>7</v>
          </cell>
          <cell r="G143">
            <v>20</v>
          </cell>
          <cell r="H143">
            <v>8</v>
          </cell>
          <cell r="I143">
            <v>7</v>
          </cell>
          <cell r="J143">
            <v>7</v>
          </cell>
          <cell r="K143">
            <v>7</v>
          </cell>
          <cell r="L143">
            <v>7</v>
          </cell>
        </row>
        <row r="144">
          <cell r="C144">
            <v>154.20294442048996</v>
          </cell>
          <cell r="D144">
            <v>36064</v>
          </cell>
          <cell r="E144">
            <v>3</v>
          </cell>
          <cell r="F144">
            <v>7</v>
          </cell>
          <cell r="G144">
            <v>20</v>
          </cell>
          <cell r="H144">
            <v>8</v>
          </cell>
          <cell r="I144">
            <v>7</v>
          </cell>
          <cell r="J144">
            <v>7</v>
          </cell>
          <cell r="K144">
            <v>7</v>
          </cell>
          <cell r="L144">
            <v>7</v>
          </cell>
        </row>
        <row r="145">
          <cell r="C145">
            <v>155.2512378743358</v>
          </cell>
          <cell r="D145">
            <v>45850</v>
          </cell>
          <cell r="E145">
            <v>3</v>
          </cell>
          <cell r="F145">
            <v>7</v>
          </cell>
          <cell r="G145">
            <v>20</v>
          </cell>
          <cell r="H145">
            <v>8</v>
          </cell>
          <cell r="I145">
            <v>7</v>
          </cell>
          <cell r="J145">
            <v>7</v>
          </cell>
          <cell r="K145">
            <v>7</v>
          </cell>
          <cell r="L145">
            <v>7</v>
          </cell>
        </row>
        <row r="152">
          <cell r="C152">
            <v>10.00263241450434</v>
          </cell>
          <cell r="D152">
            <v>0.5</v>
          </cell>
          <cell r="E152">
            <v>3</v>
          </cell>
          <cell r="F152">
            <v>7</v>
          </cell>
          <cell r="G152">
            <v>4</v>
          </cell>
          <cell r="H152">
            <v>0</v>
          </cell>
          <cell r="I152">
            <v>2.7724279730165442</v>
          </cell>
          <cell r="J152">
            <v>2</v>
          </cell>
          <cell r="K152">
            <v>3</v>
          </cell>
          <cell r="L152">
            <v>0</v>
          </cell>
        </row>
        <row r="153">
          <cell r="C153">
            <v>19.43005414991557</v>
          </cell>
          <cell r="D153">
            <v>1.5</v>
          </cell>
          <cell r="E153">
            <v>3</v>
          </cell>
          <cell r="F153">
            <v>7</v>
          </cell>
          <cell r="G153">
            <v>9</v>
          </cell>
          <cell r="H153">
            <v>0</v>
          </cell>
          <cell r="I153">
            <v>4.1286262115242165</v>
          </cell>
          <cell r="J153">
            <v>2.4594304459364871</v>
          </cell>
          <cell r="K153">
            <v>3</v>
          </cell>
          <cell r="L153">
            <v>0</v>
          </cell>
        </row>
        <row r="154">
          <cell r="C154">
            <v>27.324610510337703</v>
          </cell>
          <cell r="D154">
            <v>3</v>
          </cell>
          <cell r="E154">
            <v>3</v>
          </cell>
          <cell r="F154">
            <v>7</v>
          </cell>
          <cell r="G154">
            <v>15</v>
          </cell>
          <cell r="H154">
            <v>0</v>
          </cell>
          <cell r="I154">
            <v>4.8558628865720515</v>
          </cell>
          <cell r="J154">
            <v>3.199911349076757</v>
          </cell>
          <cell r="K154">
            <v>3</v>
          </cell>
          <cell r="L154">
            <v>0</v>
          </cell>
        </row>
        <row r="155">
          <cell r="C155">
            <v>33.672145166817529</v>
          </cell>
          <cell r="D155">
            <v>5</v>
          </cell>
          <cell r="E155">
            <v>3</v>
          </cell>
          <cell r="F155">
            <v>7</v>
          </cell>
          <cell r="G155">
            <v>20</v>
          </cell>
          <cell r="H155">
            <v>0</v>
          </cell>
          <cell r="I155">
            <v>5.4127558933179154</v>
          </cell>
          <cell r="J155">
            <v>3.8268395172214422</v>
          </cell>
          <cell r="K155">
            <v>3</v>
          </cell>
          <cell r="L155">
            <v>0</v>
          </cell>
        </row>
        <row r="156">
          <cell r="C156">
            <v>39.138098927718012</v>
          </cell>
          <cell r="D156">
            <v>7.5</v>
          </cell>
          <cell r="E156">
            <v>3</v>
          </cell>
          <cell r="F156">
            <v>7</v>
          </cell>
          <cell r="G156">
            <v>20</v>
          </cell>
          <cell r="H156">
            <v>0</v>
          </cell>
          <cell r="I156">
            <v>6.0011906242287756</v>
          </cell>
          <cell r="J156">
            <v>4.2946430485716931</v>
          </cell>
          <cell r="K156">
            <v>3.380952585143139</v>
          </cell>
          <cell r="L156">
            <v>0</v>
          </cell>
        </row>
        <row r="157">
          <cell r="C157">
            <v>42.970748198558951</v>
          </cell>
          <cell r="D157">
            <v>10</v>
          </cell>
          <cell r="E157">
            <v>3</v>
          </cell>
          <cell r="F157">
            <v>7</v>
          </cell>
          <cell r="G157">
            <v>20</v>
          </cell>
          <cell r="H157">
            <v>0</v>
          </cell>
          <cell r="I157">
            <v>6.2631928869981417</v>
          </cell>
          <cell r="J157">
            <v>4.6334390780148382</v>
          </cell>
          <cell r="K157">
            <v>3.7423350165491609</v>
          </cell>
          <cell r="L157">
            <v>0</v>
          </cell>
        </row>
        <row r="158">
          <cell r="C158">
            <v>48.731413734867289</v>
          </cell>
          <cell r="D158">
            <v>15</v>
          </cell>
          <cell r="E158">
            <v>3</v>
          </cell>
          <cell r="F158">
            <v>7</v>
          </cell>
          <cell r="G158">
            <v>20</v>
          </cell>
          <cell r="H158">
            <v>0</v>
          </cell>
          <cell r="I158">
            <v>6.7768185323339063</v>
          </cell>
          <cell r="J158">
            <v>5.1488050855607153</v>
          </cell>
          <cell r="K158">
            <v>4.2253920912647631</v>
          </cell>
          <cell r="L158">
            <v>0</v>
          </cell>
        </row>
        <row r="159">
          <cell r="C159">
            <v>52.769987980532711</v>
          </cell>
          <cell r="D159">
            <v>20</v>
          </cell>
          <cell r="E159">
            <v>3</v>
          </cell>
          <cell r="F159">
            <v>7</v>
          </cell>
          <cell r="G159">
            <v>20</v>
          </cell>
          <cell r="H159">
            <v>0</v>
          </cell>
          <cell r="I159">
            <v>7</v>
          </cell>
          <cell r="J159">
            <v>5.4540487005546119</v>
          </cell>
          <cell r="K159">
            <v>4.5509852805915854</v>
          </cell>
          <cell r="L159">
            <v>0</v>
          </cell>
        </row>
        <row r="160">
          <cell r="C160">
            <v>58.701446767877648</v>
          </cell>
          <cell r="D160">
            <v>30</v>
          </cell>
          <cell r="E160">
            <v>3</v>
          </cell>
          <cell r="F160">
            <v>7</v>
          </cell>
          <cell r="G160">
            <v>20</v>
          </cell>
          <cell r="H160">
            <v>1</v>
          </cell>
          <cell r="I160">
            <v>7</v>
          </cell>
          <cell r="J160">
            <v>6.0330608425622376</v>
          </cell>
          <cell r="K160">
            <v>5.088874008395563</v>
          </cell>
          <cell r="L160">
            <v>0</v>
          </cell>
        </row>
        <row r="161">
          <cell r="C161">
            <v>64.399012521055653</v>
          </cell>
          <cell r="D161">
            <v>45</v>
          </cell>
          <cell r="E161">
            <v>3</v>
          </cell>
          <cell r="F161">
            <v>7</v>
          </cell>
          <cell r="G161">
            <v>20</v>
          </cell>
          <cell r="H161">
            <v>2</v>
          </cell>
          <cell r="I161">
            <v>7</v>
          </cell>
          <cell r="J161">
            <v>6.5180355182709757</v>
          </cell>
          <cell r="K161">
            <v>5.5647958234910719</v>
          </cell>
          <cell r="L161">
            <v>3</v>
          </cell>
        </row>
        <row r="162">
          <cell r="C162">
            <v>68.627579426319684</v>
          </cell>
          <cell r="D162">
            <v>60</v>
          </cell>
          <cell r="E162">
            <v>3</v>
          </cell>
          <cell r="F162">
            <v>7</v>
          </cell>
          <cell r="G162">
            <v>20</v>
          </cell>
          <cell r="H162">
            <v>3</v>
          </cell>
          <cell r="I162">
            <v>7</v>
          </cell>
          <cell r="J162">
            <v>7</v>
          </cell>
          <cell r="K162">
            <v>5.9793174687175448</v>
          </cell>
          <cell r="L162">
            <v>3</v>
          </cell>
        </row>
        <row r="163">
          <cell r="C163">
            <v>71.882008108111634</v>
          </cell>
          <cell r="D163">
            <v>75</v>
          </cell>
          <cell r="E163">
            <v>3</v>
          </cell>
          <cell r="F163">
            <v>7</v>
          </cell>
          <cell r="G163">
            <v>20</v>
          </cell>
          <cell r="H163">
            <v>4</v>
          </cell>
          <cell r="I163">
            <v>7</v>
          </cell>
          <cell r="J163">
            <v>7</v>
          </cell>
          <cell r="K163">
            <v>6.1451043513187003</v>
          </cell>
          <cell r="L163">
            <v>3.2525713025753991</v>
          </cell>
        </row>
        <row r="164">
          <cell r="C164">
            <v>74.493385467679886</v>
          </cell>
          <cell r="D164">
            <v>90</v>
          </cell>
          <cell r="E164">
            <v>3</v>
          </cell>
          <cell r="F164">
            <v>7</v>
          </cell>
          <cell r="G164">
            <v>20</v>
          </cell>
          <cell r="H164">
            <v>5</v>
          </cell>
          <cell r="I164">
            <v>7</v>
          </cell>
          <cell r="J164">
            <v>7</v>
          </cell>
          <cell r="K164">
            <v>6.2995492337513852</v>
          </cell>
          <cell r="L164">
            <v>3.958605050839104</v>
          </cell>
        </row>
        <row r="165">
          <cell r="C165">
            <v>77.332919927503724</v>
          </cell>
          <cell r="D165">
            <v>110</v>
          </cell>
          <cell r="E165">
            <v>3</v>
          </cell>
          <cell r="F165">
            <v>7</v>
          </cell>
          <cell r="G165">
            <v>20</v>
          </cell>
          <cell r="H165">
            <v>6</v>
          </cell>
          <cell r="I165">
            <v>7</v>
          </cell>
          <cell r="J165">
            <v>7</v>
          </cell>
          <cell r="K165">
            <v>6.495189173558134</v>
          </cell>
          <cell r="L165">
            <v>4.4264795306921201</v>
          </cell>
        </row>
        <row r="166">
          <cell r="C166">
            <v>79.813360188853366</v>
          </cell>
          <cell r="D166">
            <v>130</v>
          </cell>
          <cell r="E166">
            <v>3</v>
          </cell>
          <cell r="F166">
            <v>7</v>
          </cell>
          <cell r="G166">
            <v>20</v>
          </cell>
          <cell r="H166">
            <v>7</v>
          </cell>
          <cell r="I166">
            <v>7</v>
          </cell>
          <cell r="J166">
            <v>7</v>
          </cell>
          <cell r="K166">
            <v>6.6898283788376407</v>
          </cell>
          <cell r="L166">
            <v>4.8713691427595638</v>
          </cell>
        </row>
        <row r="167">
          <cell r="C167">
            <v>81.919202803497143</v>
          </cell>
          <cell r="D167">
            <v>150</v>
          </cell>
          <cell r="E167">
            <v>3</v>
          </cell>
          <cell r="F167">
            <v>7</v>
          </cell>
          <cell r="G167">
            <v>20</v>
          </cell>
          <cell r="H167">
            <v>9</v>
          </cell>
          <cell r="I167">
            <v>7</v>
          </cell>
          <cell r="J167">
            <v>7</v>
          </cell>
          <cell r="K167">
            <v>6.8844675841171474</v>
          </cell>
          <cell r="L167">
            <v>5.1581293774135037</v>
          </cell>
        </row>
        <row r="168">
          <cell r="C168">
            <v>83.738783536778797</v>
          </cell>
          <cell r="D168">
            <v>170</v>
          </cell>
          <cell r="E168">
            <v>3</v>
          </cell>
          <cell r="F168">
            <v>7</v>
          </cell>
          <cell r="G168">
            <v>20</v>
          </cell>
          <cell r="H168">
            <v>10</v>
          </cell>
          <cell r="I168">
            <v>7</v>
          </cell>
          <cell r="J168">
            <v>7</v>
          </cell>
          <cell r="K168">
            <v>7</v>
          </cell>
          <cell r="L168">
            <v>5.3805741834472256</v>
          </cell>
        </row>
        <row r="169">
          <cell r="C169">
            <v>86.045919706798657</v>
          </cell>
          <cell r="D169">
            <v>200</v>
          </cell>
          <cell r="E169">
            <v>3</v>
          </cell>
          <cell r="F169">
            <v>7</v>
          </cell>
          <cell r="G169">
            <v>20</v>
          </cell>
          <cell r="H169">
            <v>12</v>
          </cell>
          <cell r="I169">
            <v>7</v>
          </cell>
          <cell r="J169">
            <v>7</v>
          </cell>
          <cell r="K169">
            <v>7</v>
          </cell>
          <cell r="L169">
            <v>5.71020644864298</v>
          </cell>
        </row>
        <row r="170">
          <cell r="C170">
            <v>90.288435080379244</v>
          </cell>
          <cell r="D170">
            <v>260</v>
          </cell>
          <cell r="E170">
            <v>3</v>
          </cell>
          <cell r="F170">
            <v>7</v>
          </cell>
          <cell r="G170">
            <v>20</v>
          </cell>
          <cell r="H170">
            <v>16</v>
          </cell>
          <cell r="I170">
            <v>7</v>
          </cell>
          <cell r="J170">
            <v>7</v>
          </cell>
          <cell r="K170">
            <v>7</v>
          </cell>
          <cell r="L170">
            <v>6.1827180175898304</v>
          </cell>
        </row>
        <row r="171">
          <cell r="C171">
            <v>93.400072017025948</v>
          </cell>
          <cell r="D171">
            <v>320</v>
          </cell>
          <cell r="E171">
            <v>3</v>
          </cell>
          <cell r="F171">
            <v>7</v>
          </cell>
          <cell r="G171">
            <v>20</v>
          </cell>
          <cell r="H171">
            <v>20</v>
          </cell>
          <cell r="I171">
            <v>7</v>
          </cell>
          <cell r="J171">
            <v>7</v>
          </cell>
          <cell r="K171">
            <v>7</v>
          </cell>
          <cell r="L171">
            <v>6.5103328108581717</v>
          </cell>
        </row>
        <row r="172">
          <cell r="C172">
            <v>97.006001686863456</v>
          </cell>
          <cell r="D172">
            <v>410</v>
          </cell>
          <cell r="E172">
            <v>3</v>
          </cell>
          <cell r="F172">
            <v>7</v>
          </cell>
          <cell r="G172">
            <v>20</v>
          </cell>
          <cell r="H172">
            <v>20</v>
          </cell>
          <cell r="I172">
            <v>7</v>
          </cell>
          <cell r="J172">
            <v>7</v>
          </cell>
          <cell r="K172">
            <v>7</v>
          </cell>
          <cell r="L172">
            <v>6.9977653888360329</v>
          </cell>
        </row>
        <row r="173">
          <cell r="C173">
            <v>100.64473135315967</v>
          </cell>
          <cell r="D173">
            <v>530</v>
          </cell>
          <cell r="E173">
            <v>3</v>
          </cell>
          <cell r="F173">
            <v>7</v>
          </cell>
          <cell r="G173">
            <v>20</v>
          </cell>
          <cell r="H173">
            <v>20</v>
          </cell>
          <cell r="I173">
            <v>7</v>
          </cell>
          <cell r="J173">
            <v>7</v>
          </cell>
          <cell r="K173">
            <v>7</v>
          </cell>
          <cell r="L173">
            <v>7</v>
          </cell>
        </row>
        <row r="174">
          <cell r="C174">
            <v>104.30731379164318</v>
          </cell>
          <cell r="D174">
            <v>680</v>
          </cell>
          <cell r="E174">
            <v>3</v>
          </cell>
          <cell r="F174">
            <v>7</v>
          </cell>
          <cell r="G174">
            <v>20</v>
          </cell>
          <cell r="H174">
            <v>20</v>
          </cell>
          <cell r="I174">
            <v>7</v>
          </cell>
          <cell r="J174">
            <v>7</v>
          </cell>
          <cell r="K174">
            <v>7</v>
          </cell>
          <cell r="L174">
            <v>7</v>
          </cell>
        </row>
        <row r="175">
          <cell r="C175">
            <v>107.78950972208385</v>
          </cell>
          <cell r="D175">
            <v>860</v>
          </cell>
          <cell r="E175">
            <v>3</v>
          </cell>
          <cell r="F175">
            <v>7</v>
          </cell>
          <cell r="G175">
            <v>20</v>
          </cell>
          <cell r="H175">
            <v>20</v>
          </cell>
          <cell r="I175">
            <v>7</v>
          </cell>
          <cell r="J175">
            <v>7</v>
          </cell>
          <cell r="K175">
            <v>7</v>
          </cell>
          <cell r="L175">
            <v>7</v>
          </cell>
        </row>
        <row r="176">
          <cell r="C176">
            <v>111.29737083030383</v>
          </cell>
          <cell r="D176">
            <v>1100</v>
          </cell>
          <cell r="E176">
            <v>3</v>
          </cell>
          <cell r="F176">
            <v>7</v>
          </cell>
          <cell r="G176">
            <v>20</v>
          </cell>
          <cell r="H176">
            <v>20</v>
          </cell>
          <cell r="I176">
            <v>7</v>
          </cell>
          <cell r="J176">
            <v>7</v>
          </cell>
          <cell r="K176">
            <v>7</v>
          </cell>
          <cell r="L176">
            <v>7</v>
          </cell>
        </row>
        <row r="177">
          <cell r="C177">
            <v>114.91888401282834</v>
          </cell>
          <cell r="D177">
            <v>1400</v>
          </cell>
          <cell r="E177">
            <v>3</v>
          </cell>
          <cell r="F177">
            <v>7</v>
          </cell>
          <cell r="G177">
            <v>20</v>
          </cell>
          <cell r="H177">
            <v>20</v>
          </cell>
          <cell r="I177">
            <v>7</v>
          </cell>
          <cell r="J177">
            <v>7</v>
          </cell>
          <cell r="K177">
            <v>7</v>
          </cell>
          <cell r="L177">
            <v>7</v>
          </cell>
        </row>
        <row r="178">
          <cell r="C178">
            <v>118.4172728380062</v>
          </cell>
          <cell r="D178">
            <v>1790</v>
          </cell>
          <cell r="E178">
            <v>3</v>
          </cell>
          <cell r="F178">
            <v>7</v>
          </cell>
          <cell r="G178">
            <v>20</v>
          </cell>
          <cell r="H178">
            <v>20</v>
          </cell>
          <cell r="I178">
            <v>7</v>
          </cell>
          <cell r="J178">
            <v>7</v>
          </cell>
          <cell r="K178">
            <v>7</v>
          </cell>
          <cell r="L178">
            <v>7</v>
          </cell>
        </row>
        <row r="179">
          <cell r="C179">
            <v>121.99245722798884</v>
          </cell>
          <cell r="D179">
            <v>2270</v>
          </cell>
          <cell r="E179">
            <v>3</v>
          </cell>
          <cell r="F179">
            <v>7</v>
          </cell>
          <cell r="G179">
            <v>20</v>
          </cell>
          <cell r="H179">
            <v>20</v>
          </cell>
          <cell r="I179">
            <v>7</v>
          </cell>
          <cell r="J179">
            <v>7</v>
          </cell>
          <cell r="K179">
            <v>7</v>
          </cell>
          <cell r="L179">
            <v>7</v>
          </cell>
        </row>
        <row r="180">
          <cell r="C180">
            <v>125.43876546297123</v>
          </cell>
          <cell r="D180">
            <v>2900</v>
          </cell>
          <cell r="E180">
            <v>3</v>
          </cell>
          <cell r="F180">
            <v>7</v>
          </cell>
          <cell r="G180">
            <v>20</v>
          </cell>
          <cell r="H180">
            <v>20</v>
          </cell>
          <cell r="I180">
            <v>7</v>
          </cell>
          <cell r="J180">
            <v>7</v>
          </cell>
          <cell r="K180">
            <v>7</v>
          </cell>
          <cell r="L180">
            <v>7</v>
          </cell>
        </row>
        <row r="181">
          <cell r="C181">
            <v>129.12105302323599</v>
          </cell>
          <cell r="D181">
            <v>3710</v>
          </cell>
          <cell r="E181">
            <v>3</v>
          </cell>
          <cell r="F181">
            <v>7</v>
          </cell>
          <cell r="G181">
            <v>20</v>
          </cell>
          <cell r="H181">
            <v>20</v>
          </cell>
          <cell r="I181">
            <v>7</v>
          </cell>
          <cell r="J181">
            <v>7</v>
          </cell>
          <cell r="K181">
            <v>7</v>
          </cell>
          <cell r="L181">
            <v>7</v>
          </cell>
        </row>
        <row r="182">
          <cell r="C182">
            <v>132.61179169042359</v>
          </cell>
          <cell r="D182">
            <v>4730</v>
          </cell>
          <cell r="E182">
            <v>3</v>
          </cell>
          <cell r="F182">
            <v>7</v>
          </cell>
          <cell r="G182">
            <v>20</v>
          </cell>
          <cell r="H182">
            <v>20</v>
          </cell>
          <cell r="I182">
            <v>7</v>
          </cell>
          <cell r="J182">
            <v>7</v>
          </cell>
          <cell r="K182">
            <v>7</v>
          </cell>
          <cell r="L182">
            <v>7</v>
          </cell>
        </row>
        <row r="183">
          <cell r="C183">
            <v>136.12035534953262</v>
          </cell>
          <cell r="D183">
            <v>6020</v>
          </cell>
          <cell r="E183">
            <v>3</v>
          </cell>
          <cell r="F183">
            <v>7</v>
          </cell>
          <cell r="G183">
            <v>20</v>
          </cell>
          <cell r="H183">
            <v>20</v>
          </cell>
          <cell r="I183">
            <v>7</v>
          </cell>
          <cell r="J183">
            <v>7</v>
          </cell>
          <cell r="K183">
            <v>7</v>
          </cell>
          <cell r="L183">
            <v>7</v>
          </cell>
        </row>
        <row r="184">
          <cell r="C184">
            <v>139.6793621861803</v>
          </cell>
          <cell r="D184">
            <v>7670</v>
          </cell>
          <cell r="E184">
            <v>3</v>
          </cell>
          <cell r="F184">
            <v>7</v>
          </cell>
          <cell r="G184">
            <v>20</v>
          </cell>
          <cell r="H184">
            <v>20</v>
          </cell>
          <cell r="I184">
            <v>7</v>
          </cell>
          <cell r="J184">
            <v>7</v>
          </cell>
          <cell r="K184">
            <v>7</v>
          </cell>
          <cell r="L184">
            <v>7</v>
          </cell>
        </row>
        <row r="185">
          <cell r="C185">
            <v>143.14123736077869</v>
          </cell>
          <cell r="D185">
            <v>9770</v>
          </cell>
          <cell r="E185">
            <v>3</v>
          </cell>
          <cell r="F185">
            <v>7</v>
          </cell>
          <cell r="G185">
            <v>20</v>
          </cell>
          <cell r="H185">
            <v>20</v>
          </cell>
          <cell r="I185">
            <v>7</v>
          </cell>
          <cell r="J185">
            <v>7</v>
          </cell>
          <cell r="K185">
            <v>7</v>
          </cell>
          <cell r="L185">
            <v>7</v>
          </cell>
        </row>
        <row r="186">
          <cell r="C186">
            <v>146.75578521325724</v>
          </cell>
          <cell r="D186">
            <v>12440</v>
          </cell>
          <cell r="E186">
            <v>3</v>
          </cell>
          <cell r="F186">
            <v>7</v>
          </cell>
          <cell r="G186">
            <v>20</v>
          </cell>
          <cell r="H186">
            <v>20</v>
          </cell>
          <cell r="I186">
            <v>7</v>
          </cell>
          <cell r="J186">
            <v>7</v>
          </cell>
          <cell r="K186">
            <v>7</v>
          </cell>
          <cell r="L186">
            <v>7</v>
          </cell>
        </row>
        <row r="187">
          <cell r="C187">
            <v>150.21349802228445</v>
          </cell>
          <cell r="D187">
            <v>15860</v>
          </cell>
          <cell r="E187">
            <v>3</v>
          </cell>
          <cell r="F187">
            <v>7</v>
          </cell>
          <cell r="G187">
            <v>20</v>
          </cell>
          <cell r="H187">
            <v>20</v>
          </cell>
          <cell r="I187">
            <v>7</v>
          </cell>
          <cell r="J187">
            <v>7</v>
          </cell>
          <cell r="K187">
            <v>7</v>
          </cell>
          <cell r="L187">
            <v>7</v>
          </cell>
        </row>
        <row r="188">
          <cell r="C188">
            <v>152.32856849044819</v>
          </cell>
          <cell r="D188">
            <v>20210</v>
          </cell>
          <cell r="E188">
            <v>3</v>
          </cell>
          <cell r="F188">
            <v>7</v>
          </cell>
          <cell r="G188">
            <v>20</v>
          </cell>
          <cell r="H188">
            <v>20</v>
          </cell>
          <cell r="I188">
            <v>7</v>
          </cell>
          <cell r="J188">
            <v>7</v>
          </cell>
          <cell r="K188">
            <v>7</v>
          </cell>
          <cell r="L188">
            <v>7</v>
          </cell>
        </row>
        <row r="189">
          <cell r="C189">
            <v>153.15627769682186</v>
          </cell>
          <cell r="D189">
            <v>25760</v>
          </cell>
          <cell r="E189">
            <v>3</v>
          </cell>
          <cell r="F189">
            <v>7</v>
          </cell>
          <cell r="G189">
            <v>20</v>
          </cell>
          <cell r="H189">
            <v>20</v>
          </cell>
          <cell r="I189">
            <v>7</v>
          </cell>
          <cell r="J189">
            <v>7</v>
          </cell>
          <cell r="K189">
            <v>7</v>
          </cell>
          <cell r="L189">
            <v>7</v>
          </cell>
        </row>
        <row r="190">
          <cell r="C190">
            <v>153.85863088955028</v>
          </cell>
          <cell r="D190">
            <v>32750</v>
          </cell>
          <cell r="E190">
            <v>3</v>
          </cell>
          <cell r="F190">
            <v>7</v>
          </cell>
          <cell r="G190">
            <v>20</v>
          </cell>
          <cell r="H190">
            <v>20</v>
          </cell>
          <cell r="I190">
            <v>7</v>
          </cell>
          <cell r="J190">
            <v>7</v>
          </cell>
          <cell r="K190">
            <v>7</v>
          </cell>
          <cell r="L190">
            <v>7</v>
          </cell>
        </row>
        <row r="197">
          <cell r="C197">
            <v>10.040470049930473</v>
          </cell>
          <cell r="D197">
            <v>0.27500000000000002</v>
          </cell>
          <cell r="E197">
            <v>3</v>
          </cell>
          <cell r="F197">
            <v>7</v>
          </cell>
          <cell r="G197">
            <v>5</v>
          </cell>
          <cell r="H197">
            <v>0</v>
          </cell>
          <cell r="I197">
            <v>3.1306312830479435</v>
          </cell>
          <cell r="J197">
            <v>2</v>
          </cell>
          <cell r="K197">
            <v>3</v>
          </cell>
          <cell r="L197">
            <v>0</v>
          </cell>
        </row>
        <row r="198">
          <cell r="C198">
            <v>19.288856680060892</v>
          </cell>
          <cell r="D198">
            <v>0.82500000000000007</v>
          </cell>
          <cell r="E198">
            <v>3</v>
          </cell>
          <cell r="F198">
            <v>7</v>
          </cell>
          <cell r="G198">
            <v>14</v>
          </cell>
          <cell r="H198">
            <v>0</v>
          </cell>
          <cell r="I198">
            <v>4.6959469245719143</v>
          </cell>
          <cell r="J198">
            <v>3.0965174081283933</v>
          </cell>
          <cell r="K198">
            <v>3</v>
          </cell>
          <cell r="L198">
            <v>0</v>
          </cell>
        </row>
        <row r="199">
          <cell r="C199">
            <v>27.144641112884834</v>
          </cell>
          <cell r="D199">
            <v>1.6500000000000001</v>
          </cell>
          <cell r="E199">
            <v>3</v>
          </cell>
          <cell r="F199">
            <v>7</v>
          </cell>
          <cell r="G199">
            <v>20</v>
          </cell>
          <cell r="H199">
            <v>0</v>
          </cell>
          <cell r="I199">
            <v>5.3885200570084262</v>
          </cell>
          <cell r="J199">
            <v>3.7955000737177933</v>
          </cell>
          <cell r="K199">
            <v>3</v>
          </cell>
          <cell r="L199">
            <v>0</v>
          </cell>
        </row>
        <row r="200">
          <cell r="C200">
            <v>33.399598377161809</v>
          </cell>
          <cell r="D200">
            <v>2.75</v>
          </cell>
          <cell r="E200">
            <v>3</v>
          </cell>
          <cell r="F200">
            <v>7</v>
          </cell>
          <cell r="G200">
            <v>20</v>
          </cell>
          <cell r="H200">
            <v>0</v>
          </cell>
          <cell r="I200">
            <v>5.9988904872566202</v>
          </cell>
          <cell r="J200">
            <v>4.2923860908986766</v>
          </cell>
          <cell r="K200">
            <v>3.3785451636252555</v>
          </cell>
          <cell r="L200">
            <v>0</v>
          </cell>
        </row>
        <row r="201">
          <cell r="C201">
            <v>38.848984787984186</v>
          </cell>
          <cell r="D201">
            <v>4.125</v>
          </cell>
          <cell r="E201">
            <v>3</v>
          </cell>
          <cell r="F201">
            <v>7</v>
          </cell>
          <cell r="G201">
            <v>20</v>
          </cell>
          <cell r="H201">
            <v>0</v>
          </cell>
          <cell r="I201">
            <v>6.3809267625334316</v>
          </cell>
          <cell r="J201">
            <v>4.7856811584484031</v>
          </cell>
          <cell r="K201">
            <v>3.9047265690116291</v>
          </cell>
          <cell r="L201">
            <v>0</v>
          </cell>
        </row>
        <row r="202">
          <cell r="C202">
            <v>42.643360270022924</v>
          </cell>
          <cell r="D202">
            <v>5.5</v>
          </cell>
          <cell r="E202">
            <v>3</v>
          </cell>
          <cell r="F202">
            <v>7</v>
          </cell>
          <cell r="G202">
            <v>20</v>
          </cell>
          <cell r="H202">
            <v>0</v>
          </cell>
          <cell r="I202">
            <v>6.7624082814385531</v>
          </cell>
          <cell r="J202">
            <v>5.1394881129990644</v>
          </cell>
          <cell r="K202">
            <v>4.2154539871990018</v>
          </cell>
          <cell r="L202">
            <v>0</v>
          </cell>
        </row>
        <row r="203">
          <cell r="C203">
            <v>48.493134765265182</v>
          </cell>
          <cell r="D203">
            <v>8.25</v>
          </cell>
          <cell r="E203">
            <v>3</v>
          </cell>
          <cell r="F203">
            <v>7</v>
          </cell>
          <cell r="G203">
            <v>20</v>
          </cell>
          <cell r="H203">
            <v>0</v>
          </cell>
          <cell r="I203">
            <v>7</v>
          </cell>
          <cell r="J203">
            <v>5.6109193252580027</v>
          </cell>
          <cell r="K203">
            <v>4.71831394694187</v>
          </cell>
          <cell r="L203">
            <v>0</v>
          </cell>
        </row>
        <row r="204">
          <cell r="C204">
            <v>52.559419343629337</v>
          </cell>
          <cell r="D204">
            <v>11</v>
          </cell>
          <cell r="E204">
            <v>3</v>
          </cell>
          <cell r="F204">
            <v>7</v>
          </cell>
          <cell r="G204">
            <v>20</v>
          </cell>
          <cell r="H204">
            <v>0</v>
          </cell>
          <cell r="I204">
            <v>7</v>
          </cell>
          <cell r="J204">
            <v>6.028056955583998</v>
          </cell>
          <cell r="K204">
            <v>5.0965940859562648</v>
          </cell>
          <cell r="L204">
            <v>0</v>
          </cell>
        </row>
        <row r="205">
          <cell r="C205">
            <v>58.560986008166232</v>
          </cell>
          <cell r="D205">
            <v>16.5</v>
          </cell>
          <cell r="E205">
            <v>3</v>
          </cell>
          <cell r="F205">
            <v>7</v>
          </cell>
          <cell r="G205">
            <v>20</v>
          </cell>
          <cell r="H205">
            <v>0</v>
          </cell>
          <cell r="I205">
            <v>7</v>
          </cell>
          <cell r="J205">
            <v>6.4503755941058527</v>
          </cell>
          <cell r="K205">
            <v>5.5290483718026433</v>
          </cell>
          <cell r="L205">
            <v>0</v>
          </cell>
        </row>
        <row r="206">
          <cell r="C206">
            <v>64.247064283227857</v>
          </cell>
          <cell r="D206">
            <v>24.750000000000004</v>
          </cell>
          <cell r="E206">
            <v>3</v>
          </cell>
          <cell r="F206">
            <v>7</v>
          </cell>
          <cell r="G206">
            <v>20</v>
          </cell>
          <cell r="H206">
            <v>0</v>
          </cell>
          <cell r="I206">
            <v>7</v>
          </cell>
          <cell r="J206">
            <v>7</v>
          </cell>
          <cell r="K206">
            <v>6.0551466671202014</v>
          </cell>
          <cell r="L206">
            <v>3</v>
          </cell>
        </row>
        <row r="207">
          <cell r="C207">
            <v>68.518369035696878</v>
          </cell>
          <cell r="D207">
            <v>33</v>
          </cell>
          <cell r="E207">
            <v>3</v>
          </cell>
          <cell r="F207">
            <v>7</v>
          </cell>
          <cell r="G207">
            <v>20</v>
          </cell>
          <cell r="H207">
            <v>1</v>
          </cell>
          <cell r="I207">
            <v>7</v>
          </cell>
          <cell r="J207">
            <v>7</v>
          </cell>
          <cell r="K207">
            <v>6.3137421572143957</v>
          </cell>
          <cell r="L207">
            <v>3</v>
          </cell>
        </row>
        <row r="208">
          <cell r="C208">
            <v>71.7664716439551</v>
          </cell>
          <cell r="D208">
            <v>41.25</v>
          </cell>
          <cell r="E208">
            <v>3</v>
          </cell>
          <cell r="F208">
            <v>7</v>
          </cell>
          <cell r="G208">
            <v>20</v>
          </cell>
          <cell r="H208">
            <v>1</v>
          </cell>
          <cell r="I208">
            <v>7</v>
          </cell>
          <cell r="J208">
            <v>7</v>
          </cell>
          <cell r="K208">
            <v>6.5154066541425593</v>
          </cell>
          <cell r="L208">
            <v>3.6002710048236333</v>
          </cell>
        </row>
        <row r="209">
          <cell r="C209">
            <v>74.370993278111257</v>
          </cell>
          <cell r="D209">
            <v>49.500000000000007</v>
          </cell>
          <cell r="E209">
            <v>3</v>
          </cell>
          <cell r="F209">
            <v>7</v>
          </cell>
          <cell r="G209">
            <v>20</v>
          </cell>
          <cell r="H209">
            <v>2</v>
          </cell>
          <cell r="I209">
            <v>7</v>
          </cell>
          <cell r="J209">
            <v>7</v>
          </cell>
          <cell r="K209">
            <v>6.7170711510707228</v>
          </cell>
          <cell r="L209">
            <v>4.2610829239619044</v>
          </cell>
        </row>
        <row r="210">
          <cell r="C210">
            <v>77.234275947206214</v>
          </cell>
          <cell r="D210">
            <v>60.500000000000007</v>
          </cell>
          <cell r="E210">
            <v>3</v>
          </cell>
          <cell r="F210">
            <v>7</v>
          </cell>
          <cell r="G210">
            <v>20</v>
          </cell>
          <cell r="H210">
            <v>3</v>
          </cell>
          <cell r="I210">
            <v>7</v>
          </cell>
          <cell r="J210">
            <v>7</v>
          </cell>
          <cell r="K210">
            <v>6.9859571469749397</v>
          </cell>
          <cell r="L210">
            <v>4.8756794860286874</v>
          </cell>
        </row>
        <row r="211">
          <cell r="C211">
            <v>79.725666247801229</v>
          </cell>
          <cell r="D211">
            <v>71.5</v>
          </cell>
          <cell r="E211">
            <v>3</v>
          </cell>
          <cell r="F211">
            <v>7</v>
          </cell>
          <cell r="G211">
            <v>20</v>
          </cell>
          <cell r="H211">
            <v>3</v>
          </cell>
          <cell r="I211">
            <v>7</v>
          </cell>
          <cell r="J211">
            <v>7</v>
          </cell>
          <cell r="K211">
            <v>7</v>
          </cell>
          <cell r="L211">
            <v>5.2451380240477343</v>
          </cell>
        </row>
        <row r="212">
          <cell r="C212">
            <v>81.863982387630472</v>
          </cell>
          <cell r="D212">
            <v>82.5</v>
          </cell>
          <cell r="E212">
            <v>3</v>
          </cell>
          <cell r="F212">
            <v>7</v>
          </cell>
          <cell r="G212">
            <v>20</v>
          </cell>
          <cell r="H212">
            <v>4</v>
          </cell>
          <cell r="I212">
            <v>7</v>
          </cell>
          <cell r="J212">
            <v>7</v>
          </cell>
          <cell r="K212">
            <v>7</v>
          </cell>
          <cell r="L212">
            <v>5.5524363050811267</v>
          </cell>
        </row>
        <row r="213">
          <cell r="C213">
            <v>83.667042947574714</v>
          </cell>
          <cell r="D213">
            <v>93.500000000000014</v>
          </cell>
          <cell r="E213">
            <v>3</v>
          </cell>
          <cell r="F213">
            <v>7</v>
          </cell>
          <cell r="G213">
            <v>20</v>
          </cell>
          <cell r="H213">
            <v>5</v>
          </cell>
          <cell r="I213">
            <v>7</v>
          </cell>
          <cell r="J213">
            <v>7</v>
          </cell>
          <cell r="K213">
            <v>7</v>
          </cell>
          <cell r="L213">
            <v>5.8567448442207395</v>
          </cell>
        </row>
        <row r="214">
          <cell r="C214">
            <v>86.154780808490059</v>
          </cell>
          <cell r="D214">
            <v>110.00000000000001</v>
          </cell>
          <cell r="E214">
            <v>3</v>
          </cell>
          <cell r="F214">
            <v>7</v>
          </cell>
          <cell r="G214">
            <v>20</v>
          </cell>
          <cell r="H214">
            <v>6</v>
          </cell>
          <cell r="I214">
            <v>7</v>
          </cell>
          <cell r="J214">
            <v>7</v>
          </cell>
          <cell r="K214">
            <v>7</v>
          </cell>
          <cell r="L214">
            <v>6.1524074157939577</v>
          </cell>
        </row>
        <row r="215">
          <cell r="C215">
            <v>90.480184629206022</v>
          </cell>
          <cell r="D215">
            <v>143</v>
          </cell>
          <cell r="E215">
            <v>3</v>
          </cell>
          <cell r="F215">
            <v>7</v>
          </cell>
          <cell r="G215">
            <v>20</v>
          </cell>
          <cell r="H215">
            <v>8</v>
          </cell>
          <cell r="I215">
            <v>7</v>
          </cell>
          <cell r="J215">
            <v>7</v>
          </cell>
          <cell r="K215">
            <v>7</v>
          </cell>
          <cell r="L215">
            <v>6.6002644170807763</v>
          </cell>
        </row>
        <row r="216">
          <cell r="C216">
            <v>93.6774218048877</v>
          </cell>
          <cell r="D216">
            <v>176</v>
          </cell>
          <cell r="E216">
            <v>3</v>
          </cell>
          <cell r="F216">
            <v>7</v>
          </cell>
          <cell r="G216">
            <v>20</v>
          </cell>
          <cell r="H216">
            <v>10</v>
          </cell>
          <cell r="I216">
            <v>7</v>
          </cell>
          <cell r="J216">
            <v>7</v>
          </cell>
          <cell r="K216">
            <v>7</v>
          </cell>
          <cell r="L216">
            <v>7</v>
          </cell>
        </row>
        <row r="217">
          <cell r="C217">
            <v>97.125654465362558</v>
          </cell>
          <cell r="D217">
            <v>225.50000000000003</v>
          </cell>
          <cell r="E217">
            <v>3</v>
          </cell>
          <cell r="F217">
            <v>7</v>
          </cell>
          <cell r="G217">
            <v>20</v>
          </cell>
          <cell r="H217">
            <v>14</v>
          </cell>
          <cell r="I217">
            <v>7</v>
          </cell>
          <cell r="J217">
            <v>7</v>
          </cell>
          <cell r="K217">
            <v>7</v>
          </cell>
          <cell r="L217">
            <v>7</v>
          </cell>
        </row>
        <row r="218">
          <cell r="C218">
            <v>100.89689545435591</v>
          </cell>
          <cell r="D218">
            <v>291.5</v>
          </cell>
          <cell r="E218">
            <v>3</v>
          </cell>
          <cell r="F218">
            <v>7</v>
          </cell>
          <cell r="G218">
            <v>20</v>
          </cell>
          <cell r="H218">
            <v>18</v>
          </cell>
          <cell r="I218">
            <v>7</v>
          </cell>
          <cell r="J218">
            <v>7</v>
          </cell>
          <cell r="K218">
            <v>7</v>
          </cell>
          <cell r="L218">
            <v>7</v>
          </cell>
        </row>
        <row r="219">
          <cell r="C219">
            <v>104.52148587104635</v>
          </cell>
          <cell r="D219">
            <v>374.00000000000006</v>
          </cell>
          <cell r="E219">
            <v>3</v>
          </cell>
          <cell r="F219">
            <v>7</v>
          </cell>
          <cell r="G219">
            <v>20</v>
          </cell>
          <cell r="H219">
            <v>20</v>
          </cell>
          <cell r="I219">
            <v>7</v>
          </cell>
          <cell r="J219">
            <v>7</v>
          </cell>
          <cell r="K219">
            <v>7</v>
          </cell>
          <cell r="L219">
            <v>7</v>
          </cell>
        </row>
        <row r="220">
          <cell r="C220">
            <v>108.05586950728798</v>
          </cell>
          <cell r="D220">
            <v>473.00000000000006</v>
          </cell>
          <cell r="E220">
            <v>3</v>
          </cell>
          <cell r="F220">
            <v>7</v>
          </cell>
          <cell r="G220">
            <v>20</v>
          </cell>
          <cell r="H220">
            <v>20</v>
          </cell>
          <cell r="I220">
            <v>7</v>
          </cell>
          <cell r="J220">
            <v>7</v>
          </cell>
          <cell r="K220">
            <v>7</v>
          </cell>
          <cell r="L220">
            <v>7</v>
          </cell>
        </row>
        <row r="221">
          <cell r="C221">
            <v>111.54601176466306</v>
          </cell>
          <cell r="D221">
            <v>605</v>
          </cell>
          <cell r="E221">
            <v>3</v>
          </cell>
          <cell r="F221">
            <v>7</v>
          </cell>
          <cell r="G221">
            <v>20</v>
          </cell>
          <cell r="H221">
            <v>20</v>
          </cell>
          <cell r="I221">
            <v>7</v>
          </cell>
          <cell r="J221">
            <v>7</v>
          </cell>
          <cell r="K221">
            <v>7</v>
          </cell>
          <cell r="L221">
            <v>7</v>
          </cell>
        </row>
        <row r="222">
          <cell r="C222">
            <v>115.20444967370992</v>
          </cell>
          <cell r="D222">
            <v>770.00000000000011</v>
          </cell>
          <cell r="E222">
            <v>3</v>
          </cell>
          <cell r="F222">
            <v>7</v>
          </cell>
          <cell r="G222">
            <v>20</v>
          </cell>
          <cell r="H222">
            <v>20</v>
          </cell>
          <cell r="I222">
            <v>7</v>
          </cell>
          <cell r="J222">
            <v>7</v>
          </cell>
          <cell r="K222">
            <v>7</v>
          </cell>
          <cell r="L222">
            <v>7</v>
          </cell>
        </row>
        <row r="223">
          <cell r="C223">
            <v>118.75432507225094</v>
          </cell>
          <cell r="D223">
            <v>984.50000000000011</v>
          </cell>
          <cell r="E223">
            <v>3</v>
          </cell>
          <cell r="F223">
            <v>7</v>
          </cell>
          <cell r="G223">
            <v>20</v>
          </cell>
          <cell r="H223">
            <v>20</v>
          </cell>
          <cell r="I223">
            <v>7</v>
          </cell>
          <cell r="J223">
            <v>7</v>
          </cell>
          <cell r="K223">
            <v>7</v>
          </cell>
          <cell r="L223">
            <v>7</v>
          </cell>
        </row>
        <row r="224">
          <cell r="C224">
            <v>122.26514676047371</v>
          </cell>
          <cell r="D224">
            <v>1248.5</v>
          </cell>
          <cell r="E224">
            <v>3</v>
          </cell>
          <cell r="F224">
            <v>7</v>
          </cell>
          <cell r="G224">
            <v>20</v>
          </cell>
          <cell r="H224">
            <v>20</v>
          </cell>
          <cell r="I224">
            <v>7</v>
          </cell>
          <cell r="J224">
            <v>7</v>
          </cell>
          <cell r="K224">
            <v>7</v>
          </cell>
          <cell r="L224">
            <v>7</v>
          </cell>
        </row>
        <row r="225">
          <cell r="C225">
            <v>125.84855083483956</v>
          </cell>
          <cell r="D225">
            <v>1595.0000000000002</v>
          </cell>
          <cell r="E225">
            <v>3</v>
          </cell>
          <cell r="F225">
            <v>7</v>
          </cell>
          <cell r="G225">
            <v>20</v>
          </cell>
          <cell r="H225">
            <v>20</v>
          </cell>
          <cell r="I225">
            <v>7</v>
          </cell>
          <cell r="J225">
            <v>7</v>
          </cell>
          <cell r="K225">
            <v>7</v>
          </cell>
          <cell r="L225">
            <v>7</v>
          </cell>
        </row>
        <row r="226">
          <cell r="C226">
            <v>129.43528964176323</v>
          </cell>
          <cell r="D226">
            <v>2040.5000000000002</v>
          </cell>
          <cell r="E226">
            <v>3</v>
          </cell>
          <cell r="F226">
            <v>7</v>
          </cell>
          <cell r="G226">
            <v>20</v>
          </cell>
          <cell r="H226">
            <v>20</v>
          </cell>
          <cell r="I226">
            <v>7</v>
          </cell>
          <cell r="J226">
            <v>7</v>
          </cell>
          <cell r="K226">
            <v>7</v>
          </cell>
          <cell r="L226">
            <v>7</v>
          </cell>
        </row>
        <row r="227">
          <cell r="C227">
            <v>133.03192104200832</v>
          </cell>
          <cell r="D227">
            <v>2601.5</v>
          </cell>
          <cell r="E227">
            <v>3</v>
          </cell>
          <cell r="F227">
            <v>7</v>
          </cell>
          <cell r="G227">
            <v>20</v>
          </cell>
          <cell r="H227">
            <v>20</v>
          </cell>
          <cell r="I227">
            <v>7</v>
          </cell>
          <cell r="J227">
            <v>7</v>
          </cell>
          <cell r="K227">
            <v>7</v>
          </cell>
          <cell r="L227">
            <v>7</v>
          </cell>
        </row>
        <row r="228">
          <cell r="C228">
            <v>136.45508882162355</v>
          </cell>
          <cell r="D228">
            <v>3311.0000000000005</v>
          </cell>
          <cell r="E228">
            <v>3</v>
          </cell>
          <cell r="F228">
            <v>7</v>
          </cell>
          <cell r="G228">
            <v>20</v>
          </cell>
          <cell r="H228">
            <v>20</v>
          </cell>
          <cell r="I228">
            <v>7</v>
          </cell>
          <cell r="J228">
            <v>7</v>
          </cell>
          <cell r="K228">
            <v>7</v>
          </cell>
          <cell r="L228">
            <v>7</v>
          </cell>
        </row>
        <row r="229">
          <cell r="C229">
            <v>140.08772492574531</v>
          </cell>
          <cell r="D229">
            <v>4218.5</v>
          </cell>
          <cell r="E229">
            <v>3</v>
          </cell>
          <cell r="F229">
            <v>7</v>
          </cell>
          <cell r="G229">
            <v>20</v>
          </cell>
          <cell r="H229">
            <v>20</v>
          </cell>
          <cell r="I229">
            <v>7</v>
          </cell>
          <cell r="J229">
            <v>7</v>
          </cell>
          <cell r="K229">
            <v>7</v>
          </cell>
          <cell r="L229">
            <v>7</v>
          </cell>
        </row>
        <row r="230">
          <cell r="C230">
            <v>143.51956656528549</v>
          </cell>
          <cell r="D230">
            <v>5373.5</v>
          </cell>
          <cell r="E230">
            <v>3</v>
          </cell>
          <cell r="F230">
            <v>7</v>
          </cell>
          <cell r="G230">
            <v>20</v>
          </cell>
          <cell r="H230">
            <v>20</v>
          </cell>
          <cell r="I230">
            <v>7</v>
          </cell>
          <cell r="J230">
            <v>7</v>
          </cell>
          <cell r="K230">
            <v>7</v>
          </cell>
          <cell r="L230">
            <v>7</v>
          </cell>
        </row>
        <row r="231">
          <cell r="C231">
            <v>147.17868266109423</v>
          </cell>
          <cell r="D231">
            <v>6842.0000000000009</v>
          </cell>
          <cell r="E231">
            <v>3</v>
          </cell>
          <cell r="F231">
            <v>7</v>
          </cell>
          <cell r="G231">
            <v>20</v>
          </cell>
          <cell r="H231">
            <v>20</v>
          </cell>
          <cell r="I231">
            <v>7</v>
          </cell>
          <cell r="J231">
            <v>7</v>
          </cell>
          <cell r="K231">
            <v>7</v>
          </cell>
          <cell r="L231">
            <v>7</v>
          </cell>
        </row>
        <row r="232">
          <cell r="C232">
            <v>150.49637054967232</v>
          </cell>
          <cell r="D232">
            <v>8723</v>
          </cell>
          <cell r="E232">
            <v>3</v>
          </cell>
          <cell r="F232">
            <v>7</v>
          </cell>
          <cell r="G232">
            <v>20</v>
          </cell>
          <cell r="H232">
            <v>20</v>
          </cell>
          <cell r="I232">
            <v>7</v>
          </cell>
          <cell r="J232">
            <v>7</v>
          </cell>
          <cell r="K232">
            <v>7</v>
          </cell>
          <cell r="L232">
            <v>7</v>
          </cell>
        </row>
        <row r="233">
          <cell r="C233">
            <v>151.40240982411487</v>
          </cell>
          <cell r="D233">
            <v>11115.5</v>
          </cell>
          <cell r="E233">
            <v>3</v>
          </cell>
          <cell r="F233">
            <v>7</v>
          </cell>
          <cell r="G233">
            <v>20</v>
          </cell>
          <cell r="H233">
            <v>20</v>
          </cell>
          <cell r="I233">
            <v>7</v>
          </cell>
          <cell r="J233">
            <v>7</v>
          </cell>
          <cell r="K233">
            <v>7</v>
          </cell>
          <cell r="L233">
            <v>7</v>
          </cell>
        </row>
        <row r="234">
          <cell r="C234">
            <v>152.00526961196863</v>
          </cell>
          <cell r="D234">
            <v>14168.000000000002</v>
          </cell>
          <cell r="E234">
            <v>3</v>
          </cell>
          <cell r="F234">
            <v>7</v>
          </cell>
          <cell r="G234">
            <v>20</v>
          </cell>
          <cell r="H234">
            <v>20</v>
          </cell>
          <cell r="I234">
            <v>7</v>
          </cell>
          <cell r="J234">
            <v>7</v>
          </cell>
          <cell r="K234">
            <v>7</v>
          </cell>
          <cell r="L234">
            <v>7</v>
          </cell>
        </row>
        <row r="235">
          <cell r="C235">
            <v>152.38629594951036</v>
          </cell>
          <cell r="D235">
            <v>18012.5</v>
          </cell>
          <cell r="E235">
            <v>3</v>
          </cell>
          <cell r="F235">
            <v>7</v>
          </cell>
          <cell r="G235">
            <v>20</v>
          </cell>
          <cell r="H235">
            <v>20</v>
          </cell>
          <cell r="I235">
            <v>7</v>
          </cell>
          <cell r="J235">
            <v>7</v>
          </cell>
          <cell r="K235">
            <v>7</v>
          </cell>
          <cell r="L235">
            <v>7</v>
          </cell>
        </row>
      </sheetData>
      <sheetData sheetId="3"/>
      <sheetData sheetId="4">
        <row r="32">
          <cell r="C32">
            <v>1</v>
          </cell>
          <cell r="D32">
            <v>1</v>
          </cell>
          <cell r="E32">
            <v>0</v>
          </cell>
          <cell r="F32">
            <v>0</v>
          </cell>
        </row>
        <row r="33">
          <cell r="C33">
            <v>2</v>
          </cell>
          <cell r="D33">
            <v>2</v>
          </cell>
          <cell r="E33">
            <v>1</v>
          </cell>
          <cell r="F33">
            <v>0</v>
          </cell>
        </row>
        <row r="34">
          <cell r="C34">
            <v>3</v>
          </cell>
          <cell r="D34">
            <v>4</v>
          </cell>
          <cell r="E34">
            <v>2</v>
          </cell>
          <cell r="F34">
            <v>1</v>
          </cell>
        </row>
        <row r="35">
          <cell r="C35">
            <v>4</v>
          </cell>
          <cell r="D35">
            <v>8</v>
          </cell>
          <cell r="E35">
            <v>4</v>
          </cell>
          <cell r="F35">
            <v>2</v>
          </cell>
        </row>
        <row r="36">
          <cell r="C36">
            <v>5</v>
          </cell>
          <cell r="D36">
            <v>16</v>
          </cell>
          <cell r="E36">
            <v>8</v>
          </cell>
          <cell r="F36">
            <v>4</v>
          </cell>
        </row>
        <row r="37">
          <cell r="C37">
            <v>6</v>
          </cell>
          <cell r="D37">
            <v>32</v>
          </cell>
          <cell r="E37">
            <v>16</v>
          </cell>
          <cell r="F37">
            <v>8</v>
          </cell>
        </row>
        <row r="38">
          <cell r="C38">
            <v>7</v>
          </cell>
          <cell r="D38">
            <v>64</v>
          </cell>
          <cell r="E38">
            <v>32</v>
          </cell>
          <cell r="F38">
            <v>16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K20:U39"/>
  <sheetViews>
    <sheetView topLeftCell="A10" workbookViewId="0">
      <selection activeCell="J19" sqref="J19"/>
    </sheetView>
  </sheetViews>
  <sheetFormatPr defaultRowHeight="13.5"/>
  <sheetData>
    <row r="20" spans="11:21">
      <c r="K20" s="1" t="s">
        <v>0</v>
      </c>
      <c r="L20" s="1">
        <v>8</v>
      </c>
      <c r="M20" s="2" t="s">
        <v>15</v>
      </c>
      <c r="N20" s="2">
        <v>1</v>
      </c>
      <c r="O20" s="2" t="s">
        <v>14</v>
      </c>
      <c r="P20" s="2">
        <v>5</v>
      </c>
      <c r="Q20" s="2"/>
      <c r="R20" s="2"/>
      <c r="S20" s="2"/>
      <c r="T20" s="1" t="s">
        <v>0</v>
      </c>
      <c r="U20" s="1">
        <v>8</v>
      </c>
    </row>
    <row r="21" spans="11:21">
      <c r="K21" s="1" t="s">
        <v>1</v>
      </c>
      <c r="L21" s="1">
        <v>12</v>
      </c>
      <c r="M21" s="2" t="s">
        <v>15</v>
      </c>
      <c r="N21" s="2">
        <v>3</v>
      </c>
      <c r="O21" s="2" t="s">
        <v>14</v>
      </c>
      <c r="P21" s="2">
        <v>3</v>
      </c>
      <c r="Q21" s="2"/>
      <c r="R21" s="2"/>
      <c r="S21" s="2"/>
      <c r="T21" s="2" t="s">
        <v>23</v>
      </c>
      <c r="U21" s="2">
        <v>10</v>
      </c>
    </row>
    <row r="22" spans="11:21">
      <c r="K22" s="1" t="s">
        <v>2</v>
      </c>
      <c r="L22" s="1">
        <v>16</v>
      </c>
      <c r="M22" s="2" t="s">
        <v>15</v>
      </c>
      <c r="N22" s="2">
        <v>5</v>
      </c>
      <c r="O22" s="2" t="s">
        <v>14</v>
      </c>
      <c r="P22" s="2">
        <v>1</v>
      </c>
      <c r="Q22" s="2"/>
      <c r="R22" s="2"/>
      <c r="S22" s="2"/>
      <c r="T22" s="1" t="s">
        <v>1</v>
      </c>
      <c r="U22" s="1">
        <v>12</v>
      </c>
    </row>
    <row r="23" spans="11:21">
      <c r="K23" s="1" t="s">
        <v>3</v>
      </c>
      <c r="L23" s="1">
        <v>20</v>
      </c>
      <c r="M23" s="2" t="s">
        <v>13</v>
      </c>
      <c r="N23" s="2">
        <v>1</v>
      </c>
      <c r="O23" s="2" t="s">
        <v>15</v>
      </c>
      <c r="P23" s="2">
        <v>5</v>
      </c>
      <c r="Q23" s="2"/>
      <c r="R23" s="2"/>
      <c r="S23" s="2"/>
      <c r="T23" s="1" t="s">
        <v>2</v>
      </c>
      <c r="U23" s="1">
        <v>16</v>
      </c>
    </row>
    <row r="24" spans="11:21">
      <c r="K24" s="1" t="s">
        <v>9</v>
      </c>
      <c r="L24" s="1">
        <v>30</v>
      </c>
      <c r="M24" s="2" t="s">
        <v>13</v>
      </c>
      <c r="N24" s="2">
        <v>4</v>
      </c>
      <c r="O24" s="2" t="s">
        <v>15</v>
      </c>
      <c r="P24" s="2">
        <v>2</v>
      </c>
      <c r="Q24" s="2"/>
      <c r="R24" s="2"/>
      <c r="S24" s="2"/>
      <c r="T24" s="2" t="s">
        <v>24</v>
      </c>
      <c r="U24" s="2">
        <v>20</v>
      </c>
    </row>
    <row r="25" spans="11:21">
      <c r="K25" s="1" t="s">
        <v>10</v>
      </c>
      <c r="L25" s="1">
        <v>32</v>
      </c>
      <c r="M25" s="2" t="s">
        <v>13</v>
      </c>
      <c r="N25" s="2">
        <v>4</v>
      </c>
      <c r="O25" s="2" t="s">
        <v>15</v>
      </c>
      <c r="P25" s="2">
        <v>1</v>
      </c>
      <c r="Q25" s="2" t="s">
        <v>16</v>
      </c>
      <c r="R25" s="2">
        <v>1</v>
      </c>
      <c r="S25" s="2"/>
      <c r="T25" s="2" t="s">
        <v>25</v>
      </c>
      <c r="U25" s="2">
        <v>30</v>
      </c>
    </row>
    <row r="26" spans="11:21">
      <c r="K26" s="1" t="s">
        <v>4</v>
      </c>
      <c r="L26" s="1">
        <v>35</v>
      </c>
      <c r="M26" s="2" t="s">
        <v>13</v>
      </c>
      <c r="N26" s="2">
        <v>6</v>
      </c>
      <c r="O26" s="2"/>
      <c r="P26" s="2"/>
      <c r="Q26" s="2"/>
      <c r="R26" s="2"/>
      <c r="S26" s="2"/>
      <c r="T26" s="1" t="s">
        <v>10</v>
      </c>
      <c r="U26" s="1">
        <v>32</v>
      </c>
    </row>
    <row r="27" spans="11:21">
      <c r="K27" s="1" t="s">
        <v>11</v>
      </c>
      <c r="L27" s="1">
        <v>36</v>
      </c>
      <c r="M27" s="2" t="s">
        <v>17</v>
      </c>
      <c r="N27" s="2">
        <v>1</v>
      </c>
      <c r="O27" s="2" t="s">
        <v>13</v>
      </c>
      <c r="P27" s="2">
        <v>5</v>
      </c>
      <c r="Q27" s="2"/>
      <c r="R27" s="2"/>
      <c r="S27" s="2"/>
      <c r="T27" s="1" t="s">
        <v>4</v>
      </c>
      <c r="U27" s="1">
        <v>35</v>
      </c>
    </row>
    <row r="28" spans="11:21">
      <c r="K28" s="1" t="s">
        <v>5</v>
      </c>
      <c r="L28" s="1">
        <v>44</v>
      </c>
      <c r="M28" s="2" t="s">
        <v>18</v>
      </c>
      <c r="N28" s="2">
        <v>1</v>
      </c>
      <c r="O28" s="2" t="s">
        <v>13</v>
      </c>
      <c r="P28" s="2">
        <v>5</v>
      </c>
      <c r="Q28" s="2"/>
      <c r="R28" s="2"/>
      <c r="S28" s="2"/>
      <c r="T28" s="1" t="s">
        <v>11</v>
      </c>
      <c r="U28" s="1">
        <v>36</v>
      </c>
    </row>
    <row r="29" spans="11:21">
      <c r="K29" s="1" t="s">
        <v>12</v>
      </c>
      <c r="L29" s="1">
        <v>46</v>
      </c>
      <c r="M29" s="2" t="s">
        <v>19</v>
      </c>
      <c r="N29" s="2">
        <v>1</v>
      </c>
      <c r="O29" s="2" t="s">
        <v>17</v>
      </c>
      <c r="P29" s="2">
        <v>5</v>
      </c>
      <c r="Q29" s="2"/>
      <c r="R29" s="2"/>
      <c r="S29" s="2"/>
      <c r="T29" s="2" t="s">
        <v>26</v>
      </c>
      <c r="U29" s="2">
        <v>40</v>
      </c>
    </row>
    <row r="30" spans="11:21">
      <c r="K30" s="1" t="s">
        <v>6</v>
      </c>
      <c r="L30" s="1">
        <v>48</v>
      </c>
      <c r="M30" s="2" t="s">
        <v>20</v>
      </c>
      <c r="N30" s="2">
        <v>6</v>
      </c>
      <c r="O30" s="2"/>
      <c r="P30" s="2"/>
      <c r="Q30" s="2"/>
      <c r="R30" s="2"/>
      <c r="S30" s="2"/>
      <c r="T30" s="1" t="s">
        <v>5</v>
      </c>
      <c r="U30" s="1">
        <v>44</v>
      </c>
    </row>
    <row r="31" spans="11:21">
      <c r="K31" s="1" t="s">
        <v>7</v>
      </c>
      <c r="L31" s="1">
        <v>58</v>
      </c>
      <c r="M31" s="2" t="s">
        <v>21</v>
      </c>
      <c r="N31" s="2">
        <v>6</v>
      </c>
      <c r="O31" s="2"/>
      <c r="P31" s="2"/>
      <c r="Q31" s="2"/>
      <c r="R31" s="2"/>
      <c r="S31" s="2"/>
      <c r="T31" s="1" t="s">
        <v>12</v>
      </c>
      <c r="U31" s="1">
        <v>46</v>
      </c>
    </row>
    <row r="32" spans="11:21">
      <c r="K32" s="1" t="s">
        <v>8</v>
      </c>
      <c r="L32" s="1">
        <v>66</v>
      </c>
      <c r="M32" s="2" t="s">
        <v>22</v>
      </c>
      <c r="N32" s="2">
        <v>6</v>
      </c>
      <c r="O32" s="2"/>
      <c r="P32" s="2"/>
      <c r="Q32" s="2"/>
      <c r="R32" s="2"/>
      <c r="S32" s="2"/>
      <c r="T32" s="1" t="s">
        <v>6</v>
      </c>
      <c r="U32" s="1">
        <v>48</v>
      </c>
    </row>
    <row r="33" spans="11:21">
      <c r="K33" s="2"/>
      <c r="L33" s="2"/>
      <c r="M33" s="2"/>
      <c r="N33" s="2"/>
      <c r="O33" s="2"/>
      <c r="P33" s="2"/>
      <c r="Q33" s="2"/>
      <c r="R33" s="2"/>
      <c r="S33" s="2"/>
      <c r="T33" s="2" t="s">
        <v>27</v>
      </c>
      <c r="U33" s="2">
        <v>50</v>
      </c>
    </row>
    <row r="34" spans="11:21">
      <c r="K34" s="1"/>
      <c r="L34" s="1"/>
      <c r="M34" s="2"/>
      <c r="N34" s="2"/>
      <c r="O34" s="2"/>
      <c r="P34" s="2"/>
      <c r="Q34" s="2"/>
      <c r="R34" s="2"/>
      <c r="S34" s="2"/>
      <c r="T34" s="2" t="s">
        <v>28</v>
      </c>
      <c r="U34" s="2">
        <v>60</v>
      </c>
    </row>
    <row r="35" spans="11:21">
      <c r="K35" s="2"/>
      <c r="L35" s="2"/>
      <c r="M35" s="2"/>
      <c r="N35" s="2"/>
      <c r="O35" s="2"/>
      <c r="P35" s="2"/>
      <c r="Q35" s="2"/>
      <c r="R35" s="2"/>
      <c r="S35" s="2"/>
      <c r="T35" s="1" t="s">
        <v>7</v>
      </c>
      <c r="U35" s="1">
        <v>58</v>
      </c>
    </row>
    <row r="36" spans="11:21">
      <c r="K36" s="2"/>
      <c r="L36" s="2"/>
      <c r="M36" s="2"/>
      <c r="N36" s="2"/>
      <c r="O36" s="2"/>
      <c r="P36" s="2"/>
      <c r="Q36" s="2"/>
      <c r="R36" s="2"/>
      <c r="S36" s="2"/>
      <c r="T36" s="2" t="s">
        <v>29</v>
      </c>
      <c r="U36" s="2">
        <v>70</v>
      </c>
    </row>
    <row r="37" spans="11:21">
      <c r="K37" s="2"/>
      <c r="L37" s="2"/>
      <c r="M37" s="2"/>
      <c r="N37" s="2"/>
      <c r="O37" s="2"/>
      <c r="P37" s="2"/>
      <c r="Q37" s="2"/>
      <c r="R37" s="2"/>
      <c r="S37" s="2"/>
      <c r="T37" s="2" t="s">
        <v>29</v>
      </c>
      <c r="U37" s="2">
        <v>80</v>
      </c>
    </row>
    <row r="38" spans="11:21">
      <c r="K38" s="2"/>
      <c r="L38" s="2"/>
      <c r="M38" s="2"/>
      <c r="N38" s="2"/>
      <c r="O38" s="2"/>
      <c r="P38" s="2"/>
      <c r="Q38" s="2"/>
      <c r="R38" s="2"/>
      <c r="S38" s="2"/>
      <c r="T38" s="2" t="s">
        <v>29</v>
      </c>
      <c r="U38" s="2">
        <v>90</v>
      </c>
    </row>
    <row r="39" spans="11:21">
      <c r="K39" s="2"/>
      <c r="L39" s="2"/>
      <c r="M39" s="2"/>
      <c r="N39" s="2"/>
      <c r="O39" s="2"/>
      <c r="P39" s="2"/>
      <c r="Q39" s="2"/>
      <c r="R39" s="2"/>
      <c r="S39" s="2"/>
      <c r="T39" s="2" t="s">
        <v>29</v>
      </c>
      <c r="U39" s="2">
        <v>100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C3:BR364"/>
  <sheetViews>
    <sheetView workbookViewId="0">
      <selection activeCell="N26" sqref="N26"/>
    </sheetView>
  </sheetViews>
  <sheetFormatPr defaultRowHeight="11.25"/>
  <cols>
    <col min="1" max="2" width="9" style="5"/>
    <col min="3" max="3" width="9.75" style="3" bestFit="1" customWidth="1"/>
    <col min="4" max="4" width="9" style="3" bestFit="1" customWidth="1"/>
    <col min="5" max="23" width="8.125" style="3"/>
    <col min="24" max="24" width="3" style="4" customWidth="1"/>
    <col min="25" max="31" width="8.125" style="3"/>
    <col min="32" max="32" width="8.125" style="5"/>
    <col min="33" max="38" width="8.125" style="3"/>
    <col min="39" max="39" width="8.125" style="5"/>
    <col min="40" max="45" width="8.125" style="3"/>
    <col min="46" max="46" width="8.125" style="3" customWidth="1"/>
    <col min="47" max="47" width="3" style="4" customWidth="1"/>
    <col min="48" max="48" width="8.125" style="3" customWidth="1"/>
    <col min="49" max="54" width="6.625" style="3"/>
    <col min="55" max="56" width="8.125" style="3" customWidth="1"/>
    <col min="57" max="57" width="3" style="4" customWidth="1"/>
    <col min="58" max="61" width="9" style="5"/>
    <col min="62" max="62" width="3" style="4" customWidth="1"/>
    <col min="63" max="63" width="8.125" style="3" customWidth="1"/>
    <col min="64" max="69" width="9" style="3"/>
    <col min="70" max="70" width="8.125" style="3" customWidth="1"/>
    <col min="71" max="16384" width="9" style="5"/>
  </cols>
  <sheetData>
    <row r="3" spans="3:69" ht="13.5" customHeight="1">
      <c r="D3" s="33" t="s">
        <v>87</v>
      </c>
      <c r="E3" s="33"/>
      <c r="F3" s="33"/>
      <c r="G3" s="33"/>
      <c r="H3" s="33"/>
      <c r="K3" s="33" t="s">
        <v>88</v>
      </c>
      <c r="L3" s="33"/>
      <c r="M3" s="33"/>
      <c r="N3" s="33"/>
      <c r="O3" s="33"/>
      <c r="R3" s="33" t="s">
        <v>89</v>
      </c>
      <c r="S3" s="33"/>
      <c r="T3" s="33"/>
      <c r="U3" s="33"/>
      <c r="V3" s="33"/>
      <c r="AA3" s="33" t="s">
        <v>35</v>
      </c>
      <c r="AB3" s="33"/>
      <c r="AC3" s="33"/>
      <c r="AD3" s="33"/>
      <c r="AE3" s="33"/>
      <c r="AH3" s="33" t="s">
        <v>36</v>
      </c>
      <c r="AI3" s="33"/>
      <c r="AJ3" s="33"/>
      <c r="AK3" s="33"/>
      <c r="AL3" s="33"/>
      <c r="AO3" s="33" t="s">
        <v>37</v>
      </c>
      <c r="AP3" s="33"/>
      <c r="AQ3" s="33"/>
      <c r="AR3" s="33"/>
      <c r="AS3" s="33"/>
      <c r="AX3" s="33" t="s">
        <v>90</v>
      </c>
      <c r="AY3" s="33"/>
      <c r="AZ3" s="33"/>
      <c r="BA3" s="33"/>
      <c r="BB3" s="33"/>
      <c r="BG3" s="33" t="s">
        <v>52</v>
      </c>
      <c r="BH3" s="33"/>
      <c r="BM3" s="33" t="s">
        <v>94</v>
      </c>
      <c r="BN3" s="33"/>
      <c r="BO3" s="33"/>
      <c r="BP3" s="33"/>
      <c r="BQ3" s="33"/>
    </row>
    <row r="4" spans="3:69">
      <c r="C4" s="3" t="s">
        <v>91</v>
      </c>
      <c r="D4" s="3" t="s">
        <v>38</v>
      </c>
      <c r="E4" s="3" t="s">
        <v>39</v>
      </c>
      <c r="F4" s="3" t="s">
        <v>40</v>
      </c>
      <c r="G4" s="3" t="s">
        <v>41</v>
      </c>
      <c r="H4" s="3" t="s">
        <v>42</v>
      </c>
      <c r="J4" s="3" t="s">
        <v>91</v>
      </c>
      <c r="K4" s="3" t="s">
        <v>38</v>
      </c>
      <c r="L4" s="3" t="s">
        <v>39</v>
      </c>
      <c r="M4" s="3" t="s">
        <v>40</v>
      </c>
      <c r="N4" s="3" t="s">
        <v>41</v>
      </c>
      <c r="O4" s="3" t="s">
        <v>42</v>
      </c>
      <c r="Q4" s="3" t="s">
        <v>43</v>
      </c>
      <c r="R4" s="3" t="s">
        <v>38</v>
      </c>
      <c r="S4" s="3" t="s">
        <v>39</v>
      </c>
      <c r="T4" s="3" t="s">
        <v>40</v>
      </c>
      <c r="U4" s="3" t="s">
        <v>41</v>
      </c>
      <c r="V4" s="3" t="s">
        <v>42</v>
      </c>
      <c r="Z4" s="3" t="s">
        <v>44</v>
      </c>
      <c r="AA4" s="3" t="s">
        <v>38</v>
      </c>
      <c r="AB4" s="3" t="s">
        <v>39</v>
      </c>
      <c r="AC4" s="3" t="s">
        <v>40</v>
      </c>
      <c r="AD4" s="3" t="s">
        <v>41</v>
      </c>
      <c r="AE4" s="3" t="s">
        <v>42</v>
      </c>
      <c r="AG4" s="3" t="s">
        <v>44</v>
      </c>
      <c r="AH4" s="3" t="s">
        <v>38</v>
      </c>
      <c r="AI4" s="3" t="s">
        <v>39</v>
      </c>
      <c r="AJ4" s="3" t="s">
        <v>40</v>
      </c>
      <c r="AK4" s="3" t="s">
        <v>41</v>
      </c>
      <c r="AL4" s="3" t="s">
        <v>42</v>
      </c>
      <c r="AN4" s="3" t="s">
        <v>43</v>
      </c>
      <c r="AO4" s="3" t="s">
        <v>38</v>
      </c>
      <c r="AP4" s="3" t="s">
        <v>39</v>
      </c>
      <c r="AQ4" s="3" t="s">
        <v>40</v>
      </c>
      <c r="AR4" s="3" t="s">
        <v>41</v>
      </c>
      <c r="AS4" s="3" t="s">
        <v>42</v>
      </c>
      <c r="AW4" s="3" t="s">
        <v>53</v>
      </c>
      <c r="AX4" s="6" t="s">
        <v>54</v>
      </c>
      <c r="AY4" s="6" t="s">
        <v>55</v>
      </c>
      <c r="AZ4" s="6" t="s">
        <v>56</v>
      </c>
      <c r="BA4" s="6" t="s">
        <v>57</v>
      </c>
      <c r="BB4" s="6" t="s">
        <v>58</v>
      </c>
      <c r="BG4" s="5" t="s">
        <v>50</v>
      </c>
      <c r="BH4" s="5" t="s">
        <v>51</v>
      </c>
      <c r="BL4" s="3" t="s">
        <v>93</v>
      </c>
      <c r="BM4" s="6" t="s">
        <v>30</v>
      </c>
      <c r="BN4" s="6" t="s">
        <v>31</v>
      </c>
      <c r="BO4" s="6" t="s">
        <v>32</v>
      </c>
      <c r="BP4" s="6" t="s">
        <v>33</v>
      </c>
      <c r="BQ4" s="6" t="s">
        <v>34</v>
      </c>
    </row>
    <row r="5" spans="3:69">
      <c r="C5" s="3">
        <v>1</v>
      </c>
      <c r="D5" s="3">
        <f>[1]节奏总纲!P4</f>
        <v>7.1773462536293131E-2</v>
      </c>
      <c r="E5" s="3">
        <f>[1]节奏总纲!Q4</f>
        <v>5.9787294292732177E-2</v>
      </c>
      <c r="F5" s="3">
        <f>[1]节奏总纲!R4</f>
        <v>4.677476553490223E-2</v>
      </c>
      <c r="G5" s="3">
        <f>[1]节奏总纲!S4</f>
        <v>3.2585151991477081E-2</v>
      </c>
      <c r="H5" s="3">
        <f>[1]节奏总纲!T4</f>
        <v>1.7039020006115988E-2</v>
      </c>
      <c r="J5" s="3">
        <v>1</v>
      </c>
      <c r="K5" s="3">
        <f>D5</f>
        <v>7.1773462536293131E-2</v>
      </c>
      <c r="L5" s="3">
        <f t="shared" ref="L5:O5" si="0">E5</f>
        <v>5.9787294292732177E-2</v>
      </c>
      <c r="M5" s="3">
        <f t="shared" si="0"/>
        <v>4.677476553490223E-2</v>
      </c>
      <c r="N5" s="3">
        <f t="shared" si="0"/>
        <v>3.2585151991477081E-2</v>
      </c>
      <c r="O5" s="3">
        <f t="shared" si="0"/>
        <v>1.7039020006115988E-2</v>
      </c>
      <c r="Q5" s="3">
        <v>1</v>
      </c>
      <c r="R5" s="3">
        <f>[1]节奏总纲!AD4</f>
        <v>10</v>
      </c>
      <c r="S5" s="3">
        <f>[1]节奏总纲!AE4</f>
        <v>11.148446722089302</v>
      </c>
      <c r="T5" s="3">
        <f>[1]节奏总纲!AF4</f>
        <v>12.761737853656415</v>
      </c>
      <c r="U5" s="3">
        <f>[1]节奏总纲!AG4</f>
        <v>15.452231935206081</v>
      </c>
      <c r="V5" s="3">
        <f>[1]节奏总纲!AH4</f>
        <v>21.291911942729964</v>
      </c>
      <c r="Z5" s="3">
        <v>1</v>
      </c>
      <c r="AA5" s="3">
        <f>[1]节奏总纲!AM4</f>
        <v>7.4349177498517554E-3</v>
      </c>
      <c r="AB5" s="3">
        <f>[1]节奏总纲!AN4</f>
        <v>5.947934199881405E-3</v>
      </c>
      <c r="AC5" s="3">
        <f>[1]节奏总纲!AO4</f>
        <v>4.4609506499110529E-3</v>
      </c>
      <c r="AD5" s="3">
        <f>[1]节奏总纲!AP4</f>
        <v>2.9739670999407025E-3</v>
      </c>
      <c r="AE5" s="3">
        <f>[1]节奏总纲!AQ4</f>
        <v>1.4869835499703513E-3</v>
      </c>
      <c r="AG5" s="3">
        <v>1</v>
      </c>
      <c r="AH5" s="3">
        <f>AA5</f>
        <v>7.4349177498517554E-3</v>
      </c>
      <c r="AI5" s="3">
        <f t="shared" ref="AI5:AL5" si="1">AB5</f>
        <v>5.947934199881405E-3</v>
      </c>
      <c r="AJ5" s="3">
        <f t="shared" si="1"/>
        <v>4.4609506499110529E-3</v>
      </c>
      <c r="AK5" s="3">
        <f t="shared" si="1"/>
        <v>2.9739670999407025E-3</v>
      </c>
      <c r="AL5" s="3">
        <f t="shared" si="1"/>
        <v>1.4869835499703513E-3</v>
      </c>
      <c r="AM5" s="3"/>
      <c r="AN5" s="3">
        <v>1</v>
      </c>
      <c r="AO5" s="3">
        <f>[1]节奏总纲!BA4</f>
        <v>11.296493250964016</v>
      </c>
      <c r="AP5" s="3">
        <f>[1]节奏总纲!BB4</f>
        <v>12.361596792946616</v>
      </c>
      <c r="AQ5" s="3">
        <f>[1]节奏总纲!BC4</f>
        <v>13.798091195443488</v>
      </c>
      <c r="AR5" s="3">
        <f>[1]节奏总纲!BD4</f>
        <v>15.911635365458322</v>
      </c>
      <c r="AS5" s="3">
        <f>[1]节奏总纲!BE4</f>
        <v>19.707330185578734</v>
      </c>
      <c r="AW5" s="3">
        <v>1</v>
      </c>
      <c r="AX5" s="3">
        <f>[1]节奏总纲!BQ4</f>
        <v>0.10358867312681475</v>
      </c>
      <c r="AY5" s="3">
        <f>[1]节奏总纲!BR4</f>
        <v>9.9484920169810143E-2</v>
      </c>
      <c r="AZ5" s="3">
        <f>[1]节奏总纲!BS4</f>
        <v>9.5370882117675193E-2</v>
      </c>
      <c r="BA5" s="3">
        <f>[1]节奏总纲!BT4</f>
        <v>9.1267553415695812E-2</v>
      </c>
      <c r="BB5" s="3">
        <f>[1]节奏总纲!BU4</f>
        <v>8.7269311817030126E-2</v>
      </c>
      <c r="BG5" s="5">
        <v>1</v>
      </c>
      <c r="BH5" s="5">
        <f>'[1]功能-城建'!$E6</f>
        <v>0</v>
      </c>
      <c r="BL5" s="3">
        <v>1</v>
      </c>
      <c r="BM5" s="3">
        <f>[1]节奏总纲!BX4</f>
        <v>3.4919352669146524</v>
      </c>
      <c r="BN5" s="3">
        <f>[1]节奏总纲!BY4</f>
        <v>3.5640303448543476</v>
      </c>
      <c r="BO5" s="3">
        <f>[1]节奏总纲!BZ4</f>
        <v>3.6425338741664604</v>
      </c>
      <c r="BP5" s="3">
        <f>[1]节奏总纲!CA4</f>
        <v>3.7278827947172908</v>
      </c>
      <c r="BQ5" s="3">
        <f>[1]节奏总纲!CB4</f>
        <v>3.8187662869079366</v>
      </c>
    </row>
    <row r="6" spans="3:69">
      <c r="C6" s="3">
        <v>2</v>
      </c>
      <c r="D6" s="3">
        <f>[1]节奏总纲!P5</f>
        <v>0.1486983549970351</v>
      </c>
      <c r="E6" s="3">
        <f>[1]节奏总纲!Q5</f>
        <v>0.12505531655250651</v>
      </c>
      <c r="F6" s="3">
        <f>[1]节奏总纲!R5</f>
        <v>9.883979656652922E-2</v>
      </c>
      <c r="G6" s="3">
        <f>[1]节奏总纲!S5</f>
        <v>6.9828747506607683E-2</v>
      </c>
      <c r="H6" s="3">
        <f>[1]节奏总纲!T5</f>
        <v>3.7085369736260552E-2</v>
      </c>
      <c r="J6" s="3">
        <v>2</v>
      </c>
      <c r="K6" s="3">
        <f>D6-D5</f>
        <v>7.6924892460741967E-2</v>
      </c>
      <c r="L6" s="3">
        <f t="shared" ref="L6:O21" si="2">E6-E5</f>
        <v>6.5268022259774336E-2</v>
      </c>
      <c r="M6" s="3">
        <f t="shared" si="2"/>
        <v>5.206503103162699E-2</v>
      </c>
      <c r="N6" s="3">
        <f t="shared" si="2"/>
        <v>3.7243595515130602E-2</v>
      </c>
      <c r="O6" s="3">
        <f t="shared" si="2"/>
        <v>2.0046349730144564E-2</v>
      </c>
      <c r="Q6" s="3">
        <v>2</v>
      </c>
      <c r="R6" s="3">
        <f>[1]节奏总纲!AD5</f>
        <v>15.845161563010114</v>
      </c>
      <c r="S6" s="3">
        <f>[1]节奏总纲!AE5</f>
        <v>17.271997130667014</v>
      </c>
      <c r="T6" s="3">
        <f>[1]节奏总纲!AF5</f>
        <v>19.263096801323076</v>
      </c>
      <c r="U6" s="3">
        <f>[1]节奏总纲!AG5</f>
        <v>22.536681597650272</v>
      </c>
      <c r="V6" s="3">
        <f>[1]节奏总纲!AH5</f>
        <v>29.386000042029625</v>
      </c>
      <c r="Z6" s="3">
        <v>2</v>
      </c>
      <c r="AA6" s="3">
        <f>[1]节奏总纲!AM5</f>
        <v>2.3963093307967063E-2</v>
      </c>
      <c r="AB6" s="3">
        <f>[1]节奏总纲!AN5</f>
        <v>1.9170474646373652E-2</v>
      </c>
      <c r="AC6" s="3">
        <f>[1]节奏总纲!AO5</f>
        <v>1.4377855984780237E-2</v>
      </c>
      <c r="AD6" s="3">
        <f>[1]节奏总纲!AP5</f>
        <v>9.5852373231868262E-3</v>
      </c>
      <c r="AE6" s="3">
        <f>[1]节奏总纲!AQ5</f>
        <v>4.7926186615934131E-3</v>
      </c>
      <c r="AG6" s="3">
        <v>2</v>
      </c>
      <c r="AH6" s="3">
        <f>AA6-AA5</f>
        <v>1.6528175558115307E-2</v>
      </c>
      <c r="AI6" s="3">
        <f t="shared" ref="AI6:AL21" si="3">AB6-AB5</f>
        <v>1.3222540446492247E-2</v>
      </c>
      <c r="AJ6" s="3">
        <f t="shared" si="3"/>
        <v>9.9169053348691846E-3</v>
      </c>
      <c r="AK6" s="3">
        <f t="shared" si="3"/>
        <v>6.6112702232461237E-3</v>
      </c>
      <c r="AL6" s="3">
        <f t="shared" si="3"/>
        <v>3.3056351116230618E-3</v>
      </c>
      <c r="AM6" s="3"/>
      <c r="AN6" s="3">
        <v>2</v>
      </c>
      <c r="AO6" s="3">
        <f>[1]节奏总纲!BA5</f>
        <v>14.729965238833779</v>
      </c>
      <c r="AP6" s="3">
        <f>[1]节奏总纲!BB5</f>
        <v>15.911635365458322</v>
      </c>
      <c r="AQ6" s="3">
        <f>[1]节奏总纲!BC5</f>
        <v>17.448850811924295</v>
      </c>
      <c r="AR6" s="3">
        <f>[1]节奏总纲!BD5</f>
        <v>19.707330185578734</v>
      </c>
      <c r="AS6" s="3">
        <f>[1]节奏总纲!BE5</f>
        <v>23.710496742673982</v>
      </c>
      <c r="AW6" s="3">
        <v>2</v>
      </c>
      <c r="AX6" s="3">
        <f>[1]节奏总纲!BQ5</f>
        <v>0.33387121731586833</v>
      </c>
      <c r="AY6" s="3">
        <f>[1]节奏总纲!BR5</f>
        <v>0.3206446264738233</v>
      </c>
      <c r="AZ6" s="3">
        <f>[1]节奏总纲!BS5</f>
        <v>0.30738488628129679</v>
      </c>
      <c r="BA6" s="3">
        <f>[1]节奏总纲!BT5</f>
        <v>0.29415966283336437</v>
      </c>
      <c r="BB6" s="3">
        <f>[1]节奏总纲!BU5</f>
        <v>0.2812731401144638</v>
      </c>
      <c r="BG6" s="5">
        <v>2</v>
      </c>
      <c r="BH6" s="5">
        <f>'[1]功能-城建'!$E7</f>
        <v>0</v>
      </c>
      <c r="BL6" s="3">
        <v>2</v>
      </c>
      <c r="BM6" s="3">
        <f>[1]节奏总纲!BX5</f>
        <v>4.977308377450588</v>
      </c>
      <c r="BN6" s="3">
        <f>[1]节奏总纲!BY5</f>
        <v>5.0895603019048199</v>
      </c>
      <c r="BO6" s="3">
        <f>[1]节奏总纲!BZ5</f>
        <v>5.2088085130582007</v>
      </c>
      <c r="BP6" s="3">
        <f>[1]节奏总纲!CA5</f>
        <v>5.348253402094703</v>
      </c>
      <c r="BQ6" s="3">
        <f>[1]节奏总纲!CB5</f>
        <v>5.5020994005782997</v>
      </c>
    </row>
    <row r="7" spans="3:69">
      <c r="C7" s="3">
        <v>3</v>
      </c>
      <c r="D7" s="3">
        <f>[1]节奏总纲!P6</f>
        <v>0.23114441334491631</v>
      </c>
      <c r="E7" s="3">
        <f>[1]节奏总纲!Q6</f>
        <v>0.19582554698581309</v>
      </c>
      <c r="F7" s="3">
        <f>[1]节奏总纲!R6</f>
        <v>0.15616116565582547</v>
      </c>
      <c r="G7" s="3">
        <f>[1]节奏总纲!S6</f>
        <v>0.11120357726023924</v>
      </c>
      <c r="H7" s="3">
        <f>[1]节奏总纲!T6</f>
        <v>5.9380999788309005E-2</v>
      </c>
      <c r="J7" s="3">
        <v>3</v>
      </c>
      <c r="K7" s="3">
        <f t="shared" ref="K7:O69" si="4">D7-D6</f>
        <v>8.2446058347881213E-2</v>
      </c>
      <c r="L7" s="3">
        <f t="shared" si="2"/>
        <v>7.0770230433306575E-2</v>
      </c>
      <c r="M7" s="3">
        <f t="shared" si="2"/>
        <v>5.7321369089296248E-2</v>
      </c>
      <c r="N7" s="3">
        <f t="shared" si="2"/>
        <v>4.1374829753631562E-2</v>
      </c>
      <c r="O7" s="3">
        <f t="shared" si="2"/>
        <v>2.2295630052048453E-2</v>
      </c>
      <c r="Q7" s="3">
        <v>3</v>
      </c>
      <c r="R7" s="3">
        <f>[1]节奏总纲!AD6</f>
        <v>20</v>
      </c>
      <c r="S7" s="3">
        <f>[1]节奏总纲!AE6</f>
        <v>21.543844702365945</v>
      </c>
      <c r="T7" s="3">
        <f>[1]节奏总纲!AF6</f>
        <v>23.734615677065324</v>
      </c>
      <c r="U7" s="3">
        <f>[1]节奏总纲!AG6</f>
        <v>27.324610510337703</v>
      </c>
      <c r="V7" s="3">
        <f>[1]节奏总纲!AH6</f>
        <v>34.517938607173015</v>
      </c>
      <c r="Z7" s="3">
        <v>3</v>
      </c>
      <c r="AA7" s="3">
        <f>[1]节奏总纲!AM6</f>
        <v>5.1571656651039799E-2</v>
      </c>
      <c r="AB7" s="3">
        <f>[1]节奏总纲!AN6</f>
        <v>4.1257325320831845E-2</v>
      </c>
      <c r="AC7" s="3">
        <f>[1]节奏总纲!AO6</f>
        <v>3.0942993990623877E-2</v>
      </c>
      <c r="AD7" s="3">
        <f>[1]节奏总纲!AP6</f>
        <v>2.0628662660415922E-2</v>
      </c>
      <c r="AE7" s="3">
        <f>[1]节奏总纲!AQ6</f>
        <v>1.0314331330207961E-2</v>
      </c>
      <c r="AG7" s="3">
        <v>3</v>
      </c>
      <c r="AH7" s="3">
        <f t="shared" ref="AH7:AL53" si="5">AA7-AA6</f>
        <v>2.7608563343072736E-2</v>
      </c>
      <c r="AI7" s="3">
        <f t="shared" si="3"/>
        <v>2.2086850674458192E-2</v>
      </c>
      <c r="AJ7" s="3">
        <f t="shared" si="3"/>
        <v>1.6565138005843638E-2</v>
      </c>
      <c r="AK7" s="3">
        <f t="shared" si="3"/>
        <v>1.1043425337229096E-2</v>
      </c>
      <c r="AL7" s="3">
        <f t="shared" si="3"/>
        <v>5.5217126686145481E-3</v>
      </c>
      <c r="AM7" s="3"/>
      <c r="AN7" s="3">
        <v>3</v>
      </c>
      <c r="AO7" s="3">
        <f>[1]节奏总纲!BA6</f>
        <v>16.888397947066121</v>
      </c>
      <c r="AP7" s="3">
        <f>[1]节奏总纲!BB6</f>
        <v>18.108391417375849</v>
      </c>
      <c r="AQ7" s="3">
        <f>[1]节奏总纲!BC6</f>
        <v>19.707330185578734</v>
      </c>
      <c r="AR7" s="3">
        <f>[1]节奏总纲!BD6</f>
        <v>22.041972908628715</v>
      </c>
      <c r="AS7" s="3">
        <f>[1]节奏总纲!BE6</f>
        <v>26.127796402772656</v>
      </c>
      <c r="AW7" s="3">
        <v>3</v>
      </c>
      <c r="AX7" s="3">
        <f>[1]节奏总纲!BQ6</f>
        <v>0.71853377040242361</v>
      </c>
      <c r="AY7" s="3">
        <f>[1]节奏总纲!BR6</f>
        <v>0.69006844696511282</v>
      </c>
      <c r="AZ7" s="3">
        <f>[1]节奏总纲!BS6</f>
        <v>0.66153178186505168</v>
      </c>
      <c r="BA7" s="3">
        <f>[1]节奏总纲!BT6</f>
        <v>0.63306940123561561</v>
      </c>
      <c r="BB7" s="3">
        <f>[1]节奏总纲!BU6</f>
        <v>0.60533594810650693</v>
      </c>
      <c r="BG7" s="5">
        <v>3</v>
      </c>
      <c r="BH7" s="5">
        <f>'[1]功能-城建'!$E8</f>
        <v>0</v>
      </c>
      <c r="BL7" s="3">
        <v>3</v>
      </c>
      <c r="BM7" s="3">
        <f>[1]节奏总纲!BX6</f>
        <v>6.1165253069520942</v>
      </c>
      <c r="BN7" s="3">
        <f>[1]节奏总纲!BY6</f>
        <v>6.2666264078379221</v>
      </c>
      <c r="BO7" s="3">
        <f>[1]节奏总纲!BZ6</f>
        <v>6.4370802003692873</v>
      </c>
      <c r="BP7" s="3">
        <f>[1]节奏总纲!CA6</f>
        <v>6.6323388358436492</v>
      </c>
      <c r="BQ7" s="3">
        <f>[1]节奏总纲!CB6</f>
        <v>6.8403179035964721</v>
      </c>
    </row>
    <row r="8" spans="3:69">
      <c r="C8" s="3">
        <v>4</v>
      </c>
      <c r="D8" s="3">
        <f>[1]节奏总纲!P7</f>
        <v>0.3195079107728942</v>
      </c>
      <c r="E8" s="3">
        <f>[1]节奏总纲!Q7</f>
        <v>0.2719651336498875</v>
      </c>
      <c r="F8" s="3">
        <f>[1]节奏总纲!R7</f>
        <v>0.21816000147573214</v>
      </c>
      <c r="G8" s="3">
        <f>[1]节奏总纲!S7</f>
        <v>0.15607961441255883</v>
      </c>
      <c r="H8" s="3">
        <f>[1]节奏总纲!T7</f>
        <v>8.4062531324348461E-2</v>
      </c>
      <c r="J8" s="3">
        <v>4</v>
      </c>
      <c r="K8" s="3">
        <f t="shared" si="4"/>
        <v>8.8363497427977888E-2</v>
      </c>
      <c r="L8" s="3">
        <f t="shared" si="2"/>
        <v>7.6139586664074416E-2</v>
      </c>
      <c r="M8" s="3">
        <f t="shared" si="2"/>
        <v>6.1998835819906672E-2</v>
      </c>
      <c r="N8" s="3">
        <f t="shared" si="2"/>
        <v>4.4876037152319581E-2</v>
      </c>
      <c r="O8" s="3">
        <f t="shared" si="2"/>
        <v>2.4681531536039455E-2</v>
      </c>
      <c r="Q8" s="3">
        <v>4</v>
      </c>
      <c r="R8" s="3">
        <f>[1]节奏总纲!AD7</f>
        <v>23.213386604241784</v>
      </c>
      <c r="S8" s="3">
        <f>[1]节奏总纲!AE7</f>
        <v>24.836966034810484</v>
      </c>
      <c r="T8" s="3">
        <f>[1]节奏总纲!AF7</f>
        <v>27.155717181399513</v>
      </c>
      <c r="U8" s="3">
        <f>[1]节奏总纲!AG7</f>
        <v>30.831257561377125</v>
      </c>
      <c r="V8" s="3">
        <f>[1]节奏总纲!AH7</f>
        <v>38.431365705145346</v>
      </c>
      <c r="Z8" s="3">
        <v>4</v>
      </c>
      <c r="AA8" s="3">
        <f>[1]节奏总纲!AM7</f>
        <v>9.2637640824031031E-2</v>
      </c>
      <c r="AB8" s="3">
        <f>[1]节奏总纲!AN7</f>
        <v>7.4110112659224833E-2</v>
      </c>
      <c r="AC8" s="3">
        <f>[1]节奏总纲!AO7</f>
        <v>5.5582584494418615E-2</v>
      </c>
      <c r="AD8" s="3">
        <f>[1]节奏总纲!AP7</f>
        <v>3.7055056329612417E-2</v>
      </c>
      <c r="AE8" s="3">
        <f>[1]节奏总纲!AQ7</f>
        <v>1.8527528164806208E-2</v>
      </c>
      <c r="AG8" s="3">
        <v>4</v>
      </c>
      <c r="AH8" s="3">
        <f t="shared" si="5"/>
        <v>4.1065984172991232E-2</v>
      </c>
      <c r="AI8" s="3">
        <f t="shared" si="3"/>
        <v>3.2852787338392989E-2</v>
      </c>
      <c r="AJ8" s="3">
        <f t="shared" si="3"/>
        <v>2.4639590503794738E-2</v>
      </c>
      <c r="AK8" s="3">
        <f t="shared" si="3"/>
        <v>1.6426393669196494E-2</v>
      </c>
      <c r="AL8" s="3">
        <f t="shared" si="3"/>
        <v>8.2131968345982471E-3</v>
      </c>
      <c r="AM8" s="3"/>
      <c r="AN8" s="3">
        <v>4</v>
      </c>
      <c r="AO8" s="3">
        <f>[1]节奏总纲!BA7</f>
        <v>18.453550676044042</v>
      </c>
      <c r="AP8" s="3">
        <f>[1]节奏总纲!BB7</f>
        <v>19.707330185578734</v>
      </c>
      <c r="AQ8" s="3">
        <f>[1]节奏总纲!BC7</f>
        <v>21.34613466141565</v>
      </c>
      <c r="AR8" s="3">
        <f>[1]节奏总纲!BD7</f>
        <v>23.710496742673982</v>
      </c>
      <c r="AS8" s="3">
        <f>[1]节奏总纲!BE7</f>
        <v>27.863030247590562</v>
      </c>
      <c r="AW8" s="3">
        <v>4</v>
      </c>
      <c r="AX8" s="3">
        <f>[1]节奏总纲!BQ7</f>
        <v>1.2712279162221225</v>
      </c>
      <c r="AY8" s="3">
        <f>[1]节奏总纲!BR7</f>
        <v>1.2194461831474863</v>
      </c>
      <c r="AZ8" s="3">
        <f>[1]节奏总纲!BS7</f>
        <v>1.1691695709192234</v>
      </c>
      <c r="BA8" s="3">
        <f>[1]节奏总纲!BT7</f>
        <v>1.1200180669001034</v>
      </c>
      <c r="BB8" s="3">
        <f>[1]节奏总纲!BU7</f>
        <v>1.0742533268514161</v>
      </c>
      <c r="BG8" s="5">
        <v>4</v>
      </c>
      <c r="BH8" s="5">
        <f>'[1]功能-城建'!$E9</f>
        <v>0</v>
      </c>
      <c r="BL8" s="3">
        <v>4</v>
      </c>
      <c r="BM8" s="3">
        <f>[1]节奏总纲!BX7</f>
        <v>7.0702756195404151</v>
      </c>
      <c r="BN8" s="3">
        <f>[1]节奏总纲!BY7</f>
        <v>7.2477985806027867</v>
      </c>
      <c r="BO8" s="3">
        <f>[1]节奏总纲!BZ7</f>
        <v>7.4530595043311552</v>
      </c>
      <c r="BP8" s="3">
        <f>[1]节奏总纲!CA7</f>
        <v>7.6839780435255705</v>
      </c>
      <c r="BQ8" s="3">
        <f>[1]节奏总纲!CB7</f>
        <v>7.9454083416525796</v>
      </c>
    </row>
    <row r="9" spans="3:69">
      <c r="C9" s="3">
        <v>5</v>
      </c>
      <c r="D9" s="3">
        <f>[1]节奏总纲!P8</f>
        <v>0.41421356237309515</v>
      </c>
      <c r="E9" s="3">
        <f>[1]节奏总纲!Q8</f>
        <v>0.35241289886702937</v>
      </c>
      <c r="F9" s="3">
        <f>[1]节奏总纲!R8</f>
        <v>0.28315639123824782</v>
      </c>
      <c r="G9" s="3">
        <f>[1]节奏总纲!S8</f>
        <v>0.20296464556281663</v>
      </c>
      <c r="H9" s="3">
        <f>[1]节奏总纲!T8</f>
        <v>0.10951806589144637</v>
      </c>
      <c r="J9" s="3">
        <v>5</v>
      </c>
      <c r="K9" s="3">
        <f t="shared" si="4"/>
        <v>9.4705651600200946E-2</v>
      </c>
      <c r="L9" s="3">
        <f t="shared" si="2"/>
        <v>8.0447765217141864E-2</v>
      </c>
      <c r="M9" s="3">
        <f t="shared" si="2"/>
        <v>6.4996389762515677E-2</v>
      </c>
      <c r="N9" s="3">
        <f t="shared" si="2"/>
        <v>4.68850311502578E-2</v>
      </c>
      <c r="O9" s="3">
        <f t="shared" si="2"/>
        <v>2.5455534567097912E-2</v>
      </c>
      <c r="Q9" s="3">
        <v>5</v>
      </c>
      <c r="R9" s="3">
        <f>[1]节奏总纲!AD8</f>
        <v>25.845161563010112</v>
      </c>
      <c r="S9" s="3">
        <f>[1]节奏总纲!AE8</f>
        <v>27.525245270311611</v>
      </c>
      <c r="T9" s="3">
        <f>[1]节奏总纲!AF8</f>
        <v>29.892344464157688</v>
      </c>
      <c r="U9" s="3">
        <f>[1]节奏总纲!AG8</f>
        <v>33.672145166817529</v>
      </c>
      <c r="V9" s="3">
        <f>[1]节奏总纲!AH8</f>
        <v>41.359260538726978</v>
      </c>
      <c r="Z9" s="3">
        <v>5</v>
      </c>
      <c r="AA9" s="3">
        <f>[1]节奏总纲!AM8</f>
        <v>0.15</v>
      </c>
      <c r="AB9" s="3">
        <f>[1]节奏总纲!AN8</f>
        <v>0.12</v>
      </c>
      <c r="AC9" s="3">
        <f>[1]节奏总纲!AO8</f>
        <v>0.09</v>
      </c>
      <c r="AD9" s="3">
        <f>[1]节奏总纲!AP8</f>
        <v>0.06</v>
      </c>
      <c r="AE9" s="3">
        <f>[1]节奏总纲!AQ8</f>
        <v>0.03</v>
      </c>
      <c r="AG9" s="3">
        <v>5</v>
      </c>
      <c r="AH9" s="3">
        <f t="shared" si="5"/>
        <v>5.7362359175968963E-2</v>
      </c>
      <c r="AI9" s="3">
        <f t="shared" si="3"/>
        <v>4.5889887340775162E-2</v>
      </c>
      <c r="AJ9" s="3">
        <f t="shared" si="3"/>
        <v>3.4417415505581382E-2</v>
      </c>
      <c r="AK9" s="3">
        <f t="shared" si="3"/>
        <v>2.2944943670387581E-2</v>
      </c>
      <c r="AL9" s="3">
        <f t="shared" si="3"/>
        <v>1.1472471835193791E-2</v>
      </c>
      <c r="AM9" s="3"/>
      <c r="AN9" s="3">
        <v>5</v>
      </c>
      <c r="AO9" s="3">
        <f>[1]节奏总纲!BA8</f>
        <v>19.707330185578734</v>
      </c>
      <c r="AP9" s="3">
        <f>[1]节奏总纲!BB8</f>
        <v>20.993539484876777</v>
      </c>
      <c r="AQ9" s="3">
        <f>[1]节奏总纲!BC8</f>
        <v>22.639743033177162</v>
      </c>
      <c r="AR9" s="3">
        <f>[1]节奏总纲!BD8</f>
        <v>25.044229735272328</v>
      </c>
      <c r="AS9" s="3">
        <f>[1]节奏总纲!BE8</f>
        <v>29.216428548527322</v>
      </c>
      <c r="AW9" s="3">
        <v>5</v>
      </c>
      <c r="AX9" s="3">
        <f>[1]节奏总纲!BQ8</f>
        <v>2.0157878378790723</v>
      </c>
      <c r="AY9" s="3">
        <f>[1]节奏总纲!BR8</f>
        <v>1.9225452774961409</v>
      </c>
      <c r="AZ9" s="3">
        <f>[1]节奏总纲!BS8</f>
        <v>1.830216243198636</v>
      </c>
      <c r="BA9" s="3">
        <f>[1]节奏总纲!BT8</f>
        <v>1.7360956328017618</v>
      </c>
      <c r="BB9" s="3">
        <f>[1]节奏总纲!BU8</f>
        <v>1.6465506273391022</v>
      </c>
      <c r="BG9" s="5">
        <v>5</v>
      </c>
      <c r="BH9" s="5">
        <f>'[1]功能-城建'!$E10</f>
        <v>0</v>
      </c>
      <c r="BL9" s="3">
        <v>5</v>
      </c>
      <c r="BM9" s="3">
        <f>[1]节奏总纲!BX8</f>
        <v>7.8924592775257718</v>
      </c>
      <c r="BN9" s="3">
        <f>[1]节奏总纲!BY8</f>
        <v>8.0964284787133458</v>
      </c>
      <c r="BO9" s="3">
        <f>[1]节奏总纲!BZ8</f>
        <v>8.3140998912475936</v>
      </c>
      <c r="BP9" s="3">
        <f>[1]节奏总纲!CA8</f>
        <v>8.5599968276049641</v>
      </c>
      <c r="BQ9" s="3">
        <f>[1]节奏总纲!CB8</f>
        <v>8.8384248761652557</v>
      </c>
    </row>
    <row r="10" spans="3:69">
      <c r="C10" s="3">
        <v>6</v>
      </c>
      <c r="D10" s="3">
        <f>[1]节奏总纲!P9</f>
        <v>0.51571656651039799</v>
      </c>
      <c r="E10" s="3">
        <f>[1]节奏总纲!Q9</f>
        <v>0.43939051466685908</v>
      </c>
      <c r="F10" s="3">
        <f>[1]节奏总纲!R9</f>
        <v>0.35336899137292471</v>
      </c>
      <c r="G10" s="3">
        <f>[1]节奏总纲!S9</f>
        <v>0.25440298225957936</v>
      </c>
      <c r="H10" s="3">
        <f>[1]节奏总纲!T9</f>
        <v>0.13836675479473978</v>
      </c>
      <c r="J10" s="3">
        <v>6</v>
      </c>
      <c r="K10" s="3">
        <f t="shared" si="4"/>
        <v>0.10150300413730284</v>
      </c>
      <c r="L10" s="3">
        <f t="shared" si="2"/>
        <v>8.6977615799829711E-2</v>
      </c>
      <c r="M10" s="3">
        <f t="shared" si="2"/>
        <v>7.0212600134676895E-2</v>
      </c>
      <c r="N10" s="3">
        <f t="shared" si="2"/>
        <v>5.1438336696762732E-2</v>
      </c>
      <c r="O10" s="3">
        <f t="shared" si="2"/>
        <v>2.884868890329341E-2</v>
      </c>
      <c r="Q10" s="3">
        <v>6</v>
      </c>
      <c r="R10" s="3">
        <f>[1]节奏总纲!AD9</f>
        <v>28.071211008105138</v>
      </c>
      <c r="S10" s="3">
        <f>[1]节奏总纲!AE9</f>
        <v>29.78183527117605</v>
      </c>
      <c r="T10" s="3">
        <f>[1]节奏总纲!AF9</f>
        <v>32.202183458664891</v>
      </c>
      <c r="U10" s="3">
        <f>[1]节奏总纲!AG9</f>
        <v>36.067019846099676</v>
      </c>
      <c r="V10" s="3">
        <f>[1]节奏总纲!AH9</f>
        <v>43.870275262019007</v>
      </c>
      <c r="Z10" s="3">
        <v>6</v>
      </c>
      <c r="AA10" s="3">
        <f>[1]节奏总纲!AM9</f>
        <v>0.22055744069899194</v>
      </c>
      <c r="AB10" s="3">
        <f>[1]节奏总纲!AN9</f>
        <v>0.17644595255919357</v>
      </c>
      <c r="AC10" s="3">
        <f>[1]节奏总纲!AO9</f>
        <v>0.13233446441939517</v>
      </c>
      <c r="AD10" s="3">
        <f>[1]节奏总纲!AP9</f>
        <v>8.8222976279596785E-2</v>
      </c>
      <c r="AE10" s="3">
        <f>[1]节奏总纲!AQ9</f>
        <v>4.4111488139798392E-2</v>
      </c>
      <c r="AG10" s="3">
        <v>6</v>
      </c>
      <c r="AH10" s="3">
        <f t="shared" si="5"/>
        <v>7.0557440698991947E-2</v>
      </c>
      <c r="AI10" s="3">
        <f t="shared" si="3"/>
        <v>5.6445952559193574E-2</v>
      </c>
      <c r="AJ10" s="3">
        <f t="shared" si="3"/>
        <v>4.2334464419395174E-2</v>
      </c>
      <c r="AK10" s="3">
        <f t="shared" si="3"/>
        <v>2.8222976279596787E-2</v>
      </c>
      <c r="AL10" s="3">
        <f t="shared" si="3"/>
        <v>1.4111488139798394E-2</v>
      </c>
      <c r="AM10" s="3"/>
      <c r="AN10" s="3">
        <v>6</v>
      </c>
      <c r="AO10" s="3">
        <f>[1]节奏总纲!BA9</f>
        <v>20.745154613657583</v>
      </c>
      <c r="AP10" s="3">
        <f>[1]节奏总纲!BB9</f>
        <v>22.041972908628715</v>
      </c>
      <c r="AQ10" s="3">
        <f>[1]节奏总纲!BC9</f>
        <v>23.710496742673982</v>
      </c>
      <c r="AR10" s="3">
        <f>[1]节奏总纲!BD9</f>
        <v>26.127796402772656</v>
      </c>
      <c r="AS10" s="3">
        <f>[1]节奏总纲!BE9</f>
        <v>30.329493925593439</v>
      </c>
      <c r="AW10" s="3">
        <v>6</v>
      </c>
      <c r="AX10" s="3">
        <f>[1]节奏总纲!BQ9</f>
        <v>2.871589098883871</v>
      </c>
      <c r="AY10" s="3">
        <f>[1]节奏总纲!BR9</f>
        <v>2.7261617729946108</v>
      </c>
      <c r="AZ10" s="3">
        <f>[1]节奏总纲!BS9</f>
        <v>2.5843312604883417</v>
      </c>
      <c r="BA10" s="3">
        <f>[1]节奏总纲!BT9</f>
        <v>2.4445753343885266</v>
      </c>
      <c r="BB10" s="3">
        <f>[1]节奏总纲!BU9</f>
        <v>2.3151343284372583</v>
      </c>
      <c r="BG10" s="5">
        <v>6</v>
      </c>
      <c r="BH10" s="5">
        <f>'[1]功能-城建'!$E11</f>
        <v>0</v>
      </c>
      <c r="BL10" s="3">
        <v>6</v>
      </c>
      <c r="BM10" s="3">
        <f>[1]节奏总纲!BX9</f>
        <v>8.6175479890862157</v>
      </c>
      <c r="BN10" s="3">
        <f>[1]节奏总纲!BY9</f>
        <v>8.849843797743457</v>
      </c>
      <c r="BO10" s="3">
        <f>[1]节奏总纲!BZ9</f>
        <v>9.1007395721182949</v>
      </c>
      <c r="BP10" s="3">
        <f>[1]节奏总纲!CA9</f>
        <v>9.3635025505897787</v>
      </c>
      <c r="BQ10" s="3">
        <f>[1]节奏总纲!CB9</f>
        <v>9.6752186318997833</v>
      </c>
    </row>
    <row r="11" spans="3:69">
      <c r="C11" s="3">
        <v>7</v>
      </c>
      <c r="D11" s="3">
        <f>[1]节奏总纲!P10</f>
        <v>0.62450479271247095</v>
      </c>
      <c r="E11" s="3">
        <f>[1]节奏总纲!Q10</f>
        <v>0.53413894920697635</v>
      </c>
      <c r="F11" s="3">
        <f>[1]节奏总纲!R10</f>
        <v>0.43072095553379119</v>
      </c>
      <c r="G11" s="3">
        <f>[1]节奏总纲!S10</f>
        <v>0.30950457526830061</v>
      </c>
      <c r="H11" s="3">
        <f>[1]节奏总纲!T10</f>
        <v>0.16699258157131475</v>
      </c>
      <c r="J11" s="3">
        <v>7</v>
      </c>
      <c r="K11" s="3">
        <f t="shared" si="4"/>
        <v>0.10878822620207296</v>
      </c>
      <c r="L11" s="3">
        <f t="shared" si="2"/>
        <v>9.4748434540117277E-2</v>
      </c>
      <c r="M11" s="3">
        <f t="shared" si="2"/>
        <v>7.7351964160866482E-2</v>
      </c>
      <c r="N11" s="3">
        <f t="shared" si="2"/>
        <v>5.510159300872125E-2</v>
      </c>
      <c r="O11" s="3">
        <f t="shared" si="2"/>
        <v>2.8625826776574964E-2</v>
      </c>
      <c r="Q11" s="3">
        <v>7</v>
      </c>
      <c r="R11" s="3">
        <f>[1]节奏总纲!AD10</f>
        <v>30</v>
      </c>
      <c r="S11" s="3">
        <f>[1]节奏总纲!AE10</f>
        <v>31.718819483847451</v>
      </c>
      <c r="T11" s="3">
        <f>[1]节奏总纲!AF10</f>
        <v>34.192155176139416</v>
      </c>
      <c r="U11" s="3">
        <f>[1]节奏总纲!AG10</f>
        <v>38.19822972207853</v>
      </c>
      <c r="V11" s="3">
        <f>[1]节奏总纲!AH10</f>
        <v>46.093186357957826</v>
      </c>
      <c r="Z11" s="3">
        <v>7</v>
      </c>
      <c r="AA11" s="3">
        <f>[1]节奏总纲!AM10</f>
        <v>0.31141300609369982</v>
      </c>
      <c r="AB11" s="3">
        <f>[1]节奏总纲!AN10</f>
        <v>0.24913040487495985</v>
      </c>
      <c r="AC11" s="3">
        <f>[1]节奏总纲!AO10</f>
        <v>0.18684780365621989</v>
      </c>
      <c r="AD11" s="3">
        <f>[1]节奏总纲!AP10</f>
        <v>0.12456520243747993</v>
      </c>
      <c r="AE11" s="3">
        <f>[1]节奏总纲!AQ10</f>
        <v>6.2282601218739964E-2</v>
      </c>
      <c r="AG11" s="3">
        <v>7</v>
      </c>
      <c r="AH11" s="3">
        <f t="shared" si="5"/>
        <v>9.0855565394707877E-2</v>
      </c>
      <c r="AI11" s="3">
        <f t="shared" si="3"/>
        <v>7.2684452315766285E-2</v>
      </c>
      <c r="AJ11" s="3">
        <f t="shared" si="3"/>
        <v>5.451333923682472E-2</v>
      </c>
      <c r="AK11" s="3">
        <f t="shared" si="3"/>
        <v>3.6342226157883142E-2</v>
      </c>
      <c r="AL11" s="3">
        <f t="shared" si="3"/>
        <v>1.8171113078941571E-2</v>
      </c>
      <c r="AM11" s="3"/>
      <c r="AN11" s="3">
        <v>7</v>
      </c>
      <c r="AO11" s="3">
        <f>[1]节奏总纲!BA10</f>
        <v>21.627432338833255</v>
      </c>
      <c r="AP11" s="3">
        <f>[1]节奏总纲!BB10</f>
        <v>22.938628095451385</v>
      </c>
      <c r="AQ11" s="3">
        <f>[1]节奏总纲!BC10</f>
        <v>24.619152272059132</v>
      </c>
      <c r="AR11" s="3">
        <f>[1]节奏总纲!BD10</f>
        <v>27.059707353051884</v>
      </c>
      <c r="AS11" s="3">
        <f>[1]节奏总纲!BE10</f>
        <v>31.280110398778046</v>
      </c>
      <c r="AW11" s="3">
        <v>7</v>
      </c>
      <c r="AX11" s="3">
        <f>[1]节奏总纲!BQ10</f>
        <v>3.9083908523902386</v>
      </c>
      <c r="AY11" s="3">
        <f>[1]节奏总纲!BR10</f>
        <v>3.7000938700170019</v>
      </c>
      <c r="AZ11" s="3">
        <f>[1]节奏总纲!BS10</f>
        <v>3.4949550680198662</v>
      </c>
      <c r="BA11" s="3">
        <f>[1]节奏总纲!BT10</f>
        <v>3.2977452115900578</v>
      </c>
      <c r="BB11" s="3">
        <f>[1]节奏总纲!BU10</f>
        <v>3.1175616442680676</v>
      </c>
      <c r="BG11" s="5">
        <v>7</v>
      </c>
      <c r="BH11" s="5">
        <f>'[1]功能-城建'!$E12</f>
        <v>0</v>
      </c>
      <c r="BL11" s="3">
        <v>7</v>
      </c>
      <c r="BM11" s="3">
        <f>[1]节奏总纲!BX10</f>
        <v>9.2992754060675331</v>
      </c>
      <c r="BN11" s="3">
        <f>[1]节奏总纲!BY10</f>
        <v>9.5403165281128111</v>
      </c>
      <c r="BO11" s="3">
        <f>[1]节奏总纲!BZ10</f>
        <v>9.8205867658616608</v>
      </c>
      <c r="BP11" s="3">
        <f>[1]节奏总纲!CA10</f>
        <v>10.128686248037246</v>
      </c>
      <c r="BQ11" s="3">
        <f>[1]节奏总纲!CB10</f>
        <v>10.460138723751793</v>
      </c>
    </row>
    <row r="12" spans="3:69">
      <c r="C12" s="3">
        <v>8</v>
      </c>
      <c r="D12" s="3">
        <f>[1]节奏总纲!P11</f>
        <v>0.74110112659224825</v>
      </c>
      <c r="E12" s="3">
        <f>[1]节奏总纲!Q11</f>
        <v>0.63089938906798093</v>
      </c>
      <c r="F12" s="3">
        <f>[1]节奏总纲!R11</f>
        <v>0.50550507844857251</v>
      </c>
      <c r="G12" s="3">
        <f>[1]节奏总纲!S11</f>
        <v>0.36195379022765406</v>
      </c>
      <c r="H12" s="3">
        <f>[1]节奏总纲!T11</f>
        <v>0.19579891764567198</v>
      </c>
      <c r="J12" s="3">
        <v>8</v>
      </c>
      <c r="K12" s="3">
        <f t="shared" si="4"/>
        <v>0.1165963338797773</v>
      </c>
      <c r="L12" s="3">
        <f t="shared" si="2"/>
        <v>9.6760439861004577E-2</v>
      </c>
      <c r="M12" s="3">
        <f t="shared" si="2"/>
        <v>7.4784122914781315E-2</v>
      </c>
      <c r="N12" s="3">
        <f t="shared" si="2"/>
        <v>5.2449214959353452E-2</v>
      </c>
      <c r="O12" s="3">
        <f t="shared" si="2"/>
        <v>2.8806336074357231E-2</v>
      </c>
      <c r="Q12" s="3">
        <v>8</v>
      </c>
      <c r="R12" s="3">
        <f>[1]节奏总纲!AD11</f>
        <v>31.691928656135214</v>
      </c>
      <c r="S12" s="3">
        <f>[1]节奏总纲!AE11</f>
        <v>33.465251056098396</v>
      </c>
      <c r="T12" s="3">
        <f>[1]节奏总纲!AF11</f>
        <v>35.930751746472978</v>
      </c>
      <c r="U12" s="3">
        <f>[1]节奏总纲!AG11</f>
        <v>39.998279638578282</v>
      </c>
      <c r="V12" s="3">
        <f>[1]节奏总纲!AH11</f>
        <v>48.067140183443534</v>
      </c>
      <c r="Z12" s="3">
        <v>8</v>
      </c>
      <c r="AA12" s="3">
        <f>[1]节奏总纲!AM11</f>
        <v>0.42660095793436714</v>
      </c>
      <c r="AB12" s="3">
        <f>[1]节奏总纲!AN11</f>
        <v>0.34128076634749371</v>
      </c>
      <c r="AC12" s="3">
        <f>[1]节奏总纲!AO11</f>
        <v>0.25596057476062029</v>
      </c>
      <c r="AD12" s="3">
        <f>[1]节奏总纲!AP11</f>
        <v>0.17064038317374686</v>
      </c>
      <c r="AE12" s="3">
        <f>[1]节奏总纲!AQ11</f>
        <v>8.5320191586873428E-2</v>
      </c>
      <c r="AG12" s="3">
        <v>8</v>
      </c>
      <c r="AH12" s="3">
        <f t="shared" si="5"/>
        <v>0.11518795184066732</v>
      </c>
      <c r="AI12" s="3">
        <f t="shared" si="3"/>
        <v>9.2150361472533859E-2</v>
      </c>
      <c r="AJ12" s="3">
        <f t="shared" si="3"/>
        <v>6.9112771104400395E-2</v>
      </c>
      <c r="AK12" s="3">
        <f t="shared" si="3"/>
        <v>4.607518073626693E-2</v>
      </c>
      <c r="AL12" s="3">
        <f t="shared" si="3"/>
        <v>2.3037590368133465E-2</v>
      </c>
      <c r="AM12" s="3"/>
      <c r="AN12" s="3">
        <v>8</v>
      </c>
      <c r="AO12" s="3">
        <f>[1]节奏总纲!BA11</f>
        <v>22.400634983357783</v>
      </c>
      <c r="AP12" s="3">
        <f>[1]节奏总纲!BB11</f>
        <v>23.710496742673982</v>
      </c>
      <c r="AQ12" s="3">
        <f>[1]节奏总纲!BC11</f>
        <v>25.412810862541733</v>
      </c>
      <c r="AR12" s="3">
        <f>[1]节奏总纲!BD11</f>
        <v>27.863030247590562</v>
      </c>
      <c r="AS12" s="3">
        <f>[1]节奏总纲!BE11</f>
        <v>32.113552950216736</v>
      </c>
      <c r="AW12" s="3">
        <v>8</v>
      </c>
      <c r="AX12" s="3">
        <f>[1]节奏总纲!BQ11</f>
        <v>5.1220396939633002</v>
      </c>
      <c r="AY12" s="3">
        <f>[1]节奏总纲!BR11</f>
        <v>4.8616228494416447</v>
      </c>
      <c r="AZ12" s="3">
        <f>[1]节奏总纲!BS11</f>
        <v>4.5815795834661612</v>
      </c>
      <c r="BA12" s="3">
        <f>[1]节奏总纲!BT11</f>
        <v>4.3105632736922681</v>
      </c>
      <c r="BB12" s="3">
        <f>[1]节奏总纲!BU11</f>
        <v>4.0494061619177515</v>
      </c>
      <c r="BG12" s="5">
        <v>8</v>
      </c>
      <c r="BH12" s="5">
        <f>'[1]功能-城建'!$E13</f>
        <v>0</v>
      </c>
      <c r="BL12" s="3">
        <v>8</v>
      </c>
      <c r="BM12" s="3">
        <f>[1]节奏总纲!BX11</f>
        <v>9.9503115729287064</v>
      </c>
      <c r="BN12" s="3">
        <f>[1]节奏总纲!BY11</f>
        <v>10.209179596854964</v>
      </c>
      <c r="BO12" s="3">
        <f>[1]节奏总纲!BZ11</f>
        <v>10.501003645853389</v>
      </c>
      <c r="BP12" s="3">
        <f>[1]节奏总纲!CA11</f>
        <v>10.838817158161019</v>
      </c>
      <c r="BQ12" s="3">
        <f>[1]节奏总纲!CB11</f>
        <v>11.201197012273351</v>
      </c>
    </row>
    <row r="13" spans="3:69">
      <c r="C13" s="3">
        <v>9</v>
      </c>
      <c r="D13" s="3">
        <f>[1]节奏总纲!P12</f>
        <v>0.86606598307361482</v>
      </c>
      <c r="E13" s="3">
        <f>[1]节奏总纲!Q12</f>
        <v>0.73702215159564621</v>
      </c>
      <c r="F13" s="3">
        <f>[1]节奏总纲!R12</f>
        <v>0.59282216541388932</v>
      </c>
      <c r="G13" s="3">
        <f>[1]节奏总纲!S12</f>
        <v>0.42766338244175101</v>
      </c>
      <c r="H13" s="3">
        <f>[1]节奏总纲!T12</f>
        <v>0.23193247026711403</v>
      </c>
      <c r="J13" s="3">
        <v>9</v>
      </c>
      <c r="K13" s="3">
        <f t="shared" si="4"/>
        <v>0.12496485648136657</v>
      </c>
      <c r="L13" s="3">
        <f t="shared" si="2"/>
        <v>0.10612276252766528</v>
      </c>
      <c r="M13" s="3">
        <f t="shared" si="2"/>
        <v>8.7317086965316815E-2</v>
      </c>
      <c r="N13" s="3">
        <f t="shared" si="2"/>
        <v>6.5709592214096946E-2</v>
      </c>
      <c r="O13" s="3">
        <f t="shared" si="2"/>
        <v>3.613355262144205E-2</v>
      </c>
      <c r="Q13" s="3">
        <v>9</v>
      </c>
      <c r="R13" s="3">
        <f>[1]节奏总纲!AD12</f>
        <v>33.213386604241784</v>
      </c>
      <c r="S13" s="3">
        <f>[1]节奏总纲!AE12</f>
        <v>34.992730785174565</v>
      </c>
      <c r="T13" s="3">
        <f>[1]节奏总纲!AF12</f>
        <v>37.510565846691456</v>
      </c>
      <c r="U13" s="3">
        <f>[1]节奏总纲!AG12</f>
        <v>41.534743419557365</v>
      </c>
      <c r="V13" s="3">
        <f>[1]节奏总纲!AH12</f>
        <v>49.706056771838036</v>
      </c>
      <c r="Z13" s="3">
        <v>9</v>
      </c>
      <c r="AA13" s="3">
        <f>[1]节奏总纲!AM12</f>
        <v>0.57090651823243421</v>
      </c>
      <c r="AB13" s="3">
        <f>[1]节奏总纲!AN12</f>
        <v>0.45672521458594739</v>
      </c>
      <c r="AC13" s="3">
        <f>[1]节奏总纲!AO12</f>
        <v>0.34254391093946052</v>
      </c>
      <c r="AD13" s="3">
        <f>[1]节奏总纲!AP12</f>
        <v>0.2283626072929737</v>
      </c>
      <c r="AE13" s="3">
        <f>[1]节奏总纲!AQ12</f>
        <v>0.11418130364648685</v>
      </c>
      <c r="AG13" s="3">
        <v>9</v>
      </c>
      <c r="AH13" s="3">
        <f t="shared" si="5"/>
        <v>0.14430556029806707</v>
      </c>
      <c r="AI13" s="3">
        <f t="shared" si="3"/>
        <v>0.11544444823845368</v>
      </c>
      <c r="AJ13" s="3">
        <f t="shared" si="3"/>
        <v>8.6583336178840231E-2</v>
      </c>
      <c r="AK13" s="3">
        <f t="shared" si="3"/>
        <v>5.7722224119226839E-2</v>
      </c>
      <c r="AL13" s="3">
        <f t="shared" si="3"/>
        <v>2.886111205961342E-2</v>
      </c>
      <c r="AM13" s="3"/>
      <c r="AN13" s="3">
        <v>9</v>
      </c>
      <c r="AO13" s="3">
        <f>[1]节奏总纲!BA12</f>
        <v>23.100336713798686</v>
      </c>
      <c r="AP13" s="3">
        <f>[1]节奏总纲!BB12</f>
        <v>24.402761517547276</v>
      </c>
      <c r="AQ13" s="3">
        <f>[1]节奏总纲!BC12</f>
        <v>26.127796402772656</v>
      </c>
      <c r="AR13" s="3">
        <f>[1]节奏总纲!BD12</f>
        <v>28.568390277483555</v>
      </c>
      <c r="AS13" s="3">
        <f>[1]节奏总纲!BE12</f>
        <v>32.842201900114915</v>
      </c>
      <c r="AW13" s="3">
        <v>9</v>
      </c>
      <c r="AX13" s="3">
        <f>[1]节奏总纲!BQ12</f>
        <v>6.5073154848533106</v>
      </c>
      <c r="AY13" s="3">
        <f>[1]节奏总纲!BR12</f>
        <v>6.182955000821134</v>
      </c>
      <c r="AZ13" s="3">
        <f>[1]节奏总纲!BS12</f>
        <v>5.8458242478885518</v>
      </c>
      <c r="BA13" s="3">
        <f>[1]节奏总纲!BT12</f>
        <v>5.4937555014634736</v>
      </c>
      <c r="BB13" s="3">
        <f>[1]节奏总纲!BU12</f>
        <v>5.1616447031846953</v>
      </c>
      <c r="BG13" s="5">
        <v>9</v>
      </c>
      <c r="BH13" s="5">
        <f>'[1]功能-城建'!$E14</f>
        <v>0</v>
      </c>
      <c r="BL13" s="3">
        <v>9</v>
      </c>
      <c r="BM13" s="3">
        <f>[1]节奏总纲!BX12</f>
        <v>10.62858551654854</v>
      </c>
      <c r="BN13" s="3">
        <f>[1]节奏总纲!BY12</f>
        <v>10.92759887154785</v>
      </c>
      <c r="BO13" s="3">
        <f>[1]节奏总纲!BZ12</f>
        <v>11.242219885173299</v>
      </c>
      <c r="BP13" s="3">
        <f>[1]节奏总纲!CA12</f>
        <v>11.610247668732617</v>
      </c>
      <c r="BQ13" s="3">
        <f>[1]节奏总纲!CB12</f>
        <v>12.017497952687538</v>
      </c>
    </row>
    <row r="14" spans="3:69">
      <c r="C14" s="3">
        <v>10</v>
      </c>
      <c r="D14" s="3">
        <f>[1]节奏总纲!P13</f>
        <v>1</v>
      </c>
      <c r="E14" s="3">
        <f>[1]节奏总纲!Q13</f>
        <v>0.8548</v>
      </c>
      <c r="F14" s="3">
        <f>[1]节奏总纲!R13</f>
        <v>0.6895</v>
      </c>
      <c r="G14" s="3">
        <f>[1]节奏总纲!S13</f>
        <v>0.49980000000000002</v>
      </c>
      <c r="H14" s="3">
        <f>[1]节奏总纲!T13</f>
        <v>0.2732</v>
      </c>
      <c r="J14" s="3">
        <v>10</v>
      </c>
      <c r="K14" s="3">
        <f t="shared" si="4"/>
        <v>0.13393401692638518</v>
      </c>
      <c r="L14" s="3">
        <f t="shared" si="2"/>
        <v>0.11777784840435379</v>
      </c>
      <c r="M14" s="3">
        <f t="shared" si="2"/>
        <v>9.6677834586110678E-2</v>
      </c>
      <c r="N14" s="3">
        <f t="shared" si="2"/>
        <v>7.2136617558249017E-2</v>
      </c>
      <c r="O14" s="3">
        <f t="shared" si="2"/>
        <v>4.1267529732885971E-2</v>
      </c>
      <c r="Q14" s="3">
        <v>10</v>
      </c>
      <c r="R14" s="3">
        <f>[1]节奏总纲!AD13</f>
        <v>34.585942742481357</v>
      </c>
      <c r="S14" s="3">
        <f>[1]节奏总纲!AE13</f>
        <v>36.36169634498642</v>
      </c>
      <c r="T14" s="3">
        <f>[1]节奏总纲!AF13</f>
        <v>38.977035507933373</v>
      </c>
      <c r="U14" s="3">
        <f>[1]节奏总纲!AG13</f>
        <v>42.970748198558951</v>
      </c>
      <c r="V14" s="3">
        <f>[1]节奏总纲!AH13</f>
        <v>51.212821897464167</v>
      </c>
      <c r="Z14" s="3">
        <v>10</v>
      </c>
      <c r="AA14" s="3">
        <f>[1]节奏总纲!AM13</f>
        <v>0.75</v>
      </c>
      <c r="AB14" s="3">
        <f>[1]节奏总纲!AN13</f>
        <v>0.60000000000000009</v>
      </c>
      <c r="AC14" s="3">
        <f>[1]节奏总纲!AO13</f>
        <v>0.44999999999999996</v>
      </c>
      <c r="AD14" s="3">
        <f>[1]节奏总纲!AP13</f>
        <v>0.30000000000000004</v>
      </c>
      <c r="AE14" s="3">
        <f>[1]节奏总纲!AQ13</f>
        <v>0.15000000000000002</v>
      </c>
      <c r="AG14" s="3">
        <v>10</v>
      </c>
      <c r="AH14" s="3">
        <f t="shared" si="5"/>
        <v>0.17909348176756579</v>
      </c>
      <c r="AI14" s="3">
        <f t="shared" si="3"/>
        <v>0.1432747854140527</v>
      </c>
      <c r="AJ14" s="3">
        <f t="shared" si="3"/>
        <v>0.10745608906053944</v>
      </c>
      <c r="AK14" s="3">
        <f t="shared" si="3"/>
        <v>7.1637392707026348E-2</v>
      </c>
      <c r="AL14" s="3">
        <f t="shared" si="3"/>
        <v>3.5818696353513174E-2</v>
      </c>
      <c r="AM14" s="3"/>
      <c r="AN14" s="3">
        <v>10</v>
      </c>
      <c r="AO14" s="3">
        <f>[1]节奏总纲!BA13</f>
        <v>23.710496742673982</v>
      </c>
      <c r="AP14" s="3">
        <f>[1]节奏总纲!BB13</f>
        <v>25.044229735272328</v>
      </c>
      <c r="AQ14" s="3">
        <f>[1]节奏总纲!BC13</f>
        <v>26.755953543357073</v>
      </c>
      <c r="AR14" s="3">
        <f>[1]节奏总纲!BD13</f>
        <v>29.216428548527322</v>
      </c>
      <c r="AS14" s="3">
        <f>[1]节奏总纲!BE13</f>
        <v>33.487933395889513</v>
      </c>
      <c r="AW14" s="3">
        <v>10</v>
      </c>
      <c r="AX14" s="3">
        <f>[1]节奏总纲!BQ13</f>
        <v>8.071211008105136</v>
      </c>
      <c r="AY14" s="3">
        <f>[1]节奏总纲!BR13</f>
        <v>7.6806609280366285</v>
      </c>
      <c r="AZ14" s="3">
        <f>[1]节奏总纲!BS13</f>
        <v>7.2577959560771719</v>
      </c>
      <c r="BA14" s="3">
        <f>[1]节奏总纲!BT13</f>
        <v>6.8275081581253696</v>
      </c>
      <c r="BB14" s="3">
        <f>[1]节奏总纲!BU13</f>
        <v>6.4063898414553373</v>
      </c>
      <c r="BG14" s="5">
        <v>10</v>
      </c>
      <c r="BH14" s="5">
        <f>'[1]功能-城建'!$E15</f>
        <v>0</v>
      </c>
      <c r="BL14" s="3">
        <v>10</v>
      </c>
      <c r="BM14" s="3">
        <f>[1]节奏总纲!BX13</f>
        <v>11.296493250964016</v>
      </c>
      <c r="BN14" s="3">
        <f>[1]节奏总纲!BY13</f>
        <v>11.607260419981094</v>
      </c>
      <c r="BO14" s="3">
        <f>[1]节奏总纲!BZ13</f>
        <v>11.973224677412396</v>
      </c>
      <c r="BP14" s="3">
        <f>[1]节奏总纲!CA13</f>
        <v>12.359692277800681</v>
      </c>
      <c r="BQ14" s="3">
        <f>[1]节奏总纲!CB13</f>
        <v>12.803444306803474</v>
      </c>
    </row>
    <row r="15" spans="3:69">
      <c r="C15" s="3">
        <v>11</v>
      </c>
      <c r="D15" s="3">
        <f>[1]节奏总纲!P14</f>
        <v>1.1435469250725863</v>
      </c>
      <c r="E15" s="3">
        <f>[1]节奏总纲!Q14</f>
        <v>0.98036277886472811</v>
      </c>
      <c r="F15" s="3">
        <f>[1]节奏总纲!R14</f>
        <v>0.79453640354043287</v>
      </c>
      <c r="G15" s="3">
        <f>[1]节奏总纲!S14</f>
        <v>0.57577587677404707</v>
      </c>
      <c r="H15" s="3">
        <f>[1]节奏总纲!T14</f>
        <v>0.31767733578516444</v>
      </c>
      <c r="J15" s="3">
        <v>11</v>
      </c>
      <c r="K15" s="3">
        <f t="shared" si="4"/>
        <v>0.14354692507258626</v>
      </c>
      <c r="L15" s="3">
        <f t="shared" si="2"/>
        <v>0.12556277886472811</v>
      </c>
      <c r="M15" s="3">
        <f t="shared" si="2"/>
        <v>0.10503640354043287</v>
      </c>
      <c r="N15" s="3">
        <f t="shared" si="2"/>
        <v>7.5975876774047046E-2</v>
      </c>
      <c r="O15" s="3">
        <f t="shared" si="2"/>
        <v>4.447733578516444E-2</v>
      </c>
      <c r="Q15" s="3">
        <v>11</v>
      </c>
      <c r="R15" s="3">
        <f>[1]节奏总纲!AD14</f>
        <v>35.845161563010116</v>
      </c>
      <c r="S15" s="3">
        <f>[1]节奏总纲!AE14</f>
        <v>37.6388925299823</v>
      </c>
      <c r="T15" s="3">
        <f>[1]节奏总纲!AF14</f>
        <v>40.259528204263837</v>
      </c>
      <c r="U15" s="3">
        <f>[1]节奏总纲!AG14</f>
        <v>44.288230531994081</v>
      </c>
      <c r="V15" s="3">
        <f>[1]节奏总纲!AH14</f>
        <v>52.559419343629337</v>
      </c>
      <c r="Z15" s="3">
        <v>11</v>
      </c>
      <c r="AA15" s="3">
        <f>[1]节奏总纲!AM14</f>
        <v>0.93464628919691628</v>
      </c>
      <c r="AB15" s="3">
        <f>[1]节奏总纲!AN14</f>
        <v>0.74771703135753309</v>
      </c>
      <c r="AC15" s="3">
        <f>[1]节奏总纲!AO14</f>
        <v>0.56078777351814979</v>
      </c>
      <c r="AD15" s="3">
        <f>[1]节奏总纲!AP14</f>
        <v>0.37385851567876655</v>
      </c>
      <c r="AE15" s="3">
        <f>[1]节奏总纲!AQ14</f>
        <v>0.18692925783938327</v>
      </c>
      <c r="AG15" s="3">
        <v>11</v>
      </c>
      <c r="AH15" s="3">
        <f t="shared" si="5"/>
        <v>0.18464628919691628</v>
      </c>
      <c r="AI15" s="3">
        <f t="shared" si="3"/>
        <v>0.147717031357533</v>
      </c>
      <c r="AJ15" s="3">
        <f t="shared" si="3"/>
        <v>0.11078777351814983</v>
      </c>
      <c r="AK15" s="3">
        <f t="shared" si="3"/>
        <v>7.3858515678766501E-2</v>
      </c>
      <c r="AL15" s="3">
        <f t="shared" si="3"/>
        <v>3.692925783938325E-2</v>
      </c>
      <c r="AM15" s="3"/>
      <c r="AN15" s="3">
        <v>11</v>
      </c>
      <c r="AO15" s="3">
        <f>[1]节奏总纲!BA14</f>
        <v>24.272927064840161</v>
      </c>
      <c r="AP15" s="3">
        <f>[1]节奏总纲!BB14</f>
        <v>25.597101426176433</v>
      </c>
      <c r="AQ15" s="3">
        <f>[1]节奏总纲!BC14</f>
        <v>27.327481651231444</v>
      </c>
      <c r="AR15" s="3">
        <f>[1]节奏总纲!BD14</f>
        <v>29.80118336305917</v>
      </c>
      <c r="AS15" s="3">
        <f>[1]节奏总纲!BE14</f>
        <v>34.09469189131628</v>
      </c>
      <c r="AW15" s="3">
        <v>11</v>
      </c>
      <c r="AX15" s="3">
        <f>[1]节奏总纲!BQ14</f>
        <v>9.5120454660969038</v>
      </c>
      <c r="AY15" s="3">
        <f>[1]节奏总纲!BR14</f>
        <v>9.0908055284315381</v>
      </c>
      <c r="AZ15" s="3">
        <f>[1]节奏总纲!BS14</f>
        <v>8.6331257373661145</v>
      </c>
      <c r="BA15" s="3">
        <f>[1]节奏总纲!BT14</f>
        <v>8.1811718053632738</v>
      </c>
      <c r="BB15" s="3">
        <f>[1]节奏总纲!BU14</f>
        <v>7.6920934414083888</v>
      </c>
      <c r="BG15" s="5">
        <v>11</v>
      </c>
      <c r="BH15" s="5">
        <f>'[1]功能-城建'!$E16</f>
        <v>0</v>
      </c>
      <c r="BL15" s="3">
        <v>11</v>
      </c>
      <c r="BM15" s="3">
        <f>[1]节奏总纲!BX14</f>
        <v>11.947729331634296</v>
      </c>
      <c r="BN15" s="3">
        <f>[1]节奏总纲!BY14</f>
        <v>12.268098330256127</v>
      </c>
      <c r="BO15" s="3">
        <f>[1]节奏总纲!BZ14</f>
        <v>12.644330976574002</v>
      </c>
      <c r="BP15" s="3">
        <f>[1]节奏总纲!CA14</f>
        <v>13.069974059992543</v>
      </c>
      <c r="BQ15" s="3">
        <f>[1]节奏总纲!CB14</f>
        <v>13.547253897167892</v>
      </c>
    </row>
    <row r="16" spans="3:69">
      <c r="C16" s="3">
        <v>12</v>
      </c>
      <c r="D16" s="3">
        <f>[1]节奏总纲!P15</f>
        <v>1.2973967099940702</v>
      </c>
      <c r="E16" s="3">
        <f>[1]节奏总纲!Q15</f>
        <v>1.1126474184909145</v>
      </c>
      <c r="F16" s="3">
        <f>[1]节奏总纲!R15</f>
        <v>0.9058423829178599</v>
      </c>
      <c r="G16" s="3">
        <f>[1]节奏总纲!S15</f>
        <v>0.66219128078097333</v>
      </c>
      <c r="H16" s="3">
        <f>[1]节奏总纲!T15</f>
        <v>0.36560639287632896</v>
      </c>
      <c r="J16" s="3">
        <v>12</v>
      </c>
      <c r="K16" s="3">
        <f t="shared" si="4"/>
        <v>0.15384978492148393</v>
      </c>
      <c r="L16" s="3">
        <f t="shared" si="2"/>
        <v>0.13228463962618642</v>
      </c>
      <c r="M16" s="3">
        <f t="shared" si="2"/>
        <v>0.11130597937742703</v>
      </c>
      <c r="N16" s="3">
        <f t="shared" si="2"/>
        <v>8.6415404006926266E-2</v>
      </c>
      <c r="O16" s="3">
        <f t="shared" si="2"/>
        <v>4.7929057091164518E-2</v>
      </c>
      <c r="Q16" s="3">
        <v>12</v>
      </c>
      <c r="R16" s="3">
        <f>[1]节奏总纲!AD15</f>
        <v>37.004247194324648</v>
      </c>
      <c r="S16" s="3">
        <f>[1]节奏总纲!AE15</f>
        <v>38.827998824669805</v>
      </c>
      <c r="T16" s="3">
        <f>[1]节奏总纲!AF15</f>
        <v>41.408320762540754</v>
      </c>
      <c r="U16" s="3">
        <f>[1]节奏总纲!AG15</f>
        <v>45.500930067545958</v>
      </c>
      <c r="V16" s="3">
        <f>[1]节奏总纲!AH15</f>
        <v>53.855547243088772</v>
      </c>
      <c r="Z16" s="3">
        <v>12</v>
      </c>
      <c r="AA16" s="3">
        <f>[1]节奏总纲!AM15</f>
        <v>1.1550685436347259</v>
      </c>
      <c r="AB16" s="3">
        <f>[1]节奏总纲!AN15</f>
        <v>0.92405483490778073</v>
      </c>
      <c r="AC16" s="3">
        <f>[1]节奏总纲!AO15</f>
        <v>0.69304112618083547</v>
      </c>
      <c r="AD16" s="3">
        <f>[1]节奏总纲!AP15</f>
        <v>0.46202741745389037</v>
      </c>
      <c r="AE16" s="3">
        <f>[1]节奏总纲!AQ15</f>
        <v>0.23101370872694518</v>
      </c>
      <c r="AG16" s="3">
        <v>12</v>
      </c>
      <c r="AH16" s="3">
        <f t="shared" si="5"/>
        <v>0.22042225443780961</v>
      </c>
      <c r="AI16" s="3">
        <f t="shared" si="3"/>
        <v>0.17633780355024764</v>
      </c>
      <c r="AJ16" s="3">
        <f t="shared" si="3"/>
        <v>0.13225335266268567</v>
      </c>
      <c r="AK16" s="3">
        <f t="shared" si="3"/>
        <v>8.816890177512382E-2</v>
      </c>
      <c r="AL16" s="3">
        <f t="shared" si="3"/>
        <v>4.408445088756191E-2</v>
      </c>
      <c r="AM16" s="3"/>
      <c r="AN16" s="3">
        <v>12</v>
      </c>
      <c r="AO16" s="3">
        <f>[1]节奏总纲!BA15</f>
        <v>24.792264875668618</v>
      </c>
      <c r="AP16" s="3">
        <f>[1]节奏总纲!BB15</f>
        <v>26.127796402772656</v>
      </c>
      <c r="AQ16" s="3">
        <f>[1]节奏总纲!BC15</f>
        <v>27.863030247590562</v>
      </c>
      <c r="AR16" s="3">
        <f>[1]节奏总纲!BD15</f>
        <v>30.329493925593439</v>
      </c>
      <c r="AS16" s="3">
        <f>[1]节奏总纲!BE15</f>
        <v>34.627226072894942</v>
      </c>
      <c r="AW16" s="3">
        <v>12</v>
      </c>
      <c r="AX16" s="3">
        <f>[1]节奏总纲!BQ15</f>
        <v>11.074888753130331</v>
      </c>
      <c r="AY16" s="3">
        <f>[1]节奏总纲!BR15</f>
        <v>10.551555449265667</v>
      </c>
      <c r="AZ16" s="3">
        <f>[1]节奏总纲!BS15</f>
        <v>10.033713322824047</v>
      </c>
      <c r="BA16" s="3">
        <f>[1]节奏总纲!BT15</f>
        <v>9.4763743598650301</v>
      </c>
      <c r="BB16" s="3">
        <f>[1]节奏总纲!BU15</f>
        <v>8.9745731744178503</v>
      </c>
      <c r="BG16" s="5">
        <v>12</v>
      </c>
      <c r="BH16" s="5">
        <f>'[1]功能-城建'!$E17</f>
        <v>1</v>
      </c>
      <c r="BL16" s="3">
        <v>12</v>
      </c>
      <c r="BM16" s="3">
        <f>[1]节奏总纲!BX15</f>
        <v>12.542132297048981</v>
      </c>
      <c r="BN16" s="3">
        <f>[1]节奏总纲!BY15</f>
        <v>12.897943579612605</v>
      </c>
      <c r="BO16" s="3">
        <f>[1]节奏总纲!BZ15</f>
        <v>13.295232951964469</v>
      </c>
      <c r="BP16" s="3">
        <f>[1]节奏总纲!CA15</f>
        <v>13.76223932139796</v>
      </c>
      <c r="BQ16" s="3">
        <f>[1]节奏总纲!CB15</f>
        <v>14.265591764569512</v>
      </c>
    </row>
    <row r="17" spans="3:69">
      <c r="C17" s="3">
        <v>13</v>
      </c>
      <c r="D17" s="3">
        <f>[1]节奏总纲!P16</f>
        <v>1.4622888266898326</v>
      </c>
      <c r="E17" s="3">
        <f>[1]节奏总纲!Q16</f>
        <v>1.2628326307293396</v>
      </c>
      <c r="F17" s="3">
        <f>[1]节奏总纲!R16</f>
        <v>1.0294513339896421</v>
      </c>
      <c r="G17" s="3">
        <f>[1]节奏总纲!S16</f>
        <v>0.75556463675063656</v>
      </c>
      <c r="H17" s="3">
        <f>[1]节奏总纲!T16</f>
        <v>0.41865329108129906</v>
      </c>
      <c r="J17" s="3">
        <v>13</v>
      </c>
      <c r="K17" s="3">
        <f t="shared" si="4"/>
        <v>0.16489211669576243</v>
      </c>
      <c r="L17" s="3">
        <f t="shared" si="2"/>
        <v>0.15018521223842507</v>
      </c>
      <c r="M17" s="3">
        <f t="shared" si="2"/>
        <v>0.12360895107178216</v>
      </c>
      <c r="N17" s="3">
        <f t="shared" si="2"/>
        <v>9.337335596966323E-2</v>
      </c>
      <c r="O17" s="3">
        <f t="shared" si="2"/>
        <v>5.3046898204970105E-2</v>
      </c>
      <c r="Q17" s="3">
        <v>13</v>
      </c>
      <c r="R17" s="3">
        <f>[1]节奏总纲!AD16</f>
        <v>38.071211008105138</v>
      </c>
      <c r="S17" s="3">
        <f>[1]节奏总纲!AE16</f>
        <v>39.935302111946527</v>
      </c>
      <c r="T17" s="3">
        <f>[1]节奏总纲!AF16</f>
        <v>42.470214785133983</v>
      </c>
      <c r="U17" s="3">
        <f>[1]节奏总纲!AG16</f>
        <v>46.631096344914496</v>
      </c>
      <c r="V17" s="3">
        <f>[1]节奏总纲!AH16</f>
        <v>55.062101953238496</v>
      </c>
      <c r="Z17" s="3">
        <v>13</v>
      </c>
      <c r="AA17" s="3">
        <f>[1]节奏总纲!AM16</f>
        <v>1.417602554491646</v>
      </c>
      <c r="AB17" s="3">
        <f>[1]节奏总纲!AN16</f>
        <v>1.1340820435933168</v>
      </c>
      <c r="AC17" s="3">
        <f>[1]节奏总纲!AO16</f>
        <v>0.85056153269498758</v>
      </c>
      <c r="AD17" s="3">
        <f>[1]节奏总纲!AP16</f>
        <v>0.56704102179665838</v>
      </c>
      <c r="AE17" s="3">
        <f>[1]节奏总纲!AQ16</f>
        <v>0.28352051089832919</v>
      </c>
      <c r="AG17" s="3">
        <v>13</v>
      </c>
      <c r="AH17" s="3">
        <f t="shared" si="5"/>
        <v>0.26253401085692007</v>
      </c>
      <c r="AI17" s="3">
        <f t="shared" si="3"/>
        <v>0.21002720868553604</v>
      </c>
      <c r="AJ17" s="3">
        <f t="shared" si="3"/>
        <v>0.15752040651415211</v>
      </c>
      <c r="AK17" s="3">
        <f t="shared" si="3"/>
        <v>0.10501360434276802</v>
      </c>
      <c r="AL17" s="3">
        <f t="shared" si="3"/>
        <v>5.2506802171384009E-2</v>
      </c>
      <c r="AM17" s="3"/>
      <c r="AN17" s="3">
        <v>13</v>
      </c>
      <c r="AO17" s="3">
        <f>[1]节奏总纲!BA16</f>
        <v>25.265378411633971</v>
      </c>
      <c r="AP17" s="3">
        <f>[1]节奏总纲!BB16</f>
        <v>26.598914258210968</v>
      </c>
      <c r="AQ17" s="3">
        <f>[1]节奏总纲!BC16</f>
        <v>28.339982398803929</v>
      </c>
      <c r="AR17" s="3">
        <f>[1]节奏总纲!BD16</f>
        <v>30.828727146189561</v>
      </c>
      <c r="AS17" s="3">
        <f>[1]节奏总纲!BE16</f>
        <v>35.146386283795508</v>
      </c>
      <c r="AW17" s="3">
        <v>13</v>
      </c>
      <c r="AX17" s="3">
        <f>[1]节奏总纲!BQ16</f>
        <v>12.728996915718925</v>
      </c>
      <c r="AY17" s="3">
        <f>[1]节奏总纲!BR16</f>
        <v>12.142721275836225</v>
      </c>
      <c r="AZ17" s="3">
        <f>[1]节奏总纲!BS16</f>
        <v>11.503343391504416</v>
      </c>
      <c r="BA17" s="3">
        <f>[1]节奏总纲!BT16</f>
        <v>10.885031205321049</v>
      </c>
      <c r="BB17" s="3">
        <f>[1]节奏总纲!BU16</f>
        <v>10.232039772979649</v>
      </c>
      <c r="BG17" s="5">
        <v>13</v>
      </c>
      <c r="BH17" s="5">
        <f>'[1]功能-城建'!$E18</f>
        <v>1</v>
      </c>
      <c r="BL17" s="3">
        <v>13</v>
      </c>
      <c r="BM17" s="3">
        <f>[1]节奏总纲!BX16</f>
        <v>13.143190924164548</v>
      </c>
      <c r="BN17" s="3">
        <f>[1]节奏总纲!BY16</f>
        <v>13.515704114816591</v>
      </c>
      <c r="BO17" s="3">
        <f>[1]节奏总纲!BZ16</f>
        <v>13.955379012797932</v>
      </c>
      <c r="BP17" s="3">
        <f>[1]节奏总纲!CA16</f>
        <v>14.429987921274376</v>
      </c>
      <c r="BQ17" s="3">
        <f>[1]节奏总纲!CB16</f>
        <v>14.981817088938907</v>
      </c>
    </row>
    <row r="18" spans="3:69">
      <c r="C18" s="3">
        <v>14</v>
      </c>
      <c r="D18" s="3">
        <f>[1]节奏总纲!P17</f>
        <v>1.6390158215457884</v>
      </c>
      <c r="E18" s="3">
        <f>[1]节奏总纲!Q17</f>
        <v>1.4136511460832426</v>
      </c>
      <c r="F18" s="3">
        <f>[1]节奏总纲!R17</f>
        <v>1.1545227446968533</v>
      </c>
      <c r="G18" s="3">
        <f>[1]节奏总纲!S17</f>
        <v>0.84605996708193598</v>
      </c>
      <c r="H18" s="3">
        <f>[1]节奏总纲!T17</f>
        <v>0.46810291863347719</v>
      </c>
      <c r="J18" s="3">
        <v>14</v>
      </c>
      <c r="K18" s="3">
        <f t="shared" si="4"/>
        <v>0.17672699485595578</v>
      </c>
      <c r="L18" s="3">
        <f t="shared" si="2"/>
        <v>0.150818515353903</v>
      </c>
      <c r="M18" s="3">
        <f t="shared" si="2"/>
        <v>0.12507141070721128</v>
      </c>
      <c r="N18" s="3">
        <f t="shared" si="2"/>
        <v>9.0495330331299417E-2</v>
      </c>
      <c r="O18" s="3">
        <f t="shared" si="2"/>
        <v>4.9449627552178133E-2</v>
      </c>
      <c r="Q18" s="3">
        <v>14</v>
      </c>
      <c r="R18" s="3">
        <f>[1]节奏总纲!AD17</f>
        <v>39.066704614192943</v>
      </c>
      <c r="S18" s="3">
        <f>[1]节奏总纲!AE17</f>
        <v>40.935169244165145</v>
      </c>
      <c r="T18" s="3">
        <f>[1]节奏总纲!AF17</f>
        <v>43.484929789964411</v>
      </c>
      <c r="U18" s="3">
        <f>[1]节奏总纲!AG17</f>
        <v>47.711408234944486</v>
      </c>
      <c r="V18" s="3">
        <f>[1]节奏总纲!AH17</f>
        <v>56.165983112651688</v>
      </c>
      <c r="Z18" s="3">
        <v>14</v>
      </c>
      <c r="AA18" s="3">
        <f>[1]节奏总纲!AM17</f>
        <v>1.7296773068470075</v>
      </c>
      <c r="AB18" s="3">
        <f>[1]节奏总纲!AN17</f>
        <v>1.383741845477606</v>
      </c>
      <c r="AC18" s="3">
        <f>[1]节奏总纲!AO17</f>
        <v>1.0378063841082044</v>
      </c>
      <c r="AD18" s="3">
        <f>[1]节奏总纲!AP17</f>
        <v>0.69187092273880302</v>
      </c>
      <c r="AE18" s="3">
        <f>[1]节奏总纲!AQ17</f>
        <v>0.34593546136940151</v>
      </c>
      <c r="AG18" s="3">
        <v>14</v>
      </c>
      <c r="AH18" s="3">
        <f t="shared" si="5"/>
        <v>0.31207475235536153</v>
      </c>
      <c r="AI18" s="3">
        <f t="shared" si="3"/>
        <v>0.24965980188428927</v>
      </c>
      <c r="AJ18" s="3">
        <f t="shared" si="3"/>
        <v>0.18724485141321678</v>
      </c>
      <c r="AK18" s="3">
        <f t="shared" si="3"/>
        <v>0.12482990094214463</v>
      </c>
      <c r="AL18" s="3">
        <f t="shared" si="3"/>
        <v>6.2414950471072317E-2</v>
      </c>
      <c r="AM18" s="3"/>
      <c r="AN18" s="3">
        <v>14</v>
      </c>
      <c r="AO18" s="3">
        <f>[1]节奏总纲!BA17</f>
        <v>25.707675764357255</v>
      </c>
      <c r="AP18" s="3">
        <f>[1]节奏总纲!BB17</f>
        <v>27.059707353051884</v>
      </c>
      <c r="AQ18" s="3">
        <f>[1]节奏总纲!BC17</f>
        <v>28.796798156163181</v>
      </c>
      <c r="AR18" s="3">
        <f>[1]节奏总纲!BD17</f>
        <v>31.280110398778046</v>
      </c>
      <c r="AS18" s="3">
        <f>[1]节奏总纲!BE17</f>
        <v>35.634340563113874</v>
      </c>
      <c r="AW18" s="3">
        <v>14</v>
      </c>
      <c r="AX18" s="3">
        <f>[1]节奏总纲!BQ17</f>
        <v>14.478648759442287</v>
      </c>
      <c r="AY18" s="3">
        <f>[1]节奏总纲!BR17</f>
        <v>13.801686811891411</v>
      </c>
      <c r="AZ18" s="3">
        <f>[1]节奏总纲!BS17</f>
        <v>13.066802237788149</v>
      </c>
      <c r="BA18" s="3">
        <f>[1]节奏总纲!BT17</f>
        <v>12.317859861087916</v>
      </c>
      <c r="BB18" s="3">
        <f>[1]节奏总纲!BU17</f>
        <v>11.589582338965862</v>
      </c>
      <c r="BG18" s="5">
        <v>14</v>
      </c>
      <c r="BH18" s="5">
        <f>'[1]功能-城建'!$E19</f>
        <v>2</v>
      </c>
      <c r="BL18" s="3">
        <v>14</v>
      </c>
      <c r="BM18" s="3">
        <f>[1]节奏总纲!BX17</f>
        <v>13.709487920387797</v>
      </c>
      <c r="BN18" s="3">
        <f>[1]节奏总纲!BY17</f>
        <v>14.100956885571147</v>
      </c>
      <c r="BO18" s="3">
        <f>[1]节奏总纲!BZ17</f>
        <v>14.525291242595772</v>
      </c>
      <c r="BP18" s="3">
        <f>[1]节奏总纲!CA17</f>
        <v>15.034528001908788</v>
      </c>
      <c r="BQ18" s="3">
        <f>[1]节奏总纲!CB17</f>
        <v>15.548154022600523</v>
      </c>
    </row>
    <row r="19" spans="3:69">
      <c r="C19" s="3">
        <v>15</v>
      </c>
      <c r="D19" s="3">
        <f>[1]节奏总纲!P18</f>
        <v>1.8284271247461898</v>
      </c>
      <c r="E19" s="3">
        <f>[1]节奏总纲!Q18</f>
        <v>1.5793953503557587</v>
      </c>
      <c r="F19" s="3">
        <f>[1]节奏总纲!R18</f>
        <v>1.2928808199080308</v>
      </c>
      <c r="G19" s="3">
        <f>[1]节奏总纲!S18</f>
        <v>0.94895367774327255</v>
      </c>
      <c r="H19" s="3">
        <f>[1]节奏总纲!T18</f>
        <v>0.5271355400643265</v>
      </c>
      <c r="J19" s="3">
        <v>15</v>
      </c>
      <c r="K19" s="3">
        <f t="shared" si="4"/>
        <v>0.18941130320040145</v>
      </c>
      <c r="L19" s="3">
        <f t="shared" si="2"/>
        <v>0.16574420427251613</v>
      </c>
      <c r="M19" s="3">
        <f t="shared" si="2"/>
        <v>0.13835807521117749</v>
      </c>
      <c r="N19" s="3">
        <f t="shared" si="2"/>
        <v>0.10289371066133657</v>
      </c>
      <c r="O19" s="3">
        <f t="shared" si="2"/>
        <v>5.9032621430849308E-2</v>
      </c>
      <c r="Q19" s="3">
        <v>15</v>
      </c>
      <c r="R19" s="3">
        <f>[1]节奏总纲!AD18</f>
        <v>40</v>
      </c>
      <c r="S19" s="3">
        <f>[1]节奏总纲!AE18</f>
        <v>41.83669503626701</v>
      </c>
      <c r="T19" s="3">
        <f>[1]节奏总纲!AF18</f>
        <v>44.442238853326032</v>
      </c>
      <c r="U19" s="3">
        <f>[1]节奏总纲!AG18</f>
        <v>48.731413734867289</v>
      </c>
      <c r="V19" s="3">
        <f>[1]节奏总纲!AH18</f>
        <v>57.176846218996921</v>
      </c>
      <c r="Z19" s="3">
        <v>15</v>
      </c>
      <c r="AA19" s="3">
        <f>[1]节奏总纲!AM18</f>
        <v>2.1</v>
      </c>
      <c r="AB19" s="3">
        <f>[1]节奏总纲!AN18</f>
        <v>1.6800000000000002</v>
      </c>
      <c r="AC19" s="3">
        <f>[1]节奏总纲!AO18</f>
        <v>1.26</v>
      </c>
      <c r="AD19" s="3">
        <f>[1]节奏总纲!AP18</f>
        <v>0.84000000000000008</v>
      </c>
      <c r="AE19" s="3">
        <f>[1]节奏总纲!AQ18</f>
        <v>0.42000000000000004</v>
      </c>
      <c r="AG19" s="3">
        <v>15</v>
      </c>
      <c r="AH19" s="3">
        <f t="shared" si="5"/>
        <v>0.3703226931529926</v>
      </c>
      <c r="AI19" s="3">
        <f t="shared" si="3"/>
        <v>0.29625815452239412</v>
      </c>
      <c r="AJ19" s="3">
        <f t="shared" si="3"/>
        <v>0.22219361589179565</v>
      </c>
      <c r="AK19" s="3">
        <f t="shared" si="3"/>
        <v>0.14812907726119706</v>
      </c>
      <c r="AL19" s="3">
        <f t="shared" si="3"/>
        <v>7.4064538630598531E-2</v>
      </c>
      <c r="AM19" s="3"/>
      <c r="AN19" s="3">
        <v>15</v>
      </c>
      <c r="AO19" s="3">
        <f>[1]节奏总纲!BA18</f>
        <v>26.127796402772656</v>
      </c>
      <c r="AP19" s="3">
        <f>[1]节奏总纲!BB18</f>
        <v>27.461368800321225</v>
      </c>
      <c r="AQ19" s="3">
        <f>[1]节奏总纲!BC18</f>
        <v>29.216428548527322</v>
      </c>
      <c r="AR19" s="3">
        <f>[1]节奏总纲!BD18</f>
        <v>31.706504654507764</v>
      </c>
      <c r="AS19" s="3">
        <f>[1]节奏总纲!BE18</f>
        <v>36.105477566569242</v>
      </c>
      <c r="AW19" s="3">
        <v>15</v>
      </c>
      <c r="AX19" s="3">
        <f>[1]节奏总纲!BQ18</f>
        <v>16.315139190025224</v>
      </c>
      <c r="AY19" s="3">
        <f>[1]节奏总纲!BR18</f>
        <v>15.561358773741674</v>
      </c>
      <c r="AZ19" s="3">
        <f>[1]节奏总纲!BS18</f>
        <v>14.762349831349963</v>
      </c>
      <c r="BA19" s="3">
        <f>[1]节奏总纲!BT18</f>
        <v>13.933035582501875</v>
      </c>
      <c r="BB19" s="3">
        <f>[1]节奏总纲!BU18</f>
        <v>13.02723395474071</v>
      </c>
      <c r="BG19" s="5">
        <v>15</v>
      </c>
      <c r="BH19" s="5">
        <f>'[1]功能-城建'!$E20</f>
        <v>2</v>
      </c>
      <c r="BL19" s="3">
        <v>15</v>
      </c>
      <c r="BM19" s="3">
        <f>[1]节奏总纲!BX18</f>
        <v>14.266658834916136</v>
      </c>
      <c r="BN19" s="3">
        <f>[1]节奏总纲!BY18</f>
        <v>14.660415593263824</v>
      </c>
      <c r="BO19" s="3">
        <f>[1]节奏总纲!BZ18</f>
        <v>15.124897159472612</v>
      </c>
      <c r="BP19" s="3">
        <f>[1]节奏总纲!CA18</f>
        <v>15.620787661421978</v>
      </c>
      <c r="BQ19" s="3">
        <f>[1]节奏总纲!CB18</f>
        <v>16.186655799493046</v>
      </c>
    </row>
    <row r="20" spans="3:69">
      <c r="C20" s="3">
        <v>16</v>
      </c>
      <c r="D20" s="3">
        <f>[1]节奏总纲!P19</f>
        <v>2.031433133020796</v>
      </c>
      <c r="E20" s="3">
        <f>[1]节奏总纲!Q19</f>
        <v>1.7586116632561031</v>
      </c>
      <c r="F20" s="3">
        <f>[1]节奏总纲!R19</f>
        <v>1.4398798046851402</v>
      </c>
      <c r="G20" s="3">
        <f>[1]节奏总纲!S19</f>
        <v>1.0618300986299702</v>
      </c>
      <c r="H20" s="3">
        <f>[1]节奏总纲!T19</f>
        <v>0.59460047803518701</v>
      </c>
      <c r="J20" s="3">
        <v>16</v>
      </c>
      <c r="K20" s="3">
        <f t="shared" si="4"/>
        <v>0.20300600827460613</v>
      </c>
      <c r="L20" s="3">
        <f t="shared" si="2"/>
        <v>0.17921631290034434</v>
      </c>
      <c r="M20" s="3">
        <f t="shared" si="2"/>
        <v>0.14699898477710938</v>
      </c>
      <c r="N20" s="3">
        <f t="shared" si="2"/>
        <v>0.11287642088669769</v>
      </c>
      <c r="O20" s="3">
        <f t="shared" si="2"/>
        <v>6.7464937970860506E-2</v>
      </c>
      <c r="Q20" s="3">
        <v>16</v>
      </c>
      <c r="R20" s="3">
        <f>[1]节奏总纲!AD19</f>
        <v>40.870795385807064</v>
      </c>
      <c r="S20" s="3">
        <f>[1]节奏总纲!AE19</f>
        <v>42.707142308553742</v>
      </c>
      <c r="T20" s="3">
        <f>[1]节奏总纲!AF19</f>
        <v>45.343250058486468</v>
      </c>
      <c r="U20" s="3">
        <f>[1]节奏总纲!AG19</f>
        <v>49.654306534727205</v>
      </c>
      <c r="V20" s="3">
        <f>[1]节奏总纲!AH19</f>
        <v>58.12511610143563</v>
      </c>
      <c r="Z20" s="3">
        <v>16</v>
      </c>
      <c r="AA20" s="3">
        <f>[1]节奏总纲!AM19</f>
        <v>2.5387719203926467</v>
      </c>
      <c r="AB20" s="3">
        <f>[1]节奏总纲!AN19</f>
        <v>2.0310175363141174</v>
      </c>
      <c r="AC20" s="3">
        <f>[1]节奏总纲!AO19</f>
        <v>1.5232631522355879</v>
      </c>
      <c r="AD20" s="3">
        <f>[1]节奏总纲!AP19</f>
        <v>1.0155087681570587</v>
      </c>
      <c r="AE20" s="3">
        <f>[1]节奏总纲!AQ19</f>
        <v>0.50775438407852935</v>
      </c>
      <c r="AG20" s="3">
        <v>16</v>
      </c>
      <c r="AH20" s="3">
        <f t="shared" si="5"/>
        <v>0.43877192039264656</v>
      </c>
      <c r="AI20" s="3">
        <f t="shared" si="3"/>
        <v>0.35101753631411725</v>
      </c>
      <c r="AJ20" s="3">
        <f t="shared" si="3"/>
        <v>0.26326315223558794</v>
      </c>
      <c r="AK20" s="3">
        <f t="shared" si="3"/>
        <v>0.17550876815705863</v>
      </c>
      <c r="AL20" s="3">
        <f t="shared" si="3"/>
        <v>8.7754384078529313E-2</v>
      </c>
      <c r="AM20" s="3"/>
      <c r="AN20" s="3">
        <v>16</v>
      </c>
      <c r="AO20" s="3">
        <f>[1]节奏总纲!BA19</f>
        <v>26.504690687123308</v>
      </c>
      <c r="AP20" s="3">
        <f>[1]节奏总纲!BB19</f>
        <v>27.863030247590562</v>
      </c>
      <c r="AQ20" s="3">
        <f>[1]节奏总纲!BC19</f>
        <v>29.606265091548554</v>
      </c>
      <c r="AR20" s="3">
        <f>[1]节奏总纲!BD19</f>
        <v>32.113552950216736</v>
      </c>
      <c r="AS20" s="3">
        <f>[1]节奏总纲!BE19</f>
        <v>36.526331209747774</v>
      </c>
      <c r="AW20" s="3">
        <v>16</v>
      </c>
      <c r="AX20" s="3">
        <f>[1]节奏总纲!BQ19</f>
        <v>18.226342304552581</v>
      </c>
      <c r="AY20" s="3">
        <f>[1]节奏总纲!BR19</f>
        <v>17.420973982667814</v>
      </c>
      <c r="AZ20" s="3">
        <f>[1]节奏总纲!BS19</f>
        <v>16.55360159735687</v>
      </c>
      <c r="BA20" s="3">
        <f>[1]节奏总纲!BT19</f>
        <v>15.589627930182091</v>
      </c>
      <c r="BB20" s="3">
        <f>[1]节奏总纲!BU19</f>
        <v>14.671687356650759</v>
      </c>
      <c r="BG20" s="5">
        <v>16</v>
      </c>
      <c r="BH20" s="5">
        <f>'[1]功能-城建'!$E21</f>
        <v>3</v>
      </c>
      <c r="BL20" s="3">
        <v>16</v>
      </c>
      <c r="BM20" s="3">
        <f>[1]节奏总纲!BX19</f>
        <v>14.814845624513547</v>
      </c>
      <c r="BN20" s="3">
        <f>[1]节奏总纲!BY19</f>
        <v>15.223953663630512</v>
      </c>
      <c r="BO20" s="3">
        <f>[1]节奏总纲!BZ19</f>
        <v>15.68326996451129</v>
      </c>
      <c r="BP20" s="3">
        <f>[1]节奏总纲!CA19</f>
        <v>16.223055450854915</v>
      </c>
      <c r="BQ20" s="3">
        <f>[1]节奏总纲!CB19</f>
        <v>16.836396297114952</v>
      </c>
    </row>
    <row r="21" spans="3:69">
      <c r="C21" s="3">
        <v>17</v>
      </c>
      <c r="D21" s="3">
        <f>[1]节奏总纲!P20</f>
        <v>2.2490095854249419</v>
      </c>
      <c r="E21" s="3">
        <f>[1]节奏总纲!Q20</f>
        <v>1.9433691827656923</v>
      </c>
      <c r="F21" s="3">
        <f>[1]节奏总纲!R20</f>
        <v>1.5904995788125189</v>
      </c>
      <c r="G21" s="3">
        <f>[1]节奏总纲!S20</f>
        <v>1.1742079045503622</v>
      </c>
      <c r="H21" s="3">
        <f>[1]节奏总纲!T20</f>
        <v>0.65311238360740309</v>
      </c>
      <c r="J21" s="3">
        <v>17</v>
      </c>
      <c r="K21" s="3">
        <f t="shared" si="4"/>
        <v>0.21757645240414591</v>
      </c>
      <c r="L21" s="3">
        <f t="shared" si="2"/>
        <v>0.18475751950958919</v>
      </c>
      <c r="M21" s="3">
        <f t="shared" si="2"/>
        <v>0.1506197741273787</v>
      </c>
      <c r="N21" s="3">
        <f t="shared" si="2"/>
        <v>0.11237780592039193</v>
      </c>
      <c r="O21" s="3">
        <f t="shared" si="2"/>
        <v>5.8511905572216083E-2</v>
      </c>
      <c r="Q21" s="3">
        <v>17</v>
      </c>
      <c r="R21" s="3">
        <f>[1]节奏总纲!AD20</f>
        <v>41.691928656135218</v>
      </c>
      <c r="S21" s="3">
        <f>[1]节奏总纲!AE20</f>
        <v>43.535389560453282</v>
      </c>
      <c r="T21" s="3">
        <f>[1]节奏总纲!AF20</f>
        <v>46.195785611164197</v>
      </c>
      <c r="U21" s="3">
        <f>[1]节奏总纲!AG20</f>
        <v>50.510850036206186</v>
      </c>
      <c r="V21" s="3">
        <f>[1]节奏总纲!AH20</f>
        <v>58.996855914896834</v>
      </c>
      <c r="Z21" s="3">
        <v>17</v>
      </c>
      <c r="AA21" s="3">
        <f>[1]节奏总纲!AM20</f>
        <v>3.0579402515786085</v>
      </c>
      <c r="AB21" s="3">
        <f>[1]节奏总纲!AN20</f>
        <v>2.4463522012628869</v>
      </c>
      <c r="AC21" s="3">
        <f>[1]节奏总纲!AO20</f>
        <v>1.8347641509471651</v>
      </c>
      <c r="AD21" s="3">
        <f>[1]节奏总纲!AP20</f>
        <v>1.2231761006314434</v>
      </c>
      <c r="AE21" s="3">
        <f>[1]节奏总纲!AQ20</f>
        <v>0.61158805031572172</v>
      </c>
      <c r="AG21" s="3">
        <v>17</v>
      </c>
      <c r="AH21" s="3">
        <f t="shared" si="5"/>
        <v>0.51916833118596184</v>
      </c>
      <c r="AI21" s="3">
        <f t="shared" si="3"/>
        <v>0.41533466494876947</v>
      </c>
      <c r="AJ21" s="3">
        <f t="shared" si="3"/>
        <v>0.3115009987115771</v>
      </c>
      <c r="AK21" s="3">
        <f t="shared" si="3"/>
        <v>0.20766733247438474</v>
      </c>
      <c r="AL21" s="3">
        <f t="shared" si="3"/>
        <v>0.10383366623719237</v>
      </c>
      <c r="AM21" s="3"/>
      <c r="AN21" s="3">
        <v>17</v>
      </c>
      <c r="AO21" s="3">
        <f>[1]节奏总纲!BA20</f>
        <v>26.881584971473956</v>
      </c>
      <c r="AP21" s="3">
        <f>[1]节奏总纲!BB20</f>
        <v>28.225778459464117</v>
      </c>
      <c r="AQ21" s="3">
        <f>[1]节奏总纲!BC20</f>
        <v>29.996101634569786</v>
      </c>
      <c r="AR21" s="3">
        <f>[1]节奏总纲!BD20</f>
        <v>32.477877425165822</v>
      </c>
      <c r="AS21" s="3">
        <f>[1]节奏总纲!BE20</f>
        <v>36.947184852926306</v>
      </c>
      <c r="AW21" s="3">
        <v>17</v>
      </c>
      <c r="AX21" s="3">
        <f>[1]节奏总纲!BQ20</f>
        <v>20.20181641490861</v>
      </c>
      <c r="AY21" s="3">
        <f>[1]节奏总纲!BR20</f>
        <v>19.316761289213389</v>
      </c>
      <c r="AZ21" s="3">
        <f>[1]节奏总纲!BS20</f>
        <v>18.361080760620879</v>
      </c>
      <c r="BA21" s="3">
        <f>[1]节奏总纲!BT20</f>
        <v>17.369785176246889</v>
      </c>
      <c r="BB21" s="3">
        <f>[1]节奏总纲!BU20</f>
        <v>16.290326765372022</v>
      </c>
      <c r="BG21" s="5">
        <v>17</v>
      </c>
      <c r="BH21" s="5">
        <f>'[1]功能-城建'!$E22</f>
        <v>3</v>
      </c>
      <c r="BL21" s="3">
        <v>17</v>
      </c>
      <c r="BM21" s="3">
        <f>[1]节奏总纲!BX20</f>
        <v>15.339606019664149</v>
      </c>
      <c r="BN21" s="3">
        <f>[1]节奏总纲!BY20</f>
        <v>15.750302066190816</v>
      </c>
      <c r="BO21" s="3">
        <f>[1]节奏总纲!BZ20</f>
        <v>16.215846584296784</v>
      </c>
      <c r="BP21" s="3">
        <f>[1]节奏总纲!CA20</f>
        <v>16.764198848718195</v>
      </c>
      <c r="BQ21" s="3">
        <f>[1]节奏总纲!CB20</f>
        <v>17.338393226762065</v>
      </c>
    </row>
    <row r="22" spans="3:69">
      <c r="C22" s="3">
        <v>18</v>
      </c>
      <c r="D22" s="3">
        <f>[1]节奏总纲!P21</f>
        <v>2.4822022531844965</v>
      </c>
      <c r="E22" s="3">
        <f>[1]节奏总纲!Q21</f>
        <v>2.1515729130603214</v>
      </c>
      <c r="F22" s="3">
        <f>[1]节奏总纲!R21</f>
        <v>1.7690655458445907</v>
      </c>
      <c r="G22" s="3">
        <f>[1]节奏总纲!S21</f>
        <v>1.3066312660763189</v>
      </c>
      <c r="H22" s="3">
        <f>[1]节奏总纲!T21</f>
        <v>0.72554771860582834</v>
      </c>
      <c r="J22" s="3">
        <v>18</v>
      </c>
      <c r="K22" s="3">
        <f t="shared" si="4"/>
        <v>0.23319266775955461</v>
      </c>
      <c r="L22" s="3">
        <f t="shared" si="4"/>
        <v>0.20820373029462913</v>
      </c>
      <c r="M22" s="3">
        <f t="shared" si="4"/>
        <v>0.17856596703207184</v>
      </c>
      <c r="N22" s="3">
        <f t="shared" si="4"/>
        <v>0.13242336152595668</v>
      </c>
      <c r="O22" s="3">
        <f t="shared" si="4"/>
        <v>7.2435334998425249E-2</v>
      </c>
      <c r="Q22" s="3">
        <v>18</v>
      </c>
      <c r="R22" s="3">
        <f>[1]节奏总纲!AD21</f>
        <v>42.470630686057078</v>
      </c>
      <c r="S22" s="3">
        <f>[1]节奏总纲!AE21</f>
        <v>44.32123076997032</v>
      </c>
      <c r="T22" s="3">
        <f>[1]节奏总纲!AF21</f>
        <v>47.002405448181747</v>
      </c>
      <c r="U22" s="3">
        <f>[1]节奏总纲!AG21</f>
        <v>51.307235833425089</v>
      </c>
      <c r="V22" s="3">
        <f>[1]节奏总纲!AH21</f>
        <v>59.782901351568675</v>
      </c>
      <c r="Z22" s="3">
        <v>18</v>
      </c>
      <c r="AA22" s="3">
        <f>[1]节奏总纲!AM21</f>
        <v>3.671491735587451</v>
      </c>
      <c r="AB22" s="3">
        <f>[1]节奏总纲!AN21</f>
        <v>2.9371933884699608</v>
      </c>
      <c r="AC22" s="3">
        <f>[1]节奏总纲!AO21</f>
        <v>2.2028950413524706</v>
      </c>
      <c r="AD22" s="3">
        <f>[1]节奏总纲!AP21</f>
        <v>1.4685966942349804</v>
      </c>
      <c r="AE22" s="3">
        <f>[1]节奏总纲!AQ21</f>
        <v>0.7342983471174902</v>
      </c>
      <c r="AG22" s="3">
        <v>18</v>
      </c>
      <c r="AH22" s="3">
        <f t="shared" si="5"/>
        <v>0.61355148400884252</v>
      </c>
      <c r="AI22" s="3">
        <f t="shared" si="5"/>
        <v>0.49084118720707393</v>
      </c>
      <c r="AJ22" s="3">
        <f t="shared" si="5"/>
        <v>0.36813089040530556</v>
      </c>
      <c r="AK22" s="3">
        <f t="shared" si="5"/>
        <v>0.24542059360353696</v>
      </c>
      <c r="AL22" s="3">
        <f t="shared" si="5"/>
        <v>0.12271029680176848</v>
      </c>
      <c r="AM22" s="3"/>
      <c r="AN22" s="3">
        <v>18</v>
      </c>
      <c r="AO22" s="3">
        <f>[1]节奏总纲!BA21</f>
        <v>27.220371931959619</v>
      </c>
      <c r="AP22" s="3">
        <f>[1]节奏总纲!BB21</f>
        <v>28.568390277483555</v>
      </c>
      <c r="AQ22" s="3">
        <f>[1]节奏总纲!BC21</f>
        <v>30.329493925593439</v>
      </c>
      <c r="AR22" s="3">
        <f>[1]节奏总纲!BD21</f>
        <v>32.842201900114915</v>
      </c>
      <c r="AS22" s="3">
        <f>[1]节奏总纲!BE21</f>
        <v>37.317457773889828</v>
      </c>
      <c r="AW22" s="3">
        <v>18</v>
      </c>
      <c r="AX22" s="3">
        <f>[1]节奏总纲!BQ21</f>
        <v>22.23257120211764</v>
      </c>
      <c r="AY22" s="3">
        <f>[1]节奏总纲!BR21</f>
        <v>21.313236761787984</v>
      </c>
      <c r="AZ22" s="3">
        <f>[1]节奏总纲!BS21</f>
        <v>20.31364557414641</v>
      </c>
      <c r="BA22" s="3">
        <f>[1]节奏总纲!BT21</f>
        <v>19.206606162403641</v>
      </c>
      <c r="BB22" s="3">
        <f>[1]节奏总纲!BU21</f>
        <v>18.113419670820548</v>
      </c>
      <c r="BG22" s="5">
        <v>18</v>
      </c>
      <c r="BH22" s="5">
        <f>'[1]功能-城建'!$E23</f>
        <v>4</v>
      </c>
      <c r="BL22" s="3">
        <v>18</v>
      </c>
      <c r="BM22" s="3">
        <f>[1]节奏总纲!BX21</f>
        <v>15.871072726902106</v>
      </c>
      <c r="BN22" s="3">
        <f>[1]节奏总纲!BY21</f>
        <v>16.290260811148702</v>
      </c>
      <c r="BO22" s="3">
        <f>[1]节奏总纲!BZ21</f>
        <v>16.78909022643807</v>
      </c>
      <c r="BP22" s="3">
        <f>[1]节奏总纲!CA21</f>
        <v>17.340049562343136</v>
      </c>
      <c r="BQ22" s="3">
        <f>[1]节奏总纲!CB21</f>
        <v>17.928688718553115</v>
      </c>
    </row>
    <row r="23" spans="3:69">
      <c r="C23" s="3">
        <v>19</v>
      </c>
      <c r="D23" s="3">
        <f>[1]节奏总纲!P22</f>
        <v>2.7321319661472296</v>
      </c>
      <c r="E23" s="3">
        <f>[1]节奏总纲!Q22</f>
        <v>2.3734030389920986</v>
      </c>
      <c r="F23" s="3">
        <f>[1]节奏总纲!R22</f>
        <v>1.9510154370257367</v>
      </c>
      <c r="G23" s="3">
        <f>[1]节奏总纲!S22</f>
        <v>1.4395603329629754</v>
      </c>
      <c r="H23" s="3">
        <f>[1]节奏总纲!T22</f>
        <v>0.80270037165405606</v>
      </c>
      <c r="J23" s="3">
        <v>19</v>
      </c>
      <c r="K23" s="3">
        <f t="shared" si="4"/>
        <v>0.24992971296273314</v>
      </c>
      <c r="L23" s="3">
        <f t="shared" si="4"/>
        <v>0.2218301259317772</v>
      </c>
      <c r="M23" s="3">
        <f t="shared" si="4"/>
        <v>0.18194989118114591</v>
      </c>
      <c r="N23" s="3">
        <f t="shared" si="4"/>
        <v>0.13292906688665651</v>
      </c>
      <c r="O23" s="3">
        <f t="shared" si="4"/>
        <v>7.7152653048227715E-2</v>
      </c>
      <c r="Q23" s="3">
        <v>19</v>
      </c>
      <c r="R23" s="3">
        <f>[1]节奏总纲!AD22</f>
        <v>43.213386604241784</v>
      </c>
      <c r="S23" s="3">
        <f>[1]节奏总纲!AE22</f>
        <v>45.070782602372333</v>
      </c>
      <c r="T23" s="3">
        <f>[1]节奏总纲!AF22</f>
        <v>47.752799438858894</v>
      </c>
      <c r="U23" s="3">
        <f>[1]节奏总纲!AG22</f>
        <v>52.050057424983954</v>
      </c>
      <c r="V23" s="3">
        <f>[1]节奏总纲!AH22</f>
        <v>60.54585273688761</v>
      </c>
      <c r="Z23" s="3">
        <v>19</v>
      </c>
      <c r="AA23" s="3">
        <f>[1]节奏总纲!AM22</f>
        <v>4.3957950643309154</v>
      </c>
      <c r="AB23" s="3">
        <f>[1]节奏总纲!AN22</f>
        <v>3.5166360514647326</v>
      </c>
      <c r="AC23" s="3">
        <f>[1]节奏总纲!AO22</f>
        <v>2.6374770385985493</v>
      </c>
      <c r="AD23" s="3">
        <f>[1]节奏总纲!AP22</f>
        <v>1.7583180257323663</v>
      </c>
      <c r="AE23" s="3">
        <f>[1]节奏总纲!AQ22</f>
        <v>0.87915901286618314</v>
      </c>
      <c r="AG23" s="3">
        <v>19</v>
      </c>
      <c r="AH23" s="3">
        <f t="shared" si="5"/>
        <v>0.72430332874346437</v>
      </c>
      <c r="AI23" s="3">
        <f t="shared" si="5"/>
        <v>0.57944266299477176</v>
      </c>
      <c r="AJ23" s="3">
        <f t="shared" si="5"/>
        <v>0.43458199724607871</v>
      </c>
      <c r="AK23" s="3">
        <f t="shared" si="5"/>
        <v>0.28972133149738588</v>
      </c>
      <c r="AL23" s="3">
        <f t="shared" si="5"/>
        <v>0.14486066574869294</v>
      </c>
      <c r="AM23" s="3"/>
      <c r="AN23" s="3">
        <v>19</v>
      </c>
      <c r="AO23" s="3">
        <f>[1]节奏总纲!BA22</f>
        <v>27.541701089775092</v>
      </c>
      <c r="AP23" s="3">
        <f>[1]节奏总纲!BB22</f>
        <v>28.911002095502997</v>
      </c>
      <c r="AQ23" s="3">
        <f>[1]节奏总纲!BC22</f>
        <v>30.662316072657521</v>
      </c>
      <c r="AR23" s="3">
        <f>[1]节奏总纲!BD22</f>
        <v>33.176527924103851</v>
      </c>
      <c r="AS23" s="3">
        <f>[1]节奏总纲!BE22</f>
        <v>37.680472138177471</v>
      </c>
      <c r="AW23" s="3">
        <v>19</v>
      </c>
      <c r="AX23" s="3">
        <f>[1]节奏总纲!BQ22</f>
        <v>24.310866931512376</v>
      </c>
      <c r="AY23" s="3">
        <f>[1]节奏总纲!BR22</f>
        <v>23.346355732194773</v>
      </c>
      <c r="AZ23" s="3">
        <f>[1]节奏总纲!BS22</f>
        <v>22.270075478919804</v>
      </c>
      <c r="BA23" s="3">
        <f>[1]节奏总纲!BT22</f>
        <v>21.127034033068878</v>
      </c>
      <c r="BB23" s="3">
        <f>[1]节奏总纲!BU22</f>
        <v>19.990401674856564</v>
      </c>
      <c r="BG23" s="5">
        <v>19</v>
      </c>
      <c r="BH23" s="5">
        <f>'[1]功能-城建'!$E24</f>
        <v>4</v>
      </c>
      <c r="BL23" s="3">
        <v>19</v>
      </c>
      <c r="BM23" s="3">
        <f>[1]节奏总纲!BX22</f>
        <v>16.372441911687645</v>
      </c>
      <c r="BN23" s="3">
        <f>[1]节奏总纲!BY22</f>
        <v>16.824360525554045</v>
      </c>
      <c r="BO23" s="3">
        <f>[1]节奏总纲!BZ22</f>
        <v>17.315787914321945</v>
      </c>
      <c r="BP23" s="3">
        <f>[1]节奏总纲!CA22</f>
        <v>17.881687348051518</v>
      </c>
      <c r="BQ23" s="3">
        <f>[1]节奏总纲!CB22</f>
        <v>18.472191841608893</v>
      </c>
    </row>
    <row r="24" spans="3:69">
      <c r="C24" s="3">
        <v>20</v>
      </c>
      <c r="D24" s="3">
        <f>[1]节奏总纲!P23</f>
        <v>3</v>
      </c>
      <c r="E24" s="3">
        <f>[1]节奏总纲!Q23</f>
        <v>2.6036999999999999</v>
      </c>
      <c r="F24" s="3">
        <f>[1]节奏总纲!R23</f>
        <v>2.1372</v>
      </c>
      <c r="G24" s="3">
        <f>[1]节奏总纲!S23</f>
        <v>1.5800999999999998</v>
      </c>
      <c r="H24" s="3">
        <f>[1]节奏总纲!T23</f>
        <v>0.87990000000000002</v>
      </c>
      <c r="J24" s="3">
        <v>20</v>
      </c>
      <c r="K24" s="3">
        <f t="shared" si="4"/>
        <v>0.26786803385277036</v>
      </c>
      <c r="L24" s="3">
        <f t="shared" si="4"/>
        <v>0.23029696100790131</v>
      </c>
      <c r="M24" s="3">
        <f t="shared" si="4"/>
        <v>0.18618456297426333</v>
      </c>
      <c r="N24" s="3">
        <f t="shared" si="4"/>
        <v>0.14053966703702447</v>
      </c>
      <c r="O24" s="3">
        <f t="shared" si="4"/>
        <v>7.719962834594396E-2</v>
      </c>
      <c r="Q24" s="3">
        <v>20</v>
      </c>
      <c r="R24" s="3">
        <f>[1]节奏总纲!AD23</f>
        <v>43.920692243099523</v>
      </c>
      <c r="S24" s="3">
        <f>[1]节奏总纲!AE23</f>
        <v>45.780025086357675</v>
      </c>
      <c r="T24" s="3">
        <f>[1]节奏总纲!AF23</f>
        <v>48.482447528152484</v>
      </c>
      <c r="U24" s="3">
        <f>[1]节奏总纲!AG23</f>
        <v>52.769987980532711</v>
      </c>
      <c r="V24" s="3">
        <f>[1]节奏总纲!AH23</f>
        <v>61.261422558944936</v>
      </c>
      <c r="Z24" s="3">
        <v>20</v>
      </c>
      <c r="AA24" s="3">
        <f>[1]节奏总纲!AM23</f>
        <v>5.25</v>
      </c>
      <c r="AB24" s="3">
        <f>[1]节奏总纲!AN23</f>
        <v>4.2</v>
      </c>
      <c r="AC24" s="3">
        <f>[1]节奏总纲!AO23</f>
        <v>3.15</v>
      </c>
      <c r="AD24" s="3">
        <f>[1]节奏总纲!AP23</f>
        <v>2.1</v>
      </c>
      <c r="AE24" s="3">
        <f>[1]节奏总纲!AQ23</f>
        <v>1.05</v>
      </c>
      <c r="AG24" s="3">
        <v>20</v>
      </c>
      <c r="AH24" s="3">
        <f t="shared" si="5"/>
        <v>0.85420493566908462</v>
      </c>
      <c r="AI24" s="3">
        <f t="shared" si="5"/>
        <v>0.68336394853526761</v>
      </c>
      <c r="AJ24" s="3">
        <f t="shared" si="5"/>
        <v>0.51252296140145059</v>
      </c>
      <c r="AK24" s="3">
        <f t="shared" si="5"/>
        <v>0.3416819742676338</v>
      </c>
      <c r="AL24" s="3">
        <f t="shared" si="5"/>
        <v>0.1708409871338169</v>
      </c>
      <c r="AM24" s="3"/>
      <c r="AN24" s="3">
        <v>20</v>
      </c>
      <c r="AO24" s="3">
        <f>[1]节奏总纲!BA23</f>
        <v>27.863030247590562</v>
      </c>
      <c r="AP24" s="3">
        <f>[1]节奏总纲!BB23</f>
        <v>29.216428548527322</v>
      </c>
      <c r="AQ24" s="3">
        <f>[1]节奏总纲!BC23</f>
        <v>30.995138219721603</v>
      </c>
      <c r="AR24" s="3">
        <f>[1]节奏总纲!BD23</f>
        <v>33.487933395889513</v>
      </c>
      <c r="AS24" s="3">
        <f>[1]节奏总纲!BE23</f>
        <v>38.037513426486328</v>
      </c>
      <c r="AW24" s="3">
        <v>20</v>
      </c>
      <c r="AX24" s="3">
        <f>[1]节奏总纲!BQ23</f>
        <v>26.430041330048915</v>
      </c>
      <c r="AY24" s="3">
        <f>[1]节奏总纲!BR23</f>
        <v>25.411137335118717</v>
      </c>
      <c r="AZ24" s="3">
        <f>[1]节奏总纲!BS23</f>
        <v>24.291601023356559</v>
      </c>
      <c r="BA24" s="3">
        <f>[1]节奏总纲!BT23</f>
        <v>23.104674507319633</v>
      </c>
      <c r="BB24" s="3">
        <f>[1]节奏总纲!BU23</f>
        <v>21.807019312177008</v>
      </c>
      <c r="BG24" s="5">
        <v>20</v>
      </c>
      <c r="BH24" s="5">
        <f>'[1]功能-城建'!$E25</f>
        <v>5</v>
      </c>
      <c r="BL24" s="3">
        <v>20</v>
      </c>
      <c r="BM24" s="3">
        <f>[1]节奏总纲!BX23</f>
        <v>16.888397947066121</v>
      </c>
      <c r="BN24" s="3">
        <f>[1]节奏总纲!BY23</f>
        <v>17.320567635394323</v>
      </c>
      <c r="BO24" s="3">
        <f>[1]节奏总纲!BZ23</f>
        <v>17.821544339079665</v>
      </c>
      <c r="BP24" s="3">
        <f>[1]节奏总纲!CA23</f>
        <v>18.384863983569073</v>
      </c>
      <c r="BQ24" s="3">
        <f>[1]节奏总纲!CB23</f>
        <v>19.004337291338853</v>
      </c>
    </row>
    <row r="25" spans="3:69">
      <c r="C25" s="3">
        <v>21</v>
      </c>
      <c r="D25" s="3">
        <f>[1]节奏总纲!P24</f>
        <v>3.2870938501451725</v>
      </c>
      <c r="E25" s="3">
        <f>[1]节奏总纲!Q24</f>
        <v>2.8518826243859516</v>
      </c>
      <c r="F25" s="3">
        <f>[1]节奏总纲!R24</f>
        <v>2.3466562996186386</v>
      </c>
      <c r="G25" s="3">
        <f>[1]节奏总纲!S24</f>
        <v>1.7365716810316947</v>
      </c>
      <c r="H25" s="3">
        <f>[1]节奏总纲!T24</f>
        <v>0.97166494210291288</v>
      </c>
      <c r="J25" s="3">
        <v>21</v>
      </c>
      <c r="K25" s="3">
        <f t="shared" si="4"/>
        <v>0.28709385014517252</v>
      </c>
      <c r="L25" s="3">
        <f t="shared" si="4"/>
        <v>0.24818262438595173</v>
      </c>
      <c r="M25" s="3">
        <f t="shared" si="4"/>
        <v>0.20945629961863865</v>
      </c>
      <c r="N25" s="3">
        <f t="shared" si="4"/>
        <v>0.15647168103169484</v>
      </c>
      <c r="O25" s="3">
        <f t="shared" si="4"/>
        <v>9.1764942102912861E-2</v>
      </c>
      <c r="Q25" s="3">
        <v>21</v>
      </c>
      <c r="R25" s="3">
        <f>[1]节奏总纲!AD24</f>
        <v>44.585942742481357</v>
      </c>
      <c r="S25" s="3">
        <f>[1]节奏总纲!AE24</f>
        <v>46.455967430551723</v>
      </c>
      <c r="T25" s="3">
        <f>[1]节奏总纲!AF24</f>
        <v>49.18886033229559</v>
      </c>
      <c r="U25" s="3">
        <f>[1]节奏总纲!AG24</f>
        <v>53.471660769826336</v>
      </c>
      <c r="V25" s="3">
        <f>[1]节奏总纲!AH24</f>
        <v>61.918453772109508</v>
      </c>
      <c r="Z25" s="3">
        <v>21</v>
      </c>
      <c r="AA25" s="3">
        <f>[1]节奏总纲!AM24</f>
        <v>6.2565025247829205</v>
      </c>
      <c r="AB25" s="3">
        <f>[1]节奏总纲!AN24</f>
        <v>5.0052020198263367</v>
      </c>
      <c r="AC25" s="3">
        <f>[1]节奏总纲!AO24</f>
        <v>3.7539015148697521</v>
      </c>
      <c r="AD25" s="3">
        <f>[1]节奏总纲!AP24</f>
        <v>2.5026010099131684</v>
      </c>
      <c r="AE25" s="3">
        <f>[1]节奏总纲!AQ24</f>
        <v>1.2513005049565842</v>
      </c>
      <c r="AG25" s="3">
        <v>21</v>
      </c>
      <c r="AH25" s="3">
        <f t="shared" si="5"/>
        <v>1.0065025247829205</v>
      </c>
      <c r="AI25" s="3">
        <f t="shared" si="5"/>
        <v>0.80520201982633655</v>
      </c>
      <c r="AJ25" s="3">
        <f t="shared" si="5"/>
        <v>0.60390151486975219</v>
      </c>
      <c r="AK25" s="3">
        <f t="shared" si="5"/>
        <v>0.40260100991316827</v>
      </c>
      <c r="AL25" s="3">
        <f t="shared" si="5"/>
        <v>0.20130050495658414</v>
      </c>
      <c r="AM25" s="3"/>
      <c r="AN25" s="3">
        <v>21</v>
      </c>
      <c r="AO25" s="3">
        <f>[1]节奏总纲!BA24</f>
        <v>28.157256095860227</v>
      </c>
      <c r="AP25" s="3">
        <f>[1]节奏总纲!BB24</f>
        <v>29.508805955793246</v>
      </c>
      <c r="AQ25" s="3">
        <f>[1]节奏总纲!BC24</f>
        <v>31.280110398778046</v>
      </c>
      <c r="AR25" s="3">
        <f>[1]节奏总纲!BD24</f>
        <v>33.799338867675175</v>
      </c>
      <c r="AS25" s="3">
        <f>[1]节奏总纲!BE24</f>
        <v>38.35066605767593</v>
      </c>
      <c r="AW25" s="3">
        <v>21</v>
      </c>
      <c r="AX25" s="3">
        <f>[1]节奏总纲!BQ24</f>
        <v>28.584360328652647</v>
      </c>
      <c r="AY25" s="3">
        <f>[1]节奏总纲!BR24</f>
        <v>27.538147336025965</v>
      </c>
      <c r="AZ25" s="3">
        <f>[1]节奏总纲!BS24</f>
        <v>26.374084715154964</v>
      </c>
      <c r="BA25" s="3">
        <f>[1]节奏总纲!BT24</f>
        <v>25.113701488415835</v>
      </c>
      <c r="BB25" s="3">
        <f>[1]节奏总纲!BU24</f>
        <v>23.834029842136172</v>
      </c>
      <c r="BG25" s="5">
        <v>21</v>
      </c>
      <c r="BH25" s="5">
        <f>'[1]功能-城建'!$E26</f>
        <v>5</v>
      </c>
      <c r="BL25" s="3">
        <v>21</v>
      </c>
      <c r="BM25" s="3">
        <f>[1]节奏总纲!BX24</f>
        <v>17.373487155583607</v>
      </c>
      <c r="BN25" s="3">
        <f>[1]节奏总纲!BY24</f>
        <v>17.826194772754434</v>
      </c>
      <c r="BO25" s="3">
        <f>[1]节奏总纲!BZ24</f>
        <v>18.330803528855718</v>
      </c>
      <c r="BP25" s="3">
        <f>[1]节奏总纲!CA24</f>
        <v>18.92494047784373</v>
      </c>
      <c r="BQ25" s="3">
        <f>[1]节奏总纲!CB24</f>
        <v>19.541473862851607</v>
      </c>
    </row>
    <row r="26" spans="3:69">
      <c r="C26" s="3">
        <v>22</v>
      </c>
      <c r="D26" s="3">
        <f>[1]节奏总纲!P25</f>
        <v>3.5947934199881395</v>
      </c>
      <c r="E26" s="3">
        <f>[1]节奏总纲!Q25</f>
        <v>3.124234961311692</v>
      </c>
      <c r="F26" s="3">
        <f>[1]节奏总纲!R25</f>
        <v>2.5749505267375046</v>
      </c>
      <c r="G26" s="3">
        <f>[1]节奏总纲!S25</f>
        <v>1.9077568679877055</v>
      </c>
      <c r="H26" s="3">
        <f>[1]节奏总纲!T25</f>
        <v>1.0687320837624739</v>
      </c>
      <c r="J26" s="3">
        <v>22</v>
      </c>
      <c r="K26" s="3">
        <f t="shared" si="4"/>
        <v>0.30769956984296698</v>
      </c>
      <c r="L26" s="3">
        <f t="shared" si="4"/>
        <v>0.27235233692574035</v>
      </c>
      <c r="M26" s="3">
        <f t="shared" si="4"/>
        <v>0.22829422711886593</v>
      </c>
      <c r="N26" s="3">
        <f t="shared" si="4"/>
        <v>0.17118518695601082</v>
      </c>
      <c r="O26" s="3">
        <f t="shared" si="4"/>
        <v>9.7067141659560985E-2</v>
      </c>
      <c r="Q26" s="3">
        <v>22</v>
      </c>
      <c r="R26" s="3">
        <f>[1]节奏总纲!AD25</f>
        <v>45.229416240679988</v>
      </c>
      <c r="S26" s="3">
        <f>[1]节奏总纲!AE25</f>
        <v>47.110426931480873</v>
      </c>
      <c r="T26" s="3">
        <f>[1]节奏总纲!AF25</f>
        <v>49.861837738505173</v>
      </c>
      <c r="U26" s="3">
        <f>[1]节奏总纲!AG25</f>
        <v>54.15637358335789</v>
      </c>
      <c r="V26" s="3">
        <f>[1]节奏总纲!AH25</f>
        <v>62.555781631668886</v>
      </c>
      <c r="Z26" s="3">
        <v>22</v>
      </c>
      <c r="AA26" s="3">
        <f>[1]节奏总纲!AM25</f>
        <v>7.4414868317755332</v>
      </c>
      <c r="AB26" s="3">
        <f>[1]节奏总纲!AN25</f>
        <v>5.9531894654204267</v>
      </c>
      <c r="AC26" s="3">
        <f>[1]节奏总纲!AO25</f>
        <v>4.4648920990653194</v>
      </c>
      <c r="AD26" s="3">
        <f>[1]节奏总纲!AP25</f>
        <v>2.9765947327102134</v>
      </c>
      <c r="AE26" s="3">
        <f>[1]节奏总纲!AQ25</f>
        <v>1.4882973663551067</v>
      </c>
      <c r="AG26" s="3">
        <v>22</v>
      </c>
      <c r="AH26" s="3">
        <f t="shared" si="5"/>
        <v>1.1849843069926127</v>
      </c>
      <c r="AI26" s="3">
        <f t="shared" si="5"/>
        <v>0.94798744559408998</v>
      </c>
      <c r="AJ26" s="3">
        <f t="shared" si="5"/>
        <v>0.71099058419556727</v>
      </c>
      <c r="AK26" s="3">
        <f t="shared" si="5"/>
        <v>0.47399372279704499</v>
      </c>
      <c r="AL26" s="3">
        <f t="shared" si="5"/>
        <v>0.2369968613985225</v>
      </c>
      <c r="AM26" s="3"/>
      <c r="AN26" s="3">
        <v>22</v>
      </c>
      <c r="AO26" s="3">
        <f>[1]节奏总纲!BA25</f>
        <v>28.431345550275779</v>
      </c>
      <c r="AP26" s="3">
        <f>[1]节奏总纲!BB25</f>
        <v>29.80118336305917</v>
      </c>
      <c r="AQ26" s="3">
        <f>[1]节奏总纲!BC25</f>
        <v>31.564373235931193</v>
      </c>
      <c r="AR26" s="3">
        <f>[1]节奏总纲!BD25</f>
        <v>34.09469189131628</v>
      </c>
      <c r="AS26" s="3">
        <f>[1]节奏总纲!BE25</f>
        <v>38.663818688865533</v>
      </c>
      <c r="AW26" s="3">
        <v>22</v>
      </c>
      <c r="AX26" s="3">
        <f>[1]节奏总纲!BQ25</f>
        <v>30.768889392009427</v>
      </c>
      <c r="AY26" s="3">
        <f>[1]节奏总纲!BR25</f>
        <v>29.682299134892848</v>
      </c>
      <c r="AZ26" s="3">
        <f>[1]节奏总纲!BS25</f>
        <v>28.504605619902428</v>
      </c>
      <c r="BA26" s="3">
        <f>[1]节奏总纲!BT25</f>
        <v>27.228985792746204</v>
      </c>
      <c r="BB26" s="3">
        <f>[1]节奏总纲!BU25</f>
        <v>25.905106178844033</v>
      </c>
      <c r="BG26" s="5">
        <v>22</v>
      </c>
      <c r="BH26" s="5">
        <f>'[1]功能-城建'!$E27</f>
        <v>6</v>
      </c>
      <c r="BL26" s="3">
        <v>22</v>
      </c>
      <c r="BM26" s="3">
        <f>[1]节奏总纲!BX25</f>
        <v>17.874992861074709</v>
      </c>
      <c r="BN26" s="3">
        <f>[1]节奏总纲!BY25</f>
        <v>18.322795653110926</v>
      </c>
      <c r="BO26" s="3">
        <f>[1]节奏总纲!BZ25</f>
        <v>18.856122636792893</v>
      </c>
      <c r="BP26" s="3">
        <f>[1]节奏总纲!CA25</f>
        <v>19.437362382301988</v>
      </c>
      <c r="BQ26" s="3">
        <f>[1]节奏总纲!CB25</f>
        <v>20.093055324260185</v>
      </c>
    </row>
    <row r="27" spans="3:69">
      <c r="C27" s="3">
        <v>23</v>
      </c>
      <c r="D27" s="3">
        <f>[1]节奏总纲!P26</f>
        <v>3.9245776533796644</v>
      </c>
      <c r="E27" s="3">
        <f>[1]节奏总纲!Q26</f>
        <v>3.4081032341949005</v>
      </c>
      <c r="F27" s="3">
        <f>[1]节奏总纲!R26</f>
        <v>2.8064654799317976</v>
      </c>
      <c r="G27" s="3">
        <f>[1]节奏总纲!S26</f>
        <v>2.0796336985258841</v>
      </c>
      <c r="H27" s="3">
        <f>[1]节奏总纲!T26</f>
        <v>1.1608900698697047</v>
      </c>
      <c r="J27" s="3">
        <v>23</v>
      </c>
      <c r="K27" s="3">
        <f t="shared" si="4"/>
        <v>0.32978423339152485</v>
      </c>
      <c r="L27" s="3">
        <f t="shared" si="4"/>
        <v>0.28386827288320848</v>
      </c>
      <c r="M27" s="3">
        <f t="shared" si="4"/>
        <v>0.23151495319429305</v>
      </c>
      <c r="N27" s="3">
        <f t="shared" si="4"/>
        <v>0.17187683053817859</v>
      </c>
      <c r="O27" s="3">
        <f t="shared" si="4"/>
        <v>9.2157986107230805E-2</v>
      </c>
      <c r="Q27" s="3">
        <v>23</v>
      </c>
      <c r="R27" s="3">
        <f>[1]节奏总纲!AD26</f>
        <v>45.845161563010116</v>
      </c>
      <c r="S27" s="3">
        <f>[1]节奏总纲!AE26</f>
        <v>47.734594805743399</v>
      </c>
      <c r="T27" s="3">
        <f>[1]节奏总纲!AF26</f>
        <v>50.503430607741265</v>
      </c>
      <c r="U27" s="3">
        <f>[1]节奏总纲!AG26</f>
        <v>54.814188287451351</v>
      </c>
      <c r="V27" s="3">
        <f>[1]节奏总纲!AH26</f>
        <v>63.182677965405439</v>
      </c>
      <c r="Z27" s="3">
        <v>23</v>
      </c>
      <c r="AA27" s="3">
        <f>[1]节奏总纲!AM26</f>
        <v>8.8355567243832152</v>
      </c>
      <c r="AB27" s="3">
        <f>[1]节奏总纲!AN26</f>
        <v>7.0684453795065725</v>
      </c>
      <c r="AC27" s="3">
        <f>[1]节奏总纲!AO26</f>
        <v>5.3013340346299289</v>
      </c>
      <c r="AD27" s="3">
        <f>[1]节奏总纲!AP26</f>
        <v>3.5342226897532862</v>
      </c>
      <c r="AE27" s="3">
        <f>[1]节奏总纲!AQ26</f>
        <v>1.7671113448766431</v>
      </c>
      <c r="AG27" s="3">
        <v>23</v>
      </c>
      <c r="AH27" s="3">
        <f t="shared" si="5"/>
        <v>1.394069892607682</v>
      </c>
      <c r="AI27" s="3">
        <f t="shared" si="5"/>
        <v>1.1152559140861458</v>
      </c>
      <c r="AJ27" s="3">
        <f t="shared" si="5"/>
        <v>0.83644193556460955</v>
      </c>
      <c r="AK27" s="3">
        <f t="shared" si="5"/>
        <v>0.55762795704307289</v>
      </c>
      <c r="AL27" s="3">
        <f t="shared" si="5"/>
        <v>0.27881397852153644</v>
      </c>
      <c r="AM27" s="3"/>
      <c r="AN27" s="3">
        <v>23</v>
      </c>
      <c r="AO27" s="3">
        <f>[1]节奏总纲!BA26</f>
        <v>28.705435004691331</v>
      </c>
      <c r="AP27" s="3">
        <f>[1]节奏总纲!BB26</f>
        <v>30.079877315295377</v>
      </c>
      <c r="AQ27" s="3">
        <f>[1]节奏总纲!BC26</f>
        <v>31.848636073084339</v>
      </c>
      <c r="AR27" s="3">
        <f>[1]节奏总纲!BD26</f>
        <v>34.360958982105608</v>
      </c>
      <c r="AS27" s="3">
        <f>[1]节奏总纲!BE26</f>
        <v>38.976971320055128</v>
      </c>
      <c r="AW27" s="3">
        <v>23</v>
      </c>
      <c r="AX27" s="3">
        <f>[1]节奏总纲!BQ26</f>
        <v>32.979382606869549</v>
      </c>
      <c r="AY27" s="3">
        <f>[1]节奏总纲!BR26</f>
        <v>31.845462834406923</v>
      </c>
      <c r="AZ27" s="3">
        <f>[1]节奏总纲!BS26</f>
        <v>30.615521552489891</v>
      </c>
      <c r="BA27" s="3">
        <f>[1]节奏总纲!BT26</f>
        <v>29.279653557700659</v>
      </c>
      <c r="BB27" s="3">
        <f>[1]节奏总纲!BU26</f>
        <v>27.953695907743711</v>
      </c>
      <c r="BG27" s="5">
        <v>23</v>
      </c>
      <c r="BH27" s="5">
        <f>'[1]功能-城建'!$E28</f>
        <v>6</v>
      </c>
      <c r="BL27" s="3">
        <v>23</v>
      </c>
      <c r="BM27" s="3">
        <f>[1]节奏总纲!BX26</f>
        <v>18.349419791058079</v>
      </c>
      <c r="BN27" s="3">
        <f>[1]节奏总纲!BY26</f>
        <v>18.812694466249869</v>
      </c>
      <c r="BO27" s="3">
        <f>[1]节奏总纲!BZ26</f>
        <v>19.32971877176227</v>
      </c>
      <c r="BP27" s="3">
        <f>[1]节奏总纲!CA26</f>
        <v>19.940393983271228</v>
      </c>
      <c r="BQ27" s="3">
        <f>[1]节奏总纲!CB26</f>
        <v>20.55086831448148</v>
      </c>
    </row>
    <row r="28" spans="3:69">
      <c r="C28" s="3">
        <v>24</v>
      </c>
      <c r="D28" s="3">
        <f>[1]节奏总纲!P27</f>
        <v>4.2780316430915768</v>
      </c>
      <c r="E28" s="3">
        <f>[1]节奏总纲!Q27</f>
        <v>3.7214597263253628</v>
      </c>
      <c r="F28" s="3">
        <f>[1]节奏总纲!R27</f>
        <v>3.0699155070825155</v>
      </c>
      <c r="G28" s="3">
        <f>[1]节奏总纲!S27</f>
        <v>2.2742016214674821</v>
      </c>
      <c r="H28" s="3">
        <f>[1]节奏总纲!T27</f>
        <v>1.2692919885052709</v>
      </c>
      <c r="J28" s="3">
        <v>24</v>
      </c>
      <c r="K28" s="3">
        <f t="shared" si="4"/>
        <v>0.35345398971191244</v>
      </c>
      <c r="L28" s="3">
        <f t="shared" si="4"/>
        <v>0.31335649213046235</v>
      </c>
      <c r="M28" s="3">
        <f t="shared" si="4"/>
        <v>0.26345002715071786</v>
      </c>
      <c r="N28" s="3">
        <f t="shared" si="4"/>
        <v>0.19456792294159797</v>
      </c>
      <c r="O28" s="3">
        <f t="shared" si="4"/>
        <v>0.10840191863556625</v>
      </c>
      <c r="Q28" s="3">
        <v>24</v>
      </c>
      <c r="R28" s="3">
        <f>[1]节奏总纲!AD27</f>
        <v>46.430041330048923</v>
      </c>
      <c r="S28" s="3">
        <f>[1]节奏总纲!AE27</f>
        <v>48.330142263709867</v>
      </c>
      <c r="T28" s="3">
        <f>[1]节奏总纲!AF27</f>
        <v>51.118578408701396</v>
      </c>
      <c r="U28" s="3">
        <f>[1]节奏总纲!AG27</f>
        <v>55.44072585486321</v>
      </c>
      <c r="V28" s="3">
        <f>[1]节奏总纲!AH27</f>
        <v>63.791742872142052</v>
      </c>
      <c r="Z28" s="3">
        <v>24</v>
      </c>
      <c r="AA28" s="3">
        <f>[1]节奏总纲!AM27</f>
        <v>10.47447102993563</v>
      </c>
      <c r="AB28" s="3">
        <f>[1]节奏总纲!AN27</f>
        <v>8.3795768239485042</v>
      </c>
      <c r="AC28" s="3">
        <f>[1]节奏总纲!AO27</f>
        <v>6.2846826179613782</v>
      </c>
      <c r="AD28" s="3">
        <f>[1]节奏总纲!AP27</f>
        <v>4.1897884119742521</v>
      </c>
      <c r="AE28" s="3">
        <f>[1]节奏总纲!AQ27</f>
        <v>2.0948942059871261</v>
      </c>
      <c r="AG28" s="3">
        <v>24</v>
      </c>
      <c r="AH28" s="3">
        <f t="shared" si="5"/>
        <v>1.6389143055524151</v>
      </c>
      <c r="AI28" s="3">
        <f t="shared" si="5"/>
        <v>1.3111314444419317</v>
      </c>
      <c r="AJ28" s="3">
        <f t="shared" si="5"/>
        <v>0.98334858333144926</v>
      </c>
      <c r="AK28" s="3">
        <f t="shared" si="5"/>
        <v>0.65556572222096587</v>
      </c>
      <c r="AL28" s="3">
        <f t="shared" si="5"/>
        <v>0.32778286111048294</v>
      </c>
      <c r="AM28" s="3"/>
      <c r="AN28" s="3">
        <v>24</v>
      </c>
      <c r="AO28" s="3">
        <f>[1]节奏总纲!BA27</f>
        <v>28.979524459106884</v>
      </c>
      <c r="AP28" s="3">
        <f>[1]节奏总纲!BB27</f>
        <v>30.329493925593439</v>
      </c>
      <c r="AQ28" s="3">
        <f>[1]节奏总纲!BC27</f>
        <v>32.113552950216736</v>
      </c>
      <c r="AR28" s="3">
        <f>[1]节奏总纲!BD27</f>
        <v>34.627226072894942</v>
      </c>
      <c r="AS28" s="3">
        <f>[1]节奏总纲!BE27</f>
        <v>39.250296194358178</v>
      </c>
      <c r="AW28" s="3">
        <v>24</v>
      </c>
      <c r="AX28" s="3">
        <f>[1]节奏总纲!BQ27</f>
        <v>35.197977552877902</v>
      </c>
      <c r="AY28" s="3">
        <f>[1]节奏总纲!BR27</f>
        <v>34.072116335246974</v>
      </c>
      <c r="AZ28" s="3">
        <f>[1]节奏总纲!BS27</f>
        <v>32.816661243819851</v>
      </c>
      <c r="BA28" s="3">
        <f>[1]节奏总纲!BT27</f>
        <v>31.412793977181359</v>
      </c>
      <c r="BB28" s="3">
        <f>[1]节奏总纲!BU27</f>
        <v>29.964600225621755</v>
      </c>
      <c r="BG28" s="5">
        <v>24</v>
      </c>
      <c r="BH28" s="5">
        <f>'[1]功能-城建'!$E29</f>
        <v>7</v>
      </c>
      <c r="BL28" s="3">
        <v>24</v>
      </c>
      <c r="BM28" s="3">
        <f>[1]节奏总纲!BX27</f>
        <v>18.837411459307198</v>
      </c>
      <c r="BN28" s="3">
        <f>[1]节奏总纲!BY27</f>
        <v>19.299728534552713</v>
      </c>
      <c r="BO28" s="3">
        <f>[1]节奏总纲!BZ27</f>
        <v>19.843744575465458</v>
      </c>
      <c r="BP28" s="3">
        <f>[1]节奏总纲!CA27</f>
        <v>20.432690473143754</v>
      </c>
      <c r="BQ28" s="3">
        <f>[1]节奏总纲!CB27</f>
        <v>21.075914438033141</v>
      </c>
    </row>
    <row r="29" spans="3:69">
      <c r="C29" s="3">
        <v>25</v>
      </c>
      <c r="D29" s="3">
        <f>[1]节奏总纲!P28</f>
        <v>4.6568542494923806</v>
      </c>
      <c r="E29" s="3">
        <f>[1]节奏总纲!Q28</f>
        <v>4.054257309608067</v>
      </c>
      <c r="F29" s="3">
        <f>[1]节奏总纲!R28</f>
        <v>3.3445527219854276</v>
      </c>
      <c r="G29" s="3">
        <f>[1]节奏总纲!S28</f>
        <v>2.478377831579845</v>
      </c>
      <c r="H29" s="3">
        <f>[1]节奏总纲!T28</f>
        <v>1.3802915995495415</v>
      </c>
      <c r="J29" s="3">
        <v>25</v>
      </c>
      <c r="K29" s="3">
        <f t="shared" si="4"/>
        <v>0.37882260640080379</v>
      </c>
      <c r="L29" s="3">
        <f t="shared" si="4"/>
        <v>0.33279758328270415</v>
      </c>
      <c r="M29" s="3">
        <f t="shared" si="4"/>
        <v>0.27463721490291215</v>
      </c>
      <c r="N29" s="3">
        <f t="shared" si="4"/>
        <v>0.20417621011236298</v>
      </c>
      <c r="O29" s="3">
        <f t="shared" si="4"/>
        <v>0.11099961104427059</v>
      </c>
      <c r="Q29" s="3">
        <v>25</v>
      </c>
      <c r="R29" s="3">
        <f>[1]节奏总纲!AD28</f>
        <v>47.004247194324648</v>
      </c>
      <c r="S29" s="3">
        <f>[1]节奏总纲!AE28</f>
        <v>48.904516930942819</v>
      </c>
      <c r="T29" s="3">
        <f>[1]节奏总纲!AF28</f>
        <v>51.667220029142385</v>
      </c>
      <c r="U29" s="3">
        <f>[1]节奏总纲!AG28</f>
        <v>56.05100027504308</v>
      </c>
      <c r="V29" s="3">
        <f>[1]节奏总纲!AH28</f>
        <v>64.398425477456215</v>
      </c>
      <c r="Z29" s="3">
        <v>25</v>
      </c>
      <c r="AA29" s="3">
        <f>[1]节奏总纲!AM28</f>
        <v>12.4</v>
      </c>
      <c r="AB29" s="3">
        <f>[1]节奏总纲!AN28</f>
        <v>9.9200000000000017</v>
      </c>
      <c r="AC29" s="3">
        <f>[1]节奏总纲!AO28</f>
        <v>7.4399999999999995</v>
      </c>
      <c r="AD29" s="3">
        <f>[1]节奏总纲!AP28</f>
        <v>4.9600000000000009</v>
      </c>
      <c r="AE29" s="3">
        <f>[1]节奏总纲!AQ28</f>
        <v>2.4800000000000004</v>
      </c>
      <c r="AG29" s="3">
        <v>25</v>
      </c>
      <c r="AH29" s="3">
        <f t="shared" si="5"/>
        <v>1.9255289700643701</v>
      </c>
      <c r="AI29" s="3">
        <f t="shared" si="5"/>
        <v>1.5404231760514975</v>
      </c>
      <c r="AJ29" s="3">
        <f t="shared" si="5"/>
        <v>1.1553173820386213</v>
      </c>
      <c r="AK29" s="3">
        <f t="shared" si="5"/>
        <v>0.77021158802574874</v>
      </c>
      <c r="AL29" s="3">
        <f t="shared" si="5"/>
        <v>0.38510579401287437</v>
      </c>
      <c r="AM29" s="3"/>
      <c r="AN29" s="3">
        <v>25</v>
      </c>
      <c r="AO29" s="3">
        <f>[1]节奏总纲!BA28</f>
        <v>29.216428548527322</v>
      </c>
      <c r="AP29" s="3">
        <f>[1]节奏总纲!BB28</f>
        <v>30.579110535891502</v>
      </c>
      <c r="AQ29" s="3">
        <f>[1]节奏总纲!BC28</f>
        <v>32.356435933516131</v>
      </c>
      <c r="AR29" s="3">
        <f>[1]节奏总纲!BD28</f>
        <v>34.893493163684269</v>
      </c>
      <c r="AS29" s="3">
        <f>[1]节奏总纲!BE28</f>
        <v>39.520459727922798</v>
      </c>
      <c r="AW29" s="3">
        <v>25</v>
      </c>
      <c r="AX29" s="3">
        <f>[1]节奏总纲!BQ28</f>
        <v>37.433077144085807</v>
      </c>
      <c r="AY29" s="3">
        <f>[1]节奏总纲!BR28</f>
        <v>36.256047084538473</v>
      </c>
      <c r="AZ29" s="3">
        <f>[1]节奏总纲!BS28</f>
        <v>34.973799799710449</v>
      </c>
      <c r="BA29" s="3">
        <f>[1]节奏总纲!BT28</f>
        <v>33.570278782515963</v>
      </c>
      <c r="BB29" s="3">
        <f>[1]节奏总纲!BU28</f>
        <v>32.075561469230017</v>
      </c>
      <c r="BG29" s="5">
        <v>25</v>
      </c>
      <c r="BH29" s="5">
        <f>'[1]功能-城建'!$E30</f>
        <v>7</v>
      </c>
      <c r="BL29" s="3">
        <v>25</v>
      </c>
      <c r="BM29" s="3">
        <f>[1]节奏总纲!BX28</f>
        <v>19.305616573096692</v>
      </c>
      <c r="BN29" s="3">
        <f>[1]节奏总纲!BY28</f>
        <v>19.786727569248686</v>
      </c>
      <c r="BO29" s="3">
        <f>[1]节奏总纲!BZ28</f>
        <v>20.32215968530463</v>
      </c>
      <c r="BP29" s="3">
        <f>[1]节奏总纲!CA28</f>
        <v>20.939833289691578</v>
      </c>
      <c r="BQ29" s="3">
        <f>[1]节奏总纲!CB28</f>
        <v>21.544273429748305</v>
      </c>
    </row>
    <row r="30" spans="3:69">
      <c r="C30" s="3">
        <v>26</v>
      </c>
      <c r="D30" s="3">
        <f>[1]节奏总纲!P29</f>
        <v>5.062866266041592</v>
      </c>
      <c r="E30" s="3">
        <f>[1]节奏总纲!Q29</f>
        <v>4.408743944469018</v>
      </c>
      <c r="F30" s="3">
        <f>[1]节奏总纲!R29</f>
        <v>3.63716312552428</v>
      </c>
      <c r="G30" s="3">
        <f>[1]节奏总纲!S29</f>
        <v>2.6914197070277099</v>
      </c>
      <c r="H30" s="3">
        <f>[1]节奏总纲!T29</f>
        <v>1.4996209880015197</v>
      </c>
      <c r="J30" s="3">
        <v>26</v>
      </c>
      <c r="K30" s="3">
        <f t="shared" si="4"/>
        <v>0.40601201654921137</v>
      </c>
      <c r="L30" s="3">
        <f t="shared" si="4"/>
        <v>0.354486634860951</v>
      </c>
      <c r="M30" s="3">
        <f t="shared" si="4"/>
        <v>0.29261040353885237</v>
      </c>
      <c r="N30" s="3">
        <f t="shared" si="4"/>
        <v>0.2130418754478649</v>
      </c>
      <c r="O30" s="3">
        <f t="shared" si="4"/>
        <v>0.11932938845197816</v>
      </c>
      <c r="Q30" s="3">
        <v>26</v>
      </c>
      <c r="R30" s="3">
        <f>[1]节奏总纲!AD29</f>
        <v>47.540284631526092</v>
      </c>
      <c r="S30" s="3">
        <f>[1]节奏总纲!AE29</f>
        <v>49.446133440059114</v>
      </c>
      <c r="T30" s="3">
        <f>[1]节奏总纲!AF29</f>
        <v>52.199341027338768</v>
      </c>
      <c r="U30" s="3">
        <f>[1]节奏总纲!AG29</f>
        <v>56.621068614050692</v>
      </c>
      <c r="V30" s="3">
        <f>[1]节奏总纲!AH29</f>
        <v>65.00344105132713</v>
      </c>
      <c r="Z30" s="3">
        <v>26</v>
      </c>
      <c r="AA30" s="3">
        <f>[1]节奏总纲!AM29</f>
        <v>14.6609224175611</v>
      </c>
      <c r="AB30" s="3">
        <f>[1]节奏总纲!AN29</f>
        <v>11.72873793404888</v>
      </c>
      <c r="AC30" s="3">
        <f>[1]节奏总纲!AO29</f>
        <v>8.7965534505366598</v>
      </c>
      <c r="AD30" s="3">
        <f>[1]节奏总纲!AP29</f>
        <v>5.8643689670244399</v>
      </c>
      <c r="AE30" s="3">
        <f>[1]节奏总纲!AQ29</f>
        <v>2.9321844835122199</v>
      </c>
      <c r="AG30" s="3">
        <v>26</v>
      </c>
      <c r="AH30" s="3">
        <f t="shared" si="5"/>
        <v>2.2609224175610994</v>
      </c>
      <c r="AI30" s="3">
        <f t="shared" si="5"/>
        <v>1.8087379340488781</v>
      </c>
      <c r="AJ30" s="3">
        <f t="shared" si="5"/>
        <v>1.3565534505366603</v>
      </c>
      <c r="AK30" s="3">
        <f t="shared" si="5"/>
        <v>0.90436896702443903</v>
      </c>
      <c r="AL30" s="3">
        <f t="shared" si="5"/>
        <v>0.45218448351221951</v>
      </c>
      <c r="AM30" s="3"/>
      <c r="AN30" s="3">
        <v>26</v>
      </c>
      <c r="AO30" s="3">
        <f>[1]节奏总纲!BA29</f>
        <v>29.45033047434006</v>
      </c>
      <c r="AP30" s="3">
        <f>[1]节奏总纲!BB29</f>
        <v>30.828727146189561</v>
      </c>
      <c r="AQ30" s="3">
        <f>[1]节奏总纲!BC29</f>
        <v>32.59931891681552</v>
      </c>
      <c r="AR30" s="3">
        <f>[1]节奏总纲!BD29</f>
        <v>35.146386283795508</v>
      </c>
      <c r="AS30" s="3">
        <f>[1]节奏总纲!BE29</f>
        <v>39.790623261487418</v>
      </c>
      <c r="AW30" s="3">
        <v>26</v>
      </c>
      <c r="AX30" s="3">
        <f>[1]节奏总纲!BQ29</f>
        <v>39.683540456879165</v>
      </c>
      <c r="AY30" s="3">
        <f>[1]节奏总纲!BR29</f>
        <v>38.510750823022413</v>
      </c>
      <c r="AZ30" s="3">
        <f>[1]节奏总纲!BS29</f>
        <v>37.198506294230036</v>
      </c>
      <c r="BA30" s="3">
        <f>[1]节奏总纲!BT29</f>
        <v>35.753927091474367</v>
      </c>
      <c r="BB30" s="3">
        <f>[1]节奏总纲!BU29</f>
        <v>34.222396456091865</v>
      </c>
      <c r="BG30" s="5">
        <v>26</v>
      </c>
      <c r="BH30" s="5">
        <f>'[1]功能-城建'!$E31</f>
        <v>8</v>
      </c>
      <c r="BL30" s="3">
        <v>26</v>
      </c>
      <c r="BM30" s="3">
        <f>[1]节奏总纲!BX29</f>
        <v>19.780926419241737</v>
      </c>
      <c r="BN30" s="3">
        <f>[1]节奏总纲!BY29</f>
        <v>20.259244188823619</v>
      </c>
      <c r="BO30" s="3">
        <f>[1]节奏总纲!BZ29</f>
        <v>20.806693001307259</v>
      </c>
      <c r="BP30" s="3">
        <f>[1]节奏总纲!CA29</f>
        <v>21.398356957135043</v>
      </c>
      <c r="BQ30" s="3">
        <f>[1]节奏总纲!CB29</f>
        <v>22.040613536331495</v>
      </c>
    </row>
    <row r="31" spans="3:69">
      <c r="C31" s="3">
        <v>27</v>
      </c>
      <c r="D31" s="3">
        <f>[1]节奏总纲!P30</f>
        <v>5.4980191708498847</v>
      </c>
      <c r="E31" s="3">
        <f>[1]节奏总纲!Q30</f>
        <v>4.7882248958931646</v>
      </c>
      <c r="F31" s="3">
        <f>[1]节奏总纲!R30</f>
        <v>3.9492271704214725</v>
      </c>
      <c r="G31" s="3">
        <f>[1]节奏总纲!S30</f>
        <v>2.9205477835554587</v>
      </c>
      <c r="H31" s="3">
        <f>[1]节奏总纲!T30</f>
        <v>1.6290630803228208</v>
      </c>
      <c r="J31" s="3">
        <v>27</v>
      </c>
      <c r="K31" s="3">
        <f t="shared" si="4"/>
        <v>0.43515290480829272</v>
      </c>
      <c r="L31" s="3">
        <f t="shared" si="4"/>
        <v>0.37948095142414662</v>
      </c>
      <c r="M31" s="3">
        <f t="shared" si="4"/>
        <v>0.31206404489719253</v>
      </c>
      <c r="N31" s="3">
        <f t="shared" si="4"/>
        <v>0.2291280765277488</v>
      </c>
      <c r="O31" s="3">
        <f t="shared" si="4"/>
        <v>0.12944209232130111</v>
      </c>
      <c r="Q31" s="3">
        <v>27</v>
      </c>
      <c r="R31" s="3">
        <f>[1]节奏总纲!AD30</f>
        <v>48.071211008105138</v>
      </c>
      <c r="S31" s="3">
        <f>[1]节奏总纲!AE30</f>
        <v>49.981218513907905</v>
      </c>
      <c r="T31" s="3">
        <f>[1]节奏总纲!AF30</f>
        <v>52.705993248660157</v>
      </c>
      <c r="U31" s="3">
        <f>[1]节奏总纲!AG30</f>
        <v>57.175765669822162</v>
      </c>
      <c r="V31" s="3">
        <f>[1]节奏总纲!AH30</f>
        <v>65.541743280100334</v>
      </c>
      <c r="Z31" s="3">
        <v>27</v>
      </c>
      <c r="AA31" s="3">
        <f>[1]节奏总纲!AM30</f>
        <v>17.314186320787698</v>
      </c>
      <c r="AB31" s="3">
        <f>[1]节奏总纲!AN30</f>
        <v>13.851349056630159</v>
      </c>
      <c r="AC31" s="3">
        <f>[1]节奏总纲!AO30</f>
        <v>10.388511792472618</v>
      </c>
      <c r="AD31" s="3">
        <f>[1]节奏总纲!AP30</f>
        <v>6.9256745283150796</v>
      </c>
      <c r="AE31" s="3">
        <f>[1]节奏总纲!AQ30</f>
        <v>3.4628372641575398</v>
      </c>
      <c r="AG31" s="3">
        <v>27</v>
      </c>
      <c r="AH31" s="3">
        <f t="shared" si="5"/>
        <v>2.6532639032265983</v>
      </c>
      <c r="AI31" s="3">
        <f t="shared" si="5"/>
        <v>2.1226111225812794</v>
      </c>
      <c r="AJ31" s="3">
        <f t="shared" si="5"/>
        <v>1.5919583419359586</v>
      </c>
      <c r="AK31" s="3">
        <f t="shared" si="5"/>
        <v>1.0613055612906397</v>
      </c>
      <c r="AL31" s="3">
        <f t="shared" si="5"/>
        <v>0.53065278064531984</v>
      </c>
      <c r="AM31" s="3"/>
      <c r="AN31" s="3">
        <v>27</v>
      </c>
      <c r="AO31" s="3">
        <f>[1]节奏总纲!BA30</f>
        <v>29.684232400152801</v>
      </c>
      <c r="AP31" s="3">
        <f>[1]节奏总纲!BB30</f>
        <v>31.066913270913183</v>
      </c>
      <c r="AQ31" s="3">
        <f>[1]节奏总纲!BC30</f>
        <v>32.842201900114915</v>
      </c>
      <c r="AR31" s="3">
        <f>[1]节奏总纲!BD30</f>
        <v>35.390363423454687</v>
      </c>
      <c r="AS31" s="3">
        <f>[1]节奏总纲!BE30</f>
        <v>40.052446592012309</v>
      </c>
      <c r="AW31" s="3">
        <v>27</v>
      </c>
      <c r="AX31" s="3">
        <f>[1]节奏总纲!BQ30</f>
        <v>41.947199016886806</v>
      </c>
      <c r="AY31" s="3">
        <f>[1]节奏总纲!BR30</f>
        <v>40.787439392565133</v>
      </c>
      <c r="AZ31" s="3">
        <f>[1]节奏总纲!BS30</f>
        <v>39.486304880774611</v>
      </c>
      <c r="BA31" s="3">
        <f>[1]节奏总纲!BT30</f>
        <v>38.056251761612167</v>
      </c>
      <c r="BB31" s="3">
        <f>[1]节奏总纲!BU30</f>
        <v>36.474789469426575</v>
      </c>
      <c r="BG31" s="5">
        <v>27</v>
      </c>
      <c r="BH31" s="5">
        <f>'[1]功能-城建'!$E32</f>
        <v>8</v>
      </c>
      <c r="BL31" s="3">
        <v>27</v>
      </c>
      <c r="BM31" s="3">
        <f>[1]节奏总纲!BX30</f>
        <v>20.246416839245761</v>
      </c>
      <c r="BN31" s="3">
        <f>[1]节奏总纲!BY30</f>
        <v>20.730530825071739</v>
      </c>
      <c r="BO31" s="3">
        <f>[1]节奏总纲!BZ30</f>
        <v>21.274723266233853</v>
      </c>
      <c r="BP31" s="3">
        <f>[1]节奏总纲!CA30</f>
        <v>21.881755925323187</v>
      </c>
      <c r="BQ31" s="3">
        <f>[1]节奏总纲!CB30</f>
        <v>22.50487323022379</v>
      </c>
    </row>
    <row r="32" spans="3:69">
      <c r="C32" s="3">
        <v>28</v>
      </c>
      <c r="D32" s="3">
        <f>[1]节奏总纲!P31</f>
        <v>5.9644045063689921</v>
      </c>
      <c r="E32" s="3">
        <f>[1]节奏总纲!Q31</f>
        <v>5.1914176823435705</v>
      </c>
      <c r="F32" s="3">
        <f>[1]节奏总纲!R31</f>
        <v>4.2752851501652938</v>
      </c>
      <c r="G32" s="3">
        <f>[1]节奏总纲!S31</f>
        <v>3.1653094715300236</v>
      </c>
      <c r="H32" s="3">
        <f>[1]节奏总纲!T31</f>
        <v>1.7738139001941382</v>
      </c>
      <c r="J32" s="3">
        <v>28</v>
      </c>
      <c r="K32" s="3">
        <f t="shared" si="4"/>
        <v>0.46638533551910744</v>
      </c>
      <c r="L32" s="3">
        <f t="shared" si="4"/>
        <v>0.4031927864504059</v>
      </c>
      <c r="M32" s="3">
        <f t="shared" si="4"/>
        <v>0.32605797974382122</v>
      </c>
      <c r="N32" s="3">
        <f t="shared" si="4"/>
        <v>0.24476168797456488</v>
      </c>
      <c r="O32" s="3">
        <f t="shared" si="4"/>
        <v>0.14475081987131744</v>
      </c>
      <c r="Q32" s="3">
        <v>28</v>
      </c>
      <c r="R32" s="3">
        <f>[1]节奏总纲!AD31</f>
        <v>48.571351621712928</v>
      </c>
      <c r="S32" s="3">
        <f>[1]节奏总纲!AE31</f>
        <v>50.509688493127967</v>
      </c>
      <c r="T32" s="3">
        <f>[1]节奏总纲!AF31</f>
        <v>53.212684955585161</v>
      </c>
      <c r="U32" s="3">
        <f>[1]节奏总纲!AG31</f>
        <v>57.699988965458331</v>
      </c>
      <c r="V32" s="3">
        <f>[1]节奏总纲!AH31</f>
        <v>66.076345334947405</v>
      </c>
      <c r="Z32" s="3">
        <v>28</v>
      </c>
      <c r="AA32" s="3">
        <f>[1]节奏总纲!AM31</f>
        <v>20.42625995518307</v>
      </c>
      <c r="AB32" s="3">
        <f>[1]节奏总纲!AN31</f>
        <v>16.341007964146456</v>
      </c>
      <c r="AC32" s="3">
        <f>[1]节奏总纲!AO31</f>
        <v>12.255755973109842</v>
      </c>
      <c r="AD32" s="3">
        <f>[1]节奏总纲!AP31</f>
        <v>8.1705039820732281</v>
      </c>
      <c r="AE32" s="3">
        <f>[1]节奏总纲!AQ31</f>
        <v>4.0852519910366141</v>
      </c>
      <c r="AG32" s="3">
        <v>28</v>
      </c>
      <c r="AH32" s="3">
        <f t="shared" si="5"/>
        <v>3.1120736343953723</v>
      </c>
      <c r="AI32" s="3">
        <f t="shared" si="5"/>
        <v>2.4896589075162971</v>
      </c>
      <c r="AJ32" s="3">
        <f t="shared" si="5"/>
        <v>1.8672441806372237</v>
      </c>
      <c r="AK32" s="3">
        <f t="shared" si="5"/>
        <v>1.2448294537581486</v>
      </c>
      <c r="AL32" s="3">
        <f t="shared" si="5"/>
        <v>0.62241472687907429</v>
      </c>
      <c r="AM32" s="3"/>
      <c r="AN32" s="3">
        <v>28</v>
      </c>
      <c r="AO32" s="3">
        <f>[1]节奏总纲!BA31</f>
        <v>29.918134325965539</v>
      </c>
      <c r="AP32" s="3">
        <f>[1]节奏总纲!BB31</f>
        <v>31.280110398778046</v>
      </c>
      <c r="AQ32" s="3">
        <f>[1]节奏总纲!BC31</f>
        <v>33.072726100175295</v>
      </c>
      <c r="AR32" s="3">
        <f>[1]节奏总纲!BD31</f>
        <v>35.634340563113874</v>
      </c>
      <c r="AS32" s="3">
        <f>[1]节奏总纲!BE31</f>
        <v>40.28554255651148</v>
      </c>
      <c r="AW32" s="3">
        <v>28</v>
      </c>
      <c r="AX32" s="3">
        <f>[1]节奏总纲!BQ31</f>
        <v>44.207309026381338</v>
      </c>
      <c r="AY32" s="3">
        <f>[1]节奏总纲!BR31</f>
        <v>43.001962251090099</v>
      </c>
      <c r="AZ32" s="3">
        <f>[1]节奏总纲!BS31</f>
        <v>41.684581461949612</v>
      </c>
      <c r="BA32" s="3">
        <f>[1]节奏总纲!BT31</f>
        <v>40.269613788949812</v>
      </c>
      <c r="BB32" s="3">
        <f>[1]节奏总纲!BU31</f>
        <v>38.716188571600512</v>
      </c>
      <c r="BG32" s="5">
        <v>28</v>
      </c>
      <c r="BH32" s="5">
        <f>'[1]功能-城建'!$E33</f>
        <v>9</v>
      </c>
      <c r="BL32" s="3">
        <v>28</v>
      </c>
      <c r="BM32" s="3">
        <f>[1]节奏总纲!BX31</f>
        <v>20.709789085251497</v>
      </c>
      <c r="BN32" s="3">
        <f>[1]节奏总纲!BY31</f>
        <v>21.196432625118295</v>
      </c>
      <c r="BO32" s="3">
        <f>[1]节奏总纲!BZ31</f>
        <v>21.73332002826092</v>
      </c>
      <c r="BP32" s="3">
        <f>[1]节奏总纲!CA31</f>
        <v>22.338424098785335</v>
      </c>
      <c r="BQ32" s="3">
        <f>[1]节奏总纲!CB31</f>
        <v>23.020448156730307</v>
      </c>
    </row>
    <row r="33" spans="3:69">
      <c r="C33" s="3">
        <v>29</v>
      </c>
      <c r="D33" s="3">
        <f>[1]节奏总纲!P32</f>
        <v>6.4642639322944575</v>
      </c>
      <c r="E33" s="3">
        <f>[1]节奏总纲!Q32</f>
        <v>5.6323131642081607</v>
      </c>
      <c r="F33" s="3">
        <f>[1]节奏总纲!R32</f>
        <v>4.6510378992858623</v>
      </c>
      <c r="G33" s="3">
        <f>[1]节奏总纲!S32</f>
        <v>3.4532097926316991</v>
      </c>
      <c r="H33" s="3">
        <f>[1]节奏总纲!T32</f>
        <v>1.9366934741154194</v>
      </c>
      <c r="J33" s="3">
        <v>29</v>
      </c>
      <c r="K33" s="3">
        <f t="shared" si="4"/>
        <v>0.49985942592546539</v>
      </c>
      <c r="L33" s="3">
        <f t="shared" si="4"/>
        <v>0.44089548186459027</v>
      </c>
      <c r="M33" s="3">
        <f t="shared" si="4"/>
        <v>0.37575274912056855</v>
      </c>
      <c r="N33" s="3">
        <f t="shared" si="4"/>
        <v>0.28790032110167552</v>
      </c>
      <c r="O33" s="3">
        <f t="shared" si="4"/>
        <v>0.16287957392128116</v>
      </c>
      <c r="Q33" s="3">
        <v>29</v>
      </c>
      <c r="R33" s="3">
        <f>[1]节奏总纲!AD32</f>
        <v>49.066704614192936</v>
      </c>
      <c r="S33" s="3">
        <f>[1]节奏总纲!AE32</f>
        <v>51.033341828534468</v>
      </c>
      <c r="T33" s="3">
        <f>[1]节奏总纲!AF32</f>
        <v>53.719431255885922</v>
      </c>
      <c r="U33" s="3">
        <f>[1]节奏总纲!AG32</f>
        <v>58.210135614815364</v>
      </c>
      <c r="V33" s="3">
        <f>[1]节奏总纲!AH32</f>
        <v>66.589764070576265</v>
      </c>
      <c r="Z33" s="3">
        <v>29</v>
      </c>
      <c r="AA33" s="3">
        <f>[1]节奏总纲!AM32</f>
        <v>24.074703862418847</v>
      </c>
      <c r="AB33" s="3">
        <f>[1]节奏总纲!AN32</f>
        <v>19.259763089935078</v>
      </c>
      <c r="AC33" s="3">
        <f>[1]节奏总纲!AO32</f>
        <v>14.444822317451308</v>
      </c>
      <c r="AD33" s="3">
        <f>[1]节奏总纲!AP32</f>
        <v>9.6298815449675388</v>
      </c>
      <c r="AE33" s="3">
        <f>[1]节奏总纲!AQ32</f>
        <v>4.8149407724837694</v>
      </c>
      <c r="AG33" s="3">
        <v>29</v>
      </c>
      <c r="AH33" s="3">
        <f t="shared" si="5"/>
        <v>3.6484439072357766</v>
      </c>
      <c r="AI33" s="3">
        <f t="shared" si="5"/>
        <v>2.9187551257886213</v>
      </c>
      <c r="AJ33" s="3">
        <f t="shared" si="5"/>
        <v>2.189066344341466</v>
      </c>
      <c r="AK33" s="3">
        <f t="shared" si="5"/>
        <v>1.4593775628943106</v>
      </c>
      <c r="AL33" s="3">
        <f t="shared" si="5"/>
        <v>0.72968878144715532</v>
      </c>
      <c r="AM33" s="3"/>
      <c r="AN33" s="3">
        <v>29</v>
      </c>
      <c r="AO33" s="3">
        <f>[1]节奏总纲!BA32</f>
        <v>30.12980063735499</v>
      </c>
      <c r="AP33" s="3">
        <f>[1]节奏总纲!BB32</f>
        <v>31.493307526642905</v>
      </c>
      <c r="AQ33" s="3">
        <f>[1]节奏总纲!BC32</f>
        <v>33.280329748032408</v>
      </c>
      <c r="AR33" s="3">
        <f>[1]节奏总纲!BD32</f>
        <v>35.878317702773053</v>
      </c>
      <c r="AS33" s="3">
        <f>[1]节奏总纲!BE32</f>
        <v>40.518638521010644</v>
      </c>
      <c r="AW33" s="3">
        <v>29</v>
      </c>
      <c r="AX33" s="3">
        <f>[1]节奏总纲!BQ32</f>
        <v>46.472959498348729</v>
      </c>
      <c r="AY33" s="3">
        <f>[1]节奏总纲!BR32</f>
        <v>45.255017621525596</v>
      </c>
      <c r="AZ33" s="3">
        <f>[1]节奏总纲!BS32</f>
        <v>43.924726999026539</v>
      </c>
      <c r="BA33" s="3">
        <f>[1]节奏总纲!BT32</f>
        <v>42.440671676816109</v>
      </c>
      <c r="BB33" s="3">
        <f>[1]节奏总纲!BU32</f>
        <v>40.873232138623273</v>
      </c>
      <c r="BG33" s="5">
        <v>29</v>
      </c>
      <c r="BH33" s="5">
        <f>'[1]功能-城建'!$E34</f>
        <v>9</v>
      </c>
      <c r="BL33" s="3">
        <v>29</v>
      </c>
      <c r="BM33" s="3">
        <f>[1]节奏总纲!BX32</f>
        <v>21.175328404170024</v>
      </c>
      <c r="BN33" s="3">
        <f>[1]节奏总纲!BY32</f>
        <v>21.66151840648989</v>
      </c>
      <c r="BO33" s="3">
        <f>[1]节奏总纲!BZ32</f>
        <v>22.222544796364009</v>
      </c>
      <c r="BP33" s="3">
        <f>[1]节奏总纲!CA32</f>
        <v>22.854718731192797</v>
      </c>
      <c r="BQ33" s="3">
        <f>[1]节奏总纲!CB32</f>
        <v>23.517361184365331</v>
      </c>
    </row>
    <row r="34" spans="3:69">
      <c r="C34" s="3">
        <v>30</v>
      </c>
      <c r="D34" s="3">
        <f>[1]节奏总纲!P33</f>
        <v>7</v>
      </c>
      <c r="E34" s="3">
        <f>[1]节奏总纲!Q33</f>
        <v>6.1025999999999998</v>
      </c>
      <c r="F34" s="3">
        <f>[1]节奏总纲!R33</f>
        <v>5.0421000000000005</v>
      </c>
      <c r="G34" s="3">
        <f>[1]节奏总纲!S33</f>
        <v>3.7428999999999997</v>
      </c>
      <c r="H34" s="3">
        <f>[1]节奏总纲!T33</f>
        <v>2.1006999999999998</v>
      </c>
      <c r="J34" s="3">
        <v>30</v>
      </c>
      <c r="K34" s="3">
        <f t="shared" si="4"/>
        <v>0.5357360677055425</v>
      </c>
      <c r="L34" s="3">
        <f t="shared" si="4"/>
        <v>0.47028683579183905</v>
      </c>
      <c r="M34" s="3">
        <f t="shared" si="4"/>
        <v>0.39106210071413816</v>
      </c>
      <c r="N34" s="3">
        <f t="shared" si="4"/>
        <v>0.28969020736830053</v>
      </c>
      <c r="O34" s="3">
        <f t="shared" si="4"/>
        <v>0.16400652588458042</v>
      </c>
      <c r="Q34" s="3">
        <v>30</v>
      </c>
      <c r="R34" s="3">
        <f>[1]节奏总纲!AD33</f>
        <v>49.533352307096472</v>
      </c>
      <c r="S34" s="3">
        <f>[1]节奏总纲!AE33</f>
        <v>51.497823295559343</v>
      </c>
      <c r="T34" s="3">
        <f>[1]节奏总纲!AF33</f>
        <v>54.213705787583436</v>
      </c>
      <c r="U34" s="3">
        <f>[1]节奏总纲!AG33</f>
        <v>58.701446767877648</v>
      </c>
      <c r="V34" s="3">
        <f>[1]节奏总纲!AH33</f>
        <v>67.097551508592701</v>
      </c>
      <c r="Z34" s="3">
        <v>30</v>
      </c>
      <c r="AA34" s="3">
        <f>[1]节奏总纲!AM33</f>
        <v>28.35</v>
      </c>
      <c r="AB34" s="3">
        <f>[1]节奏总纲!AN33</f>
        <v>22.680000000000003</v>
      </c>
      <c r="AC34" s="3">
        <f>[1]节奏总纲!AO33</f>
        <v>17.010000000000002</v>
      </c>
      <c r="AD34" s="3">
        <f>[1]节奏总纲!AP33</f>
        <v>11.340000000000002</v>
      </c>
      <c r="AE34" s="3">
        <f>[1]节奏总纲!AQ33</f>
        <v>5.6700000000000008</v>
      </c>
      <c r="AG34" s="3">
        <v>30</v>
      </c>
      <c r="AH34" s="3">
        <f t="shared" si="5"/>
        <v>4.2752961375811545</v>
      </c>
      <c r="AI34" s="3">
        <f t="shared" si="5"/>
        <v>3.4202369100649257</v>
      </c>
      <c r="AJ34" s="3">
        <f t="shared" si="5"/>
        <v>2.5651776825486934</v>
      </c>
      <c r="AK34" s="3">
        <f t="shared" si="5"/>
        <v>1.7101184550324628</v>
      </c>
      <c r="AL34" s="3">
        <f t="shared" si="5"/>
        <v>0.85505922751623142</v>
      </c>
      <c r="AM34" s="3"/>
      <c r="AN34" s="3">
        <v>30</v>
      </c>
      <c r="AO34" s="3">
        <f>[1]节奏总纲!BA33</f>
        <v>30.329493925593439</v>
      </c>
      <c r="AP34" s="3">
        <f>[1]节奏总纲!BB33</f>
        <v>31.706504654507764</v>
      </c>
      <c r="AQ34" s="3">
        <f>[1]节奏总纲!BC33</f>
        <v>33.487933395889513</v>
      </c>
      <c r="AR34" s="3">
        <f>[1]节奏总纲!BD33</f>
        <v>36.105477566569242</v>
      </c>
      <c r="AS34" s="3">
        <f>[1]节奏总纲!BE33</f>
        <v>40.751734485509814</v>
      </c>
      <c r="AW34" s="3">
        <v>30</v>
      </c>
      <c r="AX34" s="3">
        <f>[1]节奏总纲!BQ33</f>
        <v>48.746400836475651</v>
      </c>
      <c r="AY34" s="3">
        <f>[1]节奏总纲!BR33</f>
        <v>47.534861085979394</v>
      </c>
      <c r="AZ34" s="3">
        <f>[1]节奏总纲!BS33</f>
        <v>46.203853617695223</v>
      </c>
      <c r="BA34" s="3">
        <f>[1]节奏总纲!BT33</f>
        <v>44.710696649522191</v>
      </c>
      <c r="BB34" s="3">
        <f>[1]节奏总纲!BU33</f>
        <v>43.073827164214144</v>
      </c>
      <c r="BG34" s="5">
        <v>30</v>
      </c>
      <c r="BH34" s="5">
        <f>'[1]功能-城建'!$E35</f>
        <v>10</v>
      </c>
      <c r="BL34" s="3">
        <v>30</v>
      </c>
      <c r="BM34" s="3">
        <f>[1]节奏总纲!BX33</f>
        <v>21.627432338833255</v>
      </c>
      <c r="BN34" s="3">
        <f>[1]节奏总纲!BY33</f>
        <v>22.133969730796721</v>
      </c>
      <c r="BO34" s="3">
        <f>[1]节奏总纲!BZ33</f>
        <v>22.690075277664143</v>
      </c>
      <c r="BP34" s="3">
        <f>[1]节奏总纲!CA33</f>
        <v>23.318316384114386</v>
      </c>
      <c r="BQ34" s="3">
        <f>[1]节奏总纲!CB33</f>
        <v>24.015075841763835</v>
      </c>
    </row>
    <row r="35" spans="3:69">
      <c r="C35" s="3">
        <v>31</v>
      </c>
      <c r="D35" s="3">
        <f>[1]节奏总纲!P34</f>
        <v>7.5741877002903433</v>
      </c>
      <c r="E35" s="3">
        <f>[1]节奏总纲!Q34</f>
        <v>6.6115084435834408</v>
      </c>
      <c r="F35" s="3">
        <f>[1]节奏总纲!R34</f>
        <v>5.4632615882194253</v>
      </c>
      <c r="G35" s="3">
        <f>[1]节奏总纲!S34</f>
        <v>4.052190419655334</v>
      </c>
      <c r="H35" s="3">
        <f>[1]节奏总纲!T34</f>
        <v>2.2783156602473356</v>
      </c>
      <c r="J35" s="3">
        <v>31</v>
      </c>
      <c r="K35" s="3">
        <f t="shared" si="4"/>
        <v>0.57418770029034327</v>
      </c>
      <c r="L35" s="3">
        <f t="shared" si="4"/>
        <v>0.50890844358344101</v>
      </c>
      <c r="M35" s="3">
        <f t="shared" si="4"/>
        <v>0.42116158821942484</v>
      </c>
      <c r="N35" s="3">
        <f t="shared" si="4"/>
        <v>0.30929041965533433</v>
      </c>
      <c r="O35" s="3">
        <f t="shared" si="4"/>
        <v>0.17761566024733577</v>
      </c>
      <c r="Q35" s="3">
        <v>31</v>
      </c>
      <c r="R35" s="3">
        <f>[1]节奏总纲!AD34</f>
        <v>50</v>
      </c>
      <c r="S35" s="3">
        <f>[1]节奏总纲!AE34</f>
        <v>51.96230476258421</v>
      </c>
      <c r="T35" s="3">
        <f>[1]节奏总纲!AF34</f>
        <v>54.692509339255828</v>
      </c>
      <c r="U35" s="3">
        <f>[1]节奏总纲!AG34</f>
        <v>59.178112178215827</v>
      </c>
      <c r="V35" s="3">
        <f>[1]节奏总纲!AH34</f>
        <v>67.582949939226467</v>
      </c>
      <c r="Z35" s="3">
        <v>31</v>
      </c>
      <c r="AA35" s="3">
        <f>[1]节奏总纲!AM34</f>
        <v>33.357679571112705</v>
      </c>
      <c r="AB35" s="3">
        <f>[1]节奏总纲!AN34</f>
        <v>26.686143656890167</v>
      </c>
      <c r="AC35" s="3">
        <f>[1]节奏总纲!AO34</f>
        <v>20.014607742667621</v>
      </c>
      <c r="AD35" s="3">
        <f>[1]节奏总纲!AP34</f>
        <v>13.343071828445083</v>
      </c>
      <c r="AE35" s="3">
        <f>[1]节奏总纲!AQ34</f>
        <v>6.6715359142225417</v>
      </c>
      <c r="AG35" s="3">
        <v>31</v>
      </c>
      <c r="AH35" s="3">
        <f t="shared" si="5"/>
        <v>5.0076795711127033</v>
      </c>
      <c r="AI35" s="3">
        <f t="shared" si="5"/>
        <v>4.0061436568901634</v>
      </c>
      <c r="AJ35" s="3">
        <f t="shared" si="5"/>
        <v>3.0046077426676199</v>
      </c>
      <c r="AK35" s="3">
        <f t="shared" si="5"/>
        <v>2.0030718284450817</v>
      </c>
      <c r="AL35" s="3">
        <f t="shared" si="5"/>
        <v>1.0015359142225408</v>
      </c>
      <c r="AM35" s="3"/>
      <c r="AN35" s="3">
        <v>31</v>
      </c>
      <c r="AO35" s="3">
        <f>[1]节奏总纲!BA34</f>
        <v>30.529187213831889</v>
      </c>
      <c r="AP35" s="3">
        <f>[1]节奏总纲!BB34</f>
        <v>31.919701782372627</v>
      </c>
      <c r="AQ35" s="3">
        <f>[1]节奏总纲!BC34</f>
        <v>33.695537043746626</v>
      </c>
      <c r="AR35" s="3">
        <f>[1]节奏总纲!BD34</f>
        <v>36.315904388158508</v>
      </c>
      <c r="AS35" s="3">
        <f>[1]节奏总纲!BE34</f>
        <v>40.984830450008978</v>
      </c>
      <c r="AW35" s="3">
        <v>31</v>
      </c>
      <c r="AX35" s="3">
        <f>[1]节奏总纲!BQ34</f>
        <v>51.024751728602688</v>
      </c>
      <c r="AY35" s="3">
        <f>[1]节奏总纲!BR34</f>
        <v>49.81327866937707</v>
      </c>
      <c r="AZ35" s="3">
        <f>[1]节奏总纲!BS34</f>
        <v>48.49295716189016</v>
      </c>
      <c r="BA35" s="3">
        <f>[1]节奏总纲!BT34</f>
        <v>47.007818211309306</v>
      </c>
      <c r="BB35" s="3">
        <f>[1]节奏总纲!BU34</f>
        <v>45.378719658137989</v>
      </c>
      <c r="BG35" s="5">
        <v>31</v>
      </c>
      <c r="BH35" s="5">
        <f>'[1]功能-城建'!$E36</f>
        <v>10</v>
      </c>
      <c r="BL35" s="3">
        <v>31</v>
      </c>
      <c r="BM35" s="3">
        <f>[1]节奏总纲!BX34</f>
        <v>22.095189537639744</v>
      </c>
      <c r="BN35" s="3">
        <f>[1]节奏总纲!BY34</f>
        <v>22.590285126353667</v>
      </c>
      <c r="BO35" s="3">
        <f>[1]节奏总纲!BZ34</f>
        <v>23.164669534623123</v>
      </c>
      <c r="BP35" s="3">
        <f>[1]节奏总纲!CA34</f>
        <v>23.790108012583765</v>
      </c>
      <c r="BQ35" s="3">
        <f>[1]节奏总纲!CB34</f>
        <v>24.476288482572343</v>
      </c>
    </row>
    <row r="36" spans="3:69">
      <c r="C36" s="3">
        <v>32</v>
      </c>
      <c r="D36" s="3">
        <f>[1]节奏总纲!P35</f>
        <v>8.189586839976279</v>
      </c>
      <c r="E36" s="3">
        <f>[1]节奏总纲!Q35</f>
        <v>7.1519661873512845</v>
      </c>
      <c r="F36" s="3">
        <f>[1]节奏总纲!R35</f>
        <v>5.906330028990892</v>
      </c>
      <c r="G36" s="3">
        <f>[1]节奏总纲!S35</f>
        <v>4.3855237528072974</v>
      </c>
      <c r="H36" s="3">
        <f>[1]节奏总纲!T35</f>
        <v>2.46506563883286</v>
      </c>
      <c r="J36" s="3">
        <v>32</v>
      </c>
      <c r="K36" s="3">
        <f t="shared" si="4"/>
        <v>0.61539913968593574</v>
      </c>
      <c r="L36" s="3">
        <f t="shared" si="4"/>
        <v>0.54045774376784372</v>
      </c>
      <c r="M36" s="3">
        <f t="shared" si="4"/>
        <v>0.44306844077146668</v>
      </c>
      <c r="N36" s="3">
        <f t="shared" si="4"/>
        <v>0.33333333315196345</v>
      </c>
      <c r="O36" s="3">
        <f t="shared" si="4"/>
        <v>0.18674997858552445</v>
      </c>
      <c r="Q36" s="3">
        <v>32</v>
      </c>
      <c r="R36" s="3">
        <f>[1]节奏总纲!AD35</f>
        <v>50.435397692903535</v>
      </c>
      <c r="S36" s="3">
        <f>[1]节奏总纲!AE35</f>
        <v>52.391506955233744</v>
      </c>
      <c r="T36" s="3">
        <f>[1]节奏总纲!AF35</f>
        <v>55.159275389027101</v>
      </c>
      <c r="U36" s="3">
        <f>[1]节奏总纲!AG35</f>
        <v>59.632093520341421</v>
      </c>
      <c r="V36" s="3">
        <f>[1]节奏总纲!AH35</f>
        <v>68.063981730538742</v>
      </c>
      <c r="Z36" s="3">
        <v>32</v>
      </c>
      <c r="AA36" s="3">
        <f>[1]节奏总纲!AM35</f>
        <v>39.220797956048642</v>
      </c>
      <c r="AB36" s="3">
        <f>[1]节奏总纲!AN35</f>
        <v>31.376638364838914</v>
      </c>
      <c r="AC36" s="3">
        <f>[1]节奏总纲!AO35</f>
        <v>23.532478773629183</v>
      </c>
      <c r="AD36" s="3">
        <f>[1]节奏总纲!AP35</f>
        <v>15.688319182419457</v>
      </c>
      <c r="AE36" s="3">
        <f>[1]节奏总纲!AQ35</f>
        <v>7.8441595912097286</v>
      </c>
      <c r="AG36" s="3">
        <v>32</v>
      </c>
      <c r="AH36" s="3">
        <f t="shared" si="5"/>
        <v>5.8631183849359374</v>
      </c>
      <c r="AI36" s="3">
        <f t="shared" si="5"/>
        <v>4.6904947079487478</v>
      </c>
      <c r="AJ36" s="3">
        <f t="shared" si="5"/>
        <v>3.5178710309615617</v>
      </c>
      <c r="AK36" s="3">
        <f t="shared" si="5"/>
        <v>2.3452473539743739</v>
      </c>
      <c r="AL36" s="3">
        <f t="shared" si="5"/>
        <v>1.1726236769871869</v>
      </c>
      <c r="AM36" s="3"/>
      <c r="AN36" s="3">
        <v>32</v>
      </c>
      <c r="AO36" s="3">
        <f>[1]节奏总纲!BA35</f>
        <v>30.728880502070336</v>
      </c>
      <c r="AP36" s="3">
        <f>[1]节奏总纲!BB35</f>
        <v>32.113552950216736</v>
      </c>
      <c r="AQ36" s="3">
        <f>[1]节奏总纲!BC35</f>
        <v>33.903140691603731</v>
      </c>
      <c r="AR36" s="3">
        <f>[1]节奏总纲!BD35</f>
        <v>36.526331209747774</v>
      </c>
      <c r="AS36" s="3">
        <f>[1]节奏总纲!BE35</f>
        <v>41.188041754455355</v>
      </c>
      <c r="AW36" s="3">
        <v>32</v>
      </c>
      <c r="AX36" s="3">
        <f>[1]节奏总纲!BQ35</f>
        <v>53.291472423922521</v>
      </c>
      <c r="AY36" s="3">
        <f>[1]节奏总纲!BR35</f>
        <v>52.125901161769718</v>
      </c>
      <c r="AZ36" s="3">
        <f>[1]节奏总纲!BS35</f>
        <v>50.840747976078326</v>
      </c>
      <c r="BA36" s="3">
        <f>[1]节奏总纲!BT35</f>
        <v>49.375604977850649</v>
      </c>
      <c r="BB36" s="3">
        <f>[1]节奏总纲!BU35</f>
        <v>47.775197036238126</v>
      </c>
      <c r="BG36" s="5">
        <v>32</v>
      </c>
      <c r="BH36" s="5">
        <f>'[1]功能-城建'!$E37</f>
        <v>11</v>
      </c>
      <c r="BL36" s="3">
        <v>32</v>
      </c>
      <c r="BM36" s="3">
        <f>[1]节奏总纲!BX35</f>
        <v>22.536630202092223</v>
      </c>
      <c r="BN36" s="3">
        <f>[1]节奏总纲!BY35</f>
        <v>23.063701323157773</v>
      </c>
      <c r="BO36" s="3">
        <f>[1]节奏总纲!BZ35</f>
        <v>23.615240622314541</v>
      </c>
      <c r="BP36" s="3">
        <f>[1]节奏总纲!CA35</f>
        <v>24.25413190852499</v>
      </c>
      <c r="BQ36" s="3">
        <f>[1]节奏总纲!CB35</f>
        <v>24.96122010782668</v>
      </c>
    </row>
    <row r="37" spans="3:69">
      <c r="C37" s="3">
        <v>33</v>
      </c>
      <c r="D37" s="3">
        <f>[1]节奏总纲!P36</f>
        <v>8.8491553067593287</v>
      </c>
      <c r="E37" s="3">
        <f>[1]节奏总纲!Q36</f>
        <v>7.7120388498407557</v>
      </c>
      <c r="F37" s="3">
        <f>[1]节奏总纲!R36</f>
        <v>6.3696219898053652</v>
      </c>
      <c r="G37" s="3">
        <f>[1]节奏总纲!S36</f>
        <v>4.736067920177593</v>
      </c>
      <c r="H37" s="3">
        <f>[1]节奏总纲!T36</f>
        <v>2.6627108318038819</v>
      </c>
      <c r="J37" s="3">
        <v>33</v>
      </c>
      <c r="K37" s="3">
        <f t="shared" si="4"/>
        <v>0.6595684667830497</v>
      </c>
      <c r="L37" s="3">
        <f t="shared" si="4"/>
        <v>0.56007266248947118</v>
      </c>
      <c r="M37" s="3">
        <f t="shared" si="4"/>
        <v>0.46329196081447321</v>
      </c>
      <c r="N37" s="3">
        <f t="shared" si="4"/>
        <v>0.35054416737029559</v>
      </c>
      <c r="O37" s="3">
        <f t="shared" si="4"/>
        <v>0.1976451929710219</v>
      </c>
      <c r="Q37" s="3">
        <v>33</v>
      </c>
      <c r="R37" s="3">
        <f>[1]节奏总纲!AD36</f>
        <v>50.870795385807064</v>
      </c>
      <c r="S37" s="3">
        <f>[1]节奏总纲!AE36</f>
        <v>52.81759316022675</v>
      </c>
      <c r="T37" s="3">
        <f>[1]节奏总纲!AF36</f>
        <v>55.604435245632025</v>
      </c>
      <c r="U37" s="3">
        <f>[1]节奏总纲!AG36</f>
        <v>60.078368706270226</v>
      </c>
      <c r="V37" s="3">
        <f>[1]节奏总纲!AH36</f>
        <v>68.518369035696878</v>
      </c>
      <c r="Z37" s="3">
        <v>33</v>
      </c>
      <c r="AA37" s="3">
        <f>[1]节奏总纲!AM36</f>
        <v>46.082812923199413</v>
      </c>
      <c r="AB37" s="3">
        <f>[1]节奏总纲!AN36</f>
        <v>36.866250338559531</v>
      </c>
      <c r="AC37" s="3">
        <f>[1]节奏总纲!AO36</f>
        <v>27.649687753919647</v>
      </c>
      <c r="AD37" s="3">
        <f>[1]节奏总纲!AP36</f>
        <v>18.433125169279766</v>
      </c>
      <c r="AE37" s="3">
        <f>[1]节奏总纲!AQ36</f>
        <v>9.2165625846398829</v>
      </c>
      <c r="AG37" s="3">
        <v>33</v>
      </c>
      <c r="AH37" s="3">
        <f t="shared" si="5"/>
        <v>6.8620149671507704</v>
      </c>
      <c r="AI37" s="3">
        <f t="shared" si="5"/>
        <v>5.489611973720617</v>
      </c>
      <c r="AJ37" s="3">
        <f t="shared" si="5"/>
        <v>4.1172089802904637</v>
      </c>
      <c r="AK37" s="3">
        <f t="shared" si="5"/>
        <v>2.7448059868603085</v>
      </c>
      <c r="AL37" s="3">
        <f t="shared" si="5"/>
        <v>1.3724029934301543</v>
      </c>
      <c r="AM37" s="3"/>
      <c r="AN37" s="3">
        <v>33</v>
      </c>
      <c r="AO37" s="3">
        <f>[1]节奏总纲!BA36</f>
        <v>30.928573790308786</v>
      </c>
      <c r="AP37" s="3">
        <f>[1]节奏总纲!BB36</f>
        <v>32.295715187691279</v>
      </c>
      <c r="AQ37" s="3">
        <f>[1]节奏总纲!BC36</f>
        <v>34.09469189131628</v>
      </c>
      <c r="AR37" s="3">
        <f>[1]节奏总纲!BD36</f>
        <v>36.73675803133704</v>
      </c>
      <c r="AS37" s="3">
        <f>[1]节奏总纲!BE36</f>
        <v>41.389172829914081</v>
      </c>
      <c r="AW37" s="3">
        <v>33</v>
      </c>
      <c r="AX37" s="3">
        <f>[1]节奏总纲!BQ36</f>
        <v>55.562784736889313</v>
      </c>
      <c r="AY37" s="3">
        <f>[1]节奏总纲!BR36</f>
        <v>54.355378546520704</v>
      </c>
      <c r="AZ37" s="3">
        <f>[1]节奏总纲!BS36</f>
        <v>53.035165520933894</v>
      </c>
      <c r="BA37" s="3">
        <f>[1]节奏总纲!BT36</f>
        <v>51.629711452863589</v>
      </c>
      <c r="BB37" s="3">
        <f>[1]节奏总纲!BU36</f>
        <v>50.042836137195067</v>
      </c>
      <c r="BG37" s="5">
        <v>33</v>
      </c>
      <c r="BH37" s="5">
        <f>'[1]功能-城建'!$E38</f>
        <v>11</v>
      </c>
      <c r="BL37" s="3">
        <v>33</v>
      </c>
      <c r="BM37" s="3">
        <f>[1]节奏总纲!BX36</f>
        <v>23.008297311415273</v>
      </c>
      <c r="BN37" s="3">
        <f>[1]节奏总纲!BY36</f>
        <v>23.490868763053822</v>
      </c>
      <c r="BO37" s="3">
        <f>[1]节奏总纲!BZ36</f>
        <v>24.073520379044336</v>
      </c>
      <c r="BP37" s="3">
        <f>[1]节奏总纲!CA36</f>
        <v>24.709259009726921</v>
      </c>
      <c r="BQ37" s="3">
        <f>[1]节奏总纲!CB36</f>
        <v>25.404062586103631</v>
      </c>
    </row>
    <row r="38" spans="3:69">
      <c r="C38" s="3">
        <v>34</v>
      </c>
      <c r="D38" s="3">
        <f>[1]节奏总纲!P37</f>
        <v>9.5560632861831518</v>
      </c>
      <c r="E38" s="3">
        <f>[1]节奏总纲!Q37</f>
        <v>8.3309759728944712</v>
      </c>
      <c r="F38" s="3">
        <f>[1]节奏总纲!R37</f>
        <v>6.8918328419952886</v>
      </c>
      <c r="G38" s="3">
        <f>[1]节奏总纲!S37</f>
        <v>5.1287391656944967</v>
      </c>
      <c r="H38" s="3">
        <f>[1]节奏总纲!T37</f>
        <v>2.8811530807842201</v>
      </c>
      <c r="J38" s="3">
        <v>34</v>
      </c>
      <c r="K38" s="3">
        <f t="shared" si="4"/>
        <v>0.70690797942382311</v>
      </c>
      <c r="L38" s="3">
        <f t="shared" si="4"/>
        <v>0.61893712305371551</v>
      </c>
      <c r="M38" s="3">
        <f t="shared" si="4"/>
        <v>0.52221085218992336</v>
      </c>
      <c r="N38" s="3">
        <f t="shared" si="4"/>
        <v>0.39267124551690369</v>
      </c>
      <c r="O38" s="3">
        <f t="shared" si="4"/>
        <v>0.21844224898033815</v>
      </c>
      <c r="Q38" s="3">
        <v>34</v>
      </c>
      <c r="R38" s="3">
        <f>[1]节奏总纲!AD37</f>
        <v>51.285688244217212</v>
      </c>
      <c r="S38" s="3">
        <f>[1]节奏总纲!AE37</f>
        <v>53.226994578658328</v>
      </c>
      <c r="T38" s="3">
        <f>[1]节奏总纲!AF37</f>
        <v>56.045896281048073</v>
      </c>
      <c r="U38" s="3">
        <f>[1]节奏总纲!AG37</f>
        <v>60.491705764657482</v>
      </c>
      <c r="V38" s="3">
        <f>[1]节奏总纲!AH37</f>
        <v>68.972756340855</v>
      </c>
      <c r="Z38" s="3">
        <v>34</v>
      </c>
      <c r="AA38" s="3">
        <f>[1]节奏总纲!AM37</f>
        <v>54.110931329932889</v>
      </c>
      <c r="AB38" s="3">
        <f>[1]节奏总纲!AN37</f>
        <v>43.288745063946315</v>
      </c>
      <c r="AC38" s="3">
        <f>[1]节奏总纲!AO37</f>
        <v>32.466558797959735</v>
      </c>
      <c r="AD38" s="3">
        <f>[1]节奏总纲!AP37</f>
        <v>21.644372531973158</v>
      </c>
      <c r="AE38" s="3">
        <f>[1]节奏总纲!AQ37</f>
        <v>10.822186265986579</v>
      </c>
      <c r="AG38" s="3">
        <v>34</v>
      </c>
      <c r="AH38" s="3">
        <f t="shared" si="5"/>
        <v>8.0281184067334763</v>
      </c>
      <c r="AI38" s="3">
        <f t="shared" si="5"/>
        <v>6.4224947253867839</v>
      </c>
      <c r="AJ38" s="3">
        <f t="shared" si="5"/>
        <v>4.8168710440400879</v>
      </c>
      <c r="AK38" s="3">
        <f t="shared" si="5"/>
        <v>3.2112473626933919</v>
      </c>
      <c r="AL38" s="3">
        <f t="shared" si="5"/>
        <v>1.605623681346696</v>
      </c>
      <c r="AM38" s="3"/>
      <c r="AN38" s="3">
        <v>34</v>
      </c>
      <c r="AO38" s="3">
        <f>[1]节奏总纲!BA37</f>
        <v>31.109552696486158</v>
      </c>
      <c r="AP38" s="3">
        <f>[1]节奏总纲!BB37</f>
        <v>32.477877425165822</v>
      </c>
      <c r="AQ38" s="3">
        <f>[1]节奏总纲!BC37</f>
        <v>34.272203285175834</v>
      </c>
      <c r="AR38" s="3">
        <f>[1]节奏总纲!BD37</f>
        <v>36.947184852926306</v>
      </c>
      <c r="AS38" s="3">
        <f>[1]节奏总纲!BE37</f>
        <v>41.590303905372799</v>
      </c>
      <c r="AW38" s="3">
        <v>34</v>
      </c>
      <c r="AX38" s="3">
        <f>[1]节奏总纲!BQ37</f>
        <v>57.838035023028112</v>
      </c>
      <c r="AY38" s="3">
        <f>[1]节奏总纲!BR37</f>
        <v>56.663402979853082</v>
      </c>
      <c r="AZ38" s="3">
        <f>[1]节奏总纲!BS37</f>
        <v>55.366968636624627</v>
      </c>
      <c r="BA38" s="3">
        <f>[1]节奏总纲!BT37</f>
        <v>53.918275980301416</v>
      </c>
      <c r="BB38" s="3">
        <f>[1]节奏总纲!BU37</f>
        <v>52.327997946582151</v>
      </c>
      <c r="BG38" s="5">
        <v>34</v>
      </c>
      <c r="BH38" s="5">
        <f>'[1]功能-城建'!$E39</f>
        <v>12</v>
      </c>
      <c r="BL38" s="3">
        <v>34</v>
      </c>
      <c r="BM38" s="3">
        <f>[1]节奏总纲!BX37</f>
        <v>23.439624304552691</v>
      </c>
      <c r="BN38" s="3">
        <f>[1]节奏总纲!BY37</f>
        <v>23.962932129146886</v>
      </c>
      <c r="BO38" s="3">
        <f>[1]节奏总纲!BZ37</f>
        <v>24.525526780322963</v>
      </c>
      <c r="BP38" s="3">
        <f>[1]节奏总纲!CA37</f>
        <v>25.186582215718527</v>
      </c>
      <c r="BQ38" s="3">
        <f>[1]节奏总纲!CB37</f>
        <v>25.887144728338249</v>
      </c>
    </row>
    <row r="39" spans="3:69">
      <c r="C39" s="3">
        <v>35</v>
      </c>
      <c r="D39" s="3">
        <f>[1]节奏总纲!P38</f>
        <v>10.313708498984759</v>
      </c>
      <c r="E39" s="3">
        <f>[1]节奏总纲!Q38</f>
        <v>9.0048988904635934</v>
      </c>
      <c r="F39" s="3">
        <f>[1]节奏总纲!R38</f>
        <v>7.4547485030661838</v>
      </c>
      <c r="G39" s="3">
        <f>[1]节奏总纲!S38</f>
        <v>5.5405242056546129</v>
      </c>
      <c r="H39" s="3">
        <f>[1]节奏总纲!T38</f>
        <v>3.1106144832938032</v>
      </c>
      <c r="J39" s="3">
        <v>35</v>
      </c>
      <c r="K39" s="3">
        <f t="shared" si="4"/>
        <v>0.75764521280160757</v>
      </c>
      <c r="L39" s="3">
        <f t="shared" si="4"/>
        <v>0.67392291756912215</v>
      </c>
      <c r="M39" s="3">
        <f t="shared" si="4"/>
        <v>0.56291566107089519</v>
      </c>
      <c r="N39" s="3">
        <f t="shared" si="4"/>
        <v>0.41178503996011617</v>
      </c>
      <c r="O39" s="3">
        <f t="shared" si="4"/>
        <v>0.22946140250958313</v>
      </c>
      <c r="Q39" s="3">
        <v>35</v>
      </c>
      <c r="R39" s="3">
        <f>[1]节奏总纲!AD38</f>
        <v>51.691928656135211</v>
      </c>
      <c r="S39" s="3">
        <f>[1]节奏总纲!AE38</f>
        <v>53.623906555539456</v>
      </c>
      <c r="T39" s="3">
        <f>[1]节奏总纲!AF38</f>
        <v>56.457855949816349</v>
      </c>
      <c r="U39" s="3">
        <f>[1]节奏总纲!AG38</f>
        <v>60.905042823044738</v>
      </c>
      <c r="V39" s="3">
        <f>[1]节奏总纲!AH38</f>
        <v>69.385288338144662</v>
      </c>
      <c r="Z39" s="3">
        <v>35</v>
      </c>
      <c r="AA39" s="3">
        <f>[1]节奏总纲!AM38</f>
        <v>63.5</v>
      </c>
      <c r="AB39" s="3">
        <f>[1]节奏总纲!AN38</f>
        <v>50.800000000000004</v>
      </c>
      <c r="AC39" s="3">
        <f>[1]节奏总纲!AO38</f>
        <v>38.1</v>
      </c>
      <c r="AD39" s="3">
        <f>[1]节奏总纲!AP38</f>
        <v>25.400000000000002</v>
      </c>
      <c r="AE39" s="3">
        <f>[1]节奏总纲!AQ38</f>
        <v>12.700000000000001</v>
      </c>
      <c r="AG39" s="3">
        <v>35</v>
      </c>
      <c r="AH39" s="3">
        <f t="shared" si="5"/>
        <v>9.3890686700671111</v>
      </c>
      <c r="AI39" s="3">
        <f t="shared" si="5"/>
        <v>7.5112549360536889</v>
      </c>
      <c r="AJ39" s="3">
        <f t="shared" si="5"/>
        <v>5.6334412020402667</v>
      </c>
      <c r="AK39" s="3">
        <f t="shared" si="5"/>
        <v>3.7556274680268444</v>
      </c>
      <c r="AL39" s="3">
        <f t="shared" si="5"/>
        <v>1.8778137340134222</v>
      </c>
      <c r="AM39" s="3"/>
      <c r="AN39" s="3">
        <v>35</v>
      </c>
      <c r="AO39" s="3">
        <f>[1]节奏总纲!BA38</f>
        <v>31.280110398778046</v>
      </c>
      <c r="AP39" s="3">
        <f>[1]节奏总纲!BB38</f>
        <v>32.660039662640372</v>
      </c>
      <c r="AQ39" s="3">
        <f>[1]节奏总纲!BC38</f>
        <v>34.449714679035388</v>
      </c>
      <c r="AR39" s="3">
        <f>[1]节奏总纲!BD38</f>
        <v>37.135950591746003</v>
      </c>
      <c r="AS39" s="3">
        <f>[1]节奏总纲!BE38</f>
        <v>41.791434980831518</v>
      </c>
      <c r="AW39" s="3">
        <v>35</v>
      </c>
      <c r="AX39" s="3">
        <f>[1]节奏总纲!BQ38</f>
        <v>60.108849423225884</v>
      </c>
      <c r="AY39" s="3">
        <f>[1]节奏总纲!BR38</f>
        <v>58.959670032750353</v>
      </c>
      <c r="AZ39" s="3">
        <f>[1]节奏总纲!BS38</f>
        <v>57.686819122040689</v>
      </c>
      <c r="BA39" s="3">
        <f>[1]节奏总纲!BT38</f>
        <v>56.279027610646125</v>
      </c>
      <c r="BB39" s="3">
        <f>[1]节奏总纲!BU38</f>
        <v>54.706384157580409</v>
      </c>
      <c r="BG39" s="5">
        <v>35</v>
      </c>
      <c r="BH39" s="5">
        <f>'[1]功能-城建'!$E40</f>
        <v>12</v>
      </c>
      <c r="BL39" s="3">
        <v>35</v>
      </c>
      <c r="BM39" s="3">
        <f>[1]节奏总纲!BX38</f>
        <v>23.901909129472951</v>
      </c>
      <c r="BN39" s="3">
        <f>[1]节奏总纲!BY38</f>
        <v>24.40594174135834</v>
      </c>
      <c r="BO39" s="3">
        <f>[1]节奏总纲!BZ38</f>
        <v>25.010872039771339</v>
      </c>
      <c r="BP39" s="3">
        <f>[1]节奏总纲!CA38</f>
        <v>25.641910798382057</v>
      </c>
      <c r="BQ39" s="3">
        <f>[1]节奏总纲!CB38</f>
        <v>26.336246235371831</v>
      </c>
    </row>
    <row r="40" spans="3:69">
      <c r="C40" s="3">
        <v>36</v>
      </c>
      <c r="D40" s="3">
        <f>[1]节奏总纲!P39</f>
        <v>11.125732532083184</v>
      </c>
      <c r="E40" s="3">
        <f>[1]节奏总纲!Q39</f>
        <v>9.7261153795471191</v>
      </c>
      <c r="F40" s="3">
        <f>[1]节奏总纲!R39</f>
        <v>8.0405669009365166</v>
      </c>
      <c r="G40" s="3">
        <f>[1]节奏总纲!S39</f>
        <v>5.9700680767158358</v>
      </c>
      <c r="H40" s="3">
        <f>[1]节奏总纲!T39</f>
        <v>3.3388323328781633</v>
      </c>
      <c r="J40" s="3">
        <v>36</v>
      </c>
      <c r="K40" s="3">
        <f t="shared" si="4"/>
        <v>0.81202403309842452</v>
      </c>
      <c r="L40" s="3">
        <f t="shared" si="4"/>
        <v>0.72121648908352576</v>
      </c>
      <c r="M40" s="3">
        <f t="shared" si="4"/>
        <v>0.58581839787033285</v>
      </c>
      <c r="N40" s="3">
        <f t="shared" si="4"/>
        <v>0.42954387106122294</v>
      </c>
      <c r="O40" s="3">
        <f t="shared" si="4"/>
        <v>0.22821784958436009</v>
      </c>
      <c r="Q40" s="3">
        <v>36</v>
      </c>
      <c r="R40" s="3">
        <f>[1]节奏总纲!AD39</f>
        <v>52.091594979242075</v>
      </c>
      <c r="S40" s="3">
        <f>[1]节奏总纲!AE39</f>
        <v>54.020289560649204</v>
      </c>
      <c r="T40" s="3">
        <f>[1]节奏总纲!AF39</f>
        <v>56.869815618584624</v>
      </c>
      <c r="U40" s="3">
        <f>[1]节奏总纲!AG39</f>
        <v>61.294362422865476</v>
      </c>
      <c r="V40" s="3">
        <f>[1]节奏总纲!AH39</f>
        <v>69.795150761037945</v>
      </c>
      <c r="Z40" s="3">
        <v>36</v>
      </c>
      <c r="AA40" s="3">
        <f>[1]节奏总纲!AM39</f>
        <v>73.746861667008318</v>
      </c>
      <c r="AB40" s="3">
        <f>[1]节奏总纲!AN39</f>
        <v>58.997489333606659</v>
      </c>
      <c r="AC40" s="3">
        <f>[1]节奏总纲!AO39</f>
        <v>44.248117000204992</v>
      </c>
      <c r="AD40" s="3">
        <f>[1]节奏总纲!AP39</f>
        <v>29.498744666803329</v>
      </c>
      <c r="AE40" s="3">
        <f>[1]节奏总纲!AQ39</f>
        <v>14.749372333401665</v>
      </c>
      <c r="AG40" s="3">
        <v>36</v>
      </c>
      <c r="AH40" s="3">
        <f t="shared" si="5"/>
        <v>10.246861667008318</v>
      </c>
      <c r="AI40" s="3">
        <f t="shared" si="5"/>
        <v>8.1974893336066543</v>
      </c>
      <c r="AJ40" s="3">
        <f t="shared" si="5"/>
        <v>6.1481170002049907</v>
      </c>
      <c r="AK40" s="3">
        <f t="shared" si="5"/>
        <v>4.0987446668033272</v>
      </c>
      <c r="AL40" s="3">
        <f t="shared" si="5"/>
        <v>2.0493723334016636</v>
      </c>
      <c r="AM40" s="3"/>
      <c r="AN40" s="3">
        <v>36</v>
      </c>
      <c r="AO40" s="3">
        <f>[1]节奏总纲!BA39</f>
        <v>31.450668101069933</v>
      </c>
      <c r="AP40" s="3">
        <f>[1]节奏总纲!BB39</f>
        <v>32.842201900114915</v>
      </c>
      <c r="AQ40" s="3">
        <f>[1]节奏总纲!BC39</f>
        <v>34.627226072894942</v>
      </c>
      <c r="AR40" s="3">
        <f>[1]节奏总纲!BD39</f>
        <v>37.317457773889828</v>
      </c>
      <c r="AS40" s="3">
        <f>[1]节奏总纲!BE39</f>
        <v>41.992566056290244</v>
      </c>
      <c r="AW40" s="3">
        <v>36</v>
      </c>
      <c r="AX40" s="3">
        <f>[1]节奏总纲!BQ39</f>
        <v>62.233138599165841</v>
      </c>
      <c r="AY40" s="3">
        <f>[1]节奏总纲!BR39</f>
        <v>61.094363540297287</v>
      </c>
      <c r="AZ40" s="3">
        <f>[1]节奏总纲!BS39</f>
        <v>59.843011412474425</v>
      </c>
      <c r="BA40" s="3">
        <f>[1]节奏总纲!BT39</f>
        <v>58.455174432146173</v>
      </c>
      <c r="BB40" s="3">
        <f>[1]节奏总纲!BU39</f>
        <v>56.931905949406854</v>
      </c>
      <c r="BG40" s="5">
        <v>36</v>
      </c>
      <c r="BH40" s="5">
        <f>'[1]功能-城建'!$E41</f>
        <v>13</v>
      </c>
      <c r="BL40" s="3">
        <v>36</v>
      </c>
      <c r="BM40" s="3">
        <f>[1]节奏总纲!BX39</f>
        <v>24.338224722802163</v>
      </c>
      <c r="BN40" s="3">
        <f>[1]节奏总纲!BY39</f>
        <v>24.874135482075868</v>
      </c>
      <c r="BO40" s="3">
        <f>[1]节奏总纲!BZ39</f>
        <v>25.442715250695745</v>
      </c>
      <c r="BP40" s="3">
        <f>[1]节奏总纲!CA39</f>
        <v>26.0995934757591</v>
      </c>
      <c r="BQ40" s="3">
        <f>[1]节奏总纲!CB39</f>
        <v>26.766316250847538</v>
      </c>
    </row>
    <row r="41" spans="3:69">
      <c r="C41" s="3">
        <v>37</v>
      </c>
      <c r="D41" s="3">
        <f>[1]节奏总纲!P40</f>
        <v>11.996038341699768</v>
      </c>
      <c r="E41" s="3">
        <f>[1]节奏总纲!Q40</f>
        <v>10.483337906811427</v>
      </c>
      <c r="F41" s="3">
        <f>[1]节奏总纲!R40</f>
        <v>8.6671377018780831</v>
      </c>
      <c r="G41" s="3">
        <f>[1]节奏总纲!S40</f>
        <v>6.4166809089752066</v>
      </c>
      <c r="H41" s="3">
        <f>[1]节奏总纲!T40</f>
        <v>3.6000111063441</v>
      </c>
      <c r="J41" s="3">
        <v>37</v>
      </c>
      <c r="K41" s="3">
        <f t="shared" si="4"/>
        <v>0.87030580961658366</v>
      </c>
      <c r="L41" s="3">
        <f t="shared" si="4"/>
        <v>0.75722252726430739</v>
      </c>
      <c r="M41" s="3">
        <f t="shared" si="4"/>
        <v>0.62657080094156647</v>
      </c>
      <c r="N41" s="3">
        <f t="shared" si="4"/>
        <v>0.44661283225937076</v>
      </c>
      <c r="O41" s="3">
        <f t="shared" si="4"/>
        <v>0.26117877346593676</v>
      </c>
      <c r="Q41" s="3">
        <v>37</v>
      </c>
      <c r="R41" s="3">
        <f>[1]节奏总纲!AD40</f>
        <v>52.470630686057078</v>
      </c>
      <c r="S41" s="3">
        <f>[1]节奏总纲!AE40</f>
        <v>54.407116521581436</v>
      </c>
      <c r="T41" s="3">
        <f>[1]节奏总纲!AF40</f>
        <v>57.263329041432932</v>
      </c>
      <c r="U41" s="3">
        <f>[1]节奏总纲!AG40</f>
        <v>61.676518787205197</v>
      </c>
      <c r="V41" s="3">
        <f>[1]节奏总纲!AH40</f>
        <v>70.190427169053478</v>
      </c>
      <c r="Z41" s="3">
        <v>37</v>
      </c>
      <c r="AA41" s="3">
        <f>[1]节奏总纲!AM40</f>
        <v>85.62747641525452</v>
      </c>
      <c r="AB41" s="3">
        <f>[1]节奏总纲!AN40</f>
        <v>68.501981132203625</v>
      </c>
      <c r="AC41" s="3">
        <f>[1]节奏总纲!AO40</f>
        <v>51.376485849152708</v>
      </c>
      <c r="AD41" s="3">
        <f>[1]节奏总纲!AP40</f>
        <v>34.250990566101812</v>
      </c>
      <c r="AE41" s="3">
        <f>[1]节奏总纲!AQ40</f>
        <v>17.125495283050906</v>
      </c>
      <c r="AG41" s="3">
        <v>37</v>
      </c>
      <c r="AH41" s="3">
        <f t="shared" si="5"/>
        <v>11.880614748246202</v>
      </c>
      <c r="AI41" s="3">
        <f t="shared" si="5"/>
        <v>9.5044917985969661</v>
      </c>
      <c r="AJ41" s="3">
        <f t="shared" si="5"/>
        <v>7.1283688489477157</v>
      </c>
      <c r="AK41" s="3">
        <f t="shared" si="5"/>
        <v>4.7522458992984831</v>
      </c>
      <c r="AL41" s="3">
        <f t="shared" si="5"/>
        <v>2.3761229496492415</v>
      </c>
      <c r="AM41" s="3"/>
      <c r="AN41" s="3">
        <v>37</v>
      </c>
      <c r="AO41" s="3">
        <f>[1]节奏总纲!BA40</f>
        <v>31.621225803361821</v>
      </c>
      <c r="AP41" s="3">
        <f>[1]节奏总纲!BB40</f>
        <v>33.02082518821102</v>
      </c>
      <c r="AQ41" s="3">
        <f>[1]节奏总纲!BC40</f>
        <v>34.804737466754489</v>
      </c>
      <c r="AR41" s="3">
        <f>[1]节奏总纲!BD40</f>
        <v>37.498964956033646</v>
      </c>
      <c r="AS41" s="3">
        <f>[1]节奏总纲!BE40</f>
        <v>42.167148737437564</v>
      </c>
      <c r="AW41" s="3">
        <v>37</v>
      </c>
      <c r="AX41" s="3">
        <f>[1]节奏总纲!BQ40</f>
        <v>64.359497111737156</v>
      </c>
      <c r="AY41" s="3">
        <f>[1]节奏总纲!BR40</f>
        <v>63.209317326948991</v>
      </c>
      <c r="AZ41" s="3">
        <f>[1]节奏总纲!BS40</f>
        <v>61.962579408406434</v>
      </c>
      <c r="BA41" s="3">
        <f>[1]节奏总纲!BT40</f>
        <v>60.595449466932955</v>
      </c>
      <c r="BB41" s="3">
        <f>[1]节奏总纲!BU40</f>
        <v>59.095772172790291</v>
      </c>
      <c r="BG41" s="5">
        <v>37</v>
      </c>
      <c r="BH41" s="5">
        <f>'[1]功能-城建'!$E42</f>
        <v>13</v>
      </c>
      <c r="BL41" s="3">
        <v>37</v>
      </c>
      <c r="BM41" s="3">
        <f>[1]节奏总纲!BX40</f>
        <v>24.790207436719726</v>
      </c>
      <c r="BN41" s="3">
        <f>[1]节奏总纲!BY40</f>
        <v>25.311453581089211</v>
      </c>
      <c r="BO41" s="3">
        <f>[1]节奏总纲!BZ40</f>
        <v>25.904599594946017</v>
      </c>
      <c r="BP41" s="3">
        <f>[1]节奏总纲!CA40</f>
        <v>26.520408035249631</v>
      </c>
      <c r="BQ41" s="3">
        <f>[1]节奏总纲!CB40</f>
        <v>27.220389775920598</v>
      </c>
    </row>
    <row r="42" spans="3:69">
      <c r="C42" s="3">
        <v>38</v>
      </c>
      <c r="D42" s="3">
        <f>[1]节奏总纲!P41</f>
        <v>12.928809012737984</v>
      </c>
      <c r="E42" s="3">
        <f>[1]节奏总纲!Q41</f>
        <v>11.292021791725356</v>
      </c>
      <c r="F42" s="3">
        <f>[1]节奏总纲!R41</f>
        <v>9.3190855363815395</v>
      </c>
      <c r="G42" s="3">
        <f>[1]节奏总纲!S41</f>
        <v>6.8962267273944402</v>
      </c>
      <c r="H42" s="3">
        <f>[1]节奏总纲!T41</f>
        <v>3.8708854184137524</v>
      </c>
      <c r="J42" s="3">
        <v>38</v>
      </c>
      <c r="K42" s="3">
        <f t="shared" si="4"/>
        <v>0.93277067103821665</v>
      </c>
      <c r="L42" s="3">
        <f t="shared" si="4"/>
        <v>0.80868388491392906</v>
      </c>
      <c r="M42" s="3">
        <f t="shared" si="4"/>
        <v>0.65194783450345639</v>
      </c>
      <c r="N42" s="3">
        <f t="shared" si="4"/>
        <v>0.4795458184192336</v>
      </c>
      <c r="O42" s="3">
        <f t="shared" si="4"/>
        <v>0.2708743120696524</v>
      </c>
      <c r="Q42" s="3">
        <v>38</v>
      </c>
      <c r="R42" s="3">
        <f>[1]节奏总纲!AD41</f>
        <v>52.849666392872081</v>
      </c>
      <c r="S42" s="3">
        <f>[1]节奏总纲!AE41</f>
        <v>54.793943482513676</v>
      </c>
      <c r="T42" s="3">
        <f>[1]节奏总纲!AF41</f>
        <v>57.64832002380362</v>
      </c>
      <c r="U42" s="3">
        <f>[1]节奏总纲!AG41</f>
        <v>62.054222259937362</v>
      </c>
      <c r="V42" s="3">
        <f>[1]节奏总纲!AH41</f>
        <v>70.571129226337533</v>
      </c>
      <c r="Z42" s="3">
        <v>38</v>
      </c>
      <c r="AA42" s="3">
        <f>[1]节奏总纲!AM41</f>
        <v>99.401036064365428</v>
      </c>
      <c r="AB42" s="3">
        <f>[1]节奏总纲!AN41</f>
        <v>79.520828851492354</v>
      </c>
      <c r="AC42" s="3">
        <f>[1]节奏总纲!AO41</f>
        <v>59.640621638619251</v>
      </c>
      <c r="AD42" s="3">
        <f>[1]节奏总纲!AP41</f>
        <v>39.760414425746177</v>
      </c>
      <c r="AE42" s="3">
        <f>[1]节奏总纲!AQ41</f>
        <v>19.880207212873088</v>
      </c>
      <c r="AG42" s="3">
        <v>38</v>
      </c>
      <c r="AH42" s="3">
        <f t="shared" si="5"/>
        <v>13.773559649110908</v>
      </c>
      <c r="AI42" s="3">
        <f t="shared" si="5"/>
        <v>11.018847719288729</v>
      </c>
      <c r="AJ42" s="3">
        <f t="shared" si="5"/>
        <v>8.2641357894665433</v>
      </c>
      <c r="AK42" s="3">
        <f t="shared" si="5"/>
        <v>5.5094238596443645</v>
      </c>
      <c r="AL42" s="3">
        <f t="shared" si="5"/>
        <v>2.7547119298221823</v>
      </c>
      <c r="AM42" s="3"/>
      <c r="AN42" s="3">
        <v>38</v>
      </c>
      <c r="AO42" s="3">
        <f>[1]节奏总纲!BA41</f>
        <v>31.791783505653711</v>
      </c>
      <c r="AP42" s="3">
        <f>[1]节奏总纲!BB41</f>
        <v>33.176527924103851</v>
      </c>
      <c r="AQ42" s="3">
        <f>[1]节奏总纲!BC41</f>
        <v>34.982248860614042</v>
      </c>
      <c r="AR42" s="3">
        <f>[1]节奏总纲!BD41</f>
        <v>37.680472138177471</v>
      </c>
      <c r="AS42" s="3">
        <f>[1]节奏总纲!BE41</f>
        <v>42.340712512072891</v>
      </c>
      <c r="AW42" s="3">
        <v>38</v>
      </c>
      <c r="AX42" s="3">
        <f>[1]节奏总纲!BQ41</f>
        <v>66.487641207576758</v>
      </c>
      <c r="AY42" s="3">
        <f>[1]节奏总纲!BR41</f>
        <v>65.328126673719694</v>
      </c>
      <c r="AZ42" s="3">
        <f>[1]节奏总纲!BS41</f>
        <v>64.062055525287363</v>
      </c>
      <c r="BA42" s="3">
        <f>[1]节奏总纲!BT41</f>
        <v>62.675920173751969</v>
      </c>
      <c r="BB42" s="3">
        <f>[1]节奏总纲!BU41</f>
        <v>61.182714958690575</v>
      </c>
      <c r="BG42" s="5">
        <v>38</v>
      </c>
      <c r="BH42" s="5">
        <f>'[1]功能-城建'!$E43</f>
        <v>14</v>
      </c>
      <c r="BL42" s="3">
        <v>38</v>
      </c>
      <c r="BM42" s="3">
        <f>[1]节奏总纲!BX41</f>
        <v>25.233890826430223</v>
      </c>
      <c r="BN42" s="3">
        <f>[1]节奏总纲!BY41</f>
        <v>25.758552007948477</v>
      </c>
      <c r="BO42" s="3">
        <f>[1]节奏总纲!BZ41</f>
        <v>26.328232260907932</v>
      </c>
      <c r="BP42" s="3">
        <f>[1]节奏总纲!CA41</f>
        <v>26.972253230365787</v>
      </c>
      <c r="BQ42" s="3">
        <f>[1]节奏总纲!CB41</f>
        <v>27.655588848776532</v>
      </c>
    </row>
    <row r="43" spans="3:69">
      <c r="C43" s="3">
        <v>39</v>
      </c>
      <c r="D43" s="3">
        <f>[1]节奏总纲!P42</f>
        <v>13.928527864588917</v>
      </c>
      <c r="E43" s="3">
        <f>[1]节奏总纲!Q42</f>
        <v>12.147069150707994</v>
      </c>
      <c r="F43" s="3">
        <f>[1]节奏总纲!R42</f>
        <v>10.016004387425889</v>
      </c>
      <c r="G43" s="3">
        <f>[1]节奏总纲!S42</f>
        <v>7.4197267934665154</v>
      </c>
      <c r="H43" s="3">
        <f>[1]节奏总纲!T42</f>
        <v>4.1702012426579218</v>
      </c>
      <c r="J43" s="3">
        <v>39</v>
      </c>
      <c r="K43" s="3">
        <f t="shared" si="4"/>
        <v>0.99971885185093257</v>
      </c>
      <c r="L43" s="3">
        <f t="shared" si="4"/>
        <v>0.85504735898263817</v>
      </c>
      <c r="M43" s="3">
        <f t="shared" si="4"/>
        <v>0.69691885104434981</v>
      </c>
      <c r="N43" s="3">
        <f t="shared" si="4"/>
        <v>0.52350006607207522</v>
      </c>
      <c r="O43" s="3">
        <f t="shared" si="4"/>
        <v>0.29931582424416936</v>
      </c>
      <c r="Q43" s="3">
        <v>39</v>
      </c>
      <c r="R43" s="3">
        <f>[1]节奏总纲!AD42</f>
        <v>53.213386604241784</v>
      </c>
      <c r="S43" s="3">
        <f>[1]节奏总纲!AE42</f>
        <v>55.170390866416149</v>
      </c>
      <c r="T43" s="3">
        <f>[1]节奏总纲!AF42</f>
        <v>58.030740707238266</v>
      </c>
      <c r="U43" s="3">
        <f>[1]节奏总纲!AG42</f>
        <v>62.407376554018477</v>
      </c>
      <c r="V43" s="3">
        <f>[1]节奏总纲!AH42</f>
        <v>70.951831283621587</v>
      </c>
      <c r="Z43" s="3">
        <v>39</v>
      </c>
      <c r="AA43" s="3">
        <f>[1]节奏总纲!AM42</f>
        <v>115.36769098598003</v>
      </c>
      <c r="AB43" s="3">
        <f>[1]节奏总纲!AN42</f>
        <v>92.294152788784032</v>
      </c>
      <c r="AC43" s="3">
        <f>[1]节奏总纲!AO42</f>
        <v>69.220614591588017</v>
      </c>
      <c r="AD43" s="3">
        <f>[1]节奏总纲!AP42</f>
        <v>46.147076394392016</v>
      </c>
      <c r="AE43" s="3">
        <f>[1]节奏总纲!AQ42</f>
        <v>23.073538197196008</v>
      </c>
      <c r="AG43" s="3">
        <v>39</v>
      </c>
      <c r="AH43" s="3">
        <f t="shared" si="5"/>
        <v>15.966654921614605</v>
      </c>
      <c r="AI43" s="3">
        <f t="shared" si="5"/>
        <v>12.773323937291678</v>
      </c>
      <c r="AJ43" s="3">
        <f t="shared" si="5"/>
        <v>9.579992952968766</v>
      </c>
      <c r="AK43" s="3">
        <f t="shared" si="5"/>
        <v>6.3866619686458392</v>
      </c>
      <c r="AL43" s="3">
        <f t="shared" si="5"/>
        <v>3.1933309843229196</v>
      </c>
      <c r="AM43" s="3"/>
      <c r="AN43" s="3">
        <v>39</v>
      </c>
      <c r="AO43" s="3">
        <f>[1]节奏总纲!BA42</f>
        <v>31.962341207945599</v>
      </c>
      <c r="AP43" s="3">
        <f>[1]节奏总纲!BB42</f>
        <v>33.332230659996682</v>
      </c>
      <c r="AQ43" s="3">
        <f>[1]节奏总纲!BC42</f>
        <v>35.146386283795508</v>
      </c>
      <c r="AR43" s="3">
        <f>[1]节奏总纲!BD42</f>
        <v>37.861979320321296</v>
      </c>
      <c r="AS43" s="3">
        <f>[1]节奏总纲!BE42</f>
        <v>42.51427628670821</v>
      </c>
      <c r="AW43" s="3">
        <v>39</v>
      </c>
      <c r="AX43" s="3">
        <f>[1]节奏总纲!BQ42</f>
        <v>68.617325920549462</v>
      </c>
      <c r="AY43" s="3">
        <f>[1]节奏总纲!BR42</f>
        <v>67.444013295864096</v>
      </c>
      <c r="AZ43" s="3">
        <f>[1]节奏总纲!BS42</f>
        <v>66.152018816255293</v>
      </c>
      <c r="BA43" s="3">
        <f>[1]节奏总纲!BT42</f>
        <v>64.756218484668864</v>
      </c>
      <c r="BB43" s="3">
        <f>[1]节奏总纲!BU42</f>
        <v>63.227467500622204</v>
      </c>
      <c r="BG43" s="5">
        <v>39</v>
      </c>
      <c r="BH43" s="5">
        <f>'[1]功能-城建'!$E44</f>
        <v>14</v>
      </c>
      <c r="BL43" s="3">
        <v>39</v>
      </c>
      <c r="BM43" s="3">
        <f>[1]节奏总纲!BX42</f>
        <v>25.676063828071452</v>
      </c>
      <c r="BN43" s="3">
        <f>[1]节奏总纲!BY42</f>
        <v>26.19708330565534</v>
      </c>
      <c r="BO43" s="3">
        <f>[1]节奏总纲!BZ42</f>
        <v>26.766006813599326</v>
      </c>
      <c r="BP43" s="3">
        <f>[1]节奏总纲!CA42</f>
        <v>27.396883495694844</v>
      </c>
      <c r="BQ43" s="3">
        <f>[1]节奏总纲!CB42</f>
        <v>28.116418470149469</v>
      </c>
    </row>
    <row r="44" spans="3:69">
      <c r="C44" s="3">
        <v>40</v>
      </c>
      <c r="D44" s="3">
        <f>[1]节奏总纲!P43</f>
        <v>15</v>
      </c>
      <c r="E44" s="3">
        <f>[1]节奏总纲!Q43</f>
        <v>13.059000000000001</v>
      </c>
      <c r="F44" s="3">
        <f>[1]节奏总纲!R43</f>
        <v>10.782</v>
      </c>
      <c r="G44" s="3">
        <f>[1]节奏总纲!S43</f>
        <v>8.0009999999999994</v>
      </c>
      <c r="H44" s="3">
        <f>[1]节奏总纲!T43</f>
        <v>4.5</v>
      </c>
      <c r="J44" s="3">
        <v>40</v>
      </c>
      <c r="K44" s="3">
        <f t="shared" si="4"/>
        <v>1.0714721354110832</v>
      </c>
      <c r="L44" s="3">
        <f t="shared" si="4"/>
        <v>0.9119308492920073</v>
      </c>
      <c r="M44" s="3">
        <f t="shared" si="4"/>
        <v>0.76599561257411075</v>
      </c>
      <c r="N44" s="3">
        <f t="shared" si="4"/>
        <v>0.58127320653348402</v>
      </c>
      <c r="O44" s="3">
        <f t="shared" si="4"/>
        <v>0.3297987573420782</v>
      </c>
      <c r="Q44" s="3">
        <v>40</v>
      </c>
      <c r="R44" s="3">
        <f>[1]节奏总纲!AD43</f>
        <v>53.567039423670657</v>
      </c>
      <c r="S44" s="3">
        <f>[1]节奏总纲!AE43</f>
        <v>55.535006783542492</v>
      </c>
      <c r="T44" s="3">
        <f>[1]节奏总纲!AF43</f>
        <v>58.38602553461638</v>
      </c>
      <c r="U44" s="3">
        <f>[1]节奏总纲!AG43</f>
        <v>62.760530848099599</v>
      </c>
      <c r="V44" s="3">
        <f>[1]节奏总纲!AH43</f>
        <v>71.315281959371688</v>
      </c>
      <c r="Z44" s="3">
        <v>40</v>
      </c>
      <c r="AA44" s="3">
        <f>[1]节奏总纲!AM43</f>
        <v>133.875</v>
      </c>
      <c r="AB44" s="3">
        <f>[1]节奏总纲!AN43</f>
        <v>107.10000000000001</v>
      </c>
      <c r="AC44" s="3">
        <f>[1]节奏总纲!AO43</f>
        <v>80.325000000000003</v>
      </c>
      <c r="AD44" s="3">
        <f>[1]节奏总纲!AP43</f>
        <v>53.550000000000004</v>
      </c>
      <c r="AE44" s="3">
        <f>[1]节奏总纲!AQ43</f>
        <v>26.775000000000002</v>
      </c>
      <c r="AG44" s="3">
        <v>40</v>
      </c>
      <c r="AH44" s="3">
        <f t="shared" si="5"/>
        <v>18.507309014019967</v>
      </c>
      <c r="AI44" s="3">
        <f t="shared" si="5"/>
        <v>14.805847211215976</v>
      </c>
      <c r="AJ44" s="3">
        <f t="shared" si="5"/>
        <v>11.104385408411986</v>
      </c>
      <c r="AK44" s="3">
        <f t="shared" si="5"/>
        <v>7.4029236056079881</v>
      </c>
      <c r="AL44" s="3">
        <f t="shared" si="5"/>
        <v>3.7014618028039941</v>
      </c>
      <c r="AM44" s="3"/>
      <c r="AN44" s="3">
        <v>40</v>
      </c>
      <c r="AO44" s="3">
        <f>[1]节奏总纲!BA43</f>
        <v>32.113552950216736</v>
      </c>
      <c r="AP44" s="3">
        <f>[1]节奏总纲!BB43</f>
        <v>33.487933395889513</v>
      </c>
      <c r="AQ44" s="3">
        <f>[1]节奏总纲!BC43</f>
        <v>35.309037710234961</v>
      </c>
      <c r="AR44" s="3">
        <f>[1]节奏总纲!BD43</f>
        <v>38.037513426486328</v>
      </c>
      <c r="AS44" s="3">
        <f>[1]节奏总纲!BE43</f>
        <v>42.687840061343536</v>
      </c>
      <c r="AW44" s="3">
        <v>40</v>
      </c>
      <c r="AX44" s="3">
        <f>[1]节奏总纲!BQ43</f>
        <v>70.748339784677938</v>
      </c>
      <c r="AY44" s="3">
        <f>[1]节奏总纲!BR43</f>
        <v>69.615263433680354</v>
      </c>
      <c r="AZ44" s="3">
        <f>[1]节奏总纲!BS43</f>
        <v>68.367495331711169</v>
      </c>
      <c r="BA44" s="3">
        <f>[1]节奏总纲!BT43</f>
        <v>66.978083215330415</v>
      </c>
      <c r="BB44" s="3">
        <f>[1]节奏总纲!BU43</f>
        <v>65.42062527862636</v>
      </c>
      <c r="BG44" s="5">
        <v>40</v>
      </c>
      <c r="BH44" s="5">
        <f>'[1]功能-城建'!$E45</f>
        <v>15</v>
      </c>
      <c r="BL44" s="3">
        <v>40</v>
      </c>
      <c r="BM44" s="3">
        <f>[1]节奏总纲!BX43</f>
        <v>26.127796402772656</v>
      </c>
      <c r="BN44" s="3">
        <f>[1]节奏总纲!BY43</f>
        <v>26.626710211681832</v>
      </c>
      <c r="BO44" s="3">
        <f>[1]节奏总纲!BZ43</f>
        <v>27.210732057225155</v>
      </c>
      <c r="BP44" s="3">
        <f>[1]节奏总纲!CA43</f>
        <v>27.863833570485102</v>
      </c>
      <c r="BQ44" s="3">
        <f>[1]节奏总纲!CB43</f>
        <v>28.568390277483555</v>
      </c>
    </row>
    <row r="45" spans="3:69">
      <c r="C45" s="3">
        <v>41</v>
      </c>
      <c r="D45" s="3">
        <f>[1]节奏总纲!P44</f>
        <v>16.148375400580683</v>
      </c>
      <c r="E45" s="3">
        <f>[1]节奏总纲!Q44</f>
        <v>14.065234973905774</v>
      </c>
      <c r="F45" s="3">
        <f>[1]节奏总纲!R44</f>
        <v>11.621985775797917</v>
      </c>
      <c r="G45" s="3">
        <f>[1]节奏总纲!S44</f>
        <v>8.6296918140703163</v>
      </c>
      <c r="H45" s="3">
        <f>[1]节奏总纲!T44</f>
        <v>4.8606609955747855</v>
      </c>
      <c r="J45" s="3">
        <v>41</v>
      </c>
      <c r="K45" s="3">
        <f t="shared" si="4"/>
        <v>1.148375400580683</v>
      </c>
      <c r="L45" s="3">
        <f t="shared" si="4"/>
        <v>1.006234973905773</v>
      </c>
      <c r="M45" s="3">
        <f t="shared" si="4"/>
        <v>0.839985775797917</v>
      </c>
      <c r="N45" s="3">
        <f t="shared" si="4"/>
        <v>0.62869181407031682</v>
      </c>
      <c r="O45" s="3">
        <f t="shared" si="4"/>
        <v>0.36066099557478548</v>
      </c>
      <c r="Q45" s="3">
        <v>41</v>
      </c>
      <c r="R45" s="3">
        <f>[1]节奏总纲!AD44</f>
        <v>53.920692243099523</v>
      </c>
      <c r="S45" s="3">
        <f>[1]节奏总纲!AE44</f>
        <v>55.899622700668843</v>
      </c>
      <c r="T45" s="3">
        <f>[1]节奏总纲!AF44</f>
        <v>58.741310361994486</v>
      </c>
      <c r="U45" s="3">
        <f>[1]节奏总纲!AG44</f>
        <v>63.10587219844583</v>
      </c>
      <c r="V45" s="3">
        <f>[1]节奏总纲!AH44</f>
        <v>71.676233707038421</v>
      </c>
      <c r="Z45" s="3">
        <v>41</v>
      </c>
      <c r="AA45" s="3">
        <f>[1]节奏总纲!AM44</f>
        <v>155.32539280599755</v>
      </c>
      <c r="AB45" s="3">
        <f>[1]节奏总纲!AN44</f>
        <v>124.26031424479805</v>
      </c>
      <c r="AC45" s="3">
        <f>[1]节奏总纲!AO44</f>
        <v>93.195235683598526</v>
      </c>
      <c r="AD45" s="3">
        <f>[1]节奏总纲!AP44</f>
        <v>62.130157122399027</v>
      </c>
      <c r="AE45" s="3">
        <f>[1]节奏总纲!AQ44</f>
        <v>31.065078561199513</v>
      </c>
      <c r="AG45" s="3">
        <v>41</v>
      </c>
      <c r="AH45" s="3">
        <f t="shared" si="5"/>
        <v>21.450392805997552</v>
      </c>
      <c r="AI45" s="3">
        <f t="shared" si="5"/>
        <v>17.160314244798045</v>
      </c>
      <c r="AJ45" s="3">
        <f t="shared" si="5"/>
        <v>12.870235683598523</v>
      </c>
      <c r="AK45" s="3">
        <f t="shared" si="5"/>
        <v>8.5801571223990223</v>
      </c>
      <c r="AL45" s="3">
        <f t="shared" si="5"/>
        <v>4.2900785611995111</v>
      </c>
      <c r="AM45" s="3"/>
      <c r="AN45" s="3">
        <v>41</v>
      </c>
      <c r="AO45" s="3">
        <f>[1]节奏总纲!BA44</f>
        <v>32.259282740196369</v>
      </c>
      <c r="AP45" s="3">
        <f>[1]节奏总纲!BB44</f>
        <v>33.643636131782344</v>
      </c>
      <c r="AQ45" s="3">
        <f>[1]节奏总纲!BC44</f>
        <v>35.471689136674414</v>
      </c>
      <c r="AR45" s="3">
        <f>[1]节奏总纲!BD44</f>
        <v>38.194089742081125</v>
      </c>
      <c r="AS45" s="3">
        <f>[1]节奏总纲!BE44</f>
        <v>42.861403835978855</v>
      </c>
      <c r="AW45" s="3">
        <v>41</v>
      </c>
      <c r="AX45" s="3">
        <f>[1]节奏总纲!BQ44</f>
        <v>72.880500265925534</v>
      </c>
      <c r="AY45" s="3">
        <f>[1]节奏总纲!BR44</f>
        <v>71.728439272842749</v>
      </c>
      <c r="AZ45" s="3">
        <f>[1]节奏总纲!BS44</f>
        <v>70.476853761910021</v>
      </c>
      <c r="BA45" s="3">
        <f>[1]节奏总纲!BT44</f>
        <v>69.13548950479607</v>
      </c>
      <c r="BB45" s="3">
        <f>[1]节奏总纲!BU44</f>
        <v>67.614538970700607</v>
      </c>
      <c r="BG45" s="5">
        <v>41</v>
      </c>
      <c r="BH45" s="5">
        <f>'[1]功能-城建'!$E46</f>
        <v>15</v>
      </c>
      <c r="BL45" s="3">
        <v>41</v>
      </c>
      <c r="BM45" s="3">
        <f>[1]节奏总纲!BX44</f>
        <v>26.560612527540403</v>
      </c>
      <c r="BN45" s="3">
        <f>[1]节奏总纲!BY44</f>
        <v>27.085909727083454</v>
      </c>
      <c r="BO45" s="3">
        <f>[1]节奏总纲!BZ44</f>
        <v>27.660585260415356</v>
      </c>
      <c r="BP45" s="3">
        <f>[1]节奏总纲!CA44</f>
        <v>28.314646355865854</v>
      </c>
      <c r="BQ45" s="3">
        <f>[1]节奏总纲!CB44</f>
        <v>29.053470241147885</v>
      </c>
    </row>
    <row r="46" spans="3:69">
      <c r="C46" s="3">
        <v>42</v>
      </c>
      <c r="D46" s="3">
        <f>[1]节奏总纲!P45</f>
        <v>17.379173679952558</v>
      </c>
      <c r="E46" s="3">
        <f>[1]节奏总纲!Q45</f>
        <v>15.182446126806555</v>
      </c>
      <c r="F46" s="3">
        <f>[1]节奏总纲!R45</f>
        <v>12.547763396925747</v>
      </c>
      <c r="G46" s="3">
        <f>[1]节奏总纲!S45</f>
        <v>9.3221887619265527</v>
      </c>
      <c r="H46" s="3">
        <f>[1]节奏总纲!T45</f>
        <v>5.2485104513456724</v>
      </c>
      <c r="J46" s="3">
        <v>42</v>
      </c>
      <c r="K46" s="3">
        <f t="shared" si="4"/>
        <v>1.230798279371875</v>
      </c>
      <c r="L46" s="3">
        <f t="shared" si="4"/>
        <v>1.1172111529007811</v>
      </c>
      <c r="M46" s="3">
        <f t="shared" si="4"/>
        <v>0.92577762112783013</v>
      </c>
      <c r="N46" s="3">
        <f t="shared" si="4"/>
        <v>0.69249694785623639</v>
      </c>
      <c r="O46" s="3">
        <f t="shared" si="4"/>
        <v>0.38784945577088692</v>
      </c>
      <c r="Q46" s="3">
        <v>42</v>
      </c>
      <c r="R46" s="3">
        <f>[1]节奏总纲!AD45</f>
        <v>54.255972994404218</v>
      </c>
      <c r="S46" s="3">
        <f>[1]节奏总纲!AE45</f>
        <v>56.238779717153008</v>
      </c>
      <c r="T46" s="3">
        <f>[1]节奏总纲!AF45</f>
        <v>59.09095196730258</v>
      </c>
      <c r="U46" s="3">
        <f>[1]节奏总纲!AG45</f>
        <v>63.434756173851497</v>
      </c>
      <c r="V46" s="3">
        <f>[1]节奏总纲!AH45</f>
        <v>72.034562459436771</v>
      </c>
      <c r="Z46" s="3">
        <v>42</v>
      </c>
      <c r="AA46" s="3">
        <f>[1]节奏总纲!AM45</f>
        <v>180.18480345945557</v>
      </c>
      <c r="AB46" s="3">
        <f>[1]节奏总纲!AN45</f>
        <v>144.14784276756447</v>
      </c>
      <c r="AC46" s="3">
        <f>[1]节奏总纲!AO45</f>
        <v>108.11088207567333</v>
      </c>
      <c r="AD46" s="3">
        <f>[1]节奏总纲!AP45</f>
        <v>72.073921383782235</v>
      </c>
      <c r="AE46" s="3">
        <f>[1]节奏总纲!AQ45</f>
        <v>36.036960691891117</v>
      </c>
      <c r="AG46" s="3">
        <v>42</v>
      </c>
      <c r="AH46" s="3">
        <f t="shared" si="5"/>
        <v>24.859410653458013</v>
      </c>
      <c r="AI46" s="3">
        <f t="shared" si="5"/>
        <v>19.887528522766416</v>
      </c>
      <c r="AJ46" s="3">
        <f t="shared" si="5"/>
        <v>14.915646392074805</v>
      </c>
      <c r="AK46" s="3">
        <f t="shared" si="5"/>
        <v>9.9437642613832082</v>
      </c>
      <c r="AL46" s="3">
        <f t="shared" si="5"/>
        <v>4.9718821306916041</v>
      </c>
      <c r="AM46" s="3"/>
      <c r="AN46" s="3">
        <v>42</v>
      </c>
      <c r="AO46" s="3">
        <f>[1]节奏总纲!BA45</f>
        <v>32.405012530176009</v>
      </c>
      <c r="AP46" s="3">
        <f>[1]节奏总纲!BB45</f>
        <v>33.799338867675175</v>
      </c>
      <c r="AQ46" s="3">
        <f>[1]节奏总纲!BC45</f>
        <v>35.634340563113874</v>
      </c>
      <c r="AR46" s="3">
        <f>[1]节奏总纲!BD45</f>
        <v>38.35066605767593</v>
      </c>
      <c r="AS46" s="3">
        <f>[1]节奏总纲!BE45</f>
        <v>43.030177309109042</v>
      </c>
      <c r="AW46" s="3">
        <v>42</v>
      </c>
      <c r="AX46" s="3">
        <f>[1]节奏总纲!BQ45</f>
        <v>75.012735728019962</v>
      </c>
      <c r="AY46" s="3">
        <f>[1]节奏总纲!BR45</f>
        <v>73.895779769437553</v>
      </c>
      <c r="AZ46" s="3">
        <f>[1]节奏总纲!BS45</f>
        <v>72.65984060067882</v>
      </c>
      <c r="BA46" s="3">
        <f>[1]节奏总纲!BT45</f>
        <v>71.293724037797247</v>
      </c>
      <c r="BB46" s="3">
        <f>[1]节奏总纲!BU45</f>
        <v>69.810299559768239</v>
      </c>
      <c r="BG46" s="5">
        <v>42</v>
      </c>
      <c r="BH46" s="5">
        <f>'[1]功能-城建'!$E47</f>
        <v>16</v>
      </c>
      <c r="BL46" s="3">
        <v>42</v>
      </c>
      <c r="BM46" s="3">
        <f>[1]节奏总纲!BX45</f>
        <v>27.020882333389096</v>
      </c>
      <c r="BN46" s="3">
        <f>[1]节奏总纲!BY45</f>
        <v>27.534650375663031</v>
      </c>
      <c r="BO46" s="3">
        <f>[1]节奏总纲!BZ45</f>
        <v>28.133393592464987</v>
      </c>
      <c r="BP46" s="3">
        <f>[1]节奏总纲!CA45</f>
        <v>28.789161632421735</v>
      </c>
      <c r="BQ46" s="3">
        <f>[1]节奏总纲!CB45</f>
        <v>29.507063914299049</v>
      </c>
    </row>
    <row r="47" spans="3:69">
      <c r="C47" s="3">
        <v>43</v>
      </c>
      <c r="D47" s="3">
        <f>[1]节奏总纲!P46</f>
        <v>18.698310613518661</v>
      </c>
      <c r="E47" s="3">
        <f>[1]节奏总纲!Q46</f>
        <v>16.338583814092605</v>
      </c>
      <c r="F47" s="3">
        <f>[1]节奏总纲!R46</f>
        <v>13.509529418267233</v>
      </c>
      <c r="G47" s="3">
        <f>[1]节奏总纲!S46</f>
        <v>10.020424657784652</v>
      </c>
      <c r="H47" s="3">
        <f>[1]节奏总纲!T46</f>
        <v>5.6394104810372276</v>
      </c>
      <c r="J47" s="3">
        <v>43</v>
      </c>
      <c r="K47" s="3">
        <f t="shared" si="4"/>
        <v>1.319136933566103</v>
      </c>
      <c r="L47" s="3">
        <f t="shared" si="4"/>
        <v>1.1561376872860496</v>
      </c>
      <c r="M47" s="3">
        <f t="shared" si="4"/>
        <v>0.96176602134148581</v>
      </c>
      <c r="N47" s="3">
        <f t="shared" si="4"/>
        <v>0.6982358958580992</v>
      </c>
      <c r="O47" s="3">
        <f t="shared" si="4"/>
        <v>0.39090002969155524</v>
      </c>
      <c r="Q47" s="3">
        <v>43</v>
      </c>
      <c r="R47" s="3">
        <f>[1]节奏总纲!AD46</f>
        <v>54.585942742481357</v>
      </c>
      <c r="S47" s="3">
        <f>[1]节奏总纲!AE46</f>
        <v>56.568265567054013</v>
      </c>
      <c r="T47" s="3">
        <f>[1]节奏总纲!AF46</f>
        <v>59.425480572843689</v>
      </c>
      <c r="U47" s="3">
        <f>[1]节奏总纲!AG46</f>
        <v>63.763640149257171</v>
      </c>
      <c r="V47" s="3">
        <f>[1]节奏总纲!AH46</f>
        <v>72.370053318329937</v>
      </c>
      <c r="Z47" s="3">
        <v>43</v>
      </c>
      <c r="AA47" s="3">
        <f>[1]节奏总纲!AM46</f>
        <v>208.99265815439742</v>
      </c>
      <c r="AB47" s="3">
        <f>[1]节奏总纲!AN46</f>
        <v>167.19412652351795</v>
      </c>
      <c r="AC47" s="3">
        <f>[1]节奏总纲!AO46</f>
        <v>125.39559489263844</v>
      </c>
      <c r="AD47" s="3">
        <f>[1]节奏总纲!AP46</f>
        <v>83.597063261758976</v>
      </c>
      <c r="AE47" s="3">
        <f>[1]节奏总纲!AQ46</f>
        <v>41.798531630879488</v>
      </c>
      <c r="AG47" s="3">
        <v>43</v>
      </c>
      <c r="AH47" s="3">
        <f t="shared" si="5"/>
        <v>28.807854694941852</v>
      </c>
      <c r="AI47" s="3">
        <f t="shared" si="5"/>
        <v>23.046283755953482</v>
      </c>
      <c r="AJ47" s="3">
        <f t="shared" si="5"/>
        <v>17.284712816965111</v>
      </c>
      <c r="AK47" s="3">
        <f t="shared" si="5"/>
        <v>11.523141877976741</v>
      </c>
      <c r="AL47" s="3">
        <f t="shared" si="5"/>
        <v>5.7615709389883705</v>
      </c>
      <c r="AM47" s="3"/>
      <c r="AN47" s="3">
        <v>43</v>
      </c>
      <c r="AO47" s="3">
        <f>[1]节奏总纲!BA46</f>
        <v>32.550742320155642</v>
      </c>
      <c r="AP47" s="3">
        <f>[1]节奏总纲!BB46</f>
        <v>33.955041603568006</v>
      </c>
      <c r="AQ47" s="3">
        <f>[1]节奏总纲!BC46</f>
        <v>35.796991989553327</v>
      </c>
      <c r="AR47" s="3">
        <f>[1]节奏总纲!BD46</f>
        <v>38.507242373270728</v>
      </c>
      <c r="AS47" s="3">
        <f>[1]节奏总纲!BE46</f>
        <v>43.179964142847631</v>
      </c>
      <c r="AW47" s="3">
        <v>43</v>
      </c>
      <c r="AX47" s="3">
        <f>[1]节奏总纲!BQ46</f>
        <v>77.137764615612369</v>
      </c>
      <c r="AY47" s="3">
        <f>[1]节奏总纲!BR46</f>
        <v>76.018081402346411</v>
      </c>
      <c r="AZ47" s="3">
        <f>[1]节奏总纲!BS46</f>
        <v>74.771148405180824</v>
      </c>
      <c r="BA47" s="3">
        <f>[1]节奏总纲!BT46</f>
        <v>73.446658299619131</v>
      </c>
      <c r="BB47" s="3">
        <f>[1]节奏总纲!BU46</f>
        <v>71.964465094771541</v>
      </c>
      <c r="BG47" s="5">
        <v>43</v>
      </c>
      <c r="BH47" s="5">
        <f>'[1]功能-城建'!$E48</f>
        <v>16</v>
      </c>
      <c r="BL47" s="3">
        <v>43</v>
      </c>
      <c r="BM47" s="3">
        <f>[1]节奏总纲!BX46</f>
        <v>27.444759493295177</v>
      </c>
      <c r="BN47" s="3">
        <f>[1]节奏总纲!BY46</f>
        <v>27.999026312380973</v>
      </c>
      <c r="BO47" s="3">
        <f>[1]节奏总纲!BZ46</f>
        <v>28.572743465906495</v>
      </c>
      <c r="BP47" s="3">
        <f>[1]节奏总纲!CA46</f>
        <v>29.228371965502063</v>
      </c>
      <c r="BQ47" s="3">
        <f>[1]节奏总纲!CB46</f>
        <v>29.964225263024609</v>
      </c>
    </row>
    <row r="48" spans="3:69">
      <c r="C48" s="3">
        <v>44</v>
      </c>
      <c r="D48" s="3">
        <f>[1]节奏总纲!P47</f>
        <v>20.112126572366307</v>
      </c>
      <c r="E48" s="3">
        <f>[1]节奏总纲!Q47</f>
        <v>17.573976198933678</v>
      </c>
      <c r="F48" s="3">
        <f>[1]节奏总纲!R47</f>
        <v>14.520955385248474</v>
      </c>
      <c r="G48" s="3">
        <f>[1]节奏总纲!S47</f>
        <v>10.768032566844921</v>
      </c>
      <c r="H48" s="3">
        <f>[1]节奏总纲!T47</f>
        <v>6.0537500982822579</v>
      </c>
      <c r="J48" s="3">
        <v>44</v>
      </c>
      <c r="K48" s="3">
        <f t="shared" si="4"/>
        <v>1.4138159588476462</v>
      </c>
      <c r="L48" s="3">
        <f t="shared" si="4"/>
        <v>1.2353923848410737</v>
      </c>
      <c r="M48" s="3">
        <f t="shared" si="4"/>
        <v>1.0114259669812409</v>
      </c>
      <c r="N48" s="3">
        <f t="shared" si="4"/>
        <v>0.74760790906026919</v>
      </c>
      <c r="O48" s="3">
        <f t="shared" si="4"/>
        <v>0.41433961724503021</v>
      </c>
      <c r="Q48" s="3">
        <v>44</v>
      </c>
      <c r="R48" s="3">
        <f>[1]节奏总纲!AD47</f>
        <v>54.915912490558505</v>
      </c>
      <c r="S48" s="3">
        <f>[1]节奏总纲!AE47</f>
        <v>56.897751416955018</v>
      </c>
      <c r="T48" s="3">
        <f>[1]节奏总纲!AF47</f>
        <v>59.760009178384806</v>
      </c>
      <c r="U48" s="3">
        <f>[1]节奏总纲!AG47</f>
        <v>64.08760696397195</v>
      </c>
      <c r="V48" s="3">
        <f>[1]节奏总纲!AH47</f>
        <v>72.705544177223089</v>
      </c>
      <c r="Z48" s="3">
        <v>44</v>
      </c>
      <c r="AA48" s="3">
        <f>[1]节奏总纲!AM47</f>
        <v>242.37342918215046</v>
      </c>
      <c r="AB48" s="3">
        <f>[1]节奏总纲!AN47</f>
        <v>193.89874334572039</v>
      </c>
      <c r="AC48" s="3">
        <f>[1]节奏总纲!AO47</f>
        <v>145.42405750929026</v>
      </c>
      <c r="AD48" s="3">
        <f>[1]节奏总纲!AP47</f>
        <v>96.949371672860195</v>
      </c>
      <c r="AE48" s="3">
        <f>[1]节奏总纲!AQ47</f>
        <v>48.474685836430098</v>
      </c>
      <c r="AG48" s="3">
        <v>44</v>
      </c>
      <c r="AH48" s="3">
        <f t="shared" si="5"/>
        <v>33.380771027753042</v>
      </c>
      <c r="AI48" s="3">
        <f t="shared" si="5"/>
        <v>26.704616822202439</v>
      </c>
      <c r="AJ48" s="3">
        <f t="shared" si="5"/>
        <v>20.028462616651822</v>
      </c>
      <c r="AK48" s="3">
        <f t="shared" si="5"/>
        <v>13.35230841110122</v>
      </c>
      <c r="AL48" s="3">
        <f t="shared" si="5"/>
        <v>6.6761542055506098</v>
      </c>
      <c r="AM48" s="3"/>
      <c r="AN48" s="3">
        <v>44</v>
      </c>
      <c r="AO48" s="3">
        <f>[1]节奏总纲!BA47</f>
        <v>32.696472110135275</v>
      </c>
      <c r="AP48" s="3">
        <f>[1]节奏总纲!BB47</f>
        <v>34.09469189131628</v>
      </c>
      <c r="AQ48" s="3">
        <f>[1]节奏总纲!BC47</f>
        <v>35.95964341599278</v>
      </c>
      <c r="AR48" s="3">
        <f>[1]节奏总纲!BD47</f>
        <v>38.663818688865533</v>
      </c>
      <c r="AS48" s="3">
        <f>[1]节奏总纲!BE47</f>
        <v>43.329750976586219</v>
      </c>
      <c r="AW48" s="3">
        <v>44</v>
      </c>
      <c r="AX48" s="3">
        <f>[1]节奏总纲!BQ47</f>
        <v>79.263479982320931</v>
      </c>
      <c r="AY48" s="3">
        <f>[1]节奏总纲!BR47</f>
        <v>78.132225077256265</v>
      </c>
      <c r="AZ48" s="3">
        <f>[1]节奏总纲!BS47</f>
        <v>76.889385936298638</v>
      </c>
      <c r="BA48" s="3">
        <f>[1]节奏总纲!BT47</f>
        <v>75.547388626818275</v>
      </c>
      <c r="BB48" s="3">
        <f>[1]节奏总纲!BU47</f>
        <v>74.085064391446963</v>
      </c>
      <c r="BG48" s="5">
        <v>44</v>
      </c>
      <c r="BH48" s="5">
        <f>'[1]功能-城建'!$E49</f>
        <v>17</v>
      </c>
      <c r="BL48" s="3">
        <v>44</v>
      </c>
      <c r="BM48" s="3">
        <f>[1]节奏总纲!BX47</f>
        <v>27.899059784657766</v>
      </c>
      <c r="BN48" s="3">
        <f>[1]节奏总纲!BY47</f>
        <v>28.42242948848067</v>
      </c>
      <c r="BO48" s="3">
        <f>[1]节奏总纲!BZ47</f>
        <v>29.029679451959648</v>
      </c>
      <c r="BP48" s="3">
        <f>[1]节奏总纲!CA47</f>
        <v>29.665539289707144</v>
      </c>
      <c r="BQ48" s="3">
        <f>[1]节奏总纲!CB47</f>
        <v>30.383161594939057</v>
      </c>
    </row>
    <row r="49" spans="3:69">
      <c r="C49" s="3">
        <v>45</v>
      </c>
      <c r="D49" s="3">
        <f>[1]节奏总纲!P48</f>
        <v>21.627416997969519</v>
      </c>
      <c r="E49" s="3">
        <f>[1]节奏总纲!Q48</f>
        <v>18.900199714525563</v>
      </c>
      <c r="F49" s="3">
        <f>[1]节奏总纲!R48</f>
        <v>15.604181364035009</v>
      </c>
      <c r="G49" s="3">
        <f>[1]节奏总纲!S48</f>
        <v>11.572830835613489</v>
      </c>
      <c r="H49" s="3">
        <f>[1]节奏总纲!T48</f>
        <v>6.49903880788984</v>
      </c>
      <c r="J49" s="3">
        <v>45</v>
      </c>
      <c r="K49" s="3">
        <f t="shared" si="4"/>
        <v>1.5152904256032116</v>
      </c>
      <c r="L49" s="3">
        <f t="shared" si="4"/>
        <v>1.3262235155918844</v>
      </c>
      <c r="M49" s="3">
        <f t="shared" si="4"/>
        <v>1.083225978786535</v>
      </c>
      <c r="N49" s="3">
        <f t="shared" si="4"/>
        <v>0.80479826876856819</v>
      </c>
      <c r="O49" s="3">
        <f t="shared" si="4"/>
        <v>0.44528870960758216</v>
      </c>
      <c r="Q49" s="3">
        <v>45</v>
      </c>
      <c r="R49" s="3">
        <f>[1]节奏总纲!AD48</f>
        <v>55.229416240679981</v>
      </c>
      <c r="S49" s="3">
        <f>[1]节奏总纲!AE48</f>
        <v>57.218966664386244</v>
      </c>
      <c r="T49" s="3">
        <f>[1]节奏总纲!AF48</f>
        <v>60.086674688654931</v>
      </c>
      <c r="U49" s="3">
        <f>[1]节奏总纲!AG48</f>
        <v>64.399012521055653</v>
      </c>
      <c r="V49" s="3">
        <f>[1]节奏总纲!AH48</f>
        <v>73.037155126421851</v>
      </c>
      <c r="Z49" s="3">
        <v>45</v>
      </c>
      <c r="AA49" s="3">
        <f>[1]节奏总纲!AM48</f>
        <v>281.05</v>
      </c>
      <c r="AB49" s="3">
        <f>[1]节奏总纲!AN48</f>
        <v>224.84000000000003</v>
      </c>
      <c r="AC49" s="3">
        <f>[1]节奏总纲!AO48</f>
        <v>168.63</v>
      </c>
      <c r="AD49" s="3">
        <f>[1]节奏总纲!AP48</f>
        <v>112.42000000000002</v>
      </c>
      <c r="AE49" s="3">
        <f>[1]节奏总纲!AQ48</f>
        <v>56.210000000000008</v>
      </c>
      <c r="AG49" s="3">
        <v>45</v>
      </c>
      <c r="AH49" s="3">
        <f t="shared" si="5"/>
        <v>38.676570817849552</v>
      </c>
      <c r="AI49" s="3">
        <f t="shared" si="5"/>
        <v>30.941256654279641</v>
      </c>
      <c r="AJ49" s="3">
        <f t="shared" si="5"/>
        <v>23.205942490709731</v>
      </c>
      <c r="AK49" s="3">
        <f t="shared" si="5"/>
        <v>15.470628327139821</v>
      </c>
      <c r="AL49" s="3">
        <f t="shared" si="5"/>
        <v>7.7353141635699103</v>
      </c>
      <c r="AM49" s="3"/>
      <c r="AN49" s="3">
        <v>45</v>
      </c>
      <c r="AO49" s="3">
        <f>[1]节奏总纲!BA48</f>
        <v>32.842201900114915</v>
      </c>
      <c r="AP49" s="3">
        <f>[1]节奏总纲!BB48</f>
        <v>34.227825436710944</v>
      </c>
      <c r="AQ49" s="3">
        <f>[1]节奏总纲!BC48</f>
        <v>36.105477566569242</v>
      </c>
      <c r="AR49" s="3">
        <f>[1]节奏总纲!BD48</f>
        <v>38.82039500446033</v>
      </c>
      <c r="AS49" s="3">
        <f>[1]节奏总纲!BE48</f>
        <v>43.479537810324807</v>
      </c>
      <c r="AW49" s="3">
        <v>45</v>
      </c>
      <c r="AX49" s="3">
        <f>[1]节奏总纲!BQ48</f>
        <v>81.389787349771211</v>
      </c>
      <c r="AY49" s="3">
        <f>[1]节奏总纲!BR48</f>
        <v>80.245839937472738</v>
      </c>
      <c r="AZ49" s="3">
        <f>[1]节奏总纲!BS48</f>
        <v>78.990840028799411</v>
      </c>
      <c r="BA49" s="3">
        <f>[1]节奏总纲!BT48</f>
        <v>77.645290038760592</v>
      </c>
      <c r="BB49" s="3">
        <f>[1]节奏总纲!BU48</f>
        <v>76.140895902703022</v>
      </c>
      <c r="BG49" s="5">
        <v>45</v>
      </c>
      <c r="BH49" s="5">
        <f>'[1]功能-城建'!$E50</f>
        <v>17</v>
      </c>
      <c r="BL49" s="3">
        <v>45</v>
      </c>
      <c r="BM49" s="3">
        <f>[1]节奏总纲!BX48</f>
        <v>28.329224478524736</v>
      </c>
      <c r="BN49" s="3">
        <f>[1]节奏总纲!BY48</f>
        <v>28.87680933825774</v>
      </c>
      <c r="BO49" s="3">
        <f>[1]节奏总纲!BZ48</f>
        <v>29.451960522840583</v>
      </c>
      <c r="BP49" s="3">
        <f>[1]节奏总纲!CA48</f>
        <v>30.116236887917406</v>
      </c>
      <c r="BQ49" s="3">
        <f>[1]节奏总纲!CB48</f>
        <v>30.827767428124027</v>
      </c>
    </row>
    <row r="50" spans="3:69">
      <c r="C50" s="3">
        <v>46</v>
      </c>
      <c r="D50" s="3">
        <f>[1]节奏总纲!P49</f>
        <v>23.251465064166357</v>
      </c>
      <c r="E50" s="3">
        <f>[1]节奏总纲!Q49</f>
        <v>20.310154733549314</v>
      </c>
      <c r="F50" s="3">
        <f>[1]节奏总纲!R49</f>
        <v>16.757330871744692</v>
      </c>
      <c r="G50" s="3">
        <f>[1]节奏总纲!S49</f>
        <v>12.425582930290501</v>
      </c>
      <c r="H50" s="3">
        <f>[1]节奏总纲!T49</f>
        <v>6.9545132006921566</v>
      </c>
      <c r="J50" s="3">
        <v>46</v>
      </c>
      <c r="K50" s="3">
        <f t="shared" si="4"/>
        <v>1.6240480661968384</v>
      </c>
      <c r="L50" s="3">
        <f t="shared" si="4"/>
        <v>1.4099550190237515</v>
      </c>
      <c r="M50" s="3">
        <f t="shared" si="4"/>
        <v>1.1531495077096832</v>
      </c>
      <c r="N50" s="3">
        <f t="shared" si="4"/>
        <v>0.85275209467701174</v>
      </c>
      <c r="O50" s="3">
        <f t="shared" si="4"/>
        <v>0.45547439280231661</v>
      </c>
      <c r="Q50" s="3">
        <v>46</v>
      </c>
      <c r="R50" s="3">
        <f>[1]节奏总纲!AD49</f>
        <v>55.537288901845052</v>
      </c>
      <c r="S50" s="3">
        <f>[1]节奏总纲!AE49</f>
        <v>57.53646043868428</v>
      </c>
      <c r="T50" s="3">
        <f>[1]节奏总纲!AF49</f>
        <v>60.393379177879737</v>
      </c>
      <c r="U50" s="3">
        <f>[1]节奏总纲!AG49</f>
        <v>64.710418078139355</v>
      </c>
      <c r="V50" s="3">
        <f>[1]节奏总纲!AH49</f>
        <v>73.340924940105893</v>
      </c>
      <c r="Z50" s="3">
        <v>46</v>
      </c>
      <c r="AA50" s="3">
        <f>[1]节奏总纲!AM49</f>
        <v>325.85912455595718</v>
      </c>
      <c r="AB50" s="3">
        <f>[1]节奏总纲!AN49</f>
        <v>260.68729964476574</v>
      </c>
      <c r="AC50" s="3">
        <f>[1]节奏总纲!AO49</f>
        <v>195.51547473357431</v>
      </c>
      <c r="AD50" s="3">
        <f>[1]节奏总纲!AP49</f>
        <v>130.34364982238287</v>
      </c>
      <c r="AE50" s="3">
        <f>[1]节奏总纲!AQ49</f>
        <v>65.171824911191436</v>
      </c>
      <c r="AG50" s="3">
        <v>46</v>
      </c>
      <c r="AH50" s="3">
        <f t="shared" si="5"/>
        <v>44.809124555957169</v>
      </c>
      <c r="AI50" s="3">
        <f t="shared" si="5"/>
        <v>35.847299644765712</v>
      </c>
      <c r="AJ50" s="3">
        <f t="shared" si="5"/>
        <v>26.885474733574313</v>
      </c>
      <c r="AK50" s="3">
        <f t="shared" si="5"/>
        <v>17.923649822382856</v>
      </c>
      <c r="AL50" s="3">
        <f t="shared" si="5"/>
        <v>8.9618249111914281</v>
      </c>
      <c r="AM50" s="3"/>
      <c r="AN50" s="3">
        <v>46</v>
      </c>
      <c r="AO50" s="3">
        <f>[1]节奏总纲!BA49</f>
        <v>32.987931690094548</v>
      </c>
      <c r="AP50" s="3">
        <f>[1]节奏总纲!BB49</f>
        <v>34.360958982105608</v>
      </c>
      <c r="AQ50" s="3">
        <f>[1]节奏总纲!BC49</f>
        <v>36.245762114295424</v>
      </c>
      <c r="AR50" s="3">
        <f>[1]节奏总纲!BD49</f>
        <v>38.976971320055128</v>
      </c>
      <c r="AS50" s="3">
        <f>[1]节奏总纲!BE49</f>
        <v>43.629324644063402</v>
      </c>
      <c r="AW50" s="3">
        <v>46</v>
      </c>
      <c r="AX50" s="3">
        <f>[1]节奏总纲!BQ49</f>
        <v>83.516605196495291</v>
      </c>
      <c r="AY50" s="3">
        <f>[1]节奏总纲!BR49</f>
        <v>82.409830559291493</v>
      </c>
      <c r="AZ50" s="3">
        <f>[1]节奏总纲!BS49</f>
        <v>81.207352055772077</v>
      </c>
      <c r="BA50" s="3">
        <f>[1]节奏总纲!BT49</f>
        <v>79.853954326796469</v>
      </c>
      <c r="BB50" s="3">
        <f>[1]节奏总纲!BU49</f>
        <v>78.340013067243973</v>
      </c>
      <c r="BG50" s="5">
        <v>46</v>
      </c>
      <c r="BH50" s="5">
        <f>'[1]功能-城建'!$E51</f>
        <v>18</v>
      </c>
      <c r="BL50" s="3">
        <v>46</v>
      </c>
      <c r="BM50" s="3">
        <f>[1]节奏总纲!BX49</f>
        <v>28.77435892693326</v>
      </c>
      <c r="BN50" s="3">
        <f>[1]节奏总纲!BY49</f>
        <v>29.307110785373723</v>
      </c>
      <c r="BO50" s="3">
        <f>[1]节奏总纲!BZ49</f>
        <v>29.901500340512762</v>
      </c>
      <c r="BP50" s="3">
        <f>[1]节奏总纲!CA49</f>
        <v>30.541959062513101</v>
      </c>
      <c r="BQ50" s="3">
        <f>[1]节奏总纲!CB49</f>
        <v>31.241319778905254</v>
      </c>
    </row>
    <row r="51" spans="3:69">
      <c r="C51" s="3">
        <v>47</v>
      </c>
      <c r="D51" s="3">
        <f>[1]节奏总纲!P50</f>
        <v>24.992076683399535</v>
      </c>
      <c r="E51" s="3">
        <f>[1]节奏总纲!Q50</f>
        <v>21.823081359944474</v>
      </c>
      <c r="F51" s="3">
        <f>[1]节奏总纲!R50</f>
        <v>17.996794419716004</v>
      </c>
      <c r="G51" s="3">
        <f>[1]节奏总纲!S50</f>
        <v>13.335772118261991</v>
      </c>
      <c r="H51" s="3">
        <f>[1]节奏总纲!T50</f>
        <v>7.4426404363163821</v>
      </c>
      <c r="J51" s="3">
        <v>47</v>
      </c>
      <c r="K51" s="3">
        <f t="shared" si="4"/>
        <v>1.740611619233178</v>
      </c>
      <c r="L51" s="3">
        <f t="shared" si="4"/>
        <v>1.51292662639516</v>
      </c>
      <c r="M51" s="3">
        <f t="shared" si="4"/>
        <v>1.2394635479713116</v>
      </c>
      <c r="N51" s="3">
        <f t="shared" si="4"/>
        <v>0.91018918797148984</v>
      </c>
      <c r="O51" s="3">
        <f t="shared" si="4"/>
        <v>0.48812723562422544</v>
      </c>
      <c r="Q51" s="3">
        <v>47</v>
      </c>
      <c r="R51" s="3">
        <f>[1]节奏总纲!AD50</f>
        <v>55.845161563010116</v>
      </c>
      <c r="S51" s="3">
        <f>[1]节奏总纲!AE50</f>
        <v>57.853954212982316</v>
      </c>
      <c r="T51" s="3">
        <f>[1]节奏总纲!AF50</f>
        <v>60.700083667104536</v>
      </c>
      <c r="U51" s="3">
        <f>[1]节奏总纲!AG50</f>
        <v>65.021675833900701</v>
      </c>
      <c r="V51" s="3">
        <f>[1]节奏总纲!AH50</f>
        <v>73.644694753789935</v>
      </c>
      <c r="Z51" s="3">
        <v>47</v>
      </c>
      <c r="AA51" s="3">
        <f>[1]节奏总纲!AM50</f>
        <v>377.76930817680426</v>
      </c>
      <c r="AB51" s="3">
        <f>[1]节奏总纲!AN50</f>
        <v>302.21544654144344</v>
      </c>
      <c r="AC51" s="3">
        <f>[1]节奏总纲!AO50</f>
        <v>226.66158490608254</v>
      </c>
      <c r="AD51" s="3">
        <f>[1]节奏总纲!AP50</f>
        <v>151.10772327072172</v>
      </c>
      <c r="AE51" s="3">
        <f>[1]节奏总纲!AQ50</f>
        <v>75.55386163536086</v>
      </c>
      <c r="AG51" s="3">
        <v>47</v>
      </c>
      <c r="AH51" s="3">
        <f t="shared" si="5"/>
        <v>51.910183620847079</v>
      </c>
      <c r="AI51" s="3">
        <f t="shared" si="5"/>
        <v>41.528146896677697</v>
      </c>
      <c r="AJ51" s="3">
        <f t="shared" si="5"/>
        <v>31.14611017250823</v>
      </c>
      <c r="AK51" s="3">
        <f t="shared" si="5"/>
        <v>20.764073448338848</v>
      </c>
      <c r="AL51" s="3">
        <f t="shared" si="5"/>
        <v>10.382036724169424</v>
      </c>
      <c r="AM51" s="3"/>
      <c r="AN51" s="3">
        <v>47</v>
      </c>
      <c r="AO51" s="3">
        <f>[1]节奏总纲!BA50</f>
        <v>33.114246829746719</v>
      </c>
      <c r="AP51" s="3">
        <f>[1]节奏总纲!BB50</f>
        <v>34.494092527500278</v>
      </c>
      <c r="AQ51" s="3">
        <f>[1]节奏总纲!BC50</f>
        <v>36.386046662021599</v>
      </c>
      <c r="AR51" s="3">
        <f>[1]节奏总纲!BD50</f>
        <v>39.115214427575864</v>
      </c>
      <c r="AS51" s="3">
        <f>[1]节奏总纲!BE50</f>
        <v>43.77911147780199</v>
      </c>
      <c r="AW51" s="3">
        <v>47</v>
      </c>
      <c r="AX51" s="3">
        <f>[1]节奏总纲!BQ50</f>
        <v>85.643863186592412</v>
      </c>
      <c r="AY51" s="3">
        <f>[1]节奏总纲!BR50</f>
        <v>84.53544812855209</v>
      </c>
      <c r="AZ51" s="3">
        <f>[1]节奏总纲!BS50</f>
        <v>83.32493049129468</v>
      </c>
      <c r="BA51" s="3">
        <f>[1]节奏总纲!BT50</f>
        <v>82.027450452783569</v>
      </c>
      <c r="BB51" s="3">
        <f>[1]节奏总纲!BU50</f>
        <v>80.54663523468885</v>
      </c>
      <c r="BG51" s="5">
        <v>47</v>
      </c>
      <c r="BH51" s="5">
        <f>'[1]功能-城建'!$E52</f>
        <v>18</v>
      </c>
      <c r="BL51" s="3">
        <v>47</v>
      </c>
      <c r="BM51" s="3">
        <f>[1]节奏总纲!BX50</f>
        <v>29.214575269515649</v>
      </c>
      <c r="BN51" s="3">
        <f>[1]节奏总纲!BY50</f>
        <v>29.749456349782722</v>
      </c>
      <c r="BO51" s="3">
        <f>[1]节奏总纲!BZ50</f>
        <v>30.328427037480733</v>
      </c>
      <c r="BP51" s="3">
        <f>[1]节奏总纲!CA50</f>
        <v>30.996355742175876</v>
      </c>
      <c r="BQ51" s="3">
        <f>[1]节奏总纲!CB50</f>
        <v>31.657589077576048</v>
      </c>
    </row>
    <row r="52" spans="3:69">
      <c r="C52" s="3">
        <v>48</v>
      </c>
      <c r="D52" s="3">
        <f>[1]节奏总纲!P51</f>
        <v>26.857618025475972</v>
      </c>
      <c r="E52" s="3">
        <f>[1]节奏总纲!Q51</f>
        <v>23.425214441820142</v>
      </c>
      <c r="F52" s="3">
        <f>[1]节奏总纲!R51</f>
        <v>19.329427692935056</v>
      </c>
      <c r="G52" s="3">
        <f>[1]节奏总纲!S51</f>
        <v>14.269452456935383</v>
      </c>
      <c r="H52" s="3">
        <f>[1]节奏总纲!T51</f>
        <v>7.9605979827510778</v>
      </c>
      <c r="J52" s="3">
        <v>48</v>
      </c>
      <c r="K52" s="3">
        <f t="shared" si="4"/>
        <v>1.8655413420764368</v>
      </c>
      <c r="L52" s="3">
        <f t="shared" si="4"/>
        <v>1.6021330818756674</v>
      </c>
      <c r="M52" s="3">
        <f t="shared" si="4"/>
        <v>1.3326332732190522</v>
      </c>
      <c r="N52" s="3">
        <f t="shared" si="4"/>
        <v>0.93368033867339228</v>
      </c>
      <c r="O52" s="3">
        <f t="shared" si="4"/>
        <v>0.51795754643469571</v>
      </c>
      <c r="Q52" s="3">
        <v>48</v>
      </c>
      <c r="R52" s="3">
        <f>[1]节奏总纲!AD51</f>
        <v>56.142785979989682</v>
      </c>
      <c r="S52" s="3">
        <f>[1]节奏总纲!AE51</f>
        <v>58.155157256402767</v>
      </c>
      <c r="T52" s="3">
        <f>[1]节奏总纲!AF51</f>
        <v>61.006268532239034</v>
      </c>
      <c r="U52" s="3">
        <f>[1]节奏总纲!AG51</f>
        <v>65.330972386106993</v>
      </c>
      <c r="V52" s="3">
        <f>[1]节奏总纲!AH51</f>
        <v>73.948464567473962</v>
      </c>
      <c r="Z52" s="3">
        <v>48</v>
      </c>
      <c r="AA52" s="3">
        <f>[1]节奏总纲!AM51</f>
        <v>437.90148836012787</v>
      </c>
      <c r="AB52" s="3">
        <f>[1]节奏总纲!AN51</f>
        <v>350.32119068810232</v>
      </c>
      <c r="AC52" s="3">
        <f>[1]节奏总纲!AO51</f>
        <v>262.74089301607671</v>
      </c>
      <c r="AD52" s="3">
        <f>[1]节奏总纲!AP51</f>
        <v>175.16059534405116</v>
      </c>
      <c r="AE52" s="3">
        <f>[1]节奏总纲!AQ51</f>
        <v>87.58029767202558</v>
      </c>
      <c r="AG52" s="3">
        <v>48</v>
      </c>
      <c r="AH52" s="3">
        <f t="shared" si="5"/>
        <v>60.132180183323612</v>
      </c>
      <c r="AI52" s="3">
        <f t="shared" si="5"/>
        <v>48.105744146658878</v>
      </c>
      <c r="AJ52" s="3">
        <f t="shared" si="5"/>
        <v>36.079308109994173</v>
      </c>
      <c r="AK52" s="3">
        <f t="shared" si="5"/>
        <v>24.052872073329439</v>
      </c>
      <c r="AL52" s="3">
        <f t="shared" si="5"/>
        <v>12.02643603666472</v>
      </c>
      <c r="AM52" s="3"/>
      <c r="AN52" s="3">
        <v>48</v>
      </c>
      <c r="AO52" s="3">
        <f>[1]节奏总纲!BA51</f>
        <v>33.238809018460984</v>
      </c>
      <c r="AP52" s="3">
        <f>[1]节奏总纲!BB51</f>
        <v>34.627226072894942</v>
      </c>
      <c r="AQ52" s="3">
        <f>[1]节奏总纲!BC51</f>
        <v>36.526331209747774</v>
      </c>
      <c r="AR52" s="3">
        <f>[1]节奏总纲!BD51</f>
        <v>39.250296194358178</v>
      </c>
      <c r="AS52" s="3">
        <f>[1]节奏总纲!BE51</f>
        <v>43.928898311540578</v>
      </c>
      <c r="AW52" s="3">
        <v>48</v>
      </c>
      <c r="AX52" s="3">
        <f>[1]节奏总纲!BQ51</f>
        <v>87.771500639866005</v>
      </c>
      <c r="AY52" s="3">
        <f>[1]节奏总纲!BR51</f>
        <v>86.672065508292405</v>
      </c>
      <c r="AZ52" s="3">
        <f>[1]节奏总纲!BS51</f>
        <v>85.481735065071589</v>
      </c>
      <c r="BA52" s="3">
        <f>[1]节奏总纲!BT51</f>
        <v>84.173317183629351</v>
      </c>
      <c r="BB52" s="3">
        <f>[1]节奏总纲!BU51</f>
        <v>82.729418319864251</v>
      </c>
      <c r="BG52" s="5">
        <v>48</v>
      </c>
      <c r="BH52" s="5">
        <f>'[1]功能-城建'!$E53</f>
        <v>19</v>
      </c>
      <c r="BL52" s="3">
        <v>48</v>
      </c>
      <c r="BM52" s="3">
        <f>[1]节奏总纲!BX51</f>
        <v>29.65092898211061</v>
      </c>
      <c r="BN52" s="3">
        <f>[1]节奏总纲!BY51</f>
        <v>30.186017902912305</v>
      </c>
      <c r="BO52" s="3">
        <f>[1]节奏总纲!BZ51</f>
        <v>30.771956904722533</v>
      </c>
      <c r="BP52" s="3">
        <f>[1]节奏总纲!CA51</f>
        <v>31.395003378607552</v>
      </c>
      <c r="BQ52" s="3">
        <f>[1]节奏总纲!CB51</f>
        <v>32.084842711724434</v>
      </c>
    </row>
    <row r="53" spans="3:69">
      <c r="C53" s="3">
        <v>49</v>
      </c>
      <c r="D53" s="3">
        <f>[1]节奏总纲!P52</f>
        <v>28.857055729177837</v>
      </c>
      <c r="E53" s="3">
        <f>[1]节奏总纲!Q52</f>
        <v>25.166238301415991</v>
      </c>
      <c r="F53" s="3">
        <f>[1]节奏总纲!R52</f>
        <v>20.719366013549685</v>
      </c>
      <c r="G53" s="3">
        <f>[1]节奏总纲!S52</f>
        <v>15.268268186307994</v>
      </c>
      <c r="H53" s="3">
        <f>[1]节奏总纲!T52</f>
        <v>8.5474599069824766</v>
      </c>
      <c r="J53" s="3">
        <v>49</v>
      </c>
      <c r="K53" s="3">
        <f t="shared" si="4"/>
        <v>1.9994377037018651</v>
      </c>
      <c r="L53" s="3">
        <f t="shared" si="4"/>
        <v>1.7410238595958489</v>
      </c>
      <c r="M53" s="3">
        <f t="shared" si="4"/>
        <v>1.389938320614629</v>
      </c>
      <c r="N53" s="3">
        <f t="shared" si="4"/>
        <v>0.99881572937261076</v>
      </c>
      <c r="O53" s="3">
        <f t="shared" si="4"/>
        <v>0.58686192423139882</v>
      </c>
      <c r="Q53" s="3">
        <v>49</v>
      </c>
      <c r="R53" s="3">
        <f>[1]节奏总纲!AD52</f>
        <v>56.430041330048923</v>
      </c>
      <c r="S53" s="3">
        <f>[1]节奏总纲!AE52</f>
        <v>58.442483247955479</v>
      </c>
      <c r="T53" s="3">
        <f>[1]节奏总纲!AF52</f>
        <v>61.289495211956165</v>
      </c>
      <c r="U53" s="3">
        <f>[1]节奏总纲!AG52</f>
        <v>65.640268938313284</v>
      </c>
      <c r="V53" s="3">
        <f>[1]节奏总纲!AH52</f>
        <v>74.231558509323534</v>
      </c>
      <c r="Z53" s="3">
        <v>49</v>
      </c>
      <c r="AA53" s="3">
        <f>[1]节奏总纲!AM52</f>
        <v>507.55295278468168</v>
      </c>
      <c r="AB53" s="3">
        <f>[1]节奏总纲!AN52</f>
        <v>406.04236222774534</v>
      </c>
      <c r="AC53" s="3">
        <f>[1]节奏总纲!AO52</f>
        <v>304.53177167080901</v>
      </c>
      <c r="AD53" s="3">
        <f>[1]节奏总纲!AP52</f>
        <v>203.02118111387267</v>
      </c>
      <c r="AE53" s="3">
        <f>[1]节奏总纲!AQ52</f>
        <v>101.51059055693634</v>
      </c>
      <c r="AG53" s="3">
        <v>49</v>
      </c>
      <c r="AH53" s="3">
        <f t="shared" si="5"/>
        <v>69.651464424553808</v>
      </c>
      <c r="AI53" s="3">
        <f t="shared" si="5"/>
        <v>55.721171539643024</v>
      </c>
      <c r="AJ53" s="3">
        <f t="shared" si="5"/>
        <v>41.790878654732296</v>
      </c>
      <c r="AK53" s="3">
        <f t="shared" si="5"/>
        <v>27.860585769821512</v>
      </c>
      <c r="AL53" s="3">
        <f t="shared" si="5"/>
        <v>13.930292884910756</v>
      </c>
      <c r="AM53" s="3"/>
      <c r="AN53" s="3">
        <v>49</v>
      </c>
      <c r="AO53" s="3">
        <f>[1]节奏总纲!BA52</f>
        <v>33.363371207175248</v>
      </c>
      <c r="AP53" s="3">
        <f>[1]节奏总纲!BB52</f>
        <v>34.760359618289606</v>
      </c>
      <c r="AQ53" s="3">
        <f>[1]节奏总纲!BC52</f>
        <v>36.666615757473956</v>
      </c>
      <c r="AR53" s="3">
        <f>[1]节奏总纲!BD52</f>
        <v>39.385377961140485</v>
      </c>
      <c r="AS53" s="3">
        <f>[1]节奏总纲!BE52</f>
        <v>44.067911160744309</v>
      </c>
      <c r="AW53" s="3">
        <v>49</v>
      </c>
      <c r="AX53" s="3">
        <f>[1]节奏总纲!BQ52</f>
        <v>89.899465210602642</v>
      </c>
      <c r="AY53" s="3">
        <f>[1]节奏总纲!BR52</f>
        <v>88.787413007435532</v>
      </c>
      <c r="AZ53" s="3">
        <f>[1]节奏总纲!BS52</f>
        <v>87.591558541772201</v>
      </c>
      <c r="BA53" s="3">
        <f>[1]节奏总纲!BT52</f>
        <v>86.275030259152317</v>
      </c>
      <c r="BB53" s="3">
        <f>[1]节奏总纲!BU52</f>
        <v>84.851224267970963</v>
      </c>
      <c r="BG53" s="5">
        <v>49</v>
      </c>
      <c r="BH53" s="5">
        <f>'[1]功能-城建'!$E54</f>
        <v>19</v>
      </c>
      <c r="BL53" s="3">
        <v>49</v>
      </c>
      <c r="BM53" s="3">
        <f>[1]节奏总纲!BX52</f>
        <v>30.101255625879666</v>
      </c>
      <c r="BN53" s="3">
        <f>[1]节奏总纲!BY52</f>
        <v>30.620606377192669</v>
      </c>
      <c r="BO53" s="3">
        <f>[1]节奏总纲!BZ52</f>
        <v>31.200336585588083</v>
      </c>
      <c r="BP53" s="3">
        <f>[1]节奏总纲!CA52</f>
        <v>31.820892668144523</v>
      </c>
      <c r="BQ53" s="3">
        <f>[1]节奏总纲!CB52</f>
        <v>32.512459036550872</v>
      </c>
    </row>
    <row r="54" spans="3:69">
      <c r="C54" s="3">
        <v>50</v>
      </c>
      <c r="D54" s="3">
        <f>[1]节奏总纲!P53</f>
        <v>31</v>
      </c>
      <c r="E54" s="3">
        <f>[1]节奏总纲!Q53</f>
        <v>27.0351</v>
      </c>
      <c r="F54" s="3">
        <f>[1]节奏总纲!R53</f>
        <v>22.205300000000001</v>
      </c>
      <c r="G54" s="3">
        <f>[1]节奏总纲!S53</f>
        <v>16.386599999999998</v>
      </c>
      <c r="H54" s="3">
        <f>[1]节奏总纲!T53</f>
        <v>9.1883999999999997</v>
      </c>
      <c r="J54" s="3">
        <v>50</v>
      </c>
      <c r="K54" s="3">
        <f t="shared" si="4"/>
        <v>2.1429442708221629</v>
      </c>
      <c r="L54" s="3">
        <f t="shared" si="4"/>
        <v>1.8688616985840092</v>
      </c>
      <c r="M54" s="3">
        <f t="shared" si="4"/>
        <v>1.4859339864503163</v>
      </c>
      <c r="N54" s="3">
        <f t="shared" si="4"/>
        <v>1.118331813692004</v>
      </c>
      <c r="O54" s="3">
        <f t="shared" si="4"/>
        <v>0.64094009301752308</v>
      </c>
      <c r="Q54" s="3">
        <v>50</v>
      </c>
      <c r="R54" s="3">
        <f>[1]节奏总纲!AD53</f>
        <v>56.717296680108156</v>
      </c>
      <c r="S54" s="3">
        <f>[1]节奏总纲!AE53</f>
        <v>58.729809239508185</v>
      </c>
      <c r="T54" s="3">
        <f>[1]节奏总纲!AF53</f>
        <v>61.572721891673297</v>
      </c>
      <c r="U54" s="3">
        <f>[1]节奏总纲!AG53</f>
        <v>65.949565490519575</v>
      </c>
      <c r="V54" s="3">
        <f>[1]节奏总纲!AH53</f>
        <v>74.51042804689898</v>
      </c>
      <c r="Z54" s="3">
        <v>50</v>
      </c>
      <c r="AA54" s="3">
        <f>[1]节奏总纲!AM53</f>
        <v>588.22499999999991</v>
      </c>
      <c r="AB54" s="3">
        <f>[1]节奏总纲!AN53</f>
        <v>470.57999999999993</v>
      </c>
      <c r="AC54" s="3">
        <f>[1]节奏总纲!AO53</f>
        <v>352.93499999999995</v>
      </c>
      <c r="AD54" s="3">
        <f>[1]节奏总纲!AP53</f>
        <v>235.28999999999996</v>
      </c>
      <c r="AE54" s="3">
        <f>[1]节奏总纲!AQ53</f>
        <v>117.64499999999998</v>
      </c>
      <c r="AG54" s="3">
        <v>50</v>
      </c>
      <c r="AH54" s="3">
        <f t="shared" ref="AH54:AH84" si="6">AA54-AA53</f>
        <v>80.67204721531823</v>
      </c>
      <c r="AI54" s="3">
        <f t="shared" ref="AI54:AI84" si="7">AB54-AB53</f>
        <v>64.537637772254584</v>
      </c>
      <c r="AJ54" s="3">
        <f t="shared" ref="AJ54:AJ84" si="8">AC54-AC53</f>
        <v>48.403228329190938</v>
      </c>
      <c r="AK54" s="3">
        <f t="shared" ref="AK54:AK84" si="9">AD54-AD53</f>
        <v>32.268818886127292</v>
      </c>
      <c r="AL54" s="3">
        <f t="shared" ref="AL54:AL84" si="10">AE54-AE53</f>
        <v>16.134409443063646</v>
      </c>
      <c r="AM54" s="3"/>
      <c r="AN54" s="3">
        <v>50</v>
      </c>
      <c r="AO54" s="3">
        <f>[1]节奏总纲!BA53</f>
        <v>33.487933395889513</v>
      </c>
      <c r="AP54" s="3">
        <f>[1]节奏总纲!BB53</f>
        <v>34.893493163684269</v>
      </c>
      <c r="AQ54" s="3">
        <f>[1]节奏总纲!BC53</f>
        <v>36.806900305200131</v>
      </c>
      <c r="AR54" s="3">
        <f>[1]节奏总纲!BD53</f>
        <v>39.520459727922798</v>
      </c>
      <c r="AS54" s="3">
        <f>[1]节奏总纲!BE53</f>
        <v>44.197188392263818</v>
      </c>
      <c r="AW54" s="3">
        <v>50</v>
      </c>
      <c r="AX54" s="3">
        <f>[1]节奏总纲!BQ53</f>
        <v>92.02585597384136</v>
      </c>
      <c r="AY54" s="3">
        <f>[1]节奏总纲!BR53</f>
        <v>91.028813161489012</v>
      </c>
      <c r="AZ54" s="3">
        <f>[1]节奏总纲!BS53</f>
        <v>89.944796604838743</v>
      </c>
      <c r="BA54" s="3">
        <f>[1]节奏总纲!BT53</f>
        <v>88.648964439402022</v>
      </c>
      <c r="BB54" s="3">
        <f>[1]节奏总纲!BU53</f>
        <v>87.254811090446921</v>
      </c>
      <c r="BG54" s="5">
        <v>50</v>
      </c>
      <c r="BH54" s="5">
        <f>'[1]功能-城建'!$E55</f>
        <v>20</v>
      </c>
      <c r="BL54" s="3">
        <v>50</v>
      </c>
      <c r="BM54" s="3">
        <f>[1]节奏总纲!BX53</f>
        <v>30.529187213831889</v>
      </c>
      <c r="BN54" s="3">
        <f>[1]节奏总纲!BY53</f>
        <v>31.07439649010124</v>
      </c>
      <c r="BO54" s="3">
        <f>[1]节奏总纲!BZ53</f>
        <v>31.622732396398735</v>
      </c>
      <c r="BP54" s="3">
        <f>[1]节奏总纲!CA53</f>
        <v>32.254400792232055</v>
      </c>
      <c r="BQ54" s="3">
        <f>[1]节奏总纲!CB53</f>
        <v>32.979479362275733</v>
      </c>
    </row>
    <row r="55" spans="3:69">
      <c r="C55" s="3">
        <v>51</v>
      </c>
      <c r="D55" s="3">
        <f>[1]节奏总纲!P54</f>
        <v>33.296750801161366</v>
      </c>
      <c r="E55" s="3">
        <f>[1]节奏总纲!Q54</f>
        <v>28.928217096048996</v>
      </c>
      <c r="F55" s="3">
        <f>[1]节奏总纲!R54</f>
        <v>23.783869097269566</v>
      </c>
      <c r="G55" s="3">
        <f>[1]节奏总纲!S54</f>
        <v>17.587343773173433</v>
      </c>
      <c r="H55" s="3">
        <f>[1]节奏总纲!T54</f>
        <v>9.8458492119034169</v>
      </c>
      <c r="J55" s="3">
        <v>51</v>
      </c>
      <c r="K55" s="3">
        <f t="shared" si="4"/>
        <v>2.296750801161366</v>
      </c>
      <c r="L55" s="3">
        <f t="shared" si="4"/>
        <v>1.8931170960489965</v>
      </c>
      <c r="M55" s="3">
        <f t="shared" si="4"/>
        <v>1.5785690972695647</v>
      </c>
      <c r="N55" s="3">
        <f t="shared" si="4"/>
        <v>1.2007437731734356</v>
      </c>
      <c r="O55" s="3">
        <f t="shared" si="4"/>
        <v>0.65744921190341721</v>
      </c>
      <c r="Q55" s="3">
        <v>51</v>
      </c>
      <c r="R55" s="3">
        <f>[1]节奏总纲!AD54</f>
        <v>57.004247194324648</v>
      </c>
      <c r="S55" s="3">
        <f>[1]节奏总纲!AE54</f>
        <v>59.016342740868758</v>
      </c>
      <c r="T55" s="3">
        <f>[1]节奏总纲!AF54</f>
        <v>61.855948571390428</v>
      </c>
      <c r="U55" s="3">
        <f>[1]节奏总纲!AG54</f>
        <v>66.241691764589476</v>
      </c>
      <c r="V55" s="3">
        <f>[1]节奏总纲!AH54</f>
        <v>74.789297584474426</v>
      </c>
      <c r="Z55" s="3">
        <v>51</v>
      </c>
      <c r="AA55" s="3">
        <f>[1]节奏总纲!AM54</f>
        <v>681.65492699983838</v>
      </c>
      <c r="AB55" s="3">
        <f>[1]节奏总纲!AN54</f>
        <v>545.32394159987075</v>
      </c>
      <c r="AC55" s="3">
        <f>[1]节奏总纲!AO54</f>
        <v>408.99295619990301</v>
      </c>
      <c r="AD55" s="3">
        <f>[1]节奏总纲!AP54</f>
        <v>272.66197079993537</v>
      </c>
      <c r="AE55" s="3">
        <f>[1]节奏总纲!AQ54</f>
        <v>136.33098539996769</v>
      </c>
      <c r="AG55" s="3">
        <v>51</v>
      </c>
      <c r="AH55" s="3">
        <f t="shared" si="6"/>
        <v>93.429926999838472</v>
      </c>
      <c r="AI55" s="3">
        <f t="shared" si="7"/>
        <v>74.743941599870823</v>
      </c>
      <c r="AJ55" s="3">
        <f t="shared" si="8"/>
        <v>56.05795619990306</v>
      </c>
      <c r="AK55" s="3">
        <f t="shared" si="9"/>
        <v>37.371970799935411</v>
      </c>
      <c r="AL55" s="3">
        <f t="shared" si="10"/>
        <v>18.685985399967706</v>
      </c>
      <c r="AN55" s="3">
        <v>51</v>
      </c>
      <c r="AO55" s="3">
        <f>[1]节奏总纲!BA54</f>
        <v>33.612495584603778</v>
      </c>
      <c r="AP55" s="3">
        <f>[1]节奏总纲!BB54</f>
        <v>35.024397713965918</v>
      </c>
      <c r="AQ55" s="3">
        <f>[1]节奏总纲!BC54</f>
        <v>36.947184852926306</v>
      </c>
      <c r="AR55" s="3">
        <f>[1]节奏总纲!BD54</f>
        <v>39.655541494705105</v>
      </c>
      <c r="AS55" s="3">
        <f>[1]节奏总纲!BE54</f>
        <v>44.326465623783335</v>
      </c>
      <c r="AW55" s="3">
        <v>51</v>
      </c>
      <c r="AX55" s="3">
        <f>[1]节奏总纲!BQ54</f>
        <v>94.145740969946885</v>
      </c>
      <c r="AY55" s="3">
        <f>[1]节奏总纲!BR54</f>
        <v>93.183924727109627</v>
      </c>
      <c r="AZ55" s="3">
        <f>[1]节奏总纲!BS54</f>
        <v>92.135531632926771</v>
      </c>
      <c r="BA55" s="3">
        <f>[1]节奏总纲!BT54</f>
        <v>91.002520783186228</v>
      </c>
      <c r="BB55" s="3">
        <f>[1]节奏总纲!BU54</f>
        <v>89.726519272163628</v>
      </c>
      <c r="BG55" s="5">
        <v>51</v>
      </c>
      <c r="BH55" s="5">
        <f>'[1]功能-城建'!$E56</f>
        <v>20</v>
      </c>
      <c r="BL55" s="3">
        <v>51</v>
      </c>
      <c r="BM55" s="3">
        <f>[1]节奏总纲!BX54</f>
        <v>30.987832933580094</v>
      </c>
      <c r="BN55" s="3">
        <f>[1]节奏总纲!BY54</f>
        <v>31.478003617690753</v>
      </c>
      <c r="BO55" s="3">
        <f>[1]节奏总纲!BZ54</f>
        <v>32.061058431778378</v>
      </c>
      <c r="BP55" s="3">
        <f>[1]节奏总纲!CA54</f>
        <v>32.691861136941853</v>
      </c>
      <c r="BQ55" s="3">
        <f>[1]节奏总纲!CB54</f>
        <v>33.39192659810282</v>
      </c>
    </row>
    <row r="56" spans="3:69">
      <c r="C56" s="3">
        <v>52</v>
      </c>
      <c r="D56" s="3">
        <f>[1]节奏总纲!P55</f>
        <v>35.758347359905123</v>
      </c>
      <c r="E56" s="3">
        <f>[1]节奏总纲!Q55</f>
        <v>31.081155525229534</v>
      </c>
      <c r="F56" s="3">
        <f>[1]节奏总纲!R55</f>
        <v>25.606552544428059</v>
      </c>
      <c r="G56" s="3">
        <f>[1]节奏总纲!S55</f>
        <v>18.930469092333773</v>
      </c>
      <c r="H56" s="3">
        <f>[1]节奏总纲!T55</f>
        <v>10.570167479587953</v>
      </c>
      <c r="J56" s="3">
        <v>52</v>
      </c>
      <c r="K56" s="3">
        <f t="shared" si="4"/>
        <v>2.4615965587437572</v>
      </c>
      <c r="L56" s="3">
        <f t="shared" si="4"/>
        <v>2.1529384291805371</v>
      </c>
      <c r="M56" s="3">
        <f t="shared" si="4"/>
        <v>1.822683447158493</v>
      </c>
      <c r="N56" s="3">
        <f t="shared" si="4"/>
        <v>1.3431253191603396</v>
      </c>
      <c r="O56" s="3">
        <f t="shared" si="4"/>
        <v>0.72431826768453611</v>
      </c>
      <c r="Q56" s="3">
        <v>52</v>
      </c>
      <c r="R56" s="3">
        <f>[1]节奏总纲!AD55</f>
        <v>57.27226591292537</v>
      </c>
      <c r="S56" s="3">
        <f>[1]节奏总纲!AE55</f>
        <v>59.290380144164828</v>
      </c>
      <c r="T56" s="3">
        <f>[1]节奏总纲!AF55</f>
        <v>62.130298748930763</v>
      </c>
      <c r="U56" s="3">
        <f>[1]节奏总纲!AG55</f>
        <v>66.530472725664353</v>
      </c>
      <c r="V56" s="3">
        <f>[1]节奏总纲!AH55</f>
        <v>75.062532510920803</v>
      </c>
      <c r="Z56" s="3">
        <v>52</v>
      </c>
      <c r="AA56" s="3">
        <f>[1]节奏总纲!AM55</f>
        <v>789.85301886939453</v>
      </c>
      <c r="AB56" s="3">
        <f>[1]节奏总纲!AN55</f>
        <v>631.88241509551563</v>
      </c>
      <c r="AC56" s="3">
        <f>[1]节奏总纲!AO55</f>
        <v>473.91181132163672</v>
      </c>
      <c r="AD56" s="3">
        <f>[1]节奏总纲!AP55</f>
        <v>315.94120754775781</v>
      </c>
      <c r="AE56" s="3">
        <f>[1]节奏总纲!AQ55</f>
        <v>157.97060377387891</v>
      </c>
      <c r="AG56" s="3">
        <v>52</v>
      </c>
      <c r="AH56" s="3">
        <f t="shared" si="6"/>
        <v>108.19809186955615</v>
      </c>
      <c r="AI56" s="3">
        <f t="shared" si="7"/>
        <v>86.558473495644876</v>
      </c>
      <c r="AJ56" s="3">
        <f t="shared" si="8"/>
        <v>64.918855121733714</v>
      </c>
      <c r="AK56" s="3">
        <f t="shared" si="9"/>
        <v>43.279236747822438</v>
      </c>
      <c r="AL56" s="3">
        <f t="shared" si="10"/>
        <v>21.639618373911219</v>
      </c>
      <c r="AN56" s="3">
        <v>52</v>
      </c>
      <c r="AO56" s="3">
        <f>[1]节奏总纲!BA55</f>
        <v>33.737057773318043</v>
      </c>
      <c r="AP56" s="3">
        <f>[1]节奏总纲!BB55</f>
        <v>35.146386283795508</v>
      </c>
      <c r="AQ56" s="3">
        <f>[1]节奏总纲!BC55</f>
        <v>37.075448197698059</v>
      </c>
      <c r="AR56" s="3">
        <f>[1]节奏总纲!BD55</f>
        <v>39.790623261487418</v>
      </c>
      <c r="AS56" s="3">
        <f>[1]节奏总纲!BE55</f>
        <v>44.455742855302844</v>
      </c>
      <c r="AW56" s="3">
        <v>52</v>
      </c>
      <c r="AX56" s="3">
        <f>[1]节奏总纲!BQ55</f>
        <v>96.265821375882837</v>
      </c>
      <c r="AY56" s="3">
        <f>[1]节奏总纲!BR55</f>
        <v>95.320056465518832</v>
      </c>
      <c r="AZ56" s="3">
        <f>[1]节奏总纲!BS55</f>
        <v>94.309081972684396</v>
      </c>
      <c r="BA56" s="3">
        <f>[1]节奏总纲!BT55</f>
        <v>93.208444061349098</v>
      </c>
      <c r="BB56" s="3">
        <f>[1]节奏总纲!BU55</f>
        <v>92.03038330510195</v>
      </c>
      <c r="BG56" s="5">
        <v>52</v>
      </c>
      <c r="BH56" s="5">
        <f>'[1]功能-城建'!$E57</f>
        <v>20</v>
      </c>
      <c r="BL56" s="3">
        <v>52</v>
      </c>
      <c r="BM56" s="3">
        <f>[1]节奏总纲!BX55</f>
        <v>31.409452382022582</v>
      </c>
      <c r="BN56" s="3">
        <f>[1]节奏总纲!BY55</f>
        <v>31.937003907261929</v>
      </c>
      <c r="BO56" s="3">
        <f>[1]节奏总纲!BZ55</f>
        <v>32.503757225034654</v>
      </c>
      <c r="BP56" s="3">
        <f>[1]节奏总纲!CA55</f>
        <v>33.154875618998368</v>
      </c>
      <c r="BQ56" s="3">
        <f>[1]节奏总纲!CB55</f>
        <v>33.843039941845369</v>
      </c>
    </row>
    <row r="57" spans="3:69">
      <c r="C57" s="3">
        <v>53</v>
      </c>
      <c r="D57" s="3">
        <f>[1]节奏总纲!P56</f>
        <v>38.396621227037308</v>
      </c>
      <c r="E57" s="3">
        <f>[1]节奏总纲!Q56</f>
        <v>33.42809844025868</v>
      </c>
      <c r="F57" s="3">
        <f>[1]节奏总纲!R56</f>
        <v>27.5802930273809</v>
      </c>
      <c r="G57" s="3">
        <f>[1]节奏总纲!S56</f>
        <v>20.319491953348145</v>
      </c>
      <c r="H57" s="3">
        <f>[1]节奏总纲!T56</f>
        <v>11.338522248344118</v>
      </c>
      <c r="J57" s="3">
        <v>53</v>
      </c>
      <c r="K57" s="3">
        <f t="shared" si="4"/>
        <v>2.6382738671321846</v>
      </c>
      <c r="L57" s="3">
        <f t="shared" si="4"/>
        <v>2.3469429150291461</v>
      </c>
      <c r="M57" s="3">
        <f t="shared" si="4"/>
        <v>1.9737404829528415</v>
      </c>
      <c r="N57" s="3">
        <f t="shared" si="4"/>
        <v>1.3890228610143716</v>
      </c>
      <c r="O57" s="3">
        <f t="shared" si="4"/>
        <v>0.76835476875616493</v>
      </c>
      <c r="Q57" s="3">
        <v>53</v>
      </c>
      <c r="R57" s="3">
        <f>[1]节奏总纲!AD56</f>
        <v>57.540284631526099</v>
      </c>
      <c r="S57" s="3">
        <f>[1]节奏总纲!AE56</f>
        <v>59.564417547460899</v>
      </c>
      <c r="T57" s="3">
        <f>[1]节奏总纲!AF56</f>
        <v>62.395461425033538</v>
      </c>
      <c r="U57" s="3">
        <f>[1]节奏总纲!AG56</f>
        <v>66.819253686739231</v>
      </c>
      <c r="V57" s="3">
        <f>[1]节奏总纲!AH56</f>
        <v>75.318351032805268</v>
      </c>
      <c r="Z57" s="3">
        <v>53</v>
      </c>
      <c r="AA57" s="3">
        <f>[1]节奏总纲!AM56</f>
        <v>915.14532082292135</v>
      </c>
      <c r="AB57" s="3">
        <f>[1]节奏总纲!AN56</f>
        <v>732.11625665833708</v>
      </c>
      <c r="AC57" s="3">
        <f>[1]节奏总纲!AO56</f>
        <v>549.08719249375281</v>
      </c>
      <c r="AD57" s="3">
        <f>[1]节奏总纲!AP56</f>
        <v>366.05812832916854</v>
      </c>
      <c r="AE57" s="3">
        <f>[1]节奏总纲!AQ56</f>
        <v>183.02906416458427</v>
      </c>
      <c r="AG57" s="3">
        <v>53</v>
      </c>
      <c r="AH57" s="3">
        <f t="shared" si="6"/>
        <v>125.29230195352682</v>
      </c>
      <c r="AI57" s="3">
        <f t="shared" si="7"/>
        <v>100.23384156282145</v>
      </c>
      <c r="AJ57" s="3">
        <f t="shared" si="8"/>
        <v>75.17538117211609</v>
      </c>
      <c r="AK57" s="3">
        <f t="shared" si="9"/>
        <v>50.116920781410727</v>
      </c>
      <c r="AL57" s="3">
        <f t="shared" si="10"/>
        <v>25.058460390705363</v>
      </c>
      <c r="AN57" s="3">
        <v>53</v>
      </c>
      <c r="AO57" s="3">
        <f>[1]节奏总纲!BA56</f>
        <v>33.861619962032307</v>
      </c>
      <c r="AP57" s="3">
        <f>[1]节奏总纲!BB56</f>
        <v>35.268374853625097</v>
      </c>
      <c r="AQ57" s="3">
        <f>[1]节奏总纲!BC56</f>
        <v>37.196452985793947</v>
      </c>
      <c r="AR57" s="3">
        <f>[1]节奏总纲!BD56</f>
        <v>39.925705028269732</v>
      </c>
      <c r="AS57" s="3">
        <f>[1]节奏总纲!BE56</f>
        <v>44.585020086822361</v>
      </c>
      <c r="AW57" s="3">
        <v>53</v>
      </c>
      <c r="AX57" s="3">
        <f>[1]节奏总纲!BQ56</f>
        <v>98.386070168033314</v>
      </c>
      <c r="AY57" s="3">
        <f>[1]节奏总纲!BR56</f>
        <v>97.463615621461287</v>
      </c>
      <c r="AZ57" s="3">
        <f>[1]节奏总纲!BS56</f>
        <v>96.485848981556117</v>
      </c>
      <c r="BA57" s="3">
        <f>[1]节奏总纲!BT56</f>
        <v>95.421390644954613</v>
      </c>
      <c r="BB57" s="3">
        <f>[1]节奏总纲!BU56</f>
        <v>94.2564978309629</v>
      </c>
      <c r="BG57" s="5">
        <v>53</v>
      </c>
      <c r="BH57" s="5">
        <f>'[1]功能-城建'!$E58</f>
        <v>21</v>
      </c>
      <c r="BL57" s="3">
        <v>53</v>
      </c>
      <c r="BM57" s="3">
        <f>[1]节奏总纲!BX56</f>
        <v>31.859430310817384</v>
      </c>
      <c r="BN57" s="3">
        <f>[1]节奏总纲!BY56</f>
        <v>32.373698557428163</v>
      </c>
      <c r="BO57" s="3">
        <f>[1]节奏总纲!BZ56</f>
        <v>32.983145201793022</v>
      </c>
      <c r="BP57" s="3">
        <f>[1]节奏总纲!CA56</f>
        <v>33.587424938353614</v>
      </c>
      <c r="BQ57" s="3">
        <f>[1]节奏总纲!CB56</f>
        <v>34.274966559784382</v>
      </c>
    </row>
    <row r="58" spans="3:69">
      <c r="C58" s="3">
        <v>54</v>
      </c>
      <c r="D58" s="3">
        <f>[1]节奏总纲!P57</f>
        <v>41.224253144732614</v>
      </c>
      <c r="E58" s="3">
        <f>[1]节奏总纲!Q57</f>
        <v>35.947548742206841</v>
      </c>
      <c r="F58" s="3">
        <f>[1]节奏总纲!R57</f>
        <v>29.553667079458812</v>
      </c>
      <c r="G58" s="3">
        <f>[1]节奏总纲!S57</f>
        <v>21.762283235104348</v>
      </c>
      <c r="H58" s="3">
        <f>[1]节奏总纲!T57</f>
        <v>12.111685573922442</v>
      </c>
      <c r="J58" s="3">
        <v>54</v>
      </c>
      <c r="K58" s="3">
        <f t="shared" si="4"/>
        <v>2.8276319176953066</v>
      </c>
      <c r="L58" s="3">
        <f t="shared" si="4"/>
        <v>2.5194503019481616</v>
      </c>
      <c r="M58" s="3">
        <f t="shared" si="4"/>
        <v>1.9733740520779115</v>
      </c>
      <c r="N58" s="3">
        <f t="shared" si="4"/>
        <v>1.4427912817562039</v>
      </c>
      <c r="O58" s="3">
        <f t="shared" si="4"/>
        <v>0.77316332557832368</v>
      </c>
      <c r="Q58" s="3">
        <v>54</v>
      </c>
      <c r="R58" s="3">
        <f>[1]节奏总纲!AD57</f>
        <v>57.80830335012682</v>
      </c>
      <c r="S58" s="3">
        <f>[1]节奏总纲!AE57</f>
        <v>59.838454950756969</v>
      </c>
      <c r="T58" s="3">
        <f>[1]节奏总纲!AF57</f>
        <v>62.660624101136307</v>
      </c>
      <c r="U58" s="3">
        <f>[1]节奏总纲!AG57</f>
        <v>67.098789255934349</v>
      </c>
      <c r="V58" s="3">
        <f>[1]节奏总纲!AH57</f>
        <v>75.574169554689718</v>
      </c>
      <c r="Z58" s="3">
        <v>54</v>
      </c>
      <c r="AA58" s="3">
        <f>[1]节奏总纲!AM57</f>
        <v>1060.2230944101252</v>
      </c>
      <c r="AB58" s="3">
        <f>[1]节奏总纲!AN57</f>
        <v>848.17847552810019</v>
      </c>
      <c r="AC58" s="3">
        <f>[1]节奏总纲!AO57</f>
        <v>636.13385664607506</v>
      </c>
      <c r="AD58" s="3">
        <f>[1]节奏总纲!AP57</f>
        <v>424.0892377640501</v>
      </c>
      <c r="AE58" s="3">
        <f>[1]节奏总纲!AQ57</f>
        <v>212.04461888202505</v>
      </c>
      <c r="AG58" s="3">
        <v>54</v>
      </c>
      <c r="AH58" s="3">
        <f t="shared" si="6"/>
        <v>145.07777358720386</v>
      </c>
      <c r="AI58" s="3">
        <f t="shared" si="7"/>
        <v>116.06221886976311</v>
      </c>
      <c r="AJ58" s="3">
        <f t="shared" si="8"/>
        <v>87.046664152322251</v>
      </c>
      <c r="AK58" s="3">
        <f t="shared" si="9"/>
        <v>58.031109434881557</v>
      </c>
      <c r="AL58" s="3">
        <f t="shared" si="10"/>
        <v>29.015554717440779</v>
      </c>
      <c r="AN58" s="3">
        <v>54</v>
      </c>
      <c r="AO58" s="3">
        <f>[1]节奏总纲!BA57</f>
        <v>33.986182150746572</v>
      </c>
      <c r="AP58" s="3">
        <f>[1]节奏总纲!BB57</f>
        <v>35.390363423454687</v>
      </c>
      <c r="AQ58" s="3">
        <f>[1]节奏总纲!BC57</f>
        <v>37.317457773889828</v>
      </c>
      <c r="AR58" s="3">
        <f>[1]节奏总纲!BD57</f>
        <v>40.052446592012309</v>
      </c>
      <c r="AS58" s="3">
        <f>[1]节奏总纲!BE57</f>
        <v>44.71429731834187</v>
      </c>
      <c r="AW58" s="3">
        <v>54</v>
      </c>
      <c r="AX58" s="3">
        <f>[1]节奏总纲!BQ57</f>
        <v>100.5064640446531</v>
      </c>
      <c r="AY58" s="3">
        <f>[1]节奏总纲!BR57</f>
        <v>99.5379191894814</v>
      </c>
      <c r="AZ58" s="3">
        <f>[1]节奏总纲!BS57</f>
        <v>98.506974116675693</v>
      </c>
      <c r="BA58" s="3">
        <f>[1]节奏总纲!BT57</f>
        <v>97.444645169634811</v>
      </c>
      <c r="BB58" s="3">
        <f>[1]节奏总纲!BU57</f>
        <v>96.315276464549527</v>
      </c>
      <c r="BG58" s="5">
        <v>54</v>
      </c>
      <c r="BH58" s="5">
        <f>'[1]功能-城建'!$E59</f>
        <v>21</v>
      </c>
      <c r="BL58" s="3">
        <v>54</v>
      </c>
      <c r="BM58" s="3">
        <f>[1]节奏总纲!BX57</f>
        <v>32.291963103880526</v>
      </c>
      <c r="BN58" s="3">
        <f>[1]节奏总纲!BY57</f>
        <v>32.832647261636957</v>
      </c>
      <c r="BO58" s="3">
        <f>[1]节奏总纲!BZ57</f>
        <v>33.39527305342645</v>
      </c>
      <c r="BP58" s="3">
        <f>[1]节奏总纲!CA57</f>
        <v>34.031395739895665</v>
      </c>
      <c r="BQ58" s="3">
        <f>[1]节奏总纲!CB57</f>
        <v>34.686702458597871</v>
      </c>
    </row>
    <row r="59" spans="3:69">
      <c r="C59" s="3">
        <v>55</v>
      </c>
      <c r="D59" s="3">
        <f>[1]节奏总纲!P58</f>
        <v>44.254833995939045</v>
      </c>
      <c r="E59" s="3">
        <f>[1]节奏总纲!Q58</f>
        <v>38.53268396026413</v>
      </c>
      <c r="F59" s="3">
        <f>[1]节奏总纲!R58</f>
        <v>31.642206307096416</v>
      </c>
      <c r="G59" s="3">
        <f>[1]节奏总纲!S58</f>
        <v>23.282468165263531</v>
      </c>
      <c r="H59" s="3">
        <f>[1]节奏总纲!T58</f>
        <v>12.944538943812169</v>
      </c>
      <c r="J59" s="3">
        <v>55</v>
      </c>
      <c r="K59" s="3">
        <f t="shared" si="4"/>
        <v>3.0305808512064303</v>
      </c>
      <c r="L59" s="3">
        <f t="shared" si="4"/>
        <v>2.5851352180572889</v>
      </c>
      <c r="M59" s="3">
        <f t="shared" si="4"/>
        <v>2.0885392276376038</v>
      </c>
      <c r="N59" s="3">
        <f t="shared" si="4"/>
        <v>1.5201849301591821</v>
      </c>
      <c r="O59" s="3">
        <f t="shared" si="4"/>
        <v>0.8328533698897278</v>
      </c>
      <c r="Q59" s="3">
        <v>55</v>
      </c>
      <c r="R59" s="3">
        <f>[1]节奏总纲!AD58</f>
        <v>58.071211008105138</v>
      </c>
      <c r="S59" s="3">
        <f>[1]节奏总纲!AE58</f>
        <v>60.102437883401088</v>
      </c>
      <c r="T59" s="3">
        <f>[1]节奏总纲!AF58</f>
        <v>62.925786777239075</v>
      </c>
      <c r="U59" s="3">
        <f>[1]节奏总纲!AG58</f>
        <v>67.36285691246691</v>
      </c>
      <c r="V59" s="3">
        <f>[1]节奏总纲!AH58</f>
        <v>75.829988076574182</v>
      </c>
      <c r="Z59" s="3">
        <v>55</v>
      </c>
      <c r="AA59" s="3">
        <f>[1]节奏总纲!AM58</f>
        <v>1228.2</v>
      </c>
      <c r="AB59" s="3">
        <f>[1]节奏总纲!AN58</f>
        <v>982.56000000000006</v>
      </c>
      <c r="AC59" s="3">
        <f>[1]节奏总纲!AO58</f>
        <v>736.92</v>
      </c>
      <c r="AD59" s="3">
        <f>[1]节奏总纲!AP58</f>
        <v>491.28000000000003</v>
      </c>
      <c r="AE59" s="3">
        <f>[1]节奏总纲!AQ58</f>
        <v>245.64000000000001</v>
      </c>
      <c r="AG59" s="3">
        <v>55</v>
      </c>
      <c r="AH59" s="3">
        <f t="shared" si="6"/>
        <v>167.97690558987483</v>
      </c>
      <c r="AI59" s="3">
        <f t="shared" si="7"/>
        <v>134.38152447189987</v>
      </c>
      <c r="AJ59" s="3">
        <f t="shared" si="8"/>
        <v>100.7861433539249</v>
      </c>
      <c r="AK59" s="3">
        <f t="shared" si="9"/>
        <v>67.190762235949933</v>
      </c>
      <c r="AL59" s="3">
        <f t="shared" si="10"/>
        <v>33.595381117974966</v>
      </c>
      <c r="AN59" s="3">
        <v>55</v>
      </c>
      <c r="AO59" s="3">
        <f>[1]节奏总纲!BA58</f>
        <v>34.09469189131628</v>
      </c>
      <c r="AP59" s="3">
        <f>[1]节奏总纲!BB58</f>
        <v>35.512351993284277</v>
      </c>
      <c r="AQ59" s="3">
        <f>[1]节奏总纲!BC58</f>
        <v>37.438462561985709</v>
      </c>
      <c r="AR59" s="3">
        <f>[1]节奏总纲!BD58</f>
        <v>40.168994574261895</v>
      </c>
      <c r="AS59" s="3">
        <f>[1]节奏总纲!BE58</f>
        <v>44.843574549861387</v>
      </c>
      <c r="AW59" s="3">
        <v>55</v>
      </c>
      <c r="AX59" s="3">
        <f>[1]节奏总纲!BQ58</f>
        <v>102.62698291511826</v>
      </c>
      <c r="AY59" s="3">
        <f>[1]节奏总纲!BR58</f>
        <v>101.66666489356477</v>
      </c>
      <c r="AZ59" s="3">
        <f>[1]节奏总纲!BS58</f>
        <v>100.60993958592766</v>
      </c>
      <c r="BA59" s="3">
        <f>[1]节奏总纲!BT58</f>
        <v>99.483765111599226</v>
      </c>
      <c r="BB59" s="3">
        <f>[1]节奏总纲!BU58</f>
        <v>98.289119177560053</v>
      </c>
      <c r="BG59" s="5">
        <v>55</v>
      </c>
      <c r="BH59" s="5">
        <f>'[1]功能-城建'!$E60</f>
        <v>21</v>
      </c>
      <c r="BL59" s="3">
        <v>55</v>
      </c>
      <c r="BM59" s="3">
        <f>[1]节奏总纲!BX58</f>
        <v>32.733609014843147</v>
      </c>
      <c r="BN59" s="3">
        <f>[1]节奏总纲!BY58</f>
        <v>33.259468274083204</v>
      </c>
      <c r="BO59" s="3">
        <f>[1]节奏总纲!BZ58</f>
        <v>33.828861415776679</v>
      </c>
      <c r="BP59" s="3">
        <f>[1]节奏总纲!CA58</f>
        <v>34.436170958710932</v>
      </c>
      <c r="BQ59" s="3">
        <f>[1]节奏总纲!CB58</f>
        <v>35.119323824093144</v>
      </c>
    </row>
    <row r="60" spans="3:69">
      <c r="C60" s="3">
        <v>56</v>
      </c>
      <c r="D60" s="3">
        <f>[1]节奏总纲!P59</f>
        <v>47.502930128332721</v>
      </c>
      <c r="E60" s="3">
        <f>[1]节奏总纲!Q59</f>
        <v>41.275295988508304</v>
      </c>
      <c r="F60" s="3">
        <f>[1]节奏总纲!R59</f>
        <v>33.888590353552566</v>
      </c>
      <c r="G60" s="3">
        <f>[1]节奏总纲!S59</f>
        <v>24.910536559297679</v>
      </c>
      <c r="H60" s="3">
        <f>[1]节奏总纲!T59</f>
        <v>13.837603546383322</v>
      </c>
      <c r="J60" s="3">
        <v>56</v>
      </c>
      <c r="K60" s="3">
        <f t="shared" si="4"/>
        <v>3.2480961323936768</v>
      </c>
      <c r="L60" s="3">
        <f t="shared" si="4"/>
        <v>2.7426120282441744</v>
      </c>
      <c r="M60" s="3">
        <f t="shared" si="4"/>
        <v>2.24638404645615</v>
      </c>
      <c r="N60" s="3">
        <f t="shared" si="4"/>
        <v>1.6280683940341483</v>
      </c>
      <c r="O60" s="3">
        <f t="shared" si="4"/>
        <v>0.89306460257115283</v>
      </c>
      <c r="Q60" s="3">
        <v>56</v>
      </c>
      <c r="R60" s="3">
        <f>[1]节奏总纲!AD59</f>
        <v>58.321281314909029</v>
      </c>
      <c r="S60" s="3">
        <f>[1]节奏总纲!AE59</f>
        <v>60.351982057337977</v>
      </c>
      <c r="T60" s="3">
        <f>[1]节奏总纲!AF59</f>
        <v>63.17626763611517</v>
      </c>
      <c r="U60" s="3">
        <f>[1]节奏总纲!AG59</f>
        <v>67.626924568999456</v>
      </c>
      <c r="V60" s="3">
        <f>[1]节奏总纲!AH59</f>
        <v>76.086647524934079</v>
      </c>
      <c r="Z60" s="3">
        <v>56</v>
      </c>
      <c r="AA60" s="3">
        <f>[1]节奏总纲!AM59</f>
        <v>1422.6782097755249</v>
      </c>
      <c r="AB60" s="3">
        <f>[1]节奏总纲!AN59</f>
        <v>1138.14256782042</v>
      </c>
      <c r="AC60" s="3">
        <f>[1]节奏总纲!AO59</f>
        <v>853.60692586531491</v>
      </c>
      <c r="AD60" s="3">
        <f>[1]节奏总纲!AP59</f>
        <v>569.07128391021001</v>
      </c>
      <c r="AE60" s="3">
        <f>[1]节奏总纲!AQ59</f>
        <v>284.53564195510501</v>
      </c>
      <c r="AG60" s="3">
        <v>56</v>
      </c>
      <c r="AH60" s="3">
        <f t="shared" si="6"/>
        <v>194.47820977552487</v>
      </c>
      <c r="AI60" s="3">
        <f t="shared" si="7"/>
        <v>155.58256782041997</v>
      </c>
      <c r="AJ60" s="3">
        <f t="shared" si="8"/>
        <v>116.68692586531495</v>
      </c>
      <c r="AK60" s="3">
        <f t="shared" si="9"/>
        <v>77.791283910209984</v>
      </c>
      <c r="AL60" s="3">
        <f t="shared" si="10"/>
        <v>38.895641955104992</v>
      </c>
      <c r="AN60" s="3">
        <v>56</v>
      </c>
      <c r="AO60" s="3">
        <f>[1]节奏总纲!BA59</f>
        <v>34.201198727632011</v>
      </c>
      <c r="AP60" s="3">
        <f>[1]节奏总纲!BB59</f>
        <v>35.634340563113874</v>
      </c>
      <c r="AQ60" s="3">
        <f>[1]节奏总纲!BC59</f>
        <v>37.55946735008159</v>
      </c>
      <c r="AR60" s="3">
        <f>[1]节奏总纲!BD59</f>
        <v>40.28554255651148</v>
      </c>
      <c r="AS60" s="3">
        <f>[1]节奏总纲!BE59</f>
        <v>44.972851781380903</v>
      </c>
      <c r="AW60" s="3">
        <v>56</v>
      </c>
      <c r="AX60" s="3">
        <f>[1]节奏总纲!BQ59</f>
        <v>104.74760945904168</v>
      </c>
      <c r="AY60" s="3">
        <f>[1]节奏总纲!BR59</f>
        <v>103.83698778121276</v>
      </c>
      <c r="AZ60" s="3">
        <f>[1]节奏总纲!BS59</f>
        <v>102.85713143900996</v>
      </c>
      <c r="BA60" s="3">
        <f>[1]节奏总纲!BT59</f>
        <v>101.75206987035675</v>
      </c>
      <c r="BB60" s="3">
        <f>[1]节奏总纲!BU59</f>
        <v>100.52336200343598</v>
      </c>
      <c r="BG60" s="5">
        <v>56</v>
      </c>
      <c r="BH60" s="5">
        <f>'[1]功能-城建'!$E61</f>
        <v>22</v>
      </c>
      <c r="BL60" s="3">
        <v>56</v>
      </c>
      <c r="BM60" s="3">
        <f>[1]节奏总纲!BX59</f>
        <v>33.176892907302189</v>
      </c>
      <c r="BN60" s="3">
        <f>[1]节奏总纲!BY59</f>
        <v>33.68650047037341</v>
      </c>
      <c r="BO60" s="3">
        <f>[1]节奏总纲!BZ59</f>
        <v>34.252426803545553</v>
      </c>
      <c r="BP60" s="3">
        <f>[1]节奏总纲!CA59</f>
        <v>34.869671993596455</v>
      </c>
      <c r="BQ60" s="3">
        <f>[1]节奏总纲!CB59</f>
        <v>35.555098518625485</v>
      </c>
    </row>
    <row r="61" spans="3:69">
      <c r="C61" s="3">
        <v>57</v>
      </c>
      <c r="D61" s="3">
        <f>[1]节奏总纲!P60</f>
        <v>50.984153366799077</v>
      </c>
      <c r="E61" s="3">
        <f>[1]节奏总纲!Q60</f>
        <v>44.310327691085078</v>
      </c>
      <c r="F61" s="3">
        <f>[1]节奏总纲!R60</f>
        <v>36.316012443170983</v>
      </c>
      <c r="G61" s="3">
        <f>[1]节奏总纲!S60</f>
        <v>26.664712210835919</v>
      </c>
      <c r="H61" s="3">
        <f>[1]节奏总纲!T60</f>
        <v>14.815994968391813</v>
      </c>
      <c r="J61" s="3">
        <v>57</v>
      </c>
      <c r="K61" s="3">
        <f t="shared" si="4"/>
        <v>3.481223238466356</v>
      </c>
      <c r="L61" s="3">
        <f t="shared" si="4"/>
        <v>3.0350317025767737</v>
      </c>
      <c r="M61" s="3">
        <f t="shared" si="4"/>
        <v>2.4274220896184175</v>
      </c>
      <c r="N61" s="3">
        <f t="shared" si="4"/>
        <v>1.7541756515382403</v>
      </c>
      <c r="O61" s="3">
        <f t="shared" si="4"/>
        <v>0.97839142200849061</v>
      </c>
      <c r="Q61" s="3">
        <v>57</v>
      </c>
      <c r="R61" s="3">
        <f>[1]节奏总纲!AD60</f>
        <v>58.571351621712921</v>
      </c>
      <c r="S61" s="3">
        <f>[1]节奏总纲!AE60</f>
        <v>60.60152623127486</v>
      </c>
      <c r="T61" s="3">
        <f>[1]节奏总纲!AF60</f>
        <v>63.421042351541736</v>
      </c>
      <c r="U61" s="3">
        <f>[1]节奏总纲!AG60</f>
        <v>67.890992225532017</v>
      </c>
      <c r="V61" s="3">
        <f>[1]节奏总纲!AH60</f>
        <v>76.344973133357612</v>
      </c>
      <c r="Z61" s="3">
        <v>57</v>
      </c>
      <c r="AA61" s="3">
        <f>[1]节奏总纲!AM60</f>
        <v>1647.8248427703616</v>
      </c>
      <c r="AB61" s="3">
        <f>[1]节奏总纲!AN60</f>
        <v>1318.2598742162893</v>
      </c>
      <c r="AC61" s="3">
        <f>[1]节奏总纲!AO60</f>
        <v>988.69490566221691</v>
      </c>
      <c r="AD61" s="3">
        <f>[1]节奏总纲!AP60</f>
        <v>659.12993710814465</v>
      </c>
      <c r="AE61" s="3">
        <f>[1]节奏总纲!AQ60</f>
        <v>329.56496855407232</v>
      </c>
      <c r="AG61" s="3">
        <v>57</v>
      </c>
      <c r="AH61" s="3">
        <f t="shared" si="6"/>
        <v>225.14663299483664</v>
      </c>
      <c r="AI61" s="3">
        <f t="shared" si="7"/>
        <v>180.11730639586926</v>
      </c>
      <c r="AJ61" s="3">
        <f t="shared" si="8"/>
        <v>135.087979796902</v>
      </c>
      <c r="AK61" s="3">
        <f t="shared" si="9"/>
        <v>90.058653197934632</v>
      </c>
      <c r="AL61" s="3">
        <f t="shared" si="10"/>
        <v>45.029326598967316</v>
      </c>
      <c r="AN61" s="3">
        <v>57</v>
      </c>
      <c r="AO61" s="3">
        <f>[1]节奏总纲!BA60</f>
        <v>34.307705563947749</v>
      </c>
      <c r="AP61" s="3">
        <f>[1]节奏总纲!BB60</f>
        <v>35.756329132943463</v>
      </c>
      <c r="AQ61" s="3">
        <f>[1]节奏总纲!BC60</f>
        <v>37.680472138177478</v>
      </c>
      <c r="AR61" s="3">
        <f>[1]节奏总纲!BD60</f>
        <v>40.402090538761065</v>
      </c>
      <c r="AS61" s="3">
        <f>[1]节奏总纲!BE60</f>
        <v>45.088151688727308</v>
      </c>
      <c r="AW61" s="3">
        <v>57</v>
      </c>
      <c r="AX61" s="3">
        <f>[1]节奏总纲!BQ60</f>
        <v>106.86832874572353</v>
      </c>
      <c r="AY61" s="3">
        <f>[1]节奏总纲!BR60</f>
        <v>105.93060744042049</v>
      </c>
      <c r="AZ61" s="3">
        <f>[1]节奏总纲!BS60</f>
        <v>104.93378702762401</v>
      </c>
      <c r="BA61" s="3">
        <f>[1]节奏总纲!BT60</f>
        <v>103.87052361677672</v>
      </c>
      <c r="BB61" s="3">
        <f>[1]节奏总纲!BU60</f>
        <v>102.71853803916484</v>
      </c>
      <c r="BG61" s="5">
        <v>57</v>
      </c>
      <c r="BH61" s="5">
        <f>'[1]功能-城建'!$E62</f>
        <v>22</v>
      </c>
      <c r="BL61" s="3">
        <v>57</v>
      </c>
      <c r="BM61" s="3">
        <f>[1]节奏总纲!BX60</f>
        <v>33.610521693288518</v>
      </c>
      <c r="BN61" s="3">
        <f>[1]节奏总纲!BY60</f>
        <v>34.136006917064577</v>
      </c>
      <c r="BO61" s="3">
        <f>[1]节奏总纲!BZ60</f>
        <v>34.683321882159184</v>
      </c>
      <c r="BP61" s="3">
        <f>[1]节奏总纲!CA60</f>
        <v>35.308560867691789</v>
      </c>
      <c r="BQ61" s="3">
        <f>[1]节奏总纲!CB60</f>
        <v>36.028038378653754</v>
      </c>
    </row>
    <row r="62" spans="3:69">
      <c r="C62" s="3">
        <v>58</v>
      </c>
      <c r="D62" s="3">
        <f>[1]节奏总纲!P61</f>
        <v>54.715236050951923</v>
      </c>
      <c r="E62" s="3">
        <f>[1]节奏总纲!Q61</f>
        <v>47.459995750595695</v>
      </c>
      <c r="F62" s="3">
        <f>[1]节奏总纲!R61</f>
        <v>38.913475879437009</v>
      </c>
      <c r="G62" s="3">
        <f>[1]节奏总纲!S61</f>
        <v>28.572296265807093</v>
      </c>
      <c r="H62" s="3">
        <f>[1]节奏总纲!T61</f>
        <v>15.856475407565867</v>
      </c>
      <c r="J62" s="3">
        <v>58</v>
      </c>
      <c r="K62" s="3">
        <f t="shared" si="4"/>
        <v>3.7310826841528453</v>
      </c>
      <c r="L62" s="3">
        <f t="shared" si="4"/>
        <v>3.149668059510617</v>
      </c>
      <c r="M62" s="3">
        <f t="shared" si="4"/>
        <v>2.5974634362660254</v>
      </c>
      <c r="N62" s="3">
        <f t="shared" si="4"/>
        <v>1.9075840549711742</v>
      </c>
      <c r="O62" s="3">
        <f t="shared" si="4"/>
        <v>1.0404804391740541</v>
      </c>
      <c r="Q62" s="3">
        <v>58</v>
      </c>
      <c r="R62" s="3">
        <f>[1]节奏总纲!AD61</f>
        <v>58.821421928516813</v>
      </c>
      <c r="S62" s="3">
        <f>[1]节奏总纲!AE61</f>
        <v>60.851070405211743</v>
      </c>
      <c r="T62" s="3">
        <f>[1]节奏总纲!AF61</f>
        <v>63.665817066968295</v>
      </c>
      <c r="U62" s="3">
        <f>[1]节奏总纲!AG61</f>
        <v>68.142437172458173</v>
      </c>
      <c r="V62" s="3">
        <f>[1]节奏总纲!AH61</f>
        <v>76.60329874178116</v>
      </c>
      <c r="Z62" s="3">
        <v>58</v>
      </c>
      <c r="AA62" s="3">
        <f>[1]节奏总纲!AM61</f>
        <v>1908.4603298511749</v>
      </c>
      <c r="AB62" s="3">
        <f>[1]节奏总纲!AN61</f>
        <v>1526.7682638809401</v>
      </c>
      <c r="AC62" s="3">
        <f>[1]节奏总纲!AO61</f>
        <v>1145.0761979107049</v>
      </c>
      <c r="AD62" s="3">
        <f>[1]节奏总纲!AP61</f>
        <v>763.38413194047007</v>
      </c>
      <c r="AE62" s="3">
        <f>[1]节奏总纲!AQ61</f>
        <v>381.69206597023503</v>
      </c>
      <c r="AG62" s="3">
        <v>58</v>
      </c>
      <c r="AH62" s="3">
        <f t="shared" si="6"/>
        <v>260.63548708081339</v>
      </c>
      <c r="AI62" s="3">
        <f t="shared" si="7"/>
        <v>208.50838966465085</v>
      </c>
      <c r="AJ62" s="3">
        <f t="shared" si="8"/>
        <v>156.38129224848797</v>
      </c>
      <c r="AK62" s="3">
        <f t="shared" si="9"/>
        <v>104.25419483232542</v>
      </c>
      <c r="AL62" s="3">
        <f t="shared" si="10"/>
        <v>52.127097416162712</v>
      </c>
      <c r="AN62" s="3">
        <v>58</v>
      </c>
      <c r="AO62" s="3">
        <f>[1]节奏总纲!BA61</f>
        <v>34.41421240026348</v>
      </c>
      <c r="AP62" s="3">
        <f>[1]节奏总纲!BB61</f>
        <v>35.878317702773053</v>
      </c>
      <c r="AQ62" s="3">
        <f>[1]节奏总纲!BC61</f>
        <v>37.801476926273359</v>
      </c>
      <c r="AR62" s="3">
        <f>[1]节奏总纲!BD61</f>
        <v>40.518638521010644</v>
      </c>
      <c r="AS62" s="3">
        <f>[1]节奏总纲!BE61</f>
        <v>45.199736104837825</v>
      </c>
      <c r="AW62" s="3">
        <v>58</v>
      </c>
      <c r="AX62" s="3">
        <f>[1]节奏总纲!BQ61</f>
        <v>108.98912790570419</v>
      </c>
      <c r="AY62" s="3">
        <f>[1]节奏总纲!BR61</f>
        <v>108.05706415648734</v>
      </c>
      <c r="AZ62" s="3">
        <f>[1]节奏总纲!BS61</f>
        <v>107.0450185423547</v>
      </c>
      <c r="BA62" s="3">
        <f>[1]节奏总纲!BT61</f>
        <v>105.98041084497018</v>
      </c>
      <c r="BB62" s="3">
        <f>[1]节奏总纲!BU61</f>
        <v>104.81855388022134</v>
      </c>
      <c r="BG62" s="5">
        <v>58</v>
      </c>
      <c r="BH62" s="5">
        <f>'[1]功能-城建'!$E63</f>
        <v>22</v>
      </c>
      <c r="BL62" s="3">
        <v>58</v>
      </c>
      <c r="BM62" s="3">
        <f>[1]节奏总纲!BX61</f>
        <v>34.064362584006396</v>
      </c>
      <c r="BN62" s="3">
        <f>[1]节奏总纲!BY61</f>
        <v>34.555333392643561</v>
      </c>
      <c r="BO62" s="3">
        <f>[1]节奏总纲!BZ61</f>
        <v>35.132313012164516</v>
      </c>
      <c r="BP62" s="3">
        <f>[1]节奏总纲!CA61</f>
        <v>35.773967769083114</v>
      </c>
      <c r="BQ62" s="3">
        <f>[1]节奏总纲!CB61</f>
        <v>36.465928362136154</v>
      </c>
    </row>
    <row r="63" spans="3:69">
      <c r="C63" s="3">
        <v>59</v>
      </c>
      <c r="D63" s="3">
        <f>[1]节奏总纲!P62</f>
        <v>58.714111458355703</v>
      </c>
      <c r="E63" s="3">
        <f>[1]节奏总纲!Q62</f>
        <v>50.940363101269412</v>
      </c>
      <c r="F63" s="3">
        <f>[1]节奏总纲!R62</f>
        <v>41.728119013453394</v>
      </c>
      <c r="G63" s="3">
        <f>[1]节奏总纲!S62</f>
        <v>30.607666303240826</v>
      </c>
      <c r="H63" s="3">
        <f>[1]节奏总纲!T62</f>
        <v>17.003606678339814</v>
      </c>
      <c r="J63" s="3">
        <v>59</v>
      </c>
      <c r="K63" s="3">
        <f t="shared" si="4"/>
        <v>3.99887540740378</v>
      </c>
      <c r="L63" s="3">
        <f t="shared" si="4"/>
        <v>3.4803673506737169</v>
      </c>
      <c r="M63" s="3">
        <f t="shared" si="4"/>
        <v>2.8146431340163858</v>
      </c>
      <c r="N63" s="3">
        <f t="shared" si="4"/>
        <v>2.0353700374337329</v>
      </c>
      <c r="O63" s="3">
        <f t="shared" si="4"/>
        <v>1.1471312707739472</v>
      </c>
      <c r="Q63" s="3">
        <v>59</v>
      </c>
      <c r="R63" s="3">
        <f>[1]节奏总纲!AD62</f>
        <v>59.066704614192936</v>
      </c>
      <c r="S63" s="3">
        <f>[1]节奏总纲!AE62</f>
        <v>61.094954819415335</v>
      </c>
      <c r="T63" s="3">
        <f>[1]节奏总纲!AF62</f>
        <v>63.91059178239486</v>
      </c>
      <c r="U63" s="3">
        <f>[1]节奏总纲!AG62</f>
        <v>68.385008299388929</v>
      </c>
      <c r="V63" s="3">
        <f>[1]节奏总纲!AH62</f>
        <v>76.861624350204693</v>
      </c>
      <c r="Z63" s="3">
        <v>59</v>
      </c>
      <c r="AA63" s="3">
        <f>[1]节奏总纲!AM62</f>
        <v>2210.1605665017755</v>
      </c>
      <c r="AB63" s="3">
        <f>[1]节奏总纲!AN62</f>
        <v>1768.1284532014206</v>
      </c>
      <c r="AC63" s="3">
        <f>[1]节奏总纲!AO62</f>
        <v>1326.0963399010652</v>
      </c>
      <c r="AD63" s="3">
        <f>[1]节奏总纲!AP62</f>
        <v>884.0642266007103</v>
      </c>
      <c r="AE63" s="3">
        <f>[1]节奏总纲!AQ62</f>
        <v>442.03211330035515</v>
      </c>
      <c r="AG63" s="3">
        <v>59</v>
      </c>
      <c r="AH63" s="3">
        <f t="shared" si="6"/>
        <v>301.70023665060057</v>
      </c>
      <c r="AI63" s="3">
        <f t="shared" si="7"/>
        <v>241.36018932048046</v>
      </c>
      <c r="AJ63" s="3">
        <f t="shared" si="8"/>
        <v>181.02014199036034</v>
      </c>
      <c r="AK63" s="3">
        <f t="shared" si="9"/>
        <v>120.68009466024023</v>
      </c>
      <c r="AL63" s="3">
        <f t="shared" si="10"/>
        <v>60.340047330120115</v>
      </c>
      <c r="AN63" s="3">
        <v>59</v>
      </c>
      <c r="AO63" s="3">
        <f>[1]节奏总纲!BA62</f>
        <v>34.520719236579211</v>
      </c>
      <c r="AP63" s="3">
        <f>[1]节奏总纲!BB62</f>
        <v>36.000264155774609</v>
      </c>
      <c r="AQ63" s="3">
        <f>[1]节奏总纲!BC62</f>
        <v>37.922481714369241</v>
      </c>
      <c r="AR63" s="3">
        <f>[1]节奏总纲!BD62</f>
        <v>40.635186503260229</v>
      </c>
      <c r="AS63" s="3">
        <f>[1]节奏总纲!BE62</f>
        <v>45.31132052094835</v>
      </c>
      <c r="AW63" s="3">
        <v>59</v>
      </c>
      <c r="AX63" s="3">
        <f>[1]节奏总纲!BQ62</f>
        <v>111.10262975447033</v>
      </c>
      <c r="AY63" s="3">
        <f>[1]节奏总纲!BR62</f>
        <v>110.20947507564244</v>
      </c>
      <c r="AZ63" s="3">
        <f>[1]节奏总纲!BS62</f>
        <v>109.25629876969376</v>
      </c>
      <c r="BA63" s="3">
        <f>[1]节奏总纲!BT62</f>
        <v>108.20567887066987</v>
      </c>
      <c r="BB63" s="3">
        <f>[1]节奏总纲!BU62</f>
        <v>107.05837602863994</v>
      </c>
      <c r="BG63" s="5">
        <v>59</v>
      </c>
      <c r="BH63" s="5">
        <f>'[1]功能-城建'!$E64</f>
        <v>23</v>
      </c>
      <c r="BL63" s="3">
        <v>59</v>
      </c>
      <c r="BM63" s="3">
        <f>[1]节奏总纲!BX62</f>
        <v>34.490270152469755</v>
      </c>
      <c r="BN63" s="3">
        <f>[1]节奏总纲!BY62</f>
        <v>35.017122693980703</v>
      </c>
      <c r="BO63" s="3">
        <f>[1]节奏总纲!BZ62</f>
        <v>35.590118732830298</v>
      </c>
      <c r="BP63" s="3">
        <f>[1]节奏总纲!CA62</f>
        <v>36.233346855347108</v>
      </c>
      <c r="BQ63" s="3">
        <f>[1]节奏总纲!CB62</f>
        <v>36.948702736645387</v>
      </c>
    </row>
    <row r="64" spans="3:69">
      <c r="C64" s="3">
        <v>60</v>
      </c>
      <c r="D64" s="3">
        <f>[1]节奏总纲!P63</f>
        <v>63</v>
      </c>
      <c r="E64" s="3">
        <f>[1]节奏总纲!Q63</f>
        <v>54.589500000000001</v>
      </c>
      <c r="F64" s="3">
        <f>[1]节奏总纲!R63</f>
        <v>44.717399999999998</v>
      </c>
      <c r="G64" s="3">
        <f>[1]节奏总纲!S63</f>
        <v>32.810400000000001</v>
      </c>
      <c r="H64" s="3">
        <f>[1]节奏总纲!T63</f>
        <v>18.276300000000003</v>
      </c>
      <c r="J64" s="3">
        <v>60</v>
      </c>
      <c r="K64" s="3">
        <f t="shared" si="4"/>
        <v>4.2858885416442973</v>
      </c>
      <c r="L64" s="3">
        <f t="shared" si="4"/>
        <v>3.649136898730589</v>
      </c>
      <c r="M64" s="3">
        <f t="shared" si="4"/>
        <v>2.9892809865466035</v>
      </c>
      <c r="N64" s="3">
        <f t="shared" si="4"/>
        <v>2.2027336967591751</v>
      </c>
      <c r="O64" s="3">
        <f t="shared" si="4"/>
        <v>1.2726933216601886</v>
      </c>
      <c r="Q64" s="3">
        <v>60</v>
      </c>
      <c r="R64" s="3">
        <f>[1]节奏总纲!AD63</f>
        <v>59.300028460644697</v>
      </c>
      <c r="S64" s="3">
        <f>[1]节奏总纲!AE63</f>
        <v>61.330461663183208</v>
      </c>
      <c r="T64" s="3">
        <f>[1]节奏总纲!AF63</f>
        <v>64.14304723627319</v>
      </c>
      <c r="U64" s="3">
        <f>[1]节奏总纲!AG63</f>
        <v>68.627579426319684</v>
      </c>
      <c r="V64" s="3">
        <f>[1]节奏总纲!AH63</f>
        <v>77.112805903056142</v>
      </c>
      <c r="Z64" s="3">
        <v>60</v>
      </c>
      <c r="AA64" s="3">
        <f>[1]节奏总纲!AM63</f>
        <v>2559.375</v>
      </c>
      <c r="AB64" s="3">
        <f>[1]节奏总纲!AN63</f>
        <v>2047.5</v>
      </c>
      <c r="AC64" s="3">
        <f>[1]节奏总纲!AO63</f>
        <v>1535.625</v>
      </c>
      <c r="AD64" s="3">
        <f>[1]节奏总纲!AP63</f>
        <v>1023.75</v>
      </c>
      <c r="AE64" s="3">
        <f>[1]节奏总纲!AQ63</f>
        <v>511.875</v>
      </c>
      <c r="AG64" s="3">
        <v>60</v>
      </c>
      <c r="AH64" s="3">
        <f t="shared" si="6"/>
        <v>349.21443349822448</v>
      </c>
      <c r="AI64" s="3">
        <f t="shared" si="7"/>
        <v>279.3715467985794</v>
      </c>
      <c r="AJ64" s="3">
        <f t="shared" si="8"/>
        <v>209.52866009893478</v>
      </c>
      <c r="AK64" s="3">
        <f t="shared" si="9"/>
        <v>139.6857733992897</v>
      </c>
      <c r="AL64" s="3">
        <f t="shared" si="10"/>
        <v>69.842886699644851</v>
      </c>
      <c r="AN64" s="3">
        <v>60</v>
      </c>
      <c r="AO64" s="3">
        <f>[1]节奏总纲!BA63</f>
        <v>34.627226072894942</v>
      </c>
      <c r="AP64" s="3">
        <f>[1]节奏总纲!BB63</f>
        <v>36.105477566569242</v>
      </c>
      <c r="AQ64" s="3">
        <f>[1]节奏总纲!BC63</f>
        <v>38.037513426486328</v>
      </c>
      <c r="AR64" s="3">
        <f>[1]节奏总纲!BD63</f>
        <v>40.751734485509814</v>
      </c>
      <c r="AS64" s="3">
        <f>[1]节奏总纲!BE63</f>
        <v>45.422904937058867</v>
      </c>
      <c r="AW64" s="3">
        <v>60</v>
      </c>
      <c r="AX64" s="3">
        <f>[1]节奏总纲!BQ63</f>
        <v>113.21545878873063</v>
      </c>
      <c r="AY64" s="3">
        <f>[1]节奏总纲!BR63</f>
        <v>112.29538714242203</v>
      </c>
      <c r="AZ64" s="3">
        <f>[1]节奏总纲!BS63</f>
        <v>111.32275250484524</v>
      </c>
      <c r="BA64" s="3">
        <f>[1]节奏总纲!BT63</f>
        <v>110.29731048917512</v>
      </c>
      <c r="BB64" s="3">
        <f>[1]节奏总纲!BU63</f>
        <v>109.19465210702913</v>
      </c>
      <c r="BG64" s="5">
        <v>60</v>
      </c>
      <c r="BH64" s="5">
        <f>'[1]功能-城建'!$E65</f>
        <v>23</v>
      </c>
      <c r="BL64" s="3">
        <v>60</v>
      </c>
      <c r="BM64" s="3">
        <f>[1]节奏总纲!BX63</f>
        <v>34.946746581842135</v>
      </c>
      <c r="BN64" s="3">
        <f>[1]节奏总纲!BY63</f>
        <v>35.462275685369235</v>
      </c>
      <c r="BO64" s="3">
        <f>[1]节奏总纲!BZ63</f>
        <v>36.065833153381824</v>
      </c>
      <c r="BP64" s="3">
        <f>[1]节奏总纲!CA63</f>
        <v>36.696861105963713</v>
      </c>
      <c r="BQ64" s="3">
        <f>[1]节奏总纲!CB63</f>
        <v>37.417758642742506</v>
      </c>
    </row>
    <row r="65" spans="3:69">
      <c r="C65" s="3">
        <v>61</v>
      </c>
      <c r="D65" s="3">
        <f>[1]节奏总纲!P64</f>
        <v>67.593501602322732</v>
      </c>
      <c r="E65" s="3">
        <f>[1]节奏总纲!Q64</f>
        <v>58.596806539053574</v>
      </c>
      <c r="F65" s="3">
        <f>[1]节奏总纲!R64</f>
        <v>47.977867437328676</v>
      </c>
      <c r="G65" s="3">
        <f>[1]节奏总纲!S64</f>
        <v>35.229733035130607</v>
      </c>
      <c r="H65" s="3">
        <f>[1]节奏总纲!T64</f>
        <v>19.602115464673592</v>
      </c>
      <c r="J65" s="3">
        <v>61</v>
      </c>
      <c r="K65" s="3">
        <f t="shared" si="4"/>
        <v>4.593501602322732</v>
      </c>
      <c r="L65" s="3">
        <f t="shared" si="4"/>
        <v>4.0073065390535731</v>
      </c>
      <c r="M65" s="3">
        <f t="shared" si="4"/>
        <v>3.2604674373286784</v>
      </c>
      <c r="N65" s="3">
        <f t="shared" si="4"/>
        <v>2.4193330351306059</v>
      </c>
      <c r="O65" s="3">
        <f t="shared" si="4"/>
        <v>1.3258154646735889</v>
      </c>
      <c r="Q65" s="3">
        <v>61</v>
      </c>
      <c r="R65" s="3">
        <f>[1]节奏总纲!AD64</f>
        <v>59.533352307096465</v>
      </c>
      <c r="S65" s="3">
        <f>[1]节奏总纲!AE64</f>
        <v>61.56596850695108</v>
      </c>
      <c r="T65" s="3">
        <f>[1]节奏总纲!AF64</f>
        <v>64.368413367596901</v>
      </c>
      <c r="U65" s="3">
        <f>[1]节奏总纲!AG64</f>
        <v>68.870150553250454</v>
      </c>
      <c r="V65" s="3">
        <f>[1]节奏总纲!AH64</f>
        <v>77.355745991356301</v>
      </c>
      <c r="Z65" s="3">
        <v>61</v>
      </c>
      <c r="AA65" s="3">
        <f>[1]节奏总纲!AM64</f>
        <v>2963.5631311027469</v>
      </c>
      <c r="AB65" s="3">
        <f>[1]节奏总纲!AN64</f>
        <v>2370.8505048821976</v>
      </c>
      <c r="AC65" s="3">
        <f>[1]节奏总纲!AO64</f>
        <v>1778.1378786616481</v>
      </c>
      <c r="AD65" s="3">
        <f>[1]节奏总纲!AP64</f>
        <v>1185.4252524410988</v>
      </c>
      <c r="AE65" s="3">
        <f>[1]节奏总纲!AQ64</f>
        <v>592.7126262205494</v>
      </c>
      <c r="AG65" s="3">
        <v>61</v>
      </c>
      <c r="AH65" s="3">
        <f t="shared" si="6"/>
        <v>404.18813110274687</v>
      </c>
      <c r="AI65" s="3">
        <f t="shared" si="7"/>
        <v>323.35050488219758</v>
      </c>
      <c r="AJ65" s="3">
        <f t="shared" si="8"/>
        <v>242.51287866164807</v>
      </c>
      <c r="AK65" s="3">
        <f t="shared" si="9"/>
        <v>161.67525244109879</v>
      </c>
      <c r="AL65" s="3">
        <f t="shared" si="10"/>
        <v>80.837626220549396</v>
      </c>
      <c r="AN65" s="3">
        <v>61</v>
      </c>
      <c r="AO65" s="3">
        <f>[1]节奏总纲!BA64</f>
        <v>34.733732909210673</v>
      </c>
      <c r="AP65" s="3">
        <f>[1]节奏总纲!BB64</f>
        <v>36.210690977363875</v>
      </c>
      <c r="AQ65" s="3">
        <f>[1]节奏总纲!BC64</f>
        <v>38.14189763688286</v>
      </c>
      <c r="AR65" s="3">
        <f>[1]节奏总纲!BD64</f>
        <v>40.8682824677594</v>
      </c>
      <c r="AS65" s="3">
        <f>[1]节奏总纲!BE64</f>
        <v>45.534489353169384</v>
      </c>
      <c r="AW65" s="3">
        <v>61</v>
      </c>
      <c r="AX65" s="3">
        <f>[1]节奏总纲!BQ64</f>
        <v>115.32833539528137</v>
      </c>
      <c r="AY65" s="3">
        <f>[1]节奏总纲!BR64</f>
        <v>114.41842394774007</v>
      </c>
      <c r="AZ65" s="3">
        <f>[1]节奏总纲!BS64</f>
        <v>113.42974477170841</v>
      </c>
      <c r="BA65" s="3">
        <f>[1]节奏总纲!BT64</f>
        <v>112.37441833838224</v>
      </c>
      <c r="BB65" s="3">
        <f>[1]节奏总纲!BU64</f>
        <v>111.23877737165789</v>
      </c>
      <c r="BG65" s="5">
        <v>61</v>
      </c>
      <c r="BH65" s="5">
        <f>'[1]功能-城建'!$E66</f>
        <v>23</v>
      </c>
      <c r="BL65" s="3">
        <v>61</v>
      </c>
      <c r="BM65" s="3">
        <f>[1]节奏总纲!BX64</f>
        <v>35.39948832484999</v>
      </c>
      <c r="BN65" s="3">
        <f>[1]节奏总纲!BY64</f>
        <v>35.951121278937144</v>
      </c>
      <c r="BO65" s="3">
        <f>[1]节奏总纲!BZ64</f>
        <v>36.523226353203405</v>
      </c>
      <c r="BP65" s="3">
        <f>[1]节奏总纲!CA64</f>
        <v>37.177648787597903</v>
      </c>
      <c r="BQ65" s="3">
        <f>[1]节奏总纲!CB64</f>
        <v>37.899048700813722</v>
      </c>
    </row>
    <row r="66" spans="3:69">
      <c r="C66" s="3">
        <v>62</v>
      </c>
      <c r="D66" s="3">
        <f>[1]节奏总纲!P65</f>
        <v>72.516694719810218</v>
      </c>
      <c r="E66" s="3">
        <f>[1]节奏总纲!Q65</f>
        <v>62.842967644187539</v>
      </c>
      <c r="F66" s="3">
        <f>[1]节奏总纲!R65</f>
        <v>51.5086082594812</v>
      </c>
      <c r="G66" s="3">
        <f>[1]节奏总纲!S65</f>
        <v>37.846462974268952</v>
      </c>
      <c r="H66" s="3">
        <f>[1]节奏总纲!T65</f>
        <v>21.124113171880715</v>
      </c>
      <c r="J66" s="3">
        <v>62</v>
      </c>
      <c r="K66" s="3">
        <f t="shared" si="4"/>
        <v>4.9231931174874859</v>
      </c>
      <c r="L66" s="3">
        <f t="shared" si="4"/>
        <v>4.2461611051339645</v>
      </c>
      <c r="M66" s="3">
        <f t="shared" si="4"/>
        <v>3.5307408221525236</v>
      </c>
      <c r="N66" s="3">
        <f t="shared" si="4"/>
        <v>2.6167299391383452</v>
      </c>
      <c r="O66" s="3">
        <f t="shared" si="4"/>
        <v>1.5219977072071238</v>
      </c>
      <c r="Q66" s="3">
        <v>62</v>
      </c>
      <c r="R66" s="3">
        <f>[1]节奏总纲!AD65</f>
        <v>59.766676153548232</v>
      </c>
      <c r="S66" s="3">
        <f>[1]节奏总纲!AE65</f>
        <v>61.801475350718952</v>
      </c>
      <c r="T66" s="3">
        <f>[1]节奏总纲!AF65</f>
        <v>64.593779498920611</v>
      </c>
      <c r="U66" s="3">
        <f>[1]节奏总纲!AG65</f>
        <v>69.105843627521551</v>
      </c>
      <c r="V66" s="3">
        <f>[1]节奏总纲!AH65</f>
        <v>77.59868607965646</v>
      </c>
      <c r="Z66" s="3">
        <v>62</v>
      </c>
      <c r="AA66" s="3">
        <f>[1]节奏总纲!AM65</f>
        <v>3431.3522956038646</v>
      </c>
      <c r="AB66" s="3">
        <f>[1]节奏总纲!AN65</f>
        <v>2745.081836483092</v>
      </c>
      <c r="AC66" s="3">
        <f>[1]节奏总纲!AO65</f>
        <v>2058.8113773623186</v>
      </c>
      <c r="AD66" s="3">
        <f>[1]节奏总纲!AP65</f>
        <v>1372.540918241546</v>
      </c>
      <c r="AE66" s="3">
        <f>[1]节奏总纲!AQ65</f>
        <v>686.27045912077301</v>
      </c>
      <c r="AG66" s="3">
        <v>62</v>
      </c>
      <c r="AH66" s="3">
        <f t="shared" si="6"/>
        <v>467.78916450111774</v>
      </c>
      <c r="AI66" s="3">
        <f t="shared" si="7"/>
        <v>374.23133160089446</v>
      </c>
      <c r="AJ66" s="3">
        <f t="shared" si="8"/>
        <v>280.67349870067051</v>
      </c>
      <c r="AK66" s="3">
        <f t="shared" si="9"/>
        <v>187.11566580044723</v>
      </c>
      <c r="AL66" s="3">
        <f t="shared" si="10"/>
        <v>93.557832900223616</v>
      </c>
      <c r="AN66" s="3">
        <v>62</v>
      </c>
      <c r="AO66" s="3">
        <f>[1]节奏总纲!BA65</f>
        <v>34.840239745526404</v>
      </c>
      <c r="AP66" s="3">
        <f>[1]节奏总纲!BB65</f>
        <v>36.315904388158508</v>
      </c>
      <c r="AQ66" s="3">
        <f>[1]节奏总纲!BC65</f>
        <v>38.246281847279398</v>
      </c>
      <c r="AR66" s="3">
        <f>[1]节奏总纲!BD65</f>
        <v>40.984830450008978</v>
      </c>
      <c r="AS66" s="3">
        <f>[1]节奏总纲!BE65</f>
        <v>45.646073769279901</v>
      </c>
      <c r="AW66" s="3">
        <v>62</v>
      </c>
      <c r="AX66" s="3">
        <f>[1]节奏总纲!BQ65</f>
        <v>117.44125295293078</v>
      </c>
      <c r="AY66" s="3">
        <f>[1]节奏总纲!BR65</f>
        <v>116.57008716694446</v>
      </c>
      <c r="AZ66" s="3">
        <f>[1]节奏总纲!BS65</f>
        <v>115.63935175516689</v>
      </c>
      <c r="BA66" s="3">
        <f>[1]节奏总纲!BT65</f>
        <v>114.60606674176169</v>
      </c>
      <c r="BB66" s="3">
        <f>[1]节奏总纲!BU65</f>
        <v>113.4549371467006</v>
      </c>
      <c r="BG66" s="5">
        <v>62</v>
      </c>
      <c r="BH66" s="5">
        <f>'[1]功能-城建'!$E67</f>
        <v>24</v>
      </c>
      <c r="BL66" s="3">
        <v>62</v>
      </c>
      <c r="BM66" s="3">
        <f>[1]节奏总纲!BX65</f>
        <v>35.879946954767739</v>
      </c>
      <c r="BN66" s="3">
        <f>[1]节奏总纲!BY65</f>
        <v>36.404595889192997</v>
      </c>
      <c r="BO66" s="3">
        <f>[1]节奏总纲!BZ65</f>
        <v>37.015987444264518</v>
      </c>
      <c r="BP66" s="3">
        <f>[1]节奏总纲!CA65</f>
        <v>37.65260406528229</v>
      </c>
      <c r="BQ66" s="3">
        <f>[1]节奏总纲!CB65</f>
        <v>38.389532424015663</v>
      </c>
    </row>
    <row r="67" spans="3:69">
      <c r="C67" s="3">
        <v>63</v>
      </c>
      <c r="D67" s="3">
        <f>[1]节奏总纲!P66</f>
        <v>77.793242454074615</v>
      </c>
      <c r="E67" s="3">
        <f>[1]节奏总纲!Q66</f>
        <v>67.470079180418907</v>
      </c>
      <c r="F67" s="3">
        <f>[1]节奏总纲!R66</f>
        <v>55.27987808786542</v>
      </c>
      <c r="G67" s="3">
        <f>[1]节奏总纲!S66</f>
        <v>40.678086479235617</v>
      </c>
      <c r="H67" s="3">
        <f>[1]节奏总纲!T66</f>
        <v>22.700068148098975</v>
      </c>
      <c r="J67" s="3">
        <v>63</v>
      </c>
      <c r="K67" s="3">
        <f t="shared" si="4"/>
        <v>5.2765477342643976</v>
      </c>
      <c r="L67" s="3">
        <f t="shared" si="4"/>
        <v>4.6271115362313679</v>
      </c>
      <c r="M67" s="3">
        <f t="shared" si="4"/>
        <v>3.7712698283842201</v>
      </c>
      <c r="N67" s="3">
        <f t="shared" si="4"/>
        <v>2.8316235049666645</v>
      </c>
      <c r="O67" s="3">
        <f t="shared" si="4"/>
        <v>1.5759549762182594</v>
      </c>
      <c r="Q67" s="3">
        <v>63</v>
      </c>
      <c r="R67" s="3">
        <f>[1]节奏总纲!AD66</f>
        <v>60</v>
      </c>
      <c r="S67" s="3">
        <f>[1]节奏总纲!AE66</f>
        <v>62.033937447710706</v>
      </c>
      <c r="T67" s="3">
        <f>[1]节奏总纲!AF66</f>
        <v>64.819145630244321</v>
      </c>
      <c r="U67" s="3">
        <f>[1]节奏总纲!AG66</f>
        <v>69.333613546893503</v>
      </c>
      <c r="V67" s="3">
        <f>[1]节奏总纲!AH66</f>
        <v>77.841626167956619</v>
      </c>
      <c r="Z67" s="3">
        <v>63</v>
      </c>
      <c r="AA67" s="3">
        <f>[1]节奏总纲!AM66</f>
        <v>3972.7200361130153</v>
      </c>
      <c r="AB67" s="3">
        <f>[1]节奏总纲!AN66</f>
        <v>3178.1760288904125</v>
      </c>
      <c r="AC67" s="3">
        <f>[1]节奏总纲!AO66</f>
        <v>2383.6320216678091</v>
      </c>
      <c r="AD67" s="3">
        <f>[1]节奏总纲!AP66</f>
        <v>1589.0880144452062</v>
      </c>
      <c r="AE67" s="3">
        <f>[1]节奏总纲!AQ66</f>
        <v>794.54400722260311</v>
      </c>
      <c r="AG67" s="3">
        <v>63</v>
      </c>
      <c r="AH67" s="3">
        <f t="shared" si="6"/>
        <v>541.36774050915074</v>
      </c>
      <c r="AI67" s="3">
        <f t="shared" si="7"/>
        <v>433.09419240732041</v>
      </c>
      <c r="AJ67" s="3">
        <f t="shared" si="8"/>
        <v>324.82064430549053</v>
      </c>
      <c r="AK67" s="3">
        <f t="shared" si="9"/>
        <v>216.5470962036602</v>
      </c>
      <c r="AL67" s="3">
        <f t="shared" si="10"/>
        <v>108.2735481018301</v>
      </c>
      <c r="AN67" s="3">
        <v>63</v>
      </c>
      <c r="AO67" s="3">
        <f>[1]节奏总纲!BA66</f>
        <v>34.946746581842135</v>
      </c>
      <c r="AP67" s="3">
        <f>[1]节奏总纲!BB66</f>
        <v>36.421117798953141</v>
      </c>
      <c r="AQ67" s="3">
        <f>[1]节奏总纲!BC66</f>
        <v>38.35066605767593</v>
      </c>
      <c r="AR67" s="3">
        <f>[1]节奏总纲!BD66</f>
        <v>41.087476216725996</v>
      </c>
      <c r="AS67" s="3">
        <f>[1]节奏总纲!BE66</f>
        <v>45.757658185390426</v>
      </c>
      <c r="AW67" s="3">
        <v>63</v>
      </c>
      <c r="AX67" s="3">
        <f>[1]节奏总纲!BQ66</f>
        <v>119.55420575752977</v>
      </c>
      <c r="AY67" s="3">
        <f>[1]节奏总纲!BR66</f>
        <v>118.67207694028556</v>
      </c>
      <c r="AZ67" s="3">
        <f>[1]节奏总纲!BS66</f>
        <v>117.73975971101574</v>
      </c>
      <c r="BA67" s="3">
        <f>[1]节奏总纲!BT66</f>
        <v>116.73393678080937</v>
      </c>
      <c r="BB67" s="3">
        <f>[1]节奏总纲!BU66</f>
        <v>115.65492353979617</v>
      </c>
      <c r="BG67" s="5">
        <v>63</v>
      </c>
      <c r="BH67" s="5">
        <f>'[1]功能-城建'!$E68</f>
        <v>24</v>
      </c>
      <c r="BL67" s="3">
        <v>63</v>
      </c>
      <c r="BM67" s="3">
        <f>[1]节奏总纲!BX66</f>
        <v>36.340586819184892</v>
      </c>
      <c r="BN67" s="3">
        <f>[1]节奏总纲!BY66</f>
        <v>36.891430076047094</v>
      </c>
      <c r="BO67" s="3">
        <f>[1]节奏总纲!BZ66</f>
        <v>37.472329150700546</v>
      </c>
      <c r="BP67" s="3">
        <f>[1]节奏总纲!CA66</f>
        <v>38.143685709059689</v>
      </c>
      <c r="BQ67" s="3">
        <f>[1]节奏总纲!CB66</f>
        <v>38.883046871454752</v>
      </c>
    </row>
    <row r="68" spans="3:69">
      <c r="C68" s="3">
        <v>64</v>
      </c>
      <c r="D68" s="3">
        <f>[1]节奏总纲!P67</f>
        <v>83.4485062894652</v>
      </c>
      <c r="E68" s="3">
        <f>[1]节奏总纲!Q67</f>
        <v>72.399924056740005</v>
      </c>
      <c r="F68" s="3">
        <f>[1]节奏总纲!R67</f>
        <v>59.365267374325548</v>
      </c>
      <c r="G68" s="3">
        <f>[1]节奏总纲!S67</f>
        <v>43.718672445050821</v>
      </c>
      <c r="H68" s="3">
        <f>[1]节奏总纲!T67</f>
        <v>24.341929284637001</v>
      </c>
      <c r="J68" s="3">
        <v>64</v>
      </c>
      <c r="K68" s="3">
        <f t="shared" si="4"/>
        <v>5.6552638353905849</v>
      </c>
      <c r="L68" s="3">
        <f t="shared" si="4"/>
        <v>4.9298448763210985</v>
      </c>
      <c r="M68" s="3">
        <f t="shared" si="4"/>
        <v>4.0853892864601278</v>
      </c>
      <c r="N68" s="3">
        <f t="shared" si="4"/>
        <v>3.0405859658152039</v>
      </c>
      <c r="O68" s="3">
        <f t="shared" si="4"/>
        <v>1.6418611365380258</v>
      </c>
      <c r="Q68" s="3">
        <v>64</v>
      </c>
      <c r="R68" s="3">
        <f>[1]节奏总纲!AD67</f>
        <v>60.217698846451768</v>
      </c>
      <c r="S68" s="3">
        <f>[1]节奏总纲!AE67</f>
        <v>62.250054995811666</v>
      </c>
      <c r="T68" s="3">
        <f>[1]节奏总纲!AF67</f>
        <v>65.042129882798193</v>
      </c>
      <c r="U68" s="3">
        <f>[1]节奏总纲!AG67</f>
        <v>69.56138346626544</v>
      </c>
      <c r="V68" s="3">
        <f>[1]节奏总纲!AH67</f>
        <v>78.077870469399883</v>
      </c>
      <c r="Z68" s="3">
        <v>64</v>
      </c>
      <c r="AA68" s="3">
        <f>[1]节奏总纲!AM67</f>
        <v>4599.2048883665893</v>
      </c>
      <c r="AB68" s="3">
        <f>[1]节奏总纲!AN67</f>
        <v>3679.3639106932715</v>
      </c>
      <c r="AC68" s="3">
        <f>[1]节奏总纲!AO67</f>
        <v>2759.5229330199536</v>
      </c>
      <c r="AD68" s="3">
        <f>[1]节奏总纲!AP67</f>
        <v>1839.6819553466357</v>
      </c>
      <c r="AE68" s="3">
        <f>[1]节奏总纲!AQ67</f>
        <v>919.84097767331787</v>
      </c>
      <c r="AG68" s="3">
        <v>64</v>
      </c>
      <c r="AH68" s="3">
        <f t="shared" si="6"/>
        <v>626.48485225357399</v>
      </c>
      <c r="AI68" s="3">
        <f t="shared" si="7"/>
        <v>501.18788180285901</v>
      </c>
      <c r="AJ68" s="3">
        <f t="shared" si="8"/>
        <v>375.89091135214449</v>
      </c>
      <c r="AK68" s="3">
        <f t="shared" si="9"/>
        <v>250.59394090142951</v>
      </c>
      <c r="AL68" s="3">
        <f t="shared" si="10"/>
        <v>125.29697045071475</v>
      </c>
      <c r="AN68" s="3">
        <v>64</v>
      </c>
      <c r="AO68" s="3">
        <f>[1]节奏总纲!BA67</f>
        <v>35.048795427931836</v>
      </c>
      <c r="AP68" s="3">
        <f>[1]节奏总纲!BB67</f>
        <v>36.526331209747774</v>
      </c>
      <c r="AQ68" s="3">
        <f>[1]节奏总纲!BC67</f>
        <v>38.455050268072462</v>
      </c>
      <c r="AR68" s="3">
        <f>[1]节奏总纲!BD67</f>
        <v>41.188041754455355</v>
      </c>
      <c r="AS68" s="3">
        <f>[1]节奏总纲!BE67</f>
        <v>45.869242601500943</v>
      </c>
      <c r="AW68" s="3">
        <v>64</v>
      </c>
      <c r="AX68" s="3">
        <f>[1]节奏总纲!BQ67</f>
        <v>121.66718889550316</v>
      </c>
      <c r="AY68" s="3">
        <f>[1]节奏总纲!BR67</f>
        <v>120.7875236036714</v>
      </c>
      <c r="AZ68" s="3">
        <f>[1]节奏总纲!BS67</f>
        <v>119.82684914766305</v>
      </c>
      <c r="BA68" s="3">
        <f>[1]节奏总纲!BT67</f>
        <v>118.81193261353252</v>
      </c>
      <c r="BB68" s="3">
        <f>[1]节奏总纲!BU67</f>
        <v>117.74192085001619</v>
      </c>
      <c r="BG68" s="5">
        <v>64</v>
      </c>
      <c r="BH68" s="5">
        <f>'[1]功能-城建'!$E69</f>
        <v>24</v>
      </c>
      <c r="BL68" s="3">
        <v>64</v>
      </c>
      <c r="BM68" s="3">
        <f>[1]节奏总纲!BX67</f>
        <v>36.816594496836878</v>
      </c>
      <c r="BN68" s="3">
        <f>[1]节奏总纲!BY67</f>
        <v>37.353752318195028</v>
      </c>
      <c r="BO68" s="3">
        <f>[1]节奏总纲!BZ67</f>
        <v>37.96668081559784</v>
      </c>
      <c r="BP68" s="3">
        <f>[1]节奏总纲!CA67</f>
        <v>38.619769456836295</v>
      </c>
      <c r="BQ68" s="3">
        <f>[1]节奏总纲!CB67</f>
        <v>39.342673018124934</v>
      </c>
    </row>
    <row r="69" spans="3:69">
      <c r="C69" s="3">
        <v>65</v>
      </c>
      <c r="D69" s="3">
        <f>[1]节奏总纲!P68</f>
        <v>89.509667991878061</v>
      </c>
      <c r="E69" s="3">
        <f>[1]节奏总纲!Q68</f>
        <v>77.64963698295422</v>
      </c>
      <c r="F69" s="3">
        <f>[1]节奏总纲!R68</f>
        <v>63.802491344610679</v>
      </c>
      <c r="G69" s="3">
        <f>[1]节奏总纲!S68</f>
        <v>46.929918928141667</v>
      </c>
      <c r="H69" s="3">
        <f>[1]节奏总纲!T68</f>
        <v>25.993607584841389</v>
      </c>
      <c r="J69" s="3">
        <v>65</v>
      </c>
      <c r="K69" s="3">
        <f t="shared" si="4"/>
        <v>6.0611617024128606</v>
      </c>
      <c r="L69" s="3">
        <f t="shared" si="4"/>
        <v>5.2497129262142153</v>
      </c>
      <c r="M69" s="3">
        <f t="shared" si="4"/>
        <v>4.4372239702851317</v>
      </c>
      <c r="N69" s="3">
        <f t="shared" si="4"/>
        <v>3.2112464830908465</v>
      </c>
      <c r="O69" s="3">
        <f t="shared" si="4"/>
        <v>1.651678300204388</v>
      </c>
      <c r="Q69" s="3">
        <v>65</v>
      </c>
      <c r="R69" s="3">
        <f>[1]节奏总纲!AD68</f>
        <v>60.435397692903535</v>
      </c>
      <c r="S69" s="3">
        <f>[1]节奏总纲!AE68</f>
        <v>62.466172543912634</v>
      </c>
      <c r="T69" s="3">
        <f>[1]节奏总纲!AF68</f>
        <v>65.255436396961542</v>
      </c>
      <c r="U69" s="3">
        <f>[1]节奏总纲!AG68</f>
        <v>69.789153385637391</v>
      </c>
      <c r="V69" s="3">
        <f>[1]节奏总纲!AH68</f>
        <v>78.301575047908599</v>
      </c>
      <c r="Z69" s="3">
        <v>65</v>
      </c>
      <c r="AA69" s="3">
        <f>[1]节奏总纲!AM68</f>
        <v>5324.1500000000005</v>
      </c>
      <c r="AB69" s="3">
        <f>[1]节奏总纲!AN68</f>
        <v>4259.3200000000006</v>
      </c>
      <c r="AC69" s="3">
        <f>[1]节奏总纲!AO68</f>
        <v>3194.4900000000002</v>
      </c>
      <c r="AD69" s="3">
        <f>[1]节奏总纲!AP68</f>
        <v>2129.6600000000003</v>
      </c>
      <c r="AE69" s="3">
        <f>[1]节奏总纲!AQ68</f>
        <v>1064.8300000000002</v>
      </c>
      <c r="AG69" s="3">
        <v>65</v>
      </c>
      <c r="AH69" s="3">
        <f t="shared" si="6"/>
        <v>724.94511163341122</v>
      </c>
      <c r="AI69" s="3">
        <f t="shared" si="7"/>
        <v>579.95608930672915</v>
      </c>
      <c r="AJ69" s="3">
        <f t="shared" si="8"/>
        <v>434.96706698004664</v>
      </c>
      <c r="AK69" s="3">
        <f t="shared" si="9"/>
        <v>289.97804465336458</v>
      </c>
      <c r="AL69" s="3">
        <f t="shared" si="10"/>
        <v>144.98902232668229</v>
      </c>
      <c r="AN69" s="3">
        <v>65</v>
      </c>
      <c r="AO69" s="3">
        <f>[1]节奏总纲!BA68</f>
        <v>35.146386283795508</v>
      </c>
      <c r="AP69" s="3">
        <f>[1]节奏总纲!BB68</f>
        <v>36.631544620542407</v>
      </c>
      <c r="AQ69" s="3">
        <f>[1]节奏总纲!BC68</f>
        <v>38.559434478468994</v>
      </c>
      <c r="AR69" s="3">
        <f>[1]节奏总纲!BD68</f>
        <v>41.288607292184714</v>
      </c>
      <c r="AS69" s="3">
        <f>[1]节奏总纲!BE68</f>
        <v>45.98082701761146</v>
      </c>
      <c r="AW69" s="3">
        <v>65</v>
      </c>
      <c r="AX69" s="3">
        <f>[1]节奏总纲!BQ68</f>
        <v>123.78019813475611</v>
      </c>
      <c r="AY69" s="3">
        <f>[1]节奏总纲!BR68</f>
        <v>122.94202904218383</v>
      </c>
      <c r="AZ69" s="3">
        <f>[1]节奏总纲!BS68</f>
        <v>122.04564028811234</v>
      </c>
      <c r="BA69" s="3">
        <f>[1]节奏总纲!BT68</f>
        <v>121.05089677308304</v>
      </c>
      <c r="BB69" s="3">
        <f>[1]节奏总纲!BU68</f>
        <v>119.95354120546152</v>
      </c>
      <c r="BG69" s="5">
        <v>65</v>
      </c>
      <c r="BH69" s="5">
        <f>'[1]功能-城建'!$E70</f>
        <v>25</v>
      </c>
      <c r="BL69" s="3">
        <v>65</v>
      </c>
      <c r="BM69" s="3">
        <f>[1]节奏总纲!BX68</f>
        <v>37.281858261446175</v>
      </c>
      <c r="BN69" s="3">
        <f>[1]节奏总纲!BY68</f>
        <v>37.830182618345603</v>
      </c>
      <c r="BO69" s="3">
        <f>[1]节奏总纲!BZ68</f>
        <v>38.434433483033168</v>
      </c>
      <c r="BP69" s="3">
        <f>[1]节奏总纲!CA68</f>
        <v>39.10574775257124</v>
      </c>
      <c r="BQ69" s="3">
        <f>[1]节奏总纲!CB68</f>
        <v>39.788896264020153</v>
      </c>
    </row>
    <row r="70" spans="3:69">
      <c r="C70" s="3">
        <v>66</v>
      </c>
      <c r="D70" s="3">
        <f>[1]节奏总纲!P69</f>
        <v>96.005860256665443</v>
      </c>
      <c r="E70" s="3">
        <f>[1]节奏总纲!Q69</f>
        <v>83.352287874836932</v>
      </c>
      <c r="F70" s="3">
        <f>[1]节奏总纲!R69</f>
        <v>68.490580707105124</v>
      </c>
      <c r="G70" s="3">
        <f>[1]节奏总纲!S69</f>
        <v>50.163061984107692</v>
      </c>
      <c r="H70" s="3">
        <f>[1]节奏总纲!T69</f>
        <v>27.851300060458648</v>
      </c>
      <c r="J70" s="3">
        <v>66</v>
      </c>
      <c r="K70" s="3">
        <f t="shared" ref="K70:O113" si="11">D70-D69</f>
        <v>6.496192264787382</v>
      </c>
      <c r="L70" s="3">
        <f t="shared" si="11"/>
        <v>5.7026508918827119</v>
      </c>
      <c r="M70" s="3">
        <f t="shared" si="11"/>
        <v>4.6880893624944449</v>
      </c>
      <c r="N70" s="3">
        <f t="shared" si="11"/>
        <v>3.2331430559660248</v>
      </c>
      <c r="O70" s="3">
        <f t="shared" si="11"/>
        <v>1.8576924756172595</v>
      </c>
      <c r="Q70" s="3">
        <v>66</v>
      </c>
      <c r="R70" s="3">
        <f>[1]节奏总纲!AD69</f>
        <v>60.653096539355303</v>
      </c>
      <c r="S70" s="3">
        <f>[1]节奏总纲!AE69</f>
        <v>62.682290092013595</v>
      </c>
      <c r="T70" s="3">
        <f>[1]节奏总纲!AF69</f>
        <v>65.468742911124906</v>
      </c>
      <c r="U70" s="3">
        <f>[1]节奏总纲!AG69</f>
        <v>70.015851474333999</v>
      </c>
      <c r="V70" s="3">
        <f>[1]节奏总纲!AH69</f>
        <v>78.525279626417301</v>
      </c>
      <c r="Z70" s="3">
        <v>66</v>
      </c>
      <c r="AA70" s="3">
        <f>[1]节奏总纲!AM69</f>
        <v>6162.9846853088866</v>
      </c>
      <c r="AB70" s="3">
        <f>[1]节奏总纲!AN69</f>
        <v>4930.3877482471098</v>
      </c>
      <c r="AC70" s="3">
        <f>[1]节奏总纲!AO69</f>
        <v>3697.7908111853317</v>
      </c>
      <c r="AD70" s="3">
        <f>[1]节奏总纲!AP69</f>
        <v>2465.1938741235549</v>
      </c>
      <c r="AE70" s="3">
        <f>[1]节奏总纲!AQ69</f>
        <v>1232.5969370617775</v>
      </c>
      <c r="AG70" s="3">
        <v>66</v>
      </c>
      <c r="AH70" s="3">
        <f t="shared" si="6"/>
        <v>838.83468530888604</v>
      </c>
      <c r="AI70" s="3">
        <f t="shared" si="7"/>
        <v>671.06774824710919</v>
      </c>
      <c r="AJ70" s="3">
        <f t="shared" si="8"/>
        <v>503.30081118533144</v>
      </c>
      <c r="AK70" s="3">
        <f t="shared" si="9"/>
        <v>335.5338741235546</v>
      </c>
      <c r="AL70" s="3">
        <f t="shared" si="10"/>
        <v>167.7669370617773</v>
      </c>
      <c r="AN70" s="3">
        <v>66</v>
      </c>
      <c r="AO70" s="3">
        <f>[1]节奏总纲!BA69</f>
        <v>35.243977139659179</v>
      </c>
      <c r="AP70" s="3">
        <f>[1]节奏总纲!BB69</f>
        <v>36.73675803133704</v>
      </c>
      <c r="AQ70" s="3">
        <f>[1]节奏总纲!BC69</f>
        <v>38.663818688865533</v>
      </c>
      <c r="AR70" s="3">
        <f>[1]节奏总纲!BD69</f>
        <v>41.389172829914081</v>
      </c>
      <c r="AS70" s="3">
        <f>[1]节奏总纲!BE69</f>
        <v>46.079770001861057</v>
      </c>
      <c r="AW70" s="3">
        <v>66</v>
      </c>
      <c r="AX70" s="3">
        <f>[1]节奏总纲!BQ69</f>
        <v>125.89322983057725</v>
      </c>
      <c r="AY70" s="3">
        <f>[1]节奏总纲!BR69</f>
        <v>125.03207854890056</v>
      </c>
      <c r="AZ70" s="3">
        <f>[1]节奏总纲!BS69</f>
        <v>124.09865268465654</v>
      </c>
      <c r="BA70" s="3">
        <f>[1]节奏总纲!BT69</f>
        <v>123.12386763900987</v>
      </c>
      <c r="BB70" s="3">
        <f>[1]节奏总纲!BU69</f>
        <v>122.09304851303449</v>
      </c>
      <c r="BG70" s="5">
        <v>66</v>
      </c>
      <c r="BH70" s="5">
        <f>'[1]功能-城建'!$E71</f>
        <v>25</v>
      </c>
      <c r="BL70" s="3">
        <v>66</v>
      </c>
      <c r="BM70" s="3">
        <f>[1]节奏总纲!BX69</f>
        <v>37.753500482504599</v>
      </c>
      <c r="BN70" s="3">
        <f>[1]节奏总纲!BY69</f>
        <v>38.299957868613873</v>
      </c>
      <c r="BO70" s="3">
        <f>[1]节奏总纲!BZ69</f>
        <v>38.923795989405541</v>
      </c>
      <c r="BP70" s="3">
        <f>[1]节奏总纲!CA69</f>
        <v>39.54248642883109</v>
      </c>
      <c r="BQ70" s="3">
        <f>[1]节奏总纲!CB69</f>
        <v>40.250881200683118</v>
      </c>
    </row>
    <row r="71" spans="3:69">
      <c r="C71" s="3">
        <v>67</v>
      </c>
      <c r="D71" s="3">
        <f>[1]节奏总纲!P70</f>
        <v>102.96830673359811</v>
      </c>
      <c r="E71" s="3">
        <f>[1]节奏总纲!Q70</f>
        <v>89.469161720823394</v>
      </c>
      <c r="F71" s="3">
        <f>[1]节奏总纲!R70</f>
        <v>73.292840732975137</v>
      </c>
      <c r="G71" s="3">
        <f>[1]节奏总纲!S70</f>
        <v>53.625894146857902</v>
      </c>
      <c r="H71" s="3">
        <f>[1]节奏总纲!T70</f>
        <v>29.799027968703292</v>
      </c>
      <c r="J71" s="3">
        <v>67</v>
      </c>
      <c r="K71" s="3">
        <f t="shared" si="11"/>
        <v>6.9624464769326693</v>
      </c>
      <c r="L71" s="3">
        <f t="shared" si="11"/>
        <v>6.1168738459864613</v>
      </c>
      <c r="M71" s="3">
        <f t="shared" si="11"/>
        <v>4.8022600258700123</v>
      </c>
      <c r="N71" s="3">
        <f t="shared" si="11"/>
        <v>3.4628321627502103</v>
      </c>
      <c r="O71" s="3">
        <f t="shared" si="11"/>
        <v>1.9477279082446444</v>
      </c>
      <c r="Q71" s="3">
        <v>67</v>
      </c>
      <c r="R71" s="3">
        <f>[1]节奏总纲!AD70</f>
        <v>60.870795385807064</v>
      </c>
      <c r="S71" s="3">
        <f>[1]节奏总纲!AE70</f>
        <v>62.898407640114556</v>
      </c>
      <c r="T71" s="3">
        <f>[1]节奏总纲!AF70</f>
        <v>65.682049425288255</v>
      </c>
      <c r="U71" s="3">
        <f>[1]节奏总纲!AG70</f>
        <v>70.229195678021767</v>
      </c>
      <c r="V71" s="3">
        <f>[1]节奏总纲!AH70</f>
        <v>78.748984204926018</v>
      </c>
      <c r="Z71" s="3">
        <v>67</v>
      </c>
      <c r="AA71" s="3">
        <f>[1]节奏总纲!AM70</f>
        <v>7133.5498113340191</v>
      </c>
      <c r="AB71" s="3">
        <f>[1]节奏总纲!AN70</f>
        <v>5706.8398490672153</v>
      </c>
      <c r="AC71" s="3">
        <f>[1]节奏总纲!AO70</f>
        <v>4280.1298868004114</v>
      </c>
      <c r="AD71" s="3">
        <f>[1]节奏总纲!AP70</f>
        <v>2853.4199245336076</v>
      </c>
      <c r="AE71" s="3">
        <f>[1]节奏总纲!AQ70</f>
        <v>1426.7099622668038</v>
      </c>
      <c r="AG71" s="3">
        <v>67</v>
      </c>
      <c r="AH71" s="3">
        <f t="shared" si="6"/>
        <v>970.56512602513249</v>
      </c>
      <c r="AI71" s="3">
        <f t="shared" si="7"/>
        <v>776.45210082010544</v>
      </c>
      <c r="AJ71" s="3">
        <f t="shared" si="8"/>
        <v>582.33907561507976</v>
      </c>
      <c r="AK71" s="3">
        <f t="shared" si="9"/>
        <v>388.22605041005272</v>
      </c>
      <c r="AL71" s="3">
        <f t="shared" si="10"/>
        <v>194.11302520502636</v>
      </c>
      <c r="AN71" s="3">
        <v>67</v>
      </c>
      <c r="AO71" s="3">
        <f>[1]节奏总纲!BA70</f>
        <v>35.341567995522851</v>
      </c>
      <c r="AP71" s="3">
        <f>[1]节奏总纲!BB70</f>
        <v>36.841971442131673</v>
      </c>
      <c r="AQ71" s="3">
        <f>[1]节奏总纲!BC70</f>
        <v>38.768202899262064</v>
      </c>
      <c r="AR71" s="3">
        <f>[1]节奏总纲!BD70</f>
        <v>41.48973836764344</v>
      </c>
      <c r="AS71" s="3">
        <f>[1]节奏总纲!BE70</f>
        <v>46.176090215954694</v>
      </c>
      <c r="AW71" s="3">
        <v>67</v>
      </c>
      <c r="AX71" s="3">
        <f>[1]节奏总纲!BQ70</f>
        <v>128.00586023511804</v>
      </c>
      <c r="AY71" s="3">
        <f>[1]节奏总纲!BR70</f>
        <v>127.12838978012395</v>
      </c>
      <c r="AZ71" s="3">
        <f>[1]节奏总纲!BS70</f>
        <v>126.19151638854794</v>
      </c>
      <c r="BA71" s="3">
        <f>[1]节奏总纲!BT70</f>
        <v>125.19410714767859</v>
      </c>
      <c r="BB71" s="3">
        <f>[1]节奏总纲!BU70</f>
        <v>124.11624751239822</v>
      </c>
      <c r="BG71" s="5">
        <v>67</v>
      </c>
      <c r="BH71" s="5">
        <f>'[1]功能-城建'!$E72</f>
        <v>25</v>
      </c>
      <c r="BL71" s="3">
        <v>67</v>
      </c>
      <c r="BM71" s="3">
        <f>[1]节奏总纲!BX70</f>
        <v>38.223420039247138</v>
      </c>
      <c r="BN71" s="3">
        <f>[1]节奏总纲!BY70</f>
        <v>38.778836653495254</v>
      </c>
      <c r="BO71" s="3">
        <f>[1]节奏总纲!BZ70</f>
        <v>39.366722334610458</v>
      </c>
      <c r="BP71" s="3">
        <f>[1]节奏总纲!CA70</f>
        <v>40.008845309680844</v>
      </c>
      <c r="BQ71" s="3">
        <f>[1]节奏总纲!CB70</f>
        <v>40.704888716037352</v>
      </c>
    </row>
    <row r="72" spans="3:69">
      <c r="C72" s="3">
        <v>68</v>
      </c>
      <c r="D72" s="3">
        <f>[1]节奏总纲!P71</f>
        <v>110.43047210190386</v>
      </c>
      <c r="E72" s="3">
        <f>[1]节奏总纲!Q71</f>
        <v>95.831563690032169</v>
      </c>
      <c r="F72" s="3">
        <f>[1]节奏总纲!R71</f>
        <v>78.251032531409081</v>
      </c>
      <c r="G72" s="3">
        <f>[1]节奏总纲!S71</f>
        <v>57.412802445779818</v>
      </c>
      <c r="H72" s="3">
        <f>[1]节奏总纲!T71</f>
        <v>31.859191201399263</v>
      </c>
      <c r="J72" s="3">
        <v>68</v>
      </c>
      <c r="K72" s="3">
        <f t="shared" si="11"/>
        <v>7.4621653683057474</v>
      </c>
      <c r="L72" s="3">
        <f t="shared" si="11"/>
        <v>6.3624019692087757</v>
      </c>
      <c r="M72" s="3">
        <f t="shared" si="11"/>
        <v>4.9581917984339441</v>
      </c>
      <c r="N72" s="3">
        <f t="shared" si="11"/>
        <v>3.7869082989219152</v>
      </c>
      <c r="O72" s="3">
        <f t="shared" si="11"/>
        <v>2.0601632326959702</v>
      </c>
      <c r="Q72" s="3">
        <v>68</v>
      </c>
      <c r="R72" s="3">
        <f>[1]节奏总纲!AD71</f>
        <v>61.082568038258209</v>
      </c>
      <c r="S72" s="3">
        <f>[1]节奏总纲!AE71</f>
        <v>63.107492392331935</v>
      </c>
      <c r="T72" s="3">
        <f>[1]节奏总纲!AF71</f>
        <v>65.895355939451605</v>
      </c>
      <c r="U72" s="3">
        <f>[1]节奏总纲!AG71</f>
        <v>70.442539881709536</v>
      </c>
      <c r="V72" s="3">
        <f>[1]节奏总纲!AH71</f>
        <v>78.972688783434734</v>
      </c>
      <c r="Z72" s="3">
        <v>68</v>
      </c>
      <c r="AA72" s="3">
        <f>[1]节奏总纲!AM71</f>
        <v>8256.4738250473602</v>
      </c>
      <c r="AB72" s="3">
        <f>[1]节奏总纲!AN71</f>
        <v>6605.1790600378881</v>
      </c>
      <c r="AC72" s="3">
        <f>[1]节奏总纲!AO71</f>
        <v>4953.8842950284161</v>
      </c>
      <c r="AD72" s="3">
        <f>[1]节奏总纲!AP71</f>
        <v>3302.5895300189441</v>
      </c>
      <c r="AE72" s="3">
        <f>[1]节奏总纲!AQ71</f>
        <v>1651.294765009472</v>
      </c>
      <c r="AG72" s="3">
        <v>68</v>
      </c>
      <c r="AH72" s="3">
        <f t="shared" si="6"/>
        <v>1122.9240137133411</v>
      </c>
      <c r="AI72" s="3">
        <f t="shared" si="7"/>
        <v>898.33921097067287</v>
      </c>
      <c r="AJ72" s="3">
        <f t="shared" si="8"/>
        <v>673.75440822800465</v>
      </c>
      <c r="AK72" s="3">
        <f t="shared" si="9"/>
        <v>449.16960548533643</v>
      </c>
      <c r="AL72" s="3">
        <f t="shared" si="10"/>
        <v>224.58480274266822</v>
      </c>
      <c r="AN72" s="3">
        <v>68</v>
      </c>
      <c r="AO72" s="3">
        <f>[1]节奏总纲!BA71</f>
        <v>35.439158851386523</v>
      </c>
      <c r="AP72" s="3">
        <f>[1]节奏总纲!BB71</f>
        <v>36.947184852926306</v>
      </c>
      <c r="AQ72" s="3">
        <f>[1]节奏总纲!BC71</f>
        <v>38.872587109658596</v>
      </c>
      <c r="AR72" s="3">
        <f>[1]节奏总纲!BD71</f>
        <v>41.590303905372799</v>
      </c>
      <c r="AS72" s="3">
        <f>[1]节奏总纲!BE71</f>
        <v>46.272410430048332</v>
      </c>
      <c r="AW72" s="3">
        <v>68</v>
      </c>
      <c r="AX72" s="3">
        <f>[1]节奏总纲!BQ71</f>
        <v>130.11135606394996</v>
      </c>
      <c r="AY72" s="3">
        <f>[1]节奏总纲!BR71</f>
        <v>129.28753527830008</v>
      </c>
      <c r="AZ72" s="3">
        <f>[1]节奏总纲!BS71</f>
        <v>128.41849022048493</v>
      </c>
      <c r="BA72" s="3">
        <f>[1]节奏总纲!BT71</f>
        <v>127.45983734027742</v>
      </c>
      <c r="BB72" s="3">
        <f>[1]节奏总纲!BU71</f>
        <v>126.37501502290067</v>
      </c>
      <c r="BG72" s="5">
        <v>68</v>
      </c>
      <c r="BH72" s="5">
        <f>'[1]功能-城建'!$E73</f>
        <v>26</v>
      </c>
      <c r="BL72" s="3">
        <v>68</v>
      </c>
      <c r="BM72" s="3">
        <f>[1]节奏总纲!BX71</f>
        <v>38.690779383138512</v>
      </c>
      <c r="BN72" s="3">
        <f>[1]节奏总纲!BY71</f>
        <v>39.238919857187803</v>
      </c>
      <c r="BO72" s="3">
        <f>[1]节奏总纲!BZ71</f>
        <v>39.813229873395798</v>
      </c>
      <c r="BP72" s="3">
        <f>[1]节奏总纲!CA71</f>
        <v>40.450201830884396</v>
      </c>
      <c r="BQ72" s="3">
        <f>[1]节奏总纲!CB71</f>
        <v>41.159720729358739</v>
      </c>
    </row>
    <row r="73" spans="3:69">
      <c r="C73" s="3">
        <v>69</v>
      </c>
      <c r="D73" s="3">
        <f>[1]节奏总纲!P72</f>
        <v>118.42822291671132</v>
      </c>
      <c r="E73" s="3">
        <f>[1]节奏总纲!Q72</f>
        <v>102.51146975670532</v>
      </c>
      <c r="F73" s="3">
        <f>[1]节奏总纲!R72</f>
        <v>83.894553114198303</v>
      </c>
      <c r="G73" s="3">
        <f>[1]节奏总纲!S72</f>
        <v>61.535304627523196</v>
      </c>
      <c r="H73" s="3">
        <f>[1]节奏总纲!T72</f>
        <v>34.059956910846175</v>
      </c>
      <c r="J73" s="3">
        <v>69</v>
      </c>
      <c r="K73" s="3">
        <f t="shared" si="11"/>
        <v>7.9977508148074605</v>
      </c>
      <c r="L73" s="3">
        <f t="shared" si="11"/>
        <v>6.6799060666731549</v>
      </c>
      <c r="M73" s="3">
        <f t="shared" si="11"/>
        <v>5.6435205827892219</v>
      </c>
      <c r="N73" s="3">
        <f t="shared" si="11"/>
        <v>4.1225021817433785</v>
      </c>
      <c r="O73" s="3">
        <f t="shared" si="11"/>
        <v>2.2007657094469124</v>
      </c>
      <c r="Q73" s="3">
        <v>69</v>
      </c>
      <c r="R73" s="3">
        <f>[1]节奏总纲!AD72</f>
        <v>61.285688244217212</v>
      </c>
      <c r="S73" s="3">
        <f>[1]节奏总纲!AE72</f>
        <v>63.310338531528565</v>
      </c>
      <c r="T73" s="3">
        <f>[1]节奏总纲!AF72</f>
        <v>66.106079073217742</v>
      </c>
      <c r="U73" s="3">
        <f>[1]节奏总纲!AG72</f>
        <v>70.655884085397304</v>
      </c>
      <c r="V73" s="3">
        <f>[1]节奏总纲!AH72</f>
        <v>79.188599387584361</v>
      </c>
      <c r="Z73" s="3">
        <v>69</v>
      </c>
      <c r="AA73" s="3">
        <f>[1]节奏总纲!AM72</f>
        <v>9555.6072874592737</v>
      </c>
      <c r="AB73" s="3">
        <f>[1]节奏总纲!AN72</f>
        <v>7644.4858299674197</v>
      </c>
      <c r="AC73" s="3">
        <f>[1]节奏总纲!AO72</f>
        <v>5733.3643724755639</v>
      </c>
      <c r="AD73" s="3">
        <f>[1]节奏总纲!AP72</f>
        <v>3822.2429149837099</v>
      </c>
      <c r="AE73" s="3">
        <f>[1]节奏总纲!AQ72</f>
        <v>1911.1214574918549</v>
      </c>
      <c r="AG73" s="3">
        <v>69</v>
      </c>
      <c r="AH73" s="3">
        <f t="shared" si="6"/>
        <v>1299.1334624119136</v>
      </c>
      <c r="AI73" s="3">
        <f t="shared" si="7"/>
        <v>1039.3067699295316</v>
      </c>
      <c r="AJ73" s="3">
        <f t="shared" si="8"/>
        <v>779.48007744714778</v>
      </c>
      <c r="AK73" s="3">
        <f t="shared" si="9"/>
        <v>519.65338496476579</v>
      </c>
      <c r="AL73" s="3">
        <f t="shared" si="10"/>
        <v>259.8266924823829</v>
      </c>
      <c r="AN73" s="3">
        <v>69</v>
      </c>
      <c r="AO73" s="3">
        <f>[1]节奏总纲!BA72</f>
        <v>35.536749707250202</v>
      </c>
      <c r="AP73" s="3">
        <f>[1]节奏总纲!BB72</f>
        <v>37.045197000674086</v>
      </c>
      <c r="AQ73" s="3">
        <f>[1]节奏总纲!BC72</f>
        <v>38.976971320055128</v>
      </c>
      <c r="AR73" s="3">
        <f>[1]节奏总纲!BD72</f>
        <v>41.690869443102159</v>
      </c>
      <c r="AS73" s="3">
        <f>[1]节奏总纲!BE72</f>
        <v>46.368730644141969</v>
      </c>
      <c r="AW73" s="3">
        <v>69</v>
      </c>
      <c r="AX73" s="3">
        <f>[1]节奏总纲!BQ72</f>
        <v>132.21686522535077</v>
      </c>
      <c r="AY73" s="3">
        <f>[1]节奏总纲!BR72</f>
        <v>131.37187315551134</v>
      </c>
      <c r="AZ73" s="3">
        <f>[1]节奏总纲!BS72</f>
        <v>130.47467154691921</v>
      </c>
      <c r="BA73" s="3">
        <f>[1]节奏总纲!BT72</f>
        <v>129.52983824261307</v>
      </c>
      <c r="BB73" s="3">
        <f>[1]节奏总纲!BU72</f>
        <v>128.52822980669353</v>
      </c>
      <c r="BG73" s="5">
        <v>69</v>
      </c>
      <c r="BH73" s="5">
        <f>'[1]功能-城建'!$E74</f>
        <v>26</v>
      </c>
      <c r="BL73" s="3">
        <v>69</v>
      </c>
      <c r="BM73" s="3">
        <f>[1]节奏总纲!BX72</f>
        <v>39.165368824198744</v>
      </c>
      <c r="BN73" s="3">
        <f>[1]节奏总纲!BY72</f>
        <v>39.690086613900846</v>
      </c>
      <c r="BO73" s="3">
        <f>[1]节奏总纲!BZ72</f>
        <v>40.27734947532835</v>
      </c>
      <c r="BP73" s="3">
        <f>[1]节奏总纲!CA72</f>
        <v>40.930671141986089</v>
      </c>
      <c r="BQ73" s="3">
        <f>[1]节奏总纲!CB72</f>
        <v>41.602363103332472</v>
      </c>
    </row>
    <row r="74" spans="3:69">
      <c r="C74" s="3">
        <v>70</v>
      </c>
      <c r="D74" s="3">
        <f>[1]节奏总纲!P73</f>
        <v>127</v>
      </c>
      <c r="E74" s="3">
        <f>[1]节奏总纲!Q73</f>
        <v>109.9693</v>
      </c>
      <c r="F74" s="3">
        <f>[1]节奏总纲!R73</f>
        <v>90.106499999999997</v>
      </c>
      <c r="G74" s="3">
        <f>[1]节奏总纲!S73</f>
        <v>65.925700000000006</v>
      </c>
      <c r="H74" s="3">
        <f>[1]节奏总纲!T73</f>
        <v>36.4998</v>
      </c>
      <c r="J74" s="3">
        <v>70</v>
      </c>
      <c r="K74" s="3">
        <f t="shared" si="11"/>
        <v>8.5717770832886799</v>
      </c>
      <c r="L74" s="3">
        <f t="shared" si="11"/>
        <v>7.4578302432946799</v>
      </c>
      <c r="M74" s="3">
        <f t="shared" si="11"/>
        <v>6.2119468858016944</v>
      </c>
      <c r="N74" s="3">
        <f t="shared" si="11"/>
        <v>4.3903953724768101</v>
      </c>
      <c r="O74" s="3">
        <f t="shared" si="11"/>
        <v>2.4398430891538254</v>
      </c>
      <c r="Q74" s="3">
        <v>70</v>
      </c>
      <c r="R74" s="3">
        <f>[1]节奏总纲!AD73</f>
        <v>61.488808450176215</v>
      </c>
      <c r="S74" s="3">
        <f>[1]节奏总纲!AE73</f>
        <v>63.513184670725188</v>
      </c>
      <c r="T74" s="3">
        <f>[1]节奏总纲!AF73</f>
        <v>66.314314361313961</v>
      </c>
      <c r="U74" s="3">
        <f>[1]节奏总纲!AG73</f>
        <v>70.869228289085072</v>
      </c>
      <c r="V74" s="3">
        <f>[1]节奏总纲!AH73</f>
        <v>79.403426131671111</v>
      </c>
      <c r="Z74" s="3">
        <v>70</v>
      </c>
      <c r="AA74" s="3">
        <f>[1]节奏总纲!AM73</f>
        <v>11058.525000000001</v>
      </c>
      <c r="AB74" s="3">
        <f>[1]节奏总纲!AN73</f>
        <v>8846.8200000000015</v>
      </c>
      <c r="AC74" s="3">
        <f>[1]节奏总纲!AO73</f>
        <v>6635.1150000000007</v>
      </c>
      <c r="AD74" s="3">
        <f>[1]节奏总纲!AP73</f>
        <v>4423.4100000000008</v>
      </c>
      <c r="AE74" s="3">
        <f>[1]节奏总纲!AQ73</f>
        <v>2211.7050000000004</v>
      </c>
      <c r="AG74" s="3">
        <v>70</v>
      </c>
      <c r="AH74" s="3">
        <f t="shared" si="6"/>
        <v>1502.9177125407277</v>
      </c>
      <c r="AI74" s="3">
        <f t="shared" si="7"/>
        <v>1202.3341700325818</v>
      </c>
      <c r="AJ74" s="3">
        <f t="shared" si="8"/>
        <v>901.75062752443682</v>
      </c>
      <c r="AK74" s="3">
        <f t="shared" si="9"/>
        <v>601.16708501629091</v>
      </c>
      <c r="AL74" s="3">
        <f t="shared" si="10"/>
        <v>300.58354250814546</v>
      </c>
      <c r="AN74" s="3">
        <v>70</v>
      </c>
      <c r="AO74" s="3">
        <f>[1]节奏总纲!BA73</f>
        <v>35.634340563113874</v>
      </c>
      <c r="AP74" s="3">
        <f>[1]节奏总纲!BB73</f>
        <v>37.135950591746003</v>
      </c>
      <c r="AQ74" s="3">
        <f>[1]节奏总纲!BC73</f>
        <v>39.070187171981765</v>
      </c>
      <c r="AR74" s="3">
        <f>[1]节奏总纲!BD73</f>
        <v>41.791434980831518</v>
      </c>
      <c r="AS74" s="3">
        <f>[1]节奏总纲!BE73</f>
        <v>46.465050858235607</v>
      </c>
      <c r="AW74" s="3">
        <v>70</v>
      </c>
      <c r="AX74" s="3">
        <f>[1]节奏总纲!BQ73</f>
        <v>134.32238585092639</v>
      </c>
      <c r="AY74" s="3">
        <f>[1]节奏总纲!BR73</f>
        <v>133.48248819741508</v>
      </c>
      <c r="AZ74" s="3">
        <f>[1]节奏总纲!BS73</f>
        <v>132.56461040487298</v>
      </c>
      <c r="BA74" s="3">
        <f>[1]节奏总纲!BT73</f>
        <v>131.5959653197481</v>
      </c>
      <c r="BB74" s="3">
        <f>[1]节奏总纲!BU73</f>
        <v>130.57679608675303</v>
      </c>
      <c r="BG74" s="5">
        <v>70</v>
      </c>
      <c r="BH74" s="5">
        <f>'[1]功能-城建'!$E75</f>
        <v>26</v>
      </c>
      <c r="BL74" s="3">
        <v>70</v>
      </c>
      <c r="BM74" s="3">
        <f>[1]节奏总纲!BX73</f>
        <v>39.628525141348646</v>
      </c>
      <c r="BN74" s="3">
        <f>[1]节奏总纲!BY73</f>
        <v>40.167205562734367</v>
      </c>
      <c r="BO74" s="3">
        <f>[1]节奏总纲!BZ73</f>
        <v>40.760009392249536</v>
      </c>
      <c r="BP74" s="3">
        <f>[1]节奏总纲!CA73</f>
        <v>41.381700810460785</v>
      </c>
      <c r="BQ74" s="3">
        <f>[1]节奏总纲!CB73</f>
        <v>42.080332137364977</v>
      </c>
    </row>
    <row r="75" spans="3:69">
      <c r="C75" s="3">
        <v>71</v>
      </c>
      <c r="D75" s="3">
        <f>[1]节奏总纲!P74</f>
        <v>136.18700320464549</v>
      </c>
      <c r="E75" s="3">
        <f>[1]节奏总纲!Q74</f>
        <v>118.03327567746625</v>
      </c>
      <c r="F75" s="3">
        <f>[1]节奏总纲!R74</f>
        <v>96.583822672734584</v>
      </c>
      <c r="G75" s="3">
        <f>[1]节奏总纲!S74</f>
        <v>70.612961161608681</v>
      </c>
      <c r="H75" s="3">
        <f>[1]节奏总纲!T74</f>
        <v>39.126526020694648</v>
      </c>
      <c r="J75" s="3">
        <v>71</v>
      </c>
      <c r="K75" s="3">
        <f t="shared" si="11"/>
        <v>9.1870032046454924</v>
      </c>
      <c r="L75" s="3">
        <f t="shared" si="11"/>
        <v>8.0639756774662459</v>
      </c>
      <c r="M75" s="3">
        <f t="shared" si="11"/>
        <v>6.4773226727345872</v>
      </c>
      <c r="N75" s="3">
        <f t="shared" si="11"/>
        <v>4.6872611616086743</v>
      </c>
      <c r="O75" s="3">
        <f t="shared" si="11"/>
        <v>2.6267260206946474</v>
      </c>
      <c r="Q75" s="3">
        <v>71</v>
      </c>
      <c r="R75" s="3">
        <f>[1]节奏总纲!AD74</f>
        <v>61.691928656135218</v>
      </c>
      <c r="S75" s="3">
        <f>[1]节奏总纲!AE74</f>
        <v>63.716030809921811</v>
      </c>
      <c r="T75" s="3">
        <f>[1]节奏总纲!AF74</f>
        <v>66.52254964941018</v>
      </c>
      <c r="U75" s="3">
        <f>[1]节奏总纲!AG74</f>
        <v>71.07781362467729</v>
      </c>
      <c r="V75" s="3">
        <f>[1]节奏总纲!AH74</f>
        <v>79.618252875757847</v>
      </c>
      <c r="Z75" s="3">
        <v>71</v>
      </c>
      <c r="AA75" s="3">
        <f>[1]节奏总纲!AM74</f>
        <v>12797.106216824561</v>
      </c>
      <c r="AB75" s="3">
        <f>[1]节奏总纲!AN74</f>
        <v>10237.684973459649</v>
      </c>
      <c r="AC75" s="3">
        <f>[1]节奏总纲!AO74</f>
        <v>7678.2637300947363</v>
      </c>
      <c r="AD75" s="3">
        <f>[1]节奏总纲!AP74</f>
        <v>5118.8424867298245</v>
      </c>
      <c r="AE75" s="3">
        <f>[1]节奏总纲!AQ74</f>
        <v>2559.4212433649122</v>
      </c>
      <c r="AG75" s="3">
        <v>71</v>
      </c>
      <c r="AH75" s="3">
        <f t="shared" si="6"/>
        <v>1738.5812168245593</v>
      </c>
      <c r="AI75" s="3">
        <f t="shared" si="7"/>
        <v>1390.8649734596474</v>
      </c>
      <c r="AJ75" s="3">
        <f t="shared" si="8"/>
        <v>1043.1487300947356</v>
      </c>
      <c r="AK75" s="3">
        <f t="shared" si="9"/>
        <v>695.43248672982372</v>
      </c>
      <c r="AL75" s="3">
        <f t="shared" si="10"/>
        <v>347.71624336491186</v>
      </c>
      <c r="AN75" s="3">
        <v>71</v>
      </c>
      <c r="AO75" s="3">
        <f>[1]节奏总纲!BA74</f>
        <v>35.731931418977545</v>
      </c>
      <c r="AP75" s="3">
        <f>[1]节奏总纲!BB74</f>
        <v>37.226704182817912</v>
      </c>
      <c r="AQ75" s="3">
        <f>[1]节奏总纲!BC74</f>
        <v>39.160241683169971</v>
      </c>
      <c r="AR75" s="3">
        <f>[1]节奏总纲!BD74</f>
        <v>41.892000518560877</v>
      </c>
      <c r="AS75" s="3">
        <f>[1]节奏总纲!BE74</f>
        <v>46.561371072329244</v>
      </c>
      <c r="AW75" s="3">
        <v>71</v>
      </c>
      <c r="AX75" s="3">
        <f>[1]节奏总纲!BQ74</f>
        <v>136.42791633259191</v>
      </c>
      <c r="AY75" s="3">
        <f>[1]节奏总纲!BR74</f>
        <v>135.62040290082996</v>
      </c>
      <c r="AZ75" s="3">
        <f>[1]节奏总纲!BS74</f>
        <v>134.76985377611533</v>
      </c>
      <c r="BA75" s="3">
        <f>[1]节奏总纲!BT74</f>
        <v>133.82828810970861</v>
      </c>
      <c r="BB75" s="3">
        <f>[1]节奏总纲!BU74</f>
        <v>132.7790170152997</v>
      </c>
      <c r="BG75" s="5">
        <v>71</v>
      </c>
      <c r="BH75" s="5">
        <f>'[1]功能-城建'!$E76</f>
        <v>27</v>
      </c>
      <c r="BL75" s="3">
        <v>71</v>
      </c>
      <c r="BM75" s="3">
        <f>[1]节奏总纲!BX74</f>
        <v>40.107783723382404</v>
      </c>
      <c r="BN75" s="3">
        <f>[1]节奏总纲!BY74</f>
        <v>40.637125609793571</v>
      </c>
      <c r="BO75" s="3">
        <f>[1]节奏总纲!BZ74</f>
        <v>41.227183381803457</v>
      </c>
      <c r="BP75" s="3">
        <f>[1]节奏总纲!CA74</f>
        <v>41.85307774965591</v>
      </c>
      <c r="BQ75" s="3">
        <f>[1]节奏总纲!CB74</f>
        <v>42.536236620449564</v>
      </c>
    </row>
    <row r="76" spans="3:69">
      <c r="C76" s="3">
        <v>72</v>
      </c>
      <c r="D76" s="3">
        <f>[1]节奏总纲!P75</f>
        <v>146.03338943962044</v>
      </c>
      <c r="E76" s="3">
        <f>[1]节奏总纲!Q75</f>
        <v>126.581741966263</v>
      </c>
      <c r="F76" s="3">
        <f>[1]节奏总纲!R75</f>
        <v>103.31862302853146</v>
      </c>
      <c r="G76" s="3">
        <f>[1]节奏总纲!S75</f>
        <v>75.586882373947532</v>
      </c>
      <c r="H76" s="3">
        <f>[1]节奏总纲!T75</f>
        <v>41.896979430227098</v>
      </c>
      <c r="J76" s="3">
        <v>72</v>
      </c>
      <c r="K76" s="3">
        <f t="shared" si="11"/>
        <v>9.8463862349749434</v>
      </c>
      <c r="L76" s="3">
        <f t="shared" si="11"/>
        <v>8.548466288796746</v>
      </c>
      <c r="M76" s="3">
        <f t="shared" si="11"/>
        <v>6.7348003557968781</v>
      </c>
      <c r="N76" s="3">
        <f t="shared" si="11"/>
        <v>4.9739212123388512</v>
      </c>
      <c r="O76" s="3">
        <f t="shared" si="11"/>
        <v>2.7704534095324505</v>
      </c>
      <c r="Q76" s="3">
        <v>72</v>
      </c>
      <c r="R76" s="3">
        <f>[1]节奏总纲!AD75</f>
        <v>61.895048862094221</v>
      </c>
      <c r="S76" s="3">
        <f>[1]节奏总纲!AE75</f>
        <v>63.918876949118435</v>
      </c>
      <c r="T76" s="3">
        <f>[1]节奏总纲!AF75</f>
        <v>66.7307849375064</v>
      </c>
      <c r="U76" s="3">
        <f>[1]节奏总纲!AG75</f>
        <v>71.278862245535876</v>
      </c>
      <c r="V76" s="3">
        <f>[1]节奏总纲!AH75</f>
        <v>79.833079619844597</v>
      </c>
      <c r="Z76" s="3">
        <v>72</v>
      </c>
      <c r="AA76" s="3">
        <f>[1]节奏总纲!AM75</f>
        <v>14808.205062920617</v>
      </c>
      <c r="AB76" s="3">
        <f>[1]节奏总纲!AN75</f>
        <v>11846.564050336494</v>
      </c>
      <c r="AC76" s="3">
        <f>[1]节奏总纲!AO75</f>
        <v>8884.9230377523691</v>
      </c>
      <c r="AD76" s="3">
        <f>[1]节奏总纲!AP75</f>
        <v>5923.2820251682469</v>
      </c>
      <c r="AE76" s="3">
        <f>[1]节奏总纲!AQ75</f>
        <v>2961.6410125841235</v>
      </c>
      <c r="AG76" s="3">
        <v>72</v>
      </c>
      <c r="AH76" s="3">
        <f t="shared" si="6"/>
        <v>2011.0988460960561</v>
      </c>
      <c r="AI76" s="3">
        <f t="shared" si="7"/>
        <v>1608.8790768768449</v>
      </c>
      <c r="AJ76" s="3">
        <f t="shared" si="8"/>
        <v>1206.6593076576328</v>
      </c>
      <c r="AK76" s="3">
        <f t="shared" si="9"/>
        <v>804.43953843842246</v>
      </c>
      <c r="AL76" s="3">
        <f t="shared" si="10"/>
        <v>402.21976921921123</v>
      </c>
      <c r="AN76" s="3">
        <v>72</v>
      </c>
      <c r="AO76" s="3">
        <f>[1]节奏总纲!BA75</f>
        <v>35.829522274841217</v>
      </c>
      <c r="AP76" s="3">
        <f>[1]节奏总纲!BB75</f>
        <v>37.317457773889828</v>
      </c>
      <c r="AQ76" s="3">
        <f>[1]节奏总纲!BC75</f>
        <v>39.250296194358178</v>
      </c>
      <c r="AR76" s="3">
        <f>[1]节奏总纲!BD75</f>
        <v>41.992566056290244</v>
      </c>
      <c r="AS76" s="3">
        <f>[1]节奏总纲!BE75</f>
        <v>46.657691286422882</v>
      </c>
      <c r="AW76" s="3">
        <v>72</v>
      </c>
      <c r="AX76" s="3">
        <f>[1]节奏总纲!BQ75</f>
        <v>138.53345528648683</v>
      </c>
      <c r="AY76" s="3">
        <f>[1]节奏总纲!BR75</f>
        <v>137.70627422196659</v>
      </c>
      <c r="AZ76" s="3">
        <f>[1]节奏总纲!BS75</f>
        <v>136.8190741194654</v>
      </c>
      <c r="BA76" s="3">
        <f>[1]节奏总纲!BT75</f>
        <v>135.89542876835631</v>
      </c>
      <c r="BB76" s="3">
        <f>[1]节奏总纲!BU75</f>
        <v>134.91256595481366</v>
      </c>
      <c r="BG76" s="5">
        <v>72</v>
      </c>
      <c r="BH76" s="5">
        <f>'[1]功能-城建'!$E77</f>
        <v>27</v>
      </c>
      <c r="BL76" s="3">
        <v>72</v>
      </c>
      <c r="BM76" s="3">
        <f>[1]节奏总纲!BX75</f>
        <v>40.566814302636963</v>
      </c>
      <c r="BN76" s="3">
        <f>[1]节奏总纲!BY75</f>
        <v>41.116727813554483</v>
      </c>
      <c r="BO76" s="3">
        <f>[1]节奏总纲!BZ75</f>
        <v>41.67870926132386</v>
      </c>
      <c r="BP76" s="3">
        <f>[1]节奏总纲!CA75</f>
        <v>42.304861384799864</v>
      </c>
      <c r="BQ76" s="3">
        <f>[1]节奏总纲!CB75</f>
        <v>43.014746184152813</v>
      </c>
    </row>
    <row r="77" spans="3:69">
      <c r="C77" s="3">
        <v>73</v>
      </c>
      <c r="D77" s="3">
        <f>[1]节奏总纲!P76</f>
        <v>156.58648490814926</v>
      </c>
      <c r="E77" s="3">
        <f>[1]节奏总纲!Q76</f>
        <v>135.41599214856748</v>
      </c>
      <c r="F77" s="3">
        <f>[1]节奏总纲!R76</f>
        <v>110.58137564213501</v>
      </c>
      <c r="G77" s="3">
        <f>[1]节奏总纲!S76</f>
        <v>80.955212697513176</v>
      </c>
      <c r="H77" s="3">
        <f>[1]节奏总纲!T76</f>
        <v>44.877686574675579</v>
      </c>
      <c r="J77" s="3">
        <v>73</v>
      </c>
      <c r="K77" s="3">
        <f t="shared" si="11"/>
        <v>10.553095468528824</v>
      </c>
      <c r="L77" s="3">
        <f t="shared" si="11"/>
        <v>8.834250182304487</v>
      </c>
      <c r="M77" s="3">
        <f t="shared" si="11"/>
        <v>7.2627526136035527</v>
      </c>
      <c r="N77" s="3">
        <f t="shared" si="11"/>
        <v>5.3683303235656439</v>
      </c>
      <c r="O77" s="3">
        <f t="shared" si="11"/>
        <v>2.9807071444484805</v>
      </c>
      <c r="Q77" s="3">
        <v>73</v>
      </c>
      <c r="R77" s="3">
        <f>[1]节奏总纲!AD76</f>
        <v>62.091594979242075</v>
      </c>
      <c r="S77" s="3">
        <f>[1]节奏总纲!AE76</f>
        <v>64.114306430026588</v>
      </c>
      <c r="T77" s="3">
        <f>[1]节奏总纲!AF76</f>
        <v>66.939020225602619</v>
      </c>
      <c r="U77" s="3">
        <f>[1]节奏总纲!AG76</f>
        <v>71.479910866394462</v>
      </c>
      <c r="V77" s="3">
        <f>[1]节奏总纲!AH76</f>
        <v>80.043898354812981</v>
      </c>
      <c r="Z77" s="3">
        <v>73</v>
      </c>
      <c r="AA77" s="3">
        <f>[1]节奏总纲!AM76</f>
        <v>17134.425155737379</v>
      </c>
      <c r="AB77" s="3">
        <f>[1]节奏总纲!AN76</f>
        <v>13707.540124589905</v>
      </c>
      <c r="AC77" s="3">
        <f>[1]节奏总纲!AO76</f>
        <v>10280.655093442427</v>
      </c>
      <c r="AD77" s="3">
        <f>[1]节奏总纲!AP76</f>
        <v>6853.7700622949524</v>
      </c>
      <c r="AE77" s="3">
        <f>[1]节奏总纲!AQ76</f>
        <v>3426.8850311474762</v>
      </c>
      <c r="AG77" s="3">
        <v>73</v>
      </c>
      <c r="AH77" s="3">
        <f t="shared" si="6"/>
        <v>2326.2200928167622</v>
      </c>
      <c r="AI77" s="3">
        <f t="shared" si="7"/>
        <v>1860.9760742534108</v>
      </c>
      <c r="AJ77" s="3">
        <f t="shared" si="8"/>
        <v>1395.7320556900577</v>
      </c>
      <c r="AK77" s="3">
        <f t="shared" si="9"/>
        <v>930.48803712670542</v>
      </c>
      <c r="AL77" s="3">
        <f t="shared" si="10"/>
        <v>465.24401856335271</v>
      </c>
      <c r="AN77" s="3">
        <v>73</v>
      </c>
      <c r="AO77" s="3">
        <f>[1]节奏总纲!BA76</f>
        <v>35.927113130704889</v>
      </c>
      <c r="AP77" s="3">
        <f>[1]节奏总纲!BB76</f>
        <v>37.408211364961737</v>
      </c>
      <c r="AQ77" s="3">
        <f>[1]节奏总纲!BC76</f>
        <v>39.340350705546385</v>
      </c>
      <c r="AR77" s="3">
        <f>[1]节奏总纲!BD76</f>
        <v>42.080366850119908</v>
      </c>
      <c r="AS77" s="3">
        <f>[1]节奏总纲!BE76</f>
        <v>46.754011500516519</v>
      </c>
      <c r="AW77" s="3">
        <v>73</v>
      </c>
      <c r="AX77" s="3">
        <f>[1]节奏总纲!BQ76</f>
        <v>140.63900152187057</v>
      </c>
      <c r="AY77" s="3">
        <f>[1]节奏总纲!BR76</f>
        <v>139.81183580038677</v>
      </c>
      <c r="AZ77" s="3">
        <f>[1]节奏总纲!BS76</f>
        <v>138.91106706435997</v>
      </c>
      <c r="BA77" s="3">
        <f>[1]节奏总纲!BT76</f>
        <v>137.96184741964817</v>
      </c>
      <c r="BB77" s="3">
        <f>[1]节奏总纲!BU76</f>
        <v>136.95030487715928</v>
      </c>
      <c r="BG77" s="5">
        <v>73</v>
      </c>
      <c r="BH77" s="5">
        <f>'[1]功能-城建'!$E78</f>
        <v>27</v>
      </c>
      <c r="BL77" s="3">
        <v>73</v>
      </c>
      <c r="BM77" s="3">
        <f>[1]节奏总纲!BX76</f>
        <v>41.050728962151652</v>
      </c>
      <c r="BN77" s="3">
        <f>[1]节奏总纲!BY76</f>
        <v>41.560938373564056</v>
      </c>
      <c r="BO77" s="3">
        <f>[1]节奏总纲!BZ76</f>
        <v>42.142929396202454</v>
      </c>
      <c r="BP77" s="3">
        <f>[1]节奏总纲!CA76</f>
        <v>42.770735222023518</v>
      </c>
      <c r="BQ77" s="3">
        <f>[1]节奏总纲!CB76</f>
        <v>43.461216869621744</v>
      </c>
    </row>
    <row r="78" spans="3:69">
      <c r="C78" s="3">
        <v>74</v>
      </c>
      <c r="D78" s="3">
        <f>[1]节奏总纲!P77</f>
        <v>167.89701257893043</v>
      </c>
      <c r="E78" s="3">
        <f>[1]节奏总纲!Q77</f>
        <v>145.16375707574326</v>
      </c>
      <c r="F78" s="3">
        <f>[1]节奏总纲!R77</f>
        <v>118.70318789330381</v>
      </c>
      <c r="G78" s="3">
        <f>[1]节奏总纲!S77</f>
        <v>86.869914308338593</v>
      </c>
      <c r="H78" s="3">
        <f>[1]节奏总纲!T77</f>
        <v>48.169652908895138</v>
      </c>
      <c r="J78" s="3">
        <v>74</v>
      </c>
      <c r="K78" s="3">
        <f t="shared" si="11"/>
        <v>11.31052767078117</v>
      </c>
      <c r="L78" s="3">
        <f t="shared" si="11"/>
        <v>9.7477649271757798</v>
      </c>
      <c r="M78" s="3">
        <f t="shared" si="11"/>
        <v>8.1218122511687909</v>
      </c>
      <c r="N78" s="3">
        <f t="shared" si="11"/>
        <v>5.9147016108254178</v>
      </c>
      <c r="O78" s="3">
        <f t="shared" si="11"/>
        <v>3.2919663342195591</v>
      </c>
      <c r="Q78" s="3">
        <v>74</v>
      </c>
      <c r="R78" s="3">
        <f>[1]节奏总纲!AD77</f>
        <v>62.281112832649576</v>
      </c>
      <c r="S78" s="3">
        <f>[1]节奏总纲!AE77</f>
        <v>64.304793036447776</v>
      </c>
      <c r="T78" s="3">
        <f>[1]节奏总纲!AF77</f>
        <v>67.14262442756818</v>
      </c>
      <c r="U78" s="3">
        <f>[1]节奏总纲!AG77</f>
        <v>71.680959487253048</v>
      </c>
      <c r="V78" s="3">
        <f>[1]节奏总纲!AH77</f>
        <v>80.24075196383977</v>
      </c>
      <c r="Z78" s="3">
        <v>74</v>
      </c>
      <c r="AA78" s="3">
        <f>[1]节奏总纲!AM77</f>
        <v>19825.014596370729</v>
      </c>
      <c r="AB78" s="3">
        <f>[1]节奏总纲!AN77</f>
        <v>15860.011677096583</v>
      </c>
      <c r="AC78" s="3">
        <f>[1]节奏总纲!AO77</f>
        <v>11895.008757822437</v>
      </c>
      <c r="AD78" s="3">
        <f>[1]节奏总纲!AP77</f>
        <v>7930.0058385482916</v>
      </c>
      <c r="AE78" s="3">
        <f>[1]节奏总纲!AQ77</f>
        <v>3965.0029192741458</v>
      </c>
      <c r="AG78" s="3">
        <v>74</v>
      </c>
      <c r="AH78" s="3">
        <f t="shared" si="6"/>
        <v>2690.58944063335</v>
      </c>
      <c r="AI78" s="3">
        <f t="shared" si="7"/>
        <v>2152.4715525066786</v>
      </c>
      <c r="AJ78" s="3">
        <f t="shared" si="8"/>
        <v>1614.3536643800107</v>
      </c>
      <c r="AK78" s="3">
        <f t="shared" si="9"/>
        <v>1076.2357762533393</v>
      </c>
      <c r="AL78" s="3">
        <f t="shared" si="10"/>
        <v>538.11788812666964</v>
      </c>
      <c r="AN78" s="3">
        <v>74</v>
      </c>
      <c r="AO78" s="3">
        <f>[1]节奏总纲!BA77</f>
        <v>36.021306837933537</v>
      </c>
      <c r="AP78" s="3">
        <f>[1]节奏总纲!BB77</f>
        <v>37.498964956033646</v>
      </c>
      <c r="AQ78" s="3">
        <f>[1]节奏总纲!BC77</f>
        <v>39.430405216734592</v>
      </c>
      <c r="AR78" s="3">
        <f>[1]节奏总纲!BD77</f>
        <v>42.167148737437564</v>
      </c>
      <c r="AS78" s="3">
        <f>[1]节奏总纲!BE77</f>
        <v>46.850331714610157</v>
      </c>
      <c r="AW78" s="3">
        <v>74</v>
      </c>
      <c r="AX78" s="3">
        <f>[1]节奏总纲!BQ77</f>
        <v>142.74455401431342</v>
      </c>
      <c r="AY78" s="3">
        <f>[1]节奏总纲!BR77</f>
        <v>141.95854268233577</v>
      </c>
      <c r="AZ78" s="3">
        <f>[1]节奏总纲!BS77</f>
        <v>141.12063409703663</v>
      </c>
      <c r="BA78" s="3">
        <f>[1]节奏总纲!BT77</f>
        <v>140.18479766698579</v>
      </c>
      <c r="BB78" s="3">
        <f>[1]节奏总纲!BU77</f>
        <v>139.16271061168544</v>
      </c>
      <c r="BG78" s="5">
        <v>74</v>
      </c>
      <c r="BH78" s="5">
        <f>'[1]功能-城建'!$E79</f>
        <v>28</v>
      </c>
      <c r="BL78" s="3">
        <v>74</v>
      </c>
      <c r="BM78" s="3">
        <f>[1]节奏总纲!BX77</f>
        <v>41.505708681037625</v>
      </c>
      <c r="BN78" s="3">
        <f>[1]节奏总纲!BY77</f>
        <v>42.044081480508389</v>
      </c>
      <c r="BO78" s="3">
        <f>[1]节奏总纲!BZ77</f>
        <v>42.612813526599879</v>
      </c>
      <c r="BP78" s="3">
        <f>[1]节奏总纲!CA77</f>
        <v>43.245114997782593</v>
      </c>
      <c r="BQ78" s="3">
        <f>[1]节奏总纲!CB77</f>
        <v>43.954310083598529</v>
      </c>
    </row>
    <row r="79" spans="3:69">
      <c r="C79" s="3">
        <v>75</v>
      </c>
      <c r="D79" s="3">
        <f>[1]节奏总纲!P78</f>
        <v>180.01933598375612</v>
      </c>
      <c r="E79" s="3">
        <f>[1]节奏总纲!Q78</f>
        <v>155.75272949314578</v>
      </c>
      <c r="F79" s="3">
        <f>[1]节奏总纲!R78</f>
        <v>127.38168214210583</v>
      </c>
      <c r="G79" s="3">
        <f>[1]节奏总纲!S78</f>
        <v>93.214012172388934</v>
      </c>
      <c r="H79" s="3">
        <f>[1]节奏总纲!T78</f>
        <v>51.755559095329879</v>
      </c>
      <c r="J79" s="3">
        <v>75</v>
      </c>
      <c r="K79" s="3">
        <f t="shared" si="11"/>
        <v>12.122323404825693</v>
      </c>
      <c r="L79" s="3">
        <f t="shared" si="11"/>
        <v>10.588972417402516</v>
      </c>
      <c r="M79" s="3">
        <f t="shared" si="11"/>
        <v>8.6784942488020249</v>
      </c>
      <c r="N79" s="3">
        <f t="shared" si="11"/>
        <v>6.3440978640503403</v>
      </c>
      <c r="O79" s="3">
        <f t="shared" si="11"/>
        <v>3.585906186434741</v>
      </c>
      <c r="Q79" s="3">
        <v>75</v>
      </c>
      <c r="R79" s="3">
        <f>[1]节奏总纲!AD78</f>
        <v>62.470630686057078</v>
      </c>
      <c r="S79" s="3">
        <f>[1]节奏总纲!AE78</f>
        <v>64.495279642868965</v>
      </c>
      <c r="T79" s="3">
        <f>[1]节奏总纲!AF78</f>
        <v>67.344310856946692</v>
      </c>
      <c r="U79" s="3">
        <f>[1]节奏总纲!AG78</f>
        <v>71.882008108111634</v>
      </c>
      <c r="V79" s="3">
        <f>[1]节奏总纲!AH78</f>
        <v>80.437605572866573</v>
      </c>
      <c r="Z79" s="3">
        <v>75</v>
      </c>
      <c r="AA79" s="3">
        <f>[1]节奏总纲!AM78</f>
        <v>22936.899999999998</v>
      </c>
      <c r="AB79" s="3">
        <f>[1]节奏总纲!AN78</f>
        <v>18349.52</v>
      </c>
      <c r="AC79" s="3">
        <f>[1]节奏总纲!AO78</f>
        <v>13762.139999999998</v>
      </c>
      <c r="AD79" s="3">
        <f>[1]节奏总纲!AP78</f>
        <v>9174.76</v>
      </c>
      <c r="AE79" s="3">
        <f>[1]节奏总纲!AQ78</f>
        <v>4587.38</v>
      </c>
      <c r="AG79" s="3">
        <v>75</v>
      </c>
      <c r="AH79" s="3">
        <f t="shared" si="6"/>
        <v>3111.8854036292687</v>
      </c>
      <c r="AI79" s="3">
        <f t="shared" si="7"/>
        <v>2489.5083229034171</v>
      </c>
      <c r="AJ79" s="3">
        <f t="shared" si="8"/>
        <v>1867.1312421775601</v>
      </c>
      <c r="AK79" s="3">
        <f t="shared" si="9"/>
        <v>1244.7541614517086</v>
      </c>
      <c r="AL79" s="3">
        <f t="shared" si="10"/>
        <v>622.37708072585428</v>
      </c>
      <c r="AN79" s="3">
        <v>75</v>
      </c>
      <c r="AO79" s="3">
        <f>[1]节奏总纲!BA78</f>
        <v>36.105477566569242</v>
      </c>
      <c r="AP79" s="3">
        <f>[1]节奏总纲!BB78</f>
        <v>37.589718547105562</v>
      </c>
      <c r="AQ79" s="3">
        <f>[1]节奏总纲!BC78</f>
        <v>39.520459727922798</v>
      </c>
      <c r="AR79" s="3">
        <f>[1]节奏总纲!BD78</f>
        <v>42.253930624755228</v>
      </c>
      <c r="AS79" s="3">
        <f>[1]节奏总纲!BE78</f>
        <v>46.946651928703787</v>
      </c>
      <c r="AW79" s="3">
        <v>75</v>
      </c>
      <c r="AX79" s="3">
        <f>[1]节奏总纲!BQ78</f>
        <v>144.85011188259233</v>
      </c>
      <c r="AY79" s="3">
        <f>[1]节奏总纲!BR78</f>
        <v>144.04377283559913</v>
      </c>
      <c r="AZ79" s="3">
        <f>[1]节奏总纲!BS78</f>
        <v>143.16904869712448</v>
      </c>
      <c r="BA79" s="3">
        <f>[1]节奏总纲!BT78</f>
        <v>142.25753558451294</v>
      </c>
      <c r="BB79" s="3">
        <f>[1]节奏总纲!BU78</f>
        <v>141.29248112662486</v>
      </c>
      <c r="BG79" s="5">
        <v>75</v>
      </c>
      <c r="BH79" s="5">
        <f>'[1]功能-城建'!$E80</f>
        <v>28</v>
      </c>
      <c r="BL79" s="3">
        <v>75</v>
      </c>
      <c r="BM79" s="3">
        <f>[1]节奏总纲!BX78</f>
        <v>41.993343869731824</v>
      </c>
      <c r="BN79" s="3">
        <f>[1]节奏总纲!BY78</f>
        <v>42.503546986076806</v>
      </c>
      <c r="BO79" s="3">
        <f>[1]节奏总纲!BZ78</f>
        <v>43.099163240208767</v>
      </c>
      <c r="BP79" s="3">
        <f>[1]节奏总纲!CA78</f>
        <v>43.720246163774526</v>
      </c>
      <c r="BQ79" s="3">
        <f>[1]节奏总纲!CB78</f>
        <v>44.424142211876969</v>
      </c>
    </row>
    <row r="80" spans="3:69">
      <c r="C80" s="3">
        <v>76</v>
      </c>
      <c r="D80" s="3">
        <f>[1]节奏总纲!P79</f>
        <v>193.01172051333091</v>
      </c>
      <c r="E80" s="3">
        <f>[1]节奏总纲!Q79</f>
        <v>166.97443941608256</v>
      </c>
      <c r="F80" s="3">
        <f>[1]节奏总纲!R79</f>
        <v>136.51718991907896</v>
      </c>
      <c r="G80" s="3">
        <f>[1]节奏总纲!S79</f>
        <v>100.0379747420594</v>
      </c>
      <c r="H80" s="3">
        <f>[1]节奏总纲!T79</f>
        <v>55.664580196044632</v>
      </c>
      <c r="J80" s="3">
        <v>76</v>
      </c>
      <c r="K80" s="3">
        <f t="shared" si="11"/>
        <v>12.992384529574792</v>
      </c>
      <c r="L80" s="3">
        <f t="shared" si="11"/>
        <v>11.221709922936782</v>
      </c>
      <c r="M80" s="3">
        <f t="shared" si="11"/>
        <v>9.1355077769731281</v>
      </c>
      <c r="N80" s="3">
        <f t="shared" si="11"/>
        <v>6.8239625696704707</v>
      </c>
      <c r="O80" s="3">
        <f t="shared" si="11"/>
        <v>3.9090211007147531</v>
      </c>
      <c r="Q80" s="3">
        <v>76</v>
      </c>
      <c r="R80" s="3">
        <f>[1]节奏总纲!AD79</f>
        <v>62.660148539464579</v>
      </c>
      <c r="S80" s="3">
        <f>[1]节奏总纲!AE79</f>
        <v>64.685766249290154</v>
      </c>
      <c r="T80" s="3">
        <f>[1]节奏总纲!AF79</f>
        <v>67.545997286325218</v>
      </c>
      <c r="U80" s="3">
        <f>[1]节奏总纲!AG79</f>
        <v>72.076954583856178</v>
      </c>
      <c r="V80" s="3">
        <f>[1]节奏总纲!AH79</f>
        <v>80.634459181893376</v>
      </c>
      <c r="Z80" s="3">
        <v>76</v>
      </c>
      <c r="AA80" s="3">
        <f>[1]节奏总纲!AM79</f>
        <v>26535.88112606269</v>
      </c>
      <c r="AB80" s="3">
        <f>[1]节奏总纲!AN79</f>
        <v>21228.704900850153</v>
      </c>
      <c r="AC80" s="3">
        <f>[1]节奏总纲!AO79</f>
        <v>15921.528675637614</v>
      </c>
      <c r="AD80" s="3">
        <f>[1]节奏总纲!AP79</f>
        <v>10614.352450425076</v>
      </c>
      <c r="AE80" s="3">
        <f>[1]节奏总纲!AQ79</f>
        <v>5307.1762252125382</v>
      </c>
      <c r="AG80" s="3">
        <v>76</v>
      </c>
      <c r="AH80" s="3">
        <f t="shared" si="6"/>
        <v>3598.9811260626921</v>
      </c>
      <c r="AI80" s="3">
        <f t="shared" si="7"/>
        <v>2879.1849008501522</v>
      </c>
      <c r="AJ80" s="3">
        <f t="shared" si="8"/>
        <v>2159.388675637616</v>
      </c>
      <c r="AK80" s="3">
        <f t="shared" si="9"/>
        <v>1439.5924504250761</v>
      </c>
      <c r="AL80" s="3">
        <f t="shared" si="10"/>
        <v>719.79622521253805</v>
      </c>
      <c r="AN80" s="3">
        <v>76</v>
      </c>
      <c r="AO80" s="3">
        <f>[1]节奏总纲!BA79</f>
        <v>36.189648295204947</v>
      </c>
      <c r="AP80" s="3">
        <f>[1]节奏总纲!BB79</f>
        <v>37.680472138177471</v>
      </c>
      <c r="AQ80" s="3">
        <f>[1]节奏总纲!BC79</f>
        <v>39.610514239111005</v>
      </c>
      <c r="AR80" s="3">
        <f>[1]节奏总纲!BD79</f>
        <v>42.340712512072891</v>
      </c>
      <c r="AS80" s="3">
        <f>[1]节奏总纲!BE79</f>
        <v>47.037096473408994</v>
      </c>
      <c r="AW80" s="3">
        <v>76</v>
      </c>
      <c r="AX80" s="3">
        <f>[1]节奏总纲!BQ79</f>
        <v>146.95567436878142</v>
      </c>
      <c r="AY80" s="3">
        <f>[1]节奏总纲!BR79</f>
        <v>146.1345285871148</v>
      </c>
      <c r="AZ80" s="3">
        <f>[1]节奏总纲!BS79</f>
        <v>145.25314650323406</v>
      </c>
      <c r="BA80" s="3">
        <f>[1]节奏总纲!BT79</f>
        <v>144.32236845404299</v>
      </c>
      <c r="BB80" s="3">
        <f>[1]节奏总纲!BU79</f>
        <v>143.33605108914449</v>
      </c>
      <c r="BG80" s="5">
        <v>76</v>
      </c>
      <c r="BH80" s="5">
        <f>'[1]功能-城建'!$E81</f>
        <v>28</v>
      </c>
      <c r="BL80" s="3">
        <v>76</v>
      </c>
      <c r="BM80" s="3">
        <f>[1]节奏总纲!BX79</f>
        <v>42.445257628160959</v>
      </c>
      <c r="BN80" s="3">
        <f>[1]节奏总纲!BY79</f>
        <v>42.990467569098698</v>
      </c>
      <c r="BO80" s="3">
        <f>[1]节奏总纲!BZ79</f>
        <v>43.55528950171113</v>
      </c>
      <c r="BP80" s="3">
        <f>[1]节奏总纲!CA79</f>
        <v>44.199643027024372</v>
      </c>
      <c r="BQ80" s="3">
        <f>[1]节奏总纲!CB79</f>
        <v>44.929489637728736</v>
      </c>
    </row>
    <row r="81" spans="3:69">
      <c r="C81" s="3">
        <v>77</v>
      </c>
      <c r="D81" s="3">
        <f>[1]节奏总纲!P80</f>
        <v>206.93661346719625</v>
      </c>
      <c r="E81" s="3">
        <f>[1]节奏总纲!Q80</f>
        <v>179.12433261720508</v>
      </c>
      <c r="F81" s="3">
        <f>[1]节奏总纲!R80</f>
        <v>146.53181599612165</v>
      </c>
      <c r="G81" s="3">
        <f>[1]节奏总纲!S80</f>
        <v>107.42079605082158</v>
      </c>
      <c r="H81" s="3">
        <f>[1]节奏总纲!T80</f>
        <v>59.535663694512365</v>
      </c>
      <c r="J81" s="3">
        <v>77</v>
      </c>
      <c r="K81" s="3">
        <f t="shared" si="11"/>
        <v>13.924892953865339</v>
      </c>
      <c r="L81" s="3">
        <f t="shared" si="11"/>
        <v>12.149893201122524</v>
      </c>
      <c r="M81" s="3">
        <f t="shared" si="11"/>
        <v>10.014626077042692</v>
      </c>
      <c r="N81" s="3">
        <f t="shared" si="11"/>
        <v>7.3828213087621748</v>
      </c>
      <c r="O81" s="3">
        <f t="shared" si="11"/>
        <v>3.8710834984677334</v>
      </c>
      <c r="Q81" s="3">
        <v>77</v>
      </c>
      <c r="R81" s="3">
        <f>[1]节奏总纲!AD80</f>
        <v>62.849666392872081</v>
      </c>
      <c r="S81" s="3">
        <f>[1]节奏总纲!AE80</f>
        <v>64.876252855711357</v>
      </c>
      <c r="T81" s="3">
        <f>[1]节奏总纲!AF80</f>
        <v>67.747683715703729</v>
      </c>
      <c r="U81" s="3">
        <f>[1]节奏总纲!AG80</f>
        <v>72.263232241847945</v>
      </c>
      <c r="V81" s="3">
        <f>[1]节奏总纲!AH80</f>
        <v>80.83131279092018</v>
      </c>
      <c r="Z81" s="3">
        <v>77</v>
      </c>
      <c r="AA81" s="3">
        <f>[1]节奏总纲!AM80</f>
        <v>30698.011006346387</v>
      </c>
      <c r="AB81" s="3">
        <f>[1]节奏总纲!AN80</f>
        <v>24558.40880507711</v>
      </c>
      <c r="AC81" s="3">
        <f>[1]节奏总纲!AO80</f>
        <v>18418.806603807832</v>
      </c>
      <c r="AD81" s="3">
        <f>[1]节奏总纲!AP80</f>
        <v>12279.204402538555</v>
      </c>
      <c r="AE81" s="3">
        <f>[1]节奏总纲!AQ80</f>
        <v>6139.6022012692774</v>
      </c>
      <c r="AG81" s="3">
        <v>77</v>
      </c>
      <c r="AH81" s="3">
        <f t="shared" si="6"/>
        <v>4162.1298802836973</v>
      </c>
      <c r="AI81" s="3">
        <f t="shared" si="7"/>
        <v>3329.7039042269571</v>
      </c>
      <c r="AJ81" s="3">
        <f t="shared" si="8"/>
        <v>2497.2779281702187</v>
      </c>
      <c r="AK81" s="3">
        <f t="shared" si="9"/>
        <v>1664.8519521134785</v>
      </c>
      <c r="AL81" s="3">
        <f t="shared" si="10"/>
        <v>832.42597605673927</v>
      </c>
      <c r="AN81" s="3">
        <v>77</v>
      </c>
      <c r="AO81" s="3">
        <f>[1]节奏总纲!BA80</f>
        <v>36.273819023840659</v>
      </c>
      <c r="AP81" s="3">
        <f>[1]节奏总纲!BB80</f>
        <v>37.771225729249387</v>
      </c>
      <c r="AQ81" s="3">
        <f>[1]节奏总纲!BC80</f>
        <v>39.700568750299212</v>
      </c>
      <c r="AR81" s="3">
        <f>[1]节奏总纲!BD80</f>
        <v>42.427494399390554</v>
      </c>
      <c r="AS81" s="3">
        <f>[1]节奏总纲!BE80</f>
        <v>47.12024662670057</v>
      </c>
      <c r="AW81" s="3">
        <v>77</v>
      </c>
      <c r="AX81" s="3">
        <f>[1]节奏总纲!BQ80</f>
        <v>149.05713970651243</v>
      </c>
      <c r="AY81" s="3">
        <f>[1]节奏总纲!BR80</f>
        <v>148.27357279823164</v>
      </c>
      <c r="AZ81" s="3">
        <f>[1]节奏总纲!BS80</f>
        <v>147.45018844840658</v>
      </c>
      <c r="BA81" s="3">
        <f>[1]节奏总纲!BT80</f>
        <v>146.55064673623977</v>
      </c>
      <c r="BB81" s="3">
        <f>[1]节奏总纲!BU80</f>
        <v>145.53468456757108</v>
      </c>
      <c r="BG81" s="5">
        <v>77</v>
      </c>
      <c r="BH81" s="5">
        <f>'[1]功能-城建'!$E82</f>
        <v>29</v>
      </c>
      <c r="BL81" s="3">
        <v>77</v>
      </c>
      <c r="BM81" s="3">
        <f>[1]节奏总纲!BX80</f>
        <v>42.928629024654093</v>
      </c>
      <c r="BN81" s="3">
        <f>[1]节奏总纲!BY80</f>
        <v>43.44674694915556</v>
      </c>
      <c r="BO81" s="3">
        <f>[1]节奏总纲!BZ80</f>
        <v>44.047735983456604</v>
      </c>
      <c r="BP81" s="3">
        <f>[1]节奏总纲!CA80</f>
        <v>44.676858376824399</v>
      </c>
      <c r="BQ81" s="3">
        <f>[1]节奏总纲!CB80</f>
        <v>45.371092241532111</v>
      </c>
    </row>
    <row r="82" spans="3:69">
      <c r="C82" s="3">
        <v>78</v>
      </c>
      <c r="D82" s="3">
        <f>[1]节奏总纲!P81</f>
        <v>221.86094420380775</v>
      </c>
      <c r="E82" s="3">
        <f>[1]节奏总纲!Q81</f>
        <v>192.04283330281601</v>
      </c>
      <c r="F82" s="3">
        <f>[1]节奏总纲!R81</f>
        <v>157.23285115723854</v>
      </c>
      <c r="G82" s="3">
        <f>[1]节奏总纲!S81</f>
        <v>115.1680161361966</v>
      </c>
      <c r="H82" s="3">
        <f>[1]节奏总纲!T81</f>
        <v>63.651904892072437</v>
      </c>
      <c r="J82" s="3">
        <v>78</v>
      </c>
      <c r="K82" s="3">
        <f t="shared" si="11"/>
        <v>14.924330736611495</v>
      </c>
      <c r="L82" s="3">
        <f t="shared" si="11"/>
        <v>12.918500685610923</v>
      </c>
      <c r="M82" s="3">
        <f t="shared" si="11"/>
        <v>10.701035161116891</v>
      </c>
      <c r="N82" s="3">
        <f t="shared" si="11"/>
        <v>7.7472200853750195</v>
      </c>
      <c r="O82" s="3">
        <f t="shared" si="11"/>
        <v>4.1162411975600719</v>
      </c>
      <c r="Q82" s="3">
        <v>78</v>
      </c>
      <c r="R82" s="3">
        <f>[1]节奏总纲!AD81</f>
        <v>63.036560194527354</v>
      </c>
      <c r="S82" s="3">
        <f>[1]节奏总纲!AE81</f>
        <v>65.061438622789353</v>
      </c>
      <c r="T82" s="3">
        <f>[1]节奏总纲!AF81</f>
        <v>67.949370145082256</v>
      </c>
      <c r="U82" s="3">
        <f>[1]节奏总纲!AG81</f>
        <v>72.449509899839711</v>
      </c>
      <c r="V82" s="3">
        <f>[1]节奏总纲!AH81</f>
        <v>81.026624803116562</v>
      </c>
      <c r="Z82" s="3">
        <v>78</v>
      </c>
      <c r="AA82" s="3">
        <f>[1]节奏总纲!AM81</f>
        <v>35511.190322760085</v>
      </c>
      <c r="AB82" s="3">
        <f>[1]节奏总纲!AN81</f>
        <v>28408.952258208068</v>
      </c>
      <c r="AC82" s="3">
        <f>[1]节奏总纲!AO81</f>
        <v>21306.714193656051</v>
      </c>
      <c r="AD82" s="3">
        <f>[1]节奏总纲!AP81</f>
        <v>14204.476129104034</v>
      </c>
      <c r="AE82" s="3">
        <f>[1]节奏总纲!AQ81</f>
        <v>7102.238064552017</v>
      </c>
      <c r="AG82" s="3">
        <v>78</v>
      </c>
      <c r="AH82" s="3">
        <f t="shared" si="6"/>
        <v>4813.179316413698</v>
      </c>
      <c r="AI82" s="3">
        <f t="shared" si="7"/>
        <v>3850.5434531309584</v>
      </c>
      <c r="AJ82" s="3">
        <f t="shared" si="8"/>
        <v>2887.9075898482188</v>
      </c>
      <c r="AK82" s="3">
        <f t="shared" si="9"/>
        <v>1925.2717265654792</v>
      </c>
      <c r="AL82" s="3">
        <f t="shared" si="10"/>
        <v>962.63586328273959</v>
      </c>
      <c r="AN82" s="3">
        <v>78</v>
      </c>
      <c r="AO82" s="3">
        <f>[1]节奏总纲!BA81</f>
        <v>36.357989752476364</v>
      </c>
      <c r="AP82" s="3">
        <f>[1]节奏总纲!BB81</f>
        <v>37.861979320321296</v>
      </c>
      <c r="AQ82" s="3">
        <f>[1]节奏总纲!BC81</f>
        <v>39.790623261487418</v>
      </c>
      <c r="AR82" s="3">
        <f>[1]节奏总纲!BD81</f>
        <v>42.51427628670821</v>
      </c>
      <c r="AS82" s="3">
        <f>[1]节奏总纲!BE81</f>
        <v>47.203396779992147</v>
      </c>
      <c r="AW82" s="3">
        <v>78</v>
      </c>
      <c r="AX82" s="3">
        <f>[1]节奏总纲!BQ81</f>
        <v>151.15563986695878</v>
      </c>
      <c r="AY82" s="3">
        <f>[1]节奏总纲!BR81</f>
        <v>150.36857275778672</v>
      </c>
      <c r="AZ82" s="3">
        <f>[1]节奏总纲!BS81</f>
        <v>149.53271887048692</v>
      </c>
      <c r="BA82" s="3">
        <f>[1]节奏总纲!BT81</f>
        <v>148.64897064481843</v>
      </c>
      <c r="BB82" s="3">
        <f>[1]节奏总纲!BU81</f>
        <v>147.71229603325094</v>
      </c>
      <c r="BG82" s="5">
        <v>78</v>
      </c>
      <c r="BH82" s="5">
        <f>'[1]功能-城建'!$E83</f>
        <v>29</v>
      </c>
      <c r="BL82" s="3">
        <v>78</v>
      </c>
      <c r="BM82" s="3">
        <f>[1]节奏总纲!BX81</f>
        <v>43.385499964596733</v>
      </c>
      <c r="BN82" s="3">
        <f>[1]节奏总纲!BY81</f>
        <v>43.930502277742427</v>
      </c>
      <c r="BO82" s="3">
        <f>[1]节奏总纲!BZ81</f>
        <v>44.508869383463988</v>
      </c>
      <c r="BP82" s="3">
        <f>[1]节奏总纲!CA81</f>
        <v>45.153317888009887</v>
      </c>
      <c r="BQ82" s="3">
        <f>[1]节奏总纲!CB81</f>
        <v>45.830400612131918</v>
      </c>
    </row>
    <row r="83" spans="3:69">
      <c r="C83" s="3">
        <v>79</v>
      </c>
      <c r="D83" s="3">
        <f>[1]节奏总纲!P82</f>
        <v>237.85644583342264</v>
      </c>
      <c r="E83" s="3">
        <f>[1]节奏总纲!Q82</f>
        <v>206.07882467007735</v>
      </c>
      <c r="F83" s="3">
        <f>[1]节奏总纲!R82</f>
        <v>168.73536267423003</v>
      </c>
      <c r="G83" s="3">
        <f>[1]节奏总纲!S82</f>
        <v>123.11449636337954</v>
      </c>
      <c r="H83" s="3">
        <f>[1]节奏总纲!T82</f>
        <v>68.122086086692235</v>
      </c>
      <c r="J83" s="3">
        <v>79</v>
      </c>
      <c r="K83" s="3">
        <f t="shared" si="11"/>
        <v>15.995501629614893</v>
      </c>
      <c r="L83" s="3">
        <f t="shared" si="11"/>
        <v>14.035991367261346</v>
      </c>
      <c r="M83" s="3">
        <f t="shared" si="11"/>
        <v>11.50251151699149</v>
      </c>
      <c r="N83" s="3">
        <f t="shared" si="11"/>
        <v>7.9464802271829456</v>
      </c>
      <c r="O83" s="3">
        <f t="shared" si="11"/>
        <v>4.4701811946197978</v>
      </c>
      <c r="Q83" s="3">
        <v>79</v>
      </c>
      <c r="R83" s="3">
        <f>[1]节奏总纲!AD82</f>
        <v>63.213386604241791</v>
      </c>
      <c r="S83" s="3">
        <f>[1]节奏总纲!AE82</f>
        <v>65.23679566619937</v>
      </c>
      <c r="T83" s="3">
        <f>[1]节奏总纲!AF82</f>
        <v>68.132712808893615</v>
      </c>
      <c r="U83" s="3">
        <f>[1]节奏总纲!AG82</f>
        <v>72.635787557831478</v>
      </c>
      <c r="V83" s="3">
        <f>[1]节奏总纲!AH82</f>
        <v>81.212704266341873</v>
      </c>
      <c r="Z83" s="3">
        <v>79</v>
      </c>
      <c r="AA83" s="3">
        <f>[1]节奏总纲!AM82</f>
        <v>41077.009235645834</v>
      </c>
      <c r="AB83" s="3">
        <f>[1]节奏总纲!AN82</f>
        <v>32861.60738851667</v>
      </c>
      <c r="AC83" s="3">
        <f>[1]节奏总纲!AO82</f>
        <v>24646.205541387499</v>
      </c>
      <c r="AD83" s="3">
        <f>[1]节奏总纲!AP82</f>
        <v>16430.803694258335</v>
      </c>
      <c r="AE83" s="3">
        <f>[1]节奏总纲!AQ82</f>
        <v>8215.4018471291674</v>
      </c>
      <c r="AG83" s="3">
        <v>79</v>
      </c>
      <c r="AH83" s="3">
        <f t="shared" si="6"/>
        <v>5565.8189128857484</v>
      </c>
      <c r="AI83" s="3">
        <f t="shared" si="7"/>
        <v>4452.6551303086017</v>
      </c>
      <c r="AJ83" s="3">
        <f t="shared" si="8"/>
        <v>3339.4913477314476</v>
      </c>
      <c r="AK83" s="3">
        <f t="shared" si="9"/>
        <v>2226.3275651543008</v>
      </c>
      <c r="AL83" s="3">
        <f t="shared" si="10"/>
        <v>1113.1637825771504</v>
      </c>
      <c r="AN83" s="3">
        <v>79</v>
      </c>
      <c r="AO83" s="3">
        <f>[1]节奏总纲!BA82</f>
        <v>36.442160481112069</v>
      </c>
      <c r="AP83" s="3">
        <f>[1]节奏总纲!BB82</f>
        <v>37.952732911393213</v>
      </c>
      <c r="AQ83" s="3">
        <f>[1]节奏总纲!BC82</f>
        <v>39.880677772675625</v>
      </c>
      <c r="AR83" s="3">
        <f>[1]节奏总纲!BD82</f>
        <v>42.601058174025873</v>
      </c>
      <c r="AS83" s="3">
        <f>[1]节奏总纲!BE82</f>
        <v>47.286546933283724</v>
      </c>
      <c r="AW83" s="3">
        <v>79</v>
      </c>
      <c r="AX83" s="3">
        <f>[1]节奏总纲!BQ82</f>
        <v>153.254142755516</v>
      </c>
      <c r="AY83" s="3">
        <f>[1]节奏总纲!BR82</f>
        <v>152.42090057971816</v>
      </c>
      <c r="AZ83" s="3">
        <f>[1]节奏总纲!BS82</f>
        <v>151.57476523052998</v>
      </c>
      <c r="BA83" s="3">
        <f>[1]节奏总纲!BT82</f>
        <v>150.68887650130068</v>
      </c>
      <c r="BB83" s="3">
        <f>[1]节奏总纲!BU82</f>
        <v>149.76122007031191</v>
      </c>
      <c r="BG83" s="5">
        <v>79</v>
      </c>
      <c r="BH83" s="5">
        <f>'[1]功能-城建'!$E84</f>
        <v>29</v>
      </c>
      <c r="BL83" s="3">
        <v>79</v>
      </c>
      <c r="BM83" s="3">
        <f>[1]节奏总纲!BX82</f>
        <v>43.864683073228825</v>
      </c>
      <c r="BN83" s="3">
        <f>[1]节奏总纲!BY82</f>
        <v>44.393651798323852</v>
      </c>
      <c r="BO83" s="3">
        <f>[1]节奏总纲!BZ82</f>
        <v>45.003918944161271</v>
      </c>
      <c r="BP83" s="3">
        <f>[1]节奏总纲!CA82</f>
        <v>45.596669566151888</v>
      </c>
      <c r="BQ83" s="3">
        <f>[1]节奏总纲!CB82</f>
        <v>46.284169788056381</v>
      </c>
    </row>
    <row r="84" spans="3:69">
      <c r="C84" s="3">
        <v>80</v>
      </c>
      <c r="D84" s="3">
        <f>[1]节奏总纲!P83</f>
        <v>255</v>
      </c>
      <c r="E84" s="3">
        <f>[1]节奏总纲!Q83</f>
        <v>221.08500000000001</v>
      </c>
      <c r="F84" s="3">
        <f>[1]节奏总纲!R83</f>
        <v>180.33600000000001</v>
      </c>
      <c r="G84" s="3">
        <f>[1]节奏总纲!S83</f>
        <v>131.58000000000001</v>
      </c>
      <c r="H84" s="3">
        <f>[1]节奏总纲!T83</f>
        <v>72.777000000000001</v>
      </c>
      <c r="J84" s="3">
        <v>80</v>
      </c>
      <c r="K84" s="3">
        <f t="shared" si="11"/>
        <v>17.14355416657736</v>
      </c>
      <c r="L84" s="3">
        <f t="shared" si="11"/>
        <v>15.006175329922655</v>
      </c>
      <c r="M84" s="3">
        <f t="shared" si="11"/>
        <v>11.600637325769981</v>
      </c>
      <c r="N84" s="3">
        <f t="shared" si="11"/>
        <v>8.4655036366204683</v>
      </c>
      <c r="O84" s="3">
        <f t="shared" si="11"/>
        <v>4.6549139133077659</v>
      </c>
      <c r="Q84" s="3">
        <v>80</v>
      </c>
      <c r="R84" s="3">
        <f>[1]节奏总纲!AD83</f>
        <v>63.39021301395622</v>
      </c>
      <c r="S84" s="3">
        <f>[1]节奏总纲!AE83</f>
        <v>65.412152709609373</v>
      </c>
      <c r="T84" s="3">
        <f>[1]节奏总纲!AF83</f>
        <v>68.309907165737044</v>
      </c>
      <c r="U84" s="3">
        <f>[1]节奏总纲!AG83</f>
        <v>72.822065215823244</v>
      </c>
      <c r="V84" s="3">
        <f>[1]节奏总纲!AH83</f>
        <v>81.398783729567185</v>
      </c>
      <c r="Z84" s="3">
        <v>80</v>
      </c>
      <c r="AA84" s="3">
        <f>[1]节奏总纲!AM83</f>
        <v>47512.875</v>
      </c>
      <c r="AB84" s="3">
        <f>[1]节奏总纲!AN83</f>
        <v>38010.300000000003</v>
      </c>
      <c r="AC84" s="3">
        <f>[1]节奏总纲!AO83</f>
        <v>28507.724999999999</v>
      </c>
      <c r="AD84" s="3">
        <f>[1]节奏总纲!AP83</f>
        <v>19005.150000000001</v>
      </c>
      <c r="AE84" s="3">
        <f>[1]节奏总纲!AQ83</f>
        <v>9502.5750000000007</v>
      </c>
      <c r="AG84" s="3">
        <v>80</v>
      </c>
      <c r="AH84" s="3">
        <f t="shared" si="6"/>
        <v>6435.8657643541665</v>
      </c>
      <c r="AI84" s="3">
        <f t="shared" si="7"/>
        <v>5148.6926114833332</v>
      </c>
      <c r="AJ84" s="3">
        <f t="shared" si="8"/>
        <v>3861.5194586124999</v>
      </c>
      <c r="AK84" s="3">
        <f t="shared" si="9"/>
        <v>2574.3463057416666</v>
      </c>
      <c r="AL84" s="3">
        <f t="shared" si="10"/>
        <v>1287.1731528708333</v>
      </c>
      <c r="AN84" s="3">
        <v>80</v>
      </c>
      <c r="AO84" s="3">
        <f>[1]节奏总纲!BA83</f>
        <v>36.526331209747774</v>
      </c>
      <c r="AP84" s="3">
        <f>[1]节奏总纲!BB83</f>
        <v>38.037513426486328</v>
      </c>
      <c r="AQ84" s="3">
        <f>[1]节奏总纲!BC83</f>
        <v>39.970732283863832</v>
      </c>
      <c r="AR84" s="3">
        <f>[1]节奏总纲!BD83</f>
        <v>42.687840061343536</v>
      </c>
      <c r="AS84" s="3">
        <f>[1]节奏总纲!BE83</f>
        <v>47.3696970865753</v>
      </c>
      <c r="AW84" s="3">
        <v>80</v>
      </c>
      <c r="AX84" s="3">
        <f>[1]节奏总纲!BQ83</f>
        <v>155.35264798579232</v>
      </c>
      <c r="AY84" s="3">
        <f>[1]节奏总纲!BR83</f>
        <v>154.14666602127767</v>
      </c>
      <c r="AZ84" s="3">
        <f>[1]节奏总纲!BS83</f>
        <v>153.14946182958477</v>
      </c>
      <c r="BA84" s="3">
        <f>[1]节奏总纲!BT83</f>
        <v>152.12605579164665</v>
      </c>
      <c r="BB84" s="3">
        <f>[1]节奏总纲!BU83</f>
        <v>151.0810487166913</v>
      </c>
      <c r="BG84" s="5">
        <v>80</v>
      </c>
      <c r="BH84" s="5">
        <f>'[1]功能-城建'!$E85</f>
        <v>30</v>
      </c>
      <c r="BL84" s="3">
        <v>80</v>
      </c>
      <c r="BM84" s="3">
        <f>[1]节奏总纲!BX83</f>
        <v>44.326465623783335</v>
      </c>
      <c r="BN84" s="3">
        <f>[1]节奏总纲!BY83</f>
        <v>44.878640998911052</v>
      </c>
      <c r="BO84" s="3">
        <f>[1]节奏总纲!BZ83</f>
        <v>45.435402391663246</v>
      </c>
      <c r="BP84" s="3">
        <f>[1]节奏总纲!CA83</f>
        <v>46.059542756901394</v>
      </c>
      <c r="BQ84" s="3">
        <f>[1]节奏总纲!CB83</f>
        <v>46.732532092773639</v>
      </c>
    </row>
    <row r="85" spans="3:69">
      <c r="C85" s="3">
        <v>81</v>
      </c>
      <c r="D85" s="3">
        <f>[1]节奏总纲!P84</f>
        <v>273.37400640929098</v>
      </c>
      <c r="E85" s="3">
        <f>[1]节奏总纲!Q84</f>
        <v>236.35916594147301</v>
      </c>
      <c r="F85" s="3">
        <f>[1]节奏总纲!R84</f>
        <v>192.67399971726829</v>
      </c>
      <c r="G85" s="3">
        <f>[1]节奏总纲!S84</f>
        <v>140.76027590014394</v>
      </c>
      <c r="H85" s="3">
        <f>[1]节奏总纲!T84</f>
        <v>77.856917025366073</v>
      </c>
      <c r="J85" s="3">
        <v>81</v>
      </c>
      <c r="K85" s="3">
        <f t="shared" si="11"/>
        <v>18.374006409290985</v>
      </c>
      <c r="L85" s="3">
        <f t="shared" si="11"/>
        <v>15.274165941473001</v>
      </c>
      <c r="M85" s="3">
        <f t="shared" si="11"/>
        <v>12.337999717268275</v>
      </c>
      <c r="N85" s="3">
        <f t="shared" si="11"/>
        <v>9.1802759001439256</v>
      </c>
      <c r="O85" s="3">
        <f t="shared" si="11"/>
        <v>5.0799170253660719</v>
      </c>
      <c r="Q85" s="3">
        <v>81</v>
      </c>
      <c r="R85" s="3">
        <f>[1]节奏总纲!AD84</f>
        <v>63.567039423670657</v>
      </c>
      <c r="S85" s="3">
        <f>[1]节奏总纲!AE84</f>
        <v>65.58750975301939</v>
      </c>
      <c r="T85" s="3">
        <f>[1]节奏总纲!AF84</f>
        <v>68.487101522580488</v>
      </c>
      <c r="U85" s="3">
        <f>[1]节奏总纲!AG84</f>
        <v>73.007572199822363</v>
      </c>
      <c r="V85" s="3">
        <f>[1]节奏总纲!AH84</f>
        <v>81.584863192792497</v>
      </c>
      <c r="AN85" s="3">
        <v>81</v>
      </c>
      <c r="AO85" s="3">
        <f>[1]节奏总纲!BA84</f>
        <v>36.610501938383479</v>
      </c>
      <c r="AP85" s="3">
        <f>[1]节奏总纲!BB84</f>
        <v>38.11580158428373</v>
      </c>
      <c r="AQ85" s="3">
        <f>[1]节奏总纲!BC84</f>
        <v>40.052446592012309</v>
      </c>
      <c r="AR85" s="3">
        <f>[1]节奏总纲!BD84</f>
        <v>42.774621948661192</v>
      </c>
      <c r="AS85" s="3">
        <f>[1]节奏总纲!BE84</f>
        <v>47.452847239866877</v>
      </c>
      <c r="BL85" s="3">
        <v>81</v>
      </c>
      <c r="BM85" s="3">
        <f>[1]节奏总纲!BX84</f>
        <v>44.801533759886318</v>
      </c>
      <c r="BN85" s="3">
        <f>[1]节奏总纲!BY84</f>
        <v>45.321339851414862</v>
      </c>
      <c r="BO85" s="3">
        <f>[1]节奏总纲!BZ84</f>
        <v>45.894311889804285</v>
      </c>
      <c r="BP85" s="3">
        <f>[1]节奏总纲!CA84</f>
        <v>46.501665826971653</v>
      </c>
      <c r="BQ85" s="3">
        <f>[1]节奏总纲!CB84</f>
        <v>47.191499408717924</v>
      </c>
    </row>
    <row r="86" spans="3:69">
      <c r="C86" s="3">
        <v>82</v>
      </c>
      <c r="D86" s="3">
        <f>[1]节奏总纲!P85</f>
        <v>293.06677887924064</v>
      </c>
      <c r="E86" s="3">
        <f>[1]节奏总纲!Q85</f>
        <v>253.15108359588808</v>
      </c>
      <c r="F86" s="3">
        <f>[1]节奏总纲!R85</f>
        <v>206.37762568676126</v>
      </c>
      <c r="G86" s="3">
        <f>[1]节奏总纲!S85</f>
        <v>150.81216441125721</v>
      </c>
      <c r="H86" s="3">
        <f>[1]节奏总纲!T85</f>
        <v>83.230965201704336</v>
      </c>
      <c r="J86" s="3">
        <v>82</v>
      </c>
      <c r="K86" s="3">
        <f t="shared" si="11"/>
        <v>19.692772469949659</v>
      </c>
      <c r="L86" s="3">
        <f t="shared" si="11"/>
        <v>16.791917654415073</v>
      </c>
      <c r="M86" s="3">
        <f t="shared" si="11"/>
        <v>13.703625969492975</v>
      </c>
      <c r="N86" s="3">
        <f t="shared" si="11"/>
        <v>10.051888511113276</v>
      </c>
      <c r="O86" s="3">
        <f t="shared" si="11"/>
        <v>5.3740481763382633</v>
      </c>
      <c r="Q86" s="3">
        <v>82</v>
      </c>
      <c r="R86" s="3">
        <f>[1]节奏总纲!AD85</f>
        <v>63.743865833385094</v>
      </c>
      <c r="S86" s="3">
        <f>[1]节奏总纲!AE85</f>
        <v>65.762866796429392</v>
      </c>
      <c r="T86" s="3">
        <f>[1]节奏总纲!AF85</f>
        <v>68.664295879423918</v>
      </c>
      <c r="U86" s="3">
        <f>[1]节奏总纲!AG85</f>
        <v>73.176642436293761</v>
      </c>
      <c r="V86" s="3">
        <f>[1]节奏总纲!AH85</f>
        <v>81.770942656017823</v>
      </c>
      <c r="AN86" s="3">
        <v>82</v>
      </c>
      <c r="AO86" s="3">
        <f>[1]节奏总纲!BA85</f>
        <v>36.694672667019191</v>
      </c>
      <c r="AP86" s="3">
        <f>[1]节奏总纲!BB85</f>
        <v>38.194089742081125</v>
      </c>
      <c r="AQ86" s="3">
        <f>[1]节奏总纲!BC85</f>
        <v>40.130145246845366</v>
      </c>
      <c r="AR86" s="3">
        <f>[1]节奏总纲!BD85</f>
        <v>42.861403835978855</v>
      </c>
      <c r="AS86" s="3">
        <f>[1]节奏总纲!BE85</f>
        <v>47.535997393158453</v>
      </c>
      <c r="BL86" s="3">
        <v>82</v>
      </c>
      <c r="BM86" s="3">
        <f>[1]节奏总纲!BX85</f>
        <v>45.268177050953859</v>
      </c>
      <c r="BN86" s="3">
        <f>[1]节奏总纲!BY85</f>
        <v>45.789768933125814</v>
      </c>
      <c r="BO86" s="3">
        <f>[1]节奏总纲!BZ85</f>
        <v>46.348748235109454</v>
      </c>
      <c r="BP86" s="3">
        <f>[1]节奏总纲!CA85</f>
        <v>46.985765853689557</v>
      </c>
      <c r="BQ86" s="3">
        <f>[1]节奏总纲!CB85</f>
        <v>47.638352338376762</v>
      </c>
    </row>
    <row r="87" spans="3:69">
      <c r="C87" s="3">
        <v>83</v>
      </c>
      <c r="D87" s="3">
        <f>[1]节奏总纲!P86</f>
        <v>314.1729698162988</v>
      </c>
      <c r="E87" s="3">
        <f>[1]节奏总纲!Q86</f>
        <v>271.53969781222702</v>
      </c>
      <c r="F87" s="3">
        <f>[1]节奏总纲!R86</f>
        <v>221.55477831445393</v>
      </c>
      <c r="G87" s="3">
        <f>[1]节奏总纲!S86</f>
        <v>161.57915837652246</v>
      </c>
      <c r="H87" s="3">
        <f>[1]节奏总纲!T86</f>
        <v>89.193706130847232</v>
      </c>
      <c r="J87" s="3">
        <v>83</v>
      </c>
      <c r="K87" s="3">
        <f t="shared" si="11"/>
        <v>21.106190937058159</v>
      </c>
      <c r="L87" s="3">
        <f t="shared" si="11"/>
        <v>18.388614216338937</v>
      </c>
      <c r="M87" s="3">
        <f t="shared" si="11"/>
        <v>15.177152627692664</v>
      </c>
      <c r="N87" s="3">
        <f t="shared" si="11"/>
        <v>10.766993965265243</v>
      </c>
      <c r="O87" s="3">
        <f t="shared" si="11"/>
        <v>5.9627409291428961</v>
      </c>
      <c r="Q87" s="3">
        <v>83</v>
      </c>
      <c r="R87" s="3">
        <f>[1]节奏总纲!AD86</f>
        <v>63.920692243099523</v>
      </c>
      <c r="S87" s="3">
        <f>[1]节奏总纲!AE86</f>
        <v>65.938223839839395</v>
      </c>
      <c r="T87" s="3">
        <f>[1]节奏总纲!AF86</f>
        <v>68.841490236267347</v>
      </c>
      <c r="U87" s="3">
        <f>[1]节奏总纲!AG86</f>
        <v>73.34571267276516</v>
      </c>
      <c r="V87" s="3">
        <f>[1]节奏总纲!AH86</f>
        <v>81.957022119243135</v>
      </c>
      <c r="AN87" s="3">
        <v>83</v>
      </c>
      <c r="AO87" s="3">
        <f>[1]节奏总纲!BA86</f>
        <v>36.778843395654896</v>
      </c>
      <c r="AP87" s="3">
        <f>[1]节奏总纲!BB86</f>
        <v>38.272377899878528</v>
      </c>
      <c r="AQ87" s="3">
        <f>[1]节奏总纲!BC86</f>
        <v>40.207843901678423</v>
      </c>
      <c r="AR87" s="3">
        <f>[1]节奏总纲!BD86</f>
        <v>42.948185723296518</v>
      </c>
      <c r="AS87" s="3">
        <f>[1]节奏总纲!BE86</f>
        <v>47.619147546450023</v>
      </c>
      <c r="BL87" s="3">
        <v>83</v>
      </c>
      <c r="BM87" s="3">
        <f>[1]节奏总纲!BX86</f>
        <v>45.739201449359612</v>
      </c>
      <c r="BN87" s="3">
        <f>[1]节奏总纲!BY86</f>
        <v>46.261326328729815</v>
      </c>
      <c r="BO87" s="3">
        <f>[1]节奏总纲!BZ86</f>
        <v>46.836037098586509</v>
      </c>
      <c r="BP87" s="3">
        <f>[1]节奏总纲!CA86</f>
        <v>47.435350717115057</v>
      </c>
      <c r="BQ87" s="3">
        <f>[1]节奏总纲!CB86</f>
        <v>48.115820139041681</v>
      </c>
    </row>
    <row r="88" spans="3:69">
      <c r="C88" s="3">
        <v>84</v>
      </c>
      <c r="D88" s="3">
        <f>[1]节奏总纲!P87</f>
        <v>336.79402515786086</v>
      </c>
      <c r="E88" s="3">
        <f>[1]节奏总纲!Q87</f>
        <v>291.2594729565181</v>
      </c>
      <c r="F88" s="3">
        <f>[1]节奏总纲!R87</f>
        <v>237.27139072371298</v>
      </c>
      <c r="G88" s="3">
        <f>[1]节奏总纲!S87</f>
        <v>172.97741132107731</v>
      </c>
      <c r="H88" s="3">
        <f>[1]节奏总纲!T87</f>
        <v>95.64950314483248</v>
      </c>
      <c r="J88" s="3">
        <v>84</v>
      </c>
      <c r="K88" s="3">
        <f t="shared" si="11"/>
        <v>22.621055341562055</v>
      </c>
      <c r="L88" s="3">
        <f t="shared" si="11"/>
        <v>19.719775144291077</v>
      </c>
      <c r="M88" s="3">
        <f t="shared" si="11"/>
        <v>15.716612409259056</v>
      </c>
      <c r="N88" s="3">
        <f t="shared" si="11"/>
        <v>11.398252944554855</v>
      </c>
      <c r="O88" s="3">
        <f t="shared" si="11"/>
        <v>6.4557970139852472</v>
      </c>
      <c r="Q88" s="3">
        <v>84</v>
      </c>
      <c r="R88" s="3">
        <f>[1]节奏总纲!AD87</f>
        <v>64.090988120365651</v>
      </c>
      <c r="S88" s="3">
        <f>[1]节奏总纲!AE87</f>
        <v>66.105889403880397</v>
      </c>
      <c r="T88" s="3">
        <f>[1]节奏总纲!AF87</f>
        <v>69.01697485309198</v>
      </c>
      <c r="U88" s="3">
        <f>[1]节奏总纲!AG87</f>
        <v>73.514782909236544</v>
      </c>
      <c r="V88" s="3">
        <f>[1]节奏总纲!AH87</f>
        <v>82.128973371044353</v>
      </c>
      <c r="AN88" s="3">
        <v>84</v>
      </c>
      <c r="AO88" s="3">
        <f>[1]节奏总纲!BA87</f>
        <v>36.863014124290601</v>
      </c>
      <c r="AP88" s="3">
        <f>[1]节奏总纲!BB87</f>
        <v>38.35066605767593</v>
      </c>
      <c r="AQ88" s="3">
        <f>[1]节奏总纲!BC87</f>
        <v>40.28554255651148</v>
      </c>
      <c r="AR88" s="3">
        <f>[1]节奏总纲!BD87</f>
        <v>43.030177309109042</v>
      </c>
      <c r="AS88" s="3">
        <f>[1]节奏总纲!BE87</f>
        <v>47.7022976997416</v>
      </c>
      <c r="BL88" s="3">
        <v>84</v>
      </c>
      <c r="BM88" s="3">
        <f>[1]节奏总纲!BX87</f>
        <v>46.210650393413601</v>
      </c>
      <c r="BN88" s="3">
        <f>[1]节奏总纲!BY87</f>
        <v>46.736179569673936</v>
      </c>
      <c r="BO88" s="3">
        <f>[1]节奏总纲!BZ87</f>
        <v>47.294068993376605</v>
      </c>
      <c r="BP88" s="3">
        <f>[1]节奏总纲!CA87</f>
        <v>47.909233956913006</v>
      </c>
      <c r="BQ88" s="3">
        <f>[1]节奏总纲!CB87</f>
        <v>48.579255981153665</v>
      </c>
    </row>
    <row r="89" spans="3:69">
      <c r="C89" s="3">
        <v>85</v>
      </c>
      <c r="D89" s="3">
        <f>[1]节奏总纲!P88</f>
        <v>361.0386719675123</v>
      </c>
      <c r="E89" s="3">
        <f>[1]节奏总纲!Q88</f>
        <v>311.72078937675008</v>
      </c>
      <c r="F89" s="3">
        <f>[1]节奏总纲!R88</f>
        <v>253.91849799475142</v>
      </c>
      <c r="G89" s="3">
        <f>[1]节奏总纲!S88</f>
        <v>185.57387739130132</v>
      </c>
      <c r="H89" s="3">
        <f>[1]节奏总纲!T88</f>
        <v>102.53498283877349</v>
      </c>
      <c r="J89" s="3">
        <v>85</v>
      </c>
      <c r="K89" s="3">
        <f t="shared" si="11"/>
        <v>24.244646809651442</v>
      </c>
      <c r="L89" s="3">
        <f t="shared" si="11"/>
        <v>20.461316420231981</v>
      </c>
      <c r="M89" s="3">
        <f t="shared" si="11"/>
        <v>16.647107271038436</v>
      </c>
      <c r="N89" s="3">
        <f t="shared" si="11"/>
        <v>12.596466070224011</v>
      </c>
      <c r="O89" s="3">
        <f t="shared" si="11"/>
        <v>6.8854796939410079</v>
      </c>
      <c r="Q89" s="3">
        <v>85</v>
      </c>
      <c r="R89" s="3">
        <f>[1]节奏总纲!AD88</f>
        <v>64.255972994404218</v>
      </c>
      <c r="S89" s="3">
        <f>[1]节奏总纲!AE88</f>
        <v>66.269371604948859</v>
      </c>
      <c r="T89" s="3">
        <f>[1]节奏总纲!AF88</f>
        <v>69.17795498031839</v>
      </c>
      <c r="U89" s="3">
        <f>[1]节奏总纲!AG88</f>
        <v>73.683853145707943</v>
      </c>
      <c r="V89" s="3">
        <f>[1]节奏总纲!AH88</f>
        <v>82.296681479091191</v>
      </c>
      <c r="AN89" s="3">
        <v>85</v>
      </c>
      <c r="AO89" s="3">
        <f>[1]节奏总纲!BA88</f>
        <v>36.947184852926306</v>
      </c>
      <c r="AP89" s="3">
        <f>[1]节奏总纲!BB88</f>
        <v>38.428954215473325</v>
      </c>
      <c r="AQ89" s="3">
        <f>[1]节奏总纲!BC88</f>
        <v>40.363241211344537</v>
      </c>
      <c r="AR89" s="3">
        <f>[1]节奏总纲!BD88</f>
        <v>43.105070725978337</v>
      </c>
      <c r="AS89" s="3">
        <f>[1]节奏总纲!BE88</f>
        <v>47.785447853033176</v>
      </c>
      <c r="BL89" s="3">
        <v>85</v>
      </c>
      <c r="BM89" s="3">
        <f>[1]节奏总纲!BX88</f>
        <v>46.67770030767965</v>
      </c>
      <c r="BN89" s="3">
        <f>[1]节奏总纲!BY88</f>
        <v>47.197592678461184</v>
      </c>
      <c r="BO89" s="3">
        <f>[1]节奏总纲!BZ88</f>
        <v>47.755472167192657</v>
      </c>
      <c r="BP89" s="3">
        <f>[1]节奏总纲!CA88</f>
        <v>48.373763930639598</v>
      </c>
      <c r="BQ89" s="3">
        <f>[1]节奏总纲!CB88</f>
        <v>49.063491154445543</v>
      </c>
    </row>
    <row r="90" spans="3:69">
      <c r="C90" s="3">
        <v>86</v>
      </c>
      <c r="D90" s="3">
        <f>[1]节奏总纲!P89</f>
        <v>387.02344102666189</v>
      </c>
      <c r="E90" s="3">
        <f>[1]节奏总纲!Q89</f>
        <v>334.00122960600919</v>
      </c>
      <c r="F90" s="3">
        <f>[1]节奏总纲!R89</f>
        <v>272.23228841815398</v>
      </c>
      <c r="G90" s="3">
        <f>[1]节奏总纲!S89</f>
        <v>199.39447681693619</v>
      </c>
      <c r="H90" s="3">
        <f>[1]节奏总纲!T89</f>
        <v>108.94709864900531</v>
      </c>
      <c r="J90" s="3">
        <v>86</v>
      </c>
      <c r="K90" s="3">
        <f t="shared" si="11"/>
        <v>25.984769059149585</v>
      </c>
      <c r="L90" s="3">
        <f t="shared" si="11"/>
        <v>22.280440229259113</v>
      </c>
      <c r="M90" s="3">
        <f t="shared" si="11"/>
        <v>18.313790423402565</v>
      </c>
      <c r="N90" s="3">
        <f t="shared" si="11"/>
        <v>13.820599425634867</v>
      </c>
      <c r="O90" s="3">
        <f t="shared" si="11"/>
        <v>6.4121158102318248</v>
      </c>
      <c r="Q90" s="3">
        <v>86</v>
      </c>
      <c r="R90" s="3">
        <f>[1]节奏总纲!AD89</f>
        <v>64.420957868442798</v>
      </c>
      <c r="S90" s="3">
        <f>[1]节奏总纲!AE89</f>
        <v>66.43285380601732</v>
      </c>
      <c r="T90" s="3">
        <f>[1]节奏总纲!AF89</f>
        <v>69.338935107544785</v>
      </c>
      <c r="U90" s="3">
        <f>[1]节奏总纲!AG89</f>
        <v>73.852923382179341</v>
      </c>
      <c r="V90" s="3">
        <f>[1]节奏总纲!AH89</f>
        <v>82.464389587138029</v>
      </c>
      <c r="AN90" s="3">
        <v>86</v>
      </c>
      <c r="AO90" s="3">
        <f>[1]节奏总纲!BA89</f>
        <v>37.027046282459708</v>
      </c>
      <c r="AP90" s="3">
        <f>[1]节奏总纲!BB89</f>
        <v>38.507242373270728</v>
      </c>
      <c r="AQ90" s="3">
        <f>[1]节奏总纲!BC89</f>
        <v>40.440939866177594</v>
      </c>
      <c r="AR90" s="3">
        <f>[1]节奏总纲!BD89</f>
        <v>43.179964142847631</v>
      </c>
      <c r="AS90" s="3">
        <f>[1]节奏总纲!BE89</f>
        <v>47.868598006324753</v>
      </c>
      <c r="BL90" s="3">
        <v>86</v>
      </c>
      <c r="BM90" s="3">
        <f>[1]节奏总纲!BX89</f>
        <v>47.153896513009251</v>
      </c>
      <c r="BN90" s="3">
        <f>[1]节奏总纲!BY89</f>
        <v>47.660748183577851</v>
      </c>
      <c r="BO90" s="3">
        <f>[1]节奏总纲!BZ89</f>
        <v>48.227116435634038</v>
      </c>
      <c r="BP90" s="3">
        <f>[1]节奏总纲!CA89</f>
        <v>48.869826703325636</v>
      </c>
      <c r="BQ90" s="3">
        <f>[1]节奏总纲!CB89</f>
        <v>49.460909841064307</v>
      </c>
    </row>
    <row r="91" spans="3:69">
      <c r="C91" s="3">
        <v>87</v>
      </c>
      <c r="D91" s="3">
        <f>[1]节奏总纲!P90</f>
        <v>414.87322693439216</v>
      </c>
      <c r="E91" s="3">
        <f>[1]节奏总纲!Q90</f>
        <v>358.28451878054108</v>
      </c>
      <c r="F91" s="3">
        <f>[1]节奏总纲!R90</f>
        <v>292.4026503433596</v>
      </c>
      <c r="G91" s="3">
        <f>[1]节奏总纲!S90</f>
        <v>212.58104148118252</v>
      </c>
      <c r="H91" s="3">
        <f>[1]节奏总纲!T90</f>
        <v>115.74963031469542</v>
      </c>
      <c r="J91" s="3">
        <v>87</v>
      </c>
      <c r="K91" s="3">
        <f t="shared" si="11"/>
        <v>27.849785907730279</v>
      </c>
      <c r="L91" s="3">
        <f t="shared" si="11"/>
        <v>24.283289174531888</v>
      </c>
      <c r="M91" s="3">
        <f t="shared" si="11"/>
        <v>20.170361925205611</v>
      </c>
      <c r="N91" s="3">
        <f t="shared" si="11"/>
        <v>13.186564664246333</v>
      </c>
      <c r="O91" s="3">
        <f t="shared" si="11"/>
        <v>6.8025316656901111</v>
      </c>
      <c r="Q91" s="3">
        <v>87</v>
      </c>
      <c r="R91" s="3">
        <f>[1]节奏总纲!AD90</f>
        <v>64.585942742481365</v>
      </c>
      <c r="S91" s="3">
        <f>[1]节奏总纲!AE90</f>
        <v>66.596336007085796</v>
      </c>
      <c r="T91" s="3">
        <f>[1]节奏总纲!AF90</f>
        <v>69.49991523477118</v>
      </c>
      <c r="U91" s="3">
        <f>[1]节奏总纲!AG90</f>
        <v>74.02050499447661</v>
      </c>
      <c r="V91" s="3">
        <f>[1]节奏总纲!AH90</f>
        <v>82.632097695184868</v>
      </c>
      <c r="AN91" s="3">
        <v>87</v>
      </c>
      <c r="AO91" s="3">
        <f>[1]节奏总纲!BA90</f>
        <v>37.099649155317238</v>
      </c>
      <c r="AP91" s="3">
        <f>[1]节奏总纲!BB90</f>
        <v>38.58553053106813</v>
      </c>
      <c r="AQ91" s="3">
        <f>[1]节奏总纲!BC90</f>
        <v>40.518638521010651</v>
      </c>
      <c r="AR91" s="3">
        <f>[1]节奏总纲!BD90</f>
        <v>43.254857559716925</v>
      </c>
      <c r="AS91" s="3">
        <f>[1]节奏总纲!BE90</f>
        <v>47.951748159616329</v>
      </c>
      <c r="BL91" s="3">
        <v>87</v>
      </c>
      <c r="BM91" s="3">
        <f>[1]节奏总纲!BX90</f>
        <v>47.617039306482319</v>
      </c>
      <c r="BN91" s="3">
        <f>[1]节奏总纲!BY90</f>
        <v>48.142913866891206</v>
      </c>
      <c r="BO91" s="3">
        <f>[1]节奏总纲!BZ90</f>
        <v>48.709766300257584</v>
      </c>
      <c r="BP91" s="3">
        <f>[1]节奏总纲!CA90</f>
        <v>49.296256903639559</v>
      </c>
      <c r="BQ91" s="3">
        <f>[1]节奏总纲!CB90</f>
        <v>49.882526243554615</v>
      </c>
    </row>
    <row r="92" spans="3:69">
      <c r="C92" s="3">
        <v>88</v>
      </c>
      <c r="D92" s="3">
        <f>[1]节奏总纲!P91</f>
        <v>444.72188840761549</v>
      </c>
      <c r="E92" s="3">
        <f>[1]节奏总纲!Q91</f>
        <v>384.7733778502689</v>
      </c>
      <c r="F92" s="3">
        <f>[1]节奏总纲!R91</f>
        <v>312.90632068359827</v>
      </c>
      <c r="G92" s="3">
        <f>[1]节奏总纲!S91</f>
        <v>226.0076636887502</v>
      </c>
      <c r="H92" s="3">
        <f>[1]节奏总纲!T91</f>
        <v>123.1879630889095</v>
      </c>
      <c r="J92" s="3">
        <v>88</v>
      </c>
      <c r="K92" s="3">
        <f t="shared" si="11"/>
        <v>29.848661473223331</v>
      </c>
      <c r="L92" s="3">
        <f t="shared" si="11"/>
        <v>26.488859069727823</v>
      </c>
      <c r="M92" s="3">
        <f t="shared" si="11"/>
        <v>20.503670340238671</v>
      </c>
      <c r="N92" s="3">
        <f t="shared" si="11"/>
        <v>13.426622207567675</v>
      </c>
      <c r="O92" s="3">
        <f t="shared" si="11"/>
        <v>7.438332774214075</v>
      </c>
      <c r="Q92" s="3">
        <v>88</v>
      </c>
      <c r="R92" s="3">
        <f>[1]节奏总纲!AD91</f>
        <v>64.750927616519931</v>
      </c>
      <c r="S92" s="3">
        <f>[1]节奏总纲!AE91</f>
        <v>66.759818208154257</v>
      </c>
      <c r="T92" s="3">
        <f>[1]节奏总纲!AF91</f>
        <v>69.660895361997589</v>
      </c>
      <c r="U92" s="3">
        <f>[1]节奏总纲!AG91</f>
        <v>74.178131818877702</v>
      </c>
      <c r="V92" s="3">
        <f>[1]节奏总纲!AH91</f>
        <v>82.799805803231706</v>
      </c>
      <c r="AN92" s="3">
        <v>88</v>
      </c>
      <c r="AO92" s="3">
        <f>[1]节奏总纲!BA91</f>
        <v>37.172252028174768</v>
      </c>
      <c r="AP92" s="3">
        <f>[1]节奏总纲!BB91</f>
        <v>38.663818688865533</v>
      </c>
      <c r="AQ92" s="3">
        <f>[1]节奏总纲!BC91</f>
        <v>40.596337175843701</v>
      </c>
      <c r="AR92" s="3">
        <f>[1]节奏总纲!BD91</f>
        <v>43.329750976586219</v>
      </c>
      <c r="AS92" s="3">
        <f>[1]节奏总纲!BE91</f>
        <v>48.030128751164234</v>
      </c>
      <c r="BL92" s="3">
        <v>88</v>
      </c>
      <c r="BM92" s="3">
        <f>[1]节奏总纲!BX91</f>
        <v>48.097921847068633</v>
      </c>
      <c r="BN92" s="3">
        <f>[1]节奏总纲!BY91</f>
        <v>48.618296173791954</v>
      </c>
      <c r="BO92" s="3">
        <f>[1]节奏总纲!BZ91</f>
        <v>49.173016331799893</v>
      </c>
      <c r="BP92" s="3">
        <f>[1]节奏总纲!CA91</f>
        <v>49.712343474857072</v>
      </c>
      <c r="BQ92" s="3">
        <f>[1]节奏总纲!CB91</f>
        <v>50.296637451558702</v>
      </c>
    </row>
    <row r="93" spans="3:69">
      <c r="C93" s="3">
        <v>89</v>
      </c>
      <c r="D93" s="3">
        <f>[1]节奏总纲!P92</f>
        <v>476.71289166684534</v>
      </c>
      <c r="E93" s="3">
        <f>[1]节奏总纲!Q92</f>
        <v>411.78459582182103</v>
      </c>
      <c r="F93" s="3">
        <f>[1]节奏总纲!R92</f>
        <v>332.60258451595797</v>
      </c>
      <c r="G93" s="3">
        <f>[1]节奏总纲!S92</f>
        <v>240.31096868925673</v>
      </c>
      <c r="H93" s="3">
        <f>[1]节奏总纲!T92</f>
        <v>130.61933231671563</v>
      </c>
      <c r="J93" s="3">
        <v>89</v>
      </c>
      <c r="K93" s="3">
        <f t="shared" si="11"/>
        <v>31.991003259229842</v>
      </c>
      <c r="L93" s="3">
        <f t="shared" si="11"/>
        <v>27.011217971552128</v>
      </c>
      <c r="M93" s="3">
        <f t="shared" si="11"/>
        <v>19.696263832359705</v>
      </c>
      <c r="N93" s="3">
        <f t="shared" si="11"/>
        <v>14.303305000506526</v>
      </c>
      <c r="O93" s="3">
        <f t="shared" si="11"/>
        <v>7.4313692278061296</v>
      </c>
      <c r="Q93" s="3">
        <v>89</v>
      </c>
      <c r="R93" s="3">
        <f>[1]节奏总纲!AD92</f>
        <v>64.915912490558512</v>
      </c>
      <c r="S93" s="3">
        <f>[1]节奏总纲!AE92</f>
        <v>66.923300409222719</v>
      </c>
      <c r="T93" s="3">
        <f>[1]节奏总纲!AF92</f>
        <v>69.821875489223984</v>
      </c>
      <c r="U93" s="3">
        <f>[1]节奏总纲!AG92</f>
        <v>74.335758643278794</v>
      </c>
      <c r="V93" s="3">
        <f>[1]节奏总纲!AH92</f>
        <v>82.967513911278544</v>
      </c>
      <c r="AN93" s="3">
        <v>89</v>
      </c>
      <c r="AO93" s="3">
        <f>[1]节奏总纲!BA92</f>
        <v>37.244854901032298</v>
      </c>
      <c r="AP93" s="3">
        <f>[1]节奏总纲!BB92</f>
        <v>38.742106846662928</v>
      </c>
      <c r="AQ93" s="3">
        <f>[1]节奏总纲!BC92</f>
        <v>40.674035830676758</v>
      </c>
      <c r="AR93" s="3">
        <f>[1]节奏总纲!BD92</f>
        <v>43.404644393455513</v>
      </c>
      <c r="AS93" s="3">
        <f>[1]节奏总纲!BE92</f>
        <v>48.101914750802706</v>
      </c>
      <c r="BL93" s="3">
        <v>89</v>
      </c>
      <c r="BM93" s="3">
        <f>[1]节奏总纲!BX92</f>
        <v>48.557223076748912</v>
      </c>
      <c r="BN93" s="3">
        <f>[1]节奏总纲!BY92</f>
        <v>49.088974957750068</v>
      </c>
      <c r="BO93" s="3">
        <f>[1]节奏总纲!BZ92</f>
        <v>49.579936789633926</v>
      </c>
      <c r="BP93" s="3">
        <f>[1]节奏总纲!CA92</f>
        <v>50.13435118838489</v>
      </c>
      <c r="BQ93" s="3">
        <f>[1]节奏总纲!CB92</f>
        <v>50.6943349274338</v>
      </c>
    </row>
    <row r="94" spans="3:69">
      <c r="C94" s="3">
        <v>90</v>
      </c>
      <c r="D94" s="3">
        <f>[1]节奏总纲!P93</f>
        <v>511</v>
      </c>
      <c r="E94" s="3">
        <f>[1]节奏总纲!Q93</f>
        <v>438.13140000000004</v>
      </c>
      <c r="F94" s="3">
        <f>[1]节奏总纲!R93</f>
        <v>354.12299999999999</v>
      </c>
      <c r="G94" s="3">
        <f>[1]节奏总纲!S93</f>
        <v>254.88680000000002</v>
      </c>
      <c r="H94" s="3">
        <f>[1]节奏总纲!T93</f>
        <v>138.48100000000002</v>
      </c>
      <c r="J94" s="3">
        <v>90</v>
      </c>
      <c r="K94" s="3">
        <f t="shared" si="11"/>
        <v>34.287108333154663</v>
      </c>
      <c r="L94" s="3">
        <f t="shared" si="11"/>
        <v>26.346804178179013</v>
      </c>
      <c r="M94" s="3">
        <f t="shared" si="11"/>
        <v>21.520415484042019</v>
      </c>
      <c r="N94" s="3">
        <f t="shared" si="11"/>
        <v>14.575831310743297</v>
      </c>
      <c r="O94" s="3">
        <f t="shared" si="11"/>
        <v>7.861667683284395</v>
      </c>
      <c r="Q94" s="3">
        <v>90</v>
      </c>
      <c r="R94" s="3">
        <f>[1]节奏总纲!AD93</f>
        <v>65.075479910097457</v>
      </c>
      <c r="S94" s="3">
        <f>[1]节奏总纲!AE93</f>
        <v>67.083433628014333</v>
      </c>
      <c r="T94" s="3">
        <f>[1]节奏总纲!AF93</f>
        <v>69.982855616450394</v>
      </c>
      <c r="U94" s="3">
        <f>[1]节奏总纲!AG93</f>
        <v>74.493385467679886</v>
      </c>
      <c r="V94" s="3">
        <f>[1]节奏总纲!AH93</f>
        <v>83.124894550960335</v>
      </c>
      <c r="AN94" s="3">
        <v>90</v>
      </c>
      <c r="AO94" s="3">
        <f>[1]节奏总纲!BA93</f>
        <v>37.317457773889828</v>
      </c>
      <c r="AP94" s="3">
        <f>[1]节奏总纲!BB93</f>
        <v>38.82039500446033</v>
      </c>
      <c r="AQ94" s="3">
        <f>[1]节奏总纲!BC93</f>
        <v>40.751734485509814</v>
      </c>
      <c r="AR94" s="3">
        <f>[1]节奏总纲!BD93</f>
        <v>43.479537810324807</v>
      </c>
      <c r="AS94" s="3">
        <f>[1]节奏总纲!BE93</f>
        <v>48.173700750441178</v>
      </c>
      <c r="BL94" s="3">
        <v>90</v>
      </c>
      <c r="BM94" s="3">
        <f>[1]节奏总纲!BX93</f>
        <v>49.042729140195462</v>
      </c>
      <c r="BN94" s="3">
        <f>[1]节奏总纲!BY93</f>
        <v>49.497214321439728</v>
      </c>
      <c r="BO94" s="3">
        <f>[1]节奏总纲!BZ93</f>
        <v>50.021192353066951</v>
      </c>
      <c r="BP94" s="3">
        <f>[1]节奏总纲!CA93</f>
        <v>50.524371596694976</v>
      </c>
      <c r="BQ94" s="3">
        <f>[1]节奏总纲!CB93</f>
        <v>51.099355476740961</v>
      </c>
    </row>
    <row r="95" spans="3:69">
      <c r="C95" s="3">
        <v>91</v>
      </c>
      <c r="D95" s="3">
        <f>[1]节奏总纲!P94</f>
        <v>547.74801281858208</v>
      </c>
      <c r="E95" s="3">
        <f>[1]节奏总纲!Q94</f>
        <v>469.6391461906523</v>
      </c>
      <c r="F95" s="3">
        <f>[1]节奏总纲!R94</f>
        <v>378.43910205635837</v>
      </c>
      <c r="G95" s="3">
        <f>[1]节奏总纲!S94</f>
        <v>272.61418597980827</v>
      </c>
      <c r="H95" s="3">
        <f>[1]节奏总纲!T94</f>
        <v>147.89196346101718</v>
      </c>
      <c r="J95" s="3">
        <v>91</v>
      </c>
      <c r="K95" s="3">
        <f t="shared" si="11"/>
        <v>36.748012818582083</v>
      </c>
      <c r="L95" s="3">
        <f t="shared" si="11"/>
        <v>31.507746190652256</v>
      </c>
      <c r="M95" s="3">
        <f t="shared" si="11"/>
        <v>24.316102056358375</v>
      </c>
      <c r="N95" s="3">
        <f t="shared" si="11"/>
        <v>17.727385979808247</v>
      </c>
      <c r="O95" s="3">
        <f t="shared" si="11"/>
        <v>9.4109634610171611</v>
      </c>
      <c r="Q95" s="3">
        <v>91</v>
      </c>
      <c r="R95" s="3">
        <f>[1]节奏总纲!AD94</f>
        <v>65.229416240679981</v>
      </c>
      <c r="S95" s="3">
        <f>[1]节奏总纲!AE94</f>
        <v>67.240606973055961</v>
      </c>
      <c r="T95" s="3">
        <f>[1]节奏总纲!AF94</f>
        <v>70.137942795989005</v>
      </c>
      <c r="U95" s="3">
        <f>[1]节奏总纲!AG94</f>
        <v>74.651012292080978</v>
      </c>
      <c r="V95" s="3">
        <f>[1]节奏总纲!AH94</f>
        <v>83.279794092850153</v>
      </c>
      <c r="AN95" s="3">
        <v>91</v>
      </c>
      <c r="AO95" s="3">
        <f>[1]节奏总纲!BA94</f>
        <v>37.390060646747358</v>
      </c>
      <c r="AP95" s="3">
        <f>[1]节奏总纲!BB94</f>
        <v>38.898683162257733</v>
      </c>
      <c r="AQ95" s="3">
        <f>[1]节奏总纲!BC94</f>
        <v>40.829433140342871</v>
      </c>
      <c r="AR95" s="3">
        <f>[1]节奏总纲!BD94</f>
        <v>43.554431227194108</v>
      </c>
      <c r="AS95" s="3">
        <f>[1]节奏总纲!BE94</f>
        <v>48.24548675007965</v>
      </c>
      <c r="BL95" s="3">
        <v>91</v>
      </c>
      <c r="BM95" s="3">
        <f>[1]节奏总纲!BX94</f>
        <v>49.498252634231747</v>
      </c>
      <c r="BN95" s="3">
        <f>[1]节奏总纲!BY94</f>
        <v>49.985421626173121</v>
      </c>
      <c r="BO95" s="3">
        <f>[1]节奏总纲!BZ94</f>
        <v>50.454959541611018</v>
      </c>
      <c r="BP95" s="3">
        <f>[1]节奏总纲!CA94</f>
        <v>50.998721372753316</v>
      </c>
      <c r="BQ95" s="3">
        <f>[1]节奏总纲!CB94</f>
        <v>51.534250551986972</v>
      </c>
    </row>
    <row r="96" spans="3:69">
      <c r="C96" s="3">
        <v>92</v>
      </c>
      <c r="D96" s="3">
        <f>[1]节奏总纲!P95</f>
        <v>587.1335577584814</v>
      </c>
      <c r="E96" s="3">
        <f>[1]节奏总纲!Q95</f>
        <v>502.29275866238083</v>
      </c>
      <c r="F96" s="3">
        <f>[1]节奏总纲!R95</f>
        <v>405.12215485335213</v>
      </c>
      <c r="G96" s="3">
        <f>[1]节奏总纲!S95</f>
        <v>291.57052478286187</v>
      </c>
      <c r="H96" s="3">
        <f>[1]节奏总纲!T95</f>
        <v>157.64536025815227</v>
      </c>
      <c r="J96" s="3">
        <v>92</v>
      </c>
      <c r="K96" s="3">
        <f t="shared" si="11"/>
        <v>39.385544939899319</v>
      </c>
      <c r="L96" s="3">
        <f t="shared" si="11"/>
        <v>32.653612471728536</v>
      </c>
      <c r="M96" s="3">
        <f t="shared" si="11"/>
        <v>26.683052796993763</v>
      </c>
      <c r="N96" s="3">
        <f t="shared" si="11"/>
        <v>18.956338803053598</v>
      </c>
      <c r="O96" s="3">
        <f t="shared" si="11"/>
        <v>9.7533967971350819</v>
      </c>
      <c r="Q96" s="3">
        <v>92</v>
      </c>
      <c r="R96" s="3">
        <f>[1]节奏总纲!AD95</f>
        <v>65.38335257126252</v>
      </c>
      <c r="S96" s="3">
        <f>[1]节奏总纲!AE95</f>
        <v>67.397780318097588</v>
      </c>
      <c r="T96" s="3">
        <f>[1]节奏总纲!AF95</f>
        <v>70.292327570459079</v>
      </c>
      <c r="U96" s="3">
        <f>[1]节奏总纲!AG95</f>
        <v>74.808639116482055</v>
      </c>
      <c r="V96" s="3">
        <f>[1]节奏总纲!AH95</f>
        <v>83.434693634739986</v>
      </c>
      <c r="AN96" s="3">
        <v>92</v>
      </c>
      <c r="AO96" s="3">
        <f>[1]节奏总纲!BA95</f>
        <v>37.462663519604888</v>
      </c>
      <c r="AP96" s="3">
        <f>[1]节奏总纲!BB95</f>
        <v>38.976971320055128</v>
      </c>
      <c r="AQ96" s="3">
        <f>[1]节奏总纲!BC95</f>
        <v>40.907131795175928</v>
      </c>
      <c r="AR96" s="3">
        <f>[1]节奏总纲!BD95</f>
        <v>43.629324644063402</v>
      </c>
      <c r="AS96" s="3">
        <f>[1]节奏总纲!BE95</f>
        <v>48.317272749718121</v>
      </c>
      <c r="BL96" s="3">
        <v>92</v>
      </c>
      <c r="BM96" s="3">
        <f>[1]节奏总纲!BX95</f>
        <v>49.986470626701646</v>
      </c>
      <c r="BN96" s="3">
        <f>[1]节奏总纲!BY95</f>
        <v>50.424285339835969</v>
      </c>
      <c r="BO96" s="3">
        <f>[1]节奏总纲!BZ95</f>
        <v>50.930950009437595</v>
      </c>
      <c r="BP96" s="3">
        <f>[1]节奏总纲!CA95</f>
        <v>51.436896660010483</v>
      </c>
      <c r="BQ96" s="3">
        <f>[1]节奏总纲!CB95</f>
        <v>51.984969997617021</v>
      </c>
    </row>
    <row r="97" spans="3:69">
      <c r="C97" s="3">
        <v>93</v>
      </c>
      <c r="D97" s="3">
        <f>[1]节奏总纲!P96</f>
        <v>629.34593963259704</v>
      </c>
      <c r="E97" s="3">
        <f>[1]节奏总纲!Q96</f>
        <v>538.34251676172357</v>
      </c>
      <c r="F97" s="3">
        <f>[1]节奏总纲!R96</f>
        <v>433.68228700082267</v>
      </c>
      <c r="G97" s="3">
        <f>[1]节奏总纲!S96</f>
        <v>311.52624011813555</v>
      </c>
      <c r="H97" s="3">
        <f>[1]节奏总纲!T96</f>
        <v>168.35003885171972</v>
      </c>
      <c r="J97" s="3">
        <v>93</v>
      </c>
      <c r="K97" s="3">
        <f t="shared" si="11"/>
        <v>42.212381874115636</v>
      </c>
      <c r="L97" s="3">
        <f t="shared" si="11"/>
        <v>36.049758099342739</v>
      </c>
      <c r="M97" s="3">
        <f t="shared" si="11"/>
        <v>28.56013214747054</v>
      </c>
      <c r="N97" s="3">
        <f t="shared" si="11"/>
        <v>19.95571533527368</v>
      </c>
      <c r="O97" s="3">
        <f t="shared" si="11"/>
        <v>10.704678593567451</v>
      </c>
      <c r="Q97" s="3">
        <v>93</v>
      </c>
      <c r="R97" s="3">
        <f>[1]节奏总纲!AD96</f>
        <v>65.537288901845059</v>
      </c>
      <c r="S97" s="3">
        <f>[1]节奏总纲!AE96</f>
        <v>67.554953663139216</v>
      </c>
      <c r="T97" s="3">
        <f>[1]节奏总纲!AF96</f>
        <v>70.446712344929153</v>
      </c>
      <c r="U97" s="3">
        <f>[1]节奏总纲!AG96</f>
        <v>74.966265940883147</v>
      </c>
      <c r="V97" s="3">
        <f>[1]节奏总纲!AH96</f>
        <v>83.589593176629805</v>
      </c>
      <c r="AN97" s="3">
        <v>93</v>
      </c>
      <c r="AO97" s="3">
        <f>[1]节奏总纲!BA96</f>
        <v>37.535266392462418</v>
      </c>
      <c r="AP97" s="3">
        <f>[1]节奏总纲!BB96</f>
        <v>39.047673544184711</v>
      </c>
      <c r="AQ97" s="3">
        <f>[1]节奏总纲!BC96</f>
        <v>40.984830450008985</v>
      </c>
      <c r="AR97" s="3">
        <f>[1]节奏总纲!BD96</f>
        <v>43.704218060932696</v>
      </c>
      <c r="AS97" s="3">
        <f>[1]节奏总纲!BE96</f>
        <v>48.389058749356593</v>
      </c>
      <c r="BL97" s="3">
        <v>93</v>
      </c>
      <c r="BM97" s="3">
        <f>[1]节奏总纲!BX96</f>
        <v>50.440125995524625</v>
      </c>
      <c r="BN97" s="3">
        <f>[1]节奏总纲!BY96</f>
        <v>50.90659544186844</v>
      </c>
      <c r="BO97" s="3">
        <f>[1]节奏总纲!BZ96</f>
        <v>51.380310631705122</v>
      </c>
      <c r="BP97" s="3">
        <f>[1]节奏总纲!CA96</f>
        <v>51.897988787201882</v>
      </c>
      <c r="BQ97" s="3">
        <f>[1]节奏总纲!CB96</f>
        <v>52.414208810757216</v>
      </c>
    </row>
    <row r="98" spans="3:69">
      <c r="C98" s="3">
        <v>94</v>
      </c>
      <c r="D98" s="3">
        <f>[1]节奏总纲!P97</f>
        <v>674.58805031572183</v>
      </c>
      <c r="E98" s="3">
        <f>[1]节奏总纲!Q97</f>
        <v>576.30057138472114</v>
      </c>
      <c r="F98" s="3">
        <f>[1]节奏总纲!R97</f>
        <v>464.04911981218504</v>
      </c>
      <c r="G98" s="3">
        <f>[1]节奏总纲!S97</f>
        <v>332.70682641571403</v>
      </c>
      <c r="H98" s="3">
        <f>[1]节奏总纲!T97</f>
        <v>179.6427977990767</v>
      </c>
      <c r="J98" s="3">
        <v>94</v>
      </c>
      <c r="K98" s="3">
        <f t="shared" si="11"/>
        <v>45.242110683124793</v>
      </c>
      <c r="L98" s="3">
        <f t="shared" si="11"/>
        <v>37.958054622997565</v>
      </c>
      <c r="M98" s="3">
        <f t="shared" si="11"/>
        <v>30.366832811362372</v>
      </c>
      <c r="N98" s="3">
        <f t="shared" si="11"/>
        <v>21.180586297578486</v>
      </c>
      <c r="O98" s="3">
        <f t="shared" si="11"/>
        <v>11.292758947356987</v>
      </c>
      <c r="Q98" s="3">
        <v>94</v>
      </c>
      <c r="R98" s="3">
        <f>[1]节奏总纲!AD97</f>
        <v>65.691225232427584</v>
      </c>
      <c r="S98" s="3">
        <f>[1]节奏总纲!AE97</f>
        <v>67.712127008180858</v>
      </c>
      <c r="T98" s="3">
        <f>[1]节奏总纲!AF97</f>
        <v>70.601097119399213</v>
      </c>
      <c r="U98" s="3">
        <f>[1]节奏总纲!AG97</f>
        <v>75.115180559621535</v>
      </c>
      <c r="V98" s="3">
        <f>[1]节奏总纲!AH97</f>
        <v>83.744492718519624</v>
      </c>
      <c r="AN98" s="3">
        <v>94</v>
      </c>
      <c r="AO98" s="3">
        <f>[1]节奏总纲!BA97</f>
        <v>37.607869265319941</v>
      </c>
      <c r="AP98" s="3">
        <f>[1]节奏总纲!BB97</f>
        <v>39.115214427575864</v>
      </c>
      <c r="AQ98" s="3">
        <f>[1]节奏总纲!BC97</f>
        <v>41.053954370816207</v>
      </c>
      <c r="AR98" s="3">
        <f>[1]节奏总纲!BD97</f>
        <v>43.77911147780199</v>
      </c>
      <c r="AS98" s="3">
        <f>[1]节奏总纲!BE97</f>
        <v>48.460844748995065</v>
      </c>
      <c r="BL98" s="3">
        <v>94</v>
      </c>
      <c r="BM98" s="3">
        <f>[1]节奏总纲!BX97</f>
        <v>50.924361744560407</v>
      </c>
      <c r="BN98" s="3">
        <f>[1]节奏总纲!BY97</f>
        <v>51.357869409358393</v>
      </c>
      <c r="BO98" s="3">
        <f>[1]节奏总纲!BZ97</f>
        <v>51.84807662595162</v>
      </c>
      <c r="BP98" s="3">
        <f>[1]节奏总纲!CA97</f>
        <v>52.334530106928973</v>
      </c>
      <c r="BQ98" s="3">
        <f>[1]节奏总纲!CB97</f>
        <v>52.864865346365669</v>
      </c>
    </row>
    <row r="99" spans="3:69">
      <c r="C99" s="3">
        <v>95</v>
      </c>
      <c r="D99" s="3">
        <f>[1]节奏总纲!P98</f>
        <v>723.0773439350246</v>
      </c>
      <c r="E99" s="3">
        <f>[1]节奏总纲!Q98</f>
        <v>618.15882133005255</v>
      </c>
      <c r="F99" s="3">
        <f>[1]节奏总纲!R98</f>
        <v>495.95875020503337</v>
      </c>
      <c r="G99" s="3">
        <f>[1]节奏总纲!S98</f>
        <v>355.39251454406457</v>
      </c>
      <c r="H99" s="3">
        <f>[1]节奏总纲!T98</f>
        <v>192.84472762747106</v>
      </c>
      <c r="J99" s="3">
        <v>95</v>
      </c>
      <c r="K99" s="3">
        <f t="shared" si="11"/>
        <v>48.489293619302771</v>
      </c>
      <c r="L99" s="3">
        <f t="shared" si="11"/>
        <v>41.858249945331409</v>
      </c>
      <c r="M99" s="3">
        <f t="shared" si="11"/>
        <v>31.909630392848328</v>
      </c>
      <c r="N99" s="3">
        <f t="shared" si="11"/>
        <v>22.685688128350534</v>
      </c>
      <c r="O99" s="3">
        <f t="shared" si="11"/>
        <v>13.201929828394356</v>
      </c>
      <c r="Q99" s="3">
        <v>95</v>
      </c>
      <c r="R99" s="3">
        <f>[1]节奏总纲!AD98</f>
        <v>65.845161563010123</v>
      </c>
      <c r="S99" s="3">
        <f>[1]节奏总纲!AE98</f>
        <v>67.869300353222485</v>
      </c>
      <c r="T99" s="3">
        <f>[1]节奏总纲!AF98</f>
        <v>70.755481893869288</v>
      </c>
      <c r="U99" s="3">
        <f>[1]节奏总纲!AG98</f>
        <v>75.261722981240993</v>
      </c>
      <c r="V99" s="3">
        <f>[1]节奏总纲!AH98</f>
        <v>83.899392260409456</v>
      </c>
      <c r="AN99" s="3">
        <v>95</v>
      </c>
      <c r="AO99" s="3">
        <f>[1]节奏总纲!BA98</f>
        <v>37.680472138177471</v>
      </c>
      <c r="AP99" s="3">
        <f>[1]节奏总纲!BB98</f>
        <v>39.182755310967018</v>
      </c>
      <c r="AQ99" s="3">
        <f>[1]节奏总纲!BC98</f>
        <v>41.120998062635785</v>
      </c>
      <c r="AR99" s="3">
        <f>[1]节奏总纲!BD98</f>
        <v>43.854004894671284</v>
      </c>
      <c r="AS99" s="3">
        <f>[1]节奏总纲!BE98</f>
        <v>48.532630748633537</v>
      </c>
      <c r="BL99" s="3">
        <v>95</v>
      </c>
      <c r="BM99" s="3">
        <f>[1]节奏总纲!BX98</f>
        <v>51.382838700936844</v>
      </c>
      <c r="BN99" s="3">
        <f>[1]节奏总纲!BY98</f>
        <v>51.841452913721341</v>
      </c>
      <c r="BO99" s="3">
        <f>[1]节奏总纲!BZ98</f>
        <v>52.293273390033363</v>
      </c>
      <c r="BP99" s="3">
        <f>[1]节奏总纲!CA98</f>
        <v>52.787185373346801</v>
      </c>
      <c r="BQ99" s="3">
        <f>[1]节奏总纲!CB98</f>
        <v>53.338289705589766</v>
      </c>
    </row>
    <row r="100" spans="3:69">
      <c r="C100" s="3">
        <v>96</v>
      </c>
      <c r="D100" s="3">
        <f>[1]节奏总纲!P99</f>
        <v>775.04688205332377</v>
      </c>
      <c r="E100" s="3">
        <f>[1]节奏总纲!Q99</f>
        <v>661.0374857032798</v>
      </c>
      <c r="F100" s="3">
        <f>[1]节奏总纲!R99</f>
        <v>529.97705794806279</v>
      </c>
      <c r="G100" s="3">
        <f>[1]节奏总纲!S99</f>
        <v>380.70302846459265</v>
      </c>
      <c r="H100" s="3">
        <f>[1]节奏总纲!T99</f>
        <v>206.86001282003213</v>
      </c>
      <c r="J100" s="3">
        <v>96</v>
      </c>
      <c r="K100" s="3">
        <f t="shared" si="11"/>
        <v>51.96953811829917</v>
      </c>
      <c r="L100" s="3">
        <f t="shared" si="11"/>
        <v>42.878664373227252</v>
      </c>
      <c r="M100" s="3">
        <f t="shared" si="11"/>
        <v>34.018307743029425</v>
      </c>
      <c r="N100" s="3">
        <f t="shared" si="11"/>
        <v>25.310513920528081</v>
      </c>
      <c r="O100" s="3">
        <f t="shared" si="11"/>
        <v>14.015285192561066</v>
      </c>
      <c r="Q100" s="3">
        <v>96</v>
      </c>
      <c r="R100" s="3">
        <f>[1]节奏总纲!AD99</f>
        <v>65.999097893592648</v>
      </c>
      <c r="S100" s="3">
        <f>[1]节奏总纲!AE99</f>
        <v>68.025215371037646</v>
      </c>
      <c r="T100" s="3">
        <f>[1]节奏总纲!AF99</f>
        <v>70.909866668339362</v>
      </c>
      <c r="U100" s="3">
        <f>[1]节奏总纲!AG99</f>
        <v>75.408265402860437</v>
      </c>
      <c r="V100" s="3">
        <f>[1]节奏总纲!AH99</f>
        <v>84.050903767166133</v>
      </c>
      <c r="AN100" s="3">
        <v>96</v>
      </c>
      <c r="AO100" s="3">
        <f>[1]节奏总纲!BA99</f>
        <v>37.753075011035001</v>
      </c>
      <c r="AP100" s="3">
        <f>[1]节奏总纲!BB99</f>
        <v>39.250296194358178</v>
      </c>
      <c r="AQ100" s="3">
        <f>[1]节奏总纲!BC99</f>
        <v>41.188041754455355</v>
      </c>
      <c r="AR100" s="3">
        <f>[1]节奏总纲!BD99</f>
        <v>43.928898311540578</v>
      </c>
      <c r="AS100" s="3">
        <f>[1]节奏总纲!BE99</f>
        <v>48.604416748272008</v>
      </c>
      <c r="BL100" s="3">
        <v>96</v>
      </c>
      <c r="BM100" s="3">
        <f>[1]节奏总纲!BX99</f>
        <v>51.863157135581275</v>
      </c>
      <c r="BN100" s="3">
        <f>[1]节奏总纲!BY99</f>
        <v>52.290870529884771</v>
      </c>
      <c r="BO100" s="3">
        <f>[1]节奏总纲!BZ99</f>
        <v>52.745792648501016</v>
      </c>
      <c r="BP100" s="3">
        <f>[1]节奏总纲!CA99</f>
        <v>53.252362918407712</v>
      </c>
      <c r="BQ100" s="3">
        <f>[1]节奏总纲!CB99</f>
        <v>53.821316321108398</v>
      </c>
    </row>
    <row r="101" spans="3:69">
      <c r="C101" s="3">
        <v>97</v>
      </c>
      <c r="D101" s="3">
        <f>[1]节奏总纲!P100</f>
        <v>830.74645386878444</v>
      </c>
      <c r="E101" s="3">
        <f>[1]节奏总纲!Q100</f>
        <v>707.71290405081743</v>
      </c>
      <c r="F101" s="3">
        <f>[1]节奏总纲!R100</f>
        <v>569.31054483627804</v>
      </c>
      <c r="G101" s="3">
        <f>[1]节奏总纲!S100</f>
        <v>409.80722569347137</v>
      </c>
      <c r="H101" s="3">
        <f>[1]节奏总纲!T100</f>
        <v>223.30464679992923</v>
      </c>
      <c r="J101" s="3">
        <v>97</v>
      </c>
      <c r="K101" s="3">
        <f t="shared" si="11"/>
        <v>55.699571815460672</v>
      </c>
      <c r="L101" s="3">
        <f t="shared" si="11"/>
        <v>46.675418347537629</v>
      </c>
      <c r="M101" s="3">
        <f t="shared" si="11"/>
        <v>39.333486888215248</v>
      </c>
      <c r="N101" s="3">
        <f t="shared" si="11"/>
        <v>29.104197228878718</v>
      </c>
      <c r="O101" s="3">
        <f t="shared" si="11"/>
        <v>16.444633979897105</v>
      </c>
      <c r="Q101" s="3">
        <v>97</v>
      </c>
      <c r="R101" s="3">
        <f>[1]节奏总纲!AD100</f>
        <v>66.142785979989682</v>
      </c>
      <c r="S101" s="3">
        <f>[1]节奏总纲!AE100</f>
        <v>68.174918074940805</v>
      </c>
      <c r="T101" s="3">
        <f>[1]节奏总纲!AF100</f>
        <v>71.061795050376986</v>
      </c>
      <c r="U101" s="3">
        <f>[1]节奏总纲!AG100</f>
        <v>75.554807824479894</v>
      </c>
      <c r="V101" s="3">
        <f>[1]节奏总纲!AH100</f>
        <v>84.196136930932482</v>
      </c>
      <c r="AN101" s="3">
        <v>97</v>
      </c>
      <c r="AO101" s="3">
        <f>[1]节奏总纲!BA100</f>
        <v>37.825677883892531</v>
      </c>
      <c r="AP101" s="3">
        <f>[1]节奏总纲!BB100</f>
        <v>39.317837077749331</v>
      </c>
      <c r="AQ101" s="3">
        <f>[1]节奏总纲!BC100</f>
        <v>41.255085446274933</v>
      </c>
      <c r="AR101" s="3">
        <f>[1]节奏总纲!BD100</f>
        <v>44.003272544984547</v>
      </c>
      <c r="AS101" s="3">
        <f>[1]节奏总纲!BE100</f>
        <v>48.67620274791048</v>
      </c>
      <c r="BL101" s="3">
        <v>97</v>
      </c>
      <c r="BM101" s="3">
        <f>[1]节奏总纲!BX100</f>
        <v>52.326384257945534</v>
      </c>
      <c r="BN101" s="3">
        <f>[1]节奏总纲!BY100</f>
        <v>52.756535794428025</v>
      </c>
      <c r="BO101" s="3">
        <f>[1]节奏总纲!BZ100</f>
        <v>53.232327712261743</v>
      </c>
      <c r="BP101" s="3">
        <f>[1]节奏总纲!CA100</f>
        <v>53.753890418265996</v>
      </c>
      <c r="BQ101" s="3">
        <f>[1]节奏总纲!CB100</f>
        <v>54.335165952675545</v>
      </c>
    </row>
    <row r="102" spans="3:69">
      <c r="C102" s="3">
        <v>98</v>
      </c>
      <c r="D102" s="3">
        <f>[1]节奏总纲!P101</f>
        <v>890.4437768152311</v>
      </c>
      <c r="E102" s="3">
        <f>[1]节奏总纲!Q101</f>
        <v>760.34994102252585</v>
      </c>
      <c r="F102" s="3">
        <f>[1]节奏总纲!R101</f>
        <v>612.98149595960513</v>
      </c>
      <c r="G102" s="3">
        <f>[1]节奏总纲!S101</f>
        <v>441.9272464333992</v>
      </c>
      <c r="H102" s="3">
        <f>[1]节奏总纲!T101</f>
        <v>240.77599725083846</v>
      </c>
      <c r="J102" s="3">
        <v>98</v>
      </c>
      <c r="K102" s="3">
        <f t="shared" si="11"/>
        <v>59.697322946446661</v>
      </c>
      <c r="L102" s="3">
        <f t="shared" si="11"/>
        <v>52.637036971708426</v>
      </c>
      <c r="M102" s="3">
        <f t="shared" si="11"/>
        <v>43.670951123327086</v>
      </c>
      <c r="N102" s="3">
        <f t="shared" si="11"/>
        <v>32.120020739927838</v>
      </c>
      <c r="O102" s="3">
        <f t="shared" si="11"/>
        <v>17.471350450909227</v>
      </c>
      <c r="Q102" s="3">
        <v>98</v>
      </c>
      <c r="R102" s="3">
        <f>[1]节奏总纲!AD101</f>
        <v>66.286413655019302</v>
      </c>
      <c r="S102" s="3">
        <f>[1]节奏总纲!AE101</f>
        <v>68.324620778843951</v>
      </c>
      <c r="T102" s="3">
        <f>[1]节奏总纲!AF101</f>
        <v>71.210277551293188</v>
      </c>
      <c r="U102" s="3">
        <f>[1]节奏总纲!AG101</f>
        <v>75.701350246099338</v>
      </c>
      <c r="V102" s="3">
        <f>[1]节奏总纲!AH101</f>
        <v>84.341370094698831</v>
      </c>
      <c r="AN102" s="3">
        <v>98</v>
      </c>
      <c r="AO102" s="3">
        <f>[1]节奏总纲!BA101</f>
        <v>37.898280756750061</v>
      </c>
      <c r="AP102" s="3">
        <f>[1]节奏总纲!BB101</f>
        <v>39.385377961140485</v>
      </c>
      <c r="AQ102" s="3">
        <f>[1]节奏总纲!BC101</f>
        <v>41.322129138094503</v>
      </c>
      <c r="AR102" s="3">
        <f>[1]节奏总纲!BD101</f>
        <v>44.067911160744309</v>
      </c>
      <c r="AS102" s="3">
        <f>[1]节奏总纲!BE101</f>
        <v>48.747988747548945</v>
      </c>
      <c r="BL102" s="3">
        <v>98</v>
      </c>
      <c r="BM102" s="3">
        <f>[1]节奏总纲!BX101</f>
        <v>52.802848669690398</v>
      </c>
      <c r="BN102" s="3">
        <f>[1]节奏总纲!BY101</f>
        <v>53.243263351667181</v>
      </c>
      <c r="BO102" s="3">
        <f>[1]节奏总纲!BZ101</f>
        <v>53.734023573310566</v>
      </c>
      <c r="BP102" s="3">
        <f>[1]节奏总纲!CA101</f>
        <v>54.265483052665907</v>
      </c>
      <c r="BQ102" s="3">
        <f>[1]节奏总纲!CB101</f>
        <v>54.855218110725374</v>
      </c>
    </row>
    <row r="103" spans="3:69">
      <c r="C103" s="3">
        <v>99</v>
      </c>
      <c r="D103" s="3">
        <f>[1]节奏总纲!P102</f>
        <v>954.42578333369079</v>
      </c>
      <c r="E103" s="3">
        <f>[1]节奏总纲!Q102</f>
        <v>816.51125764197252</v>
      </c>
      <c r="F103" s="3">
        <f>[1]节奏总纲!R102</f>
        <v>658.6492330785801</v>
      </c>
      <c r="G103" s="3">
        <f>[1]节奏总纲!S102</f>
        <v>475.39948267851139</v>
      </c>
      <c r="H103" s="3">
        <f>[1]节奏总纲!T102</f>
        <v>257.59951892176309</v>
      </c>
      <c r="J103" s="3">
        <v>99</v>
      </c>
      <c r="K103" s="3">
        <f t="shared" si="11"/>
        <v>63.982006518459684</v>
      </c>
      <c r="L103" s="3">
        <f t="shared" si="11"/>
        <v>56.161316619446666</v>
      </c>
      <c r="M103" s="3">
        <f t="shared" si="11"/>
        <v>45.667737118974969</v>
      </c>
      <c r="N103" s="3">
        <f t="shared" si="11"/>
        <v>33.472236245112185</v>
      </c>
      <c r="O103" s="3">
        <f t="shared" si="11"/>
        <v>16.823521670924634</v>
      </c>
      <c r="Q103" s="3">
        <v>99</v>
      </c>
      <c r="R103" s="3">
        <f>[1]节奏总纲!AD102</f>
        <v>66.430041330048923</v>
      </c>
      <c r="S103" s="3">
        <f>[1]节奏总纲!AE102</f>
        <v>68.474323482747096</v>
      </c>
      <c r="T103" s="3">
        <f>[1]节奏总纲!AF102</f>
        <v>71.358760052209377</v>
      </c>
      <c r="U103" s="3">
        <f>[1]节奏总纲!AG102</f>
        <v>75.847892667718796</v>
      </c>
      <c r="V103" s="3">
        <f>[1]节奏总纲!AH102</f>
        <v>84.48660325846518</v>
      </c>
      <c r="AN103" s="3">
        <v>99</v>
      </c>
      <c r="AO103" s="3">
        <f>[1]节奏总纲!BA102</f>
        <v>37.970883629607592</v>
      </c>
      <c r="AP103" s="3">
        <f>[1]节奏总纲!BB102</f>
        <v>39.452918844531645</v>
      </c>
      <c r="AQ103" s="3">
        <f>[1]节奏总纲!BC102</f>
        <v>41.389172829914081</v>
      </c>
      <c r="AR103" s="3">
        <f>[1]节奏总纲!BD102</f>
        <v>44.132549776504064</v>
      </c>
      <c r="AS103" s="3">
        <f>[1]节奏总纲!BE102</f>
        <v>48.819774747187417</v>
      </c>
      <c r="BL103" s="3">
        <v>99</v>
      </c>
      <c r="BM103" s="3">
        <f>[1]节奏总纲!BX102</f>
        <v>53.27075451697057</v>
      </c>
      <c r="BN103" s="3">
        <f>[1]节奏总纲!BY102</f>
        <v>53.72715308914038</v>
      </c>
      <c r="BO103" s="3">
        <f>[1]节奏总纲!BZ102</f>
        <v>54.223397539416098</v>
      </c>
      <c r="BP103" s="3">
        <f>[1]节奏总纲!CA102</f>
        <v>54.763650287732681</v>
      </c>
      <c r="BQ103" s="3">
        <f>[1]节奏总纲!CB102</f>
        <v>55.30747709307812</v>
      </c>
    </row>
    <row r="104" spans="3:69">
      <c r="C104" s="3">
        <v>100</v>
      </c>
      <c r="D104" s="3">
        <f>[1]节奏总纲!P103</f>
        <v>1023</v>
      </c>
      <c r="E104" s="3">
        <f>[1]节奏总纲!Q103</f>
        <v>875.38110000000006</v>
      </c>
      <c r="F104" s="3">
        <f>[1]节奏总纲!R103</f>
        <v>706.6884</v>
      </c>
      <c r="G104" s="3">
        <f>[1]节奏总纲!S103</f>
        <v>508.22640000000001</v>
      </c>
      <c r="H104" s="3">
        <f>[1]节奏总纲!T103</f>
        <v>274.77780000000001</v>
      </c>
      <c r="J104" s="3">
        <v>100</v>
      </c>
      <c r="K104" s="3">
        <f t="shared" si="11"/>
        <v>68.574216666309212</v>
      </c>
      <c r="L104" s="3">
        <f t="shared" si="11"/>
        <v>58.86984235802754</v>
      </c>
      <c r="M104" s="3">
        <f t="shared" si="11"/>
        <v>48.039166921419906</v>
      </c>
      <c r="N104" s="3">
        <f t="shared" si="11"/>
        <v>32.826917321488622</v>
      </c>
      <c r="O104" s="3">
        <f t="shared" si="11"/>
        <v>17.178281078236921</v>
      </c>
      <c r="Q104" s="3">
        <v>100</v>
      </c>
      <c r="R104" s="3">
        <f>[1]节奏总纲!AD103</f>
        <v>66.573669005078543</v>
      </c>
      <c r="S104" s="3">
        <f>[1]节奏总纲!AE103</f>
        <v>68.624026186650241</v>
      </c>
      <c r="T104" s="3">
        <f>[1]节奏总纲!AF103</f>
        <v>71.507242553125565</v>
      </c>
      <c r="U104" s="3">
        <f>[1]节奏总纲!AG103</f>
        <v>75.994435089338239</v>
      </c>
      <c r="V104" s="3">
        <f>[1]节奏总纲!AH103</f>
        <v>84.63183642223153</v>
      </c>
      <c r="AN104" s="3">
        <v>100</v>
      </c>
      <c r="AO104" s="3">
        <f>[1]节奏总纲!BA103</f>
        <v>38.037513426486328</v>
      </c>
      <c r="AP104" s="3">
        <f>[1]节奏总纲!BB103</f>
        <v>39.520459727922798</v>
      </c>
      <c r="AQ104" s="3">
        <f>[1]节奏总纲!BC103</f>
        <v>41.456216521733651</v>
      </c>
      <c r="AR104" s="3">
        <f>[1]节奏总纲!BD103</f>
        <v>44.197188392263818</v>
      </c>
      <c r="AS104" s="3">
        <f>[1]节奏总纲!BE103</f>
        <v>48.891560746825888</v>
      </c>
      <c r="BL104" s="3">
        <v>100</v>
      </c>
      <c r="BM104" s="3">
        <f>[1]节奏总纲!BX103</f>
        <v>53.743426622219623</v>
      </c>
      <c r="BN104" s="3">
        <f>[1]节奏总纲!BY103</f>
        <v>54.202428306858415</v>
      </c>
      <c r="BO104" s="3">
        <f>[1]节奏总纲!BZ103</f>
        <v>54.700042099102475</v>
      </c>
      <c r="BP104" s="3">
        <f>[1]节奏总纲!CA103</f>
        <v>55.217844456964613</v>
      </c>
      <c r="BQ104" s="3">
        <f>[1]节奏总纲!CB103</f>
        <v>55.74912762806774</v>
      </c>
    </row>
    <row r="105" spans="3:69">
      <c r="C105" s="3">
        <v>101</v>
      </c>
      <c r="D105" s="3">
        <f>[1]节奏总纲!P104</f>
        <v>1096.4960256371633</v>
      </c>
      <c r="E105" s="3">
        <f>[1]节奏总纲!Q104</f>
        <v>939.14884595823037</v>
      </c>
      <c r="F105" s="3">
        <f>[1]节奏总纲!R104</f>
        <v>756.25330888195151</v>
      </c>
      <c r="G105" s="3">
        <f>[1]节奏总纲!S104</f>
        <v>541.99798547244984</v>
      </c>
      <c r="H105" s="3">
        <f>[1]节奏总纲!T104</f>
        <v>293.42233646050488</v>
      </c>
      <c r="J105" s="3">
        <v>101</v>
      </c>
      <c r="K105" s="3">
        <f t="shared" si="11"/>
        <v>73.496025637163257</v>
      </c>
      <c r="L105" s="3">
        <f t="shared" si="11"/>
        <v>63.767745958230307</v>
      </c>
      <c r="M105" s="3">
        <f t="shared" si="11"/>
        <v>49.56490888195151</v>
      </c>
      <c r="N105" s="3">
        <f t="shared" si="11"/>
        <v>33.771585472449829</v>
      </c>
      <c r="O105" s="3">
        <f t="shared" si="11"/>
        <v>18.644536460504867</v>
      </c>
      <c r="Q105" s="3">
        <v>101</v>
      </c>
      <c r="R105" s="3">
        <f>[1]节奏总纲!AD104</f>
        <v>66.717296680108163</v>
      </c>
      <c r="S105" s="3">
        <f>[1]节奏总纲!AE104</f>
        <v>68.773728890553386</v>
      </c>
      <c r="T105" s="3">
        <f>[1]节奏总纲!AF104</f>
        <v>71.655725054041767</v>
      </c>
      <c r="U105" s="3">
        <f>[1]节奏总纲!AG104</f>
        <v>76.130305911210229</v>
      </c>
      <c r="V105" s="3">
        <f>[1]节奏总纲!AH104</f>
        <v>84.777069585997879</v>
      </c>
      <c r="AN105" s="3">
        <v>101</v>
      </c>
      <c r="AO105" s="3">
        <f>[1]节奏总纲!BA104</f>
        <v>38.100143952724252</v>
      </c>
      <c r="AP105" s="3">
        <f>[1]节奏总纲!BB104</f>
        <v>39.588000611313952</v>
      </c>
      <c r="AQ105" s="3">
        <f>[1]节奏总纲!BC104</f>
        <v>41.523260213553229</v>
      </c>
      <c r="AR105" s="3">
        <f>[1]节奏总纲!BD104</f>
        <v>44.261827008023573</v>
      </c>
      <c r="AS105" s="3">
        <f>[1]节奏总纲!BE104</f>
        <v>48.96334674646436</v>
      </c>
      <c r="BL105" s="3">
        <v>101</v>
      </c>
      <c r="BM105" s="3">
        <f>[1]节奏总纲!BX104</f>
        <v>54.215939989486415</v>
      </c>
      <c r="BN105" s="3">
        <f>[1]节奏总纲!BY104</f>
        <v>54.676955934140729</v>
      </c>
      <c r="BO105" s="3">
        <f>[1]节奏总纲!BZ104</f>
        <v>55.165685304832408</v>
      </c>
      <c r="BP105" s="3">
        <f>[1]节奏总纲!CA104</f>
        <v>55.651975168978964</v>
      </c>
      <c r="BQ105" s="3">
        <f>[1]节奏总纲!CB104</f>
        <v>56.197353484420169</v>
      </c>
    </row>
    <row r="106" spans="3:69">
      <c r="C106" s="3">
        <v>102</v>
      </c>
      <c r="D106" s="3">
        <f>[1]节奏总纲!P105</f>
        <v>1175.2671155169628</v>
      </c>
      <c r="E106" s="3">
        <f>[1]节奏总纲!Q105</f>
        <v>1004.2657502092447</v>
      </c>
      <c r="F106" s="3">
        <f>[1]节奏总纲!R105</f>
        <v>806.23324124463659</v>
      </c>
      <c r="G106" s="3">
        <f>[1]节奏总纲!S105</f>
        <v>577.99636741124232</v>
      </c>
      <c r="H106" s="3">
        <f>[1]节奏总纲!T105</f>
        <v>313.56126641992563</v>
      </c>
      <c r="J106" s="3">
        <v>102</v>
      </c>
      <c r="K106" s="3">
        <f t="shared" si="11"/>
        <v>78.771089879799547</v>
      </c>
      <c r="L106" s="3">
        <f t="shared" si="11"/>
        <v>65.116904251014375</v>
      </c>
      <c r="M106" s="3">
        <f t="shared" si="11"/>
        <v>49.979932362685076</v>
      </c>
      <c r="N106" s="3">
        <f t="shared" si="11"/>
        <v>35.998381938792477</v>
      </c>
      <c r="O106" s="3">
        <f t="shared" si="11"/>
        <v>20.13892995942075</v>
      </c>
      <c r="Q106" s="3">
        <v>102</v>
      </c>
      <c r="R106" s="3">
        <f>[1]节奏总纲!AD105</f>
        <v>66.860924355137783</v>
      </c>
      <c r="S106" s="3">
        <f>[1]节奏总纲!AE105</f>
        <v>68.923431594456531</v>
      </c>
      <c r="T106" s="3">
        <f>[1]节奏总纲!AF105</f>
        <v>71.804207554957955</v>
      </c>
      <c r="U106" s="3">
        <f>[1]节奏总纲!AG105</f>
        <v>76.265755485049056</v>
      </c>
      <c r="V106" s="3">
        <f>[1]节奏总纲!AH105</f>
        <v>84.922302749764228</v>
      </c>
      <c r="AN106" s="3">
        <v>102</v>
      </c>
      <c r="AO106" s="3">
        <f>[1]节奏总纲!BA105</f>
        <v>38.16277447896217</v>
      </c>
      <c r="AP106" s="3">
        <f>[1]节奏总纲!BB105</f>
        <v>39.655541494705105</v>
      </c>
      <c r="AQ106" s="3">
        <f>[1]节奏总纲!BC105</f>
        <v>41.590303905372799</v>
      </c>
      <c r="AR106" s="3">
        <f>[1]节奏总纲!BD105</f>
        <v>44.326465623783335</v>
      </c>
      <c r="AS106" s="3">
        <f>[1]节奏总纲!BE105</f>
        <v>49.030333272797542</v>
      </c>
      <c r="BL106" s="3">
        <v>102</v>
      </c>
      <c r="BM106" s="3">
        <f>[1]节奏总纲!BX105</f>
        <v>54.684879988131968</v>
      </c>
      <c r="BN106" s="3">
        <f>[1]节奏总纲!BY105</f>
        <v>55.13951273920545</v>
      </c>
      <c r="BO106" s="3">
        <f>[1]节奏总纲!BZ105</f>
        <v>55.594010346323124</v>
      </c>
      <c r="BP106" s="3">
        <f>[1]节奏总纲!CA105</f>
        <v>56.09910300880712</v>
      </c>
      <c r="BQ106" s="3">
        <f>[1]节奏总纲!CB105</f>
        <v>56.644593793802954</v>
      </c>
    </row>
    <row r="107" spans="3:69">
      <c r="C107" s="3">
        <v>103</v>
      </c>
      <c r="D107" s="3">
        <f>[1]节奏总纲!P106</f>
        <v>1259.6918792651943</v>
      </c>
      <c r="E107" s="3">
        <f>[1]节奏总纲!Q106</f>
        <v>1073.383450321872</v>
      </c>
      <c r="F107" s="3">
        <f>[1]节奏总纲!R106</f>
        <v>861.50327622946634</v>
      </c>
      <c r="G107" s="3">
        <f>[1]节奏总纲!S106</f>
        <v>619.01258947091651</v>
      </c>
      <c r="H107" s="3">
        <f>[1]节奏总纲!T106</f>
        <v>335.8338550121008</v>
      </c>
      <c r="J107" s="3">
        <v>103</v>
      </c>
      <c r="K107" s="3">
        <f t="shared" si="11"/>
        <v>84.424763748231499</v>
      </c>
      <c r="L107" s="3">
        <f t="shared" si="11"/>
        <v>69.11770011262729</v>
      </c>
      <c r="M107" s="3">
        <f t="shared" si="11"/>
        <v>55.270034984829749</v>
      </c>
      <c r="N107" s="3">
        <f t="shared" si="11"/>
        <v>41.016222059674192</v>
      </c>
      <c r="O107" s="3">
        <f t="shared" si="11"/>
        <v>22.272588592175168</v>
      </c>
      <c r="Q107" s="3">
        <v>103</v>
      </c>
      <c r="R107" s="3">
        <f>[1]节奏总纲!AD106</f>
        <v>67.004247194324648</v>
      </c>
      <c r="S107" s="3">
        <f>[1]节奏总纲!AE106</f>
        <v>69.0655056802525</v>
      </c>
      <c r="T107" s="3">
        <f>[1]节奏总纲!AF106</f>
        <v>71.952690055874157</v>
      </c>
      <c r="U107" s="3">
        <f>[1]节奏总纲!AG106</f>
        <v>76.401205058887882</v>
      </c>
      <c r="V107" s="3">
        <f>[1]节奏总纲!AH106</f>
        <v>85.072521641060263</v>
      </c>
      <c r="AN107" s="3">
        <v>103</v>
      </c>
      <c r="AO107" s="3">
        <f>[1]节奏总纲!BA106</f>
        <v>38.225405005200088</v>
      </c>
      <c r="AP107" s="3">
        <f>[1]节奏总纲!BB106</f>
        <v>39.723082378096265</v>
      </c>
      <c r="AQ107" s="3">
        <f>[1]节奏总纲!BC106</f>
        <v>41.657347597192377</v>
      </c>
      <c r="AR107" s="3">
        <f>[1]节奏总纲!BD106</f>
        <v>44.39110423954309</v>
      </c>
      <c r="AS107" s="3">
        <f>[1]节奏总纲!BE106</f>
        <v>49.09231260978715</v>
      </c>
      <c r="BL107" s="3">
        <v>103</v>
      </c>
      <c r="BM107" s="3">
        <f>[1]节奏总纲!BX106</f>
        <v>55.161930117011792</v>
      </c>
      <c r="BN107" s="3">
        <f>[1]节奏总纲!BY106</f>
        <v>55.583763667062648</v>
      </c>
      <c r="BO107" s="3">
        <f>[1]节奏总纲!BZ106</f>
        <v>56.058453389976094</v>
      </c>
      <c r="BP107" s="3">
        <f>[1]节奏总纲!CA106</f>
        <v>56.554541998878705</v>
      </c>
      <c r="BQ107" s="3">
        <f>[1]节奏总纲!CB106</f>
        <v>57.120261567759663</v>
      </c>
    </row>
    <row r="108" spans="3:69">
      <c r="C108" s="3">
        <v>104</v>
      </c>
      <c r="D108" s="3">
        <f>[1]节奏总纲!P107</f>
        <v>1350.1761006314437</v>
      </c>
      <c r="E108" s="3">
        <f>[1]节奏总纲!Q107</f>
        <v>1150.7550905681794</v>
      </c>
      <c r="F108" s="3">
        <f>[1]节奏总纲!R107</f>
        <v>925.41069937279144</v>
      </c>
      <c r="G108" s="3">
        <f>[1]节奏总纲!S107</f>
        <v>665.09674717104917</v>
      </c>
      <c r="H108" s="3">
        <f>[1]节奏总纲!T107</f>
        <v>360.49701886859549</v>
      </c>
      <c r="J108" s="3">
        <v>104</v>
      </c>
      <c r="K108" s="3">
        <f t="shared" si="11"/>
        <v>90.484221366249358</v>
      </c>
      <c r="L108" s="3">
        <f t="shared" si="11"/>
        <v>77.371640246307379</v>
      </c>
      <c r="M108" s="3">
        <f t="shared" si="11"/>
        <v>63.907423143325104</v>
      </c>
      <c r="N108" s="3">
        <f t="shared" si="11"/>
        <v>46.084157700132664</v>
      </c>
      <c r="O108" s="3">
        <f t="shared" si="11"/>
        <v>24.663163856494691</v>
      </c>
      <c r="Q108" s="3">
        <v>104</v>
      </c>
      <c r="R108" s="3">
        <f>[1]节奏总纲!AD107</f>
        <v>67.138256553625013</v>
      </c>
      <c r="S108" s="3">
        <f>[1]节奏总纲!AE107</f>
        <v>69.199592937186125</v>
      </c>
      <c r="T108" s="3">
        <f>[1]节奏总纲!AF107</f>
        <v>72.093818006439079</v>
      </c>
      <c r="U108" s="3">
        <f>[1]节奏总纲!AG107</f>
        <v>76.536654632726695</v>
      </c>
      <c r="V108" s="3">
        <f>[1]节奏总纲!AH107</f>
        <v>85.228476403824274</v>
      </c>
      <c r="AN108" s="3">
        <v>104</v>
      </c>
      <c r="AO108" s="3">
        <f>[1]节奏总纲!BA107</f>
        <v>38.288035531438013</v>
      </c>
      <c r="AP108" s="3">
        <f>[1]节奏总纲!BB107</f>
        <v>39.790623261487418</v>
      </c>
      <c r="AQ108" s="3">
        <f>[1]节奏总纲!BC107</f>
        <v>41.724391289011947</v>
      </c>
      <c r="AR108" s="3">
        <f>[1]节奏总纲!BD107</f>
        <v>44.455742855302844</v>
      </c>
      <c r="AS108" s="3">
        <f>[1]节奏总纲!BE107</f>
        <v>49.154291946776759</v>
      </c>
      <c r="BL108" s="3">
        <v>104</v>
      </c>
      <c r="BM108" s="3">
        <f>[1]节奏总纲!BX107</f>
        <v>55.627196747503149</v>
      </c>
      <c r="BN108" s="3">
        <f>[1]节奏总纲!BY107</f>
        <v>56.070023936067749</v>
      </c>
      <c r="BO108" s="3">
        <f>[1]节奏总纲!BZ107</f>
        <v>56.53153340227184</v>
      </c>
      <c r="BP108" s="3">
        <f>[1]节奏总纲!CA107</f>
        <v>57.057233285169012</v>
      </c>
      <c r="BQ108" s="3">
        <f>[1]节奏总纲!CB107</f>
        <v>57.593396752318156</v>
      </c>
    </row>
    <row r="109" spans="3:69">
      <c r="C109" s="3">
        <v>105</v>
      </c>
      <c r="D109" s="3">
        <f>[1]节奏总纲!P108</f>
        <v>1447.1546878700494</v>
      </c>
      <c r="E109" s="3">
        <f>[1]节奏总纲!Q108</f>
        <v>1234.8570951595132</v>
      </c>
      <c r="F109" s="3">
        <f>[1]节奏总纲!R108</f>
        <v>993.18226228521496</v>
      </c>
      <c r="G109" s="3">
        <f>[1]节奏总纲!S108</f>
        <v>713.59197658872131</v>
      </c>
      <c r="H109" s="3">
        <f>[1]节奏总纲!T108</f>
        <v>386.39030166130323</v>
      </c>
      <c r="J109" s="3">
        <v>105</v>
      </c>
      <c r="K109" s="3">
        <f t="shared" si="11"/>
        <v>96.978587238605769</v>
      </c>
      <c r="L109" s="3">
        <f t="shared" si="11"/>
        <v>84.102004591333753</v>
      </c>
      <c r="M109" s="3">
        <f t="shared" si="11"/>
        <v>67.771562912423519</v>
      </c>
      <c r="N109" s="3">
        <f t="shared" si="11"/>
        <v>48.495229417672135</v>
      </c>
      <c r="O109" s="3">
        <f t="shared" si="11"/>
        <v>25.893282792707737</v>
      </c>
      <c r="Q109" s="3">
        <v>105</v>
      </c>
      <c r="R109" s="3">
        <f>[1]节奏总纲!AD108</f>
        <v>67.272265912925377</v>
      </c>
      <c r="S109" s="3">
        <f>[1]节奏总纲!AE108</f>
        <v>69.333680194119751</v>
      </c>
      <c r="T109" s="3">
        <f>[1]节奏总纲!AF108</f>
        <v>72.23150684883845</v>
      </c>
      <c r="U109" s="3">
        <f>[1]节奏总纲!AG108</f>
        <v>76.672104206565521</v>
      </c>
      <c r="V109" s="3">
        <f>[1]节奏总纲!AH108</f>
        <v>85.384431166588271</v>
      </c>
      <c r="AN109" s="3">
        <v>105</v>
      </c>
      <c r="AO109" s="3">
        <f>[1]节奏总纲!BA108</f>
        <v>38.35066605767593</v>
      </c>
      <c r="AP109" s="3">
        <f>[1]节奏总纲!BB108</f>
        <v>39.858164144878572</v>
      </c>
      <c r="AQ109" s="3">
        <f>[1]节奏总纲!BC108</f>
        <v>41.791434980831518</v>
      </c>
      <c r="AR109" s="3">
        <f>[1]节奏总纲!BD108</f>
        <v>44.520381471062606</v>
      </c>
      <c r="AS109" s="3">
        <f>[1]节奏总纲!BE108</f>
        <v>49.216271283766375</v>
      </c>
      <c r="BL109" s="3">
        <v>105</v>
      </c>
      <c r="BM109" s="3">
        <f>[1]节奏总纲!BX108</f>
        <v>56.108713498260869</v>
      </c>
      <c r="BN109" s="3">
        <f>[1]节奏总纲!BY108</f>
        <v>56.536952996213088</v>
      </c>
      <c r="BO109" s="3">
        <f>[1]节奏总纲!BZ108</f>
        <v>57.028694970852825</v>
      </c>
      <c r="BP109" s="3">
        <f>[1]节奏总纲!CA108</f>
        <v>57.522396624597881</v>
      </c>
      <c r="BQ109" s="3">
        <f>[1]节奏总纲!CB108</f>
        <v>58.077862645108048</v>
      </c>
    </row>
    <row r="110" spans="3:69">
      <c r="C110" s="3">
        <v>106</v>
      </c>
      <c r="D110" s="3">
        <f>[1]节奏总纲!P109</f>
        <v>1551.0937641066464</v>
      </c>
      <c r="E110" s="3">
        <f>[1]节奏总纲!Q109</f>
        <v>1324.4789651706653</v>
      </c>
      <c r="F110" s="3">
        <f>[1]节奏总纲!R109</f>
        <v>1064.6707596828021</v>
      </c>
      <c r="G110" s="3">
        <f>[1]节奏总纲!S109</f>
        <v>764.3790069517554</v>
      </c>
      <c r="H110" s="3">
        <f>[1]节奏总纲!T109</f>
        <v>412.59094125236794</v>
      </c>
      <c r="J110" s="3">
        <v>106</v>
      </c>
      <c r="K110" s="3">
        <f t="shared" si="11"/>
        <v>103.93907623659697</v>
      </c>
      <c r="L110" s="3">
        <f t="shared" si="11"/>
        <v>89.621870011152168</v>
      </c>
      <c r="M110" s="3">
        <f t="shared" si="11"/>
        <v>71.488497397587139</v>
      </c>
      <c r="N110" s="3">
        <f t="shared" si="11"/>
        <v>50.787030363034091</v>
      </c>
      <c r="O110" s="3">
        <f t="shared" si="11"/>
        <v>26.200639591064714</v>
      </c>
      <c r="Q110" s="3">
        <v>106</v>
      </c>
      <c r="R110" s="3">
        <f>[1]节奏总纲!AD109</f>
        <v>67.406275272225741</v>
      </c>
      <c r="S110" s="3">
        <f>[1]节奏总纲!AE109</f>
        <v>69.467767451053362</v>
      </c>
      <c r="T110" s="3">
        <f>[1]节奏总纲!AF109</f>
        <v>72.369195691237806</v>
      </c>
      <c r="U110" s="3">
        <f>[1]节奏总纲!AG109</f>
        <v>76.807553780404334</v>
      </c>
      <c r="V110" s="3">
        <f>[1]节奏总纲!AH109</f>
        <v>85.540385929352269</v>
      </c>
      <c r="AN110" s="3">
        <v>106</v>
      </c>
      <c r="AO110" s="3">
        <f>[1]节奏总纲!BA109</f>
        <v>38.413296583913848</v>
      </c>
      <c r="AP110" s="3">
        <f>[1]节奏总纲!BB109</f>
        <v>39.925705028269732</v>
      </c>
      <c r="AQ110" s="3">
        <f>[1]节奏总纲!BC109</f>
        <v>41.858478672651096</v>
      </c>
      <c r="AR110" s="3">
        <f>[1]节奏总纲!BD109</f>
        <v>44.585020086822361</v>
      </c>
      <c r="AS110" s="3">
        <f>[1]节奏总纲!BE109</f>
        <v>49.278250620755983</v>
      </c>
      <c r="BL110" s="3">
        <v>106</v>
      </c>
      <c r="BM110" s="3">
        <f>[1]节奏总纲!BX109</f>
        <v>56.570364089495698</v>
      </c>
      <c r="BN110" s="3">
        <f>[1]节奏总纲!BY109</f>
        <v>57.029826574193862</v>
      </c>
      <c r="BO110" s="3">
        <f>[1]节奏总纲!BZ109</f>
        <v>57.485837231091942</v>
      </c>
      <c r="BP110" s="3">
        <f>[1]节奏总纲!CA109</f>
        <v>58.008243903139835</v>
      </c>
      <c r="BQ110" s="3">
        <f>[1]节奏总纲!CB109</f>
        <v>58.512079069363097</v>
      </c>
    </row>
    <row r="111" spans="3:69">
      <c r="C111" s="3">
        <v>107</v>
      </c>
      <c r="D111" s="3">
        <f>[1]节奏总纲!P110</f>
        <v>1662.4929077375689</v>
      </c>
      <c r="E111" s="3">
        <f>[1]节奏总纲!Q110</f>
        <v>1418.9376967540152</v>
      </c>
      <c r="F111" s="3">
        <f>[1]节奏总纲!R110</f>
        <v>1141.6338797433884</v>
      </c>
      <c r="G111" s="3">
        <f>[1]节奏总纲!S110</f>
        <v>816.11776840837263</v>
      </c>
      <c r="H111" s="3">
        <f>[1]节奏总纲!T110</f>
        <v>440.22812196890823</v>
      </c>
      <c r="J111" s="3">
        <v>107</v>
      </c>
      <c r="K111" s="3">
        <f t="shared" si="11"/>
        <v>111.39914363092248</v>
      </c>
      <c r="L111" s="3">
        <f t="shared" si="11"/>
        <v>94.458731583349845</v>
      </c>
      <c r="M111" s="3">
        <f t="shared" si="11"/>
        <v>76.963120060586334</v>
      </c>
      <c r="N111" s="3">
        <f t="shared" si="11"/>
        <v>51.738761456617226</v>
      </c>
      <c r="O111" s="3">
        <f t="shared" si="11"/>
        <v>27.637180716540286</v>
      </c>
      <c r="Q111" s="3">
        <v>107</v>
      </c>
      <c r="R111" s="3">
        <f>[1]节奏总纲!AD110</f>
        <v>67.540284631526106</v>
      </c>
      <c r="S111" s="3">
        <f>[1]节奏总纲!AE110</f>
        <v>69.601854707986988</v>
      </c>
      <c r="T111" s="3">
        <f>[1]节奏总纲!AF110</f>
        <v>72.506884533637162</v>
      </c>
      <c r="U111" s="3">
        <f>[1]节奏总纲!AG110</f>
        <v>76.94300335424316</v>
      </c>
      <c r="V111" s="3">
        <f>[1]节奏总纲!AH110</f>
        <v>85.696340692116266</v>
      </c>
      <c r="AN111" s="3">
        <v>107</v>
      </c>
      <c r="AO111" s="3">
        <f>[1]节奏总纲!BA110</f>
        <v>38.475927110151773</v>
      </c>
      <c r="AP111" s="3">
        <f>[1]节奏总纲!BB110</f>
        <v>39.993245911660885</v>
      </c>
      <c r="AQ111" s="3">
        <f>[1]节奏总纲!BC110</f>
        <v>41.925522364470666</v>
      </c>
      <c r="AR111" s="3">
        <f>[1]节奏总纲!BD110</f>
        <v>44.649658702582116</v>
      </c>
      <c r="AS111" s="3">
        <f>[1]节奏总纲!BE110</f>
        <v>49.340229957745592</v>
      </c>
      <c r="BL111" s="3">
        <v>107</v>
      </c>
      <c r="BM111" s="3">
        <f>[1]节奏总纲!BX110</f>
        <v>57.056278080669266</v>
      </c>
      <c r="BN111" s="3">
        <f>[1]节奏总纲!BY110</f>
        <v>57.482847825450328</v>
      </c>
      <c r="BO111" s="3">
        <f>[1]节奏总纲!BZ110</f>
        <v>57.977987660046658</v>
      </c>
      <c r="BP111" s="3">
        <f>[1]节奏总纲!CA110</f>
        <v>58.436970459928517</v>
      </c>
      <c r="BQ111" s="3">
        <f>[1]节奏总纲!CB110</f>
        <v>58.970102918190015</v>
      </c>
    </row>
    <row r="112" spans="3:69">
      <c r="C112" s="3">
        <v>108</v>
      </c>
      <c r="D112" s="3">
        <f>[1]节奏总纲!P111</f>
        <v>1781.8875536304624</v>
      </c>
      <c r="E112" s="3">
        <f>[1]节奏总纲!Q111</f>
        <v>1520.8410270235997</v>
      </c>
      <c r="F112" s="3">
        <f>[1]节奏总纲!R111</f>
        <v>1218.0983316617842</v>
      </c>
      <c r="G112" s="3">
        <f>[1]节奏总纲!S111</f>
        <v>871.69939123602228</v>
      </c>
      <c r="H112" s="3">
        <f>[1]节奏总纲!T111</f>
        <v>471.13106917989433</v>
      </c>
      <c r="J112" s="3">
        <v>108</v>
      </c>
      <c r="K112" s="3">
        <f t="shared" si="11"/>
        <v>119.39464589289355</v>
      </c>
      <c r="L112" s="3">
        <f t="shared" si="11"/>
        <v>101.90333026958456</v>
      </c>
      <c r="M112" s="3">
        <f t="shared" si="11"/>
        <v>76.464451918395753</v>
      </c>
      <c r="N112" s="3">
        <f t="shared" si="11"/>
        <v>55.581622827649653</v>
      </c>
      <c r="O112" s="3">
        <f t="shared" si="11"/>
        <v>30.902947210986099</v>
      </c>
      <c r="Q112" s="3">
        <v>108</v>
      </c>
      <c r="R112" s="3">
        <f>[1]节奏总纲!AD111</f>
        <v>67.674293990826456</v>
      </c>
      <c r="S112" s="3">
        <f>[1]节奏总纲!AE111</f>
        <v>69.735941964920613</v>
      </c>
      <c r="T112" s="3">
        <f>[1]节奏总纲!AF111</f>
        <v>72.644573376036519</v>
      </c>
      <c r="U112" s="3">
        <f>[1]节奏总纲!AG111</f>
        <v>77.074762810762508</v>
      </c>
      <c r="V112" s="3">
        <f>[1]节奏总纲!AH111</f>
        <v>85.852295454880277</v>
      </c>
      <c r="AN112" s="3">
        <v>108</v>
      </c>
      <c r="AO112" s="3">
        <f>[1]节奏总纲!BA111</f>
        <v>38.53855763638969</v>
      </c>
      <c r="AP112" s="3">
        <f>[1]节奏总纲!BB111</f>
        <v>40.052446592012309</v>
      </c>
      <c r="AQ112" s="3">
        <f>[1]节奏总纲!BC111</f>
        <v>41.992566056290244</v>
      </c>
      <c r="AR112" s="3">
        <f>[1]节奏总纲!BD111</f>
        <v>44.71429731834187</v>
      </c>
      <c r="AS112" s="3">
        <f>[1]节奏总纲!BE111</f>
        <v>49.402209294735208</v>
      </c>
      <c r="BL112" s="3">
        <v>108</v>
      </c>
      <c r="BM112" s="3">
        <f>[1]节奏总纲!BX111</f>
        <v>57.514368600997656</v>
      </c>
      <c r="BN112" s="3">
        <f>[1]节奏总纲!BY111</f>
        <v>57.971573149325678</v>
      </c>
      <c r="BO112" s="3">
        <f>[1]节奏总纲!BZ111</f>
        <v>58.403392312856369</v>
      </c>
      <c r="BP112" s="3">
        <f>[1]节奏总纲!CA111</f>
        <v>58.897540390571457</v>
      </c>
      <c r="BQ112" s="3">
        <f>[1]节奏总纲!CB111</f>
        <v>59.41663449571719</v>
      </c>
    </row>
    <row r="113" spans="3:69">
      <c r="C113" s="3">
        <v>109</v>
      </c>
      <c r="D113" s="3">
        <f>[1]节奏总纲!P112</f>
        <v>1909.8515666673818</v>
      </c>
      <c r="E113" s="3">
        <f>[1]节奏总纲!Q112</f>
        <v>1624.7107277639418</v>
      </c>
      <c r="F113" s="3">
        <f>[1]节奏总纲!R112</f>
        <v>1301.5638426838207</v>
      </c>
      <c r="G113" s="3">
        <f>[1]节奏总纲!S112</f>
        <v>931.81657937701561</v>
      </c>
      <c r="H113" s="3">
        <f>[1]节奏总纲!T112</f>
        <v>504.58278391352223</v>
      </c>
      <c r="J113" s="3">
        <v>109</v>
      </c>
      <c r="K113" s="3">
        <f t="shared" si="11"/>
        <v>127.96401303691937</v>
      </c>
      <c r="L113" s="3">
        <f t="shared" si="11"/>
        <v>103.86970074034207</v>
      </c>
      <c r="M113" s="3">
        <f t="shared" si="11"/>
        <v>83.46551102203648</v>
      </c>
      <c r="N113" s="3">
        <f t="shared" si="11"/>
        <v>60.117188140993335</v>
      </c>
      <c r="O113" s="3">
        <f t="shared" si="11"/>
        <v>33.451714733627909</v>
      </c>
      <c r="Q113" s="3">
        <v>109</v>
      </c>
      <c r="R113" s="3">
        <f>[1]节奏总纲!AD112</f>
        <v>67.80830335012682</v>
      </c>
      <c r="S113" s="3">
        <f>[1]节奏总纲!AE112</f>
        <v>69.870029221854239</v>
      </c>
      <c r="T113" s="3">
        <f>[1]节奏总纲!AF112</f>
        <v>72.782262218435889</v>
      </c>
      <c r="U113" s="3">
        <f>[1]节奏总纲!AG112</f>
        <v>77.203841369133116</v>
      </c>
      <c r="V113" s="3">
        <f>[1]节奏总纲!AH112</f>
        <v>86.007776715139968</v>
      </c>
      <c r="AN113" s="3">
        <v>109</v>
      </c>
      <c r="AO113" s="3">
        <f>[1]节奏总纲!BA112</f>
        <v>38.601188162627608</v>
      </c>
      <c r="AP113" s="3">
        <f>[1]节奏总纲!BB112</f>
        <v>40.110720583137102</v>
      </c>
      <c r="AQ113" s="3">
        <f>[1]节奏总纲!BC112</f>
        <v>42.051439554347354</v>
      </c>
      <c r="AR113" s="3">
        <f>[1]节奏总纲!BD112</f>
        <v>44.778935934101632</v>
      </c>
      <c r="AS113" s="3">
        <f>[1]节奏总纲!BE112</f>
        <v>49.464188631724817</v>
      </c>
      <c r="BL113" s="3">
        <v>109</v>
      </c>
      <c r="BM113" s="3">
        <f>[1]节奏总纲!BX112</f>
        <v>58.004611321594084</v>
      </c>
      <c r="BN113" s="3">
        <f>[1]节奏总纲!BY112</f>
        <v>58.405793781313918</v>
      </c>
      <c r="BO113" s="3">
        <f>[1]节奏总纲!BZ112</f>
        <v>58.86447642263726</v>
      </c>
      <c r="BP113" s="3">
        <f>[1]节奏总纲!CA112</f>
        <v>59.34185552053183</v>
      </c>
      <c r="BQ113" s="3">
        <f>[1]节奏总纲!CB112</f>
        <v>59.895591141330719</v>
      </c>
    </row>
    <row r="114" spans="3:69">
      <c r="C114" s="3">
        <v>110</v>
      </c>
      <c r="D114" s="3">
        <f>[1]节奏总纲!P113</f>
        <v>2047</v>
      </c>
      <c r="E114" s="3">
        <f>[1]节奏总纲!Q113</f>
        <v>1741.3829000000001</v>
      </c>
      <c r="F114" s="3">
        <f>[1]节奏总纲!R113</f>
        <v>1397.2821999999999</v>
      </c>
      <c r="G114" s="3">
        <f>[1]节奏总纲!S113</f>
        <v>1001.3924000000001</v>
      </c>
      <c r="H114" s="3">
        <f>[1]节奏总纲!T113</f>
        <v>542.04559999999992</v>
      </c>
      <c r="J114" s="3">
        <v>110</v>
      </c>
      <c r="K114" s="3">
        <f t="shared" ref="K114:K164" si="12">D114-D113</f>
        <v>137.1484333326182</v>
      </c>
      <c r="L114" s="3">
        <f t="shared" ref="L114:L164" si="13">E114-E113</f>
        <v>116.67217223605826</v>
      </c>
      <c r="M114" s="3">
        <f t="shared" ref="M114:M164" si="14">F114-F113</f>
        <v>95.718357316179208</v>
      </c>
      <c r="N114" s="3">
        <f t="shared" ref="N114:N164" si="15">G114-G113</f>
        <v>69.575820622984452</v>
      </c>
      <c r="O114" s="3">
        <f t="shared" ref="O114:O164" si="16">H114-H113</f>
        <v>37.462816086477687</v>
      </c>
      <c r="Q114" s="3">
        <v>110</v>
      </c>
      <c r="R114" s="3">
        <f>[1]节奏总纲!AD113</f>
        <v>67.942312709427185</v>
      </c>
      <c r="S114" s="3">
        <f>[1]节奏总纲!AE113</f>
        <v>70.003807055133578</v>
      </c>
      <c r="T114" s="3">
        <f>[1]节奏总纲!AF113</f>
        <v>72.919951060835245</v>
      </c>
      <c r="U114" s="3">
        <f>[1]节奏总纲!AG113</f>
        <v>77.332919927503724</v>
      </c>
      <c r="V114" s="3">
        <f>[1]节奏总纲!AH113</f>
        <v>86.154780808490045</v>
      </c>
      <c r="AN114" s="3">
        <v>110</v>
      </c>
      <c r="AO114" s="3">
        <f>[1]节奏总纲!BA113</f>
        <v>38.663818688865533</v>
      </c>
      <c r="AP114" s="3">
        <f>[1]节奏总纲!BB113</f>
        <v>40.168994574261895</v>
      </c>
      <c r="AQ114" s="3">
        <f>[1]节奏总纲!BC113</f>
        <v>42.109294145892463</v>
      </c>
      <c r="AR114" s="3">
        <f>[1]节奏总纲!BD113</f>
        <v>44.843574549861387</v>
      </c>
      <c r="AS114" s="3">
        <f>[1]节奏总纲!BE113</f>
        <v>49.526167968714425</v>
      </c>
      <c r="BL114" s="3">
        <v>110</v>
      </c>
      <c r="BM114" s="3">
        <f>[1]节奏总纲!BX113</f>
        <v>58.459196425189646</v>
      </c>
      <c r="BN114" s="3">
        <f>[1]节奏总纲!BY113</f>
        <v>58.889188215849849</v>
      </c>
      <c r="BO114" s="3">
        <f>[1]节奏总纲!BZ113</f>
        <v>59.339742830719779</v>
      </c>
      <c r="BP114" s="3">
        <f>[1]节奏总纲!CA113</f>
        <v>59.839943614471814</v>
      </c>
      <c r="BQ114" s="3">
        <f>[1]节奏总纲!CB113</f>
        <v>60.373224714907948</v>
      </c>
    </row>
    <row r="115" spans="3:69">
      <c r="C115" s="3">
        <v>111</v>
      </c>
      <c r="D115" s="3">
        <f>[1]节奏总纲!P114</f>
        <v>2193.9920512743265</v>
      </c>
      <c r="E115" s="3">
        <f>[1]节奏总纲!Q114</f>
        <v>1869.0618284805987</v>
      </c>
      <c r="F115" s="3">
        <f>[1]节奏总纲!R114</f>
        <v>1500.4711638665117</v>
      </c>
      <c r="G115" s="3">
        <f>[1]节奏总纲!S114</f>
        <v>1076.5918995603122</v>
      </c>
      <c r="H115" s="3">
        <f>[1]节奏总纲!T114</f>
        <v>583.16308722871599</v>
      </c>
      <c r="J115" s="3">
        <v>111</v>
      </c>
      <c r="K115" s="3">
        <f t="shared" si="12"/>
        <v>146.99205127432651</v>
      </c>
      <c r="L115" s="3">
        <f t="shared" si="13"/>
        <v>127.67892848059864</v>
      </c>
      <c r="M115" s="3">
        <f t="shared" si="14"/>
        <v>103.18896386651181</v>
      </c>
      <c r="N115" s="3">
        <f t="shared" si="15"/>
        <v>75.19949956031212</v>
      </c>
      <c r="O115" s="3">
        <f t="shared" si="16"/>
        <v>41.117487228716072</v>
      </c>
      <c r="Q115" s="3">
        <v>111</v>
      </c>
      <c r="R115" s="3">
        <f>[1]节奏总纲!AD114</f>
        <v>68.071211008105138</v>
      </c>
      <c r="S115" s="3">
        <f>[1]节奏总纲!AE114</f>
        <v>70.127815365673797</v>
      </c>
      <c r="T115" s="3">
        <f>[1]节奏总纲!AF114</f>
        <v>73.051543220271398</v>
      </c>
      <c r="U115" s="3">
        <f>[1]节奏总纲!AG114</f>
        <v>77.461998485874332</v>
      </c>
      <c r="V115" s="3">
        <f>[1]节奏总纲!AH114</f>
        <v>86.301784901840136</v>
      </c>
      <c r="AN115" s="3">
        <v>111</v>
      </c>
      <c r="AO115" s="3">
        <f>[1]节奏总纲!BA114</f>
        <v>38.72644921510345</v>
      </c>
      <c r="AP115" s="3">
        <f>[1]节奏总纲!BB114</f>
        <v>40.227268565386687</v>
      </c>
      <c r="AQ115" s="3">
        <f>[1]节奏总纲!BC114</f>
        <v>42.167148737437572</v>
      </c>
      <c r="AR115" s="3">
        <f>[1]节奏总纲!BD114</f>
        <v>44.908213165621142</v>
      </c>
      <c r="AS115" s="3">
        <f>[1]节奏总纲!BE114</f>
        <v>49.588147305704041</v>
      </c>
      <c r="BL115" s="3">
        <v>111</v>
      </c>
      <c r="BM115" s="3">
        <f>[1]节奏总纲!BX114</f>
        <v>58.946408675687671</v>
      </c>
      <c r="BN115" s="3">
        <f>[1]节奏总纲!BY114</f>
        <v>59.361287240722291</v>
      </c>
      <c r="BO115" s="3">
        <f>[1]节奏总纲!BZ114</f>
        <v>59.832224211633438</v>
      </c>
      <c r="BP115" s="3">
        <f>[1]节奏总纲!CA114</f>
        <v>60.326839752914957</v>
      </c>
      <c r="BQ115" s="3">
        <f>[1]节奏总纲!CB114</f>
        <v>60.881867647056097</v>
      </c>
    </row>
    <row r="116" spans="3:69">
      <c r="C116" s="3">
        <v>112</v>
      </c>
      <c r="D116" s="3">
        <f>[1]节奏总纲!P115</f>
        <v>2351.5342310339256</v>
      </c>
      <c r="E116" s="3">
        <f>[1]节奏总纲!Q115</f>
        <v>2004.6829319564217</v>
      </c>
      <c r="F116" s="3">
        <f>[1]节奏总纲!R115</f>
        <v>1609.3900277196187</v>
      </c>
      <c r="G116" s="3">
        <f>[1]节奏总纲!S115</f>
        <v>1155.3087677069677</v>
      </c>
      <c r="H116" s="3">
        <f>[1]节奏总纲!T115</f>
        <v>623.15657122399034</v>
      </c>
      <c r="J116" s="3">
        <v>112</v>
      </c>
      <c r="K116" s="3">
        <f t="shared" si="12"/>
        <v>157.54217975959909</v>
      </c>
      <c r="L116" s="3">
        <f t="shared" si="13"/>
        <v>135.62110347582302</v>
      </c>
      <c r="M116" s="3">
        <f t="shared" si="14"/>
        <v>108.91886385310704</v>
      </c>
      <c r="N116" s="3">
        <f t="shared" si="15"/>
        <v>78.716868146655543</v>
      </c>
      <c r="O116" s="3">
        <f t="shared" si="16"/>
        <v>39.993483995274346</v>
      </c>
      <c r="Q116" s="3">
        <v>112</v>
      </c>
      <c r="R116" s="3">
        <f>[1]节奏总纲!AD115</f>
        <v>68.196246161507091</v>
      </c>
      <c r="S116" s="3">
        <f>[1]节奏总纲!AE115</f>
        <v>70.251823676214016</v>
      </c>
      <c r="T116" s="3">
        <f>[1]节奏总纲!AF115</f>
        <v>73.174668450093861</v>
      </c>
      <c r="U116" s="3">
        <f>[1]节奏总纲!AG115</f>
        <v>77.591077044244926</v>
      </c>
      <c r="V116" s="3">
        <f>[1]节奏总纲!AH115</f>
        <v>86.448788995190213</v>
      </c>
      <c r="AN116" s="3">
        <v>112</v>
      </c>
      <c r="AO116" s="3">
        <f>[1]节奏总纲!BA115</f>
        <v>38.789079741341368</v>
      </c>
      <c r="AP116" s="3">
        <f>[1]节奏总纲!BB115</f>
        <v>40.28554255651148</v>
      </c>
      <c r="AQ116" s="3">
        <f>[1]节奏总纲!BC115</f>
        <v>42.225003328982673</v>
      </c>
      <c r="AR116" s="3">
        <f>[1]节奏总纲!BD115</f>
        <v>44.972851781380903</v>
      </c>
      <c r="AS116" s="3">
        <f>[1]节奏总纲!BE115</f>
        <v>49.65012664269365</v>
      </c>
      <c r="BL116" s="3">
        <v>112</v>
      </c>
      <c r="BM116" s="3">
        <f>[1]节奏总纲!BX115</f>
        <v>59.404833394530556</v>
      </c>
      <c r="BN116" s="3">
        <f>[1]节奏总纲!BY115</f>
        <v>59.846737906797472</v>
      </c>
      <c r="BO116" s="3">
        <f>[1]节奏总纲!BZ115</f>
        <v>60.304169527518312</v>
      </c>
      <c r="BP116" s="3">
        <f>[1]节奏总纲!CA115</f>
        <v>60.81372235837329</v>
      </c>
      <c r="BQ116" s="3">
        <f>[1]节奏总纲!CB115</f>
        <v>61.325402417517608</v>
      </c>
    </row>
    <row r="117" spans="3:69">
      <c r="C117" s="3">
        <v>113</v>
      </c>
      <c r="D117" s="3">
        <f>[1]节奏总纲!P116</f>
        <v>2520.3837585303886</v>
      </c>
      <c r="E117" s="3">
        <f>[1]节奏总纲!Q116</f>
        <v>2149.6353076505684</v>
      </c>
      <c r="F117" s="3">
        <f>[1]节奏总纲!R116</f>
        <v>1726.7149129691693</v>
      </c>
      <c r="G117" s="3">
        <f>[1]节奏总纲!S116</f>
        <v>1235.7441568074496</v>
      </c>
      <c r="H117" s="3">
        <f>[1]节奏总纲!T116</f>
        <v>665.63335062787564</v>
      </c>
      <c r="J117" s="3">
        <v>113</v>
      </c>
      <c r="K117" s="3">
        <f t="shared" si="12"/>
        <v>168.849527496463</v>
      </c>
      <c r="L117" s="3">
        <f t="shared" si="13"/>
        <v>144.95237569414667</v>
      </c>
      <c r="M117" s="3">
        <f t="shared" si="14"/>
        <v>117.32488524955056</v>
      </c>
      <c r="N117" s="3">
        <f t="shared" si="15"/>
        <v>80.435389100481871</v>
      </c>
      <c r="O117" s="3">
        <f t="shared" si="16"/>
        <v>42.476779403885303</v>
      </c>
      <c r="Q117" s="3">
        <v>113</v>
      </c>
      <c r="R117" s="3">
        <f>[1]节奏总纲!AD116</f>
        <v>68.321281314909029</v>
      </c>
      <c r="S117" s="3">
        <f>[1]节奏总纲!AE116</f>
        <v>70.375831986754235</v>
      </c>
      <c r="T117" s="3">
        <f>[1]节奏总纲!AF116</f>
        <v>73.297793679916325</v>
      </c>
      <c r="U117" s="3">
        <f>[1]节奏总纲!AG116</f>
        <v>77.720155602615534</v>
      </c>
      <c r="V117" s="3">
        <f>[1]节奏总纲!AH116</f>
        <v>86.595793088540304</v>
      </c>
      <c r="AN117" s="3">
        <v>113</v>
      </c>
      <c r="AO117" s="3">
        <f>[1]节奏总纲!BA116</f>
        <v>38.851710267579293</v>
      </c>
      <c r="AP117" s="3">
        <f>[1]节奏总纲!BB116</f>
        <v>40.343816547636273</v>
      </c>
      <c r="AQ117" s="3">
        <f>[1]节奏总纲!BC116</f>
        <v>42.282857920527782</v>
      </c>
      <c r="AR117" s="3">
        <f>[1]节奏总纲!BD116</f>
        <v>45.032359480672049</v>
      </c>
      <c r="AS117" s="3">
        <f>[1]节奏总纲!BE116</f>
        <v>49.712105979683258</v>
      </c>
      <c r="BL117" s="3">
        <v>113</v>
      </c>
      <c r="BM117" s="3">
        <f>[1]节奏总纲!BX116</f>
        <v>59.888345847910635</v>
      </c>
      <c r="BN117" s="3">
        <f>[1]节奏总纲!BY116</f>
        <v>60.315865619841162</v>
      </c>
      <c r="BO117" s="3">
        <f>[1]节奏总纲!BZ116</f>
        <v>60.787957794339562</v>
      </c>
      <c r="BP117" s="3">
        <f>[1]节奏总纲!CA116</f>
        <v>61.268918714801863</v>
      </c>
      <c r="BQ117" s="3">
        <f>[1]节奏总纲!CB116</f>
        <v>61.779418699074547</v>
      </c>
    </row>
    <row r="118" spans="3:69">
      <c r="C118" s="3">
        <v>114</v>
      </c>
      <c r="D118" s="3">
        <f>[1]节奏总纲!P117</f>
        <v>2701.3522012628878</v>
      </c>
      <c r="E118" s="3">
        <f>[1]节奏总纲!Q117</f>
        <v>2304.5235628973696</v>
      </c>
      <c r="F118" s="3">
        <f>[1]节奏总纲!R117</f>
        <v>1846.3742295631837</v>
      </c>
      <c r="G118" s="3">
        <f>[1]节奏总纲!S117</f>
        <v>1319.3404150967945</v>
      </c>
      <c r="H118" s="3">
        <f>[1]节奏总纲!T117</f>
        <v>710.99589937239205</v>
      </c>
      <c r="J118" s="3">
        <v>114</v>
      </c>
      <c r="K118" s="3">
        <f t="shared" si="12"/>
        <v>180.96844273249917</v>
      </c>
      <c r="L118" s="3">
        <f t="shared" si="13"/>
        <v>154.88825524680124</v>
      </c>
      <c r="M118" s="3">
        <f t="shared" si="14"/>
        <v>119.6593165940144</v>
      </c>
      <c r="N118" s="3">
        <f t="shared" si="15"/>
        <v>83.59625828934486</v>
      </c>
      <c r="O118" s="3">
        <f t="shared" si="16"/>
        <v>45.362548744516403</v>
      </c>
      <c r="Q118" s="3">
        <v>114</v>
      </c>
      <c r="R118" s="3">
        <f>[1]节奏总纲!AD117</f>
        <v>68.446316468310982</v>
      </c>
      <c r="S118" s="3">
        <f>[1]节奏总纲!AE117</f>
        <v>70.499840297294455</v>
      </c>
      <c r="T118" s="3">
        <f>[1]节奏总纲!AF117</f>
        <v>73.420918909738774</v>
      </c>
      <c r="U118" s="3">
        <f>[1]节奏总纲!AG117</f>
        <v>77.849234160986143</v>
      </c>
      <c r="V118" s="3">
        <f>[1]节奏总纲!AH117</f>
        <v>86.742797181890381</v>
      </c>
      <c r="AN118" s="3">
        <v>114</v>
      </c>
      <c r="AO118" s="3">
        <f>[1]节奏总纲!BA117</f>
        <v>38.91434079381721</v>
      </c>
      <c r="AP118" s="3">
        <f>[1]节奏总纲!BB117</f>
        <v>40.402090538761065</v>
      </c>
      <c r="AQ118" s="3">
        <f>[1]节奏总纲!BC117</f>
        <v>42.340712512072891</v>
      </c>
      <c r="AR118" s="3">
        <f>[1]节奏总纲!BD117</f>
        <v>45.088151688727308</v>
      </c>
      <c r="AS118" s="3">
        <f>[1]节奏总纲!BE117</f>
        <v>49.774085316672867</v>
      </c>
      <c r="BL118" s="3">
        <v>114</v>
      </c>
      <c r="BM118" s="3">
        <f>[1]节奏总纲!BX117</f>
        <v>60.351265141991014</v>
      </c>
      <c r="BN118" s="3">
        <f>[1]节奏总纲!BY117</f>
        <v>60.79487602158224</v>
      </c>
      <c r="BO118" s="3">
        <f>[1]节奏总纲!BZ117</f>
        <v>61.243116472404502</v>
      </c>
      <c r="BP118" s="3">
        <f>[1]节奏总纲!CA117</f>
        <v>61.715681191539097</v>
      </c>
      <c r="BQ118" s="3">
        <f>[1]节奏总纲!CB117</f>
        <v>62.228360857153817</v>
      </c>
    </row>
    <row r="119" spans="3:69">
      <c r="C119" s="3">
        <v>115</v>
      </c>
      <c r="D119" s="3">
        <f>[1]节奏总纲!P118</f>
        <v>2895.3093757400989</v>
      </c>
      <c r="E119" s="3">
        <f>[1]节奏总纲!Q118</f>
        <v>2463.0396859421021</v>
      </c>
      <c r="F119" s="3">
        <f>[1]节奏总纲!R118</f>
        <v>1969.9684992535633</v>
      </c>
      <c r="G119" s="3">
        <f>[1]节奏总纲!S118</f>
        <v>1407.1203566096881</v>
      </c>
      <c r="H119" s="3">
        <f>[1]节奏总纲!T118</f>
        <v>758.86058738147995</v>
      </c>
      <c r="J119" s="3">
        <v>115</v>
      </c>
      <c r="K119" s="3">
        <f t="shared" si="12"/>
        <v>193.95717447721108</v>
      </c>
      <c r="L119" s="3">
        <f t="shared" si="13"/>
        <v>158.51612304473247</v>
      </c>
      <c r="M119" s="3">
        <f t="shared" si="14"/>
        <v>123.59426969037963</v>
      </c>
      <c r="N119" s="3">
        <f t="shared" si="15"/>
        <v>87.779941512893629</v>
      </c>
      <c r="O119" s="3">
        <f t="shared" si="16"/>
        <v>47.864688009087899</v>
      </c>
      <c r="Q119" s="3">
        <v>115</v>
      </c>
      <c r="R119" s="3">
        <f>[1]节奏总纲!AD118</f>
        <v>68.571351621712935</v>
      </c>
      <c r="S119" s="3">
        <f>[1]节奏总纲!AE118</f>
        <v>70.623848607834674</v>
      </c>
      <c r="T119" s="3">
        <f>[1]节奏总纲!AF118</f>
        <v>73.544044139561237</v>
      </c>
      <c r="U119" s="3">
        <f>[1]节奏总纲!AG118</f>
        <v>77.978312719356751</v>
      </c>
      <c r="V119" s="3">
        <f>[1]节奏总纲!AH118</f>
        <v>86.889801275240458</v>
      </c>
      <c r="AN119" s="3">
        <v>115</v>
      </c>
      <c r="AO119" s="3">
        <f>[1]节奏总纲!BA118</f>
        <v>38.976971320055128</v>
      </c>
      <c r="AP119" s="3">
        <f>[1]节奏总纲!BB118</f>
        <v>40.460364529885858</v>
      </c>
      <c r="AQ119" s="3">
        <f>[1]节奏总纲!BC118</f>
        <v>42.398567103617999</v>
      </c>
      <c r="AR119" s="3">
        <f>[1]节奏总纲!BD118</f>
        <v>45.143943896782567</v>
      </c>
      <c r="AS119" s="3">
        <f>[1]节奏总纲!BE118</f>
        <v>49.836064653662483</v>
      </c>
      <c r="BL119" s="3">
        <v>115</v>
      </c>
      <c r="BM119" s="3">
        <f>[1]节奏总纲!BX118</f>
        <v>60.831133697131506</v>
      </c>
      <c r="BN119" s="3">
        <f>[1]节奏总纲!BY118</f>
        <v>61.24634276522368</v>
      </c>
      <c r="BO119" s="3">
        <f>[1]节奏总纲!BZ118</f>
        <v>61.683465384084933</v>
      </c>
      <c r="BP119" s="3">
        <f>[1]节奏总纲!CA118</f>
        <v>62.159685532497839</v>
      </c>
      <c r="BQ119" s="3">
        <f>[1]节奏总纲!CB118</f>
        <v>62.670432709865914</v>
      </c>
    </row>
    <row r="120" spans="3:69">
      <c r="C120" s="3">
        <v>116</v>
      </c>
      <c r="D120" s="3">
        <f>[1]节奏总纲!P119</f>
        <v>3103.1875282132928</v>
      </c>
      <c r="E120" s="3">
        <f>[1]节奏总纲!Q119</f>
        <v>2636.7784427228348</v>
      </c>
      <c r="F120" s="3">
        <f>[1]节奏总纲!R119</f>
        <v>2108.9262441737537</v>
      </c>
      <c r="G120" s="3">
        <f>[1]节奏总纲!S119</f>
        <v>1509.0800949701243</v>
      </c>
      <c r="H120" s="3">
        <f>[1]节奏总纲!T119</f>
        <v>813.34545114470404</v>
      </c>
      <c r="J120" s="3">
        <v>116</v>
      </c>
      <c r="K120" s="3">
        <f t="shared" si="12"/>
        <v>207.87815247319395</v>
      </c>
      <c r="L120" s="3">
        <f t="shared" si="13"/>
        <v>173.73875678073273</v>
      </c>
      <c r="M120" s="3">
        <f t="shared" si="14"/>
        <v>138.95774492019041</v>
      </c>
      <c r="N120" s="3">
        <f t="shared" si="15"/>
        <v>101.95973836043618</v>
      </c>
      <c r="O120" s="3">
        <f t="shared" si="16"/>
        <v>54.484863763224098</v>
      </c>
      <c r="Q120" s="3">
        <v>116</v>
      </c>
      <c r="R120" s="3">
        <f>[1]节奏总纲!AD119</f>
        <v>68.696386775114874</v>
      </c>
      <c r="S120" s="3">
        <f>[1]节奏总纲!AE119</f>
        <v>70.747856918374893</v>
      </c>
      <c r="T120" s="3">
        <f>[1]节奏总纲!AF119</f>
        <v>73.667169369383686</v>
      </c>
      <c r="U120" s="3">
        <f>[1]节奏总纲!AG119</f>
        <v>78.10469841238104</v>
      </c>
      <c r="V120" s="3">
        <f>[1]节奏总纲!AH119</f>
        <v>87.033659382136349</v>
      </c>
      <c r="AN120" s="3">
        <v>116</v>
      </c>
      <c r="AO120" s="3">
        <f>[1]节奏总纲!BA119</f>
        <v>39.034165367506482</v>
      </c>
      <c r="AP120" s="3">
        <f>[1]节奏总纲!BB119</f>
        <v>40.518638521010644</v>
      </c>
      <c r="AQ120" s="3">
        <f>[1]节奏总纲!BC119</f>
        <v>42.456421695163108</v>
      </c>
      <c r="AR120" s="3">
        <f>[1]节奏总纲!BD119</f>
        <v>45.199736104837825</v>
      </c>
      <c r="AS120" s="3">
        <f>[1]节奏总纲!BE119</f>
        <v>49.898043990652091</v>
      </c>
      <c r="BL120" s="3">
        <v>116</v>
      </c>
      <c r="BM120" s="3">
        <f>[1]节奏总纲!BX119</f>
        <v>61.298477193800437</v>
      </c>
      <c r="BN120" s="3">
        <f>[1]节奏总纲!BY119</f>
        <v>61.71059773831081</v>
      </c>
      <c r="BO120" s="3">
        <f>[1]节奏总纲!BZ119</f>
        <v>62.154284734329579</v>
      </c>
      <c r="BP120" s="3">
        <f>[1]节奏总纲!CA119</f>
        <v>62.630528781601228</v>
      </c>
      <c r="BQ120" s="3">
        <f>[1]节奏总纲!CB119</f>
        <v>63.150055056035825</v>
      </c>
    </row>
    <row r="121" spans="3:69">
      <c r="C121" s="3">
        <v>117</v>
      </c>
      <c r="D121" s="3">
        <f>[1]节奏总纲!P120</f>
        <v>3325.985815475135</v>
      </c>
      <c r="E121" s="3">
        <f>[1]节奏总纲!Q120</f>
        <v>2826.7553445723174</v>
      </c>
      <c r="F121" s="3">
        <f>[1]节奏总纲!R120</f>
        <v>2262.6681502677343</v>
      </c>
      <c r="G121" s="3">
        <f>[1]节奏总纲!S120</f>
        <v>1618.0920992286531</v>
      </c>
      <c r="H121" s="3">
        <f>[1]节奏总纲!T120</f>
        <v>873.07127656222303</v>
      </c>
      <c r="J121" s="3">
        <v>117</v>
      </c>
      <c r="K121" s="3">
        <f t="shared" si="12"/>
        <v>222.79828726184223</v>
      </c>
      <c r="L121" s="3">
        <f t="shared" si="13"/>
        <v>189.9769018494826</v>
      </c>
      <c r="M121" s="3">
        <f t="shared" si="14"/>
        <v>153.74190609398056</v>
      </c>
      <c r="N121" s="3">
        <f t="shared" si="15"/>
        <v>109.0120042585288</v>
      </c>
      <c r="O121" s="3">
        <f t="shared" si="16"/>
        <v>59.72582541751899</v>
      </c>
      <c r="Q121" s="3">
        <v>117</v>
      </c>
      <c r="R121" s="3">
        <f>[1]节奏总纲!AD120</f>
        <v>68.821421928516827</v>
      </c>
      <c r="S121" s="3">
        <f>[1]节奏总纲!AE120</f>
        <v>70.871865228915112</v>
      </c>
      <c r="T121" s="3">
        <f>[1]节奏总纲!AF120</f>
        <v>73.790294599206149</v>
      </c>
      <c r="U121" s="3">
        <f>[1]节奏总纲!AG120</f>
        <v>78.230540290975199</v>
      </c>
      <c r="V121" s="3">
        <f>[1]节奏总纲!AH120</f>
        <v>87.168098110592624</v>
      </c>
      <c r="AN121" s="3">
        <v>117</v>
      </c>
      <c r="AO121" s="3">
        <f>[1]节奏总纲!BA120</f>
        <v>39.088198074219406</v>
      </c>
      <c r="AP121" s="3">
        <f>[1]节奏总纲!BB120</f>
        <v>40.576912512135436</v>
      </c>
      <c r="AQ121" s="3">
        <f>[1]节奏总纲!BC120</f>
        <v>42.51427628670821</v>
      </c>
      <c r="AR121" s="3">
        <f>[1]节奏总纲!BD120</f>
        <v>45.255528312893091</v>
      </c>
      <c r="AS121" s="3">
        <f>[1]节奏总纲!BE120</f>
        <v>49.9600233276417</v>
      </c>
      <c r="BL121" s="3">
        <v>117</v>
      </c>
      <c r="BM121" s="3">
        <f>[1]节奏总纲!BX120</f>
        <v>61.774756475513705</v>
      </c>
      <c r="BN121" s="3">
        <f>[1]节奏总纲!BY120</f>
        <v>62.188581397582936</v>
      </c>
      <c r="BO121" s="3">
        <f>[1]节奏总纲!BZ120</f>
        <v>62.627597957455222</v>
      </c>
      <c r="BP121" s="3">
        <f>[1]节奏总纲!CA120</f>
        <v>63.115741365011118</v>
      </c>
      <c r="BQ121" s="3">
        <f>[1]节奏总纲!CB120</f>
        <v>63.626729194306485</v>
      </c>
    </row>
    <row r="122" spans="3:69">
      <c r="C122" s="3">
        <v>118</v>
      </c>
      <c r="D122" s="3">
        <f>[1]节奏总纲!P121</f>
        <v>3564.7751072609281</v>
      </c>
      <c r="E122" s="3">
        <f>[1]节奏总纲!Q121</f>
        <v>3030.4153186825147</v>
      </c>
      <c r="F122" s="3">
        <f>[1]节奏总纲!R121</f>
        <v>2426.1859380017877</v>
      </c>
      <c r="G122" s="3">
        <f>[1]节奏总纲!S121</f>
        <v>1737.4713872789764</v>
      </c>
      <c r="H122" s="3">
        <f>[1]节奏总纲!T121</f>
        <v>936.10994316671975</v>
      </c>
      <c r="J122" s="3">
        <v>118</v>
      </c>
      <c r="K122" s="3">
        <f t="shared" si="12"/>
        <v>238.78929178579301</v>
      </c>
      <c r="L122" s="3">
        <f t="shared" si="13"/>
        <v>203.65997411019725</v>
      </c>
      <c r="M122" s="3">
        <f t="shared" si="14"/>
        <v>163.5177877340534</v>
      </c>
      <c r="N122" s="3">
        <f t="shared" si="15"/>
        <v>119.37928805032334</v>
      </c>
      <c r="O122" s="3">
        <f t="shared" si="16"/>
        <v>63.038666604496711</v>
      </c>
      <c r="Q122" s="3">
        <v>118</v>
      </c>
      <c r="R122" s="3">
        <f>[1]节奏总纲!AD121</f>
        <v>68.946457081918766</v>
      </c>
      <c r="S122" s="3">
        <f>[1]节奏总纲!AE121</f>
        <v>70.995873539455332</v>
      </c>
      <c r="T122" s="3">
        <f>[1]节奏总纲!AF121</f>
        <v>73.913419829028598</v>
      </c>
      <c r="U122" s="3">
        <f>[1]节奏总纲!AG121</f>
        <v>78.356382169569343</v>
      </c>
      <c r="V122" s="3">
        <f>[1]节奏总纲!AH121</f>
        <v>87.302536839048898</v>
      </c>
      <c r="AN122" s="3">
        <v>118</v>
      </c>
      <c r="AO122" s="3">
        <f>[1]节奏总纲!BA121</f>
        <v>39.14223078093233</v>
      </c>
      <c r="AP122" s="3">
        <f>[1]节奏总纲!BB121</f>
        <v>40.635186503260229</v>
      </c>
      <c r="AQ122" s="3">
        <f>[1]节奏总纲!BC121</f>
        <v>42.572130878253319</v>
      </c>
      <c r="AR122" s="3">
        <f>[1]节奏总纲!BD121</f>
        <v>45.31132052094835</v>
      </c>
      <c r="AS122" s="3">
        <f>[1]节奏总纲!BE121</f>
        <v>50.018998195299922</v>
      </c>
      <c r="BL122" s="3">
        <v>118</v>
      </c>
      <c r="BM122" s="3">
        <f>[1]节奏总纲!BX121</f>
        <v>62.246455046493132</v>
      </c>
      <c r="BN122" s="3">
        <f>[1]节奏总纲!BY121</f>
        <v>62.6588254638406</v>
      </c>
      <c r="BO122" s="3">
        <f>[1]节奏总纲!BZ121</f>
        <v>63.11320815441082</v>
      </c>
      <c r="BP122" s="3">
        <f>[1]节奏总纲!CA121</f>
        <v>63.592126738180539</v>
      </c>
      <c r="BQ122" s="3">
        <f>[1]节奏总纲!CB121</f>
        <v>64.112208257096498</v>
      </c>
    </row>
    <row r="123" spans="3:69">
      <c r="C123" s="3">
        <v>119</v>
      </c>
      <c r="D123" s="3">
        <f>[1]节奏总纲!P122</f>
        <v>3820.7031333347636</v>
      </c>
      <c r="E123" s="3">
        <f>[1]节奏总纲!Q122</f>
        <v>3250.2721555278836</v>
      </c>
      <c r="F123" s="3">
        <f>[1]节奏总纲!R122</f>
        <v>2604.5733259943081</v>
      </c>
      <c r="G123" s="3">
        <f>[1]节奏总纲!S122</f>
        <v>1863.3569181273642</v>
      </c>
      <c r="H123" s="3">
        <f>[1]节奏总纲!T122</f>
        <v>1000.260080307041</v>
      </c>
      <c r="J123" s="3">
        <v>119</v>
      </c>
      <c r="K123" s="3">
        <f t="shared" si="12"/>
        <v>255.92802607383555</v>
      </c>
      <c r="L123" s="3">
        <f t="shared" si="13"/>
        <v>219.85683684536889</v>
      </c>
      <c r="M123" s="3">
        <f t="shared" si="14"/>
        <v>178.38738799252042</v>
      </c>
      <c r="N123" s="3">
        <f t="shared" si="15"/>
        <v>125.88553084838782</v>
      </c>
      <c r="O123" s="3">
        <f t="shared" si="16"/>
        <v>64.150137140321249</v>
      </c>
      <c r="Q123" s="3">
        <v>119</v>
      </c>
      <c r="R123" s="3">
        <f>[1]节奏总纲!AD122</f>
        <v>69.066704614192943</v>
      </c>
      <c r="S123" s="3">
        <f>[1]节奏总纲!AE122</f>
        <v>71.113087458015798</v>
      </c>
      <c r="T123" s="3">
        <f>[1]节奏总纲!AF122</f>
        <v>74.034200876118248</v>
      </c>
      <c r="U123" s="3">
        <f>[1]节奏总纲!AG122</f>
        <v>78.482224048163502</v>
      </c>
      <c r="V123" s="3">
        <f>[1]节奏总纲!AH122</f>
        <v>87.436975567505186</v>
      </c>
      <c r="AN123" s="3">
        <v>119</v>
      </c>
      <c r="AO123" s="3">
        <f>[1]节奏总纲!BA122</f>
        <v>39.196263487645254</v>
      </c>
      <c r="AP123" s="3">
        <f>[1]节奏总纲!BB122</f>
        <v>40.693460494385022</v>
      </c>
      <c r="AQ123" s="3">
        <f>[1]节奏总纲!BC122</f>
        <v>42.629985469798427</v>
      </c>
      <c r="AR123" s="3">
        <f>[1]节奏总纲!BD122</f>
        <v>45.367112729003608</v>
      </c>
      <c r="AS123" s="3">
        <f>[1]节奏总纲!BE122</f>
        <v>50.072514238398277</v>
      </c>
      <c r="BL123" s="3">
        <v>119</v>
      </c>
      <c r="BM123" s="3">
        <f>[1]节奏总纲!BX122</f>
        <v>62.719198446077925</v>
      </c>
      <c r="BN123" s="3">
        <f>[1]节奏总纲!BY122</f>
        <v>63.143850498495951</v>
      </c>
      <c r="BO123" s="3">
        <f>[1]节奏总纲!BZ122</f>
        <v>63.587780384292174</v>
      </c>
      <c r="BP123" s="3">
        <f>[1]节奏总纲!CA122</f>
        <v>64.081643983802394</v>
      </c>
      <c r="BQ123" s="3">
        <f>[1]节奏总纲!CB122</f>
        <v>64.554656492906943</v>
      </c>
    </row>
    <row r="124" spans="3:69">
      <c r="C124" s="3">
        <v>120</v>
      </c>
      <c r="D124" s="3">
        <f>[1]节奏总纲!P123</f>
        <v>4095</v>
      </c>
      <c r="E124" s="3">
        <f>[1]节奏总纲!Q123</f>
        <v>3486.0735</v>
      </c>
      <c r="F124" s="3">
        <f>[1]节奏总纲!R123</f>
        <v>2791.971</v>
      </c>
      <c r="G124" s="3">
        <f>[1]节奏总纲!S123</f>
        <v>1988.5319999999999</v>
      </c>
      <c r="H124" s="3">
        <f>[1]节奏总纲!T123</f>
        <v>1067.9759999999999</v>
      </c>
      <c r="J124" s="3">
        <v>120</v>
      </c>
      <c r="K124" s="3">
        <f t="shared" si="12"/>
        <v>274.29686666523639</v>
      </c>
      <c r="L124" s="3">
        <f t="shared" si="13"/>
        <v>235.8013444721164</v>
      </c>
      <c r="M124" s="3">
        <f t="shared" si="14"/>
        <v>187.3976740056919</v>
      </c>
      <c r="N124" s="3">
        <f t="shared" si="15"/>
        <v>125.1750818726357</v>
      </c>
      <c r="O124" s="3">
        <f t="shared" si="16"/>
        <v>67.715919692958892</v>
      </c>
      <c r="Q124" s="3">
        <v>120</v>
      </c>
      <c r="R124" s="3">
        <f>[1]节奏总纲!AD123</f>
        <v>69.18336653741882</v>
      </c>
      <c r="S124" s="3">
        <f>[1]节奏总纲!AE123</f>
        <v>71.230067506391322</v>
      </c>
      <c r="T124" s="3">
        <f>[1]节奏总纲!AF123</f>
        <v>74.149428238300118</v>
      </c>
      <c r="U124" s="3">
        <f>[1]节奏总纲!AG123</f>
        <v>78.608065926757661</v>
      </c>
      <c r="V124" s="3">
        <f>[1]节奏总纲!AH123</f>
        <v>87.571414295961461</v>
      </c>
      <c r="AN124" s="3">
        <v>120</v>
      </c>
      <c r="AO124" s="3">
        <f>[1]节奏总纲!BA123</f>
        <v>39.250296194358178</v>
      </c>
      <c r="AP124" s="3">
        <f>[1]节奏总纲!BB123</f>
        <v>40.751734485509814</v>
      </c>
      <c r="AQ124" s="3">
        <f>[1]节奏总纲!BC123</f>
        <v>42.687840061343536</v>
      </c>
      <c r="AR124" s="3">
        <f>[1]节奏总纲!BD123</f>
        <v>45.422904937058867</v>
      </c>
      <c r="AS124" s="3">
        <f>[1]节奏总纲!BE123</f>
        <v>50.126030281496639</v>
      </c>
      <c r="BL124" s="3">
        <v>120</v>
      </c>
      <c r="BM124" s="3">
        <f>[1]节奏总纲!BX123</f>
        <v>63.195184230627639</v>
      </c>
      <c r="BN124" s="3">
        <f>[1]节奏总纲!BY123</f>
        <v>63.614335426471264</v>
      </c>
      <c r="BO124" s="3">
        <f>[1]节奏总纲!BZ123</f>
        <v>64.074598905166155</v>
      </c>
      <c r="BP124" s="3">
        <f>[1]节奏总纲!CA123</f>
        <v>64.513314878136029</v>
      </c>
      <c r="BQ124" s="3">
        <f>[1]节奏总纲!CB123</f>
        <v>65.018752205023816</v>
      </c>
    </row>
    <row r="125" spans="3:69">
      <c r="C125" s="3">
        <v>121</v>
      </c>
      <c r="D125" s="3">
        <f>[1]节奏总纲!P124</f>
        <v>4388.9841025486576</v>
      </c>
      <c r="E125" s="3">
        <f>[1]节奏总纲!Q124</f>
        <v>3731.5142839868686</v>
      </c>
      <c r="F125" s="3">
        <f>[1]节奏总纲!R124</f>
        <v>2978.8035103997736</v>
      </c>
      <c r="G125" s="3">
        <f>[1]节奏总纲!S124</f>
        <v>2122.0738135822758</v>
      </c>
      <c r="H125" s="3">
        <f>[1]节奏总纲!T124</f>
        <v>1143.3303587139253</v>
      </c>
      <c r="J125" s="3">
        <v>121</v>
      </c>
      <c r="K125" s="3">
        <f t="shared" si="12"/>
        <v>293.98410254865757</v>
      </c>
      <c r="L125" s="3">
        <f t="shared" si="13"/>
        <v>245.44078398686861</v>
      </c>
      <c r="M125" s="3">
        <f t="shared" si="14"/>
        <v>186.83251039977358</v>
      </c>
      <c r="N125" s="3">
        <f t="shared" si="15"/>
        <v>133.54181358227584</v>
      </c>
      <c r="O125" s="3">
        <f t="shared" si="16"/>
        <v>75.354358713925421</v>
      </c>
      <c r="Q125" s="3">
        <v>121</v>
      </c>
      <c r="R125" s="3">
        <f>[1]节奏总纲!AD124</f>
        <v>69.300028460644711</v>
      </c>
      <c r="S125" s="3">
        <f>[1]节奏总纲!AE124</f>
        <v>71.347047554766846</v>
      </c>
      <c r="T125" s="3">
        <f>[1]节奏总纲!AF124</f>
        <v>74.264655600481987</v>
      </c>
      <c r="U125" s="3">
        <f>[1]节奏总纲!AG124</f>
        <v>78.733907805351805</v>
      </c>
      <c r="V125" s="3">
        <f>[1]节奏总纲!AH124</f>
        <v>87.705853024417735</v>
      </c>
      <c r="AN125" s="3">
        <v>121</v>
      </c>
      <c r="AO125" s="3">
        <f>[1]节奏总纲!BA124</f>
        <v>39.304328901071102</v>
      </c>
      <c r="AP125" s="3">
        <f>[1]节奏总纲!BB124</f>
        <v>40.810008476634607</v>
      </c>
      <c r="AQ125" s="3">
        <f>[1]节奏总纲!BC124</f>
        <v>42.745694652888645</v>
      </c>
      <c r="AR125" s="3">
        <f>[1]节奏总纲!BD124</f>
        <v>45.478697145114126</v>
      </c>
      <c r="AS125" s="3">
        <f>[1]节奏总纲!BE124</f>
        <v>50.179546324595002</v>
      </c>
      <c r="BL125" s="3">
        <v>121</v>
      </c>
      <c r="BM125" s="3">
        <f>[1]节奏总纲!BX124</f>
        <v>63.664443944555515</v>
      </c>
      <c r="BN125" s="3">
        <f>[1]节奏总纲!BY124</f>
        <v>64.08992124447893</v>
      </c>
      <c r="BO125" s="3">
        <f>[1]节奏总纲!BZ124</f>
        <v>64.504131448162894</v>
      </c>
      <c r="BP125" s="3">
        <f>[1]节奏总纲!CA124</f>
        <v>64.973838755872734</v>
      </c>
      <c r="BQ125" s="3">
        <f>[1]节奏总纲!CB124</f>
        <v>65.467913166257659</v>
      </c>
    </row>
    <row r="126" spans="3:69">
      <c r="C126" s="3">
        <v>122</v>
      </c>
      <c r="D126" s="3">
        <f>[1]节奏总纲!P125</f>
        <v>4704.0684620678521</v>
      </c>
      <c r="E126" s="3">
        <f>[1]节奏总纲!Q125</f>
        <v>3989.5204626797454</v>
      </c>
      <c r="F126" s="3">
        <f>[1]节奏总纲!R125</f>
        <v>3183.7135351275219</v>
      </c>
      <c r="G126" s="3">
        <f>[1]节奏总纲!S125</f>
        <v>2271.1242534863591</v>
      </c>
      <c r="H126" s="3">
        <f>[1]节奏总纲!T125</f>
        <v>1223.9986138300551</v>
      </c>
      <c r="J126" s="3">
        <v>122</v>
      </c>
      <c r="K126" s="3">
        <f t="shared" si="12"/>
        <v>315.08435951919455</v>
      </c>
      <c r="L126" s="3">
        <f t="shared" si="13"/>
        <v>258.0061786928768</v>
      </c>
      <c r="M126" s="3">
        <f t="shared" si="14"/>
        <v>204.91002472774835</v>
      </c>
      <c r="N126" s="3">
        <f t="shared" si="15"/>
        <v>149.05043990408331</v>
      </c>
      <c r="O126" s="3">
        <f t="shared" si="16"/>
        <v>80.668255116129785</v>
      </c>
      <c r="Q126" s="3">
        <v>122</v>
      </c>
      <c r="R126" s="3">
        <f>[1]节奏总纲!AD125</f>
        <v>69.416690383870588</v>
      </c>
      <c r="S126" s="3">
        <f>[1]节奏总纲!AE125</f>
        <v>71.46402760314237</v>
      </c>
      <c r="T126" s="3">
        <f>[1]节奏总纲!AF125</f>
        <v>74.379882962663856</v>
      </c>
      <c r="U126" s="3">
        <f>[1]节奏总纲!AG125</f>
        <v>78.859749683945964</v>
      </c>
      <c r="V126" s="3">
        <f>[1]节奏总纲!AH125</f>
        <v>87.840291752874009</v>
      </c>
      <c r="AN126" s="3">
        <v>122</v>
      </c>
      <c r="AO126" s="3">
        <f>[1]节奏总纲!BA125</f>
        <v>39.358361607784026</v>
      </c>
      <c r="AP126" s="3">
        <f>[1]节奏总纲!BB125</f>
        <v>40.8682824677594</v>
      </c>
      <c r="AQ126" s="3">
        <f>[1]节奏总纲!BC125</f>
        <v>42.803549244433754</v>
      </c>
      <c r="AR126" s="3">
        <f>[1]节奏总纲!BD125</f>
        <v>45.534489353169384</v>
      </c>
      <c r="AS126" s="3">
        <f>[1]节奏总纲!BE125</f>
        <v>50.233062367693357</v>
      </c>
      <c r="BL126" s="3">
        <v>122</v>
      </c>
      <c r="BM126" s="3">
        <f>[1]节奏总纲!BX125</f>
        <v>64.144650363204718</v>
      </c>
      <c r="BN126" s="3">
        <f>[1]节奏总纲!BY125</f>
        <v>64.534793164008732</v>
      </c>
      <c r="BO126" s="3">
        <f>[1]节奏总纲!BZ125</f>
        <v>64.975224641839446</v>
      </c>
      <c r="BP126" s="3">
        <f>[1]节奏总纲!CA125</f>
        <v>65.421609454055499</v>
      </c>
      <c r="BQ126" s="3">
        <f>[1]节奏总纲!CB125</f>
        <v>65.948748404290441</v>
      </c>
    </row>
    <row r="127" spans="3:69">
      <c r="C127" s="3">
        <v>123</v>
      </c>
      <c r="D127" s="3">
        <f>[1]节奏总纲!P126</f>
        <v>5041.7675170607781</v>
      </c>
      <c r="E127" s="3">
        <f>[1]节奏总纲!Q126</f>
        <v>4275.9230312192458</v>
      </c>
      <c r="F127" s="3">
        <f>[1]节奏总纲!R126</f>
        <v>3419.8309068223257</v>
      </c>
      <c r="G127" s="3">
        <f>[1]节奏总纲!S126</f>
        <v>2442.7363620159467</v>
      </c>
      <c r="H127" s="3">
        <f>[1]节奏总纲!T126</f>
        <v>1316.4054987045693</v>
      </c>
      <c r="J127" s="3">
        <v>123</v>
      </c>
      <c r="K127" s="3">
        <f t="shared" si="12"/>
        <v>337.69905499292599</v>
      </c>
      <c r="L127" s="3">
        <f t="shared" si="13"/>
        <v>286.40256853950041</v>
      </c>
      <c r="M127" s="3">
        <f t="shared" si="14"/>
        <v>236.11737169480375</v>
      </c>
      <c r="N127" s="3">
        <f t="shared" si="15"/>
        <v>171.61210852958766</v>
      </c>
      <c r="O127" s="3">
        <f t="shared" si="16"/>
        <v>92.406884874514162</v>
      </c>
      <c r="Q127" s="3">
        <v>123</v>
      </c>
      <c r="R127" s="3">
        <f>[1]节奏总纲!AD126</f>
        <v>69.533352307096465</v>
      </c>
      <c r="S127" s="3">
        <f>[1]节奏总纲!AE126</f>
        <v>71.581007651517908</v>
      </c>
      <c r="T127" s="3">
        <f>[1]节奏总纲!AF126</f>
        <v>74.495110324845726</v>
      </c>
      <c r="U127" s="3">
        <f>[1]节奏总纲!AG126</f>
        <v>78.985591562540122</v>
      </c>
      <c r="V127" s="3">
        <f>[1]节奏总纲!AH126</f>
        <v>87.974730481330297</v>
      </c>
      <c r="AN127" s="3">
        <v>123</v>
      </c>
      <c r="AO127" s="3">
        <f>[1]节奏总纲!BA126</f>
        <v>39.41239431449695</v>
      </c>
      <c r="AP127" s="3">
        <f>[1]节奏总纲!BB126</f>
        <v>40.926556458884193</v>
      </c>
      <c r="AQ127" s="3">
        <f>[1]节奏总纲!BC126</f>
        <v>42.861403835978855</v>
      </c>
      <c r="AR127" s="3">
        <f>[1]节奏总纲!BD126</f>
        <v>45.590281561224643</v>
      </c>
      <c r="AS127" s="3">
        <f>[1]节奏总纲!BE126</f>
        <v>50.286578410791719</v>
      </c>
      <c r="BL127" s="3">
        <v>123</v>
      </c>
      <c r="BM127" s="3">
        <f>[1]节奏总纲!BX126</f>
        <v>64.610477430073331</v>
      </c>
      <c r="BN127" s="3">
        <f>[1]节奏总纲!BY126</f>
        <v>65.024741214672602</v>
      </c>
      <c r="BO127" s="3">
        <f>[1]节奏总纲!BZ126</f>
        <v>65.447726095039712</v>
      </c>
      <c r="BP127" s="3">
        <f>[1]节奏总纲!CA126</f>
        <v>65.933069314785968</v>
      </c>
      <c r="BQ127" s="3">
        <f>[1]节奏总纲!CB126</f>
        <v>66.431751354934946</v>
      </c>
    </row>
    <row r="128" spans="3:69">
      <c r="C128" s="3">
        <v>124</v>
      </c>
      <c r="D128" s="3">
        <f>[1]节奏总纲!P127</f>
        <v>5403.704402525771</v>
      </c>
      <c r="E128" s="3">
        <f>[1]节奏总纲!Q127</f>
        <v>4591.5276308261473</v>
      </c>
      <c r="F128" s="3">
        <f>[1]节奏总纲!R127</f>
        <v>3671.276771076009</v>
      </c>
      <c r="G128" s="3">
        <f>[1]节奏总纲!S127</f>
        <v>2624.0388578665143</v>
      </c>
      <c r="H128" s="3">
        <f>[1]节奏总纲!T127</f>
        <v>1415.7705534617521</v>
      </c>
      <c r="J128" s="3">
        <v>124</v>
      </c>
      <c r="K128" s="3">
        <f t="shared" si="12"/>
        <v>361.93688546499288</v>
      </c>
      <c r="L128" s="3">
        <f t="shared" si="13"/>
        <v>315.6045996069015</v>
      </c>
      <c r="M128" s="3">
        <f t="shared" si="14"/>
        <v>251.44586425368334</v>
      </c>
      <c r="N128" s="3">
        <f t="shared" si="15"/>
        <v>181.30249585056754</v>
      </c>
      <c r="O128" s="3">
        <f t="shared" si="16"/>
        <v>99.365054757182861</v>
      </c>
      <c r="Q128" s="3">
        <v>124</v>
      </c>
      <c r="R128" s="3">
        <f>[1]节奏总纲!AD127</f>
        <v>69.650014230322356</v>
      </c>
      <c r="S128" s="3">
        <f>[1]节奏总纲!AE127</f>
        <v>71.697987699893432</v>
      </c>
      <c r="T128" s="3">
        <f>[1]节奏总纲!AF127</f>
        <v>74.610337687027609</v>
      </c>
      <c r="U128" s="3">
        <f>[1]节奏总纲!AG127</f>
        <v>79.104601412347151</v>
      </c>
      <c r="V128" s="3">
        <f>[1]节奏总纲!AH127</f>
        <v>88.109271506528316</v>
      </c>
      <c r="AN128" s="3">
        <v>124</v>
      </c>
      <c r="AO128" s="3">
        <f>[1]节奏总纲!BA127</f>
        <v>39.466427021209874</v>
      </c>
      <c r="AP128" s="3">
        <f>[1]节奏总纲!BB127</f>
        <v>40.984830450008978</v>
      </c>
      <c r="AQ128" s="3">
        <f>[1]节奏总纲!BC127</f>
        <v>42.919258427523964</v>
      </c>
      <c r="AR128" s="3">
        <f>[1]节奏总纲!BD127</f>
        <v>45.646073769279901</v>
      </c>
      <c r="AS128" s="3">
        <f>[1]节奏总纲!BE127</f>
        <v>50.340094453890082</v>
      </c>
      <c r="BL128" s="3">
        <v>124</v>
      </c>
      <c r="BM128" s="3">
        <f>[1]节奏总纲!BX127</f>
        <v>65.094839190509248</v>
      </c>
      <c r="BN128" s="3">
        <f>[1]节奏总纲!BY127</f>
        <v>65.495043356939604</v>
      </c>
      <c r="BO128" s="3">
        <f>[1]节奏总纲!BZ127</f>
        <v>65.947319695259623</v>
      </c>
      <c r="BP128" s="3">
        <f>[1]节奏总纲!CA127</f>
        <v>66.409155912065103</v>
      </c>
      <c r="BQ128" s="3">
        <f>[1]节奏总纲!CB127</f>
        <v>66.943644127984214</v>
      </c>
    </row>
    <row r="129" spans="3:69">
      <c r="C129" s="3">
        <v>125</v>
      </c>
      <c r="D129" s="3">
        <f>[1]节奏总纲!P128</f>
        <v>5791.6187514801986</v>
      </c>
      <c r="E129" s="3">
        <f>[1]节奏总纲!Q128</f>
        <v>4918.821805632133</v>
      </c>
      <c r="F129" s="3">
        <f>[1]节奏总纲!R128</f>
        <v>3940.0382366319791</v>
      </c>
      <c r="G129" s="3">
        <f>[1]节奏总纲!S128</f>
        <v>2816.4641988448207</v>
      </c>
      <c r="H129" s="3">
        <f>[1]节奏总纲!T128</f>
        <v>1509.8750085108877</v>
      </c>
      <c r="J129" s="3">
        <v>125</v>
      </c>
      <c r="K129" s="3">
        <f t="shared" si="12"/>
        <v>387.91434895442762</v>
      </c>
      <c r="L129" s="3">
        <f t="shared" si="13"/>
        <v>327.29417480598568</v>
      </c>
      <c r="M129" s="3">
        <f t="shared" si="14"/>
        <v>268.76146555597006</v>
      </c>
      <c r="N129" s="3">
        <f t="shared" si="15"/>
        <v>192.42534097830639</v>
      </c>
      <c r="O129" s="3">
        <f t="shared" si="16"/>
        <v>94.104455049135595</v>
      </c>
      <c r="Q129" s="3">
        <v>125</v>
      </c>
      <c r="R129" s="3">
        <f>[1]节奏总纲!AD128</f>
        <v>69.766676153548232</v>
      </c>
      <c r="S129" s="3">
        <f>[1]节奏总纲!AE128</f>
        <v>71.814967748268955</v>
      </c>
      <c r="T129" s="3">
        <f>[1]节奏总纲!AF128</f>
        <v>74.725565049209479</v>
      </c>
      <c r="U129" s="3">
        <f>[1]节奏总纲!AG128</f>
        <v>79.222727875098187</v>
      </c>
      <c r="V129" s="3">
        <f>[1]节奏总纲!AH128</f>
        <v>88.243836210467165</v>
      </c>
      <c r="AN129" s="3">
        <v>125</v>
      </c>
      <c r="AO129" s="3">
        <f>[1]节奏总纲!BA128</f>
        <v>39.520459727922798</v>
      </c>
      <c r="AP129" s="3">
        <f>[1]节奏总纲!BB128</f>
        <v>41.037193447861313</v>
      </c>
      <c r="AQ129" s="3">
        <f>[1]节奏总纲!BC128</f>
        <v>42.977113019069073</v>
      </c>
      <c r="AR129" s="3">
        <f>[1]节奏总纲!BD128</f>
        <v>45.701865977335167</v>
      </c>
      <c r="AS129" s="3">
        <f>[1]节奏总纲!BE128</f>
        <v>50.393610496988437</v>
      </c>
      <c r="BL129" s="3">
        <v>125</v>
      </c>
      <c r="BM129" s="3">
        <f>[1]节奏总纲!BX128</f>
        <v>65.557283526381681</v>
      </c>
      <c r="BN129" s="3">
        <f>[1]节奏总纲!BY128</f>
        <v>65.98276486592421</v>
      </c>
      <c r="BO129" s="3">
        <f>[1]节奏总纲!BZ128</f>
        <v>66.4159903320772</v>
      </c>
      <c r="BP129" s="3">
        <f>[1]节奏总纲!CA128</f>
        <v>66.904808743128513</v>
      </c>
      <c r="BQ129" s="3">
        <f>[1]节奏总纲!CB128</f>
        <v>67.370305760801529</v>
      </c>
    </row>
    <row r="130" spans="3:69">
      <c r="C130" s="3">
        <v>126</v>
      </c>
      <c r="D130" s="3">
        <f>[1]节奏总纲!P129</f>
        <v>6207.3750564265865</v>
      </c>
      <c r="E130" s="3">
        <f>[1]节奏总纲!Q129</f>
        <v>5279.3724854908123</v>
      </c>
      <c r="F130" s="3">
        <f>[1]节奏总纲!R129</f>
        <v>4225.9809384152195</v>
      </c>
      <c r="G130" s="3">
        <f>[1]节奏总纲!S129</f>
        <v>3006.8524773330387</v>
      </c>
      <c r="H130" s="3">
        <f>[1]节奏总纲!T129</f>
        <v>1610.1930896370566</v>
      </c>
      <c r="J130" s="3">
        <v>126</v>
      </c>
      <c r="K130" s="3">
        <f t="shared" si="12"/>
        <v>415.7563049463879</v>
      </c>
      <c r="L130" s="3">
        <f t="shared" si="13"/>
        <v>360.55067985867936</v>
      </c>
      <c r="M130" s="3">
        <f t="shared" si="14"/>
        <v>285.94270178324041</v>
      </c>
      <c r="N130" s="3">
        <f t="shared" si="15"/>
        <v>190.38827848821802</v>
      </c>
      <c r="O130" s="3">
        <f t="shared" si="16"/>
        <v>100.31808112616886</v>
      </c>
      <c r="Q130" s="3">
        <v>126</v>
      </c>
      <c r="R130" s="3">
        <f>[1]节奏总纲!AD129</f>
        <v>69.883338076774123</v>
      </c>
      <c r="S130" s="3">
        <f>[1]节奏总纲!AE129</f>
        <v>71.931947796644479</v>
      </c>
      <c r="T130" s="3">
        <f>[1]节奏总纲!AF129</f>
        <v>74.840792411391348</v>
      </c>
      <c r="U130" s="3">
        <f>[1]节奏总纲!AG129</f>
        <v>79.340854337849223</v>
      </c>
      <c r="V130" s="3">
        <f>[1]节奏总纲!AH129</f>
        <v>88.378400914406001</v>
      </c>
      <c r="AN130" s="3">
        <v>126</v>
      </c>
      <c r="AO130" s="3">
        <f>[1]节奏总纲!BA129</f>
        <v>39.574492434635722</v>
      </c>
      <c r="AP130" s="3">
        <f>[1]节奏总纲!BB129</f>
        <v>41.087476216725996</v>
      </c>
      <c r="AQ130" s="3">
        <f>[1]节奏总纲!BC129</f>
        <v>43.030177309109042</v>
      </c>
      <c r="AR130" s="3">
        <f>[1]节奏总纲!BD129</f>
        <v>45.757658185390426</v>
      </c>
      <c r="AS130" s="3">
        <f>[1]节奏总纲!BE129</f>
        <v>50.447126540086799</v>
      </c>
      <c r="BL130" s="3">
        <v>126</v>
      </c>
      <c r="BM130" s="3">
        <f>[1]节奏总纲!BX129</f>
        <v>66.045736622847244</v>
      </c>
      <c r="BN130" s="3">
        <f>[1]节奏总纲!BY129</f>
        <v>66.44946074184756</v>
      </c>
      <c r="BO130" s="3">
        <f>[1]节奏总纲!BZ129</f>
        <v>66.907014743381254</v>
      </c>
      <c r="BP130" s="3">
        <f>[1]节奏总纲!CA129</f>
        <v>67.341591574598297</v>
      </c>
      <c r="BQ130" s="3">
        <f>[1]节奏总纲!CB129</f>
        <v>67.816988171637291</v>
      </c>
    </row>
    <row r="131" spans="3:69">
      <c r="C131" s="3">
        <v>127</v>
      </c>
      <c r="D131" s="3">
        <f>[1]节奏总纲!P130</f>
        <v>6652.971630950271</v>
      </c>
      <c r="E131" s="3">
        <f>[1]节奏总纲!Q130</f>
        <v>5658.3523721232059</v>
      </c>
      <c r="F131" s="3">
        <f>[1]节奏总纲!R130</f>
        <v>4508.7188742949984</v>
      </c>
      <c r="G131" s="3">
        <f>[1]节奏总纲!S130</f>
        <v>3203.4058403025556</v>
      </c>
      <c r="H131" s="3">
        <f>[1]节奏总纲!T130</f>
        <v>1719.793166600645</v>
      </c>
      <c r="J131" s="3">
        <v>127</v>
      </c>
      <c r="K131" s="3">
        <f t="shared" si="12"/>
        <v>445.59657452368447</v>
      </c>
      <c r="L131" s="3">
        <f t="shared" si="13"/>
        <v>378.97988663239357</v>
      </c>
      <c r="M131" s="3">
        <f t="shared" si="14"/>
        <v>282.73793587977889</v>
      </c>
      <c r="N131" s="3">
        <f t="shared" si="15"/>
        <v>196.55336296951691</v>
      </c>
      <c r="O131" s="3">
        <f t="shared" si="16"/>
        <v>109.60007696358844</v>
      </c>
      <c r="Q131" s="3">
        <v>127</v>
      </c>
      <c r="R131" s="3">
        <f>[1]节奏总纲!AD130</f>
        <v>70</v>
      </c>
      <c r="S131" s="3">
        <f>[1]节奏总纲!AE130</f>
        <v>72.047345051940553</v>
      </c>
      <c r="T131" s="3">
        <f>[1]节奏总纲!AF130</f>
        <v>74.956019773573217</v>
      </c>
      <c r="U131" s="3">
        <f>[1]节奏总纲!AG130</f>
        <v>79.458980800600258</v>
      </c>
      <c r="V131" s="3">
        <f>[1]节奏总纲!AH130</f>
        <v>88.51296561834485</v>
      </c>
      <c r="AN131" s="3">
        <v>127</v>
      </c>
      <c r="AO131" s="3">
        <f>[1]节奏总纲!BA130</f>
        <v>39.628525141348646</v>
      </c>
      <c r="AP131" s="3">
        <f>[1]节奏总纲!BB130</f>
        <v>41.137758985590679</v>
      </c>
      <c r="AQ131" s="3">
        <f>[1]节奏总纲!BC130</f>
        <v>43.080106253688569</v>
      </c>
      <c r="AR131" s="3">
        <f>[1]节奏总纲!BD130</f>
        <v>45.813450393445684</v>
      </c>
      <c r="AS131" s="3">
        <f>[1]节奏总纲!BE130</f>
        <v>50.500642583185162</v>
      </c>
      <c r="BL131" s="3">
        <v>127</v>
      </c>
      <c r="BM131" s="3">
        <f>[1]节奏总纲!BX130</f>
        <v>66.504847055084383</v>
      </c>
      <c r="BN131" s="3">
        <f>[1]节奏总纲!BY130</f>
        <v>66.937552520119667</v>
      </c>
      <c r="BO131" s="3">
        <f>[1]节奏总纲!BZ130</f>
        <v>67.339276425805934</v>
      </c>
      <c r="BP131" s="3">
        <f>[1]节奏总纲!CA130</f>
        <v>67.779184324795935</v>
      </c>
      <c r="BQ131" s="3">
        <f>[1]节奏总纲!CB130</f>
        <v>68.263631118638116</v>
      </c>
    </row>
    <row r="132" spans="3:69">
      <c r="C132" s="3">
        <v>128</v>
      </c>
      <c r="D132" s="3">
        <f>[1]节奏总纲!P131</f>
        <v>7130.5502145218443</v>
      </c>
      <c r="E132" s="3">
        <f>[1]节奏总纲!Q131</f>
        <v>6036.010756592741</v>
      </c>
      <c r="F132" s="3">
        <f>[1]节奏总纲!R131</f>
        <v>4805.9908445877236</v>
      </c>
      <c r="G132" s="3">
        <f>[1]节奏总纲!S131</f>
        <v>3419.0988278632244</v>
      </c>
      <c r="H132" s="3">
        <f>[1]节奏总纲!T131</f>
        <v>1838.9689003251838</v>
      </c>
      <c r="J132" s="3">
        <v>128</v>
      </c>
      <c r="K132" s="3">
        <f t="shared" si="12"/>
        <v>477.57858357157329</v>
      </c>
      <c r="L132" s="3">
        <f t="shared" si="13"/>
        <v>377.65838446953512</v>
      </c>
      <c r="M132" s="3">
        <f t="shared" si="14"/>
        <v>297.2719702927252</v>
      </c>
      <c r="N132" s="3">
        <f t="shared" si="15"/>
        <v>215.69298756066883</v>
      </c>
      <c r="O132" s="3">
        <f t="shared" si="16"/>
        <v>119.17573372453876</v>
      </c>
      <c r="Q132" s="3">
        <v>128</v>
      </c>
      <c r="R132" s="3">
        <f>[1]节奏总纲!AD131</f>
        <v>70.108849423225877</v>
      </c>
      <c r="S132" s="3">
        <f>[1]节奏总纲!AE131</f>
        <v>72.160540850040434</v>
      </c>
      <c r="T132" s="3">
        <f>[1]节奏总纲!AF131</f>
        <v>75.067682921736733</v>
      </c>
      <c r="U132" s="3">
        <f>[1]节奏总纲!AG131</f>
        <v>79.577107263351294</v>
      </c>
      <c r="V132" s="3">
        <f>[1]节奏总纲!AH131</f>
        <v>88.6475303222837</v>
      </c>
      <c r="AN132" s="3">
        <v>128</v>
      </c>
      <c r="AO132" s="3">
        <f>[1]节奏总纲!BA131</f>
        <v>39.68255784806157</v>
      </c>
      <c r="AP132" s="3">
        <f>[1]节奏总纲!BB131</f>
        <v>41.188041754455355</v>
      </c>
      <c r="AQ132" s="3">
        <f>[1]节奏总纲!BC131</f>
        <v>43.130035198268104</v>
      </c>
      <c r="AR132" s="3">
        <f>[1]节奏总纲!BD131</f>
        <v>45.869242601500943</v>
      </c>
      <c r="AS132" s="3">
        <f>[1]节奏总纲!BE131</f>
        <v>50.554158626283517</v>
      </c>
      <c r="BL132" s="3">
        <v>128</v>
      </c>
      <c r="BM132" s="3">
        <f>[1]节奏总纲!BX131</f>
        <v>66.996909432729709</v>
      </c>
      <c r="BN132" s="3">
        <f>[1]节奏总纲!BY131</f>
        <v>67.366421618366019</v>
      </c>
      <c r="BO132" s="3">
        <f>[1]节奏总纲!BZ131</f>
        <v>67.780493532013153</v>
      </c>
      <c r="BP132" s="3">
        <f>[1]节奏总纲!CA131</f>
        <v>68.224205790273416</v>
      </c>
      <c r="BQ132" s="3">
        <f>[1]节奏总纲!CB131</f>
        <v>68.722305062357819</v>
      </c>
    </row>
    <row r="133" spans="3:69">
      <c r="C133" s="3">
        <v>129</v>
      </c>
      <c r="D133" s="3">
        <f>[1]节奏总纲!P132</f>
        <v>7642.4062666695281</v>
      </c>
      <c r="E133" s="3">
        <f>[1]节奏总纲!Q132</f>
        <v>6469.2969047357556</v>
      </c>
      <c r="F133" s="3">
        <f>[1]节奏总纲!R132</f>
        <v>5159.388470628599</v>
      </c>
      <c r="G133" s="3">
        <f>[1]节奏总纲!S132</f>
        <v>3676.7616548947103</v>
      </c>
      <c r="H133" s="3">
        <f>[1]节奏总纲!T132</f>
        <v>1975.5620199340731</v>
      </c>
      <c r="J133" s="3">
        <v>129</v>
      </c>
      <c r="K133" s="3">
        <f t="shared" si="12"/>
        <v>511.85605214768384</v>
      </c>
      <c r="L133" s="3">
        <f t="shared" si="13"/>
        <v>433.28614814301454</v>
      </c>
      <c r="M133" s="3">
        <f t="shared" si="14"/>
        <v>353.39762604087537</v>
      </c>
      <c r="N133" s="3">
        <f t="shared" si="15"/>
        <v>257.6628270314859</v>
      </c>
      <c r="O133" s="3">
        <f t="shared" si="16"/>
        <v>136.59311960888931</v>
      </c>
      <c r="Q133" s="3">
        <v>129</v>
      </c>
      <c r="R133" s="3">
        <f>[1]节奏总纲!AD132</f>
        <v>70.217698846451768</v>
      </c>
      <c r="S133" s="3">
        <f>[1]节奏总纲!AE132</f>
        <v>72.273736648140314</v>
      </c>
      <c r="T133" s="3">
        <f>[1]节奏总纲!AF132</f>
        <v>75.177145912126889</v>
      </c>
      <c r="U133" s="3">
        <f>[1]节奏总纲!AG132</f>
        <v>79.69523372610233</v>
      </c>
      <c r="V133" s="3">
        <f>[1]节奏总纲!AH132</f>
        <v>88.782095026222549</v>
      </c>
      <c r="AN133" s="3">
        <v>129</v>
      </c>
      <c r="AO133" s="3">
        <f>[1]节奏总纲!BA132</f>
        <v>39.736590554774494</v>
      </c>
      <c r="AP133" s="3">
        <f>[1]节奏总纲!BB132</f>
        <v>41.238324523320038</v>
      </c>
      <c r="AQ133" s="3">
        <f>[1]节奏总纲!BC132</f>
        <v>43.179964142847631</v>
      </c>
      <c r="AR133" s="3">
        <f>[1]节奏总纲!BD132</f>
        <v>45.925034809556202</v>
      </c>
      <c r="AS133" s="3">
        <f>[1]节奏总纲!BE132</f>
        <v>50.607674669381879</v>
      </c>
      <c r="BL133" s="3">
        <v>129</v>
      </c>
      <c r="BM133" s="3">
        <f>[1]节奏总纲!BX132</f>
        <v>67.453153062113969</v>
      </c>
      <c r="BN133" s="3">
        <f>[1]节奏总纲!BY132</f>
        <v>67.848740705467691</v>
      </c>
      <c r="BO133" s="3">
        <f>[1]节奏总纲!BZ132</f>
        <v>68.263642627369293</v>
      </c>
      <c r="BP133" s="3">
        <f>[1]节奏总纲!CA132</f>
        <v>68.720041734936714</v>
      </c>
      <c r="BQ133" s="3">
        <f>[1]节奏总纲!CB132</f>
        <v>69.214384865866279</v>
      </c>
    </row>
    <row r="134" spans="3:69">
      <c r="C134" s="3">
        <v>130</v>
      </c>
      <c r="D134" s="3">
        <f>[1]节奏总纲!P133</f>
        <v>8191</v>
      </c>
      <c r="E134" s="3">
        <f>[1]节奏总纲!Q133</f>
        <v>6941.8725000000004</v>
      </c>
      <c r="F134" s="3">
        <f>[1]节奏总纲!R133</f>
        <v>5542.0306</v>
      </c>
      <c r="G134" s="3">
        <f>[1]节奏总纲!S133</f>
        <v>3951.3384000000001</v>
      </c>
      <c r="H134" s="3">
        <f>[1]节奏总纲!T133</f>
        <v>2124.7454000000002</v>
      </c>
      <c r="J134" s="3">
        <v>130</v>
      </c>
      <c r="K134" s="3">
        <f t="shared" si="12"/>
        <v>548.59373333047188</v>
      </c>
      <c r="L134" s="3">
        <f t="shared" si="13"/>
        <v>472.57559526424484</v>
      </c>
      <c r="M134" s="3">
        <f t="shared" si="14"/>
        <v>382.6421293714011</v>
      </c>
      <c r="N134" s="3">
        <f t="shared" si="15"/>
        <v>274.57674510528977</v>
      </c>
      <c r="O134" s="3">
        <f t="shared" si="16"/>
        <v>149.18338006592717</v>
      </c>
      <c r="Q134" s="3">
        <v>130</v>
      </c>
      <c r="R134" s="3">
        <f>[1]节奏总纲!AD133</f>
        <v>70.326548269677644</v>
      </c>
      <c r="S134" s="3">
        <f>[1]节奏总纲!AE133</f>
        <v>72.386932446240195</v>
      </c>
      <c r="T134" s="3">
        <f>[1]节奏总纲!AF133</f>
        <v>75.286608902517045</v>
      </c>
      <c r="U134" s="3">
        <f>[1]节奏总纲!AG133</f>
        <v>79.813360188853366</v>
      </c>
      <c r="V134" s="3">
        <f>[1]节奏总纲!AH133</f>
        <v>88.916659730161399</v>
      </c>
      <c r="AN134" s="3">
        <v>130</v>
      </c>
      <c r="AO134" s="3">
        <f>[1]节奏总纲!BA133</f>
        <v>39.790623261487418</v>
      </c>
      <c r="AP134" s="3">
        <f>[1]节奏总纲!BB133</f>
        <v>41.288607292184714</v>
      </c>
      <c r="AQ134" s="3">
        <f>[1]节奏总纲!BC133</f>
        <v>43.229893087427158</v>
      </c>
      <c r="AR134" s="3">
        <f>[1]节奏总纲!BD133</f>
        <v>45.98082701761146</v>
      </c>
      <c r="AS134" s="3">
        <f>[1]节奏总纲!BE133</f>
        <v>50.661190712480241</v>
      </c>
      <c r="BL134" s="3">
        <v>130</v>
      </c>
      <c r="BM134" s="3">
        <f>[1]节奏总纲!BX133</f>
        <v>67.941693450092984</v>
      </c>
      <c r="BN134" s="3">
        <f>[1]节奏总纲!BY133</f>
        <v>68.323959633193709</v>
      </c>
      <c r="BO134" s="3">
        <f>[1]节奏总纲!BZ133</f>
        <v>68.754536673852911</v>
      </c>
      <c r="BP134" s="3">
        <f>[1]节奏总纲!CA133</f>
        <v>69.214741439167099</v>
      </c>
      <c r="BQ134" s="3">
        <f>[1]节奏总纲!CB133</f>
        <v>69.710697401213693</v>
      </c>
    </row>
    <row r="135" spans="3:69">
      <c r="C135" s="3">
        <v>131</v>
      </c>
      <c r="D135" s="3">
        <f>[1]节奏总纲!P134</f>
        <v>8778.9682050973151</v>
      </c>
      <c r="E135" s="3">
        <f>[1]节奏总纲!Q134</f>
        <v>7443.6871411020138</v>
      </c>
      <c r="F135" s="3">
        <f>[1]节奏总纲!R134</f>
        <v>5945.117268491902</v>
      </c>
      <c r="G135" s="3">
        <f>[1]节奏总纲!S134</f>
        <v>4244.6311271645518</v>
      </c>
      <c r="H135" s="3">
        <f>[1]节奏总纲!T134</f>
        <v>2275.5085587612239</v>
      </c>
      <c r="J135" s="3">
        <v>131</v>
      </c>
      <c r="K135" s="3">
        <f t="shared" si="12"/>
        <v>587.96820509731515</v>
      </c>
      <c r="L135" s="3">
        <f t="shared" si="13"/>
        <v>501.81464110201341</v>
      </c>
      <c r="M135" s="3">
        <f t="shared" si="14"/>
        <v>403.08666849190195</v>
      </c>
      <c r="N135" s="3">
        <f t="shared" si="15"/>
        <v>293.29272716455171</v>
      </c>
      <c r="O135" s="3">
        <f t="shared" si="16"/>
        <v>150.76315876122362</v>
      </c>
      <c r="Q135" s="3">
        <v>131</v>
      </c>
      <c r="R135" s="3">
        <f>[1]节奏总纲!AD134</f>
        <v>70.435397692903535</v>
      </c>
      <c r="S135" s="3">
        <f>[1]节奏总纲!AE134</f>
        <v>72.50012824434009</v>
      </c>
      <c r="T135" s="3">
        <f>[1]节奏总纲!AF134</f>
        <v>75.396071892907202</v>
      </c>
      <c r="U135" s="3">
        <f>[1]节奏总纲!AG134</f>
        <v>79.931486651604402</v>
      </c>
      <c r="V135" s="3">
        <f>[1]节奏总纲!AH134</f>
        <v>89.048420729369383</v>
      </c>
      <c r="AN135" s="3">
        <v>131</v>
      </c>
      <c r="AO135" s="3">
        <f>[1]节奏总纲!BA134</f>
        <v>39.844655968200342</v>
      </c>
      <c r="AP135" s="3">
        <f>[1]节奏总纲!BB134</f>
        <v>41.338890061049398</v>
      </c>
      <c r="AQ135" s="3">
        <f>[1]节奏总纲!BC134</f>
        <v>43.279822032006692</v>
      </c>
      <c r="AR135" s="3">
        <f>[1]节奏总纲!BD134</f>
        <v>46.031609894814238</v>
      </c>
      <c r="AS135" s="3">
        <f>[1]节奏总纲!BE134</f>
        <v>50.714706755578604</v>
      </c>
      <c r="BL135" s="3">
        <v>131</v>
      </c>
      <c r="BM135" s="3">
        <f>[1]节奏总纲!BX134</f>
        <v>68.402186838509962</v>
      </c>
      <c r="BN135" s="3">
        <f>[1]节奏总纲!BY134</f>
        <v>68.806795553848815</v>
      </c>
      <c r="BO135" s="3">
        <f>[1]节奏总纲!BZ134</f>
        <v>69.234824229174819</v>
      </c>
      <c r="BP135" s="3">
        <f>[1]节奏总纲!CA134</f>
        <v>69.702613670489626</v>
      </c>
      <c r="BQ135" s="3">
        <f>[1]节奏总纲!CB134</f>
        <v>70.183493178644127</v>
      </c>
    </row>
    <row r="136" spans="3:69">
      <c r="C136" s="3">
        <v>132</v>
      </c>
      <c r="D136" s="3">
        <f>[1]节奏总纲!P135</f>
        <v>9409.1369241357042</v>
      </c>
      <c r="E136" s="3">
        <f>[1]节奏总纲!Q135</f>
        <v>7983.6526801291457</v>
      </c>
      <c r="F136" s="3">
        <f>[1]节奏总纲!R135</f>
        <v>6385.9812304109018</v>
      </c>
      <c r="G136" s="3">
        <f>[1]节奏总纲!S135</f>
        <v>4544.6131343575453</v>
      </c>
      <c r="H136" s="3">
        <f>[1]节奏总纲!T135</f>
        <v>2431.3209811966663</v>
      </c>
      <c r="J136" s="3">
        <v>132</v>
      </c>
      <c r="K136" s="3">
        <f t="shared" si="12"/>
        <v>630.1687190383891</v>
      </c>
      <c r="L136" s="3">
        <f t="shared" si="13"/>
        <v>539.96553902713185</v>
      </c>
      <c r="M136" s="3">
        <f t="shared" si="14"/>
        <v>440.86396191899985</v>
      </c>
      <c r="N136" s="3">
        <f t="shared" si="15"/>
        <v>299.98200719299348</v>
      </c>
      <c r="O136" s="3">
        <f t="shared" si="16"/>
        <v>155.81242243544239</v>
      </c>
      <c r="Q136" s="3">
        <v>132</v>
      </c>
      <c r="R136" s="3">
        <f>[1]节奏总纲!AD135</f>
        <v>70.544247116129412</v>
      </c>
      <c r="S136" s="3">
        <f>[1]节奏总纲!AE135</f>
        <v>72.61332404243997</v>
      </c>
      <c r="T136" s="3">
        <f>[1]节奏总纲!AF135</f>
        <v>75.505534883297358</v>
      </c>
      <c r="U136" s="3">
        <f>[1]节奏总纲!AG135</f>
        <v>80.045750258986601</v>
      </c>
      <c r="V136" s="3">
        <f>[1]节奏总纲!AH135</f>
        <v>89.175620204122851</v>
      </c>
      <c r="AN136" s="3">
        <v>132</v>
      </c>
      <c r="AO136" s="3">
        <f>[1]节奏总纲!BA135</f>
        <v>39.898688674913267</v>
      </c>
      <c r="AP136" s="3">
        <f>[1]节奏总纲!BB135</f>
        <v>41.389172829914081</v>
      </c>
      <c r="AQ136" s="3">
        <f>[1]节奏总纲!BC135</f>
        <v>43.329750976586219</v>
      </c>
      <c r="AR136" s="3">
        <f>[1]节奏总纲!BD135</f>
        <v>46.079770001861057</v>
      </c>
      <c r="AS136" s="3">
        <f>[1]节奏总纲!BE135</f>
        <v>50.768222798676959</v>
      </c>
      <c r="BL136" s="3">
        <v>132</v>
      </c>
      <c r="BM136" s="3">
        <f>[1]节奏总纲!BX135</f>
        <v>68.887255337837544</v>
      </c>
      <c r="BN136" s="3">
        <f>[1]节奏总纲!BY135</f>
        <v>69.282090336127212</v>
      </c>
      <c r="BO136" s="3">
        <f>[1]节奏总纲!BZ135</f>
        <v>69.723722100118692</v>
      </c>
      <c r="BP136" s="3">
        <f>[1]节奏总纲!CA135</f>
        <v>70.174284544754997</v>
      </c>
      <c r="BQ136" s="3">
        <f>[1]节奏总纲!CB135</f>
        <v>70.631595403974814</v>
      </c>
    </row>
    <row r="137" spans="3:69">
      <c r="C137" s="3">
        <v>133</v>
      </c>
      <c r="D137" s="3">
        <f>[1]节奏总纲!P136</f>
        <v>10084.535034121556</v>
      </c>
      <c r="E137" s="3">
        <f>[1]节奏总纲!Q136</f>
        <v>8562.7786974726132</v>
      </c>
      <c r="F137" s="3">
        <f>[1]节奏总纲!R136</f>
        <v>6827.2302181002942</v>
      </c>
      <c r="G137" s="3">
        <f>[1]节奏总纲!S136</f>
        <v>4847.6359909022322</v>
      </c>
      <c r="H137" s="3">
        <f>[1]节奏总纲!T136</f>
        <v>2595.759317782889</v>
      </c>
      <c r="J137" s="3">
        <v>133</v>
      </c>
      <c r="K137" s="3">
        <f t="shared" si="12"/>
        <v>675.39810998585199</v>
      </c>
      <c r="L137" s="3">
        <f t="shared" si="13"/>
        <v>579.12601734346754</v>
      </c>
      <c r="M137" s="3">
        <f t="shared" si="14"/>
        <v>441.24898768939238</v>
      </c>
      <c r="N137" s="3">
        <f t="shared" si="15"/>
        <v>303.02285654468687</v>
      </c>
      <c r="O137" s="3">
        <f t="shared" si="16"/>
        <v>164.4383365862227</v>
      </c>
      <c r="Q137" s="3">
        <v>133</v>
      </c>
      <c r="R137" s="3">
        <f>[1]节奏总纲!AD136</f>
        <v>70.653096539355303</v>
      </c>
      <c r="S137" s="3">
        <f>[1]节奏总纲!AE136</f>
        <v>72.726519840539851</v>
      </c>
      <c r="T137" s="3">
        <f>[1]节奏总纲!AF136</f>
        <v>75.614997873687514</v>
      </c>
      <c r="U137" s="3">
        <f>[1]节奏总纲!AG136</f>
        <v>80.154679447049915</v>
      </c>
      <c r="V137" s="3">
        <f>[1]节奏总纲!AH136</f>
        <v>89.302819678876304</v>
      </c>
      <c r="AN137" s="3">
        <v>133</v>
      </c>
      <c r="AO137" s="3">
        <f>[1]节奏总纲!BA136</f>
        <v>39.952721381626191</v>
      </c>
      <c r="AP137" s="3">
        <f>[1]节奏总纲!BB136</f>
        <v>41.439455598778757</v>
      </c>
      <c r="AQ137" s="3">
        <f>[1]节奏总纲!BC136</f>
        <v>43.379679921165753</v>
      </c>
      <c r="AR137" s="3">
        <f>[1]节奏总纲!BD136</f>
        <v>46.127930108907876</v>
      </c>
      <c r="AS137" s="3">
        <f>[1]节奏总纲!BE136</f>
        <v>50.821738841775321</v>
      </c>
      <c r="BL137" s="3">
        <v>133</v>
      </c>
      <c r="BM137" s="3">
        <f>[1]节奏总纲!BX136</f>
        <v>69.351933936401693</v>
      </c>
      <c r="BN137" s="3">
        <f>[1]节奏总纲!BY136</f>
        <v>69.763758437872809</v>
      </c>
      <c r="BO137" s="3">
        <f>[1]节奏总纲!BZ136</f>
        <v>70.18416857784301</v>
      </c>
      <c r="BP137" s="3">
        <f>[1]节奏总纲!CA136</f>
        <v>70.61001750564904</v>
      </c>
      <c r="BQ137" s="3">
        <f>[1]节奏总纲!CB136</f>
        <v>71.090343829912982</v>
      </c>
    </row>
    <row r="138" spans="3:69">
      <c r="C138" s="3">
        <v>134</v>
      </c>
      <c r="D138" s="3">
        <f>[1]节奏总纲!P137</f>
        <v>10808.408805051544</v>
      </c>
      <c r="E138" s="3">
        <f>[1]节奏总纲!Q137</f>
        <v>9151.4797352371424</v>
      </c>
      <c r="F138" s="3">
        <f>[1]节奏总纲!R137</f>
        <v>7283.7866937242361</v>
      </c>
      <c r="G138" s="3">
        <f>[1]节奏总纲!S137</f>
        <v>5175.0661358586794</v>
      </c>
      <c r="H138" s="3">
        <f>[1]节奏总纲!T137</f>
        <v>2775.5993811372364</v>
      </c>
      <c r="J138" s="3">
        <v>134</v>
      </c>
      <c r="K138" s="3">
        <f t="shared" si="12"/>
        <v>723.87377092998759</v>
      </c>
      <c r="L138" s="3">
        <f t="shared" si="13"/>
        <v>588.70103776452925</v>
      </c>
      <c r="M138" s="3">
        <f t="shared" si="14"/>
        <v>456.55647562394188</v>
      </c>
      <c r="N138" s="3">
        <f t="shared" si="15"/>
        <v>327.43014495644729</v>
      </c>
      <c r="O138" s="3">
        <f t="shared" si="16"/>
        <v>179.84006335434742</v>
      </c>
      <c r="Q138" s="3">
        <v>134</v>
      </c>
      <c r="R138" s="3">
        <f>[1]节奏总纲!AD137</f>
        <v>70.76194596258118</v>
      </c>
      <c r="S138" s="3">
        <f>[1]节奏总纲!AE137</f>
        <v>72.839715638639731</v>
      </c>
      <c r="T138" s="3">
        <f>[1]节奏总纲!AF137</f>
        <v>75.72446086407767</v>
      </c>
      <c r="U138" s="3">
        <f>[1]节奏总纲!AG137</f>
        <v>80.263608635113243</v>
      </c>
      <c r="V138" s="3">
        <f>[1]节奏总纲!AH137</f>
        <v>89.430019153629758</v>
      </c>
      <c r="AN138" s="3">
        <v>134</v>
      </c>
      <c r="AO138" s="3">
        <f>[1]节奏总纲!BA137</f>
        <v>40.005827399112476</v>
      </c>
      <c r="AP138" s="3">
        <f>[1]节奏总纲!BB137</f>
        <v>41.48973836764344</v>
      </c>
      <c r="AQ138" s="3">
        <f>[1]节奏总纲!BC137</f>
        <v>43.42960886574528</v>
      </c>
      <c r="AR138" s="3">
        <f>[1]节奏总纲!BD137</f>
        <v>46.176090215954694</v>
      </c>
      <c r="AS138" s="3">
        <f>[1]节奏总纲!BE137</f>
        <v>50.875254884873684</v>
      </c>
      <c r="BL138" s="3">
        <v>134</v>
      </c>
      <c r="BM138" s="3">
        <f>[1]节奏总纲!BX137</f>
        <v>69.833579581329417</v>
      </c>
      <c r="BN138" s="3">
        <f>[1]节奏总纲!BY137</f>
        <v>70.219043358665743</v>
      </c>
      <c r="BO138" s="3">
        <f>[1]节奏总纲!BZ137</f>
        <v>70.621840083786836</v>
      </c>
      <c r="BP138" s="3">
        <f>[1]节奏总纲!CA137</f>
        <v>71.069891702784773</v>
      </c>
      <c r="BQ138" s="3">
        <f>[1]节奏总纲!CB137</f>
        <v>71.537462736334334</v>
      </c>
    </row>
    <row r="139" spans="3:69">
      <c r="C139" s="3">
        <v>135</v>
      </c>
      <c r="D139" s="3">
        <f>[1]节奏总纲!P138</f>
        <v>11584.237502960397</v>
      </c>
      <c r="E139" s="3">
        <f>[1]节奏总纲!Q138</f>
        <v>9796.789656253608</v>
      </c>
      <c r="F139" s="3">
        <f>[1]节奏总纲!R138</f>
        <v>7796.1918394923478</v>
      </c>
      <c r="G139" s="3">
        <f>[1]节奏总纲!S138</f>
        <v>5548.8497639180305</v>
      </c>
      <c r="H139" s="3">
        <f>[1]节奏总纲!T138</f>
        <v>2979.465885761414</v>
      </c>
      <c r="J139" s="3">
        <v>135</v>
      </c>
      <c r="K139" s="3">
        <f t="shared" si="12"/>
        <v>775.82869790885343</v>
      </c>
      <c r="L139" s="3">
        <f t="shared" si="13"/>
        <v>645.30992101646552</v>
      </c>
      <c r="M139" s="3">
        <f t="shared" si="14"/>
        <v>512.40514576811165</v>
      </c>
      <c r="N139" s="3">
        <f t="shared" si="15"/>
        <v>373.78362805935103</v>
      </c>
      <c r="O139" s="3">
        <f t="shared" si="16"/>
        <v>203.86650462417765</v>
      </c>
      <c r="Q139" s="3">
        <v>135</v>
      </c>
      <c r="R139" s="3">
        <f>[1]节奏总纲!AD138</f>
        <v>70.870795385807057</v>
      </c>
      <c r="S139" s="3">
        <f>[1]节奏总纲!AE138</f>
        <v>72.952911436739612</v>
      </c>
      <c r="T139" s="3">
        <f>[1]节奏总纲!AF138</f>
        <v>75.833923854467812</v>
      </c>
      <c r="U139" s="3">
        <f>[1]节奏总纲!AG138</f>
        <v>80.372537823176572</v>
      </c>
      <c r="V139" s="3">
        <f>[1]节奏总纲!AH138</f>
        <v>89.557218628383211</v>
      </c>
      <c r="AN139" s="3">
        <v>135</v>
      </c>
      <c r="AO139" s="3">
        <f>[1]节奏总纲!BA138</f>
        <v>40.052446592012309</v>
      </c>
      <c r="AP139" s="3">
        <f>[1]节奏总纲!BB138</f>
        <v>41.540021136508116</v>
      </c>
      <c r="AQ139" s="3">
        <f>[1]节奏总纲!BC138</f>
        <v>43.479537810324814</v>
      </c>
      <c r="AR139" s="3">
        <f>[1]节奏总纲!BD138</f>
        <v>46.224250323001513</v>
      </c>
      <c r="AS139" s="3">
        <f>[1]节奏总纲!BE138</f>
        <v>50.928770927972039</v>
      </c>
      <c r="BL139" s="3">
        <v>135</v>
      </c>
      <c r="BM139" s="3">
        <f>[1]节奏总纲!BX138</f>
        <v>70.302380180961919</v>
      </c>
      <c r="BN139" s="3">
        <f>[1]节奏总纲!BY138</f>
        <v>70.68300638407095</v>
      </c>
      <c r="BO139" s="3">
        <f>[1]节奏总纲!BZ138</f>
        <v>71.09773107342663</v>
      </c>
      <c r="BP139" s="3">
        <f>[1]节奏总纲!CA138</f>
        <v>71.534542692944868</v>
      </c>
      <c r="BQ139" s="3">
        <f>[1]节奏总纲!CB138</f>
        <v>72.038312955064598</v>
      </c>
    </row>
    <row r="140" spans="3:69">
      <c r="C140" s="3">
        <v>136</v>
      </c>
      <c r="D140" s="3">
        <f>[1]节奏总纲!P139</f>
        <v>12415.750112853173</v>
      </c>
      <c r="E140" s="3">
        <f>[1]节奏总纲!Q139</f>
        <v>10507.449320507641</v>
      </c>
      <c r="F140" s="3">
        <f>[1]节奏总纲!R139</f>
        <v>8384.3560512097483</v>
      </c>
      <c r="G140" s="3">
        <f>[1]节奏总纲!S139</f>
        <v>5967.009504237235</v>
      </c>
      <c r="H140" s="3">
        <f>[1]节奏总纲!T139</f>
        <v>3204.5051041274041</v>
      </c>
      <c r="J140" s="3">
        <v>136</v>
      </c>
      <c r="K140" s="3">
        <f t="shared" si="12"/>
        <v>831.5126098927758</v>
      </c>
      <c r="L140" s="3">
        <f t="shared" si="13"/>
        <v>710.65966425403349</v>
      </c>
      <c r="M140" s="3">
        <f t="shared" si="14"/>
        <v>588.16421171740058</v>
      </c>
      <c r="N140" s="3">
        <f t="shared" si="15"/>
        <v>418.1597403192045</v>
      </c>
      <c r="O140" s="3">
        <f t="shared" si="16"/>
        <v>225.03921836599011</v>
      </c>
      <c r="Q140" s="3">
        <v>136</v>
      </c>
      <c r="R140" s="3">
        <f>[1]节奏总纲!AD139</f>
        <v>70.979644809032948</v>
      </c>
      <c r="S140" s="3">
        <f>[1]节奏总纲!AE139</f>
        <v>73.059911975288244</v>
      </c>
      <c r="T140" s="3">
        <f>[1]节奏总纲!AF139</f>
        <v>75.943386844857969</v>
      </c>
      <c r="U140" s="3">
        <f>[1]节奏总纲!AG139</f>
        <v>80.4814670112399</v>
      </c>
      <c r="V140" s="3">
        <f>[1]节奏总纲!AH139</f>
        <v>89.684418103136665</v>
      </c>
      <c r="AN140" s="3">
        <v>136</v>
      </c>
      <c r="AO140" s="3">
        <f>[1]节奏总纲!BA139</f>
        <v>40.099065784912149</v>
      </c>
      <c r="AP140" s="3">
        <f>[1]节奏总纲!BB139</f>
        <v>41.590303905372799</v>
      </c>
      <c r="AQ140" s="3">
        <f>[1]节奏总纲!BC139</f>
        <v>43.529466754904341</v>
      </c>
      <c r="AR140" s="3">
        <f>[1]节奏总纲!BD139</f>
        <v>46.272410430048332</v>
      </c>
      <c r="AS140" s="3">
        <f>[1]节奏总纲!BE139</f>
        <v>50.982286971070401</v>
      </c>
      <c r="BL140" s="3">
        <v>136</v>
      </c>
      <c r="BM140" s="3">
        <f>[1]节奏总纲!BX139</f>
        <v>70.780650969721208</v>
      </c>
      <c r="BN140" s="3">
        <f>[1]节奏总纲!BY139</f>
        <v>71.167672232752054</v>
      </c>
      <c r="BO140" s="3">
        <f>[1]节奏总纲!BZ139</f>
        <v>71.585162950829655</v>
      </c>
      <c r="BP140" s="3">
        <f>[1]节奏总纲!CA139</f>
        <v>72.046994133534497</v>
      </c>
      <c r="BQ140" s="3">
        <f>[1]节奏总纲!CB139</f>
        <v>72.52201443082113</v>
      </c>
    </row>
    <row r="141" spans="3:69">
      <c r="C141" s="3">
        <v>137</v>
      </c>
      <c r="D141" s="3">
        <f>[1]节奏总纲!P140</f>
        <v>13306.943261900544</v>
      </c>
      <c r="E141" s="3">
        <f>[1]节奏总纲!Q140</f>
        <v>11274.973025808331</v>
      </c>
      <c r="F141" s="3">
        <f>[1]节奏总纲!R140</f>
        <v>8995.4936450447676</v>
      </c>
      <c r="G141" s="3">
        <f>[1]节奏总纲!S140</f>
        <v>6407.293180605112</v>
      </c>
      <c r="H141" s="3">
        <f>[1]节奏总纲!T140</f>
        <v>3438.5141388751008</v>
      </c>
      <c r="J141" s="3">
        <v>137</v>
      </c>
      <c r="K141" s="3">
        <f t="shared" si="12"/>
        <v>891.19314904737075</v>
      </c>
      <c r="L141" s="3">
        <f t="shared" si="13"/>
        <v>767.52370530068947</v>
      </c>
      <c r="M141" s="3">
        <f t="shared" si="14"/>
        <v>611.13759383501929</v>
      </c>
      <c r="N141" s="3">
        <f t="shared" si="15"/>
        <v>440.28367636787698</v>
      </c>
      <c r="O141" s="3">
        <f t="shared" si="16"/>
        <v>234.00903474769666</v>
      </c>
      <c r="Q141" s="3">
        <v>137</v>
      </c>
      <c r="R141" s="3">
        <f>[1]节奏总纲!AD140</f>
        <v>71.082568038258202</v>
      </c>
      <c r="S141" s="3">
        <f>[1]节奏总纲!AE140</f>
        <v>73.162499594857536</v>
      </c>
      <c r="T141" s="3">
        <f>[1]节奏总纲!AF140</f>
        <v>76.048210495050611</v>
      </c>
      <c r="U141" s="3">
        <f>[1]节奏总纲!AG140</f>
        <v>80.590396199303228</v>
      </c>
      <c r="V141" s="3">
        <f>[1]节奏总纲!AH140</f>
        <v>89.811617577890132</v>
      </c>
      <c r="AN141" s="3">
        <v>137</v>
      </c>
      <c r="AO141" s="3">
        <f>[1]节奏总纲!BA140</f>
        <v>40.145684977811982</v>
      </c>
      <c r="AP141" s="3">
        <f>[1]节奏总纲!BB140</f>
        <v>41.640586674237483</v>
      </c>
      <c r="AQ141" s="3">
        <f>[1]节奏总纲!BC140</f>
        <v>43.579395699483875</v>
      </c>
      <c r="AR141" s="3">
        <f>[1]节奏总纲!BD140</f>
        <v>46.320570537095151</v>
      </c>
      <c r="AS141" s="3">
        <f>[1]节奏总纲!BE140</f>
        <v>51.030916192165336</v>
      </c>
      <c r="BL141" s="3">
        <v>137</v>
      </c>
      <c r="BM141" s="3">
        <f>[1]节奏总纲!BX140</f>
        <v>71.253511678983699</v>
      </c>
      <c r="BN141" s="3">
        <f>[1]节奏总纲!BY140</f>
        <v>71.64472716890711</v>
      </c>
      <c r="BO141" s="3">
        <f>[1]节奏总纲!BZ140</f>
        <v>72.079220511445328</v>
      </c>
      <c r="BP141" s="3">
        <f>[1]节奏总纲!CA140</f>
        <v>72.52016913289016</v>
      </c>
      <c r="BQ141" s="3">
        <f>[1]节奏总纲!CB140</f>
        <v>73.021610706471975</v>
      </c>
    </row>
    <row r="142" spans="3:69">
      <c r="C142" s="3">
        <v>138</v>
      </c>
      <c r="D142" s="3">
        <f>[1]节奏总纲!P141</f>
        <v>14262.10042904369</v>
      </c>
      <c r="E142" s="3">
        <f>[1]节奏总纲!Q141</f>
        <v>12084.27769352872</v>
      </c>
      <c r="F142" s="3">
        <f>[1]节奏总纲!R141</f>
        <v>9648.3109402480568</v>
      </c>
      <c r="G142" s="3">
        <f>[1]节奏总纲!S141</f>
        <v>6871.4799867132497</v>
      </c>
      <c r="H142" s="3">
        <f>[1]节奏总纲!T141</f>
        <v>3671.064650435846</v>
      </c>
      <c r="J142" s="3">
        <v>138</v>
      </c>
      <c r="K142" s="3">
        <f t="shared" si="12"/>
        <v>955.15716714314658</v>
      </c>
      <c r="L142" s="3">
        <f t="shared" si="13"/>
        <v>809.30466772038926</v>
      </c>
      <c r="M142" s="3">
        <f t="shared" si="14"/>
        <v>652.81729520328918</v>
      </c>
      <c r="N142" s="3">
        <f t="shared" si="15"/>
        <v>464.18680610813772</v>
      </c>
      <c r="O142" s="3">
        <f t="shared" si="16"/>
        <v>232.55051156074524</v>
      </c>
      <c r="Q142" s="3">
        <v>138</v>
      </c>
      <c r="R142" s="3">
        <f>[1]节奏总纲!AD141</f>
        <v>71.184128141237707</v>
      </c>
      <c r="S142" s="3">
        <f>[1]节奏总纲!AE141</f>
        <v>73.265087214426828</v>
      </c>
      <c r="T142" s="3">
        <f>[1]节奏总纲!AF141</f>
        <v>76.148064447889894</v>
      </c>
      <c r="U142" s="3">
        <f>[1]节奏总纲!AG141</f>
        <v>80.699325387366557</v>
      </c>
      <c r="V142" s="3">
        <f>[1]节奏总纲!AH141</f>
        <v>89.938817052643586</v>
      </c>
      <c r="AN142" s="3">
        <v>138</v>
      </c>
      <c r="AO142" s="3">
        <f>[1]节奏总纲!BA141</f>
        <v>40.192304170711814</v>
      </c>
      <c r="AP142" s="3">
        <f>[1]节奏总纲!BB141</f>
        <v>41.690869443102159</v>
      </c>
      <c r="AQ142" s="3">
        <f>[1]节奏总纲!BC141</f>
        <v>43.629324644063402</v>
      </c>
      <c r="AR142" s="3">
        <f>[1]节奏总纲!BD141</f>
        <v>46.368730644141969</v>
      </c>
      <c r="AS142" s="3">
        <f>[1]节奏总纲!BE141</f>
        <v>51.077127728003028</v>
      </c>
      <c r="BL142" s="3">
        <v>138</v>
      </c>
      <c r="BM142" s="3">
        <f>[1]节奏总纲!BX141</f>
        <v>71.728454603344318</v>
      </c>
      <c r="BN142" s="3">
        <f>[1]节奏总纲!BY141</f>
        <v>72.127736001811627</v>
      </c>
      <c r="BO142" s="3">
        <f>[1]节奏总纲!BZ141</f>
        <v>72.546944450679874</v>
      </c>
      <c r="BP142" s="3">
        <f>[1]节奏总纲!CA141</f>
        <v>73.016455431801333</v>
      </c>
      <c r="BQ142" s="3">
        <f>[1]节奏总纲!CB141</f>
        <v>73.453766032826792</v>
      </c>
    </row>
    <row r="143" spans="3:69">
      <c r="C143" s="3">
        <v>139</v>
      </c>
      <c r="D143" s="3">
        <f>[1]节奏总纲!P142</f>
        <v>15285.812533339058</v>
      </c>
      <c r="E143" s="3">
        <f>[1]节奏总纲!Q142</f>
        <v>12957.783284511519</v>
      </c>
      <c r="F143" s="3">
        <f>[1]节奏总纲!R142</f>
        <v>10342.380760057207</v>
      </c>
      <c r="G143" s="3">
        <f>[1]节奏总纲!S142</f>
        <v>7335.6614347494142</v>
      </c>
      <c r="H143" s="3">
        <f>[1]节奏总纲!T142</f>
        <v>3920.8109148014687</v>
      </c>
      <c r="J143" s="3">
        <v>139</v>
      </c>
      <c r="K143" s="3">
        <f t="shared" si="12"/>
        <v>1023.7121042953677</v>
      </c>
      <c r="L143" s="3">
        <f t="shared" si="13"/>
        <v>873.50559098279882</v>
      </c>
      <c r="M143" s="3">
        <f t="shared" si="14"/>
        <v>694.06981980915043</v>
      </c>
      <c r="N143" s="3">
        <f t="shared" si="15"/>
        <v>464.18144803616451</v>
      </c>
      <c r="O143" s="3">
        <f t="shared" si="16"/>
        <v>249.74626436562266</v>
      </c>
      <c r="Q143" s="3">
        <v>139</v>
      </c>
      <c r="R143" s="3">
        <f>[1]节奏总纲!AD142</f>
        <v>71.285688244217212</v>
      </c>
      <c r="S143" s="3">
        <f>[1]节奏总纲!AE142</f>
        <v>73.367674833996119</v>
      </c>
      <c r="T143" s="3">
        <f>[1]节奏总纲!AF142</f>
        <v>76.247918400729162</v>
      </c>
      <c r="U143" s="3">
        <f>[1]节奏总纲!AG142</f>
        <v>80.808254575429885</v>
      </c>
      <c r="V143" s="3">
        <f>[1]节奏总纲!AH142</f>
        <v>90.055148444912135</v>
      </c>
      <c r="AN143" s="3">
        <v>139</v>
      </c>
      <c r="AO143" s="3">
        <f>[1]节奏总纲!BA142</f>
        <v>40.238923363611647</v>
      </c>
      <c r="AP143" s="3">
        <f>[1]节奏总纲!BB142</f>
        <v>41.741152211966842</v>
      </c>
      <c r="AQ143" s="3">
        <f>[1]节奏总纲!BC142</f>
        <v>43.679253588642929</v>
      </c>
      <c r="AR143" s="3">
        <f>[1]节奏总纲!BD142</f>
        <v>46.416890751188788</v>
      </c>
      <c r="AS143" s="3">
        <f>[1]节奏总纲!BE142</f>
        <v>51.12333926384072</v>
      </c>
      <c r="BL143" s="3">
        <v>139</v>
      </c>
      <c r="BM143" s="3">
        <f>[1]节奏总纲!BX142</f>
        <v>72.205314824634726</v>
      </c>
      <c r="BN143" s="3">
        <f>[1]节奏总纲!BY142</f>
        <v>72.597116346388717</v>
      </c>
      <c r="BO143" s="3">
        <f>[1]节奏总纲!BZ142</f>
        <v>73.038235529163615</v>
      </c>
      <c r="BP143" s="3">
        <f>[1]节奏总纲!CA142</f>
        <v>73.447756321697511</v>
      </c>
      <c r="BQ143" s="3">
        <f>[1]节奏总纲!CB142</f>
        <v>73.91787672283759</v>
      </c>
    </row>
    <row r="144" spans="3:69">
      <c r="C144" s="3">
        <v>140</v>
      </c>
      <c r="D144" s="3">
        <f>[1]节奏总纲!P143</f>
        <v>16383</v>
      </c>
      <c r="E144" s="3">
        <f>[1]节奏总纲!Q143</f>
        <v>13881.315900000001</v>
      </c>
      <c r="F144" s="3">
        <f>[1]节奏总纲!R143</f>
        <v>11037.2271</v>
      </c>
      <c r="G144" s="3">
        <f>[1]节奏总纲!S143</f>
        <v>7827.7974000000004</v>
      </c>
      <c r="H144" s="3">
        <f>[1]节奏总纲!T143</f>
        <v>4192.4097000000002</v>
      </c>
      <c r="J144" s="3">
        <v>140</v>
      </c>
      <c r="K144" s="3">
        <f t="shared" si="12"/>
        <v>1097.1874666609419</v>
      </c>
      <c r="L144" s="3">
        <f t="shared" si="13"/>
        <v>923.53261548848241</v>
      </c>
      <c r="M144" s="3">
        <f t="shared" si="14"/>
        <v>694.84633994279284</v>
      </c>
      <c r="N144" s="3">
        <f t="shared" si="15"/>
        <v>492.1359652505862</v>
      </c>
      <c r="O144" s="3">
        <f t="shared" si="16"/>
        <v>271.59878519853146</v>
      </c>
      <c r="Q144" s="3">
        <v>140</v>
      </c>
      <c r="R144" s="3">
        <f>[1]节奏总纲!AD143</f>
        <v>71.387248347196717</v>
      </c>
      <c r="S144" s="3">
        <f>[1]节奏总纲!AE143</f>
        <v>73.470262453565411</v>
      </c>
      <c r="T144" s="3">
        <f>[1]节奏总纲!AF143</f>
        <v>76.347772353568445</v>
      </c>
      <c r="U144" s="3">
        <f>[1]节奏总纲!AG143</f>
        <v>80.917183763493213</v>
      </c>
      <c r="V144" s="3">
        <f>[1]节奏总纲!AH143</f>
        <v>90.16140749098561</v>
      </c>
      <c r="AN144" s="3">
        <v>140</v>
      </c>
      <c r="AO144" s="3">
        <f>[1]节奏总纲!BA143</f>
        <v>40.28554255651148</v>
      </c>
      <c r="AP144" s="3">
        <f>[1]节奏总纲!BB143</f>
        <v>41.791434980831518</v>
      </c>
      <c r="AQ144" s="3">
        <f>[1]节奏总纲!BC143</f>
        <v>43.729182533222463</v>
      </c>
      <c r="AR144" s="3">
        <f>[1]节奏总纲!BD143</f>
        <v>46.465050858235607</v>
      </c>
      <c r="AS144" s="3">
        <f>[1]节奏总纲!BE143</f>
        <v>51.169550799678412</v>
      </c>
      <c r="BL144" s="3">
        <v>140</v>
      </c>
      <c r="BM144" s="3">
        <f>[1]节奏总纲!BX143</f>
        <v>72.676975898343528</v>
      </c>
      <c r="BN144" s="3">
        <f>[1]节奏总纲!BY143</f>
        <v>73.080733134525161</v>
      </c>
      <c r="BO144" s="3">
        <f>[1]节奏总纲!BZ143</f>
        <v>73.468653197407107</v>
      </c>
      <c r="BP144" s="3">
        <f>[1]节奏总纲!CA143</f>
        <v>73.905031554605898</v>
      </c>
      <c r="BQ144" s="3">
        <f>[1]节奏总纲!CB143</f>
        <v>74.365384246573853</v>
      </c>
    </row>
    <row r="145" spans="3:69">
      <c r="C145" s="3">
        <v>141</v>
      </c>
      <c r="D145" s="3">
        <f>[1]节奏总纲!P144</f>
        <v>17558.936410194601</v>
      </c>
      <c r="E145" s="3">
        <f>[1]节奏总纲!Q144</f>
        <v>14839.057160255457</v>
      </c>
      <c r="F145" s="3">
        <f>[1]节奏总纲!R144</f>
        <v>11789.069905804656</v>
      </c>
      <c r="G145" s="3">
        <f>[1]节奏总纲!S144</f>
        <v>8380.8803485858825</v>
      </c>
      <c r="H145" s="3">
        <f>[1]节奏总纲!T144</f>
        <v>4489.820040086759</v>
      </c>
      <c r="J145" s="3">
        <v>141</v>
      </c>
      <c r="K145" s="3">
        <f t="shared" si="12"/>
        <v>1175.9364101946012</v>
      </c>
      <c r="L145" s="3">
        <f t="shared" si="13"/>
        <v>957.74126025545593</v>
      </c>
      <c r="M145" s="3">
        <f t="shared" si="14"/>
        <v>751.84280580465565</v>
      </c>
      <c r="N145" s="3">
        <f t="shared" si="15"/>
        <v>553.08294858588215</v>
      </c>
      <c r="O145" s="3">
        <f t="shared" si="16"/>
        <v>297.41034008675888</v>
      </c>
      <c r="Q145" s="3">
        <v>141</v>
      </c>
      <c r="R145" s="3">
        <f>[1]节奏总纲!AD144</f>
        <v>71.488808450176208</v>
      </c>
      <c r="S145" s="3">
        <f>[1]节奏总纲!AE144</f>
        <v>73.572850073134703</v>
      </c>
      <c r="T145" s="3">
        <f>[1]节奏总纲!AF144</f>
        <v>76.447626306407713</v>
      </c>
      <c r="U145" s="3">
        <f>[1]节奏总纲!AG144</f>
        <v>81.023848662825003</v>
      </c>
      <c r="V145" s="3">
        <f>[1]节奏总纲!AH144</f>
        <v>90.267666537059071</v>
      </c>
      <c r="AN145" s="3">
        <v>141</v>
      </c>
      <c r="AO145" s="3">
        <f>[1]节奏总纲!BA144</f>
        <v>40.332161749411313</v>
      </c>
      <c r="AP145" s="3">
        <f>[1]节奏总纲!BB144</f>
        <v>41.841717749696201</v>
      </c>
      <c r="AQ145" s="3">
        <f>[1]节奏总纲!BC144</f>
        <v>43.77911147780199</v>
      </c>
      <c r="AR145" s="3">
        <f>[1]节奏总纲!BD144</f>
        <v>46.513210965282425</v>
      </c>
      <c r="AS145" s="3">
        <f>[1]节奏总纲!BE144</f>
        <v>51.215762335516104</v>
      </c>
      <c r="BL145" s="3">
        <v>141</v>
      </c>
      <c r="BM145" s="3">
        <f>[1]节奏总纲!BX144</f>
        <v>73.157776302859972</v>
      </c>
      <c r="BN145" s="3">
        <f>[1]节奏总纲!BY144</f>
        <v>73.525682689904926</v>
      </c>
      <c r="BO145" s="3">
        <f>[1]节奏总纲!BZ144</f>
        <v>73.934376924737577</v>
      </c>
      <c r="BP145" s="3">
        <f>[1]节奏总纲!CA144</f>
        <v>74.362219724987099</v>
      </c>
      <c r="BQ145" s="3">
        <f>[1]节奏总纲!CB144</f>
        <v>74.843246220121955</v>
      </c>
    </row>
    <row r="146" spans="3:69">
      <c r="C146" s="3">
        <v>142</v>
      </c>
      <c r="D146" s="3">
        <f>[1]节奏总纲!P145</f>
        <v>18819.273848271412</v>
      </c>
      <c r="E146" s="3">
        <f>[1]节奏总纲!Q145</f>
        <v>15904.16832917417</v>
      </c>
      <c r="F146" s="3">
        <f>[1]节奏总纲!R145</f>
        <v>12667.253227271489</v>
      </c>
      <c r="G146" s="3">
        <f>[1]节奏总纲!S145</f>
        <v>9003.140609013044</v>
      </c>
      <c r="H146" s="3">
        <f>[1]节奏总纲!T145</f>
        <v>4823.3798873119622</v>
      </c>
      <c r="J146" s="3">
        <v>142</v>
      </c>
      <c r="K146" s="3">
        <f t="shared" si="12"/>
        <v>1260.3374380768109</v>
      </c>
      <c r="L146" s="3">
        <f t="shared" si="13"/>
        <v>1065.1111689187128</v>
      </c>
      <c r="M146" s="3">
        <f t="shared" si="14"/>
        <v>878.18332146683315</v>
      </c>
      <c r="N146" s="3">
        <f t="shared" si="15"/>
        <v>622.26026042716148</v>
      </c>
      <c r="O146" s="3">
        <f t="shared" si="16"/>
        <v>333.55984722520316</v>
      </c>
      <c r="Q146" s="3">
        <v>142</v>
      </c>
      <c r="R146" s="3">
        <f>[1]节奏总纲!AD145</f>
        <v>71.590368553155713</v>
      </c>
      <c r="S146" s="3">
        <f>[1]节奏总纲!AE145</f>
        <v>73.675437692703994</v>
      </c>
      <c r="T146" s="3">
        <f>[1]节奏总纲!AF145</f>
        <v>76.547480259246996</v>
      </c>
      <c r="U146" s="3">
        <f>[1]节奏总纲!AG145</f>
        <v>81.123332456233015</v>
      </c>
      <c r="V146" s="3">
        <f>[1]节奏总纲!AH145</f>
        <v>90.373925583132547</v>
      </c>
      <c r="AN146" s="3">
        <v>142</v>
      </c>
      <c r="AO146" s="3">
        <f>[1]节奏总纲!BA145</f>
        <v>40.378780942311145</v>
      </c>
      <c r="AP146" s="3">
        <f>[1]节奏总纲!BB145</f>
        <v>41.892000518560877</v>
      </c>
      <c r="AQ146" s="3">
        <f>[1]节奏总纲!BC145</f>
        <v>43.829040422381524</v>
      </c>
      <c r="AR146" s="3">
        <f>[1]节奏总纲!BD145</f>
        <v>46.561371072329244</v>
      </c>
      <c r="AS146" s="3">
        <f>[1]节奏总纲!BE145</f>
        <v>51.261973871353796</v>
      </c>
      <c r="BL146" s="3">
        <v>142</v>
      </c>
      <c r="BM146" s="3">
        <f>[1]节奏总纲!BX145</f>
        <v>73.626200589019419</v>
      </c>
      <c r="BN146" s="3">
        <f>[1]节奏总纲!BY145</f>
        <v>74.017737097591251</v>
      </c>
      <c r="BO146" s="3">
        <f>[1]节奏总纲!BZ145</f>
        <v>74.413599457823011</v>
      </c>
      <c r="BP146" s="3">
        <f>[1]节奏总纲!CA145</f>
        <v>74.862125874890182</v>
      </c>
      <c r="BQ146" s="3">
        <f>[1]节奏总纲!CB145</f>
        <v>75.327870415328007</v>
      </c>
    </row>
    <row r="147" spans="3:69">
      <c r="C147" s="3">
        <v>143</v>
      </c>
      <c r="D147" s="3">
        <f>[1]节奏总纲!P146</f>
        <v>20170.070068243116</v>
      </c>
      <c r="E147" s="3">
        <f>[1]节奏总纲!Q146</f>
        <v>17065.896284740498</v>
      </c>
      <c r="F147" s="3">
        <f>[1]节奏总纲!R146</f>
        <v>13594.62722599586</v>
      </c>
      <c r="G147" s="3">
        <f>[1]节奏总纲!S146</f>
        <v>9669.5315907157492</v>
      </c>
      <c r="H147" s="3">
        <f>[1]节奏总纲!T146</f>
        <v>5185.7250145453054</v>
      </c>
      <c r="J147" s="3">
        <v>143</v>
      </c>
      <c r="K147" s="3">
        <f t="shared" si="12"/>
        <v>1350.796219971704</v>
      </c>
      <c r="L147" s="3">
        <f t="shared" si="13"/>
        <v>1161.7279555663281</v>
      </c>
      <c r="M147" s="3">
        <f t="shared" si="14"/>
        <v>927.37399872437163</v>
      </c>
      <c r="N147" s="3">
        <f t="shared" si="15"/>
        <v>666.39098170270518</v>
      </c>
      <c r="O147" s="3">
        <f t="shared" si="16"/>
        <v>362.34512723334319</v>
      </c>
      <c r="Q147" s="3">
        <v>143</v>
      </c>
      <c r="R147" s="3">
        <f>[1]节奏总纲!AD146</f>
        <v>71.691928656135218</v>
      </c>
      <c r="S147" s="3">
        <f>[1]节奏总纲!AE146</f>
        <v>73.778025312273286</v>
      </c>
      <c r="T147" s="3">
        <f>[1]节奏总纲!AF146</f>
        <v>76.647334212086264</v>
      </c>
      <c r="U147" s="3">
        <f>[1]节奏总纲!AG146</f>
        <v>81.222816249641028</v>
      </c>
      <c r="V147" s="3">
        <f>[1]节奏总纲!AH146</f>
        <v>90.480184629206022</v>
      </c>
      <c r="AN147" s="3">
        <v>143</v>
      </c>
      <c r="AO147" s="3">
        <f>[1]节奏总纲!BA146</f>
        <v>40.425400135210978</v>
      </c>
      <c r="AP147" s="3">
        <f>[1]节奏总纲!BB146</f>
        <v>41.94228328742556</v>
      </c>
      <c r="AQ147" s="3">
        <f>[1]节奏总纲!BC146</f>
        <v>43.878969366961051</v>
      </c>
      <c r="AR147" s="3">
        <f>[1]节奏总纲!BD146</f>
        <v>46.609531179376063</v>
      </c>
      <c r="AS147" s="3">
        <f>[1]节奏总纲!BE146</f>
        <v>51.308185407191495</v>
      </c>
      <c r="BL147" s="3">
        <v>143</v>
      </c>
      <c r="BM147" s="3">
        <f>[1]节奏总纲!BX146</f>
        <v>74.110883090832957</v>
      </c>
      <c r="BN147" s="3">
        <f>[1]节奏总纲!BY146</f>
        <v>74.48438665440473</v>
      </c>
      <c r="BO147" s="3">
        <f>[1]节奏总纲!BZ146</f>
        <v>74.910283342584549</v>
      </c>
      <c r="BP147" s="3">
        <f>[1]节奏总纲!CA146</f>
        <v>75.343688653389123</v>
      </c>
      <c r="BQ147" s="3">
        <f>[1]节奏总纲!CB146</f>
        <v>75.8312700089093</v>
      </c>
    </row>
    <row r="148" spans="3:69">
      <c r="C148" s="3">
        <v>144</v>
      </c>
      <c r="D148" s="3">
        <f>[1]节奏总纲!P147</f>
        <v>21617.817610103088</v>
      </c>
      <c r="E148" s="3">
        <f>[1]节奏总纲!Q147</f>
        <v>18290.835479908223</v>
      </c>
      <c r="F148" s="3">
        <f>[1]节奏总纲!R147</f>
        <v>14585.541541536553</v>
      </c>
      <c r="G148" s="3">
        <f>[1]节奏总纲!S147</f>
        <v>10380.876016371503</v>
      </c>
      <c r="H148" s="3">
        <f>[1]节奏总纲!T147</f>
        <v>5547.1319987524521</v>
      </c>
      <c r="J148" s="3">
        <v>144</v>
      </c>
      <c r="K148" s="3">
        <f t="shared" si="12"/>
        <v>1447.7475418599715</v>
      </c>
      <c r="L148" s="3">
        <f t="shared" si="13"/>
        <v>1224.9391951677244</v>
      </c>
      <c r="M148" s="3">
        <f t="shared" si="14"/>
        <v>990.91431554069277</v>
      </c>
      <c r="N148" s="3">
        <f t="shared" si="15"/>
        <v>711.34442565575409</v>
      </c>
      <c r="O148" s="3">
        <f t="shared" si="16"/>
        <v>361.40698420714671</v>
      </c>
      <c r="Q148" s="3">
        <v>144</v>
      </c>
      <c r="R148" s="3">
        <f>[1]节奏总纲!AD147</f>
        <v>71.793488759114723</v>
      </c>
      <c r="S148" s="3">
        <f>[1]节奏总纲!AE147</f>
        <v>73.880612931842577</v>
      </c>
      <c r="T148" s="3">
        <f>[1]节奏总纲!AF147</f>
        <v>76.747188164925547</v>
      </c>
      <c r="U148" s="3">
        <f>[1]节奏总纲!AG147</f>
        <v>81.322300043049054</v>
      </c>
      <c r="V148" s="3">
        <f>[1]节奏总纲!AH147</f>
        <v>90.586443675279497</v>
      </c>
      <c r="AN148" s="3">
        <v>144</v>
      </c>
      <c r="AO148" s="3">
        <f>[1]节奏总纲!BA147</f>
        <v>40.472019328110811</v>
      </c>
      <c r="AP148" s="3">
        <f>[1]节奏总纲!BB147</f>
        <v>41.992566056290244</v>
      </c>
      <c r="AQ148" s="3">
        <f>[1]节奏总纲!BC147</f>
        <v>43.928898311540586</v>
      </c>
      <c r="AR148" s="3">
        <f>[1]节奏总纲!BD147</f>
        <v>46.657691286422882</v>
      </c>
      <c r="AS148" s="3">
        <f>[1]节奏总纲!BE147</f>
        <v>51.354396943029187</v>
      </c>
      <c r="BL148" s="3">
        <v>144</v>
      </c>
      <c r="BM148" s="3">
        <f>[1]节奏总纲!BX147</f>
        <v>74.576114728274206</v>
      </c>
      <c r="BN148" s="3">
        <f>[1]节奏总纲!BY147</f>
        <v>74.976427264953529</v>
      </c>
      <c r="BO148" s="3">
        <f>[1]节奏总纲!BZ147</f>
        <v>75.381312336600743</v>
      </c>
      <c r="BP148" s="3">
        <f>[1]节奏总纲!CA147</f>
        <v>75.837817686537164</v>
      </c>
      <c r="BQ148" s="3">
        <f>[1]节奏总纲!CB147</f>
        <v>76.288260794883655</v>
      </c>
    </row>
    <row r="149" spans="3:69">
      <c r="C149" s="3">
        <v>145</v>
      </c>
      <c r="D149" s="3">
        <f>[1]节奏总纲!P148</f>
        <v>23169.475005920798</v>
      </c>
      <c r="E149" s="3">
        <f>[1]节奏总纲!Q148</f>
        <v>19631.496172516694</v>
      </c>
      <c r="F149" s="3">
        <f>[1]节奏总纲!R148</f>
        <v>15650.9803664995</v>
      </c>
      <c r="G149" s="3">
        <f>[1]节奏总纲!S148</f>
        <v>11105.129370337838</v>
      </c>
      <c r="H149" s="3">
        <f>[1]节奏总纲!T148</f>
        <v>5926.7517065145412</v>
      </c>
      <c r="J149" s="3">
        <v>145</v>
      </c>
      <c r="K149" s="3">
        <f t="shared" si="12"/>
        <v>1551.6573958177105</v>
      </c>
      <c r="L149" s="3">
        <f t="shared" si="13"/>
        <v>1340.6606926084714</v>
      </c>
      <c r="M149" s="3">
        <f t="shared" si="14"/>
        <v>1065.4388249629465</v>
      </c>
      <c r="N149" s="3">
        <f t="shared" si="15"/>
        <v>724.25335396633454</v>
      </c>
      <c r="O149" s="3">
        <f t="shared" si="16"/>
        <v>379.61970776208909</v>
      </c>
      <c r="Q149" s="3">
        <v>145</v>
      </c>
      <c r="R149" s="3">
        <f>[1]节奏总纲!AD148</f>
        <v>71.895048862094214</v>
      </c>
      <c r="S149" s="3">
        <f>[1]节奏总纲!AE148</f>
        <v>73.983200551411869</v>
      </c>
      <c r="T149" s="3">
        <f>[1]节奏总纲!AF148</f>
        <v>76.847042117764815</v>
      </c>
      <c r="U149" s="3">
        <f>[1]节奏总纲!AG148</f>
        <v>81.421783836457067</v>
      </c>
      <c r="V149" s="3">
        <f>[1]节奏总纲!AH148</f>
        <v>90.692702721352973</v>
      </c>
      <c r="AN149" s="3">
        <v>145</v>
      </c>
      <c r="AO149" s="3">
        <f>[1]节奏总纲!BA148</f>
        <v>40.518638521010651</v>
      </c>
      <c r="AP149" s="3">
        <f>[1]节奏总纲!BB148</f>
        <v>42.036975906461073</v>
      </c>
      <c r="AQ149" s="3">
        <f>[1]节奏总纲!BC148</f>
        <v>43.978827256120113</v>
      </c>
      <c r="AR149" s="3">
        <f>[1]节奏总纲!BD148</f>
        <v>46.7058513934697</v>
      </c>
      <c r="AS149" s="3">
        <f>[1]节奏总纲!BE148</f>
        <v>51.400608478866879</v>
      </c>
      <c r="BL149" s="3">
        <v>145</v>
      </c>
      <c r="BM149" s="3">
        <f>[1]节奏总纲!BX148</f>
        <v>75.064622457794115</v>
      </c>
      <c r="BN149" s="3">
        <f>[1]节奏总纲!BY148</f>
        <v>75.445256632228848</v>
      </c>
      <c r="BO149" s="3">
        <f>[1]节奏总纲!BZ148</f>
        <v>75.874710693729909</v>
      </c>
      <c r="BP149" s="3">
        <f>[1]节奏总纲!CA148</f>
        <v>76.294787124638759</v>
      </c>
      <c r="BQ149" s="3">
        <f>[1]节奏总纲!CB148</f>
        <v>76.744300993869714</v>
      </c>
    </row>
    <row r="150" spans="3:69">
      <c r="C150" s="3">
        <v>146</v>
      </c>
      <c r="D150" s="3">
        <f>[1]节奏总纲!P149</f>
        <v>24832.50022570635</v>
      </c>
      <c r="E150" s="3">
        <f>[1]节奏总纲!Q149</f>
        <v>21035.61094119585</v>
      </c>
      <c r="F150" s="3">
        <f>[1]节奏总纲!R149</f>
        <v>16719.722401968087</v>
      </c>
      <c r="G150" s="3">
        <f>[1]节奏总纲!S149</f>
        <v>11847.5858576845</v>
      </c>
      <c r="H150" s="3">
        <f>[1]节奏总纲!T149</f>
        <v>6324.8378074874072</v>
      </c>
      <c r="J150" s="3">
        <v>146</v>
      </c>
      <c r="K150" s="3">
        <f t="shared" si="12"/>
        <v>1663.0252197855516</v>
      </c>
      <c r="L150" s="3">
        <f t="shared" si="13"/>
        <v>1404.1147686791555</v>
      </c>
      <c r="M150" s="3">
        <f t="shared" si="14"/>
        <v>1068.7420354685873</v>
      </c>
      <c r="N150" s="3">
        <f t="shared" si="15"/>
        <v>742.45648734666247</v>
      </c>
      <c r="O150" s="3">
        <f t="shared" si="16"/>
        <v>398.08610097286601</v>
      </c>
      <c r="Q150" s="3">
        <v>146</v>
      </c>
      <c r="R150" s="3">
        <f>[1]节奏总纲!AD149</f>
        <v>71.996608965073719</v>
      </c>
      <c r="S150" s="3">
        <f>[1]节奏总纲!AE149</f>
        <v>74.078973000522922</v>
      </c>
      <c r="T150" s="3">
        <f>[1]节奏总纲!AF149</f>
        <v>76.946896070604097</v>
      </c>
      <c r="U150" s="3">
        <f>[1]节奏总纲!AG149</f>
        <v>81.521267629865079</v>
      </c>
      <c r="V150" s="3">
        <f>[1]节奏总纲!AH149</f>
        <v>90.798961767426448</v>
      </c>
      <c r="AN150" s="3">
        <v>146</v>
      </c>
      <c r="AO150" s="3">
        <f>[1]节奏总纲!BA149</f>
        <v>40.565257713910484</v>
      </c>
      <c r="AP150" s="3">
        <f>[1]节奏总纲!BB149</f>
        <v>42.080366850119908</v>
      </c>
      <c r="AQ150" s="3">
        <f>[1]节奏总纲!BC149</f>
        <v>44.024818750237806</v>
      </c>
      <c r="AR150" s="3">
        <f>[1]节奏总纲!BD149</f>
        <v>46.754011500516519</v>
      </c>
      <c r="AS150" s="3">
        <f>[1]节奏总纲!BE149</f>
        <v>51.446820014704571</v>
      </c>
      <c r="BL150" s="3">
        <v>146</v>
      </c>
      <c r="BM150" s="3">
        <f>[1]节奏总纲!BX149</f>
        <v>75.526704686495577</v>
      </c>
      <c r="BN150" s="3">
        <f>[1]节奏总纲!BY149</f>
        <v>75.932934505318755</v>
      </c>
      <c r="BO150" s="3">
        <f>[1]节奏总纲!BZ149</f>
        <v>76.319625507968723</v>
      </c>
      <c r="BP150" s="3">
        <f>[1]节奏总纲!CA149</f>
        <v>76.740746590526484</v>
      </c>
      <c r="BQ150" s="3">
        <f>[1]节奏总纲!CB149</f>
        <v>77.192425415760482</v>
      </c>
    </row>
    <row r="151" spans="3:69">
      <c r="C151" s="3">
        <v>147</v>
      </c>
      <c r="D151" s="3">
        <f>[1]节奏总纲!P150</f>
        <v>26614.886523801088</v>
      </c>
      <c r="E151" s="3">
        <f>[1]节奏总纲!Q150</f>
        <v>22470.948692045258</v>
      </c>
      <c r="F151" s="3">
        <f>[1]节奏总纲!R150</f>
        <v>17837.296948251489</v>
      </c>
      <c r="G151" s="3">
        <f>[1]节奏总纲!S150</f>
        <v>12631.425144195997</v>
      </c>
      <c r="H151" s="3">
        <f>[1]节奏总纲!T150</f>
        <v>6754.8581997407164</v>
      </c>
      <c r="J151" s="3">
        <v>147</v>
      </c>
      <c r="K151" s="3">
        <f t="shared" si="12"/>
        <v>1782.3862980947379</v>
      </c>
      <c r="L151" s="3">
        <f t="shared" si="13"/>
        <v>1435.3377508494086</v>
      </c>
      <c r="M151" s="3">
        <f t="shared" si="14"/>
        <v>1117.574546283402</v>
      </c>
      <c r="N151" s="3">
        <f t="shared" si="15"/>
        <v>783.83928651149654</v>
      </c>
      <c r="O151" s="3">
        <f t="shared" si="16"/>
        <v>430.02039225330918</v>
      </c>
      <c r="Q151" s="3">
        <v>147</v>
      </c>
      <c r="R151" s="3">
        <f>[1]节奏总纲!AD150</f>
        <v>72.091594979242075</v>
      </c>
      <c r="S151" s="3">
        <f>[1]节奏总纲!AE150</f>
        <v>74.173410870467364</v>
      </c>
      <c r="T151" s="3">
        <f>[1]节奏总纲!AF150</f>
        <v>77.043751281705866</v>
      </c>
      <c r="U151" s="3">
        <f>[1]节奏总纲!AG150</f>
        <v>81.620751423273092</v>
      </c>
      <c r="V151" s="3">
        <f>[1]节奏总纲!AH150</f>
        <v>90.905220813499923</v>
      </c>
      <c r="AN151" s="3">
        <v>147</v>
      </c>
      <c r="AO151" s="3">
        <f>[1]节奏总纲!BA150</f>
        <v>40.611876906810316</v>
      </c>
      <c r="AP151" s="3">
        <f>[1]节奏总纲!BB150</f>
        <v>42.123757793778736</v>
      </c>
      <c r="AQ151" s="3">
        <f>[1]节奏总纲!BC150</f>
        <v>44.067911160744309</v>
      </c>
      <c r="AR151" s="3">
        <f>[1]节奏总纲!BD150</f>
        <v>46.802171607563338</v>
      </c>
      <c r="AS151" s="3">
        <f>[1]节奏总纲!BE150</f>
        <v>51.493031550542263</v>
      </c>
      <c r="BL151" s="3">
        <v>147</v>
      </c>
      <c r="BM151" s="3">
        <f>[1]节奏总纲!BX150</f>
        <v>76.018981963564528</v>
      </c>
      <c r="BN151" s="3">
        <f>[1]节奏总纲!BY150</f>
        <v>76.37307935688159</v>
      </c>
      <c r="BO151" s="3">
        <f>[1]节奏总纲!BZ150</f>
        <v>76.767142595945487</v>
      </c>
      <c r="BP151" s="3">
        <f>[1]节奏总纲!CA150</f>
        <v>77.182945989803613</v>
      </c>
      <c r="BQ151" s="3">
        <f>[1]节奏总纲!CB150</f>
        <v>77.639136792985582</v>
      </c>
    </row>
    <row r="152" spans="3:69">
      <c r="C152" s="3">
        <v>148</v>
      </c>
      <c r="D152" s="3">
        <f>[1]节奏总纲!P151</f>
        <v>28525.200858087381</v>
      </c>
      <c r="E152" s="3">
        <f>[1]节奏总纲!Q151</f>
        <v>24083.827084483179</v>
      </c>
      <c r="F152" s="3">
        <f>[1]节奏总纲!R151</f>
        <v>19128.999695433398</v>
      </c>
      <c r="G152" s="3">
        <f>[1]节奏总纲!S151</f>
        <v>13566.58552810636</v>
      </c>
      <c r="H152" s="3">
        <f>[1]节奏总纲!T151</f>
        <v>7242.5484978683862</v>
      </c>
      <c r="J152" s="3">
        <v>148</v>
      </c>
      <c r="K152" s="3">
        <f t="shared" si="12"/>
        <v>1910.3143342862932</v>
      </c>
      <c r="L152" s="3">
        <f t="shared" si="13"/>
        <v>1612.8783924379204</v>
      </c>
      <c r="M152" s="3">
        <f t="shared" si="14"/>
        <v>1291.7027471819092</v>
      </c>
      <c r="N152" s="3">
        <f t="shared" si="15"/>
        <v>935.16038391036273</v>
      </c>
      <c r="O152" s="3">
        <f t="shared" si="16"/>
        <v>487.69029812766985</v>
      </c>
      <c r="Q152" s="3">
        <v>148</v>
      </c>
      <c r="R152" s="3">
        <f>[1]节奏总纲!AD151</f>
        <v>72.186353905945822</v>
      </c>
      <c r="S152" s="3">
        <f>[1]节奏总纲!AE151</f>
        <v>74.267848740411821</v>
      </c>
      <c r="T152" s="3">
        <f>[1]节奏总纲!AF151</f>
        <v>77.137200185007629</v>
      </c>
      <c r="U152" s="3">
        <f>[1]节奏总纲!AG151</f>
        <v>81.720235216681118</v>
      </c>
      <c r="V152" s="3">
        <f>[1]节奏总纲!AH151</f>
        <v>91.011076811620597</v>
      </c>
      <c r="AN152" s="3">
        <v>148</v>
      </c>
      <c r="AO152" s="3">
        <f>[1]节奏总纲!BA151</f>
        <v>40.658496099710149</v>
      </c>
      <c r="AP152" s="3">
        <f>[1]节奏总纲!BB151</f>
        <v>42.167148737437564</v>
      </c>
      <c r="AQ152" s="3">
        <f>[1]节奏总纲!BC151</f>
        <v>44.111003571250812</v>
      </c>
      <c r="AR152" s="3">
        <f>[1]节奏总纲!BD151</f>
        <v>46.850331714610157</v>
      </c>
      <c r="AS152" s="3">
        <f>[1]节奏总纲!BE151</f>
        <v>51.539243086379955</v>
      </c>
      <c r="BL152" s="3">
        <v>148</v>
      </c>
      <c r="BM152" s="3">
        <f>[1]节奏总纲!BX151</f>
        <v>76.477957149162563</v>
      </c>
      <c r="BN152" s="3">
        <f>[1]节奏总纲!BY151</f>
        <v>76.857470293382107</v>
      </c>
      <c r="BO152" s="3">
        <f>[1]节奏总纲!BZ151</f>
        <v>77.245919604256756</v>
      </c>
      <c r="BP152" s="3">
        <f>[1]节奏总纲!CA151</f>
        <v>77.668675027947558</v>
      </c>
      <c r="BQ152" s="3">
        <f>[1]节奏总纲!CB151</f>
        <v>78.126046531078771</v>
      </c>
    </row>
    <row r="153" spans="3:69">
      <c r="C153" s="3">
        <v>149</v>
      </c>
      <c r="D153" s="3">
        <f>[1]节奏总纲!P152</f>
        <v>30572.62506667812</v>
      </c>
      <c r="E153" s="3">
        <f>[1]节奏总纲!Q152</f>
        <v>25818.581868809673</v>
      </c>
      <c r="F153" s="3">
        <f>[1]节奏总纲!R152</f>
        <v>20520.345944754354</v>
      </c>
      <c r="G153" s="3">
        <f>[1]节奏总纲!S152</f>
        <v>14549.512269232117</v>
      </c>
      <c r="H153" s="3">
        <f>[1]节奏总纲!T152</f>
        <v>7768.50402944291</v>
      </c>
      <c r="J153" s="3">
        <v>149</v>
      </c>
      <c r="K153" s="3">
        <f t="shared" si="12"/>
        <v>2047.424208590739</v>
      </c>
      <c r="L153" s="3">
        <f t="shared" si="13"/>
        <v>1734.7547843264947</v>
      </c>
      <c r="M153" s="3">
        <f t="shared" si="14"/>
        <v>1391.3462493209554</v>
      </c>
      <c r="N153" s="3">
        <f t="shared" si="15"/>
        <v>982.92674112575696</v>
      </c>
      <c r="O153" s="3">
        <f t="shared" si="16"/>
        <v>525.95553157452377</v>
      </c>
      <c r="Q153" s="3">
        <v>149</v>
      </c>
      <c r="R153" s="3">
        <f>[1]节奏总纲!AD152</f>
        <v>72.281112832649583</v>
      </c>
      <c r="S153" s="3">
        <f>[1]节奏总纲!AE152</f>
        <v>74.362286610356264</v>
      </c>
      <c r="T153" s="3">
        <f>[1]节奏总纲!AF152</f>
        <v>77.230649088309391</v>
      </c>
      <c r="U153" s="3">
        <f>[1]节奏总纲!AG152</f>
        <v>81.819719010089131</v>
      </c>
      <c r="V153" s="3">
        <f>[1]节奏总纲!AH152</f>
        <v>91.113605194377854</v>
      </c>
      <c r="AN153" s="3">
        <v>149</v>
      </c>
      <c r="AO153" s="3">
        <f>[1]节奏总纲!BA152</f>
        <v>40.705115292609982</v>
      </c>
      <c r="AP153" s="3">
        <f>[1]节奏总纲!BB152</f>
        <v>42.2105396810964</v>
      </c>
      <c r="AQ153" s="3">
        <f>[1]节奏总纲!BC152</f>
        <v>44.154095981757315</v>
      </c>
      <c r="AR153" s="3">
        <f>[1]节奏总纲!BD152</f>
        <v>46.898491821656968</v>
      </c>
      <c r="AS153" s="3">
        <f>[1]节奏总纲!BE152</f>
        <v>51.585454622217647</v>
      </c>
      <c r="BL153" s="3">
        <v>149</v>
      </c>
      <c r="BM153" s="3">
        <f>[1]节奏总纲!BX152</f>
        <v>76.969874573049196</v>
      </c>
      <c r="BN153" s="3">
        <f>[1]节奏总纲!BY152</f>
        <v>77.327271482343065</v>
      </c>
      <c r="BO153" s="3">
        <f>[1]节奏总纲!BZ152</f>
        <v>77.727703112223537</v>
      </c>
      <c r="BP153" s="3">
        <f>[1]节奏总纲!CA152</f>
        <v>78.1549799524241</v>
      </c>
      <c r="BQ153" s="3">
        <f>[1]节奏总纲!CB152</f>
        <v>78.598533634779585</v>
      </c>
    </row>
    <row r="154" spans="3:69">
      <c r="C154" s="3">
        <v>150</v>
      </c>
      <c r="D154" s="3">
        <f>[1]节奏总纲!P153</f>
        <v>32767</v>
      </c>
      <c r="E154" s="3">
        <f>[1]节奏总纲!Q153</f>
        <v>27671.731500000002</v>
      </c>
      <c r="F154" s="3">
        <f>[1]节奏总纲!R153</f>
        <v>21996.487099999998</v>
      </c>
      <c r="G154" s="3">
        <f>[1]节奏总纲!S153</f>
        <v>15603.645400000001</v>
      </c>
      <c r="H154" s="3">
        <f>[1]节奏总纲!T153</f>
        <v>8355.5850000000009</v>
      </c>
      <c r="J154" s="3">
        <v>150</v>
      </c>
      <c r="K154" s="3">
        <f t="shared" si="12"/>
        <v>2194.3749333218802</v>
      </c>
      <c r="L154" s="3">
        <f t="shared" si="13"/>
        <v>1853.1496311903284</v>
      </c>
      <c r="M154" s="3">
        <f t="shared" si="14"/>
        <v>1476.1411552456448</v>
      </c>
      <c r="N154" s="3">
        <f t="shared" si="15"/>
        <v>1054.1331307678847</v>
      </c>
      <c r="O154" s="3">
        <f t="shared" si="16"/>
        <v>587.08097055709095</v>
      </c>
      <c r="Q154" s="3">
        <v>150</v>
      </c>
      <c r="R154" s="3">
        <f>[1]节奏总纲!AD153</f>
        <v>72.375871759353331</v>
      </c>
      <c r="S154" s="3">
        <f>[1]节奏总纲!AE153</f>
        <v>74.456724480300707</v>
      </c>
      <c r="T154" s="3">
        <f>[1]节奏总纲!AF153</f>
        <v>77.324097991611154</v>
      </c>
      <c r="U154" s="3">
        <f>[1]节奏总纲!AG153</f>
        <v>81.919202803497143</v>
      </c>
      <c r="V154" s="3">
        <f>[1]节奏总纲!AH153</f>
        <v>91.216133577135096</v>
      </c>
      <c r="AN154" s="3">
        <v>150</v>
      </c>
      <c r="AO154" s="3">
        <f>[1]节奏总纲!BA153</f>
        <v>40.751734485509814</v>
      </c>
      <c r="AP154" s="3">
        <f>[1]节奏总纲!BB153</f>
        <v>42.253930624755228</v>
      </c>
      <c r="AQ154" s="3">
        <f>[1]节奏总纲!BC153</f>
        <v>44.197188392263818</v>
      </c>
      <c r="AR154" s="3">
        <f>[1]节奏总纲!BD153</f>
        <v>46.946651928703787</v>
      </c>
      <c r="AS154" s="3">
        <f>[1]节奏总纲!BE153</f>
        <v>51.631666158055346</v>
      </c>
      <c r="BL154" s="3">
        <v>150</v>
      </c>
      <c r="BM154" s="3">
        <f>[1]节奏总纲!BX153</f>
        <v>77.429859113413457</v>
      </c>
      <c r="BN154" s="3">
        <f>[1]节奏总纲!BY153</f>
        <v>77.808541114473428</v>
      </c>
      <c r="BO154" s="3">
        <f>[1]节奏总纲!BZ153</f>
        <v>78.206550290005254</v>
      </c>
      <c r="BP154" s="3">
        <f>[1]节奏总纲!CA153</f>
        <v>78.628465142683979</v>
      </c>
      <c r="BQ154" s="3">
        <f>[1]节奏总纲!CB153</f>
        <v>79.108907766261424</v>
      </c>
    </row>
    <row r="155" spans="3:69">
      <c r="C155" s="3">
        <v>151</v>
      </c>
      <c r="D155" s="3">
        <f>[1]节奏总纲!P154</f>
        <v>35118.87282038921</v>
      </c>
      <c r="E155" s="3">
        <f>[1]节奏总纲!Q154</f>
        <v>29671.935645946844</v>
      </c>
      <c r="F155" s="3">
        <f>[1]节奏总纲!R154</f>
        <v>23592.858760737468</v>
      </c>
      <c r="G155" s="3">
        <f>[1]节奏总纲!S154</f>
        <v>16804.380644556237</v>
      </c>
      <c r="H155" s="3">
        <f>[1]节奏总纲!T154</f>
        <v>9095.7880604808051</v>
      </c>
      <c r="J155" s="3">
        <v>151</v>
      </c>
      <c r="K155" s="3">
        <f t="shared" si="12"/>
        <v>2351.8728203892097</v>
      </c>
      <c r="L155" s="3">
        <f t="shared" si="13"/>
        <v>2000.2041459468419</v>
      </c>
      <c r="M155" s="3">
        <f t="shared" si="14"/>
        <v>1596.3716607374699</v>
      </c>
      <c r="N155" s="3">
        <f t="shared" si="15"/>
        <v>1200.7352445562356</v>
      </c>
      <c r="O155" s="3">
        <f t="shared" si="16"/>
        <v>740.2030604808042</v>
      </c>
      <c r="Q155" s="3">
        <v>151</v>
      </c>
      <c r="R155" s="3">
        <f>[1]节奏总纲!AD154</f>
        <v>72.470630686057078</v>
      </c>
      <c r="S155" s="3">
        <f>[1]节奏总纲!AE154</f>
        <v>74.551162350245164</v>
      </c>
      <c r="T155" s="3">
        <f>[1]节奏总纲!AF154</f>
        <v>77.417546894912917</v>
      </c>
      <c r="U155" s="3">
        <f>[1]节奏总纲!AG154</f>
        <v>82.01744549958407</v>
      </c>
      <c r="V155" s="3">
        <f>[1]节奏总纲!AH154</f>
        <v>91.318661959892353</v>
      </c>
      <c r="AN155" s="3">
        <v>151</v>
      </c>
      <c r="AO155" s="3">
        <f>[1]节奏总纲!BA154</f>
        <v>40.798353678409647</v>
      </c>
      <c r="AP155" s="3">
        <f>[1]节奏总纲!BB154</f>
        <v>42.297321568414056</v>
      </c>
      <c r="AQ155" s="3">
        <f>[1]节奏总纲!BC154</f>
        <v>44.240280802770329</v>
      </c>
      <c r="AR155" s="3">
        <f>[1]节奏总纲!BD154</f>
        <v>46.994812035750606</v>
      </c>
      <c r="AS155" s="3">
        <f>[1]节奏总纲!BE154</f>
        <v>51.677877693893038</v>
      </c>
      <c r="BL155" s="3">
        <v>151</v>
      </c>
      <c r="BM155" s="3">
        <f>[1]节奏总纲!BX154</f>
        <v>77.918490985566862</v>
      </c>
      <c r="BN155" s="3">
        <f>[1]节奏总纲!BY154</f>
        <v>78.283647251084375</v>
      </c>
      <c r="BO155" s="3">
        <f>[1]节奏总纲!BZ154</f>
        <v>78.684578676520431</v>
      </c>
      <c r="BP155" s="3">
        <f>[1]节奏总纲!CA154</f>
        <v>79.145115266529871</v>
      </c>
      <c r="BQ155" s="3">
        <f>[1]节奏总纲!CB154</f>
        <v>79.683968750737293</v>
      </c>
    </row>
    <row r="156" spans="3:69">
      <c r="C156" s="3">
        <v>152</v>
      </c>
      <c r="D156" s="3">
        <f>[1]节奏总纲!P155</f>
        <v>37639.547696542824</v>
      </c>
      <c r="E156" s="3">
        <f>[1]节奏总纲!Q155</f>
        <v>31794.125939269725</v>
      </c>
      <c r="F156" s="3">
        <f>[1]节奏总纲!R155</f>
        <v>25425.514469014677</v>
      </c>
      <c r="G156" s="3">
        <f>[1]节奏总纲!S155</f>
        <v>18255.180632823271</v>
      </c>
      <c r="H156" s="3">
        <f>[1]节奏总纲!T155</f>
        <v>14114.830386203559</v>
      </c>
      <c r="J156" s="3">
        <v>152</v>
      </c>
      <c r="K156" s="3">
        <f t="shared" si="12"/>
        <v>2520.6748761536146</v>
      </c>
      <c r="L156" s="3">
        <f t="shared" si="13"/>
        <v>2122.1902933228812</v>
      </c>
      <c r="M156" s="3">
        <f t="shared" si="14"/>
        <v>1832.6557082772088</v>
      </c>
      <c r="N156" s="3">
        <f t="shared" si="15"/>
        <v>1450.7999882670338</v>
      </c>
      <c r="O156" s="3">
        <f t="shared" si="16"/>
        <v>5019.042325722754</v>
      </c>
      <c r="Q156" s="3">
        <v>152</v>
      </c>
      <c r="R156" s="3">
        <f>[1]节奏总纲!AD155</f>
        <v>72.565389612760825</v>
      </c>
      <c r="S156" s="3">
        <f>[1]节奏总纲!AE155</f>
        <v>74.645600220189607</v>
      </c>
      <c r="T156" s="3">
        <f>[1]节奏总纲!AF155</f>
        <v>77.51099579821468</v>
      </c>
      <c r="U156" s="3">
        <f>[1]节奏总纲!AG155</f>
        <v>82.110321933176039</v>
      </c>
      <c r="V156" s="3">
        <f>[1]节奏总纲!AH155</f>
        <v>91.421190342649595</v>
      </c>
      <c r="AN156" s="3">
        <v>152</v>
      </c>
      <c r="AO156" s="3">
        <f>[1]节奏总纲!BA155</f>
        <v>40.84497287130948</v>
      </c>
      <c r="AP156" s="3">
        <f>[1]节奏总纲!BB155</f>
        <v>42.340712512072891</v>
      </c>
      <c r="AQ156" s="3">
        <f>[1]节奏总纲!BC155</f>
        <v>44.283373213276832</v>
      </c>
      <c r="AR156" s="3">
        <f>[1]节奏总纲!BD155</f>
        <v>47.037096473408994</v>
      </c>
      <c r="AS156" s="3">
        <f>[1]节奏总纲!BE155</f>
        <v>51.72408922973073</v>
      </c>
      <c r="BL156" s="3">
        <v>152</v>
      </c>
      <c r="BM156" s="3">
        <f>[1]节奏总纲!BX155</f>
        <v>78.382397883778651</v>
      </c>
      <c r="BN156" s="3">
        <f>[1]节奏总纲!BY155</f>
        <v>78.760259571422736</v>
      </c>
      <c r="BO156" s="3">
        <f>[1]节奏总纲!BZ155</f>
        <v>79.201814062049863</v>
      </c>
      <c r="BP156" s="3">
        <f>[1]节奏总纲!CA155</f>
        <v>79.708675804221045</v>
      </c>
      <c r="BQ156" s="3">
        <f>[1]节奏总纲!CB155</f>
        <v>80</v>
      </c>
    </row>
    <row r="157" spans="3:69">
      <c r="C157" s="3">
        <v>153</v>
      </c>
      <c r="D157" s="3">
        <f>[1]节奏总纲!P156</f>
        <v>40341.140136486232</v>
      </c>
      <c r="E157" s="3">
        <f>[1]节奏总纲!Q156</f>
        <v>34330.31025614978</v>
      </c>
      <c r="F157" s="3">
        <f>[1]节奏总纲!R156</f>
        <v>27552.998713220099</v>
      </c>
      <c r="G157" s="3">
        <f>[1]节奏总纲!S156</f>
        <v>24204.684081891737</v>
      </c>
      <c r="H157" s="3">
        <f>[1]节奏总纲!T156</f>
        <v>24204.684081891737</v>
      </c>
      <c r="J157" s="3">
        <v>153</v>
      </c>
      <c r="K157" s="3">
        <f t="shared" si="12"/>
        <v>2701.592439943408</v>
      </c>
      <c r="L157" s="3">
        <f t="shared" si="13"/>
        <v>2536.1843168800551</v>
      </c>
      <c r="M157" s="3">
        <f t="shared" si="14"/>
        <v>2127.4842442054214</v>
      </c>
      <c r="N157" s="3">
        <f t="shared" si="15"/>
        <v>5949.5034490684666</v>
      </c>
      <c r="O157" s="3">
        <f t="shared" si="16"/>
        <v>10089.853695688178</v>
      </c>
      <c r="Q157" s="3">
        <v>153</v>
      </c>
      <c r="R157" s="3">
        <f>[1]节奏总纲!AD156</f>
        <v>72.660148539464572</v>
      </c>
      <c r="S157" s="3">
        <f>[1]节奏总纲!AE156</f>
        <v>74.74003809013405</v>
      </c>
      <c r="T157" s="3">
        <f>[1]节奏总纲!AF156</f>
        <v>77.604444701516456</v>
      </c>
      <c r="U157" s="3">
        <f>[1]节奏总纲!AG156</f>
        <v>82.203198366767992</v>
      </c>
      <c r="V157" s="3">
        <f>[1]节奏总纲!AH156</f>
        <v>91.523718725406852</v>
      </c>
      <c r="AN157" s="3">
        <v>153</v>
      </c>
      <c r="AO157" s="3">
        <f>[1]节奏总纲!BA156</f>
        <v>40.891592064209313</v>
      </c>
      <c r="AP157" s="3">
        <f>[1]节奏总纲!BB156</f>
        <v>42.384103455731719</v>
      </c>
      <c r="AQ157" s="3">
        <f>[1]节奏总纲!BC156</f>
        <v>44.326465623783335</v>
      </c>
      <c r="AR157" s="3">
        <f>[1]节奏总纲!BD156</f>
        <v>47.078671550054786</v>
      </c>
      <c r="AS157" s="3">
        <f>[1]节奏总纲!BE156</f>
        <v>51.770300765568422</v>
      </c>
      <c r="BL157" s="3">
        <v>153</v>
      </c>
      <c r="BM157" s="3">
        <f>[1]节奏总纲!BX156</f>
        <v>78.867787811519349</v>
      </c>
      <c r="BN157" s="3">
        <f>[1]节奏总纲!BY156</f>
        <v>79.28525743882193</v>
      </c>
      <c r="BO157" s="3">
        <f>[1]节奏总纲!BZ156</f>
        <v>79.75275890824517</v>
      </c>
      <c r="BP157" s="3">
        <f>[1]节奏总纲!CA156</f>
        <v>80</v>
      </c>
      <c r="BQ157" s="3">
        <f>[1]节奏总纲!CB156</f>
        <v>80</v>
      </c>
    </row>
    <row r="158" spans="3:69">
      <c r="C158" s="3">
        <v>154</v>
      </c>
      <c r="D158" s="3">
        <f>[1]节奏总纲!P157</f>
        <v>43236.635220206183</v>
      </c>
      <c r="E158" s="3">
        <f>[1]节奏总纲!Q157</f>
        <v>36967.323113276288</v>
      </c>
      <c r="F158" s="3">
        <f>[1]节奏总纲!R157</f>
        <v>33940.758647861854</v>
      </c>
      <c r="G158" s="3">
        <f>[1]节奏总纲!S157</f>
        <v>34156.941823962887</v>
      </c>
      <c r="H158" s="3">
        <f>[1]节奏总纲!T157</f>
        <v>34156.941823962887</v>
      </c>
      <c r="J158" s="3">
        <v>154</v>
      </c>
      <c r="K158" s="3">
        <f t="shared" si="12"/>
        <v>2895.4950837199503</v>
      </c>
      <c r="L158" s="3">
        <f t="shared" si="13"/>
        <v>2637.0128571265086</v>
      </c>
      <c r="M158" s="3">
        <f t="shared" si="14"/>
        <v>6387.7599346417555</v>
      </c>
      <c r="N158" s="3">
        <f t="shared" si="15"/>
        <v>9952.2577420711496</v>
      </c>
      <c r="O158" s="3">
        <f t="shared" si="16"/>
        <v>9952.2577420711496</v>
      </c>
      <c r="Q158" s="3">
        <v>154</v>
      </c>
      <c r="R158" s="3">
        <f>[1]节奏总纲!AD157</f>
        <v>72.754907466168333</v>
      </c>
      <c r="S158" s="3">
        <f>[1]节奏总纲!AE157</f>
        <v>74.834475960078507</v>
      </c>
      <c r="T158" s="3">
        <f>[1]节奏总纲!AF157</f>
        <v>77.697893604818219</v>
      </c>
      <c r="U158" s="3">
        <f>[1]节奏总纲!AG157</f>
        <v>82.29607480035996</v>
      </c>
      <c r="V158" s="3">
        <f>[1]节奏总纲!AH157</f>
        <v>91.626247108164094</v>
      </c>
      <c r="AN158" s="3">
        <v>154</v>
      </c>
      <c r="AO158" s="3">
        <f>[1]节奏总纲!BA157</f>
        <v>40.938211257109145</v>
      </c>
      <c r="AP158" s="3">
        <f>[1]节奏总纲!BB157</f>
        <v>42.427494399390554</v>
      </c>
      <c r="AQ158" s="3">
        <f>[1]节奏总纲!BC157</f>
        <v>44.369558034289838</v>
      </c>
      <c r="AR158" s="3">
        <f>[1]节奏总纲!BD157</f>
        <v>47.12024662670057</v>
      </c>
      <c r="AS158" s="3">
        <f>[1]节奏总纲!BE157</f>
        <v>51.816512301406114</v>
      </c>
      <c r="BL158" s="3">
        <v>154</v>
      </c>
      <c r="BM158" s="3">
        <f>[1]节奏总纲!BX157</f>
        <v>79.335561067249373</v>
      </c>
      <c r="BN158" s="3">
        <f>[1]节奏总纲!BY157</f>
        <v>79.797428791068725</v>
      </c>
      <c r="BO158" s="3">
        <f>[1]节奏总纲!BZ157</f>
        <v>80</v>
      </c>
      <c r="BP158" s="3">
        <f>[1]节奏总纲!CA157</f>
        <v>80</v>
      </c>
      <c r="BQ158" s="3">
        <f>[1]节奏总纲!CB157</f>
        <v>80</v>
      </c>
    </row>
    <row r="159" spans="3:69">
      <c r="C159" s="3">
        <v>155</v>
      </c>
      <c r="D159" s="3">
        <f>[1]节奏总纲!P158</f>
        <v>46339.950011841604</v>
      </c>
      <c r="E159" s="3">
        <f>[1]节奏总纲!Q158</f>
        <v>44078.560451263736</v>
      </c>
      <c r="F159" s="3">
        <f>[1]节奏总纲!R158</f>
        <v>44402.940101346627</v>
      </c>
      <c r="G159" s="3">
        <f>[1]节奏总纲!S158</f>
        <v>44402.940101346627</v>
      </c>
      <c r="H159" s="3">
        <f>[1]节奏总纲!T158</f>
        <v>44541.959951382152</v>
      </c>
      <c r="J159" s="3">
        <v>155</v>
      </c>
      <c r="K159" s="3">
        <f t="shared" si="12"/>
        <v>3103.314791635421</v>
      </c>
      <c r="L159" s="3">
        <f t="shared" si="13"/>
        <v>7111.237337987448</v>
      </c>
      <c r="M159" s="3">
        <f t="shared" si="14"/>
        <v>10462.181453484773</v>
      </c>
      <c r="N159" s="3">
        <f t="shared" si="15"/>
        <v>10245.99827738374</v>
      </c>
      <c r="O159" s="3">
        <f t="shared" si="16"/>
        <v>10385.018127419266</v>
      </c>
      <c r="Q159" s="3">
        <v>155</v>
      </c>
      <c r="R159" s="3">
        <f>[1]节奏总纲!AD158</f>
        <v>72.849666392872081</v>
      </c>
      <c r="S159" s="3">
        <f>[1]节奏总纲!AE158</f>
        <v>74.92891383002295</v>
      </c>
      <c r="T159" s="3">
        <f>[1]节奏总纲!AF158</f>
        <v>77.791342508119982</v>
      </c>
      <c r="U159" s="3">
        <f>[1]节奏总纲!AG158</f>
        <v>82.388951233951914</v>
      </c>
      <c r="V159" s="3">
        <f>[1]节奏总纲!AH158</f>
        <v>91.72877549092135</v>
      </c>
      <c r="AN159" s="3">
        <v>155</v>
      </c>
      <c r="AO159" s="3">
        <f>[1]节奏总纲!BA158</f>
        <v>40.984830450008985</v>
      </c>
      <c r="AP159" s="3">
        <f>[1]节奏总纲!BB158</f>
        <v>42.470885343049382</v>
      </c>
      <c r="AQ159" s="3">
        <f>[1]节奏总纲!BC158</f>
        <v>44.412650444796341</v>
      </c>
      <c r="AR159" s="3">
        <f>[1]节奏总纲!BD158</f>
        <v>47.161821703346362</v>
      </c>
      <c r="AS159" s="3">
        <f>[1]节奏总纲!BE158</f>
        <v>51.862723837243806</v>
      </c>
      <c r="BL159" s="3">
        <v>155</v>
      </c>
      <c r="BM159" s="3">
        <f>[1]节奏总纲!BX158</f>
        <v>79.8177517942256</v>
      </c>
      <c r="BN159" s="3">
        <f>[1]节奏总纲!BY158</f>
        <v>80</v>
      </c>
      <c r="BO159" s="3">
        <f>[1]节奏总纲!BZ158</f>
        <v>80</v>
      </c>
      <c r="BP159" s="3">
        <f>[1]节奏总纲!CA158</f>
        <v>80</v>
      </c>
      <c r="BQ159" s="3">
        <f>[1]节奏总纲!CB158</f>
        <v>80</v>
      </c>
    </row>
    <row r="160" spans="3:69">
      <c r="C160" s="3">
        <v>156</v>
      </c>
      <c r="D160" s="3">
        <f>[1]节奏总纲!P159</f>
        <v>49666.000451412707</v>
      </c>
      <c r="E160" s="3">
        <f>[1]节奏总纲!Q159</f>
        <v>49666.000451412707</v>
      </c>
      <c r="F160" s="3">
        <f>[1]节奏总纲!R159</f>
        <v>50162.660455926831</v>
      </c>
      <c r="G160" s="3">
        <f>[1]节奏总纲!S159</f>
        <v>50162.660455926831</v>
      </c>
      <c r="H160" s="3">
        <f>[1]节奏总纲!T159</f>
        <v>50311.658457281068</v>
      </c>
      <c r="J160" s="3">
        <v>156</v>
      </c>
      <c r="K160" s="3">
        <f t="shared" si="12"/>
        <v>3326.0504395711032</v>
      </c>
      <c r="L160" s="3">
        <f t="shared" si="13"/>
        <v>5587.4400001489703</v>
      </c>
      <c r="M160" s="3">
        <f t="shared" si="14"/>
        <v>5759.720354580204</v>
      </c>
      <c r="N160" s="3">
        <f t="shared" si="15"/>
        <v>5759.720354580204</v>
      </c>
      <c r="O160" s="3">
        <f t="shared" si="16"/>
        <v>5769.6985058989158</v>
      </c>
      <c r="Q160" s="3">
        <v>156</v>
      </c>
      <c r="R160" s="3">
        <f>[1]节奏总纲!AD159</f>
        <v>72.944425319575828</v>
      </c>
      <c r="S160" s="3">
        <f>[1]节奏总纲!AE159</f>
        <v>75.022035011469043</v>
      </c>
      <c r="T160" s="3">
        <f>[1]节奏总纲!AF159</f>
        <v>77.884791411421745</v>
      </c>
      <c r="U160" s="3">
        <f>[1]节奏总纲!AG159</f>
        <v>82.481827667543882</v>
      </c>
      <c r="V160" s="3">
        <f>[1]节奏总纲!AH159</f>
        <v>91.831303873678593</v>
      </c>
      <c r="AN160" s="3">
        <v>156</v>
      </c>
      <c r="AO160" s="3">
        <f>[1]节奏总纲!BA159</f>
        <v>41.027136894088379</v>
      </c>
      <c r="AP160" s="3">
        <f>[1]节奏总纲!BB159</f>
        <v>42.51427628670821</v>
      </c>
      <c r="AQ160" s="3">
        <f>[1]节奏总纲!BC159</f>
        <v>44.455742855302844</v>
      </c>
      <c r="AR160" s="3">
        <f>[1]节奏总纲!BD159</f>
        <v>47.203396779992147</v>
      </c>
      <c r="AS160" s="3">
        <f>[1]节奏总纲!BE159</f>
        <v>51.908935373081505</v>
      </c>
      <c r="BL160" s="3">
        <v>156</v>
      </c>
      <c r="BM160" s="3">
        <f>[1]节奏总纲!BX159</f>
        <v>80</v>
      </c>
      <c r="BN160" s="3">
        <f>[1]节奏总纲!BY159</f>
        <v>80</v>
      </c>
      <c r="BO160" s="3">
        <f>[1]节奏总纲!BZ159</f>
        <v>80</v>
      </c>
      <c r="BP160" s="3">
        <f>[1]节奏总纲!CA159</f>
        <v>80</v>
      </c>
      <c r="BQ160" s="3">
        <f>[1]节奏总纲!CB159</f>
        <v>80</v>
      </c>
    </row>
    <row r="161" spans="3:69">
      <c r="C161" s="3">
        <v>157</v>
      </c>
      <c r="D161" s="3">
        <f>[1]节奏总纲!P160</f>
        <v>53230.773047602182</v>
      </c>
      <c r="E161" s="3">
        <f>[1]节奏总纲!Q160</f>
        <v>53230.773047602182</v>
      </c>
      <c r="F161" s="3">
        <f>[1]节奏总纲!R160</f>
        <v>53763.080778078205</v>
      </c>
      <c r="G161" s="3">
        <f>[1]节奏总纲!S160</f>
        <v>53763.080778078205</v>
      </c>
      <c r="H161" s="3">
        <f>[1]节奏总纲!T160</f>
        <v>53763.080778078205</v>
      </c>
      <c r="J161" s="3">
        <v>157</v>
      </c>
      <c r="K161" s="3">
        <f t="shared" si="12"/>
        <v>3564.7725961894757</v>
      </c>
      <c r="L161" s="3">
        <f t="shared" si="13"/>
        <v>3564.7725961894757</v>
      </c>
      <c r="M161" s="3">
        <f t="shared" si="14"/>
        <v>3600.4203221513744</v>
      </c>
      <c r="N161" s="3">
        <f t="shared" si="15"/>
        <v>3600.4203221513744</v>
      </c>
      <c r="O161" s="3">
        <f t="shared" si="16"/>
        <v>3451.4223207971372</v>
      </c>
      <c r="Q161" s="3">
        <v>157</v>
      </c>
      <c r="R161" s="3">
        <f>[1]节奏总纲!AD160</f>
        <v>73.036560194527354</v>
      </c>
      <c r="S161" s="3">
        <f>[1]节奏总纲!AE160</f>
        <v>75.111147990406067</v>
      </c>
      <c r="T161" s="3">
        <f>[1]节奏总纲!AF160</f>
        <v>77.978240314723507</v>
      </c>
      <c r="U161" s="3">
        <f>[1]节奏总纲!AG160</f>
        <v>82.574704101135836</v>
      </c>
      <c r="V161" s="3">
        <f>[1]节奏总纲!AH160</f>
        <v>91.933832256435849</v>
      </c>
      <c r="AN161" s="3">
        <v>157</v>
      </c>
      <c r="AO161" s="3">
        <f>[1]节奏总纲!BA160</f>
        <v>41.067363109180121</v>
      </c>
      <c r="AP161" s="3">
        <f>[1]节奏总纲!BB160</f>
        <v>42.557667230367045</v>
      </c>
      <c r="AQ161" s="3">
        <f>[1]节奏总纲!BC160</f>
        <v>44.498835265809355</v>
      </c>
      <c r="AR161" s="3">
        <f>[1]节奏总纲!BD160</f>
        <v>47.244971856637939</v>
      </c>
      <c r="AS161" s="3">
        <f>[1]节奏总纲!BE160</f>
        <v>51.955146908919197</v>
      </c>
      <c r="BL161" s="3">
        <v>157</v>
      </c>
      <c r="BM161" s="3">
        <f>[1]节奏总纲!BX160</f>
        <v>80</v>
      </c>
      <c r="BN161" s="3">
        <f>[1]节奏总纲!BY160</f>
        <v>80</v>
      </c>
      <c r="BO161" s="3">
        <f>[1]节奏总纲!BZ160</f>
        <v>80</v>
      </c>
      <c r="BP161" s="3">
        <f>[1]节奏总纲!CA160</f>
        <v>80</v>
      </c>
      <c r="BQ161" s="3">
        <f>[1]节奏总纲!CB160</f>
        <v>80</v>
      </c>
    </row>
    <row r="162" spans="3:69">
      <c r="C162" s="3">
        <v>158</v>
      </c>
      <c r="D162" s="3">
        <f>[1]节奏总纲!P161</f>
        <v>57051.401716174769</v>
      </c>
      <c r="E162" s="3">
        <f>[1]节奏总纲!Q161</f>
        <v>57051.401716174769</v>
      </c>
      <c r="F162" s="3">
        <f>[1]节奏总纲!R161</f>
        <v>57621.915733336515</v>
      </c>
      <c r="G162" s="3">
        <f>[1]节奏总纲!S161</f>
        <v>57621.915733336515</v>
      </c>
      <c r="H162" s="3">
        <f>[1]节奏总纲!T161</f>
        <v>57621.915733336515</v>
      </c>
      <c r="J162" s="3">
        <v>158</v>
      </c>
      <c r="K162" s="3">
        <f t="shared" si="12"/>
        <v>3820.6286685725863</v>
      </c>
      <c r="L162" s="3">
        <f t="shared" si="13"/>
        <v>3820.6286685725863</v>
      </c>
      <c r="M162" s="3">
        <f t="shared" si="14"/>
        <v>3858.8349552583095</v>
      </c>
      <c r="N162" s="3">
        <f t="shared" si="15"/>
        <v>3858.8349552583095</v>
      </c>
      <c r="O162" s="3">
        <f t="shared" si="16"/>
        <v>3858.8349552583095</v>
      </c>
      <c r="Q162" s="3">
        <v>158</v>
      </c>
      <c r="R162" s="3">
        <f>[1]节奏总纲!AD161</f>
        <v>73.124973399384572</v>
      </c>
      <c r="S162" s="3">
        <f>[1]节奏总纲!AE161</f>
        <v>75.200260969343077</v>
      </c>
      <c r="T162" s="3">
        <f>[1]节奏总纲!AF161</f>
        <v>78.066694029528094</v>
      </c>
      <c r="U162" s="3">
        <f>[1]节奏总纲!AG161</f>
        <v>82.667580534727804</v>
      </c>
      <c r="V162" s="3">
        <f>[1]节奏总纲!AH161</f>
        <v>92.033129415212969</v>
      </c>
      <c r="AN162" s="3">
        <v>158</v>
      </c>
      <c r="AO162" s="3">
        <f>[1]节奏总纲!BA161</f>
        <v>41.107589324271871</v>
      </c>
      <c r="AP162" s="3">
        <f>[1]节奏总纲!BB161</f>
        <v>42.601058174025873</v>
      </c>
      <c r="AQ162" s="3">
        <f>[1]节奏总纲!BC161</f>
        <v>44.541927676315858</v>
      </c>
      <c r="AR162" s="3">
        <f>[1]节奏总纲!BD161</f>
        <v>47.286546933283724</v>
      </c>
      <c r="AS162" s="3">
        <f>[1]节奏总纲!BE161</f>
        <v>52.001173105835825</v>
      </c>
      <c r="BL162" s="3">
        <v>158</v>
      </c>
      <c r="BM162" s="3">
        <f>[1]节奏总纲!BX161</f>
        <v>80</v>
      </c>
      <c r="BN162" s="3">
        <f>[1]节奏总纲!BY161</f>
        <v>80</v>
      </c>
      <c r="BO162" s="3">
        <f>[1]节奏总纲!BZ161</f>
        <v>80</v>
      </c>
      <c r="BP162" s="3">
        <f>[1]节奏总纲!CA161</f>
        <v>80</v>
      </c>
      <c r="BQ162" s="3">
        <f>[1]节奏总纲!CB161</f>
        <v>80</v>
      </c>
    </row>
    <row r="163" spans="3:69">
      <c r="C163" s="3">
        <v>159</v>
      </c>
      <c r="D163" s="3">
        <f>[1]节奏总纲!P162</f>
        <v>61146.25013335624</v>
      </c>
      <c r="E163" s="3">
        <f>[1]节奏总纲!Q162</f>
        <v>61146.25013335624</v>
      </c>
      <c r="F163" s="3">
        <f>[1]节奏总纲!R162</f>
        <v>61757.7126346898</v>
      </c>
      <c r="G163" s="3">
        <f>[1]节奏总纲!S162</f>
        <v>61757.7126346898</v>
      </c>
      <c r="H163" s="3">
        <f>[1]节奏总纲!T162</f>
        <v>61757.7126346898</v>
      </c>
      <c r="J163" s="3">
        <v>159</v>
      </c>
      <c r="K163" s="3">
        <f t="shared" si="12"/>
        <v>4094.8484171814707</v>
      </c>
      <c r="L163" s="3">
        <f t="shared" si="13"/>
        <v>4094.8484171814707</v>
      </c>
      <c r="M163" s="3">
        <f t="shared" si="14"/>
        <v>4135.7969013532856</v>
      </c>
      <c r="N163" s="3">
        <f t="shared" si="15"/>
        <v>4135.7969013532856</v>
      </c>
      <c r="O163" s="3">
        <f t="shared" si="16"/>
        <v>4135.7969013532856</v>
      </c>
      <c r="Q163" s="3">
        <v>159</v>
      </c>
      <c r="R163" s="3">
        <f>[1]节奏总纲!AD162</f>
        <v>73.213386604241791</v>
      </c>
      <c r="S163" s="3">
        <f>[1]节奏总纲!AE162</f>
        <v>75.289373948280101</v>
      </c>
      <c r="T163" s="3">
        <f>[1]节奏总纲!AF162</f>
        <v>78.153631564737054</v>
      </c>
      <c r="U163" s="3">
        <f>[1]节奏总纲!AG162</f>
        <v>82.760456968319758</v>
      </c>
      <c r="V163" s="3">
        <f>[1]节奏总纲!AH162</f>
        <v>92.126546512350387</v>
      </c>
      <c r="AN163" s="3">
        <v>159</v>
      </c>
      <c r="AO163" s="3">
        <f>[1]节奏总纲!BA162</f>
        <v>41.147815539363613</v>
      </c>
      <c r="AP163" s="3">
        <f>[1]节奏总纲!BB162</f>
        <v>42.644449117684701</v>
      </c>
      <c r="AQ163" s="3">
        <f>[1]节奏总纲!BC162</f>
        <v>44.585020086822361</v>
      </c>
      <c r="AR163" s="3">
        <f>[1]节奏总纲!BD162</f>
        <v>47.328122009929508</v>
      </c>
      <c r="AS163" s="3">
        <f>[1]节奏总纲!BE162</f>
        <v>52.041079787427918</v>
      </c>
      <c r="BL163" s="3">
        <v>159</v>
      </c>
      <c r="BM163" s="3">
        <f>[1]节奏总纲!BX162</f>
        <v>80</v>
      </c>
      <c r="BN163" s="3">
        <f>[1]节奏总纲!BY162</f>
        <v>80</v>
      </c>
      <c r="BO163" s="3">
        <f>[1]节奏总纲!BZ162</f>
        <v>80</v>
      </c>
      <c r="BP163" s="3">
        <f>[1]节奏总纲!CA162</f>
        <v>80</v>
      </c>
      <c r="BQ163" s="3">
        <f>[1]节奏总纲!CB162</f>
        <v>80</v>
      </c>
    </row>
    <row r="164" spans="3:69">
      <c r="C164" s="3">
        <v>160</v>
      </c>
      <c r="D164" s="3">
        <f>[1]节奏总纲!P163</f>
        <v>65535</v>
      </c>
      <c r="E164" s="3">
        <f>[1]节奏总纲!Q163</f>
        <v>65535</v>
      </c>
      <c r="F164" s="3">
        <f>[1]节奏总纲!R163</f>
        <v>66190.350000000006</v>
      </c>
      <c r="G164" s="3">
        <f>[1]节奏总纲!S163</f>
        <v>66190.350000000006</v>
      </c>
      <c r="H164" s="3">
        <f>[1]节奏总纲!T163</f>
        <v>66190.350000000006</v>
      </c>
      <c r="J164" s="3">
        <v>160</v>
      </c>
      <c r="K164" s="3">
        <f t="shared" si="12"/>
        <v>4388.7498666437605</v>
      </c>
      <c r="L164" s="3">
        <f t="shared" si="13"/>
        <v>4388.7498666437605</v>
      </c>
      <c r="M164" s="3">
        <f t="shared" si="14"/>
        <v>4432.6373653102055</v>
      </c>
      <c r="N164" s="3">
        <f t="shared" si="15"/>
        <v>4432.6373653102055</v>
      </c>
      <c r="O164" s="3">
        <f t="shared" si="16"/>
        <v>4432.6373653102055</v>
      </c>
      <c r="Q164" s="3">
        <v>160</v>
      </c>
      <c r="R164" s="3">
        <f>[1]节奏总纲!AD163</f>
        <v>73.301799809099009</v>
      </c>
      <c r="S164" s="3">
        <f>[1]节奏总纲!AE163</f>
        <v>75.378486927217125</v>
      </c>
      <c r="T164" s="3">
        <f>[1]节奏总纲!AF163</f>
        <v>78.240569099946029</v>
      </c>
      <c r="U164" s="3">
        <f>[1]节奏总纲!AG163</f>
        <v>82.853333401911726</v>
      </c>
      <c r="V164" s="3">
        <f>[1]节奏总纲!AH163</f>
        <v>92.219963609487792</v>
      </c>
      <c r="AN164" s="3">
        <v>160</v>
      </c>
      <c r="AO164" s="3">
        <f>[1]节奏总纲!BA163</f>
        <v>41.188041754455355</v>
      </c>
      <c r="AP164" s="3">
        <f>[1]节奏总纲!BB163</f>
        <v>42.687840061343536</v>
      </c>
      <c r="AQ164" s="3">
        <f>[1]节奏总纲!BC163</f>
        <v>44.628112497328864</v>
      </c>
      <c r="AR164" s="3">
        <f>[1]节奏总纲!BD163</f>
        <v>47.3696970865753</v>
      </c>
      <c r="AS164" s="3">
        <f>[1]节奏总纲!BE163</f>
        <v>52.080986469020011</v>
      </c>
      <c r="BL164" s="3">
        <v>160</v>
      </c>
      <c r="BM164" s="3">
        <f>[1]节奏总纲!BX163</f>
        <v>80</v>
      </c>
      <c r="BN164" s="3">
        <f>[1]节奏总纲!BY163</f>
        <v>80</v>
      </c>
      <c r="BO164" s="3">
        <f>[1]节奏总纲!BZ163</f>
        <v>80</v>
      </c>
      <c r="BP164" s="3">
        <f>[1]节奏总纲!CA163</f>
        <v>80</v>
      </c>
      <c r="BQ164" s="3">
        <f>[1]节奏总纲!CB163</f>
        <v>80</v>
      </c>
    </row>
    <row r="165" spans="3:69">
      <c r="Q165" s="3">
        <v>161</v>
      </c>
      <c r="R165" s="3">
        <f>[1]节奏总纲!AD164</f>
        <v>73.390213013956213</v>
      </c>
      <c r="S165" s="3">
        <f>[1]节奏总纲!AE164</f>
        <v>75.467599906154135</v>
      </c>
      <c r="T165" s="3">
        <f>[1]节奏总纲!AF164</f>
        <v>78.32750663515499</v>
      </c>
      <c r="U165" s="3">
        <f>[1]节奏总纲!AG164</f>
        <v>82.94620983550368</v>
      </c>
      <c r="V165" s="3">
        <f>[1]节奏总纲!AH164</f>
        <v>92.313380706625196</v>
      </c>
      <c r="AN165" s="3">
        <v>161</v>
      </c>
      <c r="AO165" s="3">
        <f>[1]节奏总纲!BA164</f>
        <v>41.228267969547105</v>
      </c>
      <c r="AP165" s="3">
        <f>[1]节奏总纲!BB164</f>
        <v>42.731231005002364</v>
      </c>
      <c r="AQ165" s="3">
        <f>[1]节奏总纲!BC164</f>
        <v>44.671204907835367</v>
      </c>
      <c r="AR165" s="3">
        <f>[1]节奏总纲!BD164</f>
        <v>47.411272163221085</v>
      </c>
      <c r="AS165" s="3">
        <f>[1]节奏总纲!BE164</f>
        <v>52.120893150612112</v>
      </c>
    </row>
    <row r="166" spans="3:69">
      <c r="Q166" s="3">
        <v>162</v>
      </c>
      <c r="R166" s="3">
        <f>[1]节奏总纲!AD165</f>
        <v>73.478626218813432</v>
      </c>
      <c r="S166" s="3">
        <f>[1]节奏总纲!AE165</f>
        <v>75.556712885091159</v>
      </c>
      <c r="T166" s="3">
        <f>[1]节奏总纲!AF165</f>
        <v>78.414444170363964</v>
      </c>
      <c r="U166" s="3">
        <f>[1]节奏总纲!AG165</f>
        <v>83.036921590135321</v>
      </c>
      <c r="V166" s="3">
        <f>[1]节奏总纲!AH165</f>
        <v>92.406797803762601</v>
      </c>
      <c r="AN166" s="3">
        <v>162</v>
      </c>
      <c r="AO166" s="3">
        <f>[1]节奏总纲!BA165</f>
        <v>41.268494184638847</v>
      </c>
      <c r="AP166" s="3">
        <f>[1]节奏总纲!BB165</f>
        <v>42.774621948661192</v>
      </c>
      <c r="AQ166" s="3">
        <f>[1]节奏总纲!BC165</f>
        <v>44.714297318341877</v>
      </c>
      <c r="AR166" s="3">
        <f>[1]节奏总纲!BD165</f>
        <v>47.452847239866877</v>
      </c>
      <c r="AS166" s="3">
        <f>[1]节奏总纲!BE165</f>
        <v>52.160799832204205</v>
      </c>
    </row>
    <row r="167" spans="3:69">
      <c r="Q167" s="3">
        <v>163</v>
      </c>
      <c r="R167" s="3">
        <f>[1]节奏总纲!AD166</f>
        <v>73.56703942367065</v>
      </c>
      <c r="S167" s="3">
        <f>[1]节奏总纲!AE166</f>
        <v>75.645825864028183</v>
      </c>
      <c r="T167" s="3">
        <f>[1]节奏总纲!AF166</f>
        <v>78.501381705572925</v>
      </c>
      <c r="U167" s="3">
        <f>[1]节奏总纲!AG166</f>
        <v>83.124654333465756</v>
      </c>
      <c r="V167" s="3">
        <f>[1]节奏总纲!AH166</f>
        <v>92.500214900900005</v>
      </c>
      <c r="AN167" s="3">
        <v>163</v>
      </c>
      <c r="AO167" s="3">
        <f>[1]节奏总纲!BA166</f>
        <v>41.308720399730589</v>
      </c>
      <c r="AP167" s="3">
        <f>[1]节奏总纲!BB166</f>
        <v>42.818012892320027</v>
      </c>
      <c r="AQ167" s="3">
        <f>[1]节奏总纲!BC166</f>
        <v>44.757389728848381</v>
      </c>
      <c r="AR167" s="3">
        <f>[1]节奏总纲!BD166</f>
        <v>47.494422316512662</v>
      </c>
      <c r="AS167" s="3">
        <f>[1]节奏总纲!BE166</f>
        <v>52.200706513796298</v>
      </c>
    </row>
    <row r="168" spans="3:69">
      <c r="Q168" s="3">
        <v>164</v>
      </c>
      <c r="R168" s="3">
        <f>[1]节奏总纲!AD167</f>
        <v>73.655452628527868</v>
      </c>
      <c r="S168" s="3">
        <f>[1]节奏总纲!AE167</f>
        <v>75.734938842965192</v>
      </c>
      <c r="T168" s="3">
        <f>[1]节奏总纲!AF167</f>
        <v>78.5883192407819</v>
      </c>
      <c r="U168" s="3">
        <f>[1]节奏总纲!AG167</f>
        <v>83.21238707679619</v>
      </c>
      <c r="V168" s="3">
        <f>[1]节奏总纲!AH167</f>
        <v>92.593631998037409</v>
      </c>
      <c r="AN168" s="3">
        <v>164</v>
      </c>
      <c r="AO168" s="3">
        <f>[1]节奏总纲!BA167</f>
        <v>41.348946614822331</v>
      </c>
      <c r="AP168" s="3">
        <f>[1]节奏总纲!BB167</f>
        <v>42.861403835978855</v>
      </c>
      <c r="AQ168" s="3">
        <f>[1]节奏总纲!BC167</f>
        <v>44.800482139354884</v>
      </c>
      <c r="AR168" s="3">
        <f>[1]节奏总纲!BD167</f>
        <v>47.535997393158453</v>
      </c>
      <c r="AS168" s="3">
        <f>[1]节奏总纲!BE167</f>
        <v>52.240613195388391</v>
      </c>
    </row>
    <row r="169" spans="3:69">
      <c r="Q169" s="3">
        <v>165</v>
      </c>
      <c r="R169" s="3">
        <f>[1]节奏总纲!AD168</f>
        <v>73.743865833385087</v>
      </c>
      <c r="S169" s="3">
        <f>[1]节奏总纲!AE168</f>
        <v>75.824051821902216</v>
      </c>
      <c r="T169" s="3">
        <f>[1]节奏总纲!AF168</f>
        <v>78.67525677599086</v>
      </c>
      <c r="U169" s="3">
        <f>[1]节奏总纲!AG168</f>
        <v>83.300119820126625</v>
      </c>
      <c r="V169" s="3">
        <f>[1]节奏总纲!AH168</f>
        <v>92.687049095174814</v>
      </c>
      <c r="AN169" s="3">
        <v>165</v>
      </c>
      <c r="AO169" s="3">
        <f>[1]节奏总纲!BA168</f>
        <v>41.389172829914081</v>
      </c>
      <c r="AP169" s="3">
        <f>[1]节奏总纲!BB168</f>
        <v>42.904794779637683</v>
      </c>
      <c r="AQ169" s="3">
        <f>[1]节奏总纲!BC168</f>
        <v>44.843574549861387</v>
      </c>
      <c r="AR169" s="3">
        <f>[1]节奏总纲!BD168</f>
        <v>47.577572469804238</v>
      </c>
      <c r="AS169" s="3">
        <f>[1]节奏总纲!BE168</f>
        <v>52.280519876980485</v>
      </c>
    </row>
    <row r="170" spans="3:69">
      <c r="Q170" s="3">
        <v>166</v>
      </c>
      <c r="R170" s="3">
        <f>[1]节奏总纲!AD169</f>
        <v>73.832279038242305</v>
      </c>
      <c r="S170" s="3">
        <f>[1]节奏总纲!AE169</f>
        <v>75.91316480083924</v>
      </c>
      <c r="T170" s="3">
        <f>[1]节奏总纲!AF169</f>
        <v>78.762194311199835</v>
      </c>
      <c r="U170" s="3">
        <f>[1]节奏总纲!AG169</f>
        <v>83.387852563457059</v>
      </c>
      <c r="V170" s="3">
        <f>[1]节奏总纲!AH169</f>
        <v>92.780466192312218</v>
      </c>
      <c r="AN170" s="3">
        <v>166</v>
      </c>
      <c r="AO170" s="3">
        <f>[1]节奏总纲!BA169</f>
        <v>41.429399045005823</v>
      </c>
      <c r="AP170" s="3">
        <f>[1]节奏总纲!BB169</f>
        <v>42.948185723296518</v>
      </c>
      <c r="AQ170" s="3">
        <f>[1]节奏总纲!BC169</f>
        <v>44.88666696036789</v>
      </c>
      <c r="AR170" s="3">
        <f>[1]节奏总纲!BD169</f>
        <v>47.619147546450023</v>
      </c>
      <c r="AS170" s="3">
        <f>[1]节奏总纲!BE169</f>
        <v>52.320426558572585</v>
      </c>
    </row>
    <row r="171" spans="3:69">
      <c r="Q171" s="3">
        <v>167</v>
      </c>
      <c r="R171" s="3">
        <f>[1]节奏总纲!AD170</f>
        <v>73.920692243099523</v>
      </c>
      <c r="S171" s="3">
        <f>[1]节奏总纲!AE170</f>
        <v>76.002103770254962</v>
      </c>
      <c r="T171" s="3">
        <f>[1]节奏总纲!AF170</f>
        <v>78.849131846408795</v>
      </c>
      <c r="U171" s="3">
        <f>[1]节奏总纲!AG170</f>
        <v>83.475585306787494</v>
      </c>
      <c r="V171" s="3">
        <f>[1]节奏总纲!AH170</f>
        <v>92.873883289449623</v>
      </c>
      <c r="AN171" s="3">
        <v>167</v>
      </c>
      <c r="AO171" s="3">
        <f>[1]节奏总纲!BA170</f>
        <v>41.469625260097565</v>
      </c>
      <c r="AP171" s="3">
        <f>[1]节奏总纲!BB170</f>
        <v>42.991576666955346</v>
      </c>
      <c r="AQ171" s="3">
        <f>[1]节奏总纲!BC170</f>
        <v>44.9297593708744</v>
      </c>
      <c r="AR171" s="3">
        <f>[1]节奏总纲!BD170</f>
        <v>47.660722623095815</v>
      </c>
      <c r="AS171" s="3">
        <f>[1]节奏总纲!BE170</f>
        <v>52.360333240164678</v>
      </c>
    </row>
    <row r="172" spans="3:69">
      <c r="Q172" s="3">
        <v>168</v>
      </c>
      <c r="R172" s="3">
        <f>[1]节奏总纲!AD171</f>
        <v>74.008495683346354</v>
      </c>
      <c r="S172" s="3">
        <f>[1]节奏总纲!AE171</f>
        <v>76.084409020469636</v>
      </c>
      <c r="T172" s="3">
        <f>[1]节奏总纲!AF171</f>
        <v>78.93606938161777</v>
      </c>
      <c r="U172" s="3">
        <f>[1]节奏总纲!AG171</f>
        <v>83.563318050117928</v>
      </c>
      <c r="V172" s="3">
        <f>[1]节奏总纲!AH171</f>
        <v>92.967300386587027</v>
      </c>
      <c r="AN172" s="3">
        <v>168</v>
      </c>
      <c r="AO172" s="3">
        <f>[1]节奏总纲!BA171</f>
        <v>41.509851475189308</v>
      </c>
      <c r="AP172" s="3">
        <f>[1]节奏总纲!BB171</f>
        <v>43.030177309109042</v>
      </c>
      <c r="AQ172" s="3">
        <f>[1]节奏总纲!BC171</f>
        <v>44.972851781380903</v>
      </c>
      <c r="AR172" s="3">
        <f>[1]节奏总纲!BD171</f>
        <v>47.7022976997416</v>
      </c>
      <c r="AS172" s="3">
        <f>[1]节奏总纲!BE171</f>
        <v>52.400239921756771</v>
      </c>
    </row>
    <row r="173" spans="3:69">
      <c r="Q173" s="3">
        <v>169</v>
      </c>
      <c r="R173" s="3">
        <f>[1]节奏总纲!AD172</f>
        <v>74.090988120365651</v>
      </c>
      <c r="S173" s="3">
        <f>[1]节奏总纲!AE172</f>
        <v>76.166714270684309</v>
      </c>
      <c r="T173" s="3">
        <f>[1]节奏总纲!AF172</f>
        <v>79.022812309215297</v>
      </c>
      <c r="U173" s="3">
        <f>[1]节奏总纲!AG172</f>
        <v>83.651050793448363</v>
      </c>
      <c r="V173" s="3">
        <f>[1]节奏总纲!AH172</f>
        <v>93.057555567360481</v>
      </c>
      <c r="AN173" s="3">
        <v>169</v>
      </c>
      <c r="AO173" s="3">
        <f>[1]节奏总纲!BA172</f>
        <v>41.550077690281057</v>
      </c>
      <c r="AP173" s="3">
        <f>[1]节奏总纲!BB172</f>
        <v>43.067624017543686</v>
      </c>
      <c r="AQ173" s="3">
        <f>[1]节奏总纲!BC172</f>
        <v>45.013762077986961</v>
      </c>
      <c r="AR173" s="3">
        <f>[1]节奏总纲!BD172</f>
        <v>47.743872776387391</v>
      </c>
      <c r="AS173" s="3">
        <f>[1]节奏总纲!BE172</f>
        <v>52.440146603348865</v>
      </c>
    </row>
    <row r="174" spans="3:69">
      <c r="Q174" s="3">
        <v>170</v>
      </c>
      <c r="R174" s="3">
        <f>[1]节奏总纲!AD173</f>
        <v>74.173480557384934</v>
      </c>
      <c r="S174" s="3">
        <f>[1]节奏总纲!AE173</f>
        <v>76.249019520898997</v>
      </c>
      <c r="T174" s="3">
        <f>[1]节奏总纲!AF173</f>
        <v>79.109014469658547</v>
      </c>
      <c r="U174" s="3">
        <f>[1]节奏总纲!AG173</f>
        <v>83.738783536778797</v>
      </c>
      <c r="V174" s="3">
        <f>[1]节奏总纲!AH173</f>
        <v>93.146107887007233</v>
      </c>
      <c r="AN174" s="3">
        <v>170</v>
      </c>
      <c r="AO174" s="3">
        <f>[1]节奏总纲!BA173</f>
        <v>41.590303905372799</v>
      </c>
      <c r="AP174" s="3">
        <f>[1]节奏总纲!BB173</f>
        <v>43.105070725978337</v>
      </c>
      <c r="AQ174" s="3">
        <f>[1]节奏总纲!BC173</f>
        <v>45.050956883357138</v>
      </c>
      <c r="AR174" s="3">
        <f>[1]节奏总纲!BD173</f>
        <v>47.785447853033176</v>
      </c>
      <c r="AS174" s="3">
        <f>[1]节奏总纲!BE173</f>
        <v>52.480053284940965</v>
      </c>
    </row>
    <row r="175" spans="3:69">
      <c r="Q175" s="3">
        <v>171</v>
      </c>
      <c r="R175" s="3">
        <f>[1]节奏总纲!AD174</f>
        <v>74.255972994404218</v>
      </c>
      <c r="S175" s="3">
        <f>[1]节奏总纲!AE174</f>
        <v>76.331324771113671</v>
      </c>
      <c r="T175" s="3">
        <f>[1]节奏总纲!AF174</f>
        <v>79.195216630101797</v>
      </c>
      <c r="U175" s="3">
        <f>[1]节奏总纲!AG174</f>
        <v>83.826516280109232</v>
      </c>
      <c r="V175" s="3">
        <f>[1]节奏总纲!AH174</f>
        <v>93.23466020665397</v>
      </c>
      <c r="AN175" s="3">
        <v>171</v>
      </c>
      <c r="AO175" s="3">
        <f>[1]节奏总纲!BA174</f>
        <v>41.630530120464542</v>
      </c>
      <c r="AP175" s="3">
        <f>[1]节奏总纲!BB174</f>
        <v>43.14251743441298</v>
      </c>
      <c r="AQ175" s="3">
        <f>[1]节奏总纲!BC174</f>
        <v>45.088151688727308</v>
      </c>
      <c r="AR175" s="3">
        <f>[1]节奏总纲!BD174</f>
        <v>47.827022929678968</v>
      </c>
      <c r="AS175" s="3">
        <f>[1]节奏总纲!BE174</f>
        <v>52.519959966533058</v>
      </c>
    </row>
    <row r="176" spans="3:69">
      <c r="Q176" s="3">
        <v>172</v>
      </c>
      <c r="R176" s="3">
        <f>[1]节奏总纲!AD175</f>
        <v>74.338465431423501</v>
      </c>
      <c r="S176" s="3">
        <f>[1]节奏总纲!AE175</f>
        <v>76.413630021328345</v>
      </c>
      <c r="T176" s="3">
        <f>[1]节奏总纲!AF175</f>
        <v>79.281418790545047</v>
      </c>
      <c r="U176" s="3">
        <f>[1]节奏总纲!AG175</f>
        <v>83.914249023439666</v>
      </c>
      <c r="V176" s="3">
        <f>[1]节奏总纲!AH175</f>
        <v>93.323212526300722</v>
      </c>
      <c r="AN176" s="3">
        <v>172</v>
      </c>
      <c r="AO176" s="3">
        <f>[1]节奏总纲!BA175</f>
        <v>41.670756335556291</v>
      </c>
      <c r="AP176" s="3">
        <f>[1]节奏总纲!BB175</f>
        <v>43.179964142847631</v>
      </c>
      <c r="AQ176" s="3">
        <f>[1]节奏总纲!BC175</f>
        <v>45.125346494097485</v>
      </c>
      <c r="AR176" s="3">
        <f>[1]节奏总纲!BD175</f>
        <v>47.868598006324753</v>
      </c>
      <c r="AS176" s="3">
        <f>[1]节奏总纲!BE175</f>
        <v>52.559866648125151</v>
      </c>
    </row>
    <row r="177" spans="17:45">
      <c r="Q177" s="3">
        <v>173</v>
      </c>
      <c r="R177" s="3">
        <f>[1]节奏总纲!AD176</f>
        <v>74.420957868442784</v>
      </c>
      <c r="S177" s="3">
        <f>[1]节奏总纲!AE176</f>
        <v>76.495935271543019</v>
      </c>
      <c r="T177" s="3">
        <f>[1]节奏总纲!AF176</f>
        <v>79.367620950988297</v>
      </c>
      <c r="U177" s="3">
        <f>[1]节奏总纲!AG176</f>
        <v>84.00179325525086</v>
      </c>
      <c r="V177" s="3">
        <f>[1]节奏总纲!AH176</f>
        <v>93.411764845947459</v>
      </c>
      <c r="AN177" s="3">
        <v>173</v>
      </c>
      <c r="AO177" s="3">
        <f>[1]节奏总纲!BA176</f>
        <v>41.710982550648033</v>
      </c>
      <c r="AP177" s="3">
        <f>[1]节奏总纲!BB176</f>
        <v>43.217410851282274</v>
      </c>
      <c r="AQ177" s="3">
        <f>[1]节奏总纲!BC176</f>
        <v>45.162541299467655</v>
      </c>
      <c r="AR177" s="3">
        <f>[1]节奏总纲!BD176</f>
        <v>47.910173082970537</v>
      </c>
      <c r="AS177" s="3">
        <f>[1]节奏总纲!BE176</f>
        <v>52.599773329717245</v>
      </c>
    </row>
    <row r="178" spans="17:45">
      <c r="Q178" s="3">
        <v>174</v>
      </c>
      <c r="R178" s="3">
        <f>[1]节奏总纲!AD177</f>
        <v>74.503450305462081</v>
      </c>
      <c r="S178" s="3">
        <f>[1]节奏总纲!AE177</f>
        <v>76.578240521757706</v>
      </c>
      <c r="T178" s="3">
        <f>[1]节奏总纲!AF177</f>
        <v>79.453823111431561</v>
      </c>
      <c r="U178" s="3">
        <f>[1]节奏总纲!AG177</f>
        <v>84.08118060043364</v>
      </c>
      <c r="V178" s="3">
        <f>[1]节奏总纲!AH177</f>
        <v>93.500317165594211</v>
      </c>
      <c r="AN178" s="3">
        <v>174</v>
      </c>
      <c r="AO178" s="3">
        <f>[1]节奏总纲!BA177</f>
        <v>41.751208765739776</v>
      </c>
      <c r="AP178" s="3">
        <f>[1]节奏总纲!BB177</f>
        <v>43.254857559716925</v>
      </c>
      <c r="AQ178" s="3">
        <f>[1]节奏总纲!BC177</f>
        <v>45.199736104837832</v>
      </c>
      <c r="AR178" s="3">
        <f>[1]节奏总纲!BD177</f>
        <v>47.951748159616329</v>
      </c>
      <c r="AS178" s="3">
        <f>[1]节奏总纲!BE177</f>
        <v>52.639680011309345</v>
      </c>
    </row>
    <row r="179" spans="17:45">
      <c r="Q179" s="3">
        <v>175</v>
      </c>
      <c r="R179" s="3">
        <f>[1]节奏总纲!AD178</f>
        <v>74.585942742481365</v>
      </c>
      <c r="S179" s="3">
        <f>[1]节奏总纲!AE178</f>
        <v>76.66054577197238</v>
      </c>
      <c r="T179" s="3">
        <f>[1]节奏总纲!AF178</f>
        <v>79.540025271874811</v>
      </c>
      <c r="U179" s="3">
        <f>[1]节奏总纲!AG178</f>
        <v>84.160567945616407</v>
      </c>
      <c r="V179" s="3">
        <f>[1]节奏总纲!AH178</f>
        <v>93.588869485240949</v>
      </c>
      <c r="AN179" s="3">
        <v>175</v>
      </c>
      <c r="AO179" s="3">
        <f>[1]节奏总纲!BA178</f>
        <v>41.791434980831518</v>
      </c>
      <c r="AP179" s="3">
        <f>[1]节奏总纲!BB178</f>
        <v>43.292304268151575</v>
      </c>
      <c r="AQ179" s="3">
        <f>[1]节奏总纲!BC178</f>
        <v>45.236930910208002</v>
      </c>
      <c r="AR179" s="3">
        <f>[1]节奏总纲!BD178</f>
        <v>47.993323236262114</v>
      </c>
      <c r="AS179" s="3">
        <f>[1]节奏总纲!BE178</f>
        <v>52.679586692901438</v>
      </c>
    </row>
    <row r="180" spans="17:45">
      <c r="Q180" s="3">
        <v>176</v>
      </c>
      <c r="R180" s="3">
        <f>[1]节奏总纲!AD179</f>
        <v>74.668435179500648</v>
      </c>
      <c r="S180" s="3">
        <f>[1]节奏总纲!AE179</f>
        <v>76.742851022187054</v>
      </c>
      <c r="T180" s="3">
        <f>[1]节奏总纲!AF179</f>
        <v>79.626227432318061</v>
      </c>
      <c r="U180" s="3">
        <f>[1]节奏总纲!AG179</f>
        <v>84.239955290799188</v>
      </c>
      <c r="V180" s="3">
        <f>[1]节奏总纲!AH179</f>
        <v>93.6774218048877</v>
      </c>
      <c r="AN180" s="3">
        <v>176</v>
      </c>
      <c r="AO180" s="3">
        <f>[1]节奏总纲!BA179</f>
        <v>41.831661195923267</v>
      </c>
      <c r="AP180" s="3">
        <f>[1]节奏总纲!BB179</f>
        <v>43.329750976586219</v>
      </c>
      <c r="AQ180" s="3">
        <f>[1]节奏总纲!BC179</f>
        <v>45.274125715578172</v>
      </c>
      <c r="AR180" s="3">
        <f>[1]节奏总纲!BD179</f>
        <v>48.030128751164234</v>
      </c>
      <c r="AS180" s="3">
        <f>[1]节奏总纲!BE179</f>
        <v>52.719493374493531</v>
      </c>
    </row>
    <row r="181" spans="17:45">
      <c r="Q181" s="3">
        <v>177</v>
      </c>
      <c r="R181" s="3">
        <f>[1]节奏总纲!AD180</f>
        <v>74.750927616519931</v>
      </c>
      <c r="S181" s="3">
        <f>[1]节奏总纲!AE180</f>
        <v>76.825156272401728</v>
      </c>
      <c r="T181" s="3">
        <f>[1]节奏总纲!AF180</f>
        <v>79.71242959276131</v>
      </c>
      <c r="U181" s="3">
        <f>[1]节奏总纲!AG180</f>
        <v>84.319342635981968</v>
      </c>
      <c r="V181" s="3">
        <f>[1]节奏总纲!AH180</f>
        <v>93.765974124534438</v>
      </c>
      <c r="AN181" s="3">
        <v>177</v>
      </c>
      <c r="AO181" s="3">
        <f>[1]节奏总纲!BA180</f>
        <v>41.87188741101501</v>
      </c>
      <c r="AP181" s="3">
        <f>[1]节奏总纲!BB180</f>
        <v>43.367197685020869</v>
      </c>
      <c r="AQ181" s="3">
        <f>[1]节奏总纲!BC180</f>
        <v>45.31132052094835</v>
      </c>
      <c r="AR181" s="3">
        <f>[1]节奏总纲!BD180</f>
        <v>48.066021750983474</v>
      </c>
      <c r="AS181" s="3">
        <f>[1]节奏总纲!BE180</f>
        <v>52.759400056085624</v>
      </c>
    </row>
    <row r="182" spans="17:45">
      <c r="Q182" s="3">
        <v>178</v>
      </c>
      <c r="R182" s="3">
        <f>[1]节奏总纲!AD181</f>
        <v>74.833420053539214</v>
      </c>
      <c r="S182" s="3">
        <f>[1]节奏总纲!AE181</f>
        <v>76.907461522616416</v>
      </c>
      <c r="T182" s="3">
        <f>[1]节奏总纲!AF181</f>
        <v>79.79863175320456</v>
      </c>
      <c r="U182" s="3">
        <f>[1]节奏总纲!AG181</f>
        <v>84.398729981164735</v>
      </c>
      <c r="V182" s="3">
        <f>[1]节奏总纲!AH181</f>
        <v>93.85452644418119</v>
      </c>
      <c r="AN182" s="3">
        <v>178</v>
      </c>
      <c r="AO182" s="3">
        <f>[1]节奏总纲!BA181</f>
        <v>41.912113626106752</v>
      </c>
      <c r="AP182" s="3">
        <f>[1]节奏总纲!BB181</f>
        <v>43.404644393455513</v>
      </c>
      <c r="AQ182" s="3">
        <f>[1]节奏总纲!BC181</f>
        <v>45.34851532631852</v>
      </c>
      <c r="AR182" s="3">
        <f>[1]节奏总纲!BD181</f>
        <v>48.101914750802706</v>
      </c>
      <c r="AS182" s="3">
        <f>[1]节奏总纲!BE181</f>
        <v>52.799306737677718</v>
      </c>
    </row>
    <row r="183" spans="17:45">
      <c r="Q183" s="3">
        <v>179</v>
      </c>
      <c r="R183" s="3">
        <f>[1]节奏总纲!AD182</f>
        <v>74.915912490558512</v>
      </c>
      <c r="S183" s="3">
        <f>[1]节奏总纲!AE182</f>
        <v>76.989766772831089</v>
      </c>
      <c r="T183" s="3">
        <f>[1]节奏总纲!AF182</f>
        <v>79.88483391364781</v>
      </c>
      <c r="U183" s="3">
        <f>[1]节奏总纲!AG182</f>
        <v>84.478117326347515</v>
      </c>
      <c r="V183" s="3">
        <f>[1]节奏总纲!AH182</f>
        <v>93.943078763827941</v>
      </c>
      <c r="AN183" s="3">
        <v>179</v>
      </c>
      <c r="AO183" s="3">
        <f>[1]节奏总纲!BA182</f>
        <v>41.952339841198494</v>
      </c>
      <c r="AP183" s="3">
        <f>[1]节奏总纲!BB182</f>
        <v>43.442091101890163</v>
      </c>
      <c r="AQ183" s="3">
        <f>[1]节奏总纲!BC182</f>
        <v>45.385710131688697</v>
      </c>
      <c r="AR183" s="3">
        <f>[1]节奏总纲!BD182</f>
        <v>48.137807750621946</v>
      </c>
      <c r="AS183" s="3">
        <f>[1]节奏总纲!BE182</f>
        <v>52.839213419269818</v>
      </c>
    </row>
    <row r="184" spans="17:45">
      <c r="Q184" s="3">
        <v>180</v>
      </c>
      <c r="R184" s="3">
        <f>[1]节奏总纲!AD183</f>
        <v>74.998404927577795</v>
      </c>
      <c r="S184" s="3">
        <f>[1]节奏总纲!AE183</f>
        <v>77.06778397927944</v>
      </c>
      <c r="T184" s="3">
        <f>[1]节奏总纲!AF183</f>
        <v>79.97103607409106</v>
      </c>
      <c r="U184" s="3">
        <f>[1]节奏总纲!AG183</f>
        <v>84.557504671530296</v>
      </c>
      <c r="V184" s="3">
        <f>[1]节奏总纲!AH183</f>
        <v>94.027056817114342</v>
      </c>
      <c r="AN184" s="3">
        <v>180</v>
      </c>
      <c r="AO184" s="3">
        <f>[1]节奏总纲!BA183</f>
        <v>41.992566056290244</v>
      </c>
      <c r="AP184" s="3">
        <f>[1]节奏总纲!BB183</f>
        <v>43.479537810324807</v>
      </c>
      <c r="AQ184" s="3">
        <f>[1]节奏总纲!BC183</f>
        <v>45.422904937058867</v>
      </c>
      <c r="AR184" s="3">
        <f>[1]节奏总纲!BD183</f>
        <v>48.173700750441178</v>
      </c>
      <c r="AS184" s="3">
        <f>[1]节奏总纲!BE183</f>
        <v>52.879120100861911</v>
      </c>
    </row>
    <row r="185" spans="17:45">
      <c r="Q185" s="3">
        <v>181</v>
      </c>
      <c r="R185" s="3">
        <f>[1]节奏总纲!AD184</f>
        <v>75.075479910097457</v>
      </c>
      <c r="S185" s="3">
        <f>[1]节奏总纲!AE184</f>
        <v>77.145192343015793</v>
      </c>
      <c r="T185" s="3">
        <f>[1]节奏总纲!AF184</f>
        <v>80.053817475702374</v>
      </c>
      <c r="U185" s="3">
        <f>[1]节奏总纲!AG184</f>
        <v>84.636892016713063</v>
      </c>
      <c r="V185" s="3">
        <f>[1]节奏总纲!AH184</f>
        <v>94.102803318799971</v>
      </c>
      <c r="AN185" s="3">
        <v>181</v>
      </c>
      <c r="AO185" s="3">
        <f>[1]节奏总纲!BA184</f>
        <v>42.028297717729309</v>
      </c>
      <c r="AP185" s="3">
        <f>[1]节奏总纲!BB184</f>
        <v>43.516984518759458</v>
      </c>
      <c r="AQ185" s="3">
        <f>[1]节奏总纲!BC184</f>
        <v>45.460099742429037</v>
      </c>
      <c r="AR185" s="3">
        <f>[1]节奏总纲!BD184</f>
        <v>48.209593750260417</v>
      </c>
      <c r="AS185" s="3">
        <f>[1]节奏总纲!BE184</f>
        <v>52.919026782454004</v>
      </c>
    </row>
    <row r="186" spans="17:45">
      <c r="Q186" s="3">
        <v>182</v>
      </c>
      <c r="R186" s="3">
        <f>[1]节奏总纲!AD185</f>
        <v>75.152448075388719</v>
      </c>
      <c r="S186" s="3">
        <f>[1]节奏总纲!AE185</f>
        <v>77.222600706752132</v>
      </c>
      <c r="T186" s="3">
        <f>[1]节奏总纲!AF185</f>
        <v>80.134867890916794</v>
      </c>
      <c r="U186" s="3">
        <f>[1]节奏总纲!AG185</f>
        <v>84.716279361895843</v>
      </c>
      <c r="V186" s="3">
        <f>[1]节奏总纲!AH185</f>
        <v>94.1785498204856</v>
      </c>
      <c r="AN186" s="3">
        <v>182</v>
      </c>
      <c r="AO186" s="3">
        <f>[1]节奏总纲!BA185</f>
        <v>42.063010472656373</v>
      </c>
      <c r="AP186" s="3">
        <f>[1]节奏总纲!BB185</f>
        <v>43.554431227194108</v>
      </c>
      <c r="AQ186" s="3">
        <f>[1]节奏总纲!BC185</f>
        <v>45.497294547799214</v>
      </c>
      <c r="AR186" s="3">
        <f>[1]节奏总纲!BD185</f>
        <v>48.24548675007965</v>
      </c>
      <c r="AS186" s="3">
        <f>[1]节奏总纲!BE185</f>
        <v>52.958933464046098</v>
      </c>
    </row>
    <row r="187" spans="17:45">
      <c r="Q187" s="3">
        <v>183</v>
      </c>
      <c r="R187" s="3">
        <f>[1]节奏总纲!AD186</f>
        <v>75.229416240679981</v>
      </c>
      <c r="S187" s="3">
        <f>[1]节奏总纲!AE186</f>
        <v>77.300009070488485</v>
      </c>
      <c r="T187" s="3">
        <f>[1]节奏总纲!AF186</f>
        <v>80.215918306131215</v>
      </c>
      <c r="U187" s="3">
        <f>[1]节奏总纲!AG186</f>
        <v>84.795666707078624</v>
      </c>
      <c r="V187" s="3">
        <f>[1]节奏总纲!AH186</f>
        <v>94.254296322171228</v>
      </c>
      <c r="AN187" s="3">
        <v>183</v>
      </c>
      <c r="AO187" s="3">
        <f>[1]节奏总纲!BA186</f>
        <v>42.097723227583437</v>
      </c>
      <c r="AP187" s="3">
        <f>[1]节奏总纲!BB186</f>
        <v>43.591877935628752</v>
      </c>
      <c r="AQ187" s="3">
        <f>[1]节奏总纲!BC186</f>
        <v>45.534489353169384</v>
      </c>
      <c r="AR187" s="3">
        <f>[1]节奏总纲!BD186</f>
        <v>48.281379749898889</v>
      </c>
      <c r="AS187" s="3">
        <f>[1]节奏总纲!BE186</f>
        <v>52.998840145638198</v>
      </c>
    </row>
    <row r="188" spans="17:45">
      <c r="Q188" s="3">
        <v>184</v>
      </c>
      <c r="R188" s="3">
        <f>[1]节奏总纲!AD187</f>
        <v>75.306384405971258</v>
      </c>
      <c r="S188" s="3">
        <f>[1]节奏总纲!AE187</f>
        <v>77.377417434224824</v>
      </c>
      <c r="T188" s="3">
        <f>[1]节奏总纲!AF187</f>
        <v>80.296968721345635</v>
      </c>
      <c r="U188" s="3">
        <f>[1]节奏总纲!AG187</f>
        <v>84.87505405226139</v>
      </c>
      <c r="V188" s="3">
        <f>[1]节奏总纲!AH187</f>
        <v>94.330042823856857</v>
      </c>
      <c r="AN188" s="3">
        <v>184</v>
      </c>
      <c r="AO188" s="3">
        <f>[1]节奏总纲!BA187</f>
        <v>42.132435982510501</v>
      </c>
      <c r="AP188" s="3">
        <f>[1]节奏总纲!BB187</f>
        <v>43.629324644063402</v>
      </c>
      <c r="AQ188" s="3">
        <f>[1]节奏总纲!BC187</f>
        <v>45.571684158539561</v>
      </c>
      <c r="AR188" s="3">
        <f>[1]节奏总纲!BD187</f>
        <v>48.317272749718121</v>
      </c>
      <c r="AS188" s="3">
        <f>[1]节奏总纲!BE187</f>
        <v>53.033462597729766</v>
      </c>
    </row>
    <row r="189" spans="17:45">
      <c r="Q189" s="3">
        <v>185</v>
      </c>
      <c r="R189" s="3">
        <f>[1]节奏总纲!AD188</f>
        <v>75.38335257126252</v>
      </c>
      <c r="S189" s="3">
        <f>[1]节奏总纲!AE188</f>
        <v>77.454825797961163</v>
      </c>
      <c r="T189" s="3">
        <f>[1]节奏总纲!AF188</f>
        <v>80.378019136560056</v>
      </c>
      <c r="U189" s="3">
        <f>[1]节奏总纲!AG188</f>
        <v>84.954441397444171</v>
      </c>
      <c r="V189" s="3">
        <f>[1]节奏总纲!AH188</f>
        <v>94.405789325542486</v>
      </c>
      <c r="AN189" s="3">
        <v>185</v>
      </c>
      <c r="AO189" s="3">
        <f>[1]节奏总纲!BA188</f>
        <v>42.167148737437564</v>
      </c>
      <c r="AP189" s="3">
        <f>[1]节奏总纲!BB188</f>
        <v>43.666771352498046</v>
      </c>
      <c r="AQ189" s="3">
        <f>[1]节奏总纲!BC188</f>
        <v>45.608878963909731</v>
      </c>
      <c r="AR189" s="3">
        <f>[1]节奏总纲!BD188</f>
        <v>48.353165749537354</v>
      </c>
      <c r="AS189" s="3">
        <f>[1]节奏总纲!BE188</f>
        <v>53.067926870763252</v>
      </c>
    </row>
    <row r="190" spans="17:45">
      <c r="Q190" s="3">
        <v>186</v>
      </c>
      <c r="R190" s="3">
        <f>[1]节奏总纲!AD189</f>
        <v>75.460320736553783</v>
      </c>
      <c r="S190" s="3">
        <f>[1]节奏总纲!AE189</f>
        <v>77.532234161697517</v>
      </c>
      <c r="T190" s="3">
        <f>[1]节奏总纲!AF189</f>
        <v>80.459069551774476</v>
      </c>
      <c r="U190" s="3">
        <f>[1]节奏总纲!AG189</f>
        <v>85.030832425973387</v>
      </c>
      <c r="V190" s="3">
        <f>[1]节奏总纲!AH189</f>
        <v>94.4815358272281</v>
      </c>
      <c r="AN190" s="3">
        <v>186</v>
      </c>
      <c r="AO190" s="3">
        <f>[1]节奏总纲!BA189</f>
        <v>42.201861492364635</v>
      </c>
      <c r="AP190" s="3">
        <f>[1]节奏总纲!BB189</f>
        <v>43.704218060932696</v>
      </c>
      <c r="AQ190" s="3">
        <f>[1]节奏总纲!BC189</f>
        <v>45.646073769279901</v>
      </c>
      <c r="AR190" s="3">
        <f>[1]节奏总纲!BD189</f>
        <v>48.389058749356593</v>
      </c>
      <c r="AS190" s="3">
        <f>[1]节奏总纲!BE189</f>
        <v>53.102391143796744</v>
      </c>
    </row>
    <row r="191" spans="17:45">
      <c r="Q191" s="3">
        <v>187</v>
      </c>
      <c r="R191" s="3">
        <f>[1]节奏总纲!AD190</f>
        <v>75.537288901845045</v>
      </c>
      <c r="S191" s="3">
        <f>[1]节奏总纲!AE190</f>
        <v>77.609642525433856</v>
      </c>
      <c r="T191" s="3">
        <f>[1]节奏总纲!AF190</f>
        <v>80.540119966988897</v>
      </c>
      <c r="U191" s="3">
        <f>[1]节奏总纲!AG190</f>
        <v>85.103188187775231</v>
      </c>
      <c r="V191" s="3">
        <f>[1]节奏总纲!AH190</f>
        <v>94.557282328913729</v>
      </c>
      <c r="AN191" s="3">
        <v>187</v>
      </c>
      <c r="AO191" s="3">
        <f>[1]节奏总纲!BA190</f>
        <v>42.236574247291699</v>
      </c>
      <c r="AP191" s="3">
        <f>[1]节奏总纲!BB190</f>
        <v>43.741664769367347</v>
      </c>
      <c r="AQ191" s="3">
        <f>[1]节奏总纲!BC190</f>
        <v>45.683268574650079</v>
      </c>
      <c r="AR191" s="3">
        <f>[1]节奏总纲!BD190</f>
        <v>48.424951749175825</v>
      </c>
      <c r="AS191" s="3">
        <f>[1]节奏总纲!BE190</f>
        <v>53.13685541683023</v>
      </c>
    </row>
    <row r="192" spans="17:45">
      <c r="Q192" s="3">
        <v>188</v>
      </c>
      <c r="R192" s="3">
        <f>[1]节奏总纲!AD191</f>
        <v>75.614257067136322</v>
      </c>
      <c r="S192" s="3">
        <f>[1]节奏总纲!AE191</f>
        <v>77.687050889170209</v>
      </c>
      <c r="T192" s="3">
        <f>[1]节奏总纲!AF191</f>
        <v>80.621170382203317</v>
      </c>
      <c r="U192" s="3">
        <f>[1]节奏总纲!AG191</f>
        <v>85.175543949577076</v>
      </c>
      <c r="V192" s="3">
        <f>[1]节奏总纲!AH191</f>
        <v>94.633028830599358</v>
      </c>
      <c r="AN192" s="3">
        <v>188</v>
      </c>
      <c r="AO192" s="3">
        <f>[1]节奏总纲!BA191</f>
        <v>42.271287002218763</v>
      </c>
      <c r="AP192" s="3">
        <f>[1]节奏总纲!BB191</f>
        <v>43.77911147780199</v>
      </c>
      <c r="AQ192" s="3">
        <f>[1]节奏总纲!BC191</f>
        <v>45.720463380020249</v>
      </c>
      <c r="AR192" s="3">
        <f>[1]节奏总纲!BD191</f>
        <v>48.460844748995065</v>
      </c>
      <c r="AS192" s="3">
        <f>[1]节奏总纲!BE191</f>
        <v>53.171319689863722</v>
      </c>
    </row>
    <row r="193" spans="17:45">
      <c r="Q193" s="3">
        <v>189</v>
      </c>
      <c r="R193" s="3">
        <f>[1]节奏总纲!AD192</f>
        <v>75.691225232427584</v>
      </c>
      <c r="S193" s="3">
        <f>[1]节奏总纲!AE192</f>
        <v>77.764459252906548</v>
      </c>
      <c r="T193" s="3">
        <f>[1]节奏总纲!AF192</f>
        <v>80.702220797417738</v>
      </c>
      <c r="U193" s="3">
        <f>[1]节奏总纲!AG192</f>
        <v>85.247899711378935</v>
      </c>
      <c r="V193" s="3">
        <f>[1]节奏总纲!AH192</f>
        <v>94.708775332284986</v>
      </c>
      <c r="AN193" s="3">
        <v>189</v>
      </c>
      <c r="AO193" s="3">
        <f>[1]节奏总纲!BA192</f>
        <v>42.305999757145827</v>
      </c>
      <c r="AP193" s="3">
        <f>[1]节奏总纲!BB192</f>
        <v>43.816558186236641</v>
      </c>
      <c r="AQ193" s="3">
        <f>[1]节奏总纲!BC192</f>
        <v>45.757658185390426</v>
      </c>
      <c r="AR193" s="3">
        <f>[1]节奏总纲!BD192</f>
        <v>48.496737748814297</v>
      </c>
      <c r="AS193" s="3">
        <f>[1]节奏总纲!BE192</f>
        <v>53.205783962897208</v>
      </c>
    </row>
    <row r="194" spans="17:45">
      <c r="Q194" s="3">
        <v>190</v>
      </c>
      <c r="R194" s="3">
        <f>[1]节奏总纲!AD193</f>
        <v>75.768193397718846</v>
      </c>
      <c r="S194" s="3">
        <f>[1]节奏总纲!AE193</f>
        <v>77.841867616642901</v>
      </c>
      <c r="T194" s="3">
        <f>[1]节奏总纲!AF193</f>
        <v>80.783271212632158</v>
      </c>
      <c r="U194" s="3">
        <f>[1]节奏总纲!AG193</f>
        <v>85.320255473180779</v>
      </c>
      <c r="V194" s="3">
        <f>[1]节奏总纲!AH193</f>
        <v>94.784521833970615</v>
      </c>
      <c r="AN194" s="3">
        <v>190</v>
      </c>
      <c r="AO194" s="3">
        <f>[1]节奏总纲!BA193</f>
        <v>42.340712512072891</v>
      </c>
      <c r="AP194" s="3">
        <f>[1]节奏总纲!BB193</f>
        <v>43.854004894671284</v>
      </c>
      <c r="AQ194" s="3">
        <f>[1]节奏总纲!BC193</f>
        <v>45.794852990760596</v>
      </c>
      <c r="AR194" s="3">
        <f>[1]节奏总纲!BD193</f>
        <v>48.532630748633537</v>
      </c>
      <c r="AS194" s="3">
        <f>[1]节奏总纲!BE193</f>
        <v>53.240248235930693</v>
      </c>
    </row>
    <row r="195" spans="17:45">
      <c r="Q195" s="3">
        <v>191</v>
      </c>
      <c r="R195" s="3">
        <f>[1]节奏总纲!AD194</f>
        <v>75.845161563010109</v>
      </c>
      <c r="S195" s="3">
        <f>[1]节奏总纲!AE194</f>
        <v>77.91927598037924</v>
      </c>
      <c r="T195" s="3">
        <f>[1]节奏总纲!AF194</f>
        <v>80.864321627846579</v>
      </c>
      <c r="U195" s="3">
        <f>[1]节奏总纲!AG194</f>
        <v>85.392611234982624</v>
      </c>
      <c r="V195" s="3">
        <f>[1]节奏总纲!AH194</f>
        <v>94.860268335656244</v>
      </c>
      <c r="AN195" s="3">
        <v>191</v>
      </c>
      <c r="AO195" s="3">
        <f>[1]节奏总纲!BA194</f>
        <v>42.375425266999954</v>
      </c>
      <c r="AP195" s="3">
        <f>[1]节奏总纲!BB194</f>
        <v>43.891451603105935</v>
      </c>
      <c r="AQ195" s="3">
        <f>[1]节奏总纲!BC194</f>
        <v>45.832047796130773</v>
      </c>
      <c r="AR195" s="3">
        <f>[1]节奏总纲!BD194</f>
        <v>48.568523748452769</v>
      </c>
      <c r="AS195" s="3">
        <f>[1]节奏总纲!BE194</f>
        <v>53.274712508964186</v>
      </c>
    </row>
    <row r="196" spans="17:45">
      <c r="Q196" s="3">
        <v>192</v>
      </c>
      <c r="R196" s="3">
        <f>[1]节奏总纲!AD195</f>
        <v>75.922129728301385</v>
      </c>
      <c r="S196" s="3">
        <f>[1]节奏总纲!AE195</f>
        <v>77.996684344115593</v>
      </c>
      <c r="T196" s="3">
        <f>[1]节奏总纲!AF195</f>
        <v>80.945372043060999</v>
      </c>
      <c r="U196" s="3">
        <f>[1]节奏总纲!AG195</f>
        <v>85.464966996784469</v>
      </c>
      <c r="V196" s="3">
        <f>[1]节奏总纲!AH195</f>
        <v>94.936014837341872</v>
      </c>
      <c r="AN196" s="3">
        <v>192</v>
      </c>
      <c r="AO196" s="3">
        <f>[1]节奏总纲!BA195</f>
        <v>42.410138021927018</v>
      </c>
      <c r="AP196" s="3">
        <f>[1]节奏总纲!BB195</f>
        <v>43.928898311540578</v>
      </c>
      <c r="AQ196" s="3">
        <f>[1]节奏总纲!BC195</f>
        <v>45.869242601500943</v>
      </c>
      <c r="AR196" s="3">
        <f>[1]节奏总纲!BD195</f>
        <v>48.604416748272008</v>
      </c>
      <c r="AS196" s="3">
        <f>[1]节奏总纲!BE195</f>
        <v>53.309176781997671</v>
      </c>
    </row>
    <row r="197" spans="17:45">
      <c r="Q197" s="3">
        <v>193</v>
      </c>
      <c r="R197" s="3">
        <f>[1]节奏总纲!AD196</f>
        <v>75.999097893592648</v>
      </c>
      <c r="S197" s="3">
        <f>[1]节奏总纲!AE196</f>
        <v>78.068193736526268</v>
      </c>
      <c r="T197" s="3">
        <f>[1]节奏总纲!AF196</f>
        <v>81.02378934476593</v>
      </c>
      <c r="U197" s="3">
        <f>[1]节奏总纲!AG196</f>
        <v>85.537322758586328</v>
      </c>
      <c r="V197" s="3">
        <f>[1]节奏总纲!AH196</f>
        <v>95.011078787937279</v>
      </c>
      <c r="AN197" s="3">
        <v>193</v>
      </c>
      <c r="AO197" s="3">
        <f>[1]节奏总纲!BA196</f>
        <v>42.444850776854082</v>
      </c>
      <c r="AP197" s="3">
        <f>[1]节奏总纲!BB196</f>
        <v>43.966345019975229</v>
      </c>
      <c r="AQ197" s="3">
        <f>[1]节奏总纲!BC196</f>
        <v>45.906437406871113</v>
      </c>
      <c r="AR197" s="3">
        <f>[1]节奏总纲!BD196</f>
        <v>48.640309748091241</v>
      </c>
      <c r="AS197" s="3">
        <f>[1]节奏总纲!BE196</f>
        <v>53.343641055031163</v>
      </c>
    </row>
    <row r="198" spans="17:45">
      <c r="Q198" s="3">
        <v>194</v>
      </c>
      <c r="R198" s="3">
        <f>[1]节奏总纲!AD197</f>
        <v>76.070972142474872</v>
      </c>
      <c r="S198" s="3">
        <f>[1]节奏总纲!AE197</f>
        <v>78.139439149396253</v>
      </c>
      <c r="T198" s="3">
        <f>[1]节奏总纲!AF197</f>
        <v>81.096762731680187</v>
      </c>
      <c r="U198" s="3">
        <f>[1]节奏总纲!AG197</f>
        <v>85.609678520388172</v>
      </c>
      <c r="V198" s="3">
        <f>[1]节奏总纲!AH197</f>
        <v>95.082429458741387</v>
      </c>
      <c r="AN198" s="3">
        <v>194</v>
      </c>
      <c r="AO198" s="3">
        <f>[1]节奏总纲!BA197</f>
        <v>42.479563531781146</v>
      </c>
      <c r="AP198" s="3">
        <f>[1]节奏总纲!BB197</f>
        <v>44.003272544984547</v>
      </c>
      <c r="AQ198" s="3">
        <f>[1]节奏总纲!BC197</f>
        <v>45.94363221224129</v>
      </c>
      <c r="AR198" s="3">
        <f>[1]节奏总纲!BD197</f>
        <v>48.67620274791048</v>
      </c>
      <c r="AS198" s="3">
        <f>[1]节奏总纲!BE197</f>
        <v>53.378105328064649</v>
      </c>
    </row>
    <row r="199" spans="17:45">
      <c r="Q199" s="3">
        <v>195</v>
      </c>
      <c r="R199" s="3">
        <f>[1]节奏总纲!AD198</f>
        <v>76.142785979989682</v>
      </c>
      <c r="S199" s="3">
        <f>[1]节奏总纲!AE198</f>
        <v>78.210684562266223</v>
      </c>
      <c r="T199" s="3">
        <f>[1]节奏总纲!AF198</f>
        <v>81.169736118594443</v>
      </c>
      <c r="U199" s="3">
        <f>[1]节奏总纲!AG198</f>
        <v>85.682034282190017</v>
      </c>
      <c r="V199" s="3">
        <f>[1]节奏总纲!AH198</f>
        <v>95.153780129545481</v>
      </c>
      <c r="AN199" s="3">
        <v>195</v>
      </c>
      <c r="AO199" s="3">
        <f>[1]节奏总纲!BA198</f>
        <v>42.51427628670821</v>
      </c>
      <c r="AP199" s="3">
        <f>[1]节奏总纲!BB198</f>
        <v>44.035591852864428</v>
      </c>
      <c r="AQ199" s="3">
        <f>[1]节奏总纲!BC198</f>
        <v>45.98082701761146</v>
      </c>
      <c r="AR199" s="3">
        <f>[1]节奏总纲!BD198</f>
        <v>48.712095747729713</v>
      </c>
      <c r="AS199" s="3">
        <f>[1]节奏总纲!BE198</f>
        <v>53.412569601098134</v>
      </c>
    </row>
    <row r="200" spans="17:45">
      <c r="Q200" s="3">
        <v>196</v>
      </c>
      <c r="R200" s="3">
        <f>[1]节奏总纲!AD199</f>
        <v>76.214599817504492</v>
      </c>
      <c r="S200" s="3">
        <f>[1]节奏总纲!AE199</f>
        <v>78.281929975136208</v>
      </c>
      <c r="T200" s="3">
        <f>[1]节奏总纲!AF199</f>
        <v>81.242709505508685</v>
      </c>
      <c r="U200" s="3">
        <f>[1]节奏总纲!AG199</f>
        <v>85.754390043991862</v>
      </c>
      <c r="V200" s="3">
        <f>[1]节奏总纲!AH199</f>
        <v>95.225130800349589</v>
      </c>
      <c r="AN200" s="3">
        <v>196</v>
      </c>
      <c r="AO200" s="3">
        <f>[1]节奏总纲!BA199</f>
        <v>42.548989041635274</v>
      </c>
      <c r="AP200" s="3">
        <f>[1]节奏总纲!BB199</f>
        <v>44.067911160744309</v>
      </c>
      <c r="AQ200" s="3">
        <f>[1]节奏总纲!BC199</f>
        <v>46.01555652579863</v>
      </c>
      <c r="AR200" s="3">
        <f>[1]节奏总纲!BD199</f>
        <v>48.747988747548945</v>
      </c>
      <c r="AS200" s="3">
        <f>[1]节奏总纲!BE199</f>
        <v>53.447033874131627</v>
      </c>
    </row>
    <row r="201" spans="17:45">
      <c r="Q201" s="3">
        <v>197</v>
      </c>
      <c r="R201" s="3">
        <f>[1]节奏总纲!AD200</f>
        <v>76.286413655019302</v>
      </c>
      <c r="S201" s="3">
        <f>[1]节奏总纲!AE200</f>
        <v>78.353175388006179</v>
      </c>
      <c r="T201" s="3">
        <f>[1]节奏总纲!AF200</f>
        <v>81.315682892422942</v>
      </c>
      <c r="U201" s="3">
        <f>[1]节奏总纲!AG200</f>
        <v>85.82674580579372</v>
      </c>
      <c r="V201" s="3">
        <f>[1]节奏总纲!AH200</f>
        <v>95.296481471153683</v>
      </c>
      <c r="AN201" s="3">
        <v>197</v>
      </c>
      <c r="AO201" s="3">
        <f>[1]节奏总纲!BA200</f>
        <v>42.583701796562345</v>
      </c>
      <c r="AP201" s="3">
        <f>[1]节奏总纲!BB200</f>
        <v>44.100230468624183</v>
      </c>
      <c r="AQ201" s="3">
        <f>[1]节奏总纲!BC200</f>
        <v>46.047663263829847</v>
      </c>
      <c r="AR201" s="3">
        <f>[1]节奏总纲!BD200</f>
        <v>48.783881747368184</v>
      </c>
      <c r="AS201" s="3">
        <f>[1]节奏总纲!BE200</f>
        <v>53.481498147165112</v>
      </c>
    </row>
    <row r="202" spans="17:45">
      <c r="Q202" s="3">
        <v>198</v>
      </c>
      <c r="R202" s="3">
        <f>[1]节奏总纲!AD201</f>
        <v>76.358227492534112</v>
      </c>
      <c r="S202" s="3">
        <f>[1]节奏总纲!AE201</f>
        <v>78.424420800876163</v>
      </c>
      <c r="T202" s="3">
        <f>[1]节奏总纲!AF201</f>
        <v>81.388656279337198</v>
      </c>
      <c r="U202" s="3">
        <f>[1]节奏总纲!AG201</f>
        <v>85.899101567595565</v>
      </c>
      <c r="V202" s="3">
        <f>[1]节奏总纲!AH201</f>
        <v>95.367832141957777</v>
      </c>
      <c r="AN202" s="3">
        <v>198</v>
      </c>
      <c r="AO202" s="3">
        <f>[1]节奏总纲!BA201</f>
        <v>42.618414551489408</v>
      </c>
      <c r="AP202" s="3">
        <f>[1]节奏总纲!BB201</f>
        <v>44.132549776504064</v>
      </c>
      <c r="AQ202" s="3">
        <f>[1]节奏总纲!BC201</f>
        <v>46.079770001861057</v>
      </c>
      <c r="AR202" s="3">
        <f>[1]节奏总纲!BD201</f>
        <v>48.819774747187417</v>
      </c>
      <c r="AS202" s="3">
        <f>[1]节奏总纲!BE201</f>
        <v>53.515962420198605</v>
      </c>
    </row>
    <row r="203" spans="17:45">
      <c r="Q203" s="3">
        <v>199</v>
      </c>
      <c r="R203" s="3">
        <f>[1]节奏总纲!AD202</f>
        <v>76.430041330048923</v>
      </c>
      <c r="S203" s="3">
        <f>[1]节奏总纲!AE202</f>
        <v>78.495666213746148</v>
      </c>
      <c r="T203" s="3">
        <f>[1]节奏总纲!AF202</f>
        <v>81.461629666251454</v>
      </c>
      <c r="U203" s="3">
        <f>[1]节奏总纲!AG202</f>
        <v>85.97145732939741</v>
      </c>
      <c r="V203" s="3">
        <f>[1]节奏总纲!AH202</f>
        <v>95.439182812761885</v>
      </c>
      <c r="AN203" s="3">
        <v>199</v>
      </c>
      <c r="AO203" s="3">
        <f>[1]节奏总纲!BA202</f>
        <v>42.653127306416472</v>
      </c>
      <c r="AP203" s="3">
        <f>[1]节奏总纲!BB202</f>
        <v>44.164869084383938</v>
      </c>
      <c r="AQ203" s="3">
        <f>[1]节奏总纲!BC202</f>
        <v>46.111876739892267</v>
      </c>
      <c r="AR203" s="3">
        <f>[1]节奏总纲!BD202</f>
        <v>48.855667747006656</v>
      </c>
      <c r="AS203" s="3">
        <f>[1]节奏总纲!BE202</f>
        <v>53.55042669323209</v>
      </c>
    </row>
    <row r="204" spans="17:45">
      <c r="Q204" s="3">
        <v>200</v>
      </c>
      <c r="R204" s="3">
        <f>[1]节奏总纲!AD203</f>
        <v>76.501855167563733</v>
      </c>
      <c r="S204" s="3">
        <f>[1]节奏总纲!AE203</f>
        <v>78.566911626616118</v>
      </c>
      <c r="T204" s="3">
        <f>[1]节奏总纲!AF203</f>
        <v>81.534603053165696</v>
      </c>
      <c r="U204" s="3">
        <f>[1]节奏总纲!AG203</f>
        <v>86.045919706798657</v>
      </c>
      <c r="V204" s="3">
        <f>[1]节奏总纲!AH203</f>
        <v>95.510533483565979</v>
      </c>
      <c r="AN204" s="3">
        <v>200</v>
      </c>
      <c r="AO204" s="3">
        <f>[1]节奏总纲!BA203</f>
        <v>42.687840061343536</v>
      </c>
      <c r="AP204" s="3">
        <f>[1]节奏总纲!BB203</f>
        <v>44.197188392263818</v>
      </c>
      <c r="AQ204" s="3">
        <f>[1]节奏总纲!BC203</f>
        <v>46.143983477923484</v>
      </c>
      <c r="AR204" s="3">
        <f>[1]节奏总纲!BD203</f>
        <v>48.891560746825888</v>
      </c>
      <c r="AS204" s="3">
        <f>[1]节奏总纲!BE203</f>
        <v>53.584890966265583</v>
      </c>
    </row>
    <row r="205" spans="17:45">
      <c r="Q205" s="3">
        <v>201</v>
      </c>
      <c r="R205" s="3">
        <f>[1]节奏总纲!AD204</f>
        <v>76.573669005078543</v>
      </c>
      <c r="S205" s="3">
        <f>[1]节奏总纲!AE204</f>
        <v>78.638157039486103</v>
      </c>
      <c r="T205" s="3">
        <f>[1]节奏总纲!AF204</f>
        <v>81.607576440079953</v>
      </c>
      <c r="U205" s="3">
        <f>[1]节奏总纲!AG204</f>
        <v>86.121754469336281</v>
      </c>
      <c r="V205" s="3">
        <f>[1]节奏总纲!AH204</f>
        <v>95.581884154370087</v>
      </c>
      <c r="AN205" s="3">
        <v>201</v>
      </c>
      <c r="AO205" s="3">
        <f>[1]节奏总纲!BA204</f>
        <v>42.7225528162706</v>
      </c>
      <c r="AP205" s="3">
        <f>[1]节奏总纲!BB204</f>
        <v>44.229507700143699</v>
      </c>
      <c r="AQ205" s="3">
        <f>[1]节奏总纲!BC204</f>
        <v>46.176090215954694</v>
      </c>
      <c r="AR205" s="3">
        <f>[1]节奏总纲!BD204</f>
        <v>48.927453746645128</v>
      </c>
      <c r="AS205" s="3">
        <f>[1]节奏总纲!BE204</f>
        <v>53.619355239299068</v>
      </c>
    </row>
    <row r="206" spans="17:45">
      <c r="Q206" s="3">
        <v>202</v>
      </c>
      <c r="R206" s="3">
        <f>[1]节奏总纲!AD205</f>
        <v>76.645482842593353</v>
      </c>
      <c r="S206" s="3">
        <f>[1]节奏总纲!AE205</f>
        <v>78.709402452356088</v>
      </c>
      <c r="T206" s="3">
        <f>[1]节奏总纲!AF205</f>
        <v>81.680549826994209</v>
      </c>
      <c r="U206" s="3">
        <f>[1]节奏总纲!AG205</f>
        <v>86.197589231873891</v>
      </c>
      <c r="V206" s="3">
        <f>[1]节奏总纲!AH205</f>
        <v>95.653234825174181</v>
      </c>
      <c r="AN206" s="3">
        <v>202</v>
      </c>
      <c r="AO206" s="3">
        <f>[1]节奏总纲!BA205</f>
        <v>42.757265571197664</v>
      </c>
      <c r="AP206" s="3">
        <f>[1]节奏总纲!BB205</f>
        <v>44.261827008023573</v>
      </c>
      <c r="AQ206" s="3">
        <f>[1]节奏总纲!BC205</f>
        <v>46.208196953985905</v>
      </c>
      <c r="AR206" s="3">
        <f>[1]节奏总纲!BD205</f>
        <v>48.96334674646436</v>
      </c>
      <c r="AS206" s="3">
        <f>[1]节奏总纲!BE205</f>
        <v>53.653819512332554</v>
      </c>
    </row>
    <row r="207" spans="17:45">
      <c r="Q207" s="3">
        <v>203</v>
      </c>
      <c r="R207" s="3">
        <f>[1]节奏总纲!AD206</f>
        <v>76.717296680108163</v>
      </c>
      <c r="S207" s="3">
        <f>[1]节奏总纲!AE206</f>
        <v>78.780647865226058</v>
      </c>
      <c r="T207" s="3">
        <f>[1]节奏总纲!AF206</f>
        <v>81.753523213908451</v>
      </c>
      <c r="U207" s="3">
        <f>[1]节奏总纲!AG206</f>
        <v>86.273423994411502</v>
      </c>
      <c r="V207" s="3">
        <f>[1]节奏总纲!AH206</f>
        <v>95.724585495978289</v>
      </c>
      <c r="AN207" s="3">
        <v>203</v>
      </c>
      <c r="AO207" s="3">
        <f>[1]节奏总纲!BA206</f>
        <v>42.791978326124728</v>
      </c>
      <c r="AP207" s="3">
        <f>[1]节奏总纲!BB206</f>
        <v>44.294146315903454</v>
      </c>
      <c r="AQ207" s="3">
        <f>[1]节奏总纲!BC206</f>
        <v>46.240303692017122</v>
      </c>
      <c r="AR207" s="3">
        <f>[1]节奏总纲!BD206</f>
        <v>48.9992397462836</v>
      </c>
      <c r="AS207" s="3">
        <f>[1]节奏总纲!BE206</f>
        <v>53.688283785366046</v>
      </c>
    </row>
    <row r="208" spans="17:45">
      <c r="Q208" s="3">
        <v>204</v>
      </c>
      <c r="R208" s="3">
        <f>[1]节奏总纲!AD207</f>
        <v>76.789110517622973</v>
      </c>
      <c r="S208" s="3">
        <f>[1]节奏总纲!AE207</f>
        <v>78.851893278096043</v>
      </c>
      <c r="T208" s="3">
        <f>[1]节奏总纲!AF207</f>
        <v>81.826496600822708</v>
      </c>
      <c r="U208" s="3">
        <f>[1]节奏总纲!AG207</f>
        <v>86.349258756949112</v>
      </c>
      <c r="V208" s="3">
        <f>[1]节奏总纲!AH207</f>
        <v>95.795936166782383</v>
      </c>
      <c r="AN208" s="3">
        <v>204</v>
      </c>
      <c r="AO208" s="3">
        <f>[1]节奏总纲!BA207</f>
        <v>42.826691081051791</v>
      </c>
      <c r="AP208" s="3">
        <f>[1]节奏总纲!BB207</f>
        <v>44.326465623783335</v>
      </c>
      <c r="AQ208" s="3">
        <f>[1]节奏总纲!BC207</f>
        <v>46.272410430048332</v>
      </c>
      <c r="AR208" s="3">
        <f>[1]节奏总纲!BD207</f>
        <v>49.030333272797542</v>
      </c>
      <c r="AS208" s="3">
        <f>[1]节奏总纲!BE207</f>
        <v>53.722748058399532</v>
      </c>
    </row>
    <row r="209" spans="17:45">
      <c r="Q209" s="3">
        <v>205</v>
      </c>
      <c r="R209" s="3">
        <f>[1]节奏总纲!AD208</f>
        <v>76.860924355137783</v>
      </c>
      <c r="S209" s="3">
        <f>[1]节奏总纲!AE208</f>
        <v>78.923138690966013</v>
      </c>
      <c r="T209" s="3">
        <f>[1]节奏总纲!AF208</f>
        <v>81.899469987736964</v>
      </c>
      <c r="U209" s="3">
        <f>[1]节奏总纲!AG208</f>
        <v>86.425093519486722</v>
      </c>
      <c r="V209" s="3">
        <f>[1]节奏总纲!AH208</f>
        <v>95.867286837586477</v>
      </c>
      <c r="AN209" s="3">
        <v>205</v>
      </c>
      <c r="AO209" s="3">
        <f>[1]节奏总纲!BA208</f>
        <v>42.861403835978855</v>
      </c>
      <c r="AP209" s="3">
        <f>[1]节奏总纲!BB208</f>
        <v>44.358784931663209</v>
      </c>
      <c r="AQ209" s="3">
        <f>[1]节奏总纲!BC208</f>
        <v>46.304517168079542</v>
      </c>
      <c r="AR209" s="3">
        <f>[1]节奏总纲!BD208</f>
        <v>49.061322941292346</v>
      </c>
      <c r="AS209" s="3">
        <f>[1]节奏总纲!BE208</f>
        <v>53.757212331433024</v>
      </c>
    </row>
    <row r="210" spans="17:45">
      <c r="Q210" s="3">
        <v>206</v>
      </c>
      <c r="R210" s="3">
        <f>[1]节奏总纲!AD209</f>
        <v>76.932738192652593</v>
      </c>
      <c r="S210" s="3">
        <f>[1]节奏总纲!AE209</f>
        <v>78.994384103835998</v>
      </c>
      <c r="T210" s="3">
        <f>[1]节奏总纲!AF209</f>
        <v>81.972443374651206</v>
      </c>
      <c r="U210" s="3">
        <f>[1]节奏总纲!AG209</f>
        <v>86.500928282024347</v>
      </c>
      <c r="V210" s="3">
        <f>[1]节奏总纲!AH209</f>
        <v>95.938637508390585</v>
      </c>
      <c r="AN210" s="3">
        <v>206</v>
      </c>
      <c r="AO210" s="3">
        <f>[1]节奏总纲!BA209</f>
        <v>42.896116590905919</v>
      </c>
      <c r="AP210" s="3">
        <f>[1]节奏总纲!BB209</f>
        <v>44.39110423954309</v>
      </c>
      <c r="AQ210" s="3">
        <f>[1]节奏总纲!BC209</f>
        <v>46.336623906110759</v>
      </c>
      <c r="AR210" s="3">
        <f>[1]节奏总纲!BD209</f>
        <v>49.09231260978715</v>
      </c>
      <c r="AS210" s="3">
        <f>[1]节奏总纲!BE209</f>
        <v>53.79167660446651</v>
      </c>
    </row>
    <row r="211" spans="17:45">
      <c r="Q211" s="3">
        <v>207</v>
      </c>
      <c r="R211" s="3">
        <f>[1]节奏总纲!AD210</f>
        <v>77.004247194324648</v>
      </c>
      <c r="S211" s="3">
        <f>[1]节奏总纲!AE210</f>
        <v>79.061386416569832</v>
      </c>
      <c r="T211" s="3">
        <f>[1]节奏总纲!AF210</f>
        <v>82.041007317281839</v>
      </c>
      <c r="U211" s="3">
        <f>[1]节奏总纲!AG210</f>
        <v>86.576763044561957</v>
      </c>
      <c r="V211" s="3">
        <f>[1]节奏总纲!AH210</f>
        <v>96.008512635801992</v>
      </c>
      <c r="AN211" s="3">
        <v>207</v>
      </c>
      <c r="AO211" s="3">
        <f>[1]节奏总纲!BA210</f>
        <v>42.930829345832983</v>
      </c>
      <c r="AP211" s="3">
        <f>[1]节奏总纲!BB210</f>
        <v>44.423423547422971</v>
      </c>
      <c r="AQ211" s="3">
        <f>[1]节奏总纲!BC210</f>
        <v>46.368730644141969</v>
      </c>
      <c r="AR211" s="3">
        <f>[1]节奏总纲!BD210</f>
        <v>49.123302278281955</v>
      </c>
      <c r="AS211" s="3">
        <f>[1]节奏总纲!BE210</f>
        <v>53.826140877499995</v>
      </c>
    </row>
    <row r="212" spans="17:45">
      <c r="Q212" s="3">
        <v>208</v>
      </c>
      <c r="R212" s="3">
        <f>[1]节奏总纲!AD211</f>
        <v>77.07125187397483</v>
      </c>
      <c r="S212" s="3">
        <f>[1]节奏总纲!AE211</f>
        <v>79.128025648620252</v>
      </c>
      <c r="T212" s="3">
        <f>[1]节奏总纲!AF211</f>
        <v>82.106895829081836</v>
      </c>
      <c r="U212" s="3">
        <f>[1]节奏总纲!AG211</f>
        <v>86.652597807099568</v>
      </c>
      <c r="V212" s="3">
        <f>[1]节奏总纲!AH211</f>
        <v>96.069322745727362</v>
      </c>
      <c r="AN212" s="3">
        <v>208</v>
      </c>
      <c r="AO212" s="3">
        <f>[1]节奏总纲!BA211</f>
        <v>42.965542100760054</v>
      </c>
      <c r="AP212" s="3">
        <f>[1]节奏总纲!BB211</f>
        <v>44.455742855302844</v>
      </c>
      <c r="AQ212" s="3">
        <f>[1]节奏总纲!BC211</f>
        <v>46.400837382173179</v>
      </c>
      <c r="AR212" s="3">
        <f>[1]节奏总纲!BD211</f>
        <v>49.154291946776759</v>
      </c>
      <c r="AS212" s="3">
        <f>[1]节奏总纲!BE211</f>
        <v>53.860605150533488</v>
      </c>
    </row>
    <row r="213" spans="17:45">
      <c r="Q213" s="3">
        <v>209</v>
      </c>
      <c r="R213" s="3">
        <f>[1]节奏总纲!AD212</f>
        <v>77.138256553625013</v>
      </c>
      <c r="S213" s="3">
        <f>[1]节奏总纲!AE212</f>
        <v>79.194664880670672</v>
      </c>
      <c r="T213" s="3">
        <f>[1]节奏总纲!AF212</f>
        <v>82.172784340881819</v>
      </c>
      <c r="U213" s="3">
        <f>[1]节奏总纲!AG212</f>
        <v>86.728432569637178</v>
      </c>
      <c r="V213" s="3">
        <f>[1]节奏总纲!AH212</f>
        <v>96.130132855652732</v>
      </c>
      <c r="AN213" s="3">
        <v>209</v>
      </c>
      <c r="AO213" s="3">
        <f>[1]节奏总纲!BA212</f>
        <v>43.000219942361319</v>
      </c>
      <c r="AP213" s="3">
        <f>[1]节奏总纲!BB212</f>
        <v>44.488062163182725</v>
      </c>
      <c r="AQ213" s="3">
        <f>[1]节奏总纲!BC212</f>
        <v>46.432944120204397</v>
      </c>
      <c r="AR213" s="3">
        <f>[1]节奏总纲!BD212</f>
        <v>49.18528161527157</v>
      </c>
      <c r="AS213" s="3">
        <f>[1]节奏总纲!BE212</f>
        <v>53.895069423566973</v>
      </c>
    </row>
    <row r="214" spans="17:45">
      <c r="Q214" s="3">
        <v>210</v>
      </c>
      <c r="R214" s="3">
        <f>[1]节奏总纲!AD213</f>
        <v>77.205261233275195</v>
      </c>
      <c r="S214" s="3">
        <f>[1]节奏总纲!AE213</f>
        <v>79.261304112721092</v>
      </c>
      <c r="T214" s="3">
        <f>[1]节奏总纲!AF213</f>
        <v>82.238672852681816</v>
      </c>
      <c r="U214" s="3">
        <f>[1]节奏总纲!AG213</f>
        <v>86.804267332174788</v>
      </c>
      <c r="V214" s="3">
        <f>[1]节奏总纲!AH213</f>
        <v>96.190942965578103</v>
      </c>
      <c r="AN214" s="3">
        <v>210</v>
      </c>
      <c r="AO214" s="3">
        <f>[1]节奏总纲!BA213</f>
        <v>43.030177309109042</v>
      </c>
      <c r="AP214" s="3">
        <f>[1]节奏总纲!BB213</f>
        <v>44.520381471062606</v>
      </c>
      <c r="AQ214" s="3">
        <f>[1]节奏总纲!BC213</f>
        <v>46.465050858235607</v>
      </c>
      <c r="AR214" s="3">
        <f>[1]节奏总纲!BD213</f>
        <v>49.216271283766375</v>
      </c>
      <c r="AS214" s="3">
        <f>[1]节奏总纲!BE213</f>
        <v>53.929533696600465</v>
      </c>
    </row>
    <row r="215" spans="17:45">
      <c r="Q215" s="3">
        <v>211</v>
      </c>
      <c r="R215" s="3">
        <f>[1]节奏总纲!AD214</f>
        <v>77.272265912925377</v>
      </c>
      <c r="S215" s="3">
        <f>[1]节奏总纲!AE214</f>
        <v>79.327943344771512</v>
      </c>
      <c r="T215" s="3">
        <f>[1]节奏总纲!AF214</f>
        <v>82.304561364481813</v>
      </c>
      <c r="U215" s="3">
        <f>[1]节奏总纲!AG214</f>
        <v>86.880102094712413</v>
      </c>
      <c r="V215" s="3">
        <f>[1]节奏总纲!AH214</f>
        <v>96.251753075503458</v>
      </c>
      <c r="AN215" s="3">
        <v>211</v>
      </c>
      <c r="AO215" s="3">
        <f>[1]节奏总纲!BA214</f>
        <v>43.060134675856759</v>
      </c>
      <c r="AP215" s="3">
        <f>[1]节奏总纲!BB214</f>
        <v>44.55270077894248</v>
      </c>
      <c r="AQ215" s="3">
        <f>[1]节奏总纲!BC214</f>
        <v>46.497157596266817</v>
      </c>
      <c r="AR215" s="3">
        <f>[1]节奏总纲!BD214</f>
        <v>49.247260952261179</v>
      </c>
      <c r="AS215" s="3">
        <f>[1]节奏总纲!BE214</f>
        <v>53.963997969633951</v>
      </c>
    </row>
    <row r="216" spans="17:45">
      <c r="Q216" s="3">
        <v>212</v>
      </c>
      <c r="R216" s="3">
        <f>[1]节奏总纲!AD215</f>
        <v>77.339270592575559</v>
      </c>
      <c r="S216" s="3">
        <f>[1]节奏总纲!AE215</f>
        <v>79.394582576821932</v>
      </c>
      <c r="T216" s="3">
        <f>[1]节奏总纲!AF215</f>
        <v>82.370449876281796</v>
      </c>
      <c r="U216" s="3">
        <f>[1]节奏总纲!AG215</f>
        <v>86.955936857250023</v>
      </c>
      <c r="V216" s="3">
        <f>[1]节奏总纲!AH215</f>
        <v>96.312563185428829</v>
      </c>
      <c r="AN216" s="3">
        <v>212</v>
      </c>
      <c r="AO216" s="3">
        <f>[1]节奏总纲!BA215</f>
        <v>43.090092042604475</v>
      </c>
      <c r="AP216" s="3">
        <f>[1]节奏总纲!BB215</f>
        <v>44.585020086822361</v>
      </c>
      <c r="AQ216" s="3">
        <f>[1]节奏总纲!BC215</f>
        <v>46.529264334298034</v>
      </c>
      <c r="AR216" s="3">
        <f>[1]节奏总纲!BD215</f>
        <v>49.278250620755983</v>
      </c>
      <c r="AS216" s="3">
        <f>[1]节奏总纲!BE215</f>
        <v>53.998462242667436</v>
      </c>
    </row>
    <row r="217" spans="17:45">
      <c r="Q217" s="3">
        <v>213</v>
      </c>
      <c r="R217" s="3">
        <f>[1]节奏总纲!AD216</f>
        <v>77.406275272225741</v>
      </c>
      <c r="S217" s="3">
        <f>[1]节奏总纲!AE216</f>
        <v>79.461221808872352</v>
      </c>
      <c r="T217" s="3">
        <f>[1]节奏总纲!AF216</f>
        <v>82.436338388081793</v>
      </c>
      <c r="U217" s="3">
        <f>[1]节奏总纲!AG216</f>
        <v>87.031203567981635</v>
      </c>
      <c r="V217" s="3">
        <f>[1]节奏总纲!AH216</f>
        <v>96.373373295354199</v>
      </c>
      <c r="AN217" s="3">
        <v>213</v>
      </c>
      <c r="AO217" s="3">
        <f>[1]节奏总纲!BA216</f>
        <v>43.120049409352191</v>
      </c>
      <c r="AP217" s="3">
        <f>[1]节奏总纲!BB216</f>
        <v>44.617339394702242</v>
      </c>
      <c r="AQ217" s="3">
        <f>[1]节奏总纲!BC216</f>
        <v>46.561371072329244</v>
      </c>
      <c r="AR217" s="3">
        <f>[1]节奏总纲!BD216</f>
        <v>49.309240289250788</v>
      </c>
      <c r="AS217" s="3">
        <f>[1]节奏总纲!BE216</f>
        <v>54.028437871105552</v>
      </c>
    </row>
    <row r="218" spans="17:45">
      <c r="Q218" s="3">
        <v>214</v>
      </c>
      <c r="R218" s="3">
        <f>[1]节奏总纲!AD217</f>
        <v>77.473279951875909</v>
      </c>
      <c r="S218" s="3">
        <f>[1]节奏总纲!AE217</f>
        <v>79.527861040922772</v>
      </c>
      <c r="T218" s="3">
        <f>[1]节奏总纲!AF217</f>
        <v>82.502226899881776</v>
      </c>
      <c r="U218" s="3">
        <f>[1]节奏总纲!AG217</f>
        <v>87.10568246405397</v>
      </c>
      <c r="V218" s="3">
        <f>[1]节奏总纲!AH217</f>
        <v>96.434183405279569</v>
      </c>
      <c r="AN218" s="3">
        <v>214</v>
      </c>
      <c r="AO218" s="3">
        <f>[1]节奏总纲!BA217</f>
        <v>43.150006776099914</v>
      </c>
      <c r="AP218" s="3">
        <f>[1]节奏总纲!BB217</f>
        <v>44.649658702582116</v>
      </c>
      <c r="AQ218" s="3">
        <f>[1]节奏总纲!BC217</f>
        <v>46.593477810360454</v>
      </c>
      <c r="AR218" s="3">
        <f>[1]节奏总纲!BD217</f>
        <v>49.340229957745592</v>
      </c>
      <c r="AS218" s="3">
        <f>[1]节奏总纲!BE217</f>
        <v>54.058203867701586</v>
      </c>
    </row>
    <row r="219" spans="17:45">
      <c r="Q219" s="3">
        <v>215</v>
      </c>
      <c r="R219" s="3">
        <f>[1]节奏总纲!AD218</f>
        <v>77.540284631526092</v>
      </c>
      <c r="S219" s="3">
        <f>[1]节奏总纲!AE218</f>
        <v>79.594500272973193</v>
      </c>
      <c r="T219" s="3">
        <f>[1]节奏总纲!AF218</f>
        <v>82.568115411681774</v>
      </c>
      <c r="U219" s="3">
        <f>[1]节奏总纲!AG218</f>
        <v>87.180161360126306</v>
      </c>
      <c r="V219" s="3">
        <f>[1]节奏总纲!AH218</f>
        <v>96.494993515204939</v>
      </c>
      <c r="AN219" s="3">
        <v>215</v>
      </c>
      <c r="AO219" s="3">
        <f>[1]节奏总纲!BA218</f>
        <v>43.179964142847631</v>
      </c>
      <c r="AP219" s="3">
        <f>[1]节奏总纲!BB218</f>
        <v>44.681978010461997</v>
      </c>
      <c r="AQ219" s="3">
        <f>[1]节奏总纲!BC218</f>
        <v>46.625584548391664</v>
      </c>
      <c r="AR219" s="3">
        <f>[1]节奏总纲!BD218</f>
        <v>49.371219626240396</v>
      </c>
      <c r="AS219" s="3">
        <f>[1]节奏总纲!BE218</f>
        <v>54.087969864297619</v>
      </c>
    </row>
    <row r="220" spans="17:45">
      <c r="Q220" s="3">
        <v>216</v>
      </c>
      <c r="R220" s="3">
        <f>[1]节奏总纲!AD219</f>
        <v>77.607289311176274</v>
      </c>
      <c r="S220" s="3">
        <f>[1]节奏总纲!AE219</f>
        <v>79.661139505023613</v>
      </c>
      <c r="T220" s="3">
        <f>[1]节奏总纲!AF219</f>
        <v>82.634003923481771</v>
      </c>
      <c r="U220" s="3">
        <f>[1]节奏总纲!AG219</f>
        <v>87.254640256198641</v>
      </c>
      <c r="V220" s="3">
        <f>[1]节奏总纲!AH219</f>
        <v>96.555803625130309</v>
      </c>
      <c r="AN220" s="3">
        <v>216</v>
      </c>
      <c r="AO220" s="3">
        <f>[1]节奏总纲!BA219</f>
        <v>43.209921509595347</v>
      </c>
      <c r="AP220" s="3">
        <f>[1]节奏总纲!BB219</f>
        <v>44.71429731834187</v>
      </c>
      <c r="AQ220" s="3">
        <f>[1]节奏总纲!BC219</f>
        <v>46.657691286422882</v>
      </c>
      <c r="AR220" s="3">
        <f>[1]节奏总纲!BD219</f>
        <v>49.402209294735208</v>
      </c>
      <c r="AS220" s="3">
        <f>[1]节奏总纲!BE219</f>
        <v>54.117735860893646</v>
      </c>
    </row>
    <row r="221" spans="17:45">
      <c r="Q221" s="3">
        <v>217</v>
      </c>
      <c r="R221" s="3">
        <f>[1]节奏总纲!AD220</f>
        <v>77.674293990826456</v>
      </c>
      <c r="S221" s="3">
        <f>[1]节奏总纲!AE220</f>
        <v>79.727778737074033</v>
      </c>
      <c r="T221" s="3">
        <f>[1]节奏总纲!AF220</f>
        <v>82.699892435281754</v>
      </c>
      <c r="U221" s="3">
        <f>[1]节奏总纲!AG220</f>
        <v>87.329119152270991</v>
      </c>
      <c r="V221" s="3">
        <f>[1]节奏总纲!AH220</f>
        <v>96.61661373505568</v>
      </c>
      <c r="AN221" s="3">
        <v>217</v>
      </c>
      <c r="AO221" s="3">
        <f>[1]节奏总纲!BA220</f>
        <v>43.239878876343063</v>
      </c>
      <c r="AP221" s="3">
        <f>[1]节奏总纲!BB220</f>
        <v>44.746616626221751</v>
      </c>
      <c r="AQ221" s="3">
        <f>[1]节奏总纲!BC220</f>
        <v>46.689798024454092</v>
      </c>
      <c r="AR221" s="3">
        <f>[1]节奏总纲!BD220</f>
        <v>49.433198963230012</v>
      </c>
      <c r="AS221" s="3">
        <f>[1]节奏总纲!BE220</f>
        <v>54.147501857489679</v>
      </c>
    </row>
    <row r="222" spans="17:45">
      <c r="Q222" s="3">
        <v>218</v>
      </c>
      <c r="R222" s="3">
        <f>[1]节奏总纲!AD221</f>
        <v>77.741298670476638</v>
      </c>
      <c r="S222" s="3">
        <f>[1]节奏总纲!AE221</f>
        <v>79.794417969124453</v>
      </c>
      <c r="T222" s="3">
        <f>[1]节奏总纲!AF221</f>
        <v>82.765780947081751</v>
      </c>
      <c r="U222" s="3">
        <f>[1]节奏总纲!AG221</f>
        <v>87.403598048343326</v>
      </c>
      <c r="V222" s="3">
        <f>[1]节奏总纲!AH221</f>
        <v>96.67742384498105</v>
      </c>
      <c r="AN222" s="3">
        <v>218</v>
      </c>
      <c r="AO222" s="3">
        <f>[1]节奏总纲!BA221</f>
        <v>43.269836243090786</v>
      </c>
      <c r="AP222" s="3">
        <f>[1]节奏总纲!BB221</f>
        <v>44.778935934101632</v>
      </c>
      <c r="AQ222" s="3">
        <f>[1]节奏总纲!BC221</f>
        <v>46.721904762485302</v>
      </c>
      <c r="AR222" s="3">
        <f>[1]节奏总纲!BD221</f>
        <v>49.464188631724817</v>
      </c>
      <c r="AS222" s="3">
        <f>[1]节奏总纲!BE221</f>
        <v>54.177267854085706</v>
      </c>
    </row>
    <row r="223" spans="17:45">
      <c r="Q223" s="3">
        <v>219</v>
      </c>
      <c r="R223" s="3">
        <f>[1]节奏总纲!AD222</f>
        <v>77.80830335012682</v>
      </c>
      <c r="S223" s="3">
        <f>[1]节奏总纲!AE222</f>
        <v>79.861057201174873</v>
      </c>
      <c r="T223" s="3">
        <f>[1]节奏总纲!AF222</f>
        <v>82.831669458881734</v>
      </c>
      <c r="U223" s="3">
        <f>[1]节奏总纲!AG222</f>
        <v>87.478076944415662</v>
      </c>
      <c r="V223" s="3">
        <f>[1]节奏总纲!AH222</f>
        <v>96.73823395490642</v>
      </c>
      <c r="AN223" s="3">
        <v>219</v>
      </c>
      <c r="AO223" s="3">
        <f>[1]节奏总纲!BA222</f>
        <v>43.299793609838503</v>
      </c>
      <c r="AP223" s="3">
        <f>[1]节奏总纲!BB222</f>
        <v>44.811255241981506</v>
      </c>
      <c r="AQ223" s="3">
        <f>[1]节奏总纲!BC222</f>
        <v>46.754011500516519</v>
      </c>
      <c r="AR223" s="3">
        <f>[1]节奏总纲!BD222</f>
        <v>49.495178300219621</v>
      </c>
      <c r="AS223" s="3">
        <f>[1]节奏总纲!BE222</f>
        <v>54.207033850681739</v>
      </c>
    </row>
    <row r="224" spans="17:45">
      <c r="Q224" s="3">
        <v>220</v>
      </c>
      <c r="R224" s="3">
        <f>[1]节奏总纲!AD223</f>
        <v>77.875308029777003</v>
      </c>
      <c r="S224" s="3">
        <f>[1]节奏总纲!AE223</f>
        <v>79.927696433225293</v>
      </c>
      <c r="T224" s="3">
        <f>[1]节奏总纲!AF223</f>
        <v>82.897557970681731</v>
      </c>
      <c r="U224" s="3">
        <f>[1]节奏总纲!AG223</f>
        <v>87.552555840488012</v>
      </c>
      <c r="V224" s="3">
        <f>[1]节奏总纲!AH223</f>
        <v>96.79904406483179</v>
      </c>
      <c r="AN224" s="3">
        <v>220</v>
      </c>
      <c r="AO224" s="3">
        <f>[1]节奏总纲!BA223</f>
        <v>43.329750976586219</v>
      </c>
      <c r="AP224" s="3">
        <f>[1]节奏总纲!BB223</f>
        <v>44.843574549861387</v>
      </c>
      <c r="AQ224" s="3">
        <f>[1]节奏总纲!BC223</f>
        <v>46.786118238547729</v>
      </c>
      <c r="AR224" s="3">
        <f>[1]节奏总纲!BD223</f>
        <v>49.526167968714425</v>
      </c>
      <c r="AS224" s="3">
        <f>[1]节奏总纲!BE223</f>
        <v>54.236799847277773</v>
      </c>
    </row>
    <row r="225" spans="17:45">
      <c r="Q225" s="3">
        <v>221</v>
      </c>
      <c r="R225" s="3">
        <f>[1]节奏总纲!AD224</f>
        <v>77.942312709427185</v>
      </c>
      <c r="S225" s="3">
        <f>[1]节奏总纲!AE224</f>
        <v>79.994335665275713</v>
      </c>
      <c r="T225" s="3">
        <f>[1]节奏总纲!AF224</f>
        <v>82.963446482481729</v>
      </c>
      <c r="U225" s="3">
        <f>[1]节奏总纲!AG224</f>
        <v>87.627034736560347</v>
      </c>
      <c r="V225" s="3">
        <f>[1]节奏总纲!AH224</f>
        <v>96.85985417475716</v>
      </c>
      <c r="AN225" s="3">
        <v>221</v>
      </c>
      <c r="AO225" s="3">
        <f>[1]节奏总纲!BA224</f>
        <v>43.359708343333942</v>
      </c>
      <c r="AP225" s="3">
        <f>[1]节奏总纲!BB224</f>
        <v>44.875893857741268</v>
      </c>
      <c r="AQ225" s="3">
        <f>[1]节奏总纲!BC224</f>
        <v>46.818224976578939</v>
      </c>
      <c r="AR225" s="3">
        <f>[1]节奏总纲!BD224</f>
        <v>49.55715763720923</v>
      </c>
      <c r="AS225" s="3">
        <f>[1]节奏总纲!BE224</f>
        <v>54.266565843873799</v>
      </c>
    </row>
    <row r="226" spans="17:45">
      <c r="Q226" s="3">
        <v>222</v>
      </c>
      <c r="R226" s="3">
        <f>[1]节奏总纲!AD225</f>
        <v>78.008693431404168</v>
      </c>
      <c r="S226" s="3">
        <f>[1]节奏总纲!AE225</f>
        <v>80.05990507131493</v>
      </c>
      <c r="T226" s="3">
        <f>[1]节奏总纲!AF225</f>
        <v>83.028328094754301</v>
      </c>
      <c r="U226" s="3">
        <f>[1]节奏总纲!AG225</f>
        <v>87.701513632632683</v>
      </c>
      <c r="V226" s="3">
        <f>[1]节奏总纲!AH225</f>
        <v>96.920664284682516</v>
      </c>
      <c r="AN226" s="3">
        <v>222</v>
      </c>
      <c r="AO226" s="3">
        <f>[1]节奏总纲!BA225</f>
        <v>43.389665710081658</v>
      </c>
      <c r="AP226" s="3">
        <f>[1]节奏总纲!BB225</f>
        <v>44.908213165621142</v>
      </c>
      <c r="AQ226" s="3">
        <f>[1]节奏总纲!BC225</f>
        <v>46.850331714610157</v>
      </c>
      <c r="AR226" s="3">
        <f>[1]节奏总纲!BD225</f>
        <v>49.588147305704041</v>
      </c>
      <c r="AS226" s="3">
        <f>[1]节奏总纲!BE225</f>
        <v>54.296331840469833</v>
      </c>
    </row>
    <row r="227" spans="17:45">
      <c r="Q227" s="3">
        <v>223</v>
      </c>
      <c r="R227" s="3">
        <f>[1]节奏总纲!AD226</f>
        <v>78.071211008105138</v>
      </c>
      <c r="S227" s="3">
        <f>[1]节奏总纲!AE226</f>
        <v>80.125375094609936</v>
      </c>
      <c r="T227" s="3">
        <f>[1]节奏总纲!AF226</f>
        <v>83.091955037632331</v>
      </c>
      <c r="U227" s="3">
        <f>[1]节奏总纲!AG226</f>
        <v>87.775992528705018</v>
      </c>
      <c r="V227" s="3">
        <f>[1]节奏总纲!AH226</f>
        <v>96.981474394607886</v>
      </c>
      <c r="AN227" s="3">
        <v>223</v>
      </c>
      <c r="AO227" s="3">
        <f>[1]节奏总纲!BA226</f>
        <v>43.419623076829374</v>
      </c>
      <c r="AP227" s="3">
        <f>[1]节奏总纲!BB226</f>
        <v>44.940532473501023</v>
      </c>
      <c r="AQ227" s="3">
        <f>[1]节奏总纲!BC226</f>
        <v>46.882438452641367</v>
      </c>
      <c r="AR227" s="3">
        <f>[1]节奏总纲!BD226</f>
        <v>49.619136974198845</v>
      </c>
      <c r="AS227" s="3">
        <f>[1]节奏总纲!BE226</f>
        <v>54.326097837065859</v>
      </c>
    </row>
    <row r="228" spans="17:45">
      <c r="Q228" s="3">
        <v>224</v>
      </c>
      <c r="R228" s="3">
        <f>[1]节奏总纲!AD227</f>
        <v>78.133728584806107</v>
      </c>
      <c r="S228" s="3">
        <f>[1]节奏总纲!AE227</f>
        <v>80.190845117904942</v>
      </c>
      <c r="T228" s="3">
        <f>[1]节奏总纲!AF227</f>
        <v>83.155581980510348</v>
      </c>
      <c r="U228" s="3">
        <f>[1]节奏总纲!AG227</f>
        <v>87.850471424777368</v>
      </c>
      <c r="V228" s="3">
        <f>[1]节奏总纲!AH227</f>
        <v>97.03979962522213</v>
      </c>
      <c r="AN228" s="3">
        <v>224</v>
      </c>
      <c r="AO228" s="3">
        <f>[1]节奏总纲!BA227</f>
        <v>43.449580443577091</v>
      </c>
      <c r="AP228" s="3">
        <f>[1]节奏总纲!BB227</f>
        <v>44.972851781380903</v>
      </c>
      <c r="AQ228" s="3">
        <f>[1]节奏总纲!BC227</f>
        <v>46.914545190672577</v>
      </c>
      <c r="AR228" s="3">
        <f>[1]节奏总纲!BD227</f>
        <v>49.65012664269365</v>
      </c>
      <c r="AS228" s="3">
        <f>[1]节奏总纲!BE227</f>
        <v>54.355863833661893</v>
      </c>
    </row>
    <row r="229" spans="17:45">
      <c r="Q229" s="3">
        <v>225</v>
      </c>
      <c r="R229" s="3">
        <f>[1]节奏总纲!AD228</f>
        <v>78.196246161507091</v>
      </c>
      <c r="S229" s="3">
        <f>[1]节奏总纲!AE228</f>
        <v>80.256315141199948</v>
      </c>
      <c r="T229" s="3">
        <f>[1]节奏总纲!AF228</f>
        <v>83.219208923388379</v>
      </c>
      <c r="U229" s="3">
        <f>[1]节奏总纲!AG228</f>
        <v>87.924950320849703</v>
      </c>
      <c r="V229" s="3">
        <f>[1]节奏总纲!AH228</f>
        <v>97.097036185315744</v>
      </c>
      <c r="AN229" s="3">
        <v>225</v>
      </c>
      <c r="AO229" s="3">
        <f>[1]节奏总纲!BA228</f>
        <v>43.479537810324814</v>
      </c>
      <c r="AP229" s="3">
        <f>[1]节奏总纲!BB228</f>
        <v>45.004463376644416</v>
      </c>
      <c r="AQ229" s="3">
        <f>[1]节奏总纲!BC228</f>
        <v>46.946651928703794</v>
      </c>
      <c r="AR229" s="3">
        <f>[1]节奏总纲!BD228</f>
        <v>49.681116311188454</v>
      </c>
      <c r="AS229" s="3">
        <f>[1]节奏总纲!BE228</f>
        <v>54.385629830257926</v>
      </c>
    </row>
    <row r="230" spans="17:45">
      <c r="Q230" s="3">
        <v>226</v>
      </c>
      <c r="R230" s="3">
        <f>[1]节奏总纲!AD229</f>
        <v>78.25876373820806</v>
      </c>
      <c r="S230" s="3">
        <f>[1]节奏总纲!AE229</f>
        <v>80.321785164494941</v>
      </c>
      <c r="T230" s="3">
        <f>[1]节奏总纲!AF229</f>
        <v>83.282835866266396</v>
      </c>
      <c r="U230" s="3">
        <f>[1]节奏总纲!AG229</f>
        <v>87.999429216922039</v>
      </c>
      <c r="V230" s="3">
        <f>[1]节奏总纲!AH229</f>
        <v>97.154272745409358</v>
      </c>
      <c r="AN230" s="3">
        <v>226</v>
      </c>
      <c r="AO230" s="3">
        <f>[1]节奏总纲!BA229</f>
        <v>43.50949517707253</v>
      </c>
      <c r="AP230" s="3">
        <f>[1]节奏总纲!BB229</f>
        <v>45.032359480672049</v>
      </c>
      <c r="AQ230" s="3">
        <f>[1]节奏总纲!BC229</f>
        <v>46.978758666735004</v>
      </c>
      <c r="AR230" s="3">
        <f>[1]节奏总纲!BD229</f>
        <v>49.712105979683258</v>
      </c>
      <c r="AS230" s="3">
        <f>[1]节奏总纲!BE229</f>
        <v>54.415395826853953</v>
      </c>
    </row>
    <row r="231" spans="17:45">
      <c r="Q231" s="3">
        <v>227</v>
      </c>
      <c r="R231" s="3">
        <f>[1]节奏总纲!AD230</f>
        <v>78.321281314909029</v>
      </c>
      <c r="S231" s="3">
        <f>[1]节奏总纲!AE230</f>
        <v>80.387255187789947</v>
      </c>
      <c r="T231" s="3">
        <f>[1]节奏总纲!AF230</f>
        <v>83.346462809144427</v>
      </c>
      <c r="U231" s="3">
        <f>[1]节奏总纲!AG230</f>
        <v>88.069378113045531</v>
      </c>
      <c r="V231" s="3">
        <f>[1]节奏总纲!AH230</f>
        <v>97.211509305502972</v>
      </c>
      <c r="AN231" s="3">
        <v>227</v>
      </c>
      <c r="AO231" s="3">
        <f>[1]节奏总纲!BA230</f>
        <v>43.539452543820246</v>
      </c>
      <c r="AP231" s="3">
        <f>[1]节奏总纲!BB230</f>
        <v>45.060255584699682</v>
      </c>
      <c r="AQ231" s="3">
        <f>[1]节奏总纲!BC230</f>
        <v>47.009379755645142</v>
      </c>
      <c r="AR231" s="3">
        <f>[1]节奏总纲!BD230</f>
        <v>49.743095648178063</v>
      </c>
      <c r="AS231" s="3">
        <f>[1]节奏总纲!BE230</f>
        <v>54.445161823449986</v>
      </c>
    </row>
    <row r="232" spans="17:45">
      <c r="Q232" s="3">
        <v>228</v>
      </c>
      <c r="R232" s="3">
        <f>[1]节奏总纲!AD231</f>
        <v>78.383798891610013</v>
      </c>
      <c r="S232" s="3">
        <f>[1]节奏总纲!AE231</f>
        <v>80.452725211084953</v>
      </c>
      <c r="T232" s="3">
        <f>[1]节奏总纲!AF231</f>
        <v>83.410089752022458</v>
      </c>
      <c r="U232" s="3">
        <f>[1]节奏总纲!AG231</f>
        <v>88.139292024548126</v>
      </c>
      <c r="V232" s="3">
        <f>[1]节奏总纲!AH231</f>
        <v>97.268745865596571</v>
      </c>
      <c r="AN232" s="3">
        <v>228</v>
      </c>
      <c r="AO232" s="3">
        <f>[1]节奏总纲!BA231</f>
        <v>43.569409910567963</v>
      </c>
      <c r="AP232" s="3">
        <f>[1]节奏总纲!BB231</f>
        <v>45.088151688727308</v>
      </c>
      <c r="AQ232" s="3">
        <f>[1]节奏总纲!BC231</f>
        <v>47.037096473409001</v>
      </c>
      <c r="AR232" s="3">
        <f>[1]节奏总纲!BD231</f>
        <v>49.774085316672867</v>
      </c>
      <c r="AS232" s="3">
        <f>[1]节奏总纲!BE231</f>
        <v>54.47492782004602</v>
      </c>
    </row>
    <row r="233" spans="17:45">
      <c r="Q233" s="3">
        <v>229</v>
      </c>
      <c r="R233" s="3">
        <f>[1]节奏总纲!AD232</f>
        <v>78.446316468310982</v>
      </c>
      <c r="S233" s="3">
        <f>[1]节奏总纲!AE232</f>
        <v>80.518195234379959</v>
      </c>
      <c r="T233" s="3">
        <f>[1]节奏总纲!AF232</f>
        <v>83.473716694900475</v>
      </c>
      <c r="U233" s="3">
        <f>[1]节奏总纲!AG232</f>
        <v>88.209205936050708</v>
      </c>
      <c r="V233" s="3">
        <f>[1]节奏总纲!AH232</f>
        <v>97.325982425690185</v>
      </c>
      <c r="AN233" s="3">
        <v>229</v>
      </c>
      <c r="AO233" s="3">
        <f>[1]节奏总纲!BA232</f>
        <v>43.599367277315686</v>
      </c>
      <c r="AP233" s="3">
        <f>[1]节奏总纲!BB232</f>
        <v>45.116047792754941</v>
      </c>
      <c r="AQ233" s="3">
        <f>[1]节奏总纲!BC232</f>
        <v>47.06481319117286</v>
      </c>
      <c r="AR233" s="3">
        <f>[1]节奏总纲!BD232</f>
        <v>49.805074985167678</v>
      </c>
      <c r="AS233" s="3">
        <f>[1]节奏总纲!BE232</f>
        <v>54.504693816642046</v>
      </c>
    </row>
    <row r="234" spans="17:45">
      <c r="Q234" s="3">
        <v>230</v>
      </c>
      <c r="R234" s="3">
        <f>[1]节奏总纲!AD233</f>
        <v>78.508834045011952</v>
      </c>
      <c r="S234" s="3">
        <f>[1]节奏总纲!AE233</f>
        <v>80.583665257674966</v>
      </c>
      <c r="T234" s="3">
        <f>[1]节奏总纲!AF233</f>
        <v>83.537343637778505</v>
      </c>
      <c r="U234" s="3">
        <f>[1]节奏总纲!AG233</f>
        <v>88.279119847553304</v>
      </c>
      <c r="V234" s="3">
        <f>[1]节奏总纲!AH233</f>
        <v>97.383218985783799</v>
      </c>
      <c r="AN234" s="3">
        <v>230</v>
      </c>
      <c r="AO234" s="3">
        <f>[1]节奏总纲!BA233</f>
        <v>43.629324644063402</v>
      </c>
      <c r="AP234" s="3">
        <f>[1]节奏总纲!BB233</f>
        <v>45.143943896782567</v>
      </c>
      <c r="AQ234" s="3">
        <f>[1]节奏总纲!BC233</f>
        <v>47.092529908936719</v>
      </c>
      <c r="AR234" s="3">
        <f>[1]节奏总纲!BD233</f>
        <v>49.836064653662483</v>
      </c>
      <c r="AS234" s="3">
        <f>[1]节奏总纲!BE233</f>
        <v>54.53445981323808</v>
      </c>
    </row>
    <row r="235" spans="17:45">
      <c r="Q235" s="3">
        <v>231</v>
      </c>
      <c r="R235" s="3">
        <f>[1]节奏总纲!AD234</f>
        <v>78.571351621712921</v>
      </c>
      <c r="S235" s="3">
        <f>[1]节奏总纲!AE234</f>
        <v>80.649135280969972</v>
      </c>
      <c r="T235" s="3">
        <f>[1]节奏总纲!AF234</f>
        <v>83.600970580656536</v>
      </c>
      <c r="U235" s="3">
        <f>[1]节奏总纲!AG234</f>
        <v>88.349033759055899</v>
      </c>
      <c r="V235" s="3">
        <f>[1]节奏总纲!AH234</f>
        <v>97.440455545877413</v>
      </c>
      <c r="AN235" s="3">
        <v>231</v>
      </c>
      <c r="AO235" s="3">
        <f>[1]节奏总纲!BA234</f>
        <v>43.659282010811118</v>
      </c>
      <c r="AP235" s="3">
        <f>[1]节奏总纲!BB234</f>
        <v>45.171840000810199</v>
      </c>
      <c r="AQ235" s="3">
        <f>[1]节奏总纲!BC234</f>
        <v>47.120246626700578</v>
      </c>
      <c r="AR235" s="3">
        <f>[1]节奏总纲!BD234</f>
        <v>49.867054322157287</v>
      </c>
      <c r="AS235" s="3">
        <f>[1]节奏总纲!BE234</f>
        <v>54.564225809834106</v>
      </c>
    </row>
    <row r="236" spans="17:45">
      <c r="Q236" s="3">
        <v>232</v>
      </c>
      <c r="R236" s="3">
        <f>[1]节奏总纲!AD235</f>
        <v>78.633869198413905</v>
      </c>
      <c r="S236" s="3">
        <f>[1]节奏总纲!AE235</f>
        <v>80.714605304264978</v>
      </c>
      <c r="T236" s="3">
        <f>[1]节奏总纲!AF235</f>
        <v>83.664597523534553</v>
      </c>
      <c r="U236" s="3">
        <f>[1]节奏总纲!AG235</f>
        <v>88.418947670558495</v>
      </c>
      <c r="V236" s="3">
        <f>[1]节奏总纲!AH235</f>
        <v>97.497692105971026</v>
      </c>
      <c r="AN236" s="3">
        <v>232</v>
      </c>
      <c r="AO236" s="3">
        <f>[1]节奏总纲!BA235</f>
        <v>43.689239377558835</v>
      </c>
      <c r="AP236" s="3">
        <f>[1]节奏总纲!BB235</f>
        <v>45.199736104837825</v>
      </c>
      <c r="AQ236" s="3">
        <f>[1]节奏总纲!BC235</f>
        <v>47.147963344464429</v>
      </c>
      <c r="AR236" s="3">
        <f>[1]节奏总纲!BD235</f>
        <v>49.898043990652091</v>
      </c>
      <c r="AS236" s="3">
        <f>[1]节奏总纲!BE235</f>
        <v>54.593991806430139</v>
      </c>
    </row>
    <row r="237" spans="17:45">
      <c r="Q237" s="3">
        <v>233</v>
      </c>
      <c r="R237" s="3">
        <f>[1]节奏总纲!AD236</f>
        <v>78.696386775114874</v>
      </c>
      <c r="S237" s="3">
        <f>[1]节奏总纲!AE236</f>
        <v>80.78007532755997</v>
      </c>
      <c r="T237" s="3">
        <f>[1]节奏总纲!AF236</f>
        <v>83.728224466412584</v>
      </c>
      <c r="U237" s="3">
        <f>[1]节奏总纲!AG236</f>
        <v>88.488861582061077</v>
      </c>
      <c r="V237" s="3">
        <f>[1]节奏总纲!AH236</f>
        <v>97.554928666064626</v>
      </c>
      <c r="AN237" s="3">
        <v>233</v>
      </c>
      <c r="AO237" s="3">
        <f>[1]节奏总纲!BA236</f>
        <v>43.719196744306558</v>
      </c>
      <c r="AP237" s="3">
        <f>[1]节奏总纲!BB236</f>
        <v>45.227632208865458</v>
      </c>
      <c r="AQ237" s="3">
        <f>[1]节奏总纲!BC236</f>
        <v>47.175680062228288</v>
      </c>
      <c r="AR237" s="3">
        <f>[1]节奏总纲!BD236</f>
        <v>49.929033659146896</v>
      </c>
      <c r="AS237" s="3">
        <f>[1]节奏总纲!BE236</f>
        <v>54.623757803026173</v>
      </c>
    </row>
    <row r="238" spans="17:45">
      <c r="Q238" s="3">
        <v>234</v>
      </c>
      <c r="R238" s="3">
        <f>[1]节奏总纲!AD237</f>
        <v>78.758904351815843</v>
      </c>
      <c r="S238" s="3">
        <f>[1]节奏总纲!AE237</f>
        <v>80.845545350854977</v>
      </c>
      <c r="T238" s="3">
        <f>[1]节奏总纲!AF237</f>
        <v>83.791851409290615</v>
      </c>
      <c r="U238" s="3">
        <f>[1]节奏总纲!AG237</f>
        <v>88.558775493563672</v>
      </c>
      <c r="V238" s="3">
        <f>[1]节奏总纲!AH237</f>
        <v>97.61216522615824</v>
      </c>
      <c r="AN238" s="3">
        <v>234</v>
      </c>
      <c r="AO238" s="3">
        <f>[1]节奏总纲!BA237</f>
        <v>43.749154111054274</v>
      </c>
      <c r="AP238" s="3">
        <f>[1]节奏总纲!BB237</f>
        <v>45.255528312893091</v>
      </c>
      <c r="AQ238" s="3">
        <f>[1]节奏总纲!BC237</f>
        <v>47.203396779992147</v>
      </c>
      <c r="AR238" s="3">
        <f>[1]节奏总纲!BD237</f>
        <v>49.9600233276417</v>
      </c>
      <c r="AS238" s="3">
        <f>[1]节奏总纲!BE237</f>
        <v>54.653523799622199</v>
      </c>
    </row>
    <row r="239" spans="17:45">
      <c r="Q239" s="3">
        <v>235</v>
      </c>
      <c r="R239" s="3">
        <f>[1]节奏总纲!AD238</f>
        <v>78.821421928516827</v>
      </c>
      <c r="S239" s="3">
        <f>[1]节奏总纲!AE238</f>
        <v>80.911015374149983</v>
      </c>
      <c r="T239" s="3">
        <f>[1]节奏总纲!AF238</f>
        <v>83.855478352168632</v>
      </c>
      <c r="U239" s="3">
        <f>[1]节奏总纲!AG238</f>
        <v>88.628689405066268</v>
      </c>
      <c r="V239" s="3">
        <f>[1]节奏总纲!AH238</f>
        <v>97.669401786251854</v>
      </c>
      <c r="AN239" s="3">
        <v>235</v>
      </c>
      <c r="AO239" s="3">
        <f>[1]节奏总纲!BA238</f>
        <v>43.77911147780199</v>
      </c>
      <c r="AP239" s="3">
        <f>[1]节奏总纲!BB238</f>
        <v>45.283424416920717</v>
      </c>
      <c r="AQ239" s="3">
        <f>[1]节奏总纲!BC238</f>
        <v>47.231113497756006</v>
      </c>
      <c r="AR239" s="3">
        <f>[1]节奏总纲!BD238</f>
        <v>49.991012996136504</v>
      </c>
      <c r="AS239" s="3">
        <f>[1]节奏总纲!BE238</f>
        <v>54.683289796218233</v>
      </c>
    </row>
    <row r="240" spans="17:45">
      <c r="Q240" s="3">
        <v>236</v>
      </c>
      <c r="R240" s="3">
        <f>[1]节奏总纲!AD239</f>
        <v>78.883939505217796</v>
      </c>
      <c r="S240" s="3">
        <f>[1]节奏总纲!AE239</f>
        <v>80.976485397444989</v>
      </c>
      <c r="T240" s="3">
        <f>[1]节奏总纲!AF239</f>
        <v>83.919105295046663</v>
      </c>
      <c r="U240" s="3">
        <f>[1]节奏总纲!AG239</f>
        <v>88.698603316568864</v>
      </c>
      <c r="V240" s="3">
        <f>[1]节奏总纲!AH239</f>
        <v>97.726638346345467</v>
      </c>
      <c r="AN240" s="3">
        <v>236</v>
      </c>
      <c r="AO240" s="3">
        <f>[1]节奏总纲!BA239</f>
        <v>43.809068844549707</v>
      </c>
      <c r="AP240" s="3">
        <f>[1]节奏总纲!BB239</f>
        <v>45.31132052094835</v>
      </c>
      <c r="AQ240" s="3">
        <f>[1]节奏总纲!BC239</f>
        <v>47.258830215519865</v>
      </c>
      <c r="AR240" s="3">
        <f>[1]节奏总纲!BD239</f>
        <v>50.018998195299922</v>
      </c>
      <c r="AS240" s="3">
        <f>[1]节奏总纲!BE239</f>
        <v>54.713055792814259</v>
      </c>
    </row>
    <row r="241" spans="17:45">
      <c r="Q241" s="3">
        <v>237</v>
      </c>
      <c r="R241" s="3">
        <f>[1]节奏总纲!AD240</f>
        <v>78.946457081918766</v>
      </c>
      <c r="S241" s="3">
        <f>[1]节奏总纲!AE240</f>
        <v>81.038163244467697</v>
      </c>
      <c r="T241" s="3">
        <f>[1]节奏总纲!AF240</f>
        <v>83.982732237924694</v>
      </c>
      <c r="U241" s="3">
        <f>[1]节奏总纲!AG240</f>
        <v>88.768517228071445</v>
      </c>
      <c r="V241" s="3">
        <f>[1]节奏总纲!AH240</f>
        <v>97.783874906439081</v>
      </c>
      <c r="AN241" s="3">
        <v>237</v>
      </c>
      <c r="AO241" s="3">
        <f>[1]节奏总纲!BA240</f>
        <v>43.83902621129743</v>
      </c>
      <c r="AP241" s="3">
        <f>[1]节奏总纲!BB240</f>
        <v>45.339216624975975</v>
      </c>
      <c r="AQ241" s="3">
        <f>[1]节奏总纲!BC240</f>
        <v>47.286546933283724</v>
      </c>
      <c r="AR241" s="3">
        <f>[1]节奏总纲!BD240</f>
        <v>50.045756216849099</v>
      </c>
      <c r="AS241" s="3">
        <f>[1]节奏总纲!BE240</f>
        <v>54.742821789410293</v>
      </c>
    </row>
    <row r="242" spans="17:45">
      <c r="Q242" s="3">
        <v>238</v>
      </c>
      <c r="R242" s="3">
        <f>[1]节奏总纲!AD241</f>
        <v>79.008373652580005</v>
      </c>
      <c r="S242" s="3">
        <f>[1]节奏总纲!AE241</f>
        <v>81.097715704203424</v>
      </c>
      <c r="T242" s="3">
        <f>[1]节奏总纲!AF241</f>
        <v>84.043767921022209</v>
      </c>
      <c r="U242" s="3">
        <f>[1]节奏总纲!AG241</f>
        <v>88.838431139574041</v>
      </c>
      <c r="V242" s="3">
        <f>[1]节奏总纲!AH241</f>
        <v>97.841111466532681</v>
      </c>
      <c r="AN242" s="3">
        <v>238</v>
      </c>
      <c r="AO242" s="3">
        <f>[1]节奏总纲!BA241</f>
        <v>43.868983578045146</v>
      </c>
      <c r="AP242" s="3">
        <f>[1]节奏总纲!BB241</f>
        <v>45.367112729003608</v>
      </c>
      <c r="AQ242" s="3">
        <f>[1]节奏总纲!BC241</f>
        <v>47.314263651047582</v>
      </c>
      <c r="AR242" s="3">
        <f>[1]节奏总纲!BD241</f>
        <v>50.072514238398277</v>
      </c>
      <c r="AS242" s="3">
        <f>[1]节奏总纲!BE241</f>
        <v>54.772587786006326</v>
      </c>
    </row>
    <row r="243" spans="17:45">
      <c r="Q243" s="3">
        <v>239</v>
      </c>
      <c r="R243" s="3">
        <f>[1]节奏总纲!AD242</f>
        <v>79.066704614192943</v>
      </c>
      <c r="S243" s="3">
        <f>[1]节奏总纲!AE242</f>
        <v>81.157268163939136</v>
      </c>
      <c r="T243" s="3">
        <f>[1]节奏总纲!AF242</f>
        <v>84.103838417578672</v>
      </c>
      <c r="U243" s="3">
        <f>[1]节奏总纲!AG242</f>
        <v>88.908345051076637</v>
      </c>
      <c r="V243" s="3">
        <f>[1]节奏总纲!AH242</f>
        <v>97.898348026626294</v>
      </c>
      <c r="AN243" s="3">
        <v>239</v>
      </c>
      <c r="AO243" s="3">
        <f>[1]节奏总纲!BA242</f>
        <v>43.898940944792862</v>
      </c>
      <c r="AP243" s="3">
        <f>[1]节奏总纲!BB242</f>
        <v>45.395008833031234</v>
      </c>
      <c r="AQ243" s="3">
        <f>[1]节奏总纲!BC242</f>
        <v>47.341980368811441</v>
      </c>
      <c r="AR243" s="3">
        <f>[1]节奏总纲!BD242</f>
        <v>50.099272259947462</v>
      </c>
      <c r="AS243" s="3">
        <f>[1]节奏总纲!BE242</f>
        <v>54.802353782602353</v>
      </c>
    </row>
    <row r="244" spans="17:45">
      <c r="Q244" s="3">
        <v>240</v>
      </c>
      <c r="R244" s="3">
        <f>[1]节奏总纲!AD243</f>
        <v>79.125035575805882</v>
      </c>
      <c r="S244" s="3">
        <f>[1]节奏总纲!AE243</f>
        <v>81.216820623674849</v>
      </c>
      <c r="T244" s="3">
        <f>[1]节奏总纲!AF243</f>
        <v>84.163908914135135</v>
      </c>
      <c r="U244" s="3">
        <f>[1]节奏总纲!AG243</f>
        <v>88.978258962579233</v>
      </c>
      <c r="V244" s="3">
        <f>[1]节奏总纲!AH243</f>
        <v>97.955584586719908</v>
      </c>
      <c r="AN244" s="3">
        <v>240</v>
      </c>
      <c r="AO244" s="3">
        <f>[1]节奏总纲!BA243</f>
        <v>43.928898311540586</v>
      </c>
      <c r="AP244" s="3">
        <f>[1]节奏总纲!BB243</f>
        <v>45.422904937058867</v>
      </c>
      <c r="AQ244" s="3">
        <f>[1]节奏总纲!BC243</f>
        <v>47.3696970865753</v>
      </c>
      <c r="AR244" s="3">
        <f>[1]节奏总纲!BD243</f>
        <v>50.126030281496639</v>
      </c>
      <c r="AS244" s="3">
        <f>[1]节奏总纲!BE243</f>
        <v>54.832119779198386</v>
      </c>
    </row>
    <row r="245" spans="17:45">
      <c r="Q245" s="3">
        <v>241</v>
      </c>
      <c r="R245" s="3">
        <f>[1]节奏总纲!AD244</f>
        <v>79.18336653741882</v>
      </c>
      <c r="S245" s="3">
        <f>[1]节奏总纲!AE244</f>
        <v>81.276373083410562</v>
      </c>
      <c r="T245" s="3">
        <f>[1]节奏总纲!AF244</f>
        <v>84.223979410691598</v>
      </c>
      <c r="U245" s="3">
        <f>[1]节奏总纲!AG244</f>
        <v>89.047272179270863</v>
      </c>
      <c r="V245" s="3">
        <f>[1]节奏总纲!AH244</f>
        <v>98.013314854852808</v>
      </c>
      <c r="AN245" s="3">
        <v>241</v>
      </c>
      <c r="AO245" s="3">
        <f>[1]节奏总纲!BA244</f>
        <v>43.958855678288302</v>
      </c>
      <c r="AP245" s="3">
        <f>[1]节奏总纲!BB244</f>
        <v>45.450801041086493</v>
      </c>
      <c r="AQ245" s="3">
        <f>[1]节奏总纲!BC244</f>
        <v>47.397413804339159</v>
      </c>
      <c r="AR245" s="3">
        <f>[1]节奏总纲!BD244</f>
        <v>50.152788303045817</v>
      </c>
      <c r="AS245" s="3">
        <f>[1]节奏总纲!BE244</f>
        <v>54.86188577579442</v>
      </c>
    </row>
    <row r="246" spans="17:45">
      <c r="Q246" s="3">
        <v>242</v>
      </c>
      <c r="R246" s="3">
        <f>[1]节奏总纲!AD245</f>
        <v>79.241697499031773</v>
      </c>
      <c r="S246" s="3">
        <f>[1]节奏总纲!AE245</f>
        <v>81.335925543146274</v>
      </c>
      <c r="T246" s="3">
        <f>[1]节奏总纲!AF245</f>
        <v>84.284049907248061</v>
      </c>
      <c r="U246" s="3">
        <f>[1]节奏总纲!AG245</f>
        <v>89.11587890081428</v>
      </c>
      <c r="V246" s="3">
        <f>[1]节奏总纲!AH245</f>
        <v>98.072755441643167</v>
      </c>
      <c r="AN246" s="3">
        <v>242</v>
      </c>
      <c r="AO246" s="3">
        <f>[1]节奏总纲!BA245</f>
        <v>43.988813045036018</v>
      </c>
      <c r="AP246" s="3">
        <f>[1]节奏总纲!BB245</f>
        <v>45.478697145114126</v>
      </c>
      <c r="AQ246" s="3">
        <f>[1]节奏总纲!BC245</f>
        <v>47.425130522103018</v>
      </c>
      <c r="AR246" s="3">
        <f>[1]节奏总纲!BD245</f>
        <v>50.179546324595002</v>
      </c>
      <c r="AS246" s="3">
        <f>[1]节奏总纲!BE245</f>
        <v>54.891651772390446</v>
      </c>
    </row>
    <row r="247" spans="17:45">
      <c r="Q247" s="3">
        <v>243</v>
      </c>
      <c r="R247" s="3">
        <f>[1]节奏总纲!AD246</f>
        <v>79.300028460644711</v>
      </c>
      <c r="S247" s="3">
        <f>[1]节奏总纲!AE246</f>
        <v>81.395478002882001</v>
      </c>
      <c r="T247" s="3">
        <f>[1]节奏总纲!AF246</f>
        <v>84.344120403804524</v>
      </c>
      <c r="U247" s="3">
        <f>[1]节奏总纲!AG246</f>
        <v>89.184485622357698</v>
      </c>
      <c r="V247" s="3">
        <f>[1]节奏总纲!AH246</f>
        <v>98.132196028433526</v>
      </c>
      <c r="AN247" s="3">
        <v>243</v>
      </c>
      <c r="AO247" s="3">
        <f>[1]节奏总纲!BA246</f>
        <v>44.016200268136501</v>
      </c>
      <c r="AP247" s="3">
        <f>[1]节奏总纲!BB246</f>
        <v>45.506593249141758</v>
      </c>
      <c r="AQ247" s="3">
        <f>[1]节奏总纲!BC246</f>
        <v>47.452847239866877</v>
      </c>
      <c r="AR247" s="3">
        <f>[1]节奏总纲!BD246</f>
        <v>50.206304346144179</v>
      </c>
      <c r="AS247" s="3">
        <f>[1]节奏总纲!BE246</f>
        <v>54.92141776898648</v>
      </c>
    </row>
    <row r="248" spans="17:45">
      <c r="Q248" s="3">
        <v>244</v>
      </c>
      <c r="R248" s="3">
        <f>[1]节奏总纲!AD247</f>
        <v>79.358359422257649</v>
      </c>
      <c r="S248" s="3">
        <f>[1]节奏总纲!AE247</f>
        <v>81.455030462617714</v>
      </c>
      <c r="T248" s="3">
        <f>[1]节奏总纲!AF247</f>
        <v>84.404190900360987</v>
      </c>
      <c r="U248" s="3">
        <f>[1]节奏总纲!AG247</f>
        <v>89.253092343901116</v>
      </c>
      <c r="V248" s="3">
        <f>[1]节奏总纲!AH247</f>
        <v>98.191636615223871</v>
      </c>
      <c r="AN248" s="3">
        <v>244</v>
      </c>
      <c r="AO248" s="3">
        <f>[1]节奏总纲!BA247</f>
        <v>44.042055714440401</v>
      </c>
      <c r="AP248" s="3">
        <f>[1]节奏总纲!BB247</f>
        <v>45.534489353169384</v>
      </c>
      <c r="AQ248" s="3">
        <f>[1]节奏总纲!BC247</f>
        <v>47.480563957630736</v>
      </c>
      <c r="AR248" s="3">
        <f>[1]节奏总纲!BD247</f>
        <v>50.233062367693357</v>
      </c>
      <c r="AS248" s="3">
        <f>[1]节奏总纲!BE247</f>
        <v>54.951183765582506</v>
      </c>
    </row>
    <row r="249" spans="17:45">
      <c r="Q249" s="3">
        <v>245</v>
      </c>
      <c r="R249" s="3">
        <f>[1]节奏总纲!AD248</f>
        <v>79.416690383870588</v>
      </c>
      <c r="S249" s="3">
        <f>[1]节奏总纲!AE248</f>
        <v>81.514582922353426</v>
      </c>
      <c r="T249" s="3">
        <f>[1]节奏总纲!AF248</f>
        <v>84.46426139691745</v>
      </c>
      <c r="U249" s="3">
        <f>[1]节奏总纲!AG248</f>
        <v>89.321699065444534</v>
      </c>
      <c r="V249" s="3">
        <f>[1]节奏总纲!AH248</f>
        <v>98.25107720201423</v>
      </c>
      <c r="AN249" s="3">
        <v>245</v>
      </c>
      <c r="AO249" s="3">
        <f>[1]节奏总纲!BA248</f>
        <v>44.067911160744309</v>
      </c>
      <c r="AP249" s="3">
        <f>[1]节奏总纲!BB248</f>
        <v>45.562385457197017</v>
      </c>
      <c r="AQ249" s="3">
        <f>[1]节奏总纲!BC248</f>
        <v>47.508280675394595</v>
      </c>
      <c r="AR249" s="3">
        <f>[1]节奏总纲!BD248</f>
        <v>50.259820389242542</v>
      </c>
      <c r="AS249" s="3">
        <f>[1]节奏总纲!BE248</f>
        <v>54.98094976217854</v>
      </c>
    </row>
    <row r="250" spans="17:45">
      <c r="Q250" s="3">
        <v>246</v>
      </c>
      <c r="R250" s="3">
        <f>[1]节奏总纲!AD249</f>
        <v>79.475021345483526</v>
      </c>
      <c r="S250" s="3">
        <f>[1]节奏总纲!AE249</f>
        <v>81.574135382089139</v>
      </c>
      <c r="T250" s="3">
        <f>[1]节奏总纲!AF249</f>
        <v>84.524331893473914</v>
      </c>
      <c r="U250" s="3">
        <f>[1]节奏总纲!AG249</f>
        <v>89.390305786987952</v>
      </c>
      <c r="V250" s="3">
        <f>[1]节奏总纲!AH249</f>
        <v>98.310517788804589</v>
      </c>
      <c r="AN250" s="3">
        <v>246</v>
      </c>
      <c r="AO250" s="3">
        <f>[1]节奏总纲!BA249</f>
        <v>44.093766607048209</v>
      </c>
      <c r="AP250" s="3">
        <f>[1]节奏总纲!BB249</f>
        <v>45.590281561224643</v>
      </c>
      <c r="AQ250" s="3">
        <f>[1]节奏总纲!BC249</f>
        <v>47.535997393158453</v>
      </c>
      <c r="AR250" s="3">
        <f>[1]节奏总纲!BD249</f>
        <v>50.286578410791719</v>
      </c>
      <c r="AS250" s="3">
        <f>[1]节奏总纲!BE249</f>
        <v>55.009255535630842</v>
      </c>
    </row>
    <row r="251" spans="17:45">
      <c r="Q251" s="3">
        <v>247</v>
      </c>
      <c r="R251" s="3">
        <f>[1]节奏总纲!AD250</f>
        <v>79.533352307096465</v>
      </c>
      <c r="S251" s="3">
        <f>[1]节奏总纲!AE250</f>
        <v>81.633687841824852</v>
      </c>
      <c r="T251" s="3">
        <f>[1]节奏总纲!AF250</f>
        <v>84.584402390030377</v>
      </c>
      <c r="U251" s="3">
        <f>[1]节奏总纲!AG250</f>
        <v>89.45891250853137</v>
      </c>
      <c r="V251" s="3">
        <f>[1]节奏总纲!AH250</f>
        <v>98.369958375594933</v>
      </c>
      <c r="AN251" s="3">
        <v>247</v>
      </c>
      <c r="AO251" s="3">
        <f>[1]节奏总纲!BA250</f>
        <v>44.11962205335211</v>
      </c>
      <c r="AP251" s="3">
        <f>[1]节奏总纲!BB250</f>
        <v>45.618177665252276</v>
      </c>
      <c r="AQ251" s="3">
        <f>[1]节奏总纲!BC250</f>
        <v>47.563714110922312</v>
      </c>
      <c r="AR251" s="3">
        <f>[1]节奏总纲!BD250</f>
        <v>50.313336432340897</v>
      </c>
      <c r="AS251" s="3">
        <f>[1]节奏总纲!BE250</f>
        <v>55.034965356827627</v>
      </c>
    </row>
    <row r="252" spans="17:45">
      <c r="Q252" s="3">
        <v>248</v>
      </c>
      <c r="R252" s="3">
        <f>[1]节奏总纲!AD251</f>
        <v>79.591683268709417</v>
      </c>
      <c r="S252" s="3">
        <f>[1]节奏总纲!AE251</f>
        <v>81.693240301560579</v>
      </c>
      <c r="T252" s="3">
        <f>[1]节奏总纲!AF251</f>
        <v>84.64447288658684</v>
      </c>
      <c r="U252" s="3">
        <f>[1]节奏总纲!AG251</f>
        <v>89.527519230074788</v>
      </c>
      <c r="V252" s="3">
        <f>[1]节奏总纲!AH251</f>
        <v>98.429398962385292</v>
      </c>
      <c r="AN252" s="3">
        <v>248</v>
      </c>
      <c r="AO252" s="3">
        <f>[1]节奏总纲!BA251</f>
        <v>44.145477499656018</v>
      </c>
      <c r="AP252" s="3">
        <f>[1]节奏总纲!BB251</f>
        <v>45.646073769279901</v>
      </c>
      <c r="AQ252" s="3">
        <f>[1]节奏总纲!BC251</f>
        <v>47.591430828686171</v>
      </c>
      <c r="AR252" s="3">
        <f>[1]节奏总纲!BD251</f>
        <v>50.340094453890082</v>
      </c>
      <c r="AS252" s="3">
        <f>[1]节奏总纲!BE251</f>
        <v>55.060675178024418</v>
      </c>
    </row>
    <row r="253" spans="17:45">
      <c r="Q253" s="3">
        <v>249</v>
      </c>
      <c r="R253" s="3">
        <f>[1]节奏总纲!AD252</f>
        <v>79.650014230322356</v>
      </c>
      <c r="S253" s="3">
        <f>[1]节奏总纲!AE252</f>
        <v>81.752792761296291</v>
      </c>
      <c r="T253" s="3">
        <f>[1]节奏总纲!AF252</f>
        <v>84.704543383143317</v>
      </c>
      <c r="U253" s="3">
        <f>[1]节奏总纲!AG252</f>
        <v>89.596125951618205</v>
      </c>
      <c r="V253" s="3">
        <f>[1]节奏总纲!AH252</f>
        <v>98.488839549175651</v>
      </c>
      <c r="AN253" s="3">
        <v>249</v>
      </c>
      <c r="AO253" s="3">
        <f>[1]节奏总纲!BA252</f>
        <v>44.171332945959918</v>
      </c>
      <c r="AP253" s="3">
        <f>[1]节奏总纲!BB252</f>
        <v>45.673969873307534</v>
      </c>
      <c r="AQ253" s="3">
        <f>[1]节奏总纲!BC252</f>
        <v>47.61914754645003</v>
      </c>
      <c r="AR253" s="3">
        <f>[1]节奏总纲!BD252</f>
        <v>50.366852475439259</v>
      </c>
      <c r="AS253" s="3">
        <f>[1]节奏总纲!BE252</f>
        <v>55.086384999221202</v>
      </c>
    </row>
    <row r="254" spans="17:45">
      <c r="Q254" s="3">
        <v>250</v>
      </c>
      <c r="R254" s="3">
        <f>[1]节奏总纲!AD253</f>
        <v>79.708345191935294</v>
      </c>
      <c r="S254" s="3">
        <f>[1]节奏总纲!AE253</f>
        <v>81.812345221032004</v>
      </c>
      <c r="T254" s="3">
        <f>[1]节奏总纲!AF253</f>
        <v>84.76461387969978</v>
      </c>
      <c r="U254" s="3">
        <f>[1]节奏总纲!AG253</f>
        <v>89.664732673161623</v>
      </c>
      <c r="V254" s="3">
        <f>[1]节奏总纲!AH253</f>
        <v>98.548280135965996</v>
      </c>
      <c r="AN254" s="3">
        <v>250</v>
      </c>
      <c r="AO254" s="3">
        <f>[1]节奏总纲!BA253</f>
        <v>44.197188392263818</v>
      </c>
      <c r="AP254" s="3">
        <f>[1]节奏总纲!BB253</f>
        <v>45.701865977335167</v>
      </c>
      <c r="AQ254" s="3">
        <f>[1]节奏总纲!BC253</f>
        <v>47.646864264213889</v>
      </c>
      <c r="AR254" s="3">
        <f>[1]节奏总纲!BD253</f>
        <v>50.393610496988437</v>
      </c>
      <c r="AS254" s="3">
        <f>[1]节奏总纲!BE253</f>
        <v>55.112094820417994</v>
      </c>
    </row>
    <row r="255" spans="17:45">
      <c r="Q255" s="3">
        <v>251</v>
      </c>
      <c r="R255" s="3">
        <f>[1]节奏总纲!AD254</f>
        <v>79.766676153548232</v>
      </c>
      <c r="S255" s="3">
        <f>[1]节奏总纲!AE254</f>
        <v>81.871897680767717</v>
      </c>
      <c r="T255" s="3">
        <f>[1]节奏总纲!AF254</f>
        <v>84.824684376256243</v>
      </c>
      <c r="U255" s="3">
        <f>[1]节奏总纲!AG254</f>
        <v>89.733339394705041</v>
      </c>
      <c r="V255" s="3">
        <f>[1]节奏总纲!AH254</f>
        <v>98.607720722756355</v>
      </c>
      <c r="AN255" s="3">
        <v>251</v>
      </c>
      <c r="AO255" s="3">
        <f>[1]节奏总纲!BA254</f>
        <v>44.223043838567726</v>
      </c>
      <c r="AP255" s="3">
        <f>[1]节奏总纲!BB254</f>
        <v>45.729762081362793</v>
      </c>
      <c r="AQ255" s="3">
        <f>[1]节奏总纲!BC254</f>
        <v>47.674580981977748</v>
      </c>
      <c r="AR255" s="3">
        <f>[1]节奏总纲!BD254</f>
        <v>50.420368518537622</v>
      </c>
      <c r="AS255" s="3">
        <f>[1]节奏总纲!BE254</f>
        <v>55.137804641614778</v>
      </c>
    </row>
    <row r="256" spans="17:45">
      <c r="Q256" s="3">
        <v>252</v>
      </c>
      <c r="R256" s="3">
        <f>[1]节奏总纲!AD255</f>
        <v>79.825007115161171</v>
      </c>
      <c r="S256" s="3">
        <f>[1]节奏总纲!AE255</f>
        <v>81.931450140503429</v>
      </c>
      <c r="T256" s="3">
        <f>[1]节奏总纲!AF255</f>
        <v>84.884754872812707</v>
      </c>
      <c r="U256" s="3">
        <f>[1]节奏总纲!AG255</f>
        <v>89.801946116248459</v>
      </c>
      <c r="V256" s="3">
        <f>[1]节奏总纲!AH255</f>
        <v>98.667161309546714</v>
      </c>
      <c r="AN256" s="3">
        <v>252</v>
      </c>
      <c r="AO256" s="3">
        <f>[1]节奏总纲!BA255</f>
        <v>44.248899284871626</v>
      </c>
      <c r="AP256" s="3">
        <f>[1]节奏总纲!BB255</f>
        <v>45.757658185390426</v>
      </c>
      <c r="AQ256" s="3">
        <f>[1]节奏总纲!BC255</f>
        <v>47.7022976997416</v>
      </c>
      <c r="AR256" s="3">
        <f>[1]节奏总纲!BD255</f>
        <v>50.447126540086799</v>
      </c>
      <c r="AS256" s="3">
        <f>[1]节奏总纲!BE255</f>
        <v>55.163514462811563</v>
      </c>
    </row>
    <row r="257" spans="17:45">
      <c r="Q257" s="3">
        <v>253</v>
      </c>
      <c r="R257" s="3">
        <f>[1]节奏总纲!AD256</f>
        <v>79.883338076774123</v>
      </c>
      <c r="S257" s="3">
        <f>[1]节奏总纲!AE256</f>
        <v>81.991002600239142</v>
      </c>
      <c r="T257" s="3">
        <f>[1]节奏总纲!AF256</f>
        <v>84.94482536936917</v>
      </c>
      <c r="U257" s="3">
        <f>[1]节奏总纲!AG256</f>
        <v>89.870552837791877</v>
      </c>
      <c r="V257" s="3">
        <f>[1]节奏总纲!AH256</f>
        <v>98.726601896337058</v>
      </c>
      <c r="AN257" s="3">
        <v>253</v>
      </c>
      <c r="AO257" s="3">
        <f>[1]节奏总纲!BA256</f>
        <v>44.274754731175527</v>
      </c>
      <c r="AP257" s="3">
        <f>[1]节奏总纲!BB256</f>
        <v>45.785554289418052</v>
      </c>
      <c r="AQ257" s="3">
        <f>[1]节奏总纲!BC256</f>
        <v>47.730014417505458</v>
      </c>
      <c r="AR257" s="3">
        <f>[1]节奏总纲!BD256</f>
        <v>50.473884561635977</v>
      </c>
      <c r="AS257" s="3">
        <f>[1]节奏总纲!BE256</f>
        <v>55.189224284008354</v>
      </c>
    </row>
    <row r="258" spans="17:45">
      <c r="Q258" s="3">
        <v>254</v>
      </c>
      <c r="R258" s="3">
        <f>[1]节奏总纲!AD257</f>
        <v>79.941669038387062</v>
      </c>
      <c r="S258" s="3">
        <f>[1]节奏总纲!AE257</f>
        <v>82.046165327855846</v>
      </c>
      <c r="T258" s="3">
        <f>[1]节奏总纲!AF257</f>
        <v>85.004450307848032</v>
      </c>
      <c r="U258" s="3">
        <f>[1]节奏总纲!AG257</f>
        <v>89.939159559335295</v>
      </c>
      <c r="V258" s="3">
        <f>[1]节奏总纲!AH257</f>
        <v>98.786042483127417</v>
      </c>
      <c r="AN258" s="3">
        <v>254</v>
      </c>
      <c r="AO258" s="3">
        <f>[1]节奏总纲!BA257</f>
        <v>44.300610177479435</v>
      </c>
      <c r="AP258" s="3">
        <f>[1]节奏总纲!BB257</f>
        <v>45.813450393445684</v>
      </c>
      <c r="AQ258" s="3">
        <f>[1]节奏总纲!BC257</f>
        <v>47.757731135269317</v>
      </c>
      <c r="AR258" s="3">
        <f>[1]节奏总纲!BD257</f>
        <v>50.500642583185162</v>
      </c>
      <c r="AS258" s="3">
        <f>[1]节奏总纲!BE257</f>
        <v>55.214934105205138</v>
      </c>
    </row>
    <row r="259" spans="17:45">
      <c r="Q259" s="3">
        <v>255</v>
      </c>
      <c r="R259" s="3">
        <f>[1]节奏总纲!AD258</f>
        <v>80</v>
      </c>
      <c r="S259" s="3">
        <f>[1]节奏总纲!AE258</f>
        <v>82.100546804797787</v>
      </c>
      <c r="T259" s="3">
        <f>[1]节奏总纲!AF258</f>
        <v>85.059053968634842</v>
      </c>
      <c r="U259" s="3">
        <f>[1]节奏总纲!AG258</f>
        <v>90.006385600230558</v>
      </c>
      <c r="V259" s="3">
        <f>[1]节奏总纲!AH258</f>
        <v>98.845483069917776</v>
      </c>
      <c r="AN259" s="3">
        <v>255</v>
      </c>
      <c r="AO259" s="3">
        <f>[1]节奏总纲!BA258</f>
        <v>44.326465623783335</v>
      </c>
      <c r="AP259" s="3">
        <f>[1]节奏总纲!BB258</f>
        <v>45.84134649747331</v>
      </c>
      <c r="AQ259" s="3">
        <f>[1]节奏总纲!BC258</f>
        <v>47.785447853033176</v>
      </c>
      <c r="AR259" s="3">
        <f>[1]节奏总纲!BD258</f>
        <v>50.527400604734339</v>
      </c>
      <c r="AS259" s="3">
        <f>[1]节奏总纲!BE258</f>
        <v>55.24064392640193</v>
      </c>
    </row>
    <row r="260" spans="17:45">
      <c r="Q260" s="3">
        <v>256</v>
      </c>
      <c r="R260" s="3">
        <f>[1]节奏总纲!AD259</f>
        <v>80.054424711612938</v>
      </c>
      <c r="S260" s="3">
        <f>[1]节奏总纲!AE259</f>
        <v>82.154928281739714</v>
      </c>
      <c r="T260" s="3">
        <f>[1]节奏总纲!AF259</f>
        <v>85.113657629421638</v>
      </c>
      <c r="U260" s="3">
        <f>[1]节奏总纲!AG259</f>
        <v>90.062795496260307</v>
      </c>
      <c r="V260" s="3">
        <f>[1]节奏总纲!AH259</f>
        <v>98.904923656708121</v>
      </c>
      <c r="AN260" s="3">
        <v>256</v>
      </c>
      <c r="AO260" s="3">
        <f>[1]节奏总纲!BA259</f>
        <v>44.352321070087235</v>
      </c>
      <c r="AP260" s="3">
        <f>[1]节奏总纲!BB259</f>
        <v>45.869242601500943</v>
      </c>
      <c r="AQ260" s="3">
        <f>[1]节奏总纲!BC259</f>
        <v>47.813164570797035</v>
      </c>
      <c r="AR260" s="3">
        <f>[1]节奏总纲!BD259</f>
        <v>50.554158626283517</v>
      </c>
      <c r="AS260" s="3">
        <f>[1]节奏总纲!BE259</f>
        <v>55.266353747598714</v>
      </c>
    </row>
    <row r="261" spans="17:45">
      <c r="Q261" s="3">
        <v>257</v>
      </c>
      <c r="R261" s="3">
        <f>[1]节奏总纲!AD260</f>
        <v>80.108849423225877</v>
      </c>
      <c r="S261" s="3">
        <f>[1]节奏总纲!AE260</f>
        <v>82.209309758681655</v>
      </c>
      <c r="T261" s="3">
        <f>[1]节奏总纲!AF260</f>
        <v>85.168261290208434</v>
      </c>
      <c r="U261" s="3">
        <f>[1]节奏总纲!AG260</f>
        <v>90.119205392290041</v>
      </c>
      <c r="V261" s="3">
        <f>[1]节奏总纲!AH260</f>
        <v>98.96436424349848</v>
      </c>
      <c r="AN261" s="3">
        <v>257</v>
      </c>
      <c r="AO261" s="3">
        <f>[1]节奏总纲!BA260</f>
        <v>44.378176516391136</v>
      </c>
      <c r="AP261" s="3">
        <f>[1]节奏总纲!BB260</f>
        <v>45.897138705528576</v>
      </c>
      <c r="AQ261" s="3">
        <f>[1]节奏总纲!BC260</f>
        <v>47.840881288560894</v>
      </c>
      <c r="AR261" s="3">
        <f>[1]节奏总纲!BD260</f>
        <v>50.580916647832701</v>
      </c>
      <c r="AS261" s="3">
        <f>[1]节奏总纲!BE260</f>
        <v>55.292063568795498</v>
      </c>
    </row>
    <row r="262" spans="17:45">
      <c r="Q262" s="3">
        <v>258</v>
      </c>
      <c r="R262" s="3">
        <f>[1]节奏总纲!AD261</f>
        <v>80.163274134838829</v>
      </c>
      <c r="S262" s="3">
        <f>[1]节奏总纲!AE261</f>
        <v>82.263691235623583</v>
      </c>
      <c r="T262" s="3">
        <f>[1]节奏总纲!AF261</f>
        <v>85.222864950995231</v>
      </c>
      <c r="U262" s="3">
        <f>[1]节奏总纲!AG261</f>
        <v>90.175615288319776</v>
      </c>
      <c r="V262" s="3">
        <f>[1]节奏总纲!AH261</f>
        <v>99.023313221876677</v>
      </c>
      <c r="AN262" s="3">
        <v>258</v>
      </c>
      <c r="AO262" s="3">
        <f>[1]节奏总纲!BA261</f>
        <v>44.404031962695043</v>
      </c>
      <c r="AP262" s="3">
        <f>[1]节奏总纲!BB261</f>
        <v>45.925034809556202</v>
      </c>
      <c r="AQ262" s="3">
        <f>[1]节奏总纲!BC261</f>
        <v>47.868598006324753</v>
      </c>
      <c r="AR262" s="3">
        <f>[1]节奏总纲!BD261</f>
        <v>50.607674669381879</v>
      </c>
      <c r="AS262" s="3">
        <f>[1]节奏总纲!BE261</f>
        <v>55.31777338999229</v>
      </c>
    </row>
    <row r="263" spans="17:45">
      <c r="Q263" s="3">
        <v>259</v>
      </c>
      <c r="R263" s="3">
        <f>[1]节奏总纲!AD262</f>
        <v>80.217698846451768</v>
      </c>
      <c r="S263" s="3">
        <f>[1]节奏总纲!AE262</f>
        <v>82.318072712565524</v>
      </c>
      <c r="T263" s="3">
        <f>[1]节奏总纲!AF262</f>
        <v>85.277468611782027</v>
      </c>
      <c r="U263" s="3">
        <f>[1]节奏总纲!AG262</f>
        <v>90.23202518434951</v>
      </c>
      <c r="V263" s="3">
        <f>[1]节奏总纲!AH262</f>
        <v>99.081526263999208</v>
      </c>
      <c r="AN263" s="3">
        <v>259</v>
      </c>
      <c r="AO263" s="3">
        <f>[1]节奏总纲!BA262</f>
        <v>44.429887408998944</v>
      </c>
      <c r="AP263" s="3">
        <f>[1]节奏总纲!BB262</f>
        <v>45.952930913583835</v>
      </c>
      <c r="AQ263" s="3">
        <f>[1]节奏总纲!BC262</f>
        <v>47.896314724088612</v>
      </c>
      <c r="AR263" s="3">
        <f>[1]节奏总纲!BD262</f>
        <v>50.634432690931064</v>
      </c>
      <c r="AS263" s="3">
        <f>[1]节奏总纲!BE262</f>
        <v>55.343483211189074</v>
      </c>
    </row>
    <row r="264" spans="17:45">
      <c r="Q264" s="3">
        <v>260</v>
      </c>
      <c r="R264" s="3">
        <f>[1]节奏总纲!AD263</f>
        <v>80.272123558064706</v>
      </c>
      <c r="S264" s="3">
        <f>[1]节奏总纲!AE263</f>
        <v>82.372454189507465</v>
      </c>
      <c r="T264" s="3">
        <f>[1]节奏总纲!AF263</f>
        <v>85.332072272568837</v>
      </c>
      <c r="U264" s="3">
        <f>[1]节奏总纲!AG263</f>
        <v>90.288435080379244</v>
      </c>
      <c r="V264" s="3">
        <f>[1]节奏总纲!AH263</f>
        <v>99.139739306121726</v>
      </c>
      <c r="AN264" s="3">
        <v>260</v>
      </c>
      <c r="AO264" s="3">
        <f>[1]节奏总纲!BA263</f>
        <v>44.455742855302844</v>
      </c>
      <c r="AP264" s="3">
        <f>[1]节奏总纲!BB263</f>
        <v>45.98082701761146</v>
      </c>
      <c r="AQ264" s="3">
        <f>[1]节奏总纲!BC263</f>
        <v>47.92403144185247</v>
      </c>
      <c r="AR264" s="3">
        <f>[1]节奏总纲!BD263</f>
        <v>50.661190712480241</v>
      </c>
      <c r="AS264" s="3">
        <f>[1]节奏总纲!BE263</f>
        <v>55.369193032385866</v>
      </c>
    </row>
    <row r="265" spans="17:45">
      <c r="Q265" s="3">
        <v>261</v>
      </c>
      <c r="R265" s="3">
        <f>[1]节奏总纲!AD264</f>
        <v>80.326548269677644</v>
      </c>
      <c r="S265" s="3">
        <f>[1]节奏总纲!AE264</f>
        <v>82.426835666449392</v>
      </c>
      <c r="T265" s="3">
        <f>[1]节奏总纲!AF264</f>
        <v>85.386675933355633</v>
      </c>
      <c r="U265" s="3">
        <f>[1]节奏总纲!AG264</f>
        <v>90.344844976408993</v>
      </c>
      <c r="V265" s="3">
        <f>[1]节奏总纲!AH264</f>
        <v>99.197952348244257</v>
      </c>
      <c r="AN265" s="3">
        <v>261</v>
      </c>
      <c r="AO265" s="3">
        <f>[1]节奏总纲!BA264</f>
        <v>44.481598301606752</v>
      </c>
      <c r="AP265" s="3">
        <f>[1]节奏总纲!BB264</f>
        <v>46.007529841290832</v>
      </c>
      <c r="AQ265" s="3">
        <f>[1]节奏总纲!BC264</f>
        <v>47.951748159616329</v>
      </c>
      <c r="AR265" s="3">
        <f>[1]节奏总纲!BD264</f>
        <v>50.687948734029419</v>
      </c>
      <c r="AS265" s="3">
        <f>[1]节奏总纲!BE264</f>
        <v>55.39490285358265</v>
      </c>
    </row>
    <row r="266" spans="17:45">
      <c r="Q266" s="3">
        <v>262</v>
      </c>
      <c r="R266" s="3">
        <f>[1]节奏总纲!AD265</f>
        <v>80.380972981290597</v>
      </c>
      <c r="S266" s="3">
        <f>[1]节奏总纲!AE265</f>
        <v>82.481217143391333</v>
      </c>
      <c r="T266" s="3">
        <f>[1]节奏总纲!AF265</f>
        <v>85.441279594142429</v>
      </c>
      <c r="U266" s="3">
        <f>[1]节奏总纲!AG265</f>
        <v>90.401254872438727</v>
      </c>
      <c r="V266" s="3">
        <f>[1]节奏总纲!AH265</f>
        <v>99.256165390366789</v>
      </c>
      <c r="AN266" s="3">
        <v>262</v>
      </c>
      <c r="AO266" s="3">
        <f>[1]节奏总纲!BA265</f>
        <v>44.507453747910652</v>
      </c>
      <c r="AP266" s="3">
        <f>[1]节奏总纲!BB265</f>
        <v>46.031609894814238</v>
      </c>
      <c r="AQ266" s="3">
        <f>[1]节奏总纲!BC265</f>
        <v>47.979464877380188</v>
      </c>
      <c r="AR266" s="3">
        <f>[1]节奏总纲!BD265</f>
        <v>50.714706755578604</v>
      </c>
      <c r="AS266" s="3">
        <f>[1]节奏总纲!BE265</f>
        <v>55.420612674779434</v>
      </c>
    </row>
    <row r="267" spans="17:45">
      <c r="Q267" s="3">
        <v>263</v>
      </c>
      <c r="R267" s="3">
        <f>[1]节奏总纲!AD266</f>
        <v>80.435397692903535</v>
      </c>
      <c r="S267" s="3">
        <f>[1]节奏总纲!AE266</f>
        <v>82.535598620333275</v>
      </c>
      <c r="T267" s="3">
        <f>[1]节奏总纲!AF266</f>
        <v>85.495883254929225</v>
      </c>
      <c r="U267" s="3">
        <f>[1]节奏总纲!AG266</f>
        <v>90.457664768468462</v>
      </c>
      <c r="V267" s="3">
        <f>[1]节奏总纲!AH266</f>
        <v>99.314378432489306</v>
      </c>
      <c r="AN267" s="3">
        <v>263</v>
      </c>
      <c r="AO267" s="3">
        <f>[1]节奏总纲!BA266</f>
        <v>44.533309194214553</v>
      </c>
      <c r="AP267" s="3">
        <f>[1]节奏总纲!BB266</f>
        <v>46.055689948337651</v>
      </c>
      <c r="AQ267" s="3">
        <f>[1]节奏总纲!BC266</f>
        <v>48.006200084618079</v>
      </c>
      <c r="AR267" s="3">
        <f>[1]节奏总纲!BD266</f>
        <v>50.741464777127781</v>
      </c>
      <c r="AS267" s="3">
        <f>[1]节奏总纲!BE266</f>
        <v>55.446322495976226</v>
      </c>
    </row>
    <row r="268" spans="17:45">
      <c r="Q268" s="3">
        <v>264</v>
      </c>
      <c r="R268" s="3">
        <f>[1]节奏总纲!AD267</f>
        <v>80.489822404516474</v>
      </c>
      <c r="S268" s="3">
        <f>[1]节奏总纲!AE267</f>
        <v>82.589980097275202</v>
      </c>
      <c r="T268" s="3">
        <f>[1]节奏总纲!AF267</f>
        <v>85.550486915716021</v>
      </c>
      <c r="U268" s="3">
        <f>[1]节奏总纲!AG267</f>
        <v>90.514074664498196</v>
      </c>
      <c r="V268" s="3">
        <f>[1]节奏总纲!AH267</f>
        <v>99.372591474611838</v>
      </c>
      <c r="AN268" s="3">
        <v>264</v>
      </c>
      <c r="AO268" s="3">
        <f>[1]节奏总纲!BA267</f>
        <v>44.55916464051846</v>
      </c>
      <c r="AP268" s="3">
        <f>[1]节奏总纲!BB267</f>
        <v>46.079770001861057</v>
      </c>
      <c r="AQ268" s="3">
        <f>[1]节奏总纲!BC267</f>
        <v>48.030128751164241</v>
      </c>
      <c r="AR268" s="3">
        <f>[1]节奏总纲!BD267</f>
        <v>50.768222798676959</v>
      </c>
      <c r="AS268" s="3">
        <f>[1]节奏总纲!BE267</f>
        <v>55.47203231717301</v>
      </c>
    </row>
    <row r="269" spans="17:45">
      <c r="Q269" s="3">
        <v>265</v>
      </c>
      <c r="R269" s="3">
        <f>[1]节奏总纲!AD268</f>
        <v>80.544247116129412</v>
      </c>
      <c r="S269" s="3">
        <f>[1]节奏总纲!AE268</f>
        <v>82.644361574217143</v>
      </c>
      <c r="T269" s="3">
        <f>[1]节奏总纲!AF268</f>
        <v>85.605090576502832</v>
      </c>
      <c r="U269" s="3">
        <f>[1]节奏总纲!AG268</f>
        <v>90.57048456052793</v>
      </c>
      <c r="V269" s="3">
        <f>[1]节奏总纲!AH268</f>
        <v>99.430804516734369</v>
      </c>
      <c r="AN269" s="3">
        <v>265</v>
      </c>
      <c r="AO269" s="3">
        <f>[1]节奏总纲!BA268</f>
        <v>44.585020086822361</v>
      </c>
      <c r="AP269" s="3">
        <f>[1]节奏总纲!BB268</f>
        <v>46.10385005538447</v>
      </c>
      <c r="AQ269" s="3">
        <f>[1]节奏总纲!BC268</f>
        <v>48.054057417710396</v>
      </c>
      <c r="AR269" s="3">
        <f>[1]节奏总纲!BD268</f>
        <v>50.794980820226144</v>
      </c>
      <c r="AS269" s="3">
        <f>[1]节奏总纲!BE268</f>
        <v>55.497742138369794</v>
      </c>
    </row>
    <row r="270" spans="17:45">
      <c r="Q270" s="3">
        <v>266</v>
      </c>
      <c r="R270" s="3">
        <f>[1]节奏总纲!AD269</f>
        <v>80.598671827742351</v>
      </c>
      <c r="S270" s="3">
        <f>[1]节奏总纲!AE269</f>
        <v>82.698743051159084</v>
      </c>
      <c r="T270" s="3">
        <f>[1]节奏总纲!AF269</f>
        <v>85.659694237289628</v>
      </c>
      <c r="U270" s="3">
        <f>[1]节奏总纲!AG269</f>
        <v>90.626894456557665</v>
      </c>
      <c r="V270" s="3">
        <f>[1]节奏总纲!AH269</f>
        <v>99.489017558856887</v>
      </c>
      <c r="AN270" s="3">
        <v>266</v>
      </c>
      <c r="AO270" s="3">
        <f>[1]节奏总纲!BA269</f>
        <v>44.610875533126261</v>
      </c>
      <c r="AP270" s="3">
        <f>[1]节奏总纲!BB269</f>
        <v>46.127930108907876</v>
      </c>
      <c r="AQ270" s="3">
        <f>[1]节奏总纲!BC269</f>
        <v>48.077986084256551</v>
      </c>
      <c r="AR270" s="3">
        <f>[1]节奏总纲!BD269</f>
        <v>50.821738841775321</v>
      </c>
      <c r="AS270" s="3">
        <f>[1]节奏总纲!BE269</f>
        <v>55.523451959566586</v>
      </c>
    </row>
    <row r="271" spans="17:45">
      <c r="Q271" s="3">
        <v>267</v>
      </c>
      <c r="R271" s="3">
        <f>[1]节奏总纲!AD270</f>
        <v>80.653096539355303</v>
      </c>
      <c r="S271" s="3">
        <f>[1]节奏总纲!AE270</f>
        <v>82.753124528101011</v>
      </c>
      <c r="T271" s="3">
        <f>[1]节奏总纲!AF270</f>
        <v>85.714297898076424</v>
      </c>
      <c r="U271" s="3">
        <f>[1]节奏总纲!AG270</f>
        <v>90.683304352587413</v>
      </c>
      <c r="V271" s="3">
        <f>[1]节奏总纲!AH270</f>
        <v>99.547230600979418</v>
      </c>
      <c r="AN271" s="3">
        <v>267</v>
      </c>
      <c r="AO271" s="3">
        <f>[1]节奏总纲!BA270</f>
        <v>44.636730979430169</v>
      </c>
      <c r="AP271" s="3">
        <f>[1]节奏总纲!BB270</f>
        <v>46.152010162431289</v>
      </c>
      <c r="AQ271" s="3">
        <f>[1]节奏总纲!BC270</f>
        <v>48.101914750802706</v>
      </c>
      <c r="AR271" s="3">
        <f>[1]节奏总纲!BD270</f>
        <v>50.848496863324499</v>
      </c>
      <c r="AS271" s="3">
        <f>[1]节奏总纲!BE270</f>
        <v>55.54916178076337</v>
      </c>
    </row>
    <row r="272" spans="17:45">
      <c r="Q272" s="3">
        <v>268</v>
      </c>
      <c r="R272" s="3">
        <f>[1]节奏总纲!AD271</f>
        <v>80.707521250968242</v>
      </c>
      <c r="S272" s="3">
        <f>[1]节奏总纲!AE271</f>
        <v>82.807506005042953</v>
      </c>
      <c r="T272" s="3">
        <f>[1]节奏总纲!AF271</f>
        <v>85.76890155886322</v>
      </c>
      <c r="U272" s="3">
        <f>[1]节奏总纲!AG271</f>
        <v>90.739714248617148</v>
      </c>
      <c r="V272" s="3">
        <f>[1]节奏总纲!AH271</f>
        <v>99.605443643101935</v>
      </c>
      <c r="AN272" s="3">
        <v>268</v>
      </c>
      <c r="AO272" s="3">
        <f>[1]节奏总纲!BA271</f>
        <v>44.662586425734069</v>
      </c>
      <c r="AP272" s="3">
        <f>[1]节奏总纲!BB271</f>
        <v>46.176090215954694</v>
      </c>
      <c r="AQ272" s="3">
        <f>[1]节奏总纲!BC271</f>
        <v>48.125843417348868</v>
      </c>
      <c r="AR272" s="3">
        <f>[1]节奏总纲!BD271</f>
        <v>50.875254884873684</v>
      </c>
      <c r="AS272" s="3">
        <f>[1]节奏总纲!BE271</f>
        <v>55.574871601960162</v>
      </c>
    </row>
    <row r="273" spans="17:45">
      <c r="Q273" s="3">
        <v>269</v>
      </c>
      <c r="R273" s="3">
        <f>[1]节奏总纲!AD272</f>
        <v>80.76194596258118</v>
      </c>
      <c r="S273" s="3">
        <f>[1]节奏总纲!AE272</f>
        <v>82.861887481984894</v>
      </c>
      <c r="T273" s="3">
        <f>[1]节奏总纲!AF272</f>
        <v>85.823505219650016</v>
      </c>
      <c r="U273" s="3">
        <f>[1]节奏总纲!AG272</f>
        <v>90.796124144646882</v>
      </c>
      <c r="V273" s="3">
        <f>[1]节奏总纲!AH272</f>
        <v>99.663656685224467</v>
      </c>
      <c r="AN273" s="3">
        <v>269</v>
      </c>
      <c r="AO273" s="3">
        <f>[1]节奏总纲!BA272</f>
        <v>44.68844187203797</v>
      </c>
      <c r="AP273" s="3">
        <f>[1]节奏总纲!BB272</f>
        <v>46.200170269478107</v>
      </c>
      <c r="AQ273" s="3">
        <f>[1]节奏总纲!BC272</f>
        <v>48.149772083895023</v>
      </c>
      <c r="AR273" s="3">
        <f>[1]节奏总纲!BD272</f>
        <v>50.902012906422861</v>
      </c>
      <c r="AS273" s="3">
        <f>[1]节奏总纲!BE272</f>
        <v>55.600581423156946</v>
      </c>
    </row>
    <row r="274" spans="17:45">
      <c r="Q274" s="3">
        <v>270</v>
      </c>
      <c r="R274" s="3">
        <f>[1]节奏总纲!AD273</f>
        <v>80.816370674194118</v>
      </c>
      <c r="S274" s="3">
        <f>[1]节奏总纲!AE273</f>
        <v>82.916268958926821</v>
      </c>
      <c r="T274" s="3">
        <f>[1]节奏总纲!AF273</f>
        <v>85.878108880436827</v>
      </c>
      <c r="U274" s="3">
        <f>[1]节奏总纲!AG273</f>
        <v>90.852534040676616</v>
      </c>
      <c r="V274" s="3">
        <f>[1]节奏总纲!AH273</f>
        <v>99.721869727346999</v>
      </c>
      <c r="AN274" s="3">
        <v>270</v>
      </c>
      <c r="AO274" s="3">
        <f>[1]节奏总纲!BA273</f>
        <v>44.714297318341877</v>
      </c>
      <c r="AP274" s="3">
        <f>[1]节奏总纲!BB273</f>
        <v>46.224250323001513</v>
      </c>
      <c r="AQ274" s="3">
        <f>[1]节奏总纲!BC273</f>
        <v>48.173700750441178</v>
      </c>
      <c r="AR274" s="3">
        <f>[1]节奏总纲!BD273</f>
        <v>50.928770927972039</v>
      </c>
      <c r="AS274" s="3">
        <f>[1]节奏总纲!BE273</f>
        <v>55.62629124435373</v>
      </c>
    </row>
    <row r="275" spans="17:45">
      <c r="Q275" s="3">
        <v>271</v>
      </c>
      <c r="R275" s="3">
        <f>[1]节奏总纲!AD274</f>
        <v>80.870795385807057</v>
      </c>
      <c r="S275" s="3">
        <f>[1]节奏总纲!AE274</f>
        <v>82.970650435868762</v>
      </c>
      <c r="T275" s="3">
        <f>[1]节奏总纲!AF274</f>
        <v>85.932712541223623</v>
      </c>
      <c r="U275" s="3">
        <f>[1]节奏总纲!AG274</f>
        <v>90.908943936706351</v>
      </c>
      <c r="V275" s="3">
        <f>[1]节奏总纲!AH274</f>
        <v>99.780082769469516</v>
      </c>
      <c r="AN275" s="3">
        <v>271</v>
      </c>
      <c r="AO275" s="3">
        <f>[1]节奏总纲!BA274</f>
        <v>44.740152764645778</v>
      </c>
      <c r="AP275" s="3">
        <f>[1]节奏总纲!BB274</f>
        <v>46.248330376524919</v>
      </c>
      <c r="AQ275" s="3">
        <f>[1]节奏总纲!BC274</f>
        <v>48.19762941698734</v>
      </c>
      <c r="AR275" s="3">
        <f>[1]节奏总纲!BD274</f>
        <v>50.955528949521224</v>
      </c>
      <c r="AS275" s="3">
        <f>[1]节奏总纲!BE274</f>
        <v>55.652001065550522</v>
      </c>
    </row>
    <row r="276" spans="17:45">
      <c r="Q276" s="3">
        <v>272</v>
      </c>
      <c r="R276" s="3">
        <f>[1]节奏总纲!AD275</f>
        <v>80.925220097420009</v>
      </c>
      <c r="S276" s="3">
        <f>[1]节奏总纲!AE275</f>
        <v>83.023342162088809</v>
      </c>
      <c r="T276" s="3">
        <f>[1]节奏总纲!AF275</f>
        <v>85.987316202010419</v>
      </c>
      <c r="U276" s="3">
        <f>[1]节奏总纲!AG275</f>
        <v>90.965353832736099</v>
      </c>
      <c r="V276" s="3">
        <f>[1]节奏总纲!AH275</f>
        <v>99.838295811592047</v>
      </c>
      <c r="AN276" s="3">
        <v>272</v>
      </c>
      <c r="AO276" s="3">
        <f>[1]节奏总纲!BA275</f>
        <v>44.766008210949678</v>
      </c>
      <c r="AP276" s="3">
        <f>[1]节奏总纲!BB275</f>
        <v>46.272410430048332</v>
      </c>
      <c r="AQ276" s="3">
        <f>[1]节奏总纲!BC275</f>
        <v>48.221558083533495</v>
      </c>
      <c r="AR276" s="3">
        <f>[1]节奏总纲!BD275</f>
        <v>50.982286971070401</v>
      </c>
      <c r="AS276" s="3">
        <f>[1]节奏总纲!BE275</f>
        <v>55.677710886747306</v>
      </c>
    </row>
    <row r="277" spans="17:45">
      <c r="Q277" s="3">
        <v>273</v>
      </c>
      <c r="R277" s="3">
        <f>[1]节奏总纲!AD276</f>
        <v>80.979644809032948</v>
      </c>
      <c r="S277" s="3">
        <f>[1]节奏总纲!AE276</f>
        <v>83.07405267945947</v>
      </c>
      <c r="T277" s="3">
        <f>[1]节奏总纲!AF276</f>
        <v>86.038061368689995</v>
      </c>
      <c r="U277" s="3">
        <f>[1]节奏总纲!AG276</f>
        <v>91.020352770869948</v>
      </c>
      <c r="V277" s="3">
        <f>[1]节奏总纲!AH276</f>
        <v>99.896508853714579</v>
      </c>
      <c r="AN277" s="3">
        <v>273</v>
      </c>
      <c r="AO277" s="3">
        <f>[1]节奏总纲!BA276</f>
        <v>44.791863657253586</v>
      </c>
      <c r="AP277" s="3">
        <f>[1]节奏总纲!BB276</f>
        <v>46.296490483571738</v>
      </c>
      <c r="AQ277" s="3">
        <f>[1]节奏总纲!BC276</f>
        <v>48.24548675007965</v>
      </c>
      <c r="AR277" s="3">
        <f>[1]节奏总纲!BD276</f>
        <v>51.007810424246486</v>
      </c>
      <c r="AS277" s="3">
        <f>[1]节奏总纲!BE276</f>
        <v>55.703420707944098</v>
      </c>
    </row>
    <row r="278" spans="17:45">
      <c r="Q278" s="3">
        <v>274</v>
      </c>
      <c r="R278" s="3">
        <f>[1]节奏总纲!AD277</f>
        <v>81.031787986768464</v>
      </c>
      <c r="S278" s="3">
        <f>[1]节奏总纲!AE277</f>
        <v>83.124763196830131</v>
      </c>
      <c r="T278" s="3">
        <f>[1]节奏总纲!AF277</f>
        <v>86.087639061133402</v>
      </c>
      <c r="U278" s="3">
        <f>[1]节奏总纲!AG277</f>
        <v>91.073105573528181</v>
      </c>
      <c r="V278" s="3">
        <f>[1]节奏总纲!AH277</f>
        <v>99.954721895837096</v>
      </c>
      <c r="AN278" s="3">
        <v>274</v>
      </c>
      <c r="AO278" s="3">
        <f>[1]节奏总纲!BA277</f>
        <v>44.817719103557486</v>
      </c>
      <c r="AP278" s="3">
        <f>[1]节奏总纲!BB277</f>
        <v>46.320570537095151</v>
      </c>
      <c r="AQ278" s="3">
        <f>[1]节奏总纲!BC277</f>
        <v>48.269415416625804</v>
      </c>
      <c r="AR278" s="3">
        <f>[1]节奏总纲!BD277</f>
        <v>51.030916192165336</v>
      </c>
      <c r="AS278" s="3">
        <f>[1]节奏总纲!BE277</f>
        <v>55.729130529140882</v>
      </c>
    </row>
    <row r="279" spans="17:45">
      <c r="Q279" s="3">
        <v>275</v>
      </c>
      <c r="R279" s="3">
        <f>[1]节奏总纲!AD278</f>
        <v>81.082568038258216</v>
      </c>
      <c r="S279" s="3">
        <f>[1]节奏总纲!AE278</f>
        <v>83.175473714200777</v>
      </c>
      <c r="T279" s="3">
        <f>[1]节奏总纲!AF278</f>
        <v>86.137216753576809</v>
      </c>
      <c r="U279" s="3">
        <f>[1]节奏总纲!AG278</f>
        <v>91.125858376186414</v>
      </c>
      <c r="V279" s="3">
        <f>[1]节奏总纲!AH278</f>
        <v>100.01191770041967</v>
      </c>
      <c r="AN279" s="3">
        <v>275</v>
      </c>
      <c r="AO279" s="3">
        <f>[1]节奏总纲!BA278</f>
        <v>44.843574549861387</v>
      </c>
      <c r="AP279" s="3">
        <f>[1]节奏总纲!BB278</f>
        <v>46.344650590618556</v>
      </c>
      <c r="AQ279" s="3">
        <f>[1]节奏总纲!BC278</f>
        <v>48.293344083171966</v>
      </c>
      <c r="AR279" s="3">
        <f>[1]节奏总纲!BD278</f>
        <v>51.054021960084178</v>
      </c>
      <c r="AS279" s="3">
        <f>[1]节奏总纲!BE278</f>
        <v>55.754840350337666</v>
      </c>
    </row>
    <row r="280" spans="17:45">
      <c r="Q280" s="3">
        <v>276</v>
      </c>
      <c r="R280" s="3">
        <f>[1]节奏总纲!AD279</f>
        <v>81.133348089747955</v>
      </c>
      <c r="S280" s="3">
        <f>[1]节奏总纲!AE279</f>
        <v>83.226184231571438</v>
      </c>
      <c r="T280" s="3">
        <f>[1]节奏总纲!AF279</f>
        <v>86.186794446020215</v>
      </c>
      <c r="U280" s="3">
        <f>[1]节奏总纲!AG279</f>
        <v>91.178611178844633</v>
      </c>
      <c r="V280" s="3">
        <f>[1]节奏总纲!AH279</f>
        <v>100.06555271580974</v>
      </c>
      <c r="AN280" s="3">
        <v>276</v>
      </c>
      <c r="AO280" s="3">
        <f>[1]节奏总纲!BA279</f>
        <v>44.869429996165294</v>
      </c>
      <c r="AP280" s="3">
        <f>[1]节奏总纲!BB279</f>
        <v>46.368730644141969</v>
      </c>
      <c r="AQ280" s="3">
        <f>[1]节奏总纲!BC279</f>
        <v>48.317272749718121</v>
      </c>
      <c r="AR280" s="3">
        <f>[1]节奏总纲!BD279</f>
        <v>51.077127728003028</v>
      </c>
      <c r="AS280" s="3">
        <f>[1]节奏总纲!BE279</f>
        <v>55.780550171534458</v>
      </c>
    </row>
    <row r="281" spans="17:45">
      <c r="Q281" s="3">
        <v>277</v>
      </c>
      <c r="R281" s="3">
        <f>[1]节奏总纲!AD280</f>
        <v>81.184128141237707</v>
      </c>
      <c r="S281" s="3">
        <f>[1]节奏总纲!AE280</f>
        <v>83.276894748942098</v>
      </c>
      <c r="T281" s="3">
        <f>[1]节奏总纲!AF280</f>
        <v>86.236372138463622</v>
      </c>
      <c r="U281" s="3">
        <f>[1]节奏总纲!AG280</f>
        <v>91.231363981502867</v>
      </c>
      <c r="V281" s="3">
        <f>[1]节奏总纲!AH280</f>
        <v>100.11918773119983</v>
      </c>
      <c r="AN281" s="3">
        <v>277</v>
      </c>
      <c r="AO281" s="3">
        <f>[1]节奏总纲!BA280</f>
        <v>44.895285442469195</v>
      </c>
      <c r="AP281" s="3">
        <f>[1]节奏总纲!BB280</f>
        <v>46.392810697665375</v>
      </c>
      <c r="AQ281" s="3">
        <f>[1]节奏总纲!BC280</f>
        <v>48.341201416264276</v>
      </c>
      <c r="AR281" s="3">
        <f>[1]节奏总纲!BD280</f>
        <v>51.10023349592187</v>
      </c>
      <c r="AS281" s="3">
        <f>[1]节奏总纲!BE280</f>
        <v>55.806259992731242</v>
      </c>
    </row>
    <row r="282" spans="17:45">
      <c r="Q282" s="3">
        <v>278</v>
      </c>
      <c r="R282" s="3">
        <f>[1]节奏总纲!AD281</f>
        <v>81.23490819272746</v>
      </c>
      <c r="S282" s="3">
        <f>[1]节奏总纲!AE281</f>
        <v>83.327605266312744</v>
      </c>
      <c r="T282" s="3">
        <f>[1]节奏总纲!AF281</f>
        <v>86.285949830907029</v>
      </c>
      <c r="U282" s="3">
        <f>[1]节奏总纲!AG281</f>
        <v>91.2841167841611</v>
      </c>
      <c r="V282" s="3">
        <f>[1]节奏总纲!AH281</f>
        <v>100.1728227465899</v>
      </c>
      <c r="AN282" s="3">
        <v>278</v>
      </c>
      <c r="AO282" s="3">
        <f>[1]节奏总纲!BA281</f>
        <v>44.921140888773095</v>
      </c>
      <c r="AP282" s="3">
        <f>[1]节奏总纲!BB281</f>
        <v>46.416890751188788</v>
      </c>
      <c r="AQ282" s="3">
        <f>[1]节奏总纲!BC281</f>
        <v>48.365130082810438</v>
      </c>
      <c r="AR282" s="3">
        <f>[1]节奏总纲!BD281</f>
        <v>51.12333926384072</v>
      </c>
      <c r="AS282" s="3">
        <f>[1]节奏总纲!BE281</f>
        <v>55.831969813928033</v>
      </c>
    </row>
    <row r="283" spans="17:45">
      <c r="Q283" s="3">
        <v>279</v>
      </c>
      <c r="R283" s="3">
        <f>[1]节奏总纲!AD282</f>
        <v>81.285688244217212</v>
      </c>
      <c r="S283" s="3">
        <f>[1]节奏总纲!AE282</f>
        <v>83.378315783683405</v>
      </c>
      <c r="T283" s="3">
        <f>[1]节奏总纲!AF282</f>
        <v>86.335527523350422</v>
      </c>
      <c r="U283" s="3">
        <f>[1]节奏总纲!AG282</f>
        <v>91.336869586819319</v>
      </c>
      <c r="V283" s="3">
        <f>[1]节奏总纲!AH282</f>
        <v>100.22645776197997</v>
      </c>
      <c r="AN283" s="3">
        <v>279</v>
      </c>
      <c r="AO283" s="3">
        <f>[1]节奏总纲!BA282</f>
        <v>44.946996335076996</v>
      </c>
      <c r="AP283" s="3">
        <f>[1]节奏总纲!BB282</f>
        <v>46.440970804712194</v>
      </c>
      <c r="AQ283" s="3">
        <f>[1]节奏总纲!BC282</f>
        <v>48.389058749356593</v>
      </c>
      <c r="AR283" s="3">
        <f>[1]节奏总纲!BD282</f>
        <v>51.146445031759569</v>
      </c>
      <c r="AS283" s="3">
        <f>[1]节奏总纲!BE282</f>
        <v>55.857679635124818</v>
      </c>
    </row>
    <row r="284" spans="17:45">
      <c r="Q284" s="3">
        <v>280</v>
      </c>
      <c r="R284" s="3">
        <f>[1]节奏总纲!AD283</f>
        <v>81.336468295706965</v>
      </c>
      <c r="S284" s="3">
        <f>[1]节奏总纲!AE283</f>
        <v>83.429026301054066</v>
      </c>
      <c r="T284" s="3">
        <f>[1]节奏总纲!AF283</f>
        <v>86.385105215793828</v>
      </c>
      <c r="U284" s="3">
        <f>[1]节奏总纲!AG283</f>
        <v>91.389622389477552</v>
      </c>
      <c r="V284" s="3">
        <f>[1]节奏总纲!AH283</f>
        <v>100.28009277737006</v>
      </c>
      <c r="AN284" s="3">
        <v>280</v>
      </c>
      <c r="AO284" s="3">
        <f>[1]节奏总纲!BA283</f>
        <v>44.972851781380903</v>
      </c>
      <c r="AP284" s="3">
        <f>[1]节奏总纲!BB283</f>
        <v>46.465050858235607</v>
      </c>
      <c r="AQ284" s="3">
        <f>[1]节奏总纲!BC283</f>
        <v>48.412987415902748</v>
      </c>
      <c r="AR284" s="3">
        <f>[1]节奏总纲!BD283</f>
        <v>51.169550799678412</v>
      </c>
      <c r="AS284" s="3">
        <f>[1]节奏总纲!BE283</f>
        <v>55.883389456321602</v>
      </c>
    </row>
    <row r="285" spans="17:45">
      <c r="Q285" s="3">
        <v>281</v>
      </c>
      <c r="R285" s="3">
        <f>[1]节奏总纲!AD284</f>
        <v>81.387248347196717</v>
      </c>
      <c r="S285" s="3">
        <f>[1]节奏总纲!AE284</f>
        <v>83.479736818424712</v>
      </c>
      <c r="T285" s="3">
        <f>[1]节奏总纲!AF284</f>
        <v>86.434682908237235</v>
      </c>
      <c r="U285" s="3">
        <f>[1]节奏总纲!AG284</f>
        <v>91.442375192135771</v>
      </c>
      <c r="V285" s="3">
        <f>[1]节奏总纲!AH284</f>
        <v>100.33372779276013</v>
      </c>
      <c r="AN285" s="3">
        <v>281</v>
      </c>
      <c r="AO285" s="3">
        <f>[1]节奏总纲!BA284</f>
        <v>44.998707227684804</v>
      </c>
      <c r="AP285" s="3">
        <f>[1]节奏总纲!BB284</f>
        <v>46.489130911759013</v>
      </c>
      <c r="AQ285" s="3">
        <f>[1]节奏总纲!BC284</f>
        <v>48.43691608244891</v>
      </c>
      <c r="AR285" s="3">
        <f>[1]节奏总纲!BD284</f>
        <v>51.192656567597261</v>
      </c>
      <c r="AS285" s="3">
        <f>[1]节奏总纲!BE284</f>
        <v>55.909099277518393</v>
      </c>
    </row>
    <row r="286" spans="17:45">
      <c r="Q286" s="3">
        <v>282</v>
      </c>
      <c r="R286" s="3">
        <f>[1]节奏总纲!AD285</f>
        <v>81.43802839868647</v>
      </c>
      <c r="S286" s="3">
        <f>[1]节奏总纲!AE285</f>
        <v>83.530447335795373</v>
      </c>
      <c r="T286" s="3">
        <f>[1]节奏总纲!AF285</f>
        <v>86.484260600680642</v>
      </c>
      <c r="U286" s="3">
        <f>[1]节奏总纲!AG285</f>
        <v>91.495127994794004</v>
      </c>
      <c r="V286" s="3">
        <f>[1]节奏总纲!AH285</f>
        <v>100.3873628081502</v>
      </c>
      <c r="AN286" s="3">
        <v>282</v>
      </c>
      <c r="AO286" s="3">
        <f>[1]节奏总纲!BA285</f>
        <v>45.021201039060998</v>
      </c>
      <c r="AP286" s="3">
        <f>[1]节奏总纲!BB285</f>
        <v>46.513210965282425</v>
      </c>
      <c r="AQ286" s="3">
        <f>[1]节奏总纲!BC285</f>
        <v>48.460844748995065</v>
      </c>
      <c r="AR286" s="3">
        <f>[1]节奏总纲!BD285</f>
        <v>51.215762335516104</v>
      </c>
      <c r="AS286" s="3">
        <f>[1]节奏总纲!BE285</f>
        <v>55.934809098715178</v>
      </c>
    </row>
    <row r="287" spans="17:45">
      <c r="Q287" s="3">
        <v>283</v>
      </c>
      <c r="R287" s="3">
        <f>[1]节奏总纲!AD286</f>
        <v>81.488808450176222</v>
      </c>
      <c r="S287" s="3">
        <f>[1]节奏总纲!AE286</f>
        <v>83.581157853166033</v>
      </c>
      <c r="T287" s="3">
        <f>[1]节奏总纲!AF286</f>
        <v>86.533838293124049</v>
      </c>
      <c r="U287" s="3">
        <f>[1]节奏总纲!AG286</f>
        <v>91.547880797452237</v>
      </c>
      <c r="V287" s="3">
        <f>[1]节奏总纲!AH286</f>
        <v>100.44099782354027</v>
      </c>
      <c r="AN287" s="3">
        <v>283</v>
      </c>
      <c r="AO287" s="3">
        <f>[1]节奏总纲!BA286</f>
        <v>45.043517922283101</v>
      </c>
      <c r="AP287" s="3">
        <f>[1]节奏总纲!BB286</f>
        <v>46.537291018805831</v>
      </c>
      <c r="AQ287" s="3">
        <f>[1]节奏总纲!BC286</f>
        <v>48.48477341554122</v>
      </c>
      <c r="AR287" s="3">
        <f>[1]节奏总纲!BD286</f>
        <v>51.238868103434953</v>
      </c>
      <c r="AS287" s="3">
        <f>[1]节奏总纲!BE286</f>
        <v>55.960518919911962</v>
      </c>
    </row>
    <row r="288" spans="17:45">
      <c r="Q288" s="3">
        <v>284</v>
      </c>
      <c r="R288" s="3">
        <f>[1]节奏总纲!AD287</f>
        <v>81.539588501665975</v>
      </c>
      <c r="S288" s="3">
        <f>[1]节奏总纲!AE287</f>
        <v>83.631868370536679</v>
      </c>
      <c r="T288" s="3">
        <f>[1]节奏总纲!AF287</f>
        <v>86.583415985567456</v>
      </c>
      <c r="U288" s="3">
        <f>[1]节奏总纲!AG287</f>
        <v>91.600633600110456</v>
      </c>
      <c r="V288" s="3">
        <f>[1]节奏总纲!AH287</f>
        <v>100.49463283893036</v>
      </c>
      <c r="AN288" s="3">
        <v>284</v>
      </c>
      <c r="AO288" s="3">
        <f>[1]节奏总纲!BA287</f>
        <v>45.065834805505204</v>
      </c>
      <c r="AP288" s="3">
        <f>[1]节奏总纲!BB287</f>
        <v>46.561371072329244</v>
      </c>
      <c r="AQ288" s="3">
        <f>[1]节奏总纲!BC287</f>
        <v>48.508702082087382</v>
      </c>
      <c r="AR288" s="3">
        <f>[1]节奏总纲!BD287</f>
        <v>51.261973871353796</v>
      </c>
      <c r="AS288" s="3">
        <f>[1]节奏总纲!BE287</f>
        <v>55.986228741108754</v>
      </c>
    </row>
    <row r="289" spans="17:45">
      <c r="Q289" s="3">
        <v>285</v>
      </c>
      <c r="R289" s="3">
        <f>[1]节奏总纲!AD288</f>
        <v>81.590368553155727</v>
      </c>
      <c r="S289" s="3">
        <f>[1]节奏总纲!AE288</f>
        <v>83.68257888790734</v>
      </c>
      <c r="T289" s="3">
        <f>[1]节奏总纲!AF288</f>
        <v>86.632993678010848</v>
      </c>
      <c r="U289" s="3">
        <f>[1]节奏总纲!AG288</f>
        <v>91.653386402768689</v>
      </c>
      <c r="V289" s="3">
        <f>[1]节奏总纲!AH288</f>
        <v>100.54826785432043</v>
      </c>
      <c r="AN289" s="3">
        <v>285</v>
      </c>
      <c r="AO289" s="3">
        <f>[1]节奏总纲!BA288</f>
        <v>45.088151688727308</v>
      </c>
      <c r="AP289" s="3">
        <f>[1]节奏总纲!BB288</f>
        <v>46.58545112585265</v>
      </c>
      <c r="AQ289" s="3">
        <f>[1]节奏总纲!BC288</f>
        <v>48.532630748633537</v>
      </c>
      <c r="AR289" s="3">
        <f>[1]节奏总纲!BD288</f>
        <v>51.285079639272645</v>
      </c>
      <c r="AS289" s="3">
        <f>[1]节奏总纲!BE288</f>
        <v>56.010312347085055</v>
      </c>
    </row>
    <row r="290" spans="17:45">
      <c r="Q290" s="3">
        <v>286</v>
      </c>
      <c r="R290" s="3">
        <f>[1]节奏总纲!AD289</f>
        <v>81.64114860464548</v>
      </c>
      <c r="S290" s="3">
        <f>[1]节奏总纲!AE289</f>
        <v>83.733289405278001</v>
      </c>
      <c r="T290" s="3">
        <f>[1]节奏总纲!AF289</f>
        <v>86.682571370454255</v>
      </c>
      <c r="U290" s="3">
        <f>[1]节奏总纲!AG289</f>
        <v>91.706139205426922</v>
      </c>
      <c r="V290" s="3">
        <f>[1]节奏总纲!AH289</f>
        <v>100.6019028697105</v>
      </c>
      <c r="AN290" s="3">
        <v>286</v>
      </c>
      <c r="AO290" s="3">
        <f>[1]节奏总纲!BA289</f>
        <v>45.110468571949411</v>
      </c>
      <c r="AP290" s="3">
        <f>[1]节奏总纲!BB289</f>
        <v>46.609531179376063</v>
      </c>
      <c r="AQ290" s="3">
        <f>[1]节奏总纲!BC289</f>
        <v>48.556559415179692</v>
      </c>
      <c r="AR290" s="3">
        <f>[1]节奏总纲!BD289</f>
        <v>51.308185407191495</v>
      </c>
      <c r="AS290" s="3">
        <f>[1]节奏总纲!BE289</f>
        <v>56.032520096468168</v>
      </c>
    </row>
    <row r="291" spans="17:45">
      <c r="Q291" s="3">
        <v>287</v>
      </c>
      <c r="R291" s="3">
        <f>[1]节奏总纲!AD290</f>
        <v>81.691928656135218</v>
      </c>
      <c r="S291" s="3">
        <f>[1]节奏总纲!AE290</f>
        <v>83.783999922648647</v>
      </c>
      <c r="T291" s="3">
        <f>[1]节奏总纲!AF290</f>
        <v>86.732149062897662</v>
      </c>
      <c r="U291" s="3">
        <f>[1]节奏总纲!AG290</f>
        <v>91.758892008085141</v>
      </c>
      <c r="V291" s="3">
        <f>[1]节奏总纲!AH290</f>
        <v>100.65553788510059</v>
      </c>
      <c r="AN291" s="3">
        <v>287</v>
      </c>
      <c r="AO291" s="3">
        <f>[1]节奏总纲!BA290</f>
        <v>45.132785455171515</v>
      </c>
      <c r="AP291" s="3">
        <f>[1]节奏总纲!BB290</f>
        <v>46.633611232899469</v>
      </c>
      <c r="AQ291" s="3">
        <f>[1]节奏总纲!BC290</f>
        <v>48.580488081725846</v>
      </c>
      <c r="AR291" s="3">
        <f>[1]节奏总纲!BD290</f>
        <v>51.331291175110337</v>
      </c>
      <c r="AS291" s="3">
        <f>[1]节奏总纲!BE290</f>
        <v>56.054727845851275</v>
      </c>
    </row>
    <row r="292" spans="17:45">
      <c r="Q292" s="3">
        <v>288</v>
      </c>
      <c r="R292" s="3">
        <f>[1]节奏总纲!AD291</f>
        <v>81.742708707624971</v>
      </c>
      <c r="S292" s="3">
        <f>[1]节奏总纲!AE291</f>
        <v>83.834710440019307</v>
      </c>
      <c r="T292" s="3">
        <f>[1]节奏总纲!AF291</f>
        <v>86.781726755341069</v>
      </c>
      <c r="U292" s="3">
        <f>[1]节奏总纲!AG291</f>
        <v>91.811644810743374</v>
      </c>
      <c r="V292" s="3">
        <f>[1]节奏总纲!AH291</f>
        <v>100.70917290049066</v>
      </c>
      <c r="AN292" s="3">
        <v>288</v>
      </c>
      <c r="AO292" s="3">
        <f>[1]节奏总纲!BA291</f>
        <v>45.155102338393618</v>
      </c>
      <c r="AP292" s="3">
        <f>[1]节奏总纲!BB291</f>
        <v>46.657691286422882</v>
      </c>
      <c r="AQ292" s="3">
        <f>[1]节奏总纲!BC291</f>
        <v>48.604416748272008</v>
      </c>
      <c r="AR292" s="3">
        <f>[1]节奏总纲!BD291</f>
        <v>51.354396943029187</v>
      </c>
      <c r="AS292" s="3">
        <f>[1]节奏总纲!BE291</f>
        <v>56.076935595234382</v>
      </c>
    </row>
    <row r="293" spans="17:45">
      <c r="Q293" s="3">
        <v>289</v>
      </c>
      <c r="R293" s="3">
        <f>[1]节奏总纲!AD292</f>
        <v>81.793488759114723</v>
      </c>
      <c r="S293" s="3">
        <f>[1]节奏总纲!AE292</f>
        <v>83.885420957389968</v>
      </c>
      <c r="T293" s="3">
        <f>[1]节奏总纲!AF292</f>
        <v>86.831304447784476</v>
      </c>
      <c r="U293" s="3">
        <f>[1]节奏总纲!AG292</f>
        <v>91.864397613401607</v>
      </c>
      <c r="V293" s="3">
        <f>[1]节奏总纲!AH292</f>
        <v>100.76280791588073</v>
      </c>
      <c r="AN293" s="3">
        <v>289</v>
      </c>
      <c r="AO293" s="3">
        <f>[1]节奏总纲!BA292</f>
        <v>45.177419221615722</v>
      </c>
      <c r="AP293" s="3">
        <f>[1]节奏总纲!BB292</f>
        <v>46.681771339946287</v>
      </c>
      <c r="AQ293" s="3">
        <f>[1]节奏总纲!BC292</f>
        <v>48.628345414818163</v>
      </c>
      <c r="AR293" s="3">
        <f>[1]节奏总纲!BD292</f>
        <v>51.377502710948029</v>
      </c>
      <c r="AS293" s="3">
        <f>[1]节奏总纲!BE292</f>
        <v>56.099143344617488</v>
      </c>
    </row>
    <row r="294" spans="17:45">
      <c r="Q294" s="3">
        <v>290</v>
      </c>
      <c r="R294" s="3">
        <f>[1]节奏总纲!AD293</f>
        <v>81.844268810604476</v>
      </c>
      <c r="S294" s="3">
        <f>[1]节奏总纲!AE293</f>
        <v>83.936131474760614</v>
      </c>
      <c r="T294" s="3">
        <f>[1]节奏总纲!AF293</f>
        <v>86.880882140227882</v>
      </c>
      <c r="U294" s="3">
        <f>[1]节奏总纲!AG293</f>
        <v>91.917150416059826</v>
      </c>
      <c r="V294" s="3">
        <f>[1]节奏总纲!AH293</f>
        <v>100.8164429312708</v>
      </c>
      <c r="AN294" s="3">
        <v>290</v>
      </c>
      <c r="AO294" s="3">
        <f>[1]节奏总纲!BA293</f>
        <v>45.199736104837825</v>
      </c>
      <c r="AP294" s="3">
        <f>[1]节奏总纲!BB293</f>
        <v>46.7058513934697</v>
      </c>
      <c r="AQ294" s="3">
        <f>[1]节奏总纲!BC293</f>
        <v>48.652274081364318</v>
      </c>
      <c r="AR294" s="3">
        <f>[1]节奏总纲!BD293</f>
        <v>51.400608478866879</v>
      </c>
      <c r="AS294" s="3">
        <f>[1]节奏总纲!BE293</f>
        <v>56.121351094000602</v>
      </c>
    </row>
    <row r="295" spans="17:45">
      <c r="Q295" s="3">
        <v>291</v>
      </c>
      <c r="R295" s="3">
        <f>[1]节奏总纲!AD294</f>
        <v>81.895048862094228</v>
      </c>
      <c r="S295" s="3">
        <f>[1]节奏总纲!AE294</f>
        <v>83.986841992131275</v>
      </c>
      <c r="T295" s="3">
        <f>[1]节奏总纲!AF294</f>
        <v>86.930459832671289</v>
      </c>
      <c r="U295" s="3">
        <f>[1]节奏总纲!AG294</f>
        <v>91.969903218718059</v>
      </c>
      <c r="V295" s="3">
        <f>[1]节奏总纲!AH294</f>
        <v>100.87007794666089</v>
      </c>
      <c r="AN295" s="3">
        <v>291</v>
      </c>
      <c r="AO295" s="3">
        <f>[1]节奏总纲!BA294</f>
        <v>45.222052988059936</v>
      </c>
      <c r="AP295" s="3">
        <f>[1]节奏总纲!BB294</f>
        <v>46.729931446993106</v>
      </c>
      <c r="AQ295" s="3">
        <f>[1]节奏总纲!BC294</f>
        <v>48.67620274791048</v>
      </c>
      <c r="AR295" s="3">
        <f>[1]节奏总纲!BD294</f>
        <v>51.423714246785721</v>
      </c>
      <c r="AS295" s="3">
        <f>[1]节奏总纲!BE294</f>
        <v>56.143558843383708</v>
      </c>
    </row>
    <row r="296" spans="17:45">
      <c r="Q296" s="3">
        <v>292</v>
      </c>
      <c r="R296" s="3">
        <f>[1]节奏总纲!AD295</f>
        <v>81.945828913583981</v>
      </c>
      <c r="S296" s="3">
        <f>[1]节奏总纲!AE295</f>
        <v>84.036191564035917</v>
      </c>
      <c r="T296" s="3">
        <f>[1]节奏总纲!AF295</f>
        <v>86.980037525114682</v>
      </c>
      <c r="U296" s="3">
        <f>[1]节奏总纲!AG295</f>
        <v>92.021521414287719</v>
      </c>
      <c r="V296" s="3">
        <f>[1]节奏总纲!AH295</f>
        <v>100.92371296205096</v>
      </c>
      <c r="AN296" s="3">
        <v>292</v>
      </c>
      <c r="AO296" s="3">
        <f>[1]节奏总纲!BA295</f>
        <v>45.244369871282039</v>
      </c>
      <c r="AP296" s="3">
        <f>[1]节奏总纲!BB295</f>
        <v>46.754011500516519</v>
      </c>
      <c r="AQ296" s="3">
        <f>[1]节奏总纲!BC295</f>
        <v>48.700131414456635</v>
      </c>
      <c r="AR296" s="3">
        <f>[1]节奏总纲!BD295</f>
        <v>51.446820014704571</v>
      </c>
      <c r="AS296" s="3">
        <f>[1]节奏总纲!BE295</f>
        <v>56.165766592766815</v>
      </c>
    </row>
    <row r="297" spans="17:45">
      <c r="Q297" s="3">
        <v>293</v>
      </c>
      <c r="R297" s="3">
        <f>[1]节奏总纲!AD296</f>
        <v>81.996608965073733</v>
      </c>
      <c r="S297" s="3">
        <f>[1]节奏总纲!AE296</f>
        <v>84.085064274836242</v>
      </c>
      <c r="T297" s="3">
        <f>[1]节奏总纲!AF296</f>
        <v>87.029133791498197</v>
      </c>
      <c r="U297" s="3">
        <f>[1]节奏总纲!AG296</f>
        <v>92.071632371634976</v>
      </c>
      <c r="V297" s="3">
        <f>[1]节奏总纲!AH296</f>
        <v>100.97734797744103</v>
      </c>
      <c r="AN297" s="3">
        <v>293</v>
      </c>
      <c r="AO297" s="3">
        <f>[1]节奏总纲!BA296</f>
        <v>45.266686754504143</v>
      </c>
      <c r="AP297" s="3">
        <f>[1]节奏总纲!BB296</f>
        <v>46.778091554039925</v>
      </c>
      <c r="AQ297" s="3">
        <f>[1]节奏总纲!BC296</f>
        <v>48.72406008100279</v>
      </c>
      <c r="AR297" s="3">
        <f>[1]节奏总纲!BD296</f>
        <v>51.46992578262342</v>
      </c>
      <c r="AS297" s="3">
        <f>[1]节奏总纲!BE296</f>
        <v>56.187974342149921</v>
      </c>
    </row>
    <row r="298" spans="17:45">
      <c r="Q298" s="3">
        <v>294</v>
      </c>
      <c r="R298" s="3">
        <f>[1]节奏总纲!AD297</f>
        <v>82.044215515890215</v>
      </c>
      <c r="S298" s="3">
        <f>[1]节奏总纲!AE297</f>
        <v>84.133936985636566</v>
      </c>
      <c r="T298" s="3">
        <f>[1]节奏总纲!AF297</f>
        <v>87.077905547159801</v>
      </c>
      <c r="U298" s="3">
        <f>[1]节奏总纲!AG297</f>
        <v>92.121743328982234</v>
      </c>
      <c r="V298" s="3">
        <f>[1]节奏总纲!AH297</f>
        <v>101.02868392415382</v>
      </c>
      <c r="AN298" s="3">
        <v>294</v>
      </c>
      <c r="AO298" s="3">
        <f>[1]节奏总纲!BA297</f>
        <v>45.289003637726246</v>
      </c>
      <c r="AP298" s="3">
        <f>[1]节奏总纲!BB297</f>
        <v>46.802171607563338</v>
      </c>
      <c r="AQ298" s="3">
        <f>[1]节奏总纲!BC297</f>
        <v>48.747988747548945</v>
      </c>
      <c r="AR298" s="3">
        <f>[1]节奏总纲!BD297</f>
        <v>51.493031550542263</v>
      </c>
      <c r="AS298" s="3">
        <f>[1]节奏总纲!BE297</f>
        <v>56.210182091533035</v>
      </c>
    </row>
    <row r="299" spans="17:45">
      <c r="Q299" s="3">
        <v>295</v>
      </c>
      <c r="R299" s="3">
        <f>[1]节奏总纲!AD298</f>
        <v>82.091594979242089</v>
      </c>
      <c r="S299" s="3">
        <f>[1]节奏总纲!AE298</f>
        <v>84.182809696436891</v>
      </c>
      <c r="T299" s="3">
        <f>[1]节奏总纲!AF298</f>
        <v>87.126677302821392</v>
      </c>
      <c r="U299" s="3">
        <f>[1]节奏总纲!AG298</f>
        <v>92.171854286329506</v>
      </c>
      <c r="V299" s="3">
        <f>[1]节奏总纲!AH298</f>
        <v>101.07833899530283</v>
      </c>
      <c r="AN299" s="3">
        <v>295</v>
      </c>
      <c r="AO299" s="3">
        <f>[1]节奏总纲!BA298</f>
        <v>45.31132052094835</v>
      </c>
      <c r="AP299" s="3">
        <f>[1]节奏总纲!BB298</f>
        <v>46.826251661086744</v>
      </c>
      <c r="AQ299" s="3">
        <f>[1]节奏总纲!BC298</f>
        <v>48.771917414095107</v>
      </c>
      <c r="AR299" s="3">
        <f>[1]节奏总纲!BD298</f>
        <v>51.516137318461112</v>
      </c>
      <c r="AS299" s="3">
        <f>[1]节奏总纲!BE298</f>
        <v>56.232389840916142</v>
      </c>
    </row>
    <row r="300" spans="17:45">
      <c r="Q300" s="3">
        <v>296</v>
      </c>
      <c r="R300" s="3">
        <f>[1]节奏总纲!AD299</f>
        <v>82.138974442593963</v>
      </c>
      <c r="S300" s="3">
        <f>[1]节奏总纲!AE299</f>
        <v>84.23168240723723</v>
      </c>
      <c r="T300" s="3">
        <f>[1]节奏总纲!AF299</f>
        <v>87.175449058482982</v>
      </c>
      <c r="U300" s="3">
        <f>[1]节奏总纲!AG299</f>
        <v>92.221965243676763</v>
      </c>
      <c r="V300" s="3">
        <f>[1]节奏总纲!AH299</f>
        <v>101.12799406645185</v>
      </c>
      <c r="AN300" s="3">
        <v>296</v>
      </c>
      <c r="AO300" s="3">
        <f>[1]节奏总纲!BA299</f>
        <v>45.333637404170453</v>
      </c>
      <c r="AP300" s="3">
        <f>[1]节奏总纲!BB299</f>
        <v>46.850331714610157</v>
      </c>
      <c r="AQ300" s="3">
        <f>[1]节奏总纲!BC299</f>
        <v>48.795846080641262</v>
      </c>
      <c r="AR300" s="3">
        <f>[1]节奏总纲!BD299</f>
        <v>51.539243086379955</v>
      </c>
      <c r="AS300" s="3">
        <f>[1]节奏总纲!BE299</f>
        <v>56.254597590299248</v>
      </c>
    </row>
    <row r="301" spans="17:45">
      <c r="Q301" s="3">
        <v>297</v>
      </c>
      <c r="R301" s="3">
        <f>[1]节奏总纲!AD300</f>
        <v>82.186353905945836</v>
      </c>
      <c r="S301" s="3">
        <f>[1]节奏总纲!AE300</f>
        <v>84.280555118037555</v>
      </c>
      <c r="T301" s="3">
        <f>[1]节奏总纲!AF300</f>
        <v>87.224220814144587</v>
      </c>
      <c r="U301" s="3">
        <f>[1]节奏总纲!AG300</f>
        <v>92.272076201024021</v>
      </c>
      <c r="V301" s="3">
        <f>[1]节奏总纲!AH300</f>
        <v>101.17764913760085</v>
      </c>
      <c r="AN301" s="3">
        <v>297</v>
      </c>
      <c r="AO301" s="3">
        <f>[1]节奏总纲!BA300</f>
        <v>45.355954287392557</v>
      </c>
      <c r="AP301" s="3">
        <f>[1]节奏总纲!BB300</f>
        <v>46.874411768133562</v>
      </c>
      <c r="AQ301" s="3">
        <f>[1]节奏总纲!BC300</f>
        <v>48.819774747187417</v>
      </c>
      <c r="AR301" s="3">
        <f>[1]节奏总纲!BD300</f>
        <v>51.562348854298804</v>
      </c>
      <c r="AS301" s="3">
        <f>[1]节奏总纲!BE300</f>
        <v>56.276805339682355</v>
      </c>
    </row>
    <row r="302" spans="17:45">
      <c r="Q302" s="3">
        <v>298</v>
      </c>
      <c r="R302" s="3">
        <f>[1]节奏总纲!AD301</f>
        <v>82.23373336929771</v>
      </c>
      <c r="S302" s="3">
        <f>[1]节奏总纲!AE301</f>
        <v>84.329427828837879</v>
      </c>
      <c r="T302" s="3">
        <f>[1]节奏总纲!AF301</f>
        <v>87.272992569806178</v>
      </c>
      <c r="U302" s="3">
        <f>[1]节奏总纲!AG301</f>
        <v>92.322187158371293</v>
      </c>
      <c r="V302" s="3">
        <f>[1]节奏总纲!AH301</f>
        <v>101.22730420874987</v>
      </c>
      <c r="AN302" s="3">
        <v>298</v>
      </c>
      <c r="AO302" s="3">
        <f>[1]节奏总纲!BA301</f>
        <v>45.37827117061466</v>
      </c>
      <c r="AP302" s="3">
        <f>[1]节奏总纲!BB301</f>
        <v>46.898491821656968</v>
      </c>
      <c r="AQ302" s="3">
        <f>[1]节奏总纲!BC301</f>
        <v>48.843703413733579</v>
      </c>
      <c r="AR302" s="3">
        <f>[1]节奏总纲!BD301</f>
        <v>51.585454622217647</v>
      </c>
      <c r="AS302" s="3">
        <f>[1]节奏总纲!BE301</f>
        <v>56.299013089065468</v>
      </c>
    </row>
    <row r="303" spans="17:45">
      <c r="Q303" s="3">
        <v>299</v>
      </c>
      <c r="R303" s="3">
        <f>[1]节奏总纲!AD302</f>
        <v>82.281112832649583</v>
      </c>
      <c r="S303" s="3">
        <f>[1]节奏总纲!AE302</f>
        <v>84.378300539638204</v>
      </c>
      <c r="T303" s="3">
        <f>[1]节奏总纲!AF302</f>
        <v>87.321764325467768</v>
      </c>
      <c r="U303" s="3">
        <f>[1]节奏总纲!AG302</f>
        <v>92.37229811571855</v>
      </c>
      <c r="V303" s="3">
        <f>[1]节奏总纲!AH302</f>
        <v>101.27695927989888</v>
      </c>
      <c r="AN303" s="3">
        <v>299</v>
      </c>
      <c r="AO303" s="3">
        <f>[1]节奏总纲!BA302</f>
        <v>45.400588053836763</v>
      </c>
      <c r="AP303" s="3">
        <f>[1]节奏总纲!BB302</f>
        <v>46.922571875180381</v>
      </c>
      <c r="AQ303" s="3">
        <f>[1]节奏总纲!BC302</f>
        <v>48.867632080279733</v>
      </c>
      <c r="AR303" s="3">
        <f>[1]节奏总纲!BD302</f>
        <v>51.608560390136496</v>
      </c>
      <c r="AS303" s="3">
        <f>[1]节奏总纲!BE302</f>
        <v>56.321220838448575</v>
      </c>
    </row>
    <row r="304" spans="17:45">
      <c r="Q304" s="3">
        <v>300</v>
      </c>
      <c r="R304" s="3">
        <f>[1]节奏总纲!AD303</f>
        <v>82.328492296001457</v>
      </c>
      <c r="S304" s="3">
        <f>[1]节奏总纲!AE303</f>
        <v>84.427173250438543</v>
      </c>
      <c r="T304" s="3">
        <f>[1]节奏总纲!AF303</f>
        <v>87.370536081129359</v>
      </c>
      <c r="U304" s="3">
        <f>[1]节奏总纲!AG303</f>
        <v>92.422409073065808</v>
      </c>
      <c r="V304" s="3">
        <f>[1]节奏总纲!AH303</f>
        <v>101.32661435104789</v>
      </c>
      <c r="AN304" s="3">
        <v>300</v>
      </c>
      <c r="AO304" s="3">
        <f>[1]节奏总纲!BA303</f>
        <v>45.422904937058867</v>
      </c>
      <c r="AP304" s="3">
        <f>[1]节奏总纲!BB303</f>
        <v>46.946651928703787</v>
      </c>
      <c r="AQ304" s="3">
        <f>[1]节奏总纲!BC303</f>
        <v>48.891560746825888</v>
      </c>
      <c r="AR304" s="3">
        <f>[1]节奏总纲!BD303</f>
        <v>51.631666158055346</v>
      </c>
      <c r="AS304" s="3">
        <f>[1]节奏总纲!BE303</f>
        <v>56.343428587831681</v>
      </c>
    </row>
    <row r="305" spans="17:45">
      <c r="Q305" s="3">
        <v>301</v>
      </c>
      <c r="R305" s="3">
        <f>[1]节奏总纲!AD304</f>
        <v>82.375871759353331</v>
      </c>
      <c r="S305" s="3">
        <f>[1]节奏总纲!AE304</f>
        <v>84.476045961238867</v>
      </c>
      <c r="T305" s="3">
        <f>[1]节奏总纲!AF304</f>
        <v>87.419307836790964</v>
      </c>
      <c r="U305" s="3">
        <f>[1]节奏总纲!AG304</f>
        <v>92.472520030413079</v>
      </c>
      <c r="V305" s="3">
        <f>[1]节奏总纲!AH304</f>
        <v>101.3762694221969</v>
      </c>
      <c r="AN305" s="3">
        <v>301</v>
      </c>
      <c r="AO305" s="3">
        <f>[1]节奏总纲!BA304</f>
        <v>45.44522182028097</v>
      </c>
      <c r="AP305" s="3">
        <f>[1]节奏总纲!BB304</f>
        <v>46.9707319822272</v>
      </c>
      <c r="AQ305" s="3">
        <f>[1]节奏总纲!BC304</f>
        <v>48.91548941337205</v>
      </c>
      <c r="AR305" s="3">
        <f>[1]节奏总纲!BD304</f>
        <v>51.654771925974188</v>
      </c>
      <c r="AS305" s="3">
        <f>[1]节奏总纲!BE304</f>
        <v>56.365636337214795</v>
      </c>
    </row>
    <row r="306" spans="17:45">
      <c r="Q306" s="3">
        <v>302</v>
      </c>
      <c r="R306" s="3">
        <f>[1]节奏总纲!AD305</f>
        <v>82.423251222705204</v>
      </c>
      <c r="S306" s="3">
        <f>[1]节奏总纲!AE305</f>
        <v>84.524918672039192</v>
      </c>
      <c r="T306" s="3">
        <f>[1]节奏总纲!AF305</f>
        <v>87.468079592452554</v>
      </c>
      <c r="U306" s="3">
        <f>[1]节奏总纲!AG305</f>
        <v>92.522630987760337</v>
      </c>
      <c r="V306" s="3">
        <f>[1]节奏总纲!AH305</f>
        <v>101.42592449334592</v>
      </c>
      <c r="AN306" s="3">
        <v>302</v>
      </c>
      <c r="AO306" s="3">
        <f>[1]节奏总纲!BA305</f>
        <v>45.467538703503074</v>
      </c>
      <c r="AP306" s="3">
        <f>[1]节奏总纲!BB305</f>
        <v>46.994812035750606</v>
      </c>
      <c r="AQ306" s="3">
        <f>[1]节奏总纲!BC305</f>
        <v>48.939418079918205</v>
      </c>
      <c r="AR306" s="3">
        <f>[1]节奏总纲!BD305</f>
        <v>51.677877693893038</v>
      </c>
      <c r="AS306" s="3">
        <f>[1]节奏总纲!BE305</f>
        <v>56.387844086597902</v>
      </c>
    </row>
    <row r="307" spans="17:45">
      <c r="Q307" s="3">
        <v>303</v>
      </c>
      <c r="R307" s="3">
        <f>[1]节奏总纲!AD306</f>
        <v>82.470630686057078</v>
      </c>
      <c r="S307" s="3">
        <f>[1]节奏总纲!AE306</f>
        <v>84.573791382839516</v>
      </c>
      <c r="T307" s="3">
        <f>[1]节奏总纲!AF306</f>
        <v>87.516851348114145</v>
      </c>
      <c r="U307" s="3">
        <f>[1]节奏总纲!AG306</f>
        <v>92.572741945107595</v>
      </c>
      <c r="V307" s="3">
        <f>[1]节奏总纲!AH306</f>
        <v>101.47557956449492</v>
      </c>
      <c r="AN307" s="3">
        <v>303</v>
      </c>
      <c r="AO307" s="3">
        <f>[1]节奏总纲!BA306</f>
        <v>45.489855586725177</v>
      </c>
      <c r="AP307" s="3">
        <f>[1]节奏总纲!BB306</f>
        <v>47.016308935086101</v>
      </c>
      <c r="AQ307" s="3">
        <f>[1]节奏总纲!BC306</f>
        <v>48.96334674646436</v>
      </c>
      <c r="AR307" s="3">
        <f>[1]节奏总纲!BD306</f>
        <v>51.70098346181188</v>
      </c>
      <c r="AS307" s="3">
        <f>[1]节奏总纲!BE306</f>
        <v>56.410051835981008</v>
      </c>
    </row>
    <row r="308" spans="17:45">
      <c r="Q308" s="3">
        <v>304</v>
      </c>
      <c r="R308" s="3">
        <f>[1]节奏总纲!AD307</f>
        <v>82.518010149408951</v>
      </c>
      <c r="S308" s="3">
        <f>[1]节奏总纲!AE307</f>
        <v>84.622664093639855</v>
      </c>
      <c r="T308" s="3">
        <f>[1]节奏总纲!AF307</f>
        <v>87.565623103775735</v>
      </c>
      <c r="U308" s="3">
        <f>[1]节奏总纲!AG307</f>
        <v>92.622852902454852</v>
      </c>
      <c r="V308" s="3">
        <f>[1]节奏总纲!AH307</f>
        <v>101.52523463564394</v>
      </c>
      <c r="AN308" s="3">
        <v>304</v>
      </c>
      <c r="AO308" s="3">
        <f>[1]节奏总纲!BA307</f>
        <v>45.512172469947281</v>
      </c>
      <c r="AP308" s="3">
        <f>[1]节奏总纲!BB307</f>
        <v>47.037096473408994</v>
      </c>
      <c r="AQ308" s="3">
        <f>[1]节奏总纲!BC307</f>
        <v>48.987275413010522</v>
      </c>
      <c r="AR308" s="3">
        <f>[1]节奏总纲!BD307</f>
        <v>51.72408922973073</v>
      </c>
      <c r="AS308" s="3">
        <f>[1]节奏总纲!BE307</f>
        <v>56.432259585364115</v>
      </c>
    </row>
    <row r="309" spans="17:45">
      <c r="Q309" s="3">
        <v>305</v>
      </c>
      <c r="R309" s="3">
        <f>[1]节奏总纲!AD308</f>
        <v>82.565389612760825</v>
      </c>
      <c r="S309" s="3">
        <f>[1]节奏总纲!AE308</f>
        <v>84.67153680444018</v>
      </c>
      <c r="T309" s="3">
        <f>[1]节奏总纲!AF308</f>
        <v>87.61439485943734</v>
      </c>
      <c r="U309" s="3">
        <f>[1]节奏总纲!AG308</f>
        <v>92.672963859802124</v>
      </c>
      <c r="V309" s="3">
        <f>[1]节奏总纲!AH308</f>
        <v>101.57488970679294</v>
      </c>
      <c r="AN309" s="3">
        <v>305</v>
      </c>
      <c r="AO309" s="3">
        <f>[1]节奏总纲!BA308</f>
        <v>45.534489353169384</v>
      </c>
      <c r="AP309" s="3">
        <f>[1]节奏总纲!BB308</f>
        <v>47.057884011731893</v>
      </c>
      <c r="AQ309" s="3">
        <f>[1]节奏总纲!BC308</f>
        <v>49.009673493801003</v>
      </c>
      <c r="AR309" s="3">
        <f>[1]节奏总纲!BD308</f>
        <v>51.747194997649579</v>
      </c>
      <c r="AS309" s="3">
        <f>[1]节奏总纲!BE308</f>
        <v>56.454467334747228</v>
      </c>
    </row>
    <row r="310" spans="17:45">
      <c r="Q310" s="3">
        <v>306</v>
      </c>
      <c r="R310" s="3">
        <f>[1]节奏总纲!AD309</f>
        <v>82.612769076112698</v>
      </c>
      <c r="S310" s="3">
        <f>[1]节奏总纲!AE309</f>
        <v>84.720409515240505</v>
      </c>
      <c r="T310" s="3">
        <f>[1]节奏总纲!AF309</f>
        <v>87.66316661509893</v>
      </c>
      <c r="U310" s="3">
        <f>[1]节奏总纲!AG309</f>
        <v>92.723074817149381</v>
      </c>
      <c r="V310" s="3">
        <f>[1]节奏总纲!AH309</f>
        <v>101.62454477794196</v>
      </c>
      <c r="AN310" s="3">
        <v>306</v>
      </c>
      <c r="AO310" s="3">
        <f>[1]节奏总纲!BA309</f>
        <v>45.556806236391488</v>
      </c>
      <c r="AP310" s="3">
        <f>[1]节奏总纲!BB309</f>
        <v>47.078671550054786</v>
      </c>
      <c r="AQ310" s="3">
        <f>[1]节奏总纲!BC309</f>
        <v>49.030333272797542</v>
      </c>
      <c r="AR310" s="3">
        <f>[1]节奏总纲!BD309</f>
        <v>51.770300765568422</v>
      </c>
      <c r="AS310" s="3">
        <f>[1]节奏总纲!BE309</f>
        <v>56.476675084130335</v>
      </c>
    </row>
    <row r="311" spans="17:45">
      <c r="Q311" s="3">
        <v>307</v>
      </c>
      <c r="R311" s="3">
        <f>[1]节奏总纲!AD310</f>
        <v>82.660148539464572</v>
      </c>
      <c r="S311" s="3">
        <f>[1]节奏总纲!AE310</f>
        <v>84.769282226040829</v>
      </c>
      <c r="T311" s="3">
        <f>[1]节奏总纲!AF310</f>
        <v>87.711938370760521</v>
      </c>
      <c r="U311" s="3">
        <f>[1]节奏总纲!AG310</f>
        <v>92.773185774496639</v>
      </c>
      <c r="V311" s="3">
        <f>[1]节奏总纲!AH310</f>
        <v>101.67419984909097</v>
      </c>
      <c r="AN311" s="3">
        <v>307</v>
      </c>
      <c r="AO311" s="3">
        <f>[1]节奏总纲!BA310</f>
        <v>45.579123119613591</v>
      </c>
      <c r="AP311" s="3">
        <f>[1]节奏总纲!BB310</f>
        <v>47.099459088377678</v>
      </c>
      <c r="AQ311" s="3">
        <f>[1]节奏总纲!BC310</f>
        <v>49.05099305179408</v>
      </c>
      <c r="AR311" s="3">
        <f>[1]节奏总纲!BD310</f>
        <v>51.793406533487271</v>
      </c>
      <c r="AS311" s="3">
        <f>[1]节奏总纲!BE310</f>
        <v>56.498882833513441</v>
      </c>
    </row>
    <row r="312" spans="17:45">
      <c r="Q312" s="3">
        <v>308</v>
      </c>
      <c r="R312" s="3">
        <f>[1]节奏总纲!AD311</f>
        <v>82.707528002816446</v>
      </c>
      <c r="S312" s="3">
        <f>[1]节奏总纲!AE311</f>
        <v>84.818154936841154</v>
      </c>
      <c r="T312" s="3">
        <f>[1]节奏总纲!AF311</f>
        <v>87.760710126422126</v>
      </c>
      <c r="U312" s="3">
        <f>[1]节奏总纲!AG311</f>
        <v>92.823296731843911</v>
      </c>
      <c r="V312" s="3">
        <f>[1]节奏总纲!AH311</f>
        <v>101.72385492023999</v>
      </c>
      <c r="AN312" s="3">
        <v>308</v>
      </c>
      <c r="AO312" s="3">
        <f>[1]节奏总纲!BA311</f>
        <v>45.601440002835695</v>
      </c>
      <c r="AP312" s="3">
        <f>[1]节奏总纲!BB311</f>
        <v>47.12024662670057</v>
      </c>
      <c r="AQ312" s="3">
        <f>[1]节奏总纲!BC311</f>
        <v>49.071652830790612</v>
      </c>
      <c r="AR312" s="3">
        <f>[1]节奏总纲!BD311</f>
        <v>51.816512301406114</v>
      </c>
      <c r="AS312" s="3">
        <f>[1]节奏总纲!BE311</f>
        <v>56.521090582896548</v>
      </c>
    </row>
    <row r="313" spans="17:45">
      <c r="Q313" s="3">
        <v>309</v>
      </c>
      <c r="R313" s="3">
        <f>[1]节奏总纲!AD312</f>
        <v>82.754907466168319</v>
      </c>
      <c r="S313" s="3">
        <f>[1]节奏总纲!AE312</f>
        <v>84.867027647641493</v>
      </c>
      <c r="T313" s="3">
        <f>[1]节奏总纲!AF312</f>
        <v>87.809481882083716</v>
      </c>
      <c r="U313" s="3">
        <f>[1]节奏总纲!AG312</f>
        <v>92.873407689191168</v>
      </c>
      <c r="V313" s="3">
        <f>[1]节奏总纲!AH312</f>
        <v>101.77350999138899</v>
      </c>
      <c r="AN313" s="3">
        <v>309</v>
      </c>
      <c r="AO313" s="3">
        <f>[1]节奏总纲!BA312</f>
        <v>45.623756886057798</v>
      </c>
      <c r="AP313" s="3">
        <f>[1]节奏总纲!BB312</f>
        <v>47.14103416502347</v>
      </c>
      <c r="AQ313" s="3">
        <f>[1]节奏总纲!BC312</f>
        <v>49.09231260978715</v>
      </c>
      <c r="AR313" s="3">
        <f>[1]节奏总纲!BD312</f>
        <v>51.839618069324963</v>
      </c>
      <c r="AS313" s="3">
        <f>[1]节奏总纲!BE312</f>
        <v>56.543298332279662</v>
      </c>
    </row>
    <row r="314" spans="17:45">
      <c r="Q314" s="3">
        <v>310</v>
      </c>
      <c r="R314" s="3">
        <f>[1]节奏总纲!AD313</f>
        <v>82.802286929520193</v>
      </c>
      <c r="S314" s="3">
        <f>[1]节奏总纲!AE313</f>
        <v>84.915900358441817</v>
      </c>
      <c r="T314" s="3">
        <f>[1]节奏总纲!AF313</f>
        <v>87.858253637745307</v>
      </c>
      <c r="U314" s="3">
        <f>[1]节奏总纲!AG313</f>
        <v>92.923518646538426</v>
      </c>
      <c r="V314" s="3">
        <f>[1]节奏总纲!AH313</f>
        <v>101.82316506253801</v>
      </c>
      <c r="AN314" s="3">
        <v>310</v>
      </c>
      <c r="AO314" s="3">
        <f>[1]节奏总纲!BA313</f>
        <v>45.646073769279901</v>
      </c>
      <c r="AP314" s="3">
        <f>[1]节奏总纲!BB313</f>
        <v>47.161821703346362</v>
      </c>
      <c r="AQ314" s="3">
        <f>[1]节奏总纲!BC313</f>
        <v>49.112972388783689</v>
      </c>
      <c r="AR314" s="3">
        <f>[1]节奏总纲!BD313</f>
        <v>51.862723837243806</v>
      </c>
      <c r="AS314" s="3">
        <f>[1]节奏总纲!BE313</f>
        <v>56.565506081662768</v>
      </c>
    </row>
    <row r="315" spans="17:45">
      <c r="Q315" s="3">
        <v>311</v>
      </c>
      <c r="R315" s="3">
        <f>[1]节奏总纲!AD314</f>
        <v>82.849666392872066</v>
      </c>
      <c r="S315" s="3">
        <f>[1]节奏总纲!AE314</f>
        <v>84.964773069242142</v>
      </c>
      <c r="T315" s="3">
        <f>[1]节奏总纲!AF314</f>
        <v>87.907025393406897</v>
      </c>
      <c r="U315" s="3">
        <f>[1]节奏总纲!AG314</f>
        <v>92.973629603885698</v>
      </c>
      <c r="V315" s="3">
        <f>[1]节奏总纲!AH314</f>
        <v>101.87282013368701</v>
      </c>
      <c r="AN315" s="3">
        <v>311</v>
      </c>
      <c r="AO315" s="3">
        <f>[1]节奏总纲!BA314</f>
        <v>45.668390652502012</v>
      </c>
      <c r="AP315" s="3">
        <f>[1]节奏总纲!BB314</f>
        <v>47.182609241669255</v>
      </c>
      <c r="AQ315" s="3">
        <f>[1]节奏总纲!BC314</f>
        <v>49.133632167780227</v>
      </c>
      <c r="AR315" s="3">
        <f>[1]节奏总纲!BD314</f>
        <v>51.885829605162655</v>
      </c>
      <c r="AS315" s="3">
        <f>[1]节奏总纲!BE314</f>
        <v>56.587713831045875</v>
      </c>
    </row>
    <row r="316" spans="17:45">
      <c r="Q316" s="3">
        <v>312</v>
      </c>
      <c r="R316" s="3">
        <f>[1]节奏总纲!AD315</f>
        <v>82.89704585622394</v>
      </c>
      <c r="S316" s="3">
        <f>[1]节奏总纲!AE315</f>
        <v>85.012531647506819</v>
      </c>
      <c r="T316" s="3">
        <f>[1]节奏总纲!AF315</f>
        <v>87.955797149068502</v>
      </c>
      <c r="U316" s="3">
        <f>[1]节奏总纲!AG315</f>
        <v>93.022367647203353</v>
      </c>
      <c r="V316" s="3">
        <f>[1]节奏总纲!AH315</f>
        <v>101.92247520483603</v>
      </c>
      <c r="AN316" s="3">
        <v>312</v>
      </c>
      <c r="AO316" s="3">
        <f>[1]节奏总纲!BA315</f>
        <v>45.690707535724115</v>
      </c>
      <c r="AP316" s="3">
        <f>[1]节奏总纲!BB315</f>
        <v>47.203396779992147</v>
      </c>
      <c r="AQ316" s="3">
        <f>[1]节奏总纲!BC315</f>
        <v>49.154291946776759</v>
      </c>
      <c r="AR316" s="3">
        <f>[1]节奏总纲!BD315</f>
        <v>51.908935373081505</v>
      </c>
      <c r="AS316" s="3">
        <f>[1]节奏总纲!BE315</f>
        <v>56.609921580428981</v>
      </c>
    </row>
    <row r="317" spans="17:45">
      <c r="Q317" s="3">
        <v>313</v>
      </c>
      <c r="R317" s="3">
        <f>[1]节奏总纲!AD316</f>
        <v>82.944425319575814</v>
      </c>
      <c r="S317" s="3">
        <f>[1]节奏总纲!AE316</f>
        <v>85.057414064088832</v>
      </c>
      <c r="T317" s="3">
        <f>[1]节奏总纲!AF316</f>
        <v>88.004756197276762</v>
      </c>
      <c r="U317" s="3">
        <f>[1]节奏总纲!AG316</f>
        <v>93.069580693431178</v>
      </c>
      <c r="V317" s="3">
        <f>[1]节奏总纲!AH316</f>
        <v>101.97213027598504</v>
      </c>
      <c r="AN317" s="3">
        <v>313</v>
      </c>
      <c r="AO317" s="3">
        <f>[1]节奏总纲!BA316</f>
        <v>45.713024418946219</v>
      </c>
      <c r="AP317" s="3">
        <f>[1]节奏总纲!BB316</f>
        <v>47.224184318315039</v>
      </c>
      <c r="AQ317" s="3">
        <f>[1]节奏总纲!BC316</f>
        <v>49.174951725773298</v>
      </c>
      <c r="AR317" s="3">
        <f>[1]节奏总纲!BD316</f>
        <v>51.932041141000347</v>
      </c>
      <c r="AS317" s="3">
        <f>[1]节奏总纲!BE316</f>
        <v>56.632129329812095</v>
      </c>
    </row>
    <row r="318" spans="17:45">
      <c r="Q318" s="3">
        <v>314</v>
      </c>
      <c r="R318" s="3">
        <f>[1]节奏总纲!AD317</f>
        <v>82.991804782927687</v>
      </c>
      <c r="S318" s="3">
        <f>[1]节奏总纲!AE317</f>
        <v>85.10229648067083</v>
      </c>
      <c r="T318" s="3">
        <f>[1]节奏总纲!AF317</f>
        <v>88.05552724748766</v>
      </c>
      <c r="U318" s="3">
        <f>[1]节奏总纲!AG317</f>
        <v>93.116793739659002</v>
      </c>
      <c r="V318" s="3">
        <f>[1]节奏总纲!AH317</f>
        <v>102.01969836502204</v>
      </c>
      <c r="AN318" s="3">
        <v>314</v>
      </c>
      <c r="AO318" s="3">
        <f>[1]节奏总纲!BA317</f>
        <v>45.735341302168322</v>
      </c>
      <c r="AP318" s="3">
        <f>[1]节奏总纲!BB317</f>
        <v>47.244971856637939</v>
      </c>
      <c r="AQ318" s="3">
        <f>[1]节奏总纲!BC317</f>
        <v>49.195611504769836</v>
      </c>
      <c r="AR318" s="3">
        <f>[1]节奏总纲!BD317</f>
        <v>51.955146908919197</v>
      </c>
      <c r="AS318" s="3">
        <f>[1]节奏总纲!BE317</f>
        <v>56.654337079195201</v>
      </c>
    </row>
    <row r="319" spans="17:45">
      <c r="Q319" s="3">
        <v>315</v>
      </c>
      <c r="R319" s="3">
        <f>[1]节奏总纲!AD318</f>
        <v>83.03656019452734</v>
      </c>
      <c r="S319" s="3">
        <f>[1]节奏总纲!AE318</f>
        <v>85.147178897252829</v>
      </c>
      <c r="T319" s="3">
        <f>[1]节奏总纲!AF318</f>
        <v>88.106298297698572</v>
      </c>
      <c r="U319" s="3">
        <f>[1]节奏总纲!AG318</f>
        <v>93.164006785886826</v>
      </c>
      <c r="V319" s="3">
        <f>[1]节奏总纲!AH318</f>
        <v>102.06459660376342</v>
      </c>
      <c r="AN319" s="3">
        <v>315</v>
      </c>
      <c r="AO319" s="3">
        <f>[1]节奏总纲!BA318</f>
        <v>45.757658185390426</v>
      </c>
      <c r="AP319" s="3">
        <f>[1]节奏总纲!BB318</f>
        <v>47.265759394960831</v>
      </c>
      <c r="AQ319" s="3">
        <f>[1]节奏总纲!BC318</f>
        <v>49.216271283766375</v>
      </c>
      <c r="AR319" s="3">
        <f>[1]节奏总纲!BD318</f>
        <v>51.978252676838039</v>
      </c>
      <c r="AS319" s="3">
        <f>[1]节奏总纲!BE318</f>
        <v>56.676544828578308</v>
      </c>
    </row>
    <row r="320" spans="17:45">
      <c r="Q320" s="3">
        <v>316</v>
      </c>
      <c r="R320" s="3">
        <f>[1]节奏总纲!AD319</f>
        <v>83.080766796955942</v>
      </c>
      <c r="S320" s="3">
        <f>[1]节奏总纲!AE319</f>
        <v>85.192061313834827</v>
      </c>
      <c r="T320" s="3">
        <f>[1]节奏总纲!AF319</f>
        <v>88.15706934790947</v>
      </c>
      <c r="U320" s="3">
        <f>[1]节奏总纲!AG319</f>
        <v>93.211219832114651</v>
      </c>
      <c r="V320" s="3">
        <f>[1]节奏总纲!AH319</f>
        <v>102.1094948425048</v>
      </c>
      <c r="AN320" s="3">
        <v>316</v>
      </c>
      <c r="AO320" s="3">
        <f>[1]节奏总纲!BA319</f>
        <v>45.779975068612529</v>
      </c>
      <c r="AP320" s="3">
        <f>[1]节奏总纲!BB319</f>
        <v>47.286546933283724</v>
      </c>
      <c r="AQ320" s="3">
        <f>[1]节奏总纲!BC319</f>
        <v>49.236931062762913</v>
      </c>
      <c r="AR320" s="3">
        <f>[1]节奏总纲!BD319</f>
        <v>52.001173105835825</v>
      </c>
      <c r="AS320" s="3">
        <f>[1]节奏总纲!BE319</f>
        <v>56.698752577961415</v>
      </c>
    </row>
    <row r="321" spans="17:45">
      <c r="Q321" s="3">
        <v>317</v>
      </c>
      <c r="R321" s="3">
        <f>[1]节奏总纲!AD320</f>
        <v>83.124973399384558</v>
      </c>
      <c r="S321" s="3">
        <f>[1]节奏总纲!AE320</f>
        <v>85.236943730416826</v>
      </c>
      <c r="T321" s="3">
        <f>[1]节奏总纲!AF320</f>
        <v>88.207840398120382</v>
      </c>
      <c r="U321" s="3">
        <f>[1]节奏总纲!AG320</f>
        <v>93.258432878342475</v>
      </c>
      <c r="V321" s="3">
        <f>[1]节奏总纲!AH320</f>
        <v>102.15439308124618</v>
      </c>
      <c r="AN321" s="3">
        <v>317</v>
      </c>
      <c r="AO321" s="3">
        <f>[1]节奏总纲!BA320</f>
        <v>45.802291951834633</v>
      </c>
      <c r="AP321" s="3">
        <f>[1]节奏总纲!BB320</f>
        <v>47.307334471606616</v>
      </c>
      <c r="AQ321" s="3">
        <f>[1]节奏总纲!BC320</f>
        <v>49.257590841759445</v>
      </c>
      <c r="AR321" s="3">
        <f>[1]节奏总纲!BD320</f>
        <v>52.021126446631868</v>
      </c>
      <c r="AS321" s="3">
        <f>[1]节奏总纲!BE320</f>
        <v>56.720960327344528</v>
      </c>
    </row>
    <row r="322" spans="17:45">
      <c r="Q322" s="3">
        <v>318</v>
      </c>
      <c r="R322" s="3">
        <f>[1]节奏总纲!AD321</f>
        <v>83.16918000181316</v>
      </c>
      <c r="S322" s="3">
        <f>[1]节奏总纲!AE321</f>
        <v>85.281826146998839</v>
      </c>
      <c r="T322" s="3">
        <f>[1]节奏总纲!AF321</f>
        <v>88.258611448331294</v>
      </c>
      <c r="U322" s="3">
        <f>[1]节奏总纲!AG321</f>
        <v>93.3056459245703</v>
      </c>
      <c r="V322" s="3">
        <f>[1]节奏总纲!AH321</f>
        <v>102.19929131998755</v>
      </c>
      <c r="AN322" s="3">
        <v>318</v>
      </c>
      <c r="AO322" s="3">
        <f>[1]节奏总纲!BA321</f>
        <v>45.824608835056736</v>
      </c>
      <c r="AP322" s="3">
        <f>[1]节奏总纲!BB321</f>
        <v>47.328122009929508</v>
      </c>
      <c r="AQ322" s="3">
        <f>[1]节奏总纲!BC321</f>
        <v>49.278250620755983</v>
      </c>
      <c r="AR322" s="3">
        <f>[1]节奏总纲!BD321</f>
        <v>52.041079787427918</v>
      </c>
      <c r="AS322" s="3">
        <f>[1]节奏总纲!BE321</f>
        <v>56.743168076727635</v>
      </c>
    </row>
    <row r="323" spans="17:45">
      <c r="Q323" s="3">
        <v>319</v>
      </c>
      <c r="R323" s="3">
        <f>[1]节奏总纲!AD322</f>
        <v>83.213386604241776</v>
      </c>
      <c r="S323" s="3">
        <f>[1]节奏总纲!AE322</f>
        <v>85.326708563580837</v>
      </c>
      <c r="T323" s="3">
        <f>[1]节奏总纲!AF322</f>
        <v>88.309382498542192</v>
      </c>
      <c r="U323" s="3">
        <f>[1]节奏总纲!AG322</f>
        <v>93.352858970798124</v>
      </c>
      <c r="V323" s="3">
        <f>[1]节奏总纲!AH322</f>
        <v>102.24418955872893</v>
      </c>
      <c r="AN323" s="3">
        <v>319</v>
      </c>
      <c r="AO323" s="3">
        <f>[1]节奏总纲!BA322</f>
        <v>45.84692571827884</v>
      </c>
      <c r="AP323" s="3">
        <f>[1]节奏总纲!BB322</f>
        <v>47.348909548252408</v>
      </c>
      <c r="AQ323" s="3">
        <f>[1]节奏总纲!BC322</f>
        <v>49.298910399752522</v>
      </c>
      <c r="AR323" s="3">
        <f>[1]节奏总纲!BD322</f>
        <v>52.061033128223968</v>
      </c>
      <c r="AS323" s="3">
        <f>[1]节奏总纲!BE322</f>
        <v>56.765375826110741</v>
      </c>
    </row>
    <row r="324" spans="17:45">
      <c r="Q324" s="3">
        <v>320</v>
      </c>
      <c r="R324" s="3">
        <f>[1]节奏总纲!AD323</f>
        <v>83.257593206670379</v>
      </c>
      <c r="S324" s="3">
        <f>[1]节奏总纲!AE323</f>
        <v>85.371590980162836</v>
      </c>
      <c r="T324" s="3">
        <f>[1]节奏总纲!AF323</f>
        <v>88.360153548753104</v>
      </c>
      <c r="U324" s="3">
        <f>[1]节奏总纲!AG323</f>
        <v>93.400072017025948</v>
      </c>
      <c r="V324" s="3">
        <f>[1]节奏总纲!AH323</f>
        <v>102.28908779747032</v>
      </c>
      <c r="AN324" s="3">
        <v>320</v>
      </c>
      <c r="AO324" s="3">
        <f>[1]节奏总纲!BA323</f>
        <v>45.869242601500943</v>
      </c>
      <c r="AP324" s="3">
        <f>[1]节奏总纲!BB323</f>
        <v>47.3696970865753</v>
      </c>
      <c r="AQ324" s="3">
        <f>[1]节奏总纲!BC323</f>
        <v>49.319570178749061</v>
      </c>
      <c r="AR324" s="3">
        <f>[1]节奏总纲!BD323</f>
        <v>52.080986469020011</v>
      </c>
      <c r="AS324" s="3">
        <f>[1]节奏总纲!BE323</f>
        <v>56.787583575493848</v>
      </c>
    </row>
    <row r="325" spans="17:45">
      <c r="Q325" s="3">
        <v>321</v>
      </c>
      <c r="R325" s="3">
        <f>[1]节奏总纲!AD324</f>
        <v>83.301799809098995</v>
      </c>
      <c r="S325" s="3">
        <f>[1]节奏总纲!AE324</f>
        <v>85.416473396744834</v>
      </c>
      <c r="T325" s="3">
        <f>[1]节奏总纲!AF324</f>
        <v>88.410924598964016</v>
      </c>
      <c r="U325" s="3">
        <f>[1]节奏总纲!AG324</f>
        <v>93.447285063253773</v>
      </c>
      <c r="V325" s="3">
        <f>[1]节奏总纲!AH324</f>
        <v>102.3339860362117</v>
      </c>
      <c r="AN325" s="3">
        <v>321</v>
      </c>
      <c r="AO325" s="3">
        <f>[1]节奏总纲!BA324</f>
        <v>45.891559484723047</v>
      </c>
      <c r="AP325" s="3">
        <f>[1]节奏总纲!BB324</f>
        <v>47.390484624898193</v>
      </c>
      <c r="AQ325" s="3">
        <f>[1]节奏总纲!BC324</f>
        <v>49.340229957745592</v>
      </c>
      <c r="AR325" s="3">
        <f>[1]节奏总纲!BD324</f>
        <v>52.100939809816062</v>
      </c>
      <c r="AS325" s="3">
        <f>[1]节奏总纲!BE324</f>
        <v>56.809791324876961</v>
      </c>
    </row>
    <row r="326" spans="17:45">
      <c r="Q326" s="3">
        <v>322</v>
      </c>
      <c r="R326" s="3">
        <f>[1]节奏总纲!AD325</f>
        <v>83.346006411527597</v>
      </c>
      <c r="S326" s="3">
        <f>[1]节奏总纲!AE325</f>
        <v>85.461355813326847</v>
      </c>
      <c r="T326" s="3">
        <f>[1]节奏总纲!AF325</f>
        <v>88.461695649174914</v>
      </c>
      <c r="U326" s="3">
        <f>[1]节奏总纲!AG325</f>
        <v>93.494498109481597</v>
      </c>
      <c r="V326" s="3">
        <f>[1]节奏总纲!AH325</f>
        <v>102.37888427495307</v>
      </c>
      <c r="AN326" s="3">
        <v>322</v>
      </c>
      <c r="AO326" s="3">
        <f>[1]节奏总纲!BA325</f>
        <v>45.91387636794515</v>
      </c>
      <c r="AP326" s="3">
        <f>[1]节奏总纲!BB325</f>
        <v>47.411272163221085</v>
      </c>
      <c r="AQ326" s="3">
        <f>[1]节奏总纲!BC325</f>
        <v>49.360889736742131</v>
      </c>
      <c r="AR326" s="3">
        <f>[1]节奏总纲!BD325</f>
        <v>52.120893150612112</v>
      </c>
      <c r="AS326" s="3">
        <f>[1]节奏总纲!BE325</f>
        <v>56.831999074260068</v>
      </c>
    </row>
    <row r="327" spans="17:45">
      <c r="Q327" s="3">
        <v>323</v>
      </c>
      <c r="R327" s="3">
        <f>[1]节奏总纲!AD326</f>
        <v>83.390213013956213</v>
      </c>
      <c r="S327" s="3">
        <f>[1]节奏总纲!AE326</f>
        <v>85.506238229908845</v>
      </c>
      <c r="T327" s="3">
        <f>[1]节奏总纲!AF326</f>
        <v>88.512466699385826</v>
      </c>
      <c r="U327" s="3">
        <f>[1]节奏总纲!AG326</f>
        <v>93.541711155709422</v>
      </c>
      <c r="V327" s="3">
        <f>[1]节奏总纲!AH326</f>
        <v>102.42378251369445</v>
      </c>
      <c r="AN327" s="3">
        <v>323</v>
      </c>
      <c r="AO327" s="3">
        <f>[1]节奏总纲!BA326</f>
        <v>45.936193251167253</v>
      </c>
      <c r="AP327" s="3">
        <f>[1]节奏总纲!BB326</f>
        <v>47.432059701543984</v>
      </c>
      <c r="AQ327" s="3">
        <f>[1]节奏总纲!BC326</f>
        <v>49.381549515738669</v>
      </c>
      <c r="AR327" s="3">
        <f>[1]节奏总纲!BD326</f>
        <v>52.140846491408155</v>
      </c>
      <c r="AS327" s="3">
        <f>[1]节奏总纲!BE326</f>
        <v>56.854206823643175</v>
      </c>
    </row>
    <row r="328" spans="17:45">
      <c r="Q328" s="3">
        <v>324</v>
      </c>
      <c r="R328" s="3">
        <f>[1]节奏总纲!AD327</f>
        <v>83.434419616384815</v>
      </c>
      <c r="S328" s="3">
        <f>[1]节奏总纲!AE327</f>
        <v>85.551120646490844</v>
      </c>
      <c r="T328" s="3">
        <f>[1]节奏总纲!AF327</f>
        <v>88.563237749596723</v>
      </c>
      <c r="U328" s="3">
        <f>[1]节奏总纲!AG327</f>
        <v>93.588924201937246</v>
      </c>
      <c r="V328" s="3">
        <f>[1]节奏总纲!AH327</f>
        <v>102.46868075243583</v>
      </c>
      <c r="AN328" s="3">
        <v>324</v>
      </c>
      <c r="AO328" s="3">
        <f>[1]节奏总纲!BA327</f>
        <v>45.958510134389357</v>
      </c>
      <c r="AP328" s="3">
        <f>[1]节奏总纲!BB327</f>
        <v>47.452847239866877</v>
      </c>
      <c r="AQ328" s="3">
        <f>[1]节奏总纲!BC327</f>
        <v>49.402209294735208</v>
      </c>
      <c r="AR328" s="3">
        <f>[1]节奏总纲!BD327</f>
        <v>52.160799832204205</v>
      </c>
      <c r="AS328" s="3">
        <f>[1]节奏总纲!BE327</f>
        <v>56.876414573026281</v>
      </c>
    </row>
    <row r="329" spans="17:45">
      <c r="Q329" s="3">
        <v>325</v>
      </c>
      <c r="R329" s="3">
        <f>[1]节奏总纲!AD328</f>
        <v>83.478626218813432</v>
      </c>
      <c r="S329" s="3">
        <f>[1]节奏总纲!AE328</f>
        <v>85.596003063072843</v>
      </c>
      <c r="T329" s="3">
        <f>[1]节奏总纲!AF328</f>
        <v>88.614008799807635</v>
      </c>
      <c r="U329" s="3">
        <f>[1]节奏总纲!AG328</f>
        <v>93.63613724816507</v>
      </c>
      <c r="V329" s="3">
        <f>[1]节奏总纲!AH328</f>
        <v>102.51357899117721</v>
      </c>
      <c r="AN329" s="3">
        <v>325</v>
      </c>
      <c r="AO329" s="3">
        <f>[1]节奏总纲!BA328</f>
        <v>45.98082701761146</v>
      </c>
      <c r="AP329" s="3">
        <f>[1]节奏总纲!BB328</f>
        <v>47.473634778189769</v>
      </c>
      <c r="AQ329" s="3">
        <f>[1]节奏总纲!BC328</f>
        <v>49.422869073731739</v>
      </c>
      <c r="AR329" s="3">
        <f>[1]节奏总纲!BD328</f>
        <v>52.180753173000248</v>
      </c>
      <c r="AS329" s="3">
        <f>[1]节奏总纲!BE328</f>
        <v>56.898622322409395</v>
      </c>
    </row>
    <row r="330" spans="17:45">
      <c r="Q330" s="3">
        <v>326</v>
      </c>
      <c r="R330" s="3">
        <f>[1]节奏总纲!AD329</f>
        <v>83.522832821242034</v>
      </c>
      <c r="S330" s="3">
        <f>[1]节奏总纲!AE329</f>
        <v>85.640885479654855</v>
      </c>
      <c r="T330" s="3">
        <f>[1]节奏总纲!AF329</f>
        <v>88.664779850018547</v>
      </c>
      <c r="U330" s="3">
        <f>[1]节奏总纲!AG329</f>
        <v>93.683350294392895</v>
      </c>
      <c r="V330" s="3">
        <f>[1]节奏总纲!AH329</f>
        <v>102.55847722991859</v>
      </c>
      <c r="AN330" s="3">
        <v>326</v>
      </c>
      <c r="AO330" s="3">
        <f>[1]节奏总纲!BA329</f>
        <v>46.002713830586146</v>
      </c>
      <c r="AP330" s="3">
        <f>[1]节奏总纲!BB329</f>
        <v>47.494422316512662</v>
      </c>
      <c r="AQ330" s="3">
        <f>[1]节奏总纲!BC329</f>
        <v>49.443528852728278</v>
      </c>
      <c r="AR330" s="3">
        <f>[1]节奏总纲!BD329</f>
        <v>52.200706513796298</v>
      </c>
      <c r="AS330" s="3">
        <f>[1]节奏总纲!BE329</f>
        <v>56.920830071792501</v>
      </c>
    </row>
    <row r="331" spans="17:45">
      <c r="Q331" s="3">
        <v>327</v>
      </c>
      <c r="R331" s="3">
        <f>[1]节奏总纲!AD330</f>
        <v>83.56703942367065</v>
      </c>
      <c r="S331" s="3">
        <f>[1]节奏总纲!AE330</f>
        <v>85.685767896236854</v>
      </c>
      <c r="T331" s="3">
        <f>[1]节奏总纲!AF330</f>
        <v>88.715550900229445</v>
      </c>
      <c r="U331" s="3">
        <f>[1]节奏总纲!AG330</f>
        <v>93.730563340620719</v>
      </c>
      <c r="V331" s="3">
        <f>[1]节奏总纲!AH330</f>
        <v>102.60337546865996</v>
      </c>
      <c r="AN331" s="3">
        <v>327</v>
      </c>
      <c r="AO331" s="3">
        <f>[1]节奏总纲!BA330</f>
        <v>46.021977873404879</v>
      </c>
      <c r="AP331" s="3">
        <f>[1]节奏总纲!BB330</f>
        <v>47.515209854835554</v>
      </c>
      <c r="AQ331" s="3">
        <f>[1]节奏总纲!BC330</f>
        <v>49.464188631724817</v>
      </c>
      <c r="AR331" s="3">
        <f>[1]节奏总纲!BD330</f>
        <v>52.220659854592348</v>
      </c>
      <c r="AS331" s="3">
        <f>[1]节奏总纲!BE330</f>
        <v>56.943037821175608</v>
      </c>
    </row>
    <row r="332" spans="17:45">
      <c r="Q332" s="3">
        <v>328</v>
      </c>
      <c r="R332" s="3">
        <f>[1]节奏总纲!AD331</f>
        <v>83.611246026099252</v>
      </c>
      <c r="S332" s="3">
        <f>[1]节奏总纲!AE331</f>
        <v>85.730650312818852</v>
      </c>
      <c r="T332" s="3">
        <f>[1]节奏总纲!AF331</f>
        <v>88.766321950440357</v>
      </c>
      <c r="U332" s="3">
        <f>[1]节奏总纲!AG331</f>
        <v>93.777776386848544</v>
      </c>
      <c r="V332" s="3">
        <f>[1]节奏总纲!AH331</f>
        <v>102.64827370740134</v>
      </c>
      <c r="AN332" s="3">
        <v>328</v>
      </c>
      <c r="AO332" s="3">
        <f>[1]节奏总纲!BA331</f>
        <v>46.041241916223605</v>
      </c>
      <c r="AP332" s="3">
        <f>[1]节奏总纲!BB331</f>
        <v>47.535997393158453</v>
      </c>
      <c r="AQ332" s="3">
        <f>[1]节奏总纲!BC331</f>
        <v>49.484848410721355</v>
      </c>
      <c r="AR332" s="3">
        <f>[1]节奏总纲!BD331</f>
        <v>52.240613195388391</v>
      </c>
      <c r="AS332" s="3">
        <f>[1]节奏总纲!BE331</f>
        <v>56.965245570558714</v>
      </c>
    </row>
    <row r="333" spans="17:45">
      <c r="Q333" s="3">
        <v>329</v>
      </c>
      <c r="R333" s="3">
        <f>[1]节奏总纲!AD332</f>
        <v>83.655452628527868</v>
      </c>
      <c r="S333" s="3">
        <f>[1]节奏总纲!AE332</f>
        <v>85.775532729400851</v>
      </c>
      <c r="T333" s="3">
        <f>[1]节奏总纲!AF332</f>
        <v>88.817093000651269</v>
      </c>
      <c r="U333" s="3">
        <f>[1]节奏总纲!AG332</f>
        <v>93.824989433076368</v>
      </c>
      <c r="V333" s="3">
        <f>[1]节奏总纲!AH332</f>
        <v>102.69317194614273</v>
      </c>
      <c r="AN333" s="3">
        <v>329</v>
      </c>
      <c r="AO333" s="3">
        <f>[1]节奏总纲!BA332</f>
        <v>46.060505959042331</v>
      </c>
      <c r="AP333" s="3">
        <f>[1]节奏总纲!BB332</f>
        <v>47.556784931481346</v>
      </c>
      <c r="AQ333" s="3">
        <f>[1]节奏总纲!BC332</f>
        <v>49.505508189717887</v>
      </c>
      <c r="AR333" s="3">
        <f>[1]节奏总纲!BD332</f>
        <v>52.260566536184442</v>
      </c>
      <c r="AS333" s="3">
        <f>[1]节奏总纲!BE332</f>
        <v>56.987453319941828</v>
      </c>
    </row>
    <row r="334" spans="17:45">
      <c r="Q334" s="3">
        <v>330</v>
      </c>
      <c r="R334" s="3">
        <f>[1]节奏总纲!AD333</f>
        <v>83.69965923095647</v>
      </c>
      <c r="S334" s="3">
        <f>[1]节奏总纲!AE333</f>
        <v>85.820415145982849</v>
      </c>
      <c r="T334" s="3">
        <f>[1]节奏总纲!AF333</f>
        <v>88.867864050862167</v>
      </c>
      <c r="U334" s="3">
        <f>[1]节奏总纲!AG333</f>
        <v>93.872202479304192</v>
      </c>
      <c r="V334" s="3">
        <f>[1]节奏总纲!AH333</f>
        <v>102.73807018488411</v>
      </c>
      <c r="AN334" s="3">
        <v>330</v>
      </c>
      <c r="AO334" s="3">
        <f>[1]节奏总纲!BA333</f>
        <v>46.079770001861057</v>
      </c>
      <c r="AP334" s="3">
        <f>[1]节奏总纲!BB333</f>
        <v>47.577572469804238</v>
      </c>
      <c r="AQ334" s="3">
        <f>[1]节奏总纲!BC333</f>
        <v>49.526167968714425</v>
      </c>
      <c r="AR334" s="3">
        <f>[1]节奏总纲!BD333</f>
        <v>52.280519876980485</v>
      </c>
      <c r="AS334" s="3">
        <f>[1]节奏总纲!BE333</f>
        <v>57.008345591208631</v>
      </c>
    </row>
    <row r="335" spans="17:45">
      <c r="Q335" s="3">
        <v>331</v>
      </c>
      <c r="R335" s="3">
        <f>[1]节奏总纲!AD334</f>
        <v>83.743865833385087</v>
      </c>
      <c r="S335" s="3">
        <f>[1]节奏总纲!AE334</f>
        <v>85.865297562564862</v>
      </c>
      <c r="T335" s="3">
        <f>[1]节奏总纲!AF334</f>
        <v>88.918635101073079</v>
      </c>
      <c r="U335" s="3">
        <f>[1]节奏总纲!AG334</f>
        <v>93.919415525532017</v>
      </c>
      <c r="V335" s="3">
        <f>[1]节奏总纲!AH334</f>
        <v>102.78296842362549</v>
      </c>
      <c r="AN335" s="3">
        <v>331</v>
      </c>
      <c r="AO335" s="3">
        <f>[1]节奏总纲!BA334</f>
        <v>46.099034044679783</v>
      </c>
      <c r="AP335" s="3">
        <f>[1]节奏总纲!BB334</f>
        <v>47.598360008127131</v>
      </c>
      <c r="AQ335" s="3">
        <f>[1]节奏总纲!BC334</f>
        <v>49.546827747710964</v>
      </c>
      <c r="AR335" s="3">
        <f>[1]节奏总纲!BD334</f>
        <v>52.300473217776535</v>
      </c>
      <c r="AS335" s="3">
        <f>[1]节奏总纲!BE334</f>
        <v>57.027529471561998</v>
      </c>
    </row>
    <row r="336" spans="17:45">
      <c r="Q336" s="3">
        <v>332</v>
      </c>
      <c r="R336" s="3">
        <f>[1]节奏总纲!AD335</f>
        <v>83.788072435813689</v>
      </c>
      <c r="S336" s="3">
        <f>[1]节奏总纲!AE335</f>
        <v>85.910179979146861</v>
      </c>
      <c r="T336" s="3">
        <f>[1]节奏总纲!AF335</f>
        <v>88.969406151283977</v>
      </c>
      <c r="U336" s="3">
        <f>[1]节奏总纲!AG335</f>
        <v>93.966628571759841</v>
      </c>
      <c r="V336" s="3">
        <f>[1]节奏总纲!AH335</f>
        <v>102.82786666236686</v>
      </c>
      <c r="AN336" s="3">
        <v>332</v>
      </c>
      <c r="AO336" s="3">
        <f>[1]节奏总纲!BA335</f>
        <v>46.118298087498509</v>
      </c>
      <c r="AP336" s="3">
        <f>[1]节奏总纲!BB335</f>
        <v>47.619147546450023</v>
      </c>
      <c r="AQ336" s="3">
        <f>[1]节奏总纲!BC335</f>
        <v>49.567487526707502</v>
      </c>
      <c r="AR336" s="3">
        <f>[1]节奏总纲!BD335</f>
        <v>52.320426558572585</v>
      </c>
      <c r="AS336" s="3">
        <f>[1]节奏总纲!BE335</f>
        <v>57.046713351915365</v>
      </c>
    </row>
    <row r="337" spans="17:45">
      <c r="Q337" s="3">
        <v>333</v>
      </c>
      <c r="R337" s="3">
        <f>[1]节奏总纲!AD336</f>
        <v>83.832279038242305</v>
      </c>
      <c r="S337" s="3">
        <f>[1]节奏总纲!AE336</f>
        <v>85.955062395728859</v>
      </c>
      <c r="T337" s="3">
        <f>[1]节奏总纲!AF336</f>
        <v>89.018466905731287</v>
      </c>
      <c r="U337" s="3">
        <f>[1]节奏总纲!AG336</f>
        <v>94.012923283729691</v>
      </c>
      <c r="V337" s="3">
        <f>[1]节奏总纲!AH336</f>
        <v>102.87276490110824</v>
      </c>
      <c r="AN337" s="3">
        <v>333</v>
      </c>
      <c r="AO337" s="3">
        <f>[1]节奏总纲!BA336</f>
        <v>46.137562130317242</v>
      </c>
      <c r="AP337" s="3">
        <f>[1]节奏总纲!BB336</f>
        <v>47.639935084772922</v>
      </c>
      <c r="AQ337" s="3">
        <f>[1]节奏总纲!BC336</f>
        <v>49.588147305704041</v>
      </c>
      <c r="AR337" s="3">
        <f>[1]节奏总纲!BD336</f>
        <v>52.340379899368628</v>
      </c>
      <c r="AS337" s="3">
        <f>[1]节奏总纲!BE336</f>
        <v>57.065897232268732</v>
      </c>
    </row>
    <row r="338" spans="17:45">
      <c r="Q338" s="3">
        <v>334</v>
      </c>
      <c r="R338" s="3">
        <f>[1]节奏总纲!AD337</f>
        <v>83.876485640670907</v>
      </c>
      <c r="S338" s="3">
        <f>[1]节奏总纲!AE337</f>
        <v>85.999944812310858</v>
      </c>
      <c r="T338" s="3">
        <f>[1]节奏总纲!AF337</f>
        <v>89.064934410075779</v>
      </c>
      <c r="U338" s="3">
        <f>[1]节奏总纲!AG337</f>
        <v>94.057003939090123</v>
      </c>
      <c r="V338" s="3">
        <f>[1]节奏总纲!AH337</f>
        <v>102.91766313984962</v>
      </c>
      <c r="AN338" s="3">
        <v>334</v>
      </c>
      <c r="AO338" s="3">
        <f>[1]节奏总纲!BA337</f>
        <v>46.156826173135968</v>
      </c>
      <c r="AP338" s="3">
        <f>[1]节奏总纲!BB337</f>
        <v>47.660722623095815</v>
      </c>
      <c r="AQ338" s="3">
        <f>[1]节奏总纲!BC337</f>
        <v>49.608807084700572</v>
      </c>
      <c r="AR338" s="3">
        <f>[1]节奏总纲!BD337</f>
        <v>52.360333240164678</v>
      </c>
      <c r="AS338" s="3">
        <f>[1]节奏总纲!BE337</f>
        <v>57.085081112622099</v>
      </c>
    </row>
    <row r="339" spans="17:45">
      <c r="Q339" s="3">
        <v>335</v>
      </c>
      <c r="R339" s="3">
        <f>[1]节奏总纲!AD338</f>
        <v>83.920692243099523</v>
      </c>
      <c r="S339" s="3">
        <f>[1]节奏总纲!AE338</f>
        <v>86.041129946887025</v>
      </c>
      <c r="T339" s="3">
        <f>[1]节奏总纲!AF338</f>
        <v>89.11140191442027</v>
      </c>
      <c r="U339" s="3">
        <f>[1]节奏总纲!AG338</f>
        <v>94.101084594450555</v>
      </c>
      <c r="V339" s="3">
        <f>[1]节奏总纲!AH338</f>
        <v>102.962561378591</v>
      </c>
      <c r="AN339" s="3">
        <v>335</v>
      </c>
      <c r="AO339" s="3">
        <f>[1]节奏总纲!BA338</f>
        <v>46.176090215954694</v>
      </c>
      <c r="AP339" s="3">
        <f>[1]节奏总纲!BB338</f>
        <v>47.681510161418707</v>
      </c>
      <c r="AQ339" s="3">
        <f>[1]节奏总纲!BC338</f>
        <v>49.629466863697111</v>
      </c>
      <c r="AR339" s="3">
        <f>[1]节奏总纲!BD338</f>
        <v>52.380286580960728</v>
      </c>
      <c r="AS339" s="3">
        <f>[1]节奏总纲!BE338</f>
        <v>57.104264992975466</v>
      </c>
    </row>
    <row r="340" spans="17:45">
      <c r="Q340" s="3">
        <v>336</v>
      </c>
      <c r="R340" s="3">
        <f>[1]节奏总纲!AD339</f>
        <v>83.964898845528126</v>
      </c>
      <c r="S340" s="3">
        <f>[1]节奏总纲!AE339</f>
        <v>86.082310529666103</v>
      </c>
      <c r="T340" s="3">
        <f>[1]节奏总纲!AF339</f>
        <v>89.157869418764761</v>
      </c>
      <c r="U340" s="3">
        <f>[1]节奏总纲!AG339</f>
        <v>94.145165249810972</v>
      </c>
      <c r="V340" s="3">
        <f>[1]节奏总纲!AH339</f>
        <v>103.00673656424885</v>
      </c>
      <c r="AN340" s="3">
        <v>336</v>
      </c>
      <c r="AO340" s="3">
        <f>[1]节奏总纲!BA339</f>
        <v>46.19535425877342</v>
      </c>
      <c r="AP340" s="3">
        <f>[1]节奏总纲!BB339</f>
        <v>47.7022976997416</v>
      </c>
      <c r="AQ340" s="3">
        <f>[1]节奏总纲!BC339</f>
        <v>49.65012664269365</v>
      </c>
      <c r="AR340" s="3">
        <f>[1]节奏总纲!BD339</f>
        <v>52.400239921756771</v>
      </c>
      <c r="AS340" s="3">
        <f>[1]节奏总纲!BE339</f>
        <v>57.123448873328833</v>
      </c>
    </row>
    <row r="341" spans="17:45">
      <c r="Q341" s="3">
        <v>337</v>
      </c>
      <c r="R341" s="3">
        <f>[1]节奏总纲!AD340</f>
        <v>84.008495683346354</v>
      </c>
      <c r="S341" s="3">
        <f>[1]节奏总纲!AE340</f>
        <v>86.12349111244518</v>
      </c>
      <c r="T341" s="3">
        <f>[1]节奏总纲!AF340</f>
        <v>89.204336923109267</v>
      </c>
      <c r="U341" s="3">
        <f>[1]节奏总纲!AG340</f>
        <v>94.189245905171404</v>
      </c>
      <c r="V341" s="3">
        <f>[1]节奏总纲!AH340</f>
        <v>103.04728286259964</v>
      </c>
      <c r="AN341" s="3">
        <v>337</v>
      </c>
      <c r="AO341" s="3">
        <f>[1]节奏总纲!BA340</f>
        <v>46.214618301592147</v>
      </c>
      <c r="AP341" s="3">
        <f>[1]节奏总纲!BB340</f>
        <v>47.723085238064499</v>
      </c>
      <c r="AQ341" s="3">
        <f>[1]节奏总纲!BC340</f>
        <v>49.670786421690188</v>
      </c>
      <c r="AR341" s="3">
        <f>[1]节奏总纲!BD340</f>
        <v>52.420193262552822</v>
      </c>
      <c r="AS341" s="3">
        <f>[1]节奏总纲!BE340</f>
        <v>57.1426327536822</v>
      </c>
    </row>
    <row r="342" spans="17:45">
      <c r="Q342" s="3">
        <v>338</v>
      </c>
      <c r="R342" s="3">
        <f>[1]节奏总纲!AD341</f>
        <v>84.049741901856009</v>
      </c>
      <c r="S342" s="3">
        <f>[1]节奏总纲!AE341</f>
        <v>86.164671695224243</v>
      </c>
      <c r="T342" s="3">
        <f>[1]节奏总纲!AF341</f>
        <v>89.250804427453758</v>
      </c>
      <c r="U342" s="3">
        <f>[1]节奏总纲!AG341</f>
        <v>94.233326560531836</v>
      </c>
      <c r="V342" s="3">
        <f>[1]节奏总纲!AH341</f>
        <v>103.08782916095045</v>
      </c>
      <c r="AN342" s="3">
        <v>338</v>
      </c>
      <c r="AO342" s="3">
        <f>[1]节奏总纲!BA341</f>
        <v>46.23388234441088</v>
      </c>
      <c r="AP342" s="3">
        <f>[1]节奏总纲!BB341</f>
        <v>47.743872776387391</v>
      </c>
      <c r="AQ342" s="3">
        <f>[1]节奏总纲!BC341</f>
        <v>49.69144620068672</v>
      </c>
      <c r="AR342" s="3">
        <f>[1]节奏总纲!BD341</f>
        <v>52.440146603348865</v>
      </c>
      <c r="AS342" s="3">
        <f>[1]节奏总纲!BE341</f>
        <v>57.161816634035567</v>
      </c>
    </row>
    <row r="343" spans="17:45">
      <c r="Q343" s="3">
        <v>339</v>
      </c>
      <c r="R343" s="3">
        <f>[1]节奏总纲!AD342</f>
        <v>84.090988120365651</v>
      </c>
      <c r="S343" s="3">
        <f>[1]节奏总纲!AE342</f>
        <v>86.20585227800332</v>
      </c>
      <c r="T343" s="3">
        <f>[1]节奏总纲!AF342</f>
        <v>89.29727193179825</v>
      </c>
      <c r="U343" s="3">
        <f>[1]节奏总纲!AG342</f>
        <v>94.277407215892268</v>
      </c>
      <c r="V343" s="3">
        <f>[1]节奏总纲!AH342</f>
        <v>103.12837545930124</v>
      </c>
      <c r="AN343" s="3">
        <v>339</v>
      </c>
      <c r="AO343" s="3">
        <f>[1]节奏总纲!BA342</f>
        <v>46.253146387229606</v>
      </c>
      <c r="AP343" s="3">
        <f>[1]节奏总纲!BB342</f>
        <v>47.764660314710284</v>
      </c>
      <c r="AQ343" s="3">
        <f>[1]节奏总纲!BC342</f>
        <v>49.712105979683258</v>
      </c>
      <c r="AR343" s="3">
        <f>[1]节奏总纲!BD342</f>
        <v>52.460099944144915</v>
      </c>
      <c r="AS343" s="3">
        <f>[1]节奏总纲!BE342</f>
        <v>57.181000514388934</v>
      </c>
    </row>
    <row r="344" spans="17:45">
      <c r="Q344" s="3">
        <v>340</v>
      </c>
      <c r="R344" s="3">
        <f>[1]节奏总纲!AD343</f>
        <v>84.132234338875293</v>
      </c>
      <c r="S344" s="3">
        <f>[1]节奏总纲!AE343</f>
        <v>86.247032860782397</v>
      </c>
      <c r="T344" s="3">
        <f>[1]节奏总纲!AF343</f>
        <v>89.343739436142741</v>
      </c>
      <c r="U344" s="3">
        <f>[1]节奏总纲!AG343</f>
        <v>94.3214878712527</v>
      </c>
      <c r="V344" s="3">
        <f>[1]节奏总纲!AH343</f>
        <v>103.16892175765203</v>
      </c>
      <c r="AN344" s="3">
        <v>340</v>
      </c>
      <c r="AO344" s="3">
        <f>[1]节奏总纲!BA343</f>
        <v>46.272410430048332</v>
      </c>
      <c r="AP344" s="3">
        <f>[1]节奏总纲!BB343</f>
        <v>47.785447853033176</v>
      </c>
      <c r="AQ344" s="3">
        <f>[1]节奏总纲!BC343</f>
        <v>49.732765758679797</v>
      </c>
      <c r="AR344" s="3">
        <f>[1]节奏总纲!BD343</f>
        <v>52.480053284940965</v>
      </c>
      <c r="AS344" s="3">
        <f>[1]节奏总纲!BE343</f>
        <v>57.200184394742301</v>
      </c>
    </row>
    <row r="345" spans="17:45">
      <c r="Q345" s="3">
        <v>341</v>
      </c>
      <c r="R345" s="3">
        <f>[1]节奏总纲!AD344</f>
        <v>84.173480557384934</v>
      </c>
      <c r="S345" s="3">
        <f>[1]节奏总纲!AE344</f>
        <v>86.288213443561474</v>
      </c>
      <c r="T345" s="3">
        <f>[1]节奏总纲!AF344</f>
        <v>89.390206940487232</v>
      </c>
      <c r="U345" s="3">
        <f>[1]节奏总纲!AG344</f>
        <v>94.365568526613131</v>
      </c>
      <c r="V345" s="3">
        <f>[1]节奏总纲!AH344</f>
        <v>103.20946805600283</v>
      </c>
      <c r="AN345" s="3">
        <v>341</v>
      </c>
      <c r="AO345" s="3">
        <f>[1]节奏总纲!BA344</f>
        <v>46.291674472867058</v>
      </c>
      <c r="AP345" s="3">
        <f>[1]节奏总纲!BB344</f>
        <v>47.806235391356068</v>
      </c>
      <c r="AQ345" s="3">
        <f>[1]节奏总纲!BC344</f>
        <v>49.753425537676335</v>
      </c>
      <c r="AR345" s="3">
        <f>[1]节奏总纲!BD344</f>
        <v>52.500006625737008</v>
      </c>
      <c r="AS345" s="3">
        <f>[1]节奏总纲!BE344</f>
        <v>57.219368275095675</v>
      </c>
    </row>
    <row r="346" spans="17:45">
      <c r="Q346" s="3">
        <v>342</v>
      </c>
      <c r="R346" s="3">
        <f>[1]节奏总纲!AD345</f>
        <v>84.214726775894576</v>
      </c>
      <c r="S346" s="3">
        <f>[1]节奏总纲!AE345</f>
        <v>86.329394026340537</v>
      </c>
      <c r="T346" s="3">
        <f>[1]节奏总纲!AF345</f>
        <v>89.436674444831723</v>
      </c>
      <c r="U346" s="3">
        <f>[1]节奏总纲!AG345</f>
        <v>94.409649181973549</v>
      </c>
      <c r="V346" s="3">
        <f>[1]节奏总纲!AH345</f>
        <v>103.25001435435362</v>
      </c>
      <c r="AN346" s="3">
        <v>342</v>
      </c>
      <c r="AO346" s="3">
        <f>[1]节奏总纲!BA345</f>
        <v>46.310938515685784</v>
      </c>
      <c r="AP346" s="3">
        <f>[1]节奏总纲!BB345</f>
        <v>47.827022929678968</v>
      </c>
      <c r="AQ346" s="3">
        <f>[1]节奏总纲!BC345</f>
        <v>49.774085316672867</v>
      </c>
      <c r="AR346" s="3">
        <f>[1]节奏总纲!BD345</f>
        <v>52.519959966533058</v>
      </c>
      <c r="AS346" s="3">
        <f>[1]节奏总纲!BE345</f>
        <v>57.238552155449042</v>
      </c>
    </row>
    <row r="347" spans="17:45">
      <c r="Q347" s="3">
        <v>343</v>
      </c>
      <c r="R347" s="3">
        <f>[1]节奏总纲!AD346</f>
        <v>84.255972994404218</v>
      </c>
      <c r="S347" s="3">
        <f>[1]节奏总纲!AE346</f>
        <v>86.370574609119615</v>
      </c>
      <c r="T347" s="3">
        <f>[1]节奏总纲!AF346</f>
        <v>89.483141949176215</v>
      </c>
      <c r="U347" s="3">
        <f>[1]节奏总纲!AG346</f>
        <v>94.453729837333981</v>
      </c>
      <c r="V347" s="3">
        <f>[1]节奏总纲!AH346</f>
        <v>103.29056065270443</v>
      </c>
      <c r="AN347" s="3">
        <v>343</v>
      </c>
      <c r="AO347" s="3">
        <f>[1]节奏总纲!BA346</f>
        <v>46.330202558504517</v>
      </c>
      <c r="AP347" s="3">
        <f>[1]节奏总纲!BB346</f>
        <v>47.84781046800186</v>
      </c>
      <c r="AQ347" s="3">
        <f>[1]节奏总纲!BC346</f>
        <v>49.794745095669406</v>
      </c>
      <c r="AR347" s="3">
        <f>[1]节奏总纲!BD346</f>
        <v>52.539913307329101</v>
      </c>
      <c r="AS347" s="3">
        <f>[1]节奏总纲!BE346</f>
        <v>57.257736035802409</v>
      </c>
    </row>
    <row r="348" spans="17:45">
      <c r="Q348" s="3">
        <v>344</v>
      </c>
      <c r="R348" s="3">
        <f>[1]节奏总纲!AD347</f>
        <v>84.297219212913859</v>
      </c>
      <c r="S348" s="3">
        <f>[1]节奏总纲!AE347</f>
        <v>86.411755191898692</v>
      </c>
      <c r="T348" s="3">
        <f>[1]节奏总纲!AF347</f>
        <v>89.529609453520706</v>
      </c>
      <c r="U348" s="3">
        <f>[1]节奏总纲!AG347</f>
        <v>94.497810492694413</v>
      </c>
      <c r="V348" s="3">
        <f>[1]节奏总纲!AH347</f>
        <v>103.33110695105522</v>
      </c>
      <c r="AN348" s="3">
        <v>344</v>
      </c>
      <c r="AO348" s="3">
        <f>[1]节奏总纲!BA347</f>
        <v>46.349466601323243</v>
      </c>
      <c r="AP348" s="3">
        <f>[1]节奏总纲!BB347</f>
        <v>47.868598006324753</v>
      </c>
      <c r="AQ348" s="3">
        <f>[1]节奏总纲!BC347</f>
        <v>49.815404874665944</v>
      </c>
      <c r="AR348" s="3">
        <f>[1]节奏总纲!BD347</f>
        <v>52.559866648125151</v>
      </c>
      <c r="AS348" s="3">
        <f>[1]节奏总纲!BE347</f>
        <v>57.276919916155776</v>
      </c>
    </row>
    <row r="349" spans="17:45">
      <c r="Q349" s="3">
        <v>345</v>
      </c>
      <c r="R349" s="3">
        <f>[1]节奏总纲!AD348</f>
        <v>84.338465431423501</v>
      </c>
      <c r="S349" s="3">
        <f>[1]节奏总纲!AE348</f>
        <v>86.452935774677769</v>
      </c>
      <c r="T349" s="3">
        <f>[1]节奏总纲!AF348</f>
        <v>89.576076957865197</v>
      </c>
      <c r="U349" s="3">
        <f>[1]节奏总纲!AG348</f>
        <v>94.541891148054845</v>
      </c>
      <c r="V349" s="3">
        <f>[1]节奏总纲!AH348</f>
        <v>103.37165324940601</v>
      </c>
      <c r="AN349" s="3">
        <v>345</v>
      </c>
      <c r="AO349" s="3">
        <f>[1]节奏总纲!BA348</f>
        <v>46.368730644141969</v>
      </c>
      <c r="AP349" s="3">
        <f>[1]节奏总纲!BB348</f>
        <v>47.889385544647645</v>
      </c>
      <c r="AQ349" s="3">
        <f>[1]节奏总纲!BC348</f>
        <v>49.836064653662483</v>
      </c>
      <c r="AR349" s="3">
        <f>[1]节奏总纲!BD348</f>
        <v>52.579819988921201</v>
      </c>
      <c r="AS349" s="3">
        <f>[1]节奏总纲!BE348</f>
        <v>57.296103796509144</v>
      </c>
    </row>
    <row r="350" spans="17:45">
      <c r="Q350" s="3">
        <v>346</v>
      </c>
      <c r="R350" s="3">
        <f>[1]节奏总纲!AD349</f>
        <v>84.379711649933142</v>
      </c>
      <c r="S350" s="3">
        <f>[1]节奏总纲!AE349</f>
        <v>86.494116357456846</v>
      </c>
      <c r="T350" s="3">
        <f>[1]节奏总纲!AF349</f>
        <v>89.622544462209689</v>
      </c>
      <c r="U350" s="3">
        <f>[1]节奏总纲!AG349</f>
        <v>94.585971803415276</v>
      </c>
      <c r="V350" s="3">
        <f>[1]节奏总纲!AH349</f>
        <v>103.41219954775681</v>
      </c>
      <c r="AN350" s="3">
        <v>346</v>
      </c>
      <c r="AO350" s="3">
        <f>[1]节奏总纲!BA349</f>
        <v>46.387994686960695</v>
      </c>
      <c r="AP350" s="3">
        <f>[1]节奏总纲!BB349</f>
        <v>47.910173082970537</v>
      </c>
      <c r="AQ350" s="3">
        <f>[1]节奏总纲!BC349</f>
        <v>49.856724432659014</v>
      </c>
      <c r="AR350" s="3">
        <f>[1]节奏总纲!BD349</f>
        <v>52.599773329717245</v>
      </c>
      <c r="AS350" s="3">
        <f>[1]节奏总纲!BE349</f>
        <v>57.315287676862511</v>
      </c>
    </row>
    <row r="351" spans="17:45">
      <c r="Q351" s="3">
        <v>347</v>
      </c>
      <c r="R351" s="3">
        <f>[1]节奏总纲!AD350</f>
        <v>84.420957868442784</v>
      </c>
      <c r="S351" s="3">
        <f>[1]节奏总纲!AE350</f>
        <v>86.535296940235909</v>
      </c>
      <c r="T351" s="3">
        <f>[1]节奏总纲!AF350</f>
        <v>89.66901196655418</v>
      </c>
      <c r="U351" s="3">
        <f>[1]节奏总纲!AG350</f>
        <v>94.630052458775694</v>
      </c>
      <c r="V351" s="3">
        <f>[1]节奏总纲!AH350</f>
        <v>103.4527458461076</v>
      </c>
      <c r="AN351" s="3">
        <v>347</v>
      </c>
      <c r="AO351" s="3">
        <f>[1]节奏总纲!BA350</f>
        <v>46.407258729779421</v>
      </c>
      <c r="AP351" s="3">
        <f>[1]节奏总纲!BB350</f>
        <v>47.930960621293437</v>
      </c>
      <c r="AQ351" s="3">
        <f>[1]节奏总纲!BC350</f>
        <v>49.877384211655553</v>
      </c>
      <c r="AR351" s="3">
        <f>[1]节奏总纲!BD350</f>
        <v>52.619726670513295</v>
      </c>
      <c r="AS351" s="3">
        <f>[1]节奏总纲!BE350</f>
        <v>57.334471557215878</v>
      </c>
    </row>
    <row r="352" spans="17:45">
      <c r="Q352" s="3">
        <v>348</v>
      </c>
      <c r="R352" s="3">
        <f>[1]节奏总纲!AD351</f>
        <v>84.462204086952426</v>
      </c>
      <c r="S352" s="3">
        <f>[1]节奏总纲!AE351</f>
        <v>86.576477523014987</v>
      </c>
      <c r="T352" s="3">
        <f>[1]节奏总纲!AF351</f>
        <v>89.715479470898671</v>
      </c>
      <c r="U352" s="3">
        <f>[1]节奏总纲!AG351</f>
        <v>94.674133114136126</v>
      </c>
      <c r="V352" s="3">
        <f>[1]节奏总纲!AH351</f>
        <v>103.49329214445841</v>
      </c>
      <c r="AN352" s="3">
        <v>348</v>
      </c>
      <c r="AO352" s="3">
        <f>[1]节奏总纲!BA351</f>
        <v>46.426522772598148</v>
      </c>
      <c r="AP352" s="3">
        <f>[1]节奏总纲!BB351</f>
        <v>47.951748159616329</v>
      </c>
      <c r="AQ352" s="3">
        <f>[1]节奏总纲!BC351</f>
        <v>49.898043990652091</v>
      </c>
      <c r="AR352" s="3">
        <f>[1]节奏总纲!BD351</f>
        <v>52.639680011309345</v>
      </c>
      <c r="AS352" s="3">
        <f>[1]节奏总纲!BE351</f>
        <v>57.353655437569245</v>
      </c>
    </row>
    <row r="353" spans="17:45">
      <c r="Q353" s="3">
        <v>349</v>
      </c>
      <c r="R353" s="3">
        <f>[1]节奏总纲!AD352</f>
        <v>84.503450305462081</v>
      </c>
      <c r="S353" s="3">
        <f>[1]节奏总纲!AE352</f>
        <v>86.617658105794064</v>
      </c>
      <c r="T353" s="3">
        <f>[1]节奏总纲!AF352</f>
        <v>89.761946975243163</v>
      </c>
      <c r="U353" s="3">
        <f>[1]节奏总纲!AG352</f>
        <v>94.718213769496558</v>
      </c>
      <c r="V353" s="3">
        <f>[1]节奏总纲!AH352</f>
        <v>103.5338384428092</v>
      </c>
      <c r="AN353" s="3">
        <v>349</v>
      </c>
      <c r="AO353" s="3">
        <f>[1]节奏总纲!BA352</f>
        <v>46.445786815416881</v>
      </c>
      <c r="AP353" s="3">
        <f>[1]节奏总纲!BB352</f>
        <v>47.972535697939222</v>
      </c>
      <c r="AQ353" s="3">
        <f>[1]节奏总纲!BC352</f>
        <v>49.91870376964863</v>
      </c>
      <c r="AR353" s="3">
        <f>[1]节奏总纲!BD352</f>
        <v>52.659633352105388</v>
      </c>
      <c r="AS353" s="3">
        <f>[1]节奏总纲!BE352</f>
        <v>57.372839317922612</v>
      </c>
    </row>
    <row r="354" spans="17:45">
      <c r="Q354" s="3">
        <v>350</v>
      </c>
      <c r="R354" s="3">
        <f>[1]节奏总纲!AD353</f>
        <v>84.544696523971723</v>
      </c>
      <c r="S354" s="3">
        <f>[1]节奏总纲!AE353</f>
        <v>86.658838688573141</v>
      </c>
      <c r="T354" s="3">
        <f>[1]节奏总纲!AF353</f>
        <v>89.808414479587654</v>
      </c>
      <c r="U354" s="3">
        <f>[1]节奏总纲!AG353</f>
        <v>94.762294424856989</v>
      </c>
      <c r="V354" s="3">
        <f>[1]节奏总纲!AH353</f>
        <v>103.57438474115999</v>
      </c>
      <c r="AN354" s="3">
        <v>350</v>
      </c>
      <c r="AO354" s="3">
        <f>[1]节奏总纲!BA353</f>
        <v>46.465050858235607</v>
      </c>
      <c r="AP354" s="3">
        <f>[1]节奏总纲!BB353</f>
        <v>47.993323236262114</v>
      </c>
      <c r="AQ354" s="3">
        <f>[1]节奏总纲!BC353</f>
        <v>49.939363548645169</v>
      </c>
      <c r="AR354" s="3">
        <f>[1]节奏总纲!BD353</f>
        <v>52.679586692901438</v>
      </c>
      <c r="AS354" s="3">
        <f>[1]节奏总纲!BE353</f>
        <v>57.392023198275979</v>
      </c>
    </row>
    <row r="355" spans="17:45">
      <c r="Q355" s="3">
        <v>351</v>
      </c>
      <c r="R355" s="3">
        <f>[1]节奏总纲!AD354</f>
        <v>84.585942742481365</v>
      </c>
      <c r="S355" s="3">
        <f>[1]节奏总纲!AE354</f>
        <v>86.700019271352204</v>
      </c>
      <c r="T355" s="3">
        <f>[1]节奏总纲!AF354</f>
        <v>89.854881983932145</v>
      </c>
      <c r="U355" s="3">
        <f>[1]节奏总纲!AG354</f>
        <v>94.806375080217421</v>
      </c>
      <c r="V355" s="3">
        <f>[1]节奏总纲!AH354</f>
        <v>103.61493103951079</v>
      </c>
      <c r="AN355" s="3">
        <v>351</v>
      </c>
      <c r="AO355" s="3">
        <f>[1]节奏总纲!BA354</f>
        <v>46.484314901054333</v>
      </c>
      <c r="AP355" s="3">
        <f>[1]节奏总纲!BB354</f>
        <v>48.012182251254622</v>
      </c>
      <c r="AQ355" s="3">
        <f>[1]节奏总纲!BC354</f>
        <v>49.9600233276417</v>
      </c>
      <c r="AR355" s="3">
        <f>[1]节奏总纲!BD354</f>
        <v>52.699540033697481</v>
      </c>
      <c r="AS355" s="3">
        <f>[1]节奏总纲!BE354</f>
        <v>57.411207078629346</v>
      </c>
    </row>
    <row r="356" spans="17:45">
      <c r="Q356" s="3">
        <v>352</v>
      </c>
      <c r="R356" s="3">
        <f>[1]节奏总纲!AD355</f>
        <v>84.627188960991006</v>
      </c>
      <c r="S356" s="3">
        <f>[1]节奏总纲!AE355</f>
        <v>86.741199854131281</v>
      </c>
      <c r="T356" s="3">
        <f>[1]节奏总纲!AF355</f>
        <v>89.901349488276637</v>
      </c>
      <c r="U356" s="3">
        <f>[1]节奏总纲!AG355</f>
        <v>94.850455735577853</v>
      </c>
      <c r="V356" s="3">
        <f>[1]节奏总纲!AH355</f>
        <v>103.65547733786158</v>
      </c>
      <c r="AN356" s="3">
        <v>352</v>
      </c>
      <c r="AO356" s="3">
        <f>[1]节奏总纲!BA355</f>
        <v>46.503578943873059</v>
      </c>
      <c r="AP356" s="3">
        <f>[1]节奏总纲!BB355</f>
        <v>48.030128751164234</v>
      </c>
      <c r="AQ356" s="3">
        <f>[1]节奏总纲!BC355</f>
        <v>49.980683106638239</v>
      </c>
      <c r="AR356" s="3">
        <f>[1]节奏总纲!BD355</f>
        <v>52.719493374493531</v>
      </c>
      <c r="AS356" s="3">
        <f>[1]节奏总纲!BE355</f>
        <v>57.430390958982713</v>
      </c>
    </row>
    <row r="357" spans="17:45">
      <c r="Q357" s="3">
        <v>353</v>
      </c>
      <c r="R357" s="3">
        <f>[1]节奏总纲!AD356</f>
        <v>84.668435179500648</v>
      </c>
      <c r="S357" s="3">
        <f>[1]节奏总纲!AE356</f>
        <v>86.782380436910358</v>
      </c>
      <c r="T357" s="3">
        <f>[1]节奏总纲!AF356</f>
        <v>89.947816992621142</v>
      </c>
      <c r="U357" s="3">
        <f>[1]节奏总纲!AG356</f>
        <v>94.894536390938271</v>
      </c>
      <c r="V357" s="3">
        <f>[1]节奏总纲!AH356</f>
        <v>103.69602363621237</v>
      </c>
      <c r="AN357" s="3">
        <v>353</v>
      </c>
      <c r="AO357" s="3">
        <f>[1]节奏总纲!BA356</f>
        <v>46.522842986691785</v>
      </c>
      <c r="AP357" s="3">
        <f>[1]节奏总纲!BB356</f>
        <v>48.048075251073854</v>
      </c>
      <c r="AQ357" s="3">
        <f>[1]节奏总纲!BC356</f>
        <v>50.00115951426713</v>
      </c>
      <c r="AR357" s="3">
        <f>[1]节奏总纲!BD356</f>
        <v>52.739446715289581</v>
      </c>
      <c r="AS357" s="3">
        <f>[1]节奏总纲!BE356</f>
        <v>57.44957483933608</v>
      </c>
    </row>
    <row r="358" spans="17:45">
      <c r="Q358" s="3">
        <v>354</v>
      </c>
      <c r="R358" s="3">
        <f>[1]节奏总纲!AD357</f>
        <v>84.709681398010289</v>
      </c>
      <c r="S358" s="3">
        <f>[1]节奏总纲!AE357</f>
        <v>86.823561019689436</v>
      </c>
      <c r="T358" s="3">
        <f>[1]节奏总纲!AF357</f>
        <v>89.994284496965633</v>
      </c>
      <c r="U358" s="3">
        <f>[1]节奏总纲!AG357</f>
        <v>94.938617046298702</v>
      </c>
      <c r="V358" s="3">
        <f>[1]节奏总纲!AH357</f>
        <v>103.73656993456318</v>
      </c>
      <c r="AN358" s="3">
        <v>354</v>
      </c>
      <c r="AO358" s="3">
        <f>[1]节奏总纲!BA357</f>
        <v>46.542107029510518</v>
      </c>
      <c r="AP358" s="3">
        <f>[1]节奏总纲!BB357</f>
        <v>48.066021750983474</v>
      </c>
      <c r="AQ358" s="3">
        <f>[1]节奏总纲!BC357</f>
        <v>50.018998195299922</v>
      </c>
      <c r="AR358" s="3">
        <f>[1]节奏总纲!BD357</f>
        <v>52.759400056085624</v>
      </c>
      <c r="AS358" s="3">
        <f>[1]节奏总纲!BE357</f>
        <v>57.468758719689447</v>
      </c>
    </row>
    <row r="359" spans="17:45">
      <c r="Q359" s="3">
        <v>355</v>
      </c>
      <c r="R359" s="3">
        <f>[1]节奏总纲!AD358</f>
        <v>84.750927616519931</v>
      </c>
      <c r="S359" s="3">
        <f>[1]节奏总纲!AE358</f>
        <v>86.864741602468499</v>
      </c>
      <c r="T359" s="3">
        <f>[1]节奏总纲!AF358</f>
        <v>90.036066635925749</v>
      </c>
      <c r="U359" s="3">
        <f>[1]节奏总纲!AG358</f>
        <v>94.982697701659134</v>
      </c>
      <c r="V359" s="3">
        <f>[1]节奏总纲!AH358</f>
        <v>103.77711623291397</v>
      </c>
      <c r="AN359" s="3">
        <v>355</v>
      </c>
      <c r="AO359" s="3">
        <f>[1]节奏总纲!BA358</f>
        <v>46.561371072329244</v>
      </c>
      <c r="AP359" s="3">
        <f>[1]节奏总纲!BB358</f>
        <v>48.083968250893093</v>
      </c>
      <c r="AQ359" s="3">
        <f>[1]节奏总纲!BC358</f>
        <v>50.036836876332707</v>
      </c>
      <c r="AR359" s="3">
        <f>[1]节奏总纲!BD358</f>
        <v>52.779353396881675</v>
      </c>
      <c r="AS359" s="3">
        <f>[1]节奏总纲!BE358</f>
        <v>57.487942600042821</v>
      </c>
    </row>
    <row r="360" spans="17:45">
      <c r="Q360" s="3">
        <v>356</v>
      </c>
      <c r="R360" s="3">
        <f>[1]节奏总纲!AD359</f>
        <v>84.792173835029573</v>
      </c>
      <c r="S360" s="3">
        <f>[1]节奏总纲!AE359</f>
        <v>86.905922185247576</v>
      </c>
      <c r="T360" s="3">
        <f>[1]节奏总纲!AF359</f>
        <v>90.077191648383845</v>
      </c>
      <c r="U360" s="3">
        <f>[1]节奏总纲!AG359</f>
        <v>95.024001308619916</v>
      </c>
      <c r="V360" s="3">
        <f>[1]节奏总纲!AH359</f>
        <v>103.81766253126477</v>
      </c>
      <c r="AN360" s="3">
        <v>356</v>
      </c>
      <c r="AO360" s="3">
        <f>[1]节奏总纲!BA359</f>
        <v>46.58063511514797</v>
      </c>
      <c r="AP360" s="3">
        <f>[1]节奏总纲!BB359</f>
        <v>48.101914750802706</v>
      </c>
      <c r="AQ360" s="3">
        <f>[1]节奏总纲!BC359</f>
        <v>50.054675557365492</v>
      </c>
      <c r="AR360" s="3">
        <f>[1]节奏总纲!BD359</f>
        <v>52.799306737677718</v>
      </c>
      <c r="AS360" s="3">
        <f>[1]节奏总纲!BE359</f>
        <v>57.507126480396188</v>
      </c>
    </row>
    <row r="361" spans="17:45">
      <c r="Q361" s="3">
        <v>357</v>
      </c>
      <c r="R361" s="3">
        <f>[1]节奏总纲!AD360</f>
        <v>84.833420053539214</v>
      </c>
      <c r="S361" s="3">
        <f>[1]节奏总纲!AE360</f>
        <v>86.947102768026653</v>
      </c>
      <c r="T361" s="3">
        <f>[1]节奏总纲!AF360</f>
        <v>90.118316660841927</v>
      </c>
      <c r="U361" s="3">
        <f>[1]节奏总纲!AG360</f>
        <v>95.063510581451752</v>
      </c>
      <c r="V361" s="3">
        <f>[1]节奏总纲!AH360</f>
        <v>103.85820882961556</v>
      </c>
      <c r="AN361" s="3">
        <v>357</v>
      </c>
      <c r="AO361" s="3">
        <f>[1]节奏总纲!BA360</f>
        <v>46.599899157966696</v>
      </c>
      <c r="AP361" s="3">
        <f>[1]节奏总纲!BB360</f>
        <v>48.119861250712326</v>
      </c>
      <c r="AQ361" s="3">
        <f>[1]节奏总纲!BC360</f>
        <v>50.072514238398277</v>
      </c>
      <c r="AR361" s="3">
        <f>[1]节奏总纲!BD360</f>
        <v>52.819260078473768</v>
      </c>
      <c r="AS361" s="3">
        <f>[1]节奏总纲!BE360</f>
        <v>57.526310360749555</v>
      </c>
    </row>
    <row r="362" spans="17:45">
      <c r="Q362" s="3">
        <v>358</v>
      </c>
      <c r="R362" s="3">
        <f>[1]节奏总纲!AD361</f>
        <v>84.874666272048856</v>
      </c>
      <c r="S362" s="3">
        <f>[1]节奏总纲!AE361</f>
        <v>86.98828335080573</v>
      </c>
      <c r="T362" s="3">
        <f>[1]节奏总纲!AF361</f>
        <v>90.159441673300023</v>
      </c>
      <c r="U362" s="3">
        <f>[1]节奏总纲!AG361</f>
        <v>95.103019854283588</v>
      </c>
      <c r="V362" s="3">
        <f>[1]节奏总纲!AH361</f>
        <v>103.89875512796635</v>
      </c>
      <c r="AN362" s="3">
        <v>358</v>
      </c>
      <c r="AO362" s="3">
        <f>[1]节奏总纲!BA361</f>
        <v>46.619163200785422</v>
      </c>
      <c r="AP362" s="3">
        <f>[1]节奏总纲!BB361</f>
        <v>48.137807750621946</v>
      </c>
      <c r="AQ362" s="3">
        <f>[1]节奏总纲!BC361</f>
        <v>50.090352919431069</v>
      </c>
      <c r="AR362" s="3">
        <f>[1]节奏总纲!BD361</f>
        <v>52.839213419269818</v>
      </c>
      <c r="AS362" s="3">
        <f>[1]节奏总纲!BE361</f>
        <v>57.545494241102922</v>
      </c>
    </row>
    <row r="363" spans="17:45">
      <c r="Q363" s="3">
        <v>359</v>
      </c>
      <c r="R363" s="3">
        <f>[1]节奏总纲!AD362</f>
        <v>84.915912490558497</v>
      </c>
      <c r="S363" s="3">
        <f>[1]节奏总纲!AE362</f>
        <v>87.027010646912942</v>
      </c>
      <c r="T363" s="3">
        <f>[1]节奏总纲!AF362</f>
        <v>90.200566685758119</v>
      </c>
      <c r="U363" s="3">
        <f>[1]节奏总纲!AG362</f>
        <v>95.142529127115409</v>
      </c>
      <c r="V363" s="3">
        <f>[1]节奏总纲!AH362</f>
        <v>103.93930142631716</v>
      </c>
      <c r="AN363" s="3">
        <v>359</v>
      </c>
      <c r="AO363" s="3">
        <f>[1]节奏总纲!BA362</f>
        <v>46.638427243604156</v>
      </c>
      <c r="AP363" s="3">
        <f>[1]节奏总纲!BB362</f>
        <v>48.155754250531558</v>
      </c>
      <c r="AQ363" s="3">
        <f>[1]节奏总纲!BC362</f>
        <v>50.108191600463854</v>
      </c>
      <c r="AR363" s="3">
        <f>[1]节奏总纲!BD362</f>
        <v>52.859166760065861</v>
      </c>
      <c r="AS363" s="3">
        <f>[1]节奏总纲!BE362</f>
        <v>57.564678121456289</v>
      </c>
    </row>
    <row r="364" spans="17:45">
      <c r="Q364" s="3">
        <v>360</v>
      </c>
      <c r="R364" s="3">
        <f>[1]节奏总纲!AD363</f>
        <v>84.957158709068153</v>
      </c>
      <c r="S364" s="3">
        <f>[1]节奏总纲!AE363</f>
        <v>87.064762367263285</v>
      </c>
      <c r="T364" s="3">
        <f>[1]节奏总纲!AF363</f>
        <v>90.241691698216215</v>
      </c>
      <c r="U364" s="3">
        <f>[1]节奏总纲!AG363</f>
        <v>95.182038399947245</v>
      </c>
      <c r="V364" s="3">
        <f>[1]节奏总纲!AH363</f>
        <v>103.97984772466795</v>
      </c>
      <c r="AN364" s="3">
        <v>360</v>
      </c>
      <c r="AO364" s="3">
        <f>[1]节奏总纲!BA363</f>
        <v>46.657691286422882</v>
      </c>
      <c r="AP364" s="3">
        <f>[1]节奏总纲!BB363</f>
        <v>48.173700750441178</v>
      </c>
      <c r="AQ364" s="3">
        <f>[1]节奏总纲!BC363</f>
        <v>50.126030281496639</v>
      </c>
      <c r="AR364" s="3">
        <f>[1]节奏总纲!BD363</f>
        <v>52.879120100861911</v>
      </c>
      <c r="AS364" s="3">
        <f>[1]节奏总纲!BE363</f>
        <v>57.583862001809656</v>
      </c>
    </row>
  </sheetData>
  <mergeCells count="9">
    <mergeCell ref="BM3:BQ3"/>
    <mergeCell ref="AX3:BB3"/>
    <mergeCell ref="BG3:BH3"/>
    <mergeCell ref="D3:H3"/>
    <mergeCell ref="K3:O3"/>
    <mergeCell ref="R3:V3"/>
    <mergeCell ref="AA3:AE3"/>
    <mergeCell ref="AH3:AL3"/>
    <mergeCell ref="AO3:AS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B9C08-3558-4633-890E-81DA908C6FA2}">
  <dimension ref="B3:BP224"/>
  <sheetViews>
    <sheetView topLeftCell="AT1" workbookViewId="0">
      <selection activeCell="BM16" sqref="BM16"/>
    </sheetView>
  </sheetViews>
  <sheetFormatPr defaultRowHeight="13.5"/>
  <cols>
    <col min="1" max="10" width="9" style="24"/>
    <col min="11" max="11" width="3" style="4" customWidth="1"/>
    <col min="12" max="19" width="9" style="24"/>
    <col min="20" max="20" width="3" style="4" customWidth="1"/>
    <col min="21" max="23" width="9" style="24"/>
    <col min="24" max="29" width="10.625" style="24" customWidth="1"/>
    <col min="30" max="46" width="9" style="24"/>
    <col min="47" max="47" width="3" style="4" customWidth="1"/>
    <col min="48" max="62" width="9" style="24"/>
    <col min="63" max="63" width="3" style="4" customWidth="1"/>
    <col min="64" max="64" width="9" style="24"/>
    <col min="65" max="65" width="23.5" style="24" customWidth="1"/>
    <col min="66" max="16384" width="9" style="24"/>
  </cols>
  <sheetData>
    <row r="3" spans="2:68">
      <c r="W3" s="34" t="s">
        <v>45</v>
      </c>
      <c r="X3" s="34"/>
      <c r="Y3" s="23"/>
      <c r="Z3" s="23"/>
      <c r="AA3" s="23"/>
      <c r="AB3" s="23"/>
      <c r="AC3" s="23"/>
      <c r="AZ3" s="35" t="s">
        <v>95</v>
      </c>
      <c r="BA3" s="35"/>
      <c r="BB3" s="35"/>
      <c r="BC3" s="35"/>
      <c r="BD3" s="35"/>
      <c r="BE3" s="35"/>
      <c r="BF3" s="35"/>
      <c r="BG3" s="35"/>
      <c r="BH3" s="35"/>
      <c r="BI3" s="35"/>
      <c r="BM3" s="32"/>
      <c r="BN3" s="32"/>
      <c r="BO3" s="32" t="s">
        <v>192</v>
      </c>
      <c r="BP3" s="32"/>
    </row>
    <row r="4" spans="2:68" ht="11.25" customHeight="1">
      <c r="B4" s="24" t="s">
        <v>96</v>
      </c>
      <c r="W4" s="34"/>
      <c r="X4" s="34"/>
      <c r="Y4" s="42" t="s">
        <v>128</v>
      </c>
      <c r="Z4" s="43"/>
      <c r="AA4" s="43"/>
      <c r="AB4" s="43"/>
      <c r="AC4" s="44"/>
      <c r="AD4" s="34" t="s">
        <v>127</v>
      </c>
      <c r="AE4" s="34"/>
      <c r="AF4" s="34"/>
      <c r="AG4" s="34"/>
      <c r="AH4" s="34"/>
      <c r="AI4" s="36" t="s">
        <v>129</v>
      </c>
      <c r="AJ4" s="37"/>
      <c r="AK4" s="37"/>
      <c r="AL4" s="38"/>
      <c r="AM4" s="36" t="s">
        <v>130</v>
      </c>
      <c r="AN4" s="37"/>
      <c r="AO4" s="37"/>
      <c r="AP4" s="38"/>
      <c r="AZ4" s="7"/>
      <c r="BA4" s="7"/>
      <c r="BB4" s="36" t="s">
        <v>135</v>
      </c>
      <c r="BC4" s="37"/>
      <c r="BD4" s="37"/>
      <c r="BE4" s="38"/>
      <c r="BF4" s="36" t="s">
        <v>98</v>
      </c>
      <c r="BG4" s="37"/>
      <c r="BH4" s="37"/>
      <c r="BI4" s="38"/>
      <c r="BM4" s="32"/>
      <c r="BN4" s="32" t="s">
        <v>193</v>
      </c>
      <c r="BO4" s="32" t="s">
        <v>194</v>
      </c>
      <c r="BP4" s="32" t="s">
        <v>195</v>
      </c>
    </row>
    <row r="5" spans="2:68">
      <c r="B5" s="39" t="s">
        <v>99</v>
      </c>
      <c r="C5" s="10" t="str">
        <f>[2]武将升星!C103</f>
        <v>星级</v>
      </c>
      <c r="D5" s="10" t="str">
        <f>[2]武将升星!D103</f>
        <v>绿</v>
      </c>
      <c r="E5" s="10" t="str">
        <f>[2]武将升星!E103</f>
        <v>蓝</v>
      </c>
      <c r="F5" s="10" t="str">
        <f>[2]武将升星!F103</f>
        <v>紫</v>
      </c>
      <c r="G5" s="10" t="str">
        <f>[2]武将升星!G103</f>
        <v>橙</v>
      </c>
      <c r="H5" s="10" t="str">
        <f>[2]武将升星!H103</f>
        <v>橙+</v>
      </c>
      <c r="I5" s="10" t="str">
        <f>[2]武将升星!I103</f>
        <v>红</v>
      </c>
      <c r="M5" s="39" t="s">
        <v>100</v>
      </c>
      <c r="N5" s="10" t="s">
        <v>101</v>
      </c>
      <c r="O5" s="7" t="s">
        <v>14</v>
      </c>
      <c r="P5" s="7" t="s">
        <v>15</v>
      </c>
      <c r="Q5" s="7" t="s">
        <v>13</v>
      </c>
      <c r="R5" s="10" t="s">
        <v>102</v>
      </c>
      <c r="W5" s="21" t="s">
        <v>103</v>
      </c>
      <c r="X5" s="21" t="s">
        <v>92</v>
      </c>
      <c r="Y5" s="21" t="s">
        <v>104</v>
      </c>
      <c r="Z5" s="21" t="s">
        <v>14</v>
      </c>
      <c r="AA5" s="21" t="s">
        <v>15</v>
      </c>
      <c r="AB5" s="21" t="s">
        <v>13</v>
      </c>
      <c r="AC5" s="21" t="s">
        <v>102</v>
      </c>
      <c r="AD5" s="21" t="s">
        <v>104</v>
      </c>
      <c r="AE5" s="21" t="s">
        <v>14</v>
      </c>
      <c r="AF5" s="21" t="s">
        <v>15</v>
      </c>
      <c r="AG5" s="21" t="s">
        <v>13</v>
      </c>
      <c r="AH5" s="21" t="s">
        <v>102</v>
      </c>
      <c r="AI5" s="7" t="s">
        <v>14</v>
      </c>
      <c r="AJ5" s="7" t="s">
        <v>15</v>
      </c>
      <c r="AK5" s="7" t="s">
        <v>13</v>
      </c>
      <c r="AL5" s="7" t="s">
        <v>102</v>
      </c>
      <c r="AM5" s="7" t="s">
        <v>14</v>
      </c>
      <c r="AN5" s="7" t="s">
        <v>15</v>
      </c>
      <c r="AO5" s="7" t="s">
        <v>13</v>
      </c>
      <c r="AP5" s="7" t="s">
        <v>102</v>
      </c>
      <c r="AZ5" s="7" t="s">
        <v>91</v>
      </c>
      <c r="BA5" s="7" t="s">
        <v>103</v>
      </c>
      <c r="BB5" s="7" t="s">
        <v>14</v>
      </c>
      <c r="BC5" s="7" t="s">
        <v>15</v>
      </c>
      <c r="BD5" s="7" t="s">
        <v>13</v>
      </c>
      <c r="BE5" s="7" t="s">
        <v>102</v>
      </c>
      <c r="BF5" s="7" t="s">
        <v>14</v>
      </c>
      <c r="BG5" s="7" t="s">
        <v>15</v>
      </c>
      <c r="BH5" s="7" t="s">
        <v>13</v>
      </c>
      <c r="BI5" s="7" t="s">
        <v>102</v>
      </c>
      <c r="BM5" s="32" t="s">
        <v>196</v>
      </c>
      <c r="BN5" s="32" t="s">
        <v>197</v>
      </c>
      <c r="BO5" s="32">
        <v>1.2669483730108348E-2</v>
      </c>
      <c r="BP5" s="32">
        <v>1.2669483730108348E-2</v>
      </c>
    </row>
    <row r="6" spans="2:68">
      <c r="B6" s="40"/>
      <c r="C6" s="10">
        <f>[2]武将升星!C104</f>
        <v>0</v>
      </c>
      <c r="D6" s="10">
        <f>[2]武将升星!D104</f>
        <v>1</v>
      </c>
      <c r="E6" s="10">
        <f>[2]武将升星!E104</f>
        <v>1</v>
      </c>
      <c r="F6" s="10">
        <f>[2]武将升星!F104</f>
        <v>1</v>
      </c>
      <c r="G6" s="10">
        <f>[2]武将升星!G104</f>
        <v>1</v>
      </c>
      <c r="H6" s="10">
        <f>[2]武将升星!H104</f>
        <v>1</v>
      </c>
      <c r="I6" s="10">
        <f>[2]武将升星!I104</f>
        <v>1</v>
      </c>
      <c r="M6" s="40"/>
      <c r="N6" s="10">
        <v>1</v>
      </c>
      <c r="O6" s="7">
        <f>[3]战法升星!C32</f>
        <v>1</v>
      </c>
      <c r="P6" s="7">
        <f>[3]战法升星!D32</f>
        <v>1</v>
      </c>
      <c r="Q6" s="7">
        <f>[3]战法升星!E32</f>
        <v>0</v>
      </c>
      <c r="R6" s="7">
        <f>[3]战法升星!F32</f>
        <v>0</v>
      </c>
      <c r="W6" s="21">
        <v>1</v>
      </c>
      <c r="X6" s="21">
        <f>[2]基础状态预期!D17</f>
        <v>10</v>
      </c>
      <c r="Y6" s="21">
        <f>[2]基础状态预期!F17</f>
        <v>0</v>
      </c>
      <c r="Z6" s="21">
        <f>[2]基础状态预期!G17</f>
        <v>0</v>
      </c>
      <c r="AA6" s="21">
        <f>[2]基础状态预期!H17</f>
        <v>2</v>
      </c>
      <c r="AB6" s="21">
        <f>[2]基础状态预期!I17</f>
        <v>4</v>
      </c>
      <c r="AC6" s="21">
        <f>[2]基础状态预期!J17</f>
        <v>0</v>
      </c>
      <c r="AD6" s="21">
        <f>[2]基础状态预期!K17</f>
        <v>0</v>
      </c>
      <c r="AE6" s="21">
        <f>[2]基础状态预期!L17</f>
        <v>0</v>
      </c>
      <c r="AF6" s="21">
        <f>[2]基础状态预期!M17</f>
        <v>0.38264191752289722</v>
      </c>
      <c r="AG6" s="21">
        <f>[2]基础状态预期!N17</f>
        <v>0</v>
      </c>
      <c r="AH6" s="21">
        <f>[2]基础状态预期!O17</f>
        <v>0</v>
      </c>
      <c r="AI6" s="7">
        <f>[2]各r阵容卡情况!G11</f>
        <v>0</v>
      </c>
      <c r="AJ6" s="7">
        <f>[2]各r阵容卡情况!H11</f>
        <v>0</v>
      </c>
      <c r="AK6" s="7">
        <f>[2]各r阵容卡情况!I11</f>
        <v>0</v>
      </c>
      <c r="AL6" s="7">
        <f>[2]各r阵容卡情况!J11</f>
        <v>0</v>
      </c>
      <c r="AM6" s="7">
        <f>[2]各r阵容卡情况!K11</f>
        <v>3</v>
      </c>
      <c r="AN6" s="7">
        <f>[2]各r阵容卡情况!L11</f>
        <v>0.38264191752289722</v>
      </c>
      <c r="AO6" s="7">
        <f>[2]各r阵容卡情况!M11</f>
        <v>0</v>
      </c>
      <c r="AP6" s="7">
        <f>[2]各r阵容卡情况!N11</f>
        <v>0</v>
      </c>
      <c r="AZ6" s="7">
        <f>[3]基础状态预期!C17</f>
        <v>10</v>
      </c>
      <c r="BA6" s="7">
        <f>[3]基础状态预期!D17</f>
        <v>1</v>
      </c>
      <c r="BB6" s="7">
        <f>[3]基础状态预期!E17</f>
        <v>3</v>
      </c>
      <c r="BC6" s="7">
        <f>[3]基础状态预期!F17</f>
        <v>3</v>
      </c>
      <c r="BD6" s="7">
        <f>[3]基础状态预期!G17</f>
        <v>1</v>
      </c>
      <c r="BE6" s="7">
        <f>[3]基础状态预期!H17</f>
        <v>0</v>
      </c>
      <c r="BF6" s="7">
        <f>[3]基础状态预期!I17</f>
        <v>1.3343330496377463</v>
      </c>
      <c r="BG6" s="7">
        <f>[3]基础状态预期!J17</f>
        <v>2</v>
      </c>
      <c r="BH6" s="7">
        <f>[3]基础状态预期!K17</f>
        <v>3</v>
      </c>
      <c r="BI6" s="7">
        <f>[3]基础状态预期!L17</f>
        <v>0</v>
      </c>
      <c r="BM6" s="32" t="s">
        <v>198</v>
      </c>
      <c r="BN6" s="32" t="s">
        <v>197</v>
      </c>
      <c r="BO6" s="32">
        <v>1.2669483730108348E-2</v>
      </c>
      <c r="BP6" s="32">
        <v>1.2669483730108348E-2</v>
      </c>
    </row>
    <row r="7" spans="2:68">
      <c r="B7" s="40"/>
      <c r="C7" s="10">
        <f>[2]武将升星!C105</f>
        <v>1</v>
      </c>
      <c r="D7" s="10">
        <f>[2]武将升星!D105</f>
        <v>1</v>
      </c>
      <c r="E7" s="10">
        <f>[2]武将升星!E105</f>
        <v>2</v>
      </c>
      <c r="F7" s="10">
        <f>[2]武将升星!F105</f>
        <v>2</v>
      </c>
      <c r="G7" s="10">
        <f>[2]武将升星!G105</f>
        <v>2</v>
      </c>
      <c r="H7" s="10">
        <f>[2]武将升星!H105</f>
        <v>2</v>
      </c>
      <c r="I7" s="10">
        <f>[2]武将升星!I105</f>
        <v>2</v>
      </c>
      <c r="M7" s="40"/>
      <c r="N7" s="10">
        <v>2</v>
      </c>
      <c r="O7" s="7">
        <f>[3]战法升星!C33</f>
        <v>2</v>
      </c>
      <c r="P7" s="7">
        <f>[3]战法升星!D33</f>
        <v>2</v>
      </c>
      <c r="Q7" s="7">
        <f>[3]战法升星!E33</f>
        <v>1</v>
      </c>
      <c r="R7" s="7">
        <f>[3]战法升星!F33</f>
        <v>0</v>
      </c>
      <c r="W7" s="21">
        <v>3</v>
      </c>
      <c r="X7" s="21">
        <f>[2]基础状态预期!D18</f>
        <v>20</v>
      </c>
      <c r="Y7" s="21">
        <f>[2]基础状态预期!F18</f>
        <v>0</v>
      </c>
      <c r="Z7" s="21">
        <f>[2]基础状态预期!G18</f>
        <v>0</v>
      </c>
      <c r="AA7" s="21">
        <f>[2]基础状态预期!H18</f>
        <v>0</v>
      </c>
      <c r="AB7" s="21">
        <f>[2]基础状态预期!I18</f>
        <v>6</v>
      </c>
      <c r="AC7" s="21">
        <f>[2]基础状态预期!J18</f>
        <v>0</v>
      </c>
      <c r="AD7" s="21">
        <f>[2]基础状态预期!K18</f>
        <v>0</v>
      </c>
      <c r="AE7" s="21">
        <f>[2]基础状态预期!L18</f>
        <v>0</v>
      </c>
      <c r="AF7" s="21">
        <f>[2]基础状态预期!M18</f>
        <v>0</v>
      </c>
      <c r="AG7" s="21">
        <f>[2]基础状态预期!N18</f>
        <v>0</v>
      </c>
      <c r="AH7" s="21">
        <f>[2]基础状态预期!O18</f>
        <v>0</v>
      </c>
      <c r="AI7" s="7">
        <f>[2]各r阵容卡情况!G12</f>
        <v>6</v>
      </c>
      <c r="AJ7" s="7">
        <f>[2]各r阵容卡情况!H12</f>
        <v>0</v>
      </c>
      <c r="AK7" s="7">
        <f>[2]各r阵容卡情况!I12</f>
        <v>0</v>
      </c>
      <c r="AL7" s="7">
        <f>[2]各r阵容卡情况!J12</f>
        <v>0</v>
      </c>
      <c r="AM7" s="7">
        <f>[2]各r阵容卡情况!K12</f>
        <v>3</v>
      </c>
      <c r="AN7" s="7">
        <f>[2]各r阵容卡情况!L12</f>
        <v>1.9658275683558069</v>
      </c>
      <c r="AO7" s="7">
        <f>[2]各r阵容卡情况!M12</f>
        <v>0</v>
      </c>
      <c r="AP7" s="7">
        <f>[2]各r阵容卡情况!N12</f>
        <v>0</v>
      </c>
      <c r="AZ7" s="7">
        <f>[3]基础状态预期!C18</f>
        <v>20</v>
      </c>
      <c r="BA7" s="7">
        <f>[3]基础状态预期!D18</f>
        <v>3</v>
      </c>
      <c r="BB7" s="7">
        <f>[3]基础状态预期!E18</f>
        <v>3</v>
      </c>
      <c r="BC7" s="7">
        <f>[3]基础状态预期!F18</f>
        <v>7</v>
      </c>
      <c r="BD7" s="7">
        <f>[3]基础状态预期!G18</f>
        <v>3</v>
      </c>
      <c r="BE7" s="7">
        <f>[3]基础状态预期!H18</f>
        <v>0</v>
      </c>
      <c r="BF7" s="7">
        <f>[3]基础状态预期!I18</f>
        <v>2.4520008438692154</v>
      </c>
      <c r="BG7" s="7">
        <f>[3]基础状态预期!J18</f>
        <v>2</v>
      </c>
      <c r="BH7" s="7">
        <f>[3]基础状态预期!K18</f>
        <v>3</v>
      </c>
      <c r="BI7" s="7">
        <f>[3]基础状态预期!L18</f>
        <v>0</v>
      </c>
      <c r="BM7" s="32" t="s">
        <v>199</v>
      </c>
      <c r="BN7" s="32" t="s">
        <v>197</v>
      </c>
      <c r="BO7" s="32">
        <v>1.2669483730108348E-2</v>
      </c>
      <c r="BP7" s="32">
        <v>1.2669483730108348E-2</v>
      </c>
    </row>
    <row r="8" spans="2:68">
      <c r="B8" s="40"/>
      <c r="C8" s="10">
        <f>[2]武将升星!C106</f>
        <v>2</v>
      </c>
      <c r="D8" s="10">
        <f>[2]武将升星!D106</f>
        <v>1</v>
      </c>
      <c r="E8" s="10">
        <f>[2]武将升星!E106</f>
        <v>3</v>
      </c>
      <c r="F8" s="10">
        <f>[2]武将升星!F106</f>
        <v>3</v>
      </c>
      <c r="G8" s="10">
        <f>[2]武将升星!G106</f>
        <v>3</v>
      </c>
      <c r="H8" s="10">
        <f>[2]武将升星!H106</f>
        <v>3</v>
      </c>
      <c r="I8" s="10">
        <f>[2]武将升星!I106</f>
        <v>3</v>
      </c>
      <c r="M8" s="40"/>
      <c r="N8" s="10">
        <v>3</v>
      </c>
      <c r="O8" s="7">
        <f>[3]战法升星!C34</f>
        <v>3</v>
      </c>
      <c r="P8" s="7">
        <f>[3]战法升星!D34</f>
        <v>4</v>
      </c>
      <c r="Q8" s="7">
        <f>[3]战法升星!E34</f>
        <v>2</v>
      </c>
      <c r="R8" s="7">
        <f>[3]战法升星!F34</f>
        <v>1</v>
      </c>
      <c r="W8" s="21">
        <v>6</v>
      </c>
      <c r="X8" s="21">
        <f>[2]基础状态预期!D19</f>
        <v>28.071211008105138</v>
      </c>
      <c r="Y8" s="21">
        <f>[2]基础状态预期!F19</f>
        <v>0</v>
      </c>
      <c r="Z8" s="21">
        <f>[2]基础状态预期!G19</f>
        <v>0</v>
      </c>
      <c r="AA8" s="21">
        <f>[2]基础状态预期!H19</f>
        <v>0</v>
      </c>
      <c r="AB8" s="21">
        <f>[2]基础状态预期!I19</f>
        <v>6</v>
      </c>
      <c r="AC8" s="21">
        <f>[2]基础状态预期!J19</f>
        <v>0</v>
      </c>
      <c r="AD8" s="21">
        <f>[2]基础状态预期!K19</f>
        <v>0</v>
      </c>
      <c r="AE8" s="21">
        <f>[2]基础状态预期!L19</f>
        <v>0</v>
      </c>
      <c r="AF8" s="21">
        <f>[2]基础状态预期!M19</f>
        <v>0</v>
      </c>
      <c r="AG8" s="21">
        <f>[2]基础状态预期!N19</f>
        <v>0</v>
      </c>
      <c r="AH8" s="21">
        <f>[2]基础状态预期!O19</f>
        <v>0</v>
      </c>
      <c r="AI8" s="7">
        <f>[2]各r阵容卡情况!G13</f>
        <v>6</v>
      </c>
      <c r="AJ8" s="7">
        <f>[2]各r阵容卡情况!H13</f>
        <v>0</v>
      </c>
      <c r="AK8" s="7">
        <f>[2]各r阵容卡情况!I13</f>
        <v>0</v>
      </c>
      <c r="AL8" s="7">
        <f>[2]各r阵容卡情况!J13</f>
        <v>0</v>
      </c>
      <c r="AM8" s="7">
        <f>[2]各r阵容卡情况!K13</f>
        <v>3</v>
      </c>
      <c r="AN8" s="7">
        <f>[2]各r阵容卡情况!L13</f>
        <v>3.1149615275400024</v>
      </c>
      <c r="AO8" s="7">
        <f>[2]各r阵容卡情况!M13</f>
        <v>0</v>
      </c>
      <c r="AP8" s="7">
        <f>[2]各r阵容卡情况!N13</f>
        <v>0</v>
      </c>
      <c r="AZ8" s="7">
        <f>[3]基础状态预期!C19</f>
        <v>28.071211008105138</v>
      </c>
      <c r="BA8" s="7">
        <f>[3]基础状态预期!D19</f>
        <v>6</v>
      </c>
      <c r="BB8" s="7">
        <f>[3]基础状态预期!E19</f>
        <v>3</v>
      </c>
      <c r="BC8" s="7">
        <f>[3]基础状态预期!F19</f>
        <v>7</v>
      </c>
      <c r="BD8" s="7">
        <f>[3]基础状态预期!G19</f>
        <v>5</v>
      </c>
      <c r="BE8" s="7">
        <f>[3]基础状态预期!H19</f>
        <v>0</v>
      </c>
      <c r="BF8" s="7">
        <f>[3]基础状态预期!I19</f>
        <v>3.314626161222364</v>
      </c>
      <c r="BG8" s="7">
        <f>[3]基础状态预期!J19</f>
        <v>2</v>
      </c>
      <c r="BH8" s="7">
        <f>[3]基础状态预期!K19</f>
        <v>3</v>
      </c>
      <c r="BI8" s="7">
        <f>[3]基础状态预期!L19</f>
        <v>0</v>
      </c>
      <c r="BM8" s="32" t="s">
        <v>200</v>
      </c>
      <c r="BN8" s="32" t="s">
        <v>197</v>
      </c>
      <c r="BO8" s="32">
        <v>1.2669483730108348E-2</v>
      </c>
      <c r="BP8" s="32">
        <v>1.2669483730108348E-2</v>
      </c>
    </row>
    <row r="9" spans="2:68">
      <c r="B9" s="40"/>
      <c r="C9" s="10">
        <f>[2]武将升星!C107</f>
        <v>3</v>
      </c>
      <c r="D9" s="10">
        <f>[2]武将升星!D107</f>
        <v>1</v>
      </c>
      <c r="E9" s="10">
        <f>[2]武将升星!E107</f>
        <v>5</v>
      </c>
      <c r="F9" s="10">
        <f>[2]武将升星!F107</f>
        <v>5</v>
      </c>
      <c r="G9" s="10">
        <f>[2]武将升星!G107</f>
        <v>4</v>
      </c>
      <c r="H9" s="10">
        <f>[2]武将升星!H107</f>
        <v>4</v>
      </c>
      <c r="I9" s="10">
        <f>[2]武将升星!I107</f>
        <v>4</v>
      </c>
      <c r="M9" s="40"/>
      <c r="N9" s="10">
        <v>4</v>
      </c>
      <c r="O9" s="7">
        <f>[3]战法升星!C35</f>
        <v>4</v>
      </c>
      <c r="P9" s="7">
        <f>[3]战法升星!D35</f>
        <v>8</v>
      </c>
      <c r="Q9" s="7">
        <f>[3]战法升星!E35</f>
        <v>4</v>
      </c>
      <c r="R9" s="7">
        <f>[3]战法升星!F35</f>
        <v>2</v>
      </c>
      <c r="W9" s="21">
        <v>10</v>
      </c>
      <c r="X9" s="21">
        <f>[2]基础状态预期!D20</f>
        <v>34.585942742481357</v>
      </c>
      <c r="Y9" s="21">
        <f>[2]基础状态预期!F20</f>
        <v>0</v>
      </c>
      <c r="Z9" s="21">
        <f>[2]基础状态预期!G20</f>
        <v>0</v>
      </c>
      <c r="AA9" s="21">
        <f>[2]基础状态预期!H20</f>
        <v>0</v>
      </c>
      <c r="AB9" s="21">
        <f>[2]基础状态预期!I20</f>
        <v>6</v>
      </c>
      <c r="AC9" s="21">
        <f>[2]基础状态预期!J20</f>
        <v>0</v>
      </c>
      <c r="AD9" s="21">
        <f>[2]基础状态预期!K20</f>
        <v>0</v>
      </c>
      <c r="AE9" s="21">
        <f>[2]基础状态预期!L20</f>
        <v>0</v>
      </c>
      <c r="AF9" s="21">
        <f>[2]基础状态预期!M20</f>
        <v>0</v>
      </c>
      <c r="AG9" s="21">
        <f>[2]基础状态预期!N20</f>
        <v>0</v>
      </c>
      <c r="AH9" s="21">
        <f>[2]基础状态预期!O20</f>
        <v>0</v>
      </c>
      <c r="AI9" s="7">
        <f>[2]各r阵容卡情况!G14</f>
        <v>6</v>
      </c>
      <c r="AJ9" s="7">
        <f>[2]各r阵容卡情况!H14</f>
        <v>2</v>
      </c>
      <c r="AK9" s="7">
        <f>[2]各r阵容卡情况!I14</f>
        <v>0</v>
      </c>
      <c r="AL9" s="7">
        <f>[2]各r阵容卡情况!J14</f>
        <v>0</v>
      </c>
      <c r="AM9" s="7">
        <f>[2]各r阵容卡情况!K14</f>
        <v>3</v>
      </c>
      <c r="AN9" s="7">
        <f>[2]各r阵容卡情况!L14</f>
        <v>4.1675282297875524</v>
      </c>
      <c r="AO9" s="7">
        <f>[2]各r阵容卡情况!M14</f>
        <v>0</v>
      </c>
      <c r="AP9" s="7">
        <f>[2]各r阵容卡情况!N14</f>
        <v>0</v>
      </c>
      <c r="AZ9" s="7">
        <f>[3]基础状态预期!C20</f>
        <v>34.585942742481357</v>
      </c>
      <c r="BA9" s="7">
        <f>[3]基础状态预期!D20</f>
        <v>10</v>
      </c>
      <c r="BB9" s="7">
        <f>[3]基础状态预期!E20</f>
        <v>3</v>
      </c>
      <c r="BC9" s="7">
        <f>[3]基础状态预期!F20</f>
        <v>7</v>
      </c>
      <c r="BD9" s="7">
        <f>[3]基础状态预期!G20</f>
        <v>8</v>
      </c>
      <c r="BE9" s="7">
        <f>[3]基础状态预期!H20</f>
        <v>0</v>
      </c>
      <c r="BF9" s="7">
        <f>[3]基础状态预期!I20</f>
        <v>3.9034558878380965</v>
      </c>
      <c r="BG9" s="7">
        <f>[3]基础状态预期!J20</f>
        <v>2.2306826861022175</v>
      </c>
      <c r="BH9" s="7">
        <f>[3]基础状态预期!K20</f>
        <v>3</v>
      </c>
      <c r="BI9" s="7">
        <f>[3]基础状态预期!L20</f>
        <v>0</v>
      </c>
      <c r="BM9" s="32" t="s">
        <v>201</v>
      </c>
      <c r="BN9" s="32" t="s">
        <v>197</v>
      </c>
      <c r="BO9" s="32">
        <v>1.9004225595162523E-2</v>
      </c>
      <c r="BP9" s="32">
        <v>1.9004225595162523E-2</v>
      </c>
    </row>
    <row r="10" spans="2:68">
      <c r="B10" s="40"/>
      <c r="C10" s="10">
        <f>[2]武将升星!C108</f>
        <v>4</v>
      </c>
      <c r="D10" s="10">
        <f>[2]武将升星!D108</f>
        <v>1</v>
      </c>
      <c r="E10" s="10">
        <f>[2]武将升星!E108</f>
        <v>5</v>
      </c>
      <c r="F10" s="10">
        <f>[2]武将升星!F108</f>
        <v>7</v>
      </c>
      <c r="G10" s="10">
        <f>[2]武将升星!G108</f>
        <v>6</v>
      </c>
      <c r="H10" s="10">
        <f>[2]武将升星!H108</f>
        <v>6</v>
      </c>
      <c r="I10" s="10">
        <f>[2]武将升星!I108</f>
        <v>6</v>
      </c>
      <c r="M10" s="40"/>
      <c r="N10" s="10">
        <v>5</v>
      </c>
      <c r="O10" s="7">
        <f>[3]战法升星!C36</f>
        <v>5</v>
      </c>
      <c r="P10" s="7">
        <f>[3]战法升星!D36</f>
        <v>16</v>
      </c>
      <c r="Q10" s="7">
        <f>[3]战法升星!E36</f>
        <v>8</v>
      </c>
      <c r="R10" s="7">
        <f>[3]战法升星!F36</f>
        <v>4</v>
      </c>
      <c r="W10" s="21">
        <v>15</v>
      </c>
      <c r="X10" s="21">
        <f>[2]基础状态预期!D21</f>
        <v>40</v>
      </c>
      <c r="Y10" s="21">
        <f>[2]基础状态预期!F21</f>
        <v>0</v>
      </c>
      <c r="Z10" s="21">
        <f>[2]基础状态预期!G21</f>
        <v>0</v>
      </c>
      <c r="AA10" s="21">
        <f>[2]基础状态预期!H21</f>
        <v>0</v>
      </c>
      <c r="AB10" s="21">
        <f>[2]基础状态预期!I21</f>
        <v>6</v>
      </c>
      <c r="AC10" s="21">
        <f>[2]基础状态预期!J21</f>
        <v>0</v>
      </c>
      <c r="AD10" s="21">
        <f>[2]基础状态预期!K21</f>
        <v>0</v>
      </c>
      <c r="AE10" s="21">
        <f>[2]基础状态预期!L21</f>
        <v>0</v>
      </c>
      <c r="AF10" s="21">
        <f>[2]基础状态预期!M21</f>
        <v>0</v>
      </c>
      <c r="AG10" s="21">
        <f>[2]基础状态预期!N21</f>
        <v>6.0014233230571756E-2</v>
      </c>
      <c r="AH10" s="21">
        <f>[2]基础状态预期!O21</f>
        <v>0</v>
      </c>
      <c r="AI10" s="7">
        <f>[2]各r阵容卡情况!G15</f>
        <v>6</v>
      </c>
      <c r="AJ10" s="7">
        <f>[2]各r阵容卡情况!H15</f>
        <v>4</v>
      </c>
      <c r="AK10" s="7">
        <f>[2]各r阵容卡情况!I15</f>
        <v>0</v>
      </c>
      <c r="AL10" s="7">
        <f>[2]各r阵容卡情况!J15</f>
        <v>0</v>
      </c>
      <c r="AM10" s="7">
        <f>[2]各r阵容卡情况!K15</f>
        <v>3</v>
      </c>
      <c r="AN10" s="7">
        <f>[2]各r阵容卡情况!L15</f>
        <v>5.0105249261329243</v>
      </c>
      <c r="AO10" s="7">
        <f>[2]各r阵容卡情况!M15</f>
        <v>6.0014233230571756E-2</v>
      </c>
      <c r="AP10" s="7">
        <f>[2]各r阵容卡情况!N15</f>
        <v>0</v>
      </c>
      <c r="AZ10" s="7">
        <f>[3]基础状态预期!C21</f>
        <v>40</v>
      </c>
      <c r="BA10" s="7">
        <f>[3]基础状态预期!D21</f>
        <v>15</v>
      </c>
      <c r="BB10" s="7">
        <f>[3]基础状态预期!E21</f>
        <v>3</v>
      </c>
      <c r="BC10" s="7">
        <f>[3]基础状态预期!F21</f>
        <v>7</v>
      </c>
      <c r="BD10" s="7">
        <f>[3]基础状态预期!G21</f>
        <v>11</v>
      </c>
      <c r="BE10" s="7">
        <f>[3]基础状态预期!H21</f>
        <v>0</v>
      </c>
      <c r="BF10" s="7">
        <f>[3]基础状态预期!I21</f>
        <v>4.2789106360617994</v>
      </c>
      <c r="BG10" s="7">
        <f>[3]基础状态预期!J21</f>
        <v>2.6537637535281897</v>
      </c>
      <c r="BH10" s="7">
        <f>[3]基础状态预期!K21</f>
        <v>3</v>
      </c>
      <c r="BI10" s="7">
        <f>[3]基础状态预期!L21</f>
        <v>0</v>
      </c>
      <c r="BM10" s="32" t="s">
        <v>202</v>
      </c>
      <c r="BN10" s="32" t="s">
        <v>197</v>
      </c>
      <c r="BO10" s="32">
        <v>0.21678512085080837</v>
      </c>
      <c r="BP10" s="32">
        <v>0.21678512085080837</v>
      </c>
    </row>
    <row r="11" spans="2:68">
      <c r="B11" s="40"/>
      <c r="C11" s="10">
        <f>[2]武将升星!C109</f>
        <v>5</v>
      </c>
      <c r="D11" s="10">
        <f>[2]武将升星!D109</f>
        <v>1</v>
      </c>
      <c r="E11" s="10">
        <f>[2]武将升星!E109</f>
        <v>5</v>
      </c>
      <c r="F11" s="10">
        <f>[2]武将升星!F109</f>
        <v>10</v>
      </c>
      <c r="G11" s="10">
        <f>[2]武将升星!G109</f>
        <v>8</v>
      </c>
      <c r="H11" s="10">
        <f>[2]武将升星!H109</f>
        <v>8</v>
      </c>
      <c r="I11" s="10">
        <f>[2]武将升星!I109</f>
        <v>8</v>
      </c>
      <c r="M11" s="40"/>
      <c r="N11" s="10">
        <v>6</v>
      </c>
      <c r="O11" s="7">
        <f>[3]战法升星!C37</f>
        <v>6</v>
      </c>
      <c r="P11" s="7">
        <f>[3]战法升星!D37</f>
        <v>32</v>
      </c>
      <c r="Q11" s="7">
        <f>[3]战法升星!E37</f>
        <v>16</v>
      </c>
      <c r="R11" s="7">
        <f>[3]战法升星!F37</f>
        <v>8</v>
      </c>
      <c r="W11" s="21">
        <v>20</v>
      </c>
      <c r="X11" s="21">
        <f>[2]基础状态预期!D22</f>
        <v>43.920692243099523</v>
      </c>
      <c r="Y11" s="21">
        <f>[2]基础状态预期!F22</f>
        <v>0</v>
      </c>
      <c r="Z11" s="21">
        <f>[2]基础状态预期!G22</f>
        <v>0</v>
      </c>
      <c r="AA11" s="21">
        <f>[2]基础状态预期!H22</f>
        <v>0</v>
      </c>
      <c r="AB11" s="21">
        <f>[2]基础状态预期!I22</f>
        <v>6</v>
      </c>
      <c r="AC11" s="21">
        <f>[2]基础状态预期!J22</f>
        <v>0</v>
      </c>
      <c r="AD11" s="21">
        <f>[2]基础状态预期!K22</f>
        <v>0</v>
      </c>
      <c r="AE11" s="21">
        <f>[2]基础状态预期!L22</f>
        <v>0</v>
      </c>
      <c r="AF11" s="21">
        <f>[2]基础状态预期!M22</f>
        <v>0</v>
      </c>
      <c r="AG11" s="21">
        <f>[2]基础状态预期!N22</f>
        <v>0.31163226502501917</v>
      </c>
      <c r="AH11" s="21">
        <f>[2]基础状态预期!O22</f>
        <v>0</v>
      </c>
      <c r="AI11" s="7">
        <f>[2]各r阵容卡情况!G16</f>
        <v>6</v>
      </c>
      <c r="AJ11" s="7">
        <f>[2]各r阵容卡情况!H16</f>
        <v>6</v>
      </c>
      <c r="AK11" s="7">
        <f>[2]各r阵容卡情况!I16</f>
        <v>0</v>
      </c>
      <c r="AL11" s="7">
        <f>[2]各r阵容卡情况!J16</f>
        <v>0</v>
      </c>
      <c r="AM11" s="7">
        <f>[2]各r阵容卡情况!K16</f>
        <v>3</v>
      </c>
      <c r="AN11" s="7">
        <f>[2]各r阵容卡情况!L16</f>
        <v>5.844459892453143</v>
      </c>
      <c r="AO11" s="7">
        <f>[2]各r阵容卡情况!M16</f>
        <v>0.31163226502501917</v>
      </c>
      <c r="AP11" s="7">
        <f>[2]各r阵容卡情况!N16</f>
        <v>0</v>
      </c>
      <c r="AZ11" s="7">
        <f>[3]基础状态预期!C22</f>
        <v>43.920692243099523</v>
      </c>
      <c r="BA11" s="7">
        <f>[3]基础状态预期!D22</f>
        <v>20</v>
      </c>
      <c r="BB11" s="7">
        <f>[3]基础状态预期!E22</f>
        <v>3</v>
      </c>
      <c r="BC11" s="7">
        <f>[3]基础状态预期!F22</f>
        <v>7</v>
      </c>
      <c r="BD11" s="7">
        <f>[3]基础状态预期!G22</f>
        <v>13</v>
      </c>
      <c r="BE11" s="7">
        <f>[3]基础状态预期!H22</f>
        <v>0</v>
      </c>
      <c r="BF11" s="7">
        <f>[3]基础状态预期!I22</f>
        <v>4.6060869405984004</v>
      </c>
      <c r="BG11" s="7">
        <f>[3]基础状态预期!J22</f>
        <v>3.038418280559311</v>
      </c>
      <c r="BH11" s="7">
        <f>[3]基础状态预期!K22</f>
        <v>3</v>
      </c>
      <c r="BI11" s="7">
        <f>[3]基础状态预期!L22</f>
        <v>0</v>
      </c>
      <c r="BM11" s="32" t="s">
        <v>177</v>
      </c>
      <c r="BN11" s="32" t="s">
        <v>203</v>
      </c>
      <c r="BO11" s="32">
        <v>76185.77508261094</v>
      </c>
      <c r="BP11" s="32">
        <v>92779.594324466074</v>
      </c>
    </row>
    <row r="12" spans="2:68">
      <c r="B12" s="40"/>
      <c r="C12" s="10">
        <f>[2]武将升星!C110</f>
        <v>6</v>
      </c>
      <c r="D12" s="10">
        <f>[2]武将升星!D110</f>
        <v>1</v>
      </c>
      <c r="E12" s="10">
        <f>[2]武将升星!E110</f>
        <v>5</v>
      </c>
      <c r="F12" s="10">
        <f>[2]武将升星!F110</f>
        <v>13</v>
      </c>
      <c r="G12" s="10">
        <f>[2]武将升星!G110</f>
        <v>11</v>
      </c>
      <c r="H12" s="10">
        <f>[2]武将升星!H110</f>
        <v>11</v>
      </c>
      <c r="I12" s="10">
        <f>[2]武将升星!I110</f>
        <v>11</v>
      </c>
      <c r="M12" s="41"/>
      <c r="N12" s="10">
        <v>7</v>
      </c>
      <c r="O12" s="7">
        <f>[3]战法升星!C38</f>
        <v>7</v>
      </c>
      <c r="P12" s="7">
        <f>[3]战法升星!D38</f>
        <v>64</v>
      </c>
      <c r="Q12" s="7">
        <f>[3]战法升星!E38</f>
        <v>32</v>
      </c>
      <c r="R12" s="7">
        <f>[3]战法升星!F38</f>
        <v>16</v>
      </c>
      <c r="W12" s="21">
        <v>30</v>
      </c>
      <c r="X12" s="21">
        <f>[2]基础状态预期!D23</f>
        <v>49.533352307096472</v>
      </c>
      <c r="Y12" s="21">
        <f>[2]基础状态预期!F23</f>
        <v>0</v>
      </c>
      <c r="Z12" s="21">
        <f>[2]基础状态预期!G23</f>
        <v>0</v>
      </c>
      <c r="AA12" s="21">
        <f>[2]基础状态预期!H23</f>
        <v>0</v>
      </c>
      <c r="AB12" s="21">
        <f>[2]基础状态预期!I23</f>
        <v>6</v>
      </c>
      <c r="AC12" s="21">
        <f>[2]基础状态预期!J23</f>
        <v>0</v>
      </c>
      <c r="AD12" s="21">
        <f>[2]基础状态预期!K23</f>
        <v>0</v>
      </c>
      <c r="AE12" s="21">
        <f>[2]基础状态预期!L23</f>
        <v>0</v>
      </c>
      <c r="AF12" s="21">
        <f>[2]基础状态预期!M23</f>
        <v>0</v>
      </c>
      <c r="AG12" s="21">
        <f>[2]基础状态预期!N23</f>
        <v>0.77611254357931014</v>
      </c>
      <c r="AH12" s="21">
        <f>[2]基础状态预期!O23</f>
        <v>0</v>
      </c>
      <c r="AI12" s="7">
        <f>[2]各r阵容卡情况!G17</f>
        <v>6</v>
      </c>
      <c r="AJ12" s="7">
        <f>[2]各r阵容卡情况!H17</f>
        <v>8</v>
      </c>
      <c r="AK12" s="7">
        <f>[2]各r阵容卡情况!I17</f>
        <v>0</v>
      </c>
      <c r="AL12" s="7">
        <f>[2]各r阵容卡情况!J17</f>
        <v>0</v>
      </c>
      <c r="AM12" s="7">
        <f>[2]各r阵容卡情况!K17</f>
        <v>3</v>
      </c>
      <c r="AN12" s="7">
        <f>[2]各r阵容卡情况!L17</f>
        <v>6</v>
      </c>
      <c r="AO12" s="7">
        <f>[2]各r阵容卡情况!M17</f>
        <v>0.77611254357931014</v>
      </c>
      <c r="AP12" s="7">
        <f>[2]各r阵容卡情况!N17</f>
        <v>0</v>
      </c>
      <c r="AZ12" s="7">
        <f>[3]基础状态预期!C23</f>
        <v>49.533352307096472</v>
      </c>
      <c r="BA12" s="7">
        <f>[3]基础状态预期!D23</f>
        <v>30</v>
      </c>
      <c r="BB12" s="7">
        <f>[3]基础状态预期!E23</f>
        <v>3</v>
      </c>
      <c r="BC12" s="7">
        <f>[3]基础状态预期!F23</f>
        <v>7</v>
      </c>
      <c r="BD12" s="7">
        <f>[3]基础状态预期!G23</f>
        <v>19</v>
      </c>
      <c r="BE12" s="7">
        <f>[3]基础状态预期!H23</f>
        <v>0</v>
      </c>
      <c r="BF12" s="7">
        <f>[3]基础状态预期!I23</f>
        <v>5.1309497260946841</v>
      </c>
      <c r="BG12" s="7">
        <f>[3]基础状态预期!J23</f>
        <v>3.4624349906396779</v>
      </c>
      <c r="BH12" s="7">
        <f>[3]基础状态预期!K23</f>
        <v>3</v>
      </c>
      <c r="BI12" s="7">
        <f>[3]基础状态预期!L23</f>
        <v>0</v>
      </c>
      <c r="BM12" s="32" t="s">
        <v>179</v>
      </c>
      <c r="BN12" s="32" t="s">
        <v>203</v>
      </c>
      <c r="BO12" s="32">
        <v>76185.77508261094</v>
      </c>
      <c r="BP12" s="32">
        <v>92779.594324466074</v>
      </c>
    </row>
    <row r="13" spans="2:68">
      <c r="B13" s="40"/>
      <c r="C13" s="10">
        <f>[2]武将升星!C111</f>
        <v>7</v>
      </c>
      <c r="D13" s="10">
        <f>[2]武将升星!D111</f>
        <v>1</v>
      </c>
      <c r="E13" s="10">
        <f>[2]武将升星!E111</f>
        <v>5</v>
      </c>
      <c r="F13" s="10">
        <f>[2]武将升星!F111</f>
        <v>13</v>
      </c>
      <c r="G13" s="10">
        <f>[2]武将升星!G111</f>
        <v>14</v>
      </c>
      <c r="H13" s="10">
        <f>[2]武将升星!H111</f>
        <v>14</v>
      </c>
      <c r="I13" s="10">
        <f>[2]武将升星!I111</f>
        <v>14</v>
      </c>
      <c r="W13" s="21">
        <v>40</v>
      </c>
      <c r="X13" s="21">
        <f>[2]基础状态预期!D24</f>
        <v>53.567039423670657</v>
      </c>
      <c r="Y13" s="21">
        <f>[2]基础状态预期!F24</f>
        <v>0</v>
      </c>
      <c r="Z13" s="21">
        <f>[2]基础状态预期!G24</f>
        <v>0</v>
      </c>
      <c r="AA13" s="21">
        <f>[2]基础状态预期!H24</f>
        <v>0</v>
      </c>
      <c r="AB13" s="21">
        <f>[2]基础状态预期!I24</f>
        <v>5</v>
      </c>
      <c r="AC13" s="21">
        <f>[2]基础状态预期!J24</f>
        <v>1</v>
      </c>
      <c r="AD13" s="21">
        <f>[2]基础状态预期!K24</f>
        <v>0</v>
      </c>
      <c r="AE13" s="21">
        <f>[2]基础状态预期!L24</f>
        <v>0</v>
      </c>
      <c r="AF13" s="21">
        <f>[2]基础状态预期!M24</f>
        <v>0</v>
      </c>
      <c r="AG13" s="21">
        <f>[2]基础状态预期!N24</f>
        <v>1.22119383781311</v>
      </c>
      <c r="AH13" s="21">
        <f>[2]基础状态预期!O24</f>
        <v>0</v>
      </c>
      <c r="AI13" s="7">
        <f>[2]各r阵容卡情况!G18</f>
        <v>6</v>
      </c>
      <c r="AJ13" s="7">
        <f>[2]各r阵容卡情况!H18</f>
        <v>10</v>
      </c>
      <c r="AK13" s="7">
        <f>[2]各r阵容卡情况!I18</f>
        <v>0</v>
      </c>
      <c r="AL13" s="7">
        <f>[2]各r阵容卡情况!J18</f>
        <v>0</v>
      </c>
      <c r="AM13" s="7">
        <f>[2]各r阵容卡情况!K18</f>
        <v>3</v>
      </c>
      <c r="AN13" s="7">
        <f>[2]各r阵容卡情况!L18</f>
        <v>6</v>
      </c>
      <c r="AO13" s="7">
        <f>[2]各r阵容卡情况!M18</f>
        <v>1.22119383781311</v>
      </c>
      <c r="AP13" s="7">
        <f>[2]各r阵容卡情况!N18</f>
        <v>0</v>
      </c>
      <c r="AZ13" s="7">
        <f>[3]基础状态预期!C24</f>
        <v>53.567039423670657</v>
      </c>
      <c r="BA13" s="7">
        <f>[3]基础状态预期!D24</f>
        <v>40</v>
      </c>
      <c r="BB13" s="7">
        <f>[3]基础状态预期!E24</f>
        <v>3</v>
      </c>
      <c r="BC13" s="7">
        <f>[3]基础状态预期!F24</f>
        <v>7</v>
      </c>
      <c r="BD13" s="7">
        <f>[3]基础状态预期!G24</f>
        <v>20</v>
      </c>
      <c r="BE13" s="7">
        <f>[3]基础状态预期!H24</f>
        <v>0</v>
      </c>
      <c r="BF13" s="7">
        <f>[3]基础状态预期!I24</f>
        <v>5.4710821785824386</v>
      </c>
      <c r="BG13" s="7">
        <f>[3]基础状态预期!J24</f>
        <v>3.9022614378221188</v>
      </c>
      <c r="BH13" s="7">
        <f>[3]基础状态预期!K24</f>
        <v>3.0145394335051301</v>
      </c>
      <c r="BI13" s="7">
        <f>[3]基础状态预期!L24</f>
        <v>0</v>
      </c>
      <c r="BM13" s="32" t="s">
        <v>181</v>
      </c>
      <c r="BN13" s="32" t="s">
        <v>203</v>
      </c>
      <c r="BO13" s="32">
        <v>76185.77508261094</v>
      </c>
      <c r="BP13" s="32">
        <v>92779.594324466074</v>
      </c>
    </row>
    <row r="14" spans="2:68">
      <c r="B14" s="41"/>
      <c r="C14" s="10">
        <f>[2]武将升星!C112</f>
        <v>8</v>
      </c>
      <c r="D14" s="10">
        <f>[2]武将升星!D112</f>
        <v>1</v>
      </c>
      <c r="E14" s="10">
        <f>[2]武将升星!E112</f>
        <v>5</v>
      </c>
      <c r="F14" s="10">
        <f>[2]武将升星!F112</f>
        <v>13</v>
      </c>
      <c r="G14" s="10">
        <f>[2]武将升星!G112</f>
        <v>18</v>
      </c>
      <c r="H14" s="10">
        <f>[2]武将升星!H112</f>
        <v>18</v>
      </c>
      <c r="I14" s="10">
        <f>[2]武将升星!I112</f>
        <v>18</v>
      </c>
      <c r="W14" s="21">
        <v>60</v>
      </c>
      <c r="X14" s="21">
        <f>[2]基础状态预期!D25</f>
        <v>59.300028460644697</v>
      </c>
      <c r="Y14" s="21">
        <f>[2]基础状态预期!F25</f>
        <v>0</v>
      </c>
      <c r="Z14" s="21">
        <f>[2]基础状态预期!G25</f>
        <v>0</v>
      </c>
      <c r="AA14" s="21">
        <f>[2]基础状态预期!H25</f>
        <v>0</v>
      </c>
      <c r="AB14" s="21">
        <f>[2]基础状态预期!I25</f>
        <v>4</v>
      </c>
      <c r="AC14" s="21">
        <f>[2]基础状态预期!J25</f>
        <v>2</v>
      </c>
      <c r="AD14" s="21">
        <f>[2]基础状态预期!K25</f>
        <v>0</v>
      </c>
      <c r="AE14" s="21">
        <f>[2]基础状态预期!L25</f>
        <v>0</v>
      </c>
      <c r="AF14" s="21">
        <f>[2]基础状态预期!M25</f>
        <v>0</v>
      </c>
      <c r="AG14" s="21">
        <f>[2]基础状态预期!N25</f>
        <v>1.9349759911879749</v>
      </c>
      <c r="AH14" s="21">
        <f>[2]基础状态预期!O25</f>
        <v>0</v>
      </c>
      <c r="AI14" s="7">
        <f>[2]各r阵容卡情况!G19</f>
        <v>6</v>
      </c>
      <c r="AJ14" s="7">
        <f>[2]各r阵容卡情况!H19</f>
        <v>13</v>
      </c>
      <c r="AK14" s="7">
        <f>[2]各r阵容卡情况!I19</f>
        <v>1</v>
      </c>
      <c r="AL14" s="7">
        <f>[2]各r阵容卡情况!J19</f>
        <v>0</v>
      </c>
      <c r="AM14" s="7">
        <f>[2]各r阵容卡情况!K19</f>
        <v>3</v>
      </c>
      <c r="AN14" s="7">
        <f>[2]各r阵容卡情况!L19</f>
        <v>6</v>
      </c>
      <c r="AO14" s="7">
        <f>[2]各r阵容卡情况!M19</f>
        <v>1.9349759911879749</v>
      </c>
      <c r="AP14" s="7">
        <f>[2]各r阵容卡情况!N19</f>
        <v>0</v>
      </c>
      <c r="AZ14" s="7">
        <f>[3]基础状态预期!C25</f>
        <v>59.300028460644697</v>
      </c>
      <c r="BA14" s="7">
        <f>[3]基础状态预期!D25</f>
        <v>60</v>
      </c>
      <c r="BB14" s="7">
        <f>[3]基础状态预期!E25</f>
        <v>3</v>
      </c>
      <c r="BC14" s="7">
        <f>[3]基础状态预期!F25</f>
        <v>7</v>
      </c>
      <c r="BD14" s="7">
        <f>[3]基础状态预期!G25</f>
        <v>20</v>
      </c>
      <c r="BE14" s="7">
        <f>[3]基础状态预期!H25</f>
        <v>0</v>
      </c>
      <c r="BF14" s="7">
        <f>[3]基础状态预期!I25</f>
        <v>6.078418443207787</v>
      </c>
      <c r="BG14" s="7">
        <f>[3]基础状态预期!J25</f>
        <v>4.3919010685834348</v>
      </c>
      <c r="BH14" s="7">
        <f>[3]基础状态预期!K25</f>
        <v>3.4658882715696429</v>
      </c>
      <c r="BI14" s="7">
        <f>[3]基础状态预期!L25</f>
        <v>0</v>
      </c>
      <c r="BM14" s="32" t="s">
        <v>183</v>
      </c>
      <c r="BN14" s="32" t="s">
        <v>203</v>
      </c>
      <c r="BO14" s="32">
        <v>76185.77508261094</v>
      </c>
      <c r="BP14" s="32">
        <v>92779.594324466074</v>
      </c>
    </row>
    <row r="15" spans="2:68">
      <c r="B15" s="39" t="s">
        <v>105</v>
      </c>
      <c r="C15" s="10" t="str">
        <f>[2]武将升星!C113</f>
        <v>星级</v>
      </c>
      <c r="D15" s="10" t="str">
        <f>[2]武将升星!D113</f>
        <v>绿</v>
      </c>
      <c r="E15" s="10" t="str">
        <f>[2]武将升星!E113</f>
        <v>蓝</v>
      </c>
      <c r="F15" s="10" t="str">
        <f>[2]武将升星!F113</f>
        <v>紫</v>
      </c>
      <c r="G15" s="10" t="str">
        <f>[2]武将升星!G113</f>
        <v>橙</v>
      </c>
      <c r="H15" s="10" t="str">
        <f>[2]武将升星!H113</f>
        <v>橙+</v>
      </c>
      <c r="I15" s="10" t="str">
        <f>[2]武将升星!I113</f>
        <v>红</v>
      </c>
      <c r="W15" s="21">
        <v>90</v>
      </c>
      <c r="X15" s="21">
        <f>[2]基础状态预期!D26</f>
        <v>65.075479910097457</v>
      </c>
      <c r="Y15" s="21">
        <f>[2]基础状态预期!F26</f>
        <v>0</v>
      </c>
      <c r="Z15" s="21">
        <f>[2]基础状态预期!G26</f>
        <v>0</v>
      </c>
      <c r="AA15" s="21">
        <f>[2]基础状态预期!H26</f>
        <v>0</v>
      </c>
      <c r="AB15" s="21">
        <f>[2]基础状态预期!I26</f>
        <v>3</v>
      </c>
      <c r="AC15" s="21">
        <f>[2]基础状态预期!J26</f>
        <v>3</v>
      </c>
      <c r="AD15" s="21">
        <f>[2]基础状态预期!K26</f>
        <v>0</v>
      </c>
      <c r="AE15" s="21">
        <f>[2]基础状态预期!L26</f>
        <v>0</v>
      </c>
      <c r="AF15" s="21">
        <f>[2]基础状态预期!M26</f>
        <v>0</v>
      </c>
      <c r="AG15" s="21">
        <f>[2]基础状态预期!N26</f>
        <v>2.6067935709357495</v>
      </c>
      <c r="AH15" s="21">
        <f>[2]基础状态预期!O26</f>
        <v>0.39667743813264456</v>
      </c>
      <c r="AI15" s="7">
        <f>[2]各r阵容卡情况!G20</f>
        <v>5</v>
      </c>
      <c r="AJ15" s="7">
        <f>[2]各r阵容卡情况!H20</f>
        <v>13</v>
      </c>
      <c r="AK15" s="7">
        <f>[2]各r阵容卡情况!I20</f>
        <v>3</v>
      </c>
      <c r="AL15" s="7">
        <f>[2]各r阵容卡情况!J20</f>
        <v>0</v>
      </c>
      <c r="AM15" s="7">
        <f>[2]各r阵容卡情况!K20</f>
        <v>3</v>
      </c>
      <c r="AN15" s="7">
        <f>[2]各r阵容卡情况!L20</f>
        <v>6</v>
      </c>
      <c r="AO15" s="7">
        <f>[2]各r阵容卡情况!M20</f>
        <v>2.6067935709357495</v>
      </c>
      <c r="AP15" s="7">
        <f>[2]各r阵容卡情况!N20</f>
        <v>0.39667743813264456</v>
      </c>
      <c r="AZ15" s="7">
        <f>[3]基础状态预期!C26</f>
        <v>65.075479910097457</v>
      </c>
      <c r="BA15" s="7">
        <f>[3]基础状态预期!D26</f>
        <v>90</v>
      </c>
      <c r="BB15" s="7">
        <f>[3]基础状态预期!E26</f>
        <v>3</v>
      </c>
      <c r="BC15" s="7">
        <f>[3]基础状态预期!F26</f>
        <v>7</v>
      </c>
      <c r="BD15" s="7">
        <f>[3]基础状态预期!G26</f>
        <v>20</v>
      </c>
      <c r="BE15" s="7">
        <f>[3]基础状态预期!H26</f>
        <v>1</v>
      </c>
      <c r="BF15" s="7">
        <f>[3]基础状态预期!I26</f>
        <v>6.59365459929327</v>
      </c>
      <c r="BG15" s="7">
        <f>[3]基础状态预期!J26</f>
        <v>5.0251849329588048</v>
      </c>
      <c r="BH15" s="7">
        <f>[3]基础状态预期!K26</f>
        <v>4.0560328256767892</v>
      </c>
      <c r="BI15" s="7">
        <f>[3]基础状态预期!L26</f>
        <v>3</v>
      </c>
      <c r="BM15" s="32" t="s">
        <v>235</v>
      </c>
      <c r="BN15" s="32" t="s">
        <v>203</v>
      </c>
      <c r="BO15" s="32">
        <v>79793.311414981305</v>
      </c>
      <c r="BP15" s="32">
        <v>94954.230756282486</v>
      </c>
    </row>
    <row r="16" spans="2:68">
      <c r="B16" s="40"/>
      <c r="C16" s="10">
        <f>[2]武将升星!C114</f>
        <v>0</v>
      </c>
      <c r="D16" s="10">
        <f>[2]武将升星!D114</f>
        <v>0</v>
      </c>
      <c r="E16" s="10">
        <f>[2]武将升星!E114</f>
        <v>0</v>
      </c>
      <c r="F16" s="10">
        <f>[2]武将升星!F114</f>
        <v>0</v>
      </c>
      <c r="G16" s="10">
        <f>[2]武将升星!G114</f>
        <v>0</v>
      </c>
      <c r="H16" s="10">
        <f>[2]武将升星!H114</f>
        <v>0</v>
      </c>
      <c r="I16" s="10">
        <f>[2]武将升星!I114</f>
        <v>0</v>
      </c>
      <c r="W16" s="21">
        <v>120</v>
      </c>
      <c r="X16" s="21">
        <f>[2]基础状态预期!D27</f>
        <v>69.18336653741882</v>
      </c>
      <c r="Y16" s="21">
        <f>[2]基础状态预期!F27</f>
        <v>0</v>
      </c>
      <c r="Z16" s="21">
        <f>[2]基础状态预期!G27</f>
        <v>0</v>
      </c>
      <c r="AA16" s="21">
        <f>[2]基础状态预期!H27</f>
        <v>0</v>
      </c>
      <c r="AB16" s="21">
        <f>[2]基础状态预期!I27</f>
        <v>2</v>
      </c>
      <c r="AC16" s="21">
        <f>[2]基础状态预期!J27</f>
        <v>4</v>
      </c>
      <c r="AD16" s="21">
        <f>[2]基础状态预期!K27</f>
        <v>0</v>
      </c>
      <c r="AE16" s="21">
        <f>[2]基础状态预期!L27</f>
        <v>0</v>
      </c>
      <c r="AF16" s="21">
        <f>[2]基础状态预期!M27</f>
        <v>0</v>
      </c>
      <c r="AG16" s="21">
        <f>[2]基础状态预期!N27</f>
        <v>3.0734059016701503</v>
      </c>
      <c r="AH16" s="21">
        <f>[2]基础状态预期!O27</f>
        <v>0.54753846594040123</v>
      </c>
      <c r="AI16" s="7">
        <f>[2]各r阵容卡情况!G21</f>
        <v>2</v>
      </c>
      <c r="AJ16" s="7">
        <f>[2]各r阵容卡情况!H21</f>
        <v>14</v>
      </c>
      <c r="AK16" s="7">
        <f>[2]各r阵容卡情况!I21</f>
        <v>5</v>
      </c>
      <c r="AL16" s="7">
        <f>[2]各r阵容卡情况!J21</f>
        <v>0</v>
      </c>
      <c r="AM16" s="7">
        <f>[2]各r阵容卡情况!K21</f>
        <v>3</v>
      </c>
      <c r="AN16" s="7">
        <f>[2]各r阵容卡情况!L21</f>
        <v>6</v>
      </c>
      <c r="AO16" s="7">
        <f>[2]各r阵容卡情况!M21</f>
        <v>3.0734059016701503</v>
      </c>
      <c r="AP16" s="7">
        <f>[2]各r阵容卡情况!N21</f>
        <v>0.54753846594040123</v>
      </c>
      <c r="AZ16" s="7">
        <f>[3]基础状态预期!C27</f>
        <v>69.18336653741882</v>
      </c>
      <c r="BA16" s="7">
        <f>[3]基础状态预期!D27</f>
        <v>120</v>
      </c>
      <c r="BB16" s="7">
        <f>[3]基础状态预期!E27</f>
        <v>3</v>
      </c>
      <c r="BC16" s="7">
        <f>[3]基础状态预期!F27</f>
        <v>7</v>
      </c>
      <c r="BD16" s="7">
        <f>[3]基础状态预期!G27</f>
        <v>20</v>
      </c>
      <c r="BE16" s="7">
        <f>[3]基础状态预期!H27</f>
        <v>1</v>
      </c>
      <c r="BF16" s="7">
        <f>[3]基础状态预期!I27</f>
        <v>6.9806347024863067</v>
      </c>
      <c r="BG16" s="7">
        <f>[3]基础状态预期!J27</f>
        <v>5.268204734605149</v>
      </c>
      <c r="BH16" s="7">
        <f>[3]基础状态预期!K27</f>
        <v>4.2634097230816703</v>
      </c>
      <c r="BI16" s="7">
        <f>[3]基础状态预期!L27</f>
        <v>3</v>
      </c>
      <c r="BM16" s="32" t="s">
        <v>204</v>
      </c>
      <c r="BN16" s="32" t="s">
        <v>203</v>
      </c>
      <c r="BO16" s="32">
        <v>91324.855439999999</v>
      </c>
      <c r="BP16" s="32">
        <v>91324.855439999999</v>
      </c>
    </row>
    <row r="17" spans="2:68">
      <c r="B17" s="40"/>
      <c r="C17" s="10">
        <f>[2]武将升星!C115</f>
        <v>1</v>
      </c>
      <c r="D17" s="10">
        <f>[2]武将升星!D115</f>
        <v>0</v>
      </c>
      <c r="E17" s="10">
        <f>[2]武将升星!E115</f>
        <v>0</v>
      </c>
      <c r="F17" s="10">
        <f>[2]武将升星!F115</f>
        <v>0</v>
      </c>
      <c r="G17" s="10">
        <f>[2]武将升星!G115</f>
        <v>0</v>
      </c>
      <c r="H17" s="10">
        <f>[2]武将升星!H115</f>
        <v>0</v>
      </c>
      <c r="I17" s="10">
        <f>[2]武将升星!I115</f>
        <v>0</v>
      </c>
      <c r="W17" s="21">
        <v>150</v>
      </c>
      <c r="X17" s="21">
        <f>[2]基础状态预期!D28</f>
        <v>72.375871759353331</v>
      </c>
      <c r="Y17" s="21">
        <f>[2]基础状态预期!F28</f>
        <v>0</v>
      </c>
      <c r="Z17" s="21">
        <f>[2]基础状态预期!G28</f>
        <v>0</v>
      </c>
      <c r="AA17" s="21">
        <f>[2]基础状态预期!H28</f>
        <v>0</v>
      </c>
      <c r="AB17" s="21">
        <f>[2]基础状态预期!I28</f>
        <v>1</v>
      </c>
      <c r="AC17" s="21">
        <f>[2]基础状态预期!J28</f>
        <v>5</v>
      </c>
      <c r="AD17" s="21">
        <f>[2]基础状态预期!K28</f>
        <v>0</v>
      </c>
      <c r="AE17" s="21">
        <f>[2]基础状态预期!L28</f>
        <v>0</v>
      </c>
      <c r="AF17" s="21">
        <f>[2]基础状态预期!M28</f>
        <v>0</v>
      </c>
      <c r="AG17" s="21">
        <f>[2]基础状态预期!N28</f>
        <v>3.3401358523199178</v>
      </c>
      <c r="AH17" s="21">
        <f>[2]基础状态预期!O28</f>
        <v>0.62931064115170154</v>
      </c>
      <c r="AI17" s="7">
        <f>[2]各r阵容卡情况!G22</f>
        <v>0</v>
      </c>
      <c r="AJ17" s="7">
        <f>[2]各r阵容卡情况!H22</f>
        <v>15</v>
      </c>
      <c r="AK17" s="7">
        <f>[2]各r阵容卡情况!I22</f>
        <v>6</v>
      </c>
      <c r="AL17" s="7">
        <f>[2]各r阵容卡情况!J22</f>
        <v>0</v>
      </c>
      <c r="AM17" s="7">
        <f>[2]各r阵容卡情况!K22</f>
        <v>3</v>
      </c>
      <c r="AN17" s="7">
        <f>[2]各r阵容卡情况!L22</f>
        <v>6</v>
      </c>
      <c r="AO17" s="7">
        <f>[2]各r阵容卡情况!M22</f>
        <v>3.3401358523199178</v>
      </c>
      <c r="AP17" s="7">
        <f>[2]各r阵容卡情况!N22</f>
        <v>0.62931064115170154</v>
      </c>
      <c r="AZ17" s="7">
        <f>[3]基础状态预期!C28</f>
        <v>72.375871759353331</v>
      </c>
      <c r="BA17" s="7">
        <f>[3]基础状态预期!D28</f>
        <v>150</v>
      </c>
      <c r="BB17" s="7">
        <f>[3]基础状态预期!E28</f>
        <v>3</v>
      </c>
      <c r="BC17" s="7">
        <f>[3]基础状态预期!F28</f>
        <v>7</v>
      </c>
      <c r="BD17" s="7">
        <f>[3]基础状态预期!G28</f>
        <v>20</v>
      </c>
      <c r="BE17" s="7">
        <f>[3]基础状态预期!H28</f>
        <v>3</v>
      </c>
      <c r="BF17" s="7">
        <f>[3]基础状态预期!I28</f>
        <v>7</v>
      </c>
      <c r="BG17" s="7">
        <f>[3]基础状态预期!J28</f>
        <v>5.5098811726642998</v>
      </c>
      <c r="BH17" s="7">
        <f>[3]基础状态预期!K28</f>
        <v>4.4180826434395266</v>
      </c>
      <c r="BI17" s="7">
        <f>[3]基础状态预期!L28</f>
        <v>3</v>
      </c>
      <c r="BM17" s="32" t="s">
        <v>185</v>
      </c>
      <c r="BN17" s="32" t="s">
        <v>203</v>
      </c>
      <c r="BO17" s="32">
        <v>991459.36112893699</v>
      </c>
      <c r="BP17" s="32">
        <v>1185364.4697275388</v>
      </c>
    </row>
    <row r="18" spans="2:68">
      <c r="B18" s="40"/>
      <c r="C18" s="10">
        <f>[2]武将升星!C116</f>
        <v>2</v>
      </c>
      <c r="D18" s="10">
        <f>[2]武将升星!D116</f>
        <v>0</v>
      </c>
      <c r="E18" s="10">
        <f>[2]武将升星!E116</f>
        <v>0</v>
      </c>
      <c r="F18" s="10">
        <f>[2]武将升星!F116</f>
        <v>0</v>
      </c>
      <c r="G18" s="10">
        <f>[2]武将升星!G116</f>
        <v>0</v>
      </c>
      <c r="H18" s="10">
        <f>[2]武将升星!H116</f>
        <v>0</v>
      </c>
      <c r="I18" s="10">
        <f>[2]武将升星!I116</f>
        <v>0</v>
      </c>
      <c r="W18" s="21">
        <v>180</v>
      </c>
      <c r="X18" s="21">
        <f>[2]基础状态预期!D29</f>
        <v>74.998404927577795</v>
      </c>
      <c r="Y18" s="21">
        <f>[2]基础状态预期!F29</f>
        <v>0</v>
      </c>
      <c r="Z18" s="21">
        <f>[2]基础状态预期!G29</f>
        <v>0</v>
      </c>
      <c r="AA18" s="21">
        <f>[2]基础状态预期!H29</f>
        <v>0</v>
      </c>
      <c r="AB18" s="21">
        <f>[2]基础状态预期!I29</f>
        <v>0.5</v>
      </c>
      <c r="AC18" s="21">
        <f>[2]基础状态预期!J29</f>
        <v>5.5</v>
      </c>
      <c r="AD18" s="21">
        <f>[2]基础状态预期!K29</f>
        <v>0</v>
      </c>
      <c r="AE18" s="21">
        <f>[2]基础状态预期!L29</f>
        <v>0</v>
      </c>
      <c r="AF18" s="21">
        <f>[2]基础状态预期!M29</f>
        <v>0</v>
      </c>
      <c r="AG18" s="21">
        <f>[2]基础状态预期!N29</f>
        <v>3.602282356190682</v>
      </c>
      <c r="AH18" s="21">
        <f>[2]基础状态预期!O29</f>
        <v>0.82578907709734017</v>
      </c>
      <c r="AI18" s="7">
        <f>[2]各r阵容卡情况!G23</f>
        <v>0</v>
      </c>
      <c r="AJ18" s="7">
        <f>[2]各r阵容卡情况!H23</f>
        <v>16</v>
      </c>
      <c r="AK18" s="7">
        <f>[2]各r阵容卡情况!I23</f>
        <v>7</v>
      </c>
      <c r="AL18" s="7">
        <f>[2]各r阵容卡情况!J23</f>
        <v>0</v>
      </c>
      <c r="AM18" s="7">
        <f>[2]各r阵容卡情况!K23</f>
        <v>3</v>
      </c>
      <c r="AN18" s="7">
        <f>[2]各r阵容卡情况!L23</f>
        <v>6</v>
      </c>
      <c r="AO18" s="7">
        <f>[2]各r阵容卡情况!M23</f>
        <v>3.602282356190682</v>
      </c>
      <c r="AP18" s="7">
        <f>[2]各r阵容卡情况!N23</f>
        <v>0.82578907709734017</v>
      </c>
      <c r="AZ18" s="7">
        <f>[3]基础状态预期!C29</f>
        <v>74.998404927577795</v>
      </c>
      <c r="BA18" s="7">
        <f>[3]基础状态预期!D29</f>
        <v>180</v>
      </c>
      <c r="BB18" s="7">
        <f>[3]基础状态预期!E29</f>
        <v>3</v>
      </c>
      <c r="BC18" s="7">
        <f>[3]基础状态预期!F29</f>
        <v>7</v>
      </c>
      <c r="BD18" s="7">
        <f>[3]基础状态预期!G29</f>
        <v>20</v>
      </c>
      <c r="BE18" s="7">
        <f>[3]基础状态预期!H29</f>
        <v>4</v>
      </c>
      <c r="BF18" s="7">
        <f>[3]基础状态预期!I29</f>
        <v>7</v>
      </c>
      <c r="BG18" s="7">
        <f>[3]基础状态预期!J29</f>
        <v>5.7515416081251516</v>
      </c>
      <c r="BH18" s="7">
        <f>[3]基础状态预期!K29</f>
        <v>4.5727453221344723</v>
      </c>
      <c r="BI18" s="7">
        <f>[3]基础状态预期!L29</f>
        <v>3</v>
      </c>
      <c r="BM18" s="32" t="s">
        <v>205</v>
      </c>
      <c r="BN18" s="32" t="s">
        <v>203</v>
      </c>
      <c r="BO18" s="32">
        <v>76875.190001272436</v>
      </c>
      <c r="BP18" s="32">
        <v>80300.99047249867</v>
      </c>
    </row>
    <row r="19" spans="2:68">
      <c r="B19" s="40"/>
      <c r="C19" s="10">
        <f>[2]武将升星!C117</f>
        <v>3</v>
      </c>
      <c r="D19" s="10">
        <f>[2]武将升星!D117</f>
        <v>0</v>
      </c>
      <c r="E19" s="10">
        <f>[2]武将升星!E117</f>
        <v>0</v>
      </c>
      <c r="F19" s="10">
        <f>[2]武将升星!F117</f>
        <v>0</v>
      </c>
      <c r="G19" s="10">
        <f>[2]武将升星!G117</f>
        <v>1</v>
      </c>
      <c r="H19" s="10">
        <f>[2]武将升星!H117</f>
        <v>0</v>
      </c>
      <c r="I19" s="10">
        <f>[2]武将升星!I117</f>
        <v>0</v>
      </c>
      <c r="W19" s="21">
        <v>220</v>
      </c>
      <c r="X19" s="21">
        <f>[2]基础状态预期!D30</f>
        <v>77.875308029777003</v>
      </c>
      <c r="Y19" s="21">
        <f>[2]基础状态预期!F30</f>
        <v>0</v>
      </c>
      <c r="Z19" s="21">
        <f>[2]基础状态预期!G30</f>
        <v>0</v>
      </c>
      <c r="AA19" s="21">
        <f>[2]基础状态预期!H30</f>
        <v>0</v>
      </c>
      <c r="AB19" s="21">
        <f>[2]基础状态预期!I30</f>
        <v>0</v>
      </c>
      <c r="AC19" s="21">
        <f>[2]基础状态预期!J30</f>
        <v>6</v>
      </c>
      <c r="AD19" s="21">
        <f>[2]基础状态预期!K30</f>
        <v>0</v>
      </c>
      <c r="AE19" s="21">
        <f>[2]基础状态预期!L30</f>
        <v>0</v>
      </c>
      <c r="AF19" s="21">
        <f>[2]基础状态预期!M30</f>
        <v>0</v>
      </c>
      <c r="AG19" s="21">
        <f>[2]基础状态预期!N30</f>
        <v>0</v>
      </c>
      <c r="AH19" s="21">
        <f>[2]基础状态预期!O30</f>
        <v>1.0275986097422289</v>
      </c>
      <c r="AI19" s="7">
        <f>[2]各r阵容卡情况!G24</f>
        <v>0</v>
      </c>
      <c r="AJ19" s="7">
        <f>[2]各r阵容卡情况!H24</f>
        <v>16</v>
      </c>
      <c r="AK19" s="7">
        <f>[2]各r阵容卡情况!I24</f>
        <v>8</v>
      </c>
      <c r="AL19" s="7">
        <f>[2]各r阵容卡情况!J24</f>
        <v>0</v>
      </c>
      <c r="AM19" s="7">
        <f>[2]各r阵容卡情况!K24</f>
        <v>3</v>
      </c>
      <c r="AN19" s="7">
        <f>[2]各r阵容卡情况!L24</f>
        <v>6</v>
      </c>
      <c r="AO19" s="7">
        <f>[2]各r阵容卡情况!M24</f>
        <v>3.9215637362720326</v>
      </c>
      <c r="AP19" s="7">
        <f>[2]各r阵容卡情况!N24</f>
        <v>1.0275986097422289</v>
      </c>
      <c r="AZ19" s="7">
        <f>[3]基础状态预期!C30</f>
        <v>77.875308029777003</v>
      </c>
      <c r="BA19" s="7">
        <f>[3]基础状态预期!D30</f>
        <v>220</v>
      </c>
      <c r="BB19" s="7">
        <f>[3]基础状态预期!E30</f>
        <v>3</v>
      </c>
      <c r="BC19" s="7">
        <f>[3]基础状态预期!F30</f>
        <v>7</v>
      </c>
      <c r="BD19" s="7">
        <f>[3]基础状态预期!G30</f>
        <v>20</v>
      </c>
      <c r="BE19" s="7">
        <f>[3]基础状态预期!H30</f>
        <v>6</v>
      </c>
      <c r="BF19" s="7">
        <f>[3]基础状态预期!I30</f>
        <v>7</v>
      </c>
      <c r="BG19" s="7">
        <f>[3]基础状态预期!J30</f>
        <v>6.0203178438027924</v>
      </c>
      <c r="BH19" s="7">
        <f>[3]基础状态预期!K30</f>
        <v>4.7577655330019493</v>
      </c>
      <c r="BI19" s="7">
        <f>[3]基础状态预期!L30</f>
        <v>3</v>
      </c>
      <c r="BM19" s="32" t="s">
        <v>206</v>
      </c>
      <c r="BN19" s="32" t="s">
        <v>203</v>
      </c>
      <c r="BO19" s="32">
        <v>76875.190001272436</v>
      </c>
      <c r="BP19" s="32">
        <v>80300.99047249867</v>
      </c>
    </row>
    <row r="20" spans="2:68">
      <c r="B20" s="40"/>
      <c r="C20" s="10">
        <f>[2]武将升星!C118</f>
        <v>4</v>
      </c>
      <c r="D20" s="10">
        <f>[2]武将升星!D118</f>
        <v>0</v>
      </c>
      <c r="E20" s="10">
        <f>[2]武将升星!E118</f>
        <v>0</v>
      </c>
      <c r="F20" s="10">
        <f>[2]武将升星!F118</f>
        <v>1</v>
      </c>
      <c r="G20" s="10">
        <f>[2]武将升星!G118</f>
        <v>1</v>
      </c>
      <c r="H20" s="10">
        <f>[2]武将升星!H118</f>
        <v>0</v>
      </c>
      <c r="I20" s="10">
        <f>[2]武将升星!I118</f>
        <v>0</v>
      </c>
      <c r="W20" s="21">
        <v>260</v>
      </c>
      <c r="X20" s="21">
        <f>[2]基础状态预期!D31</f>
        <v>80.272123558064706</v>
      </c>
      <c r="Y20" s="21">
        <f>[2]基础状态预期!F31</f>
        <v>0</v>
      </c>
      <c r="Z20" s="21">
        <f>[2]基础状态预期!G31</f>
        <v>0</v>
      </c>
      <c r="AA20" s="21">
        <f>[2]基础状态预期!H31</f>
        <v>0</v>
      </c>
      <c r="AB20" s="21">
        <f>[2]基础状态预期!I31</f>
        <v>0</v>
      </c>
      <c r="AC20" s="21">
        <f>[2]基础状态预期!J31</f>
        <v>6</v>
      </c>
      <c r="AD20" s="21">
        <f>[2]基础状态预期!K31</f>
        <v>0</v>
      </c>
      <c r="AE20" s="21">
        <f>[2]基础状态预期!L31</f>
        <v>0</v>
      </c>
      <c r="AF20" s="21">
        <f>[2]基础状态预期!M31</f>
        <v>0</v>
      </c>
      <c r="AG20" s="21">
        <f>[2]基础状态预期!N31</f>
        <v>0</v>
      </c>
      <c r="AH20" s="21">
        <f>[2]基础状态预期!O31</f>
        <v>1.3632886477348949</v>
      </c>
      <c r="AI20" s="7">
        <f>[2]各r阵容卡情况!G25</f>
        <v>0</v>
      </c>
      <c r="AJ20" s="7">
        <f>[2]各r阵容卡情况!H25</f>
        <v>14</v>
      </c>
      <c r="AK20" s="7">
        <f>[2]各r阵容卡情况!I25</f>
        <v>10</v>
      </c>
      <c r="AL20" s="7">
        <f>[2]各r阵容卡情况!J25</f>
        <v>0</v>
      </c>
      <c r="AM20" s="7">
        <f>[2]各r阵容卡情况!K25</f>
        <v>3</v>
      </c>
      <c r="AN20" s="7">
        <f>[2]各r阵容卡情况!L25</f>
        <v>6</v>
      </c>
      <c r="AO20" s="7">
        <f>[2]各r阵容卡情况!M25</f>
        <v>4.2326242533687317</v>
      </c>
      <c r="AP20" s="7">
        <f>[2]各r阵容卡情况!N25</f>
        <v>1.3632886477348949</v>
      </c>
      <c r="AZ20" s="7">
        <f>[3]基础状态预期!C31</f>
        <v>80.272123558064706</v>
      </c>
      <c r="BA20" s="7">
        <f>[3]基础状态预期!D31</f>
        <v>260</v>
      </c>
      <c r="BB20" s="7">
        <f>[3]基础状态预期!E31</f>
        <v>3</v>
      </c>
      <c r="BC20" s="7">
        <f>[3]基础状态预期!F31</f>
        <v>7</v>
      </c>
      <c r="BD20" s="7">
        <f>[3]基础状态预期!G31</f>
        <v>20</v>
      </c>
      <c r="BE20" s="7">
        <f>[3]基础状态预期!H31</f>
        <v>7</v>
      </c>
      <c r="BF20" s="7">
        <f>[3]基础状态预期!I31</f>
        <v>7</v>
      </c>
      <c r="BG20" s="7">
        <f>[3]基础状态预期!J31</f>
        <v>6.1648568822438605</v>
      </c>
      <c r="BH20" s="7">
        <f>[3]基础状态预期!K31</f>
        <v>4.9427755022065156</v>
      </c>
      <c r="BI20" s="7">
        <f>[3]基础状态预期!L31</f>
        <v>3</v>
      </c>
      <c r="BM20" s="32" t="s">
        <v>207</v>
      </c>
      <c r="BN20" s="32" t="s">
        <v>203</v>
      </c>
      <c r="BO20" s="32">
        <v>76875.190001272436</v>
      </c>
      <c r="BP20" s="32">
        <v>80300.99047249867</v>
      </c>
    </row>
    <row r="21" spans="2:68">
      <c r="B21" s="40"/>
      <c r="C21" s="10">
        <f>[2]武将升星!C119</f>
        <v>5</v>
      </c>
      <c r="D21" s="10">
        <f>[2]武将升星!D119</f>
        <v>0</v>
      </c>
      <c r="E21" s="10">
        <f>[2]武将升星!E119</f>
        <v>0</v>
      </c>
      <c r="F21" s="10">
        <f>[2]武将升星!F119</f>
        <v>1</v>
      </c>
      <c r="G21" s="10">
        <f>[2]武将升星!G119</f>
        <v>3</v>
      </c>
      <c r="H21" s="10">
        <f>[2]武将升星!H119</f>
        <v>0</v>
      </c>
      <c r="I21" s="10">
        <f>[2]武将升星!I119</f>
        <v>0</v>
      </c>
      <c r="W21" s="21">
        <v>300</v>
      </c>
      <c r="X21" s="21">
        <f>[2]基础状态预期!D32</f>
        <v>82.328492296001457</v>
      </c>
      <c r="Y21" s="21">
        <f>[2]基础状态预期!F32</f>
        <v>0</v>
      </c>
      <c r="Z21" s="21">
        <f>[2]基础状态预期!G32</f>
        <v>0</v>
      </c>
      <c r="AA21" s="21">
        <f>[2]基础状态预期!H32</f>
        <v>0</v>
      </c>
      <c r="AB21" s="21">
        <f>[2]基础状态预期!I32</f>
        <v>0</v>
      </c>
      <c r="AC21" s="21">
        <f>[2]基础状态预期!J32</f>
        <v>6</v>
      </c>
      <c r="AD21" s="21">
        <f>[2]基础状态预期!K32</f>
        <v>0</v>
      </c>
      <c r="AE21" s="21">
        <f>[2]基础状态预期!L32</f>
        <v>0</v>
      </c>
      <c r="AF21" s="21">
        <f>[2]基础状态预期!M32</f>
        <v>0</v>
      </c>
      <c r="AG21" s="21">
        <f>[2]基础状态预期!N32</f>
        <v>0</v>
      </c>
      <c r="AH21" s="21">
        <f>[2]基础状态预期!O32</f>
        <v>1.7052382542385671</v>
      </c>
      <c r="AI21" s="7">
        <f>[2]各r阵容卡情况!G26</f>
        <v>0</v>
      </c>
      <c r="AJ21" s="7">
        <f>[2]各r阵容卡情况!H26</f>
        <v>12</v>
      </c>
      <c r="AK21" s="7">
        <f>[2]各r阵容卡情况!I26</f>
        <v>12</v>
      </c>
      <c r="AL21" s="7">
        <f>[2]各r阵容卡情况!J26</f>
        <v>0</v>
      </c>
      <c r="AM21" s="7">
        <f>[2]各r阵容卡情况!K26</f>
        <v>3</v>
      </c>
      <c r="AN21" s="7">
        <f>[2]各r阵容卡情况!L26</f>
        <v>6</v>
      </c>
      <c r="AO21" s="7">
        <f>[2]各r阵容卡情况!M26</f>
        <v>4.5465015762953858</v>
      </c>
      <c r="AP21" s="7">
        <f>[2]各r阵容卡情况!N26</f>
        <v>1.7052382542385671</v>
      </c>
      <c r="AZ21" s="7">
        <f>[3]基础状态预期!C32</f>
        <v>82.328492296001457</v>
      </c>
      <c r="BA21" s="7">
        <f>[3]基础状态预期!D32</f>
        <v>300</v>
      </c>
      <c r="BB21" s="7">
        <f>[3]基础状态预期!E32</f>
        <v>3</v>
      </c>
      <c r="BC21" s="7">
        <f>[3]基础状态预期!F32</f>
        <v>7</v>
      </c>
      <c r="BD21" s="7">
        <f>[3]基础状态预期!G32</f>
        <v>20</v>
      </c>
      <c r="BE21" s="7">
        <f>[3]基础状态预期!H32</f>
        <v>8</v>
      </c>
      <c r="BF21" s="7">
        <f>[3]基础状态预期!I32</f>
        <v>7</v>
      </c>
      <c r="BG21" s="7">
        <f>[3]基础状态预期!J32</f>
        <v>6.3093959206849277</v>
      </c>
      <c r="BH21" s="7">
        <f>[3]基础状态预期!K32</f>
        <v>5.063892735705541</v>
      </c>
      <c r="BI21" s="7">
        <f>[3]基础状态预期!L32</f>
        <v>3.1410157018001672</v>
      </c>
      <c r="BM21" s="32" t="s">
        <v>208</v>
      </c>
      <c r="BN21" s="32" t="s">
        <v>203</v>
      </c>
      <c r="BO21" s="32"/>
      <c r="BP21" s="32"/>
    </row>
    <row r="22" spans="2:68">
      <c r="B22" s="40"/>
      <c r="C22" s="10">
        <f>[2]武将升星!C120</f>
        <v>6</v>
      </c>
      <c r="D22" s="10">
        <f>[2]武将升星!D120</f>
        <v>0</v>
      </c>
      <c r="E22" s="10">
        <f>[2]武将升星!E120</f>
        <v>0</v>
      </c>
      <c r="F22" s="10">
        <f>[2]武将升星!F120</f>
        <v>3</v>
      </c>
      <c r="G22" s="10">
        <f>[2]武将升星!G120</f>
        <v>3</v>
      </c>
      <c r="H22" s="10">
        <f>[2]武将升星!H120</f>
        <v>0</v>
      </c>
      <c r="I22" s="10">
        <f>[2]武将升星!I120</f>
        <v>0</v>
      </c>
      <c r="W22" s="21">
        <v>340</v>
      </c>
      <c r="X22" s="21">
        <f>[2]基础状态预期!D33</f>
        <v>84.132234338875293</v>
      </c>
      <c r="Y22" s="21">
        <f>[2]基础状态预期!F33</f>
        <v>0</v>
      </c>
      <c r="Z22" s="21">
        <f>[2]基础状态预期!G33</f>
        <v>0</v>
      </c>
      <c r="AA22" s="21">
        <f>[2]基础状态预期!H33</f>
        <v>0</v>
      </c>
      <c r="AB22" s="21">
        <f>[2]基础状态预期!I33</f>
        <v>0</v>
      </c>
      <c r="AC22" s="21">
        <f>[2]基础状态预期!J33</f>
        <v>6</v>
      </c>
      <c r="AD22" s="21">
        <f>[2]基础状态预期!K33</f>
        <v>0</v>
      </c>
      <c r="AE22" s="21">
        <f>[2]基础状态预期!L33</f>
        <v>0</v>
      </c>
      <c r="AF22" s="21">
        <f>[2]基础状态预期!M33</f>
        <v>0</v>
      </c>
      <c r="AG22" s="21">
        <f>[2]基础状态预期!N33</f>
        <v>0</v>
      </c>
      <c r="AH22" s="21">
        <f>[2]基础状态预期!O33</f>
        <v>2.0322119479409646</v>
      </c>
      <c r="AI22" s="7">
        <f>[2]各r阵容卡情况!G27</f>
        <v>0</v>
      </c>
      <c r="AJ22" s="7">
        <f>[2]各r阵容卡情况!H27</f>
        <v>10</v>
      </c>
      <c r="AK22" s="7">
        <f>[2]各r阵容卡情况!I27</f>
        <v>14</v>
      </c>
      <c r="AL22" s="7">
        <f>[2]各r阵容卡情况!J27</f>
        <v>0</v>
      </c>
      <c r="AM22" s="7">
        <f>[2]各r阵容卡情况!K27</f>
        <v>3</v>
      </c>
      <c r="AN22" s="7">
        <f>[2]各r阵容卡情况!L27</f>
        <v>6</v>
      </c>
      <c r="AO22" s="7">
        <f>[2]各r阵容卡情况!M27</f>
        <v>4.8536397384614638</v>
      </c>
      <c r="AP22" s="7">
        <f>[2]各r阵容卡情况!N27</f>
        <v>2.0322119479409646</v>
      </c>
      <c r="AZ22" s="7">
        <f>[3]基础状态预期!C33</f>
        <v>84.132234338875293</v>
      </c>
      <c r="BA22" s="7">
        <f>[3]基础状态预期!D33</f>
        <v>340</v>
      </c>
      <c r="BB22" s="7">
        <f>[3]基础状态预期!E33</f>
        <v>3</v>
      </c>
      <c r="BC22" s="7">
        <f>[3]基础状态预期!F33</f>
        <v>7</v>
      </c>
      <c r="BD22" s="7">
        <f>[3]基础状态预期!G33</f>
        <v>20</v>
      </c>
      <c r="BE22" s="7">
        <f>[3]基础状态预期!H33</f>
        <v>8</v>
      </c>
      <c r="BF22" s="7">
        <f>[3]基础状态预期!I33</f>
        <v>7</v>
      </c>
      <c r="BG22" s="7">
        <f>[3]基础状态预期!J33</f>
        <v>6.4538899300201873</v>
      </c>
      <c r="BH22" s="7">
        <f>[3]基础状态预期!K33</f>
        <v>5.1563689016801071</v>
      </c>
      <c r="BI22" s="7">
        <f>[3]基础状态预期!L33</f>
        <v>3.3523897954563182</v>
      </c>
      <c r="BM22" s="32" t="s">
        <v>169</v>
      </c>
      <c r="BN22" s="32" t="s">
        <v>203</v>
      </c>
      <c r="BO22" s="32">
        <v>16907.530453405256</v>
      </c>
      <c r="BP22" s="32">
        <v>35098.846942737771</v>
      </c>
    </row>
    <row r="23" spans="2:68">
      <c r="B23" s="40"/>
      <c r="C23" s="10">
        <f>[2]武将升星!C121</f>
        <v>7</v>
      </c>
      <c r="D23" s="10">
        <f>[2]武将升星!D121</f>
        <v>0</v>
      </c>
      <c r="E23" s="10">
        <f>[2]武将升星!E121</f>
        <v>0</v>
      </c>
      <c r="F23" s="10">
        <f>[2]武将升星!F121</f>
        <v>3</v>
      </c>
      <c r="G23" s="10">
        <f>[2]武将升星!G121</f>
        <v>6</v>
      </c>
      <c r="H23" s="10">
        <f>[2]武将升星!H121</f>
        <v>0</v>
      </c>
      <c r="I23" s="10">
        <f>[2]武将升星!I121</f>
        <v>0</v>
      </c>
      <c r="W23" s="21">
        <v>400</v>
      </c>
      <c r="X23" s="21">
        <f>[2]基础状态预期!D34</f>
        <v>86.465948248806328</v>
      </c>
      <c r="Y23" s="21">
        <f>[2]基础状态预期!F34</f>
        <v>0</v>
      </c>
      <c r="Z23" s="21">
        <f>[2]基础状态预期!G34</f>
        <v>0</v>
      </c>
      <c r="AA23" s="21">
        <f>[2]基础状态预期!H34</f>
        <v>0</v>
      </c>
      <c r="AB23" s="21">
        <f>[2]基础状态预期!I34</f>
        <v>0</v>
      </c>
      <c r="AC23" s="21">
        <f>[2]基础状态预期!J34</f>
        <v>6</v>
      </c>
      <c r="AD23" s="21">
        <f>[2]基础状态预期!K34</f>
        <v>0</v>
      </c>
      <c r="AE23" s="21">
        <f>[2]基础状态预期!L34</f>
        <v>0</v>
      </c>
      <c r="AF23" s="21">
        <f>[2]基础状态预期!M34</f>
        <v>0</v>
      </c>
      <c r="AG23" s="21">
        <f>[2]基础状态预期!N34</f>
        <v>0</v>
      </c>
      <c r="AH23" s="21">
        <f>[2]基础状态预期!O34</f>
        <v>2.4865153565654303</v>
      </c>
      <c r="AI23" s="7">
        <f>[2]各r阵容卡情况!G28</f>
        <v>0</v>
      </c>
      <c r="AJ23" s="7">
        <f>[2]各r阵容卡情况!H28</f>
        <v>8</v>
      </c>
      <c r="AK23" s="7">
        <f>[2]各r阵容卡情况!I28</f>
        <v>16</v>
      </c>
      <c r="AL23" s="7">
        <f>[2]各r阵容卡情况!J28</f>
        <v>0</v>
      </c>
      <c r="AM23" s="7">
        <f>[2]各r阵容卡情况!K28</f>
        <v>3</v>
      </c>
      <c r="AN23" s="7">
        <f>[2]各r阵容卡情况!L28</f>
        <v>6</v>
      </c>
      <c r="AO23" s="7">
        <f>[2]各r阵容卡情况!M28</f>
        <v>5.198717514894982</v>
      </c>
      <c r="AP23" s="7">
        <f>[2]各r阵容卡情况!N28</f>
        <v>2.4865153565654303</v>
      </c>
      <c r="AZ23" s="7">
        <f>[3]基础状态预期!C34</f>
        <v>86.465948248806328</v>
      </c>
      <c r="BA23" s="7">
        <f>[3]基础状态预期!D34</f>
        <v>400</v>
      </c>
      <c r="BB23" s="7">
        <f>[3]基础状态预期!E34</f>
        <v>3</v>
      </c>
      <c r="BC23" s="7">
        <f>[3]基础状态预期!F34</f>
        <v>7</v>
      </c>
      <c r="BD23" s="7">
        <f>[3]基础状态预期!G34</f>
        <v>20</v>
      </c>
      <c r="BE23" s="7">
        <f>[3]基础状态预期!H34</f>
        <v>8</v>
      </c>
      <c r="BF23" s="7">
        <f>[3]基础状态预期!I34</f>
        <v>7</v>
      </c>
      <c r="BG23" s="7">
        <f>[3]基础状态预期!J34</f>
        <v>6.6576296533989101</v>
      </c>
      <c r="BH23" s="7">
        <f>[3]基础状态预期!K34</f>
        <v>5.2867623246424893</v>
      </c>
      <c r="BI23" s="7">
        <f>[3]基础状态预期!L34</f>
        <v>3.6504319050846208</v>
      </c>
      <c r="BM23" s="32" t="s">
        <v>171</v>
      </c>
      <c r="BN23" s="32" t="s">
        <v>203</v>
      </c>
      <c r="BO23" s="32">
        <v>16907.530453405256</v>
      </c>
      <c r="BP23" s="32">
        <v>35098.846942737771</v>
      </c>
    </row>
    <row r="24" spans="2:68">
      <c r="B24" s="41"/>
      <c r="C24" s="10">
        <f>[2]武将升星!C122</f>
        <v>8</v>
      </c>
      <c r="D24" s="10">
        <f>[2]武将升星!D122</f>
        <v>0</v>
      </c>
      <c r="E24" s="10">
        <f>[2]武将升星!E122</f>
        <v>0</v>
      </c>
      <c r="F24" s="10">
        <f>[2]武将升星!F122</f>
        <v>3</v>
      </c>
      <c r="G24" s="10">
        <f>[2]武将升星!G122</f>
        <v>6</v>
      </c>
      <c r="H24" s="10">
        <f>[2]武将升星!H122</f>
        <v>0</v>
      </c>
      <c r="I24" s="10">
        <f>[2]武将升星!I122</f>
        <v>0</v>
      </c>
      <c r="W24" s="21">
        <v>520</v>
      </c>
      <c r="X24" s="21">
        <f>[2]基础状态预期!D35</f>
        <v>90.244911202258237</v>
      </c>
      <c r="Y24" s="21">
        <f>[2]基础状态预期!F35</f>
        <v>0</v>
      </c>
      <c r="Z24" s="21">
        <f>[2]基础状态预期!G35</f>
        <v>0</v>
      </c>
      <c r="AA24" s="21">
        <f>[2]基础状态预期!H35</f>
        <v>0</v>
      </c>
      <c r="AB24" s="21">
        <f>[2]基础状态预期!I35</f>
        <v>0</v>
      </c>
      <c r="AC24" s="21">
        <f>[2]基础状态预期!J35</f>
        <v>6</v>
      </c>
      <c r="AD24" s="21">
        <f>[2]基础状态预期!K35</f>
        <v>0</v>
      </c>
      <c r="AE24" s="21">
        <f>[2]基础状态预期!L35</f>
        <v>0</v>
      </c>
      <c r="AF24" s="21">
        <f>[2]基础状态预期!M35</f>
        <v>0</v>
      </c>
      <c r="AG24" s="21">
        <f>[2]基础状态预期!N35</f>
        <v>0</v>
      </c>
      <c r="AH24" s="21">
        <f>[2]基础状态预期!O35</f>
        <v>3.1633430656911465</v>
      </c>
      <c r="AI24" s="7">
        <f>[2]各r阵容卡情况!G29</f>
        <v>0</v>
      </c>
      <c r="AJ24" s="7">
        <f>[2]各r阵容卡情况!H29</f>
        <v>6</v>
      </c>
      <c r="AK24" s="7">
        <f>[2]各r阵容卡情况!I29</f>
        <v>18</v>
      </c>
      <c r="AL24" s="7">
        <f>[2]各r阵容卡情况!J29</f>
        <v>0</v>
      </c>
      <c r="AM24" s="7">
        <f>[2]各r阵容卡情况!K29</f>
        <v>3</v>
      </c>
      <c r="AN24" s="7">
        <f>[2]各r阵容卡情况!L29</f>
        <v>6</v>
      </c>
      <c r="AO24" s="7">
        <f>[2]各r阵容卡情况!M29</f>
        <v>5.7707687473400417</v>
      </c>
      <c r="AP24" s="7">
        <f>[2]各r阵容卡情况!N29</f>
        <v>3.1633430656911465</v>
      </c>
      <c r="AZ24" s="7">
        <f>[3]基础状态预期!C35</f>
        <v>90.244911202258237</v>
      </c>
      <c r="BA24" s="7">
        <f>[3]基础状态预期!D35</f>
        <v>520</v>
      </c>
      <c r="BB24" s="7">
        <f>[3]基础状态预期!E35</f>
        <v>3</v>
      </c>
      <c r="BC24" s="7">
        <f>[3]基础状态预期!F35</f>
        <v>7</v>
      </c>
      <c r="BD24" s="7">
        <f>[3]基础状态预期!G35</f>
        <v>20</v>
      </c>
      <c r="BE24" s="7">
        <f>[3]基础状态预期!H35</f>
        <v>8</v>
      </c>
      <c r="BF24" s="7">
        <f>[3]基础状态预期!I35</f>
        <v>7</v>
      </c>
      <c r="BG24" s="7">
        <f>[3]基础状态预期!J35</f>
        <v>7</v>
      </c>
      <c r="BH24" s="7">
        <f>[3]基础状态预期!K35</f>
        <v>5.5390986607430603</v>
      </c>
      <c r="BI24" s="7">
        <f>[3]基础状态预期!L35</f>
        <v>4.1136003366572478</v>
      </c>
      <c r="BM24" s="32" t="s">
        <v>173</v>
      </c>
      <c r="BN24" s="32" t="s">
        <v>203</v>
      </c>
      <c r="BO24" s="32">
        <v>16907.530453405256</v>
      </c>
      <c r="BP24" s="32">
        <v>35098.846942737771</v>
      </c>
    </row>
    <row r="25" spans="2:68">
      <c r="B25" s="39" t="s">
        <v>106</v>
      </c>
      <c r="C25" s="10" t="str">
        <f>[2]武将升星!C123</f>
        <v>星级</v>
      </c>
      <c r="D25" s="10" t="str">
        <f>[2]武将升星!D123</f>
        <v>绿</v>
      </c>
      <c r="E25" s="10" t="str">
        <f>[2]武将升星!E123</f>
        <v>蓝</v>
      </c>
      <c r="F25" s="10" t="str">
        <f>[2]武将升星!F123</f>
        <v>紫</v>
      </c>
      <c r="G25" s="10" t="str">
        <f>[2]武将升星!G123</f>
        <v>橙</v>
      </c>
      <c r="H25" s="10" t="str">
        <f>[2]武将升星!H123</f>
        <v>橙+</v>
      </c>
      <c r="I25" s="10" t="str">
        <f>[2]武将升星!I123</f>
        <v>红</v>
      </c>
      <c r="W25" s="21">
        <v>640</v>
      </c>
      <c r="X25" s="21">
        <f>[2]基础状态预期!D36</f>
        <v>93.235489905456092</v>
      </c>
      <c r="Y25" s="21">
        <f>[2]基础状态预期!F36</f>
        <v>0</v>
      </c>
      <c r="Z25" s="21">
        <f>[2]基础状态预期!G36</f>
        <v>0</v>
      </c>
      <c r="AA25" s="21">
        <f>[2]基础状态预期!H36</f>
        <v>0</v>
      </c>
      <c r="AB25" s="21">
        <f>[2]基础状态预期!I36</f>
        <v>0</v>
      </c>
      <c r="AC25" s="21">
        <f>[2]基础状态预期!J36</f>
        <v>6</v>
      </c>
      <c r="AD25" s="21">
        <f>[2]基础状态预期!K36</f>
        <v>0</v>
      </c>
      <c r="AE25" s="21">
        <f>[2]基础状态预期!L36</f>
        <v>0</v>
      </c>
      <c r="AF25" s="21">
        <f>[2]基础状态预期!M36</f>
        <v>0</v>
      </c>
      <c r="AG25" s="21">
        <f>[2]基础状态预期!N36</f>
        <v>0</v>
      </c>
      <c r="AH25" s="21">
        <f>[2]基础状态预期!O36</f>
        <v>3.5804588126018682</v>
      </c>
      <c r="AI25" s="7">
        <f>[2]各r阵容卡情况!G30</f>
        <v>0</v>
      </c>
      <c r="AJ25" s="7">
        <f>[2]各r阵容卡情况!H30</f>
        <v>4</v>
      </c>
      <c r="AK25" s="7">
        <f>[2]各r阵容卡情况!I30</f>
        <v>20</v>
      </c>
      <c r="AL25" s="7">
        <f>[2]各r阵容卡情况!J30</f>
        <v>0</v>
      </c>
      <c r="AM25" s="7">
        <f>[2]各r阵容卡情况!K30</f>
        <v>3</v>
      </c>
      <c r="AN25" s="7">
        <f>[2]各r阵容卡情况!L30</f>
        <v>6</v>
      </c>
      <c r="AO25" s="7">
        <f>[2]各r阵容卡情况!M30</f>
        <v>6.3410381954864743</v>
      </c>
      <c r="AP25" s="7">
        <f>[2]各r阵容卡情况!N30</f>
        <v>3.5804588126018682</v>
      </c>
      <c r="AZ25" s="7">
        <f>[3]基础状态预期!C36</f>
        <v>93.235489905456092</v>
      </c>
      <c r="BA25" s="7">
        <f>[3]基础状态预期!D36</f>
        <v>640</v>
      </c>
      <c r="BB25" s="7">
        <f>[3]基础状态预期!E36</f>
        <v>3</v>
      </c>
      <c r="BC25" s="7">
        <f>[3]基础状态预期!F36</f>
        <v>7</v>
      </c>
      <c r="BD25" s="7">
        <f>[3]基础状态预期!G36</f>
        <v>20</v>
      </c>
      <c r="BE25" s="7">
        <f>[3]基础状态预期!H36</f>
        <v>8</v>
      </c>
      <c r="BF25" s="7">
        <f>[3]基础状态预期!I36</f>
        <v>7</v>
      </c>
      <c r="BG25" s="7">
        <f>[3]基础状态预期!J36</f>
        <v>7</v>
      </c>
      <c r="BH25" s="7">
        <f>[3]基础状态预期!K36</f>
        <v>5.7914349968436305</v>
      </c>
      <c r="BI25" s="7">
        <f>[3]基础状态预期!L36</f>
        <v>4.4019847207721856</v>
      </c>
      <c r="BM25" s="32" t="s">
        <v>175</v>
      </c>
      <c r="BN25" s="32" t="s">
        <v>203</v>
      </c>
      <c r="BO25" s="32">
        <v>16907.530453405256</v>
      </c>
      <c r="BP25" s="32">
        <v>35098.846942737771</v>
      </c>
    </row>
    <row r="26" spans="2:68">
      <c r="B26" s="40"/>
      <c r="C26" s="10">
        <f>[2]武将升星!C124</f>
        <v>0</v>
      </c>
      <c r="D26" s="10">
        <f>[2]武将升星!D124</f>
        <v>0</v>
      </c>
      <c r="E26" s="10">
        <f>[2]武将升星!E124</f>
        <v>0</v>
      </c>
      <c r="F26" s="10">
        <f>[2]武将升星!F124</f>
        <v>0</v>
      </c>
      <c r="G26" s="10">
        <f>[2]武将升星!G124</f>
        <v>0</v>
      </c>
      <c r="H26" s="10">
        <f>[2]武将升星!H124</f>
        <v>0</v>
      </c>
      <c r="I26" s="10">
        <f>[2]武将升星!I124</f>
        <v>0</v>
      </c>
      <c r="W26" s="21">
        <v>820</v>
      </c>
      <c r="X26" s="21">
        <f>[2]基础状态预期!D37</f>
        <v>96.807063977001675</v>
      </c>
      <c r="Y26" s="21">
        <f>[2]基础状态预期!F37</f>
        <v>0</v>
      </c>
      <c r="Z26" s="21">
        <f>[2]基础状态预期!G37</f>
        <v>0</v>
      </c>
      <c r="AA26" s="21">
        <f>[2]基础状态预期!H37</f>
        <v>0</v>
      </c>
      <c r="AB26" s="21">
        <f>[2]基础状态预期!I37</f>
        <v>0</v>
      </c>
      <c r="AC26" s="21">
        <f>[2]基础状态预期!J37</f>
        <v>6</v>
      </c>
      <c r="AD26" s="21">
        <f>[2]基础状态预期!K37</f>
        <v>0</v>
      </c>
      <c r="AE26" s="21">
        <f>[2]基础状态预期!L37</f>
        <v>0</v>
      </c>
      <c r="AF26" s="21">
        <f>[2]基础状态预期!M37</f>
        <v>0</v>
      </c>
      <c r="AG26" s="21">
        <f>[2]基础状态预期!N37</f>
        <v>0</v>
      </c>
      <c r="AH26" s="21">
        <f>[2]基础状态预期!O37</f>
        <v>4.1505701387554996</v>
      </c>
      <c r="AI26" s="7">
        <f>[2]各r阵容卡情况!G31</f>
        <v>0</v>
      </c>
      <c r="AJ26" s="7">
        <f>[2]各r阵容卡情况!H31</f>
        <v>2</v>
      </c>
      <c r="AK26" s="7">
        <f>[2]各r阵容卡情况!I31</f>
        <v>22</v>
      </c>
      <c r="AL26" s="7">
        <f>[2]各r阵容卡情况!J31</f>
        <v>0</v>
      </c>
      <c r="AM26" s="7">
        <f>[2]各r阵容卡情况!K31</f>
        <v>3</v>
      </c>
      <c r="AN26" s="7">
        <f>[2]各r阵容卡情况!L31</f>
        <v>6</v>
      </c>
      <c r="AO26" s="7">
        <f>[2]各r阵容卡情况!M31</f>
        <v>7.1223287433839904</v>
      </c>
      <c r="AP26" s="7">
        <f>[2]各r阵容卡情况!N31</f>
        <v>4.1505701387554996</v>
      </c>
      <c r="AZ26" s="7">
        <f>[3]基础状态预期!C37</f>
        <v>96.807063977001675</v>
      </c>
      <c r="BA26" s="7">
        <f>[3]基础状态预期!D37</f>
        <v>820</v>
      </c>
      <c r="BB26" s="7">
        <f>[3]基础状态预期!E37</f>
        <v>3</v>
      </c>
      <c r="BC26" s="7">
        <f>[3]基础状态预期!F37</f>
        <v>7</v>
      </c>
      <c r="BD26" s="7">
        <f>[3]基础状态预期!G37</f>
        <v>20</v>
      </c>
      <c r="BE26" s="7">
        <f>[3]基础状态预期!H37</f>
        <v>8</v>
      </c>
      <c r="BF26" s="7">
        <f>[3]基础状态预期!I37</f>
        <v>7</v>
      </c>
      <c r="BG26" s="7">
        <f>[3]基础状态预期!J37</f>
        <v>7</v>
      </c>
      <c r="BH26" s="7">
        <f>[3]基础状态预期!K37</f>
        <v>6.0769469962881653</v>
      </c>
      <c r="BI26" s="7">
        <f>[3]基础状态预期!L37</f>
        <v>4.8162235730381289</v>
      </c>
      <c r="BM26" s="32" t="s">
        <v>234</v>
      </c>
      <c r="BN26" s="32" t="s">
        <v>203</v>
      </c>
      <c r="BO26" s="32">
        <v>25361.295680107884</v>
      </c>
      <c r="BP26" s="32">
        <v>52648.270414106657</v>
      </c>
    </row>
    <row r="27" spans="2:68">
      <c r="B27" s="40"/>
      <c r="C27" s="10">
        <f>[2]武将升星!C125</f>
        <v>1</v>
      </c>
      <c r="D27" s="10">
        <f>[2]武将升星!D125</f>
        <v>0</v>
      </c>
      <c r="E27" s="10">
        <f>[2]武将升星!E125</f>
        <v>0</v>
      </c>
      <c r="F27" s="10">
        <f>[2]武将升星!F125</f>
        <v>0</v>
      </c>
      <c r="G27" s="10">
        <f>[2]武将升星!G125</f>
        <v>0</v>
      </c>
      <c r="H27" s="10">
        <f>[2]武将升星!H125</f>
        <v>0</v>
      </c>
      <c r="I27" s="10">
        <f>[2]武将升星!I125</f>
        <v>0</v>
      </c>
      <c r="W27" s="21">
        <v>1060</v>
      </c>
      <c r="X27" s="21">
        <f>[2]基础状态预期!D38</f>
        <v>100.50342858241972</v>
      </c>
      <c r="Y27" s="21">
        <f>[2]基础状态预期!F38</f>
        <v>0</v>
      </c>
      <c r="Z27" s="21">
        <f>[2]基础状态预期!G38</f>
        <v>0</v>
      </c>
      <c r="AA27" s="21">
        <f>[2]基础状态预期!H38</f>
        <v>0</v>
      </c>
      <c r="AB27" s="21">
        <f>[2]基础状态预期!I38</f>
        <v>0</v>
      </c>
      <c r="AC27" s="21">
        <f>[2]基础状态预期!J38</f>
        <v>6</v>
      </c>
      <c r="AD27" s="21">
        <f>[2]基础状态预期!K38</f>
        <v>0</v>
      </c>
      <c r="AE27" s="21">
        <f>[2]基础状态预期!L38</f>
        <v>0</v>
      </c>
      <c r="AF27" s="21">
        <f>[2]基础状态预期!M38</f>
        <v>0</v>
      </c>
      <c r="AG27" s="21">
        <f>[2]基础状态预期!N38</f>
        <v>0</v>
      </c>
      <c r="AH27" s="21">
        <f>[2]基础状态预期!O38</f>
        <v>4.8493030549985026</v>
      </c>
      <c r="AI27" s="7">
        <f>[2]各r阵容卡情况!G32</f>
        <v>0</v>
      </c>
      <c r="AJ27" s="7">
        <f>[2]各r阵容卡情况!H32</f>
        <v>0</v>
      </c>
      <c r="AK27" s="7">
        <f>[2]各r阵容卡情况!I32</f>
        <v>24</v>
      </c>
      <c r="AL27" s="7">
        <f>[2]各r阵容卡情况!J32</f>
        <v>0</v>
      </c>
      <c r="AM27" s="7">
        <f>[2]各r阵容卡情况!K32</f>
        <v>3</v>
      </c>
      <c r="AN27" s="7">
        <f>[2]各r阵容卡情况!L32</f>
        <v>6</v>
      </c>
      <c r="AO27" s="7">
        <f>[2]各r阵容卡情况!M32</f>
        <v>7.9167585556933417</v>
      </c>
      <c r="AP27" s="7">
        <f>[2]各r阵容卡情况!N32</f>
        <v>4.8493030549985026</v>
      </c>
      <c r="AZ27" s="7">
        <f>[3]基础状态预期!C38</f>
        <v>100.50342858241972</v>
      </c>
      <c r="BA27" s="7">
        <f>[3]基础状态预期!D38</f>
        <v>1060</v>
      </c>
      <c r="BB27" s="7">
        <f>[3]基础状态预期!E38</f>
        <v>3</v>
      </c>
      <c r="BC27" s="7">
        <f>[3]基础状态预期!F38</f>
        <v>7</v>
      </c>
      <c r="BD27" s="7">
        <f>[3]基础状态预期!G38</f>
        <v>20</v>
      </c>
      <c r="BE27" s="7">
        <f>[3]基础状态预期!H38</f>
        <v>8</v>
      </c>
      <c r="BF27" s="7">
        <f>[3]基础状态预期!I38</f>
        <v>7</v>
      </c>
      <c r="BG27" s="7">
        <f>[3]基础状态预期!J38</f>
        <v>7</v>
      </c>
      <c r="BH27" s="7">
        <f>[3]基础状态预期!K38</f>
        <v>6.3100287222869493</v>
      </c>
      <c r="BI27" s="7">
        <f>[3]基础状态预期!L38</f>
        <v>5.1744909019462462</v>
      </c>
      <c r="BM27" s="32" t="s">
        <v>161</v>
      </c>
      <c r="BN27" s="32" t="s">
        <v>203</v>
      </c>
      <c r="BO27" s="32">
        <v>9074.2646158412535</v>
      </c>
      <c r="BP27" s="32">
        <v>24821.69247623716</v>
      </c>
    </row>
    <row r="28" spans="2:68">
      <c r="B28" s="40"/>
      <c r="C28" s="10">
        <f>[2]武将升星!C126</f>
        <v>2</v>
      </c>
      <c r="D28" s="10">
        <f>[2]武将升星!D126</f>
        <v>0</v>
      </c>
      <c r="E28" s="10">
        <f>[2]武将升星!E126</f>
        <v>0</v>
      </c>
      <c r="F28" s="10">
        <f>[2]武将升星!F126</f>
        <v>0</v>
      </c>
      <c r="G28" s="10">
        <f>[2]武将升星!G126</f>
        <v>0</v>
      </c>
      <c r="H28" s="10">
        <f>[2]武将升星!H126</f>
        <v>0</v>
      </c>
      <c r="I28" s="10">
        <f>[2]武将升星!I126</f>
        <v>0</v>
      </c>
      <c r="W28" s="21">
        <v>1360</v>
      </c>
      <c r="X28" s="21">
        <f>[2]基础状态预期!D39</f>
        <v>104.10129967499306</v>
      </c>
      <c r="Y28" s="21">
        <f>[2]基础状态预期!F39</f>
        <v>0</v>
      </c>
      <c r="Z28" s="21">
        <f>[2]基础状态预期!G39</f>
        <v>0</v>
      </c>
      <c r="AA28" s="21">
        <f>[2]基础状态预期!H39</f>
        <v>0</v>
      </c>
      <c r="AB28" s="21">
        <f>[2]基础状态预期!I39</f>
        <v>0</v>
      </c>
      <c r="AC28" s="21">
        <f>[2]基础状态预期!J39</f>
        <v>6</v>
      </c>
      <c r="AD28" s="21">
        <f>[2]基础状态预期!K39</f>
        <v>0</v>
      </c>
      <c r="AE28" s="21">
        <f>[2]基础状态预期!L39</f>
        <v>0</v>
      </c>
      <c r="AF28" s="21">
        <f>[2]基础状态预期!M39</f>
        <v>0</v>
      </c>
      <c r="AG28" s="21">
        <f>[2]基础状态预期!N39</f>
        <v>0</v>
      </c>
      <c r="AH28" s="21">
        <f>[2]基础状态预期!O39</f>
        <v>5.468631993786353</v>
      </c>
      <c r="AI28" s="7">
        <f>[2]各r阵容卡情况!G33</f>
        <v>0</v>
      </c>
      <c r="AJ28" s="7">
        <f>[2]各r阵容卡情况!H33</f>
        <v>0</v>
      </c>
      <c r="AK28" s="7">
        <f>[2]各r阵容卡情况!I33</f>
        <v>24</v>
      </c>
      <c r="AL28" s="7">
        <f>[2]各r阵容卡情况!J33</f>
        <v>0</v>
      </c>
      <c r="AM28" s="7">
        <f>[2]各r阵容卡情况!K33</f>
        <v>3</v>
      </c>
      <c r="AN28" s="7">
        <f>[2]各r阵容卡情况!L33</f>
        <v>6</v>
      </c>
      <c r="AO28" s="7">
        <f>[2]各r阵容卡情况!M33</f>
        <v>8</v>
      </c>
      <c r="AP28" s="7">
        <f>[2]各r阵容卡情况!N33</f>
        <v>5.468631993786353</v>
      </c>
      <c r="AZ28" s="7">
        <f>[3]基础状态预期!C39</f>
        <v>104.10129967499306</v>
      </c>
      <c r="BA28" s="7">
        <f>[3]基础状态预期!D39</f>
        <v>1360</v>
      </c>
      <c r="BB28" s="7">
        <f>[3]基础状态预期!E39</f>
        <v>3</v>
      </c>
      <c r="BC28" s="7">
        <f>[3]基础状态预期!F39</f>
        <v>7</v>
      </c>
      <c r="BD28" s="7">
        <f>[3]基础状态预期!G39</f>
        <v>20</v>
      </c>
      <c r="BE28" s="7">
        <f>[3]基础状态预期!H39</f>
        <v>8</v>
      </c>
      <c r="BF28" s="7">
        <f>[3]基础状态预期!I39</f>
        <v>7</v>
      </c>
      <c r="BG28" s="7">
        <f>[3]基础状态预期!J39</f>
        <v>7</v>
      </c>
      <c r="BH28" s="7">
        <f>[3]基础状态预期!K39</f>
        <v>6.60134006323631</v>
      </c>
      <c r="BI28" s="7">
        <f>[3]基础状态预期!L39</f>
        <v>5.5074181487455149</v>
      </c>
      <c r="BM28" s="32" t="s">
        <v>163</v>
      </c>
      <c r="BN28" s="32" t="s">
        <v>203</v>
      </c>
      <c r="BO28" s="32">
        <v>9074.2646158412535</v>
      </c>
      <c r="BP28" s="32">
        <v>24821.69247623716</v>
      </c>
    </row>
    <row r="29" spans="2:68">
      <c r="B29" s="40"/>
      <c r="C29" s="10">
        <f>[2]武将升星!C127</f>
        <v>3</v>
      </c>
      <c r="D29" s="10">
        <f>[2]武将升星!D127</f>
        <v>0</v>
      </c>
      <c r="E29" s="10">
        <f>[2]武将升星!E127</f>
        <v>0</v>
      </c>
      <c r="F29" s="10">
        <f>[2]武将升星!F127</f>
        <v>0</v>
      </c>
      <c r="G29" s="10">
        <f>[2]武将升星!G127</f>
        <v>3</v>
      </c>
      <c r="H29" s="10">
        <f>[2]武将升星!H127</f>
        <v>0</v>
      </c>
      <c r="I29" s="10">
        <f>[2]武将升星!I127</f>
        <v>0</v>
      </c>
      <c r="W29" s="21">
        <v>1720</v>
      </c>
      <c r="X29" s="21">
        <f>[2]基础状态预期!D40</f>
        <v>107.48165553683219</v>
      </c>
      <c r="Y29" s="21">
        <f>[2]基础状态预期!F40</f>
        <v>0</v>
      </c>
      <c r="Z29" s="21">
        <f>[2]基础状态预期!G40</f>
        <v>0</v>
      </c>
      <c r="AA29" s="21">
        <f>[2]基础状态预期!H40</f>
        <v>0</v>
      </c>
      <c r="AB29" s="21">
        <f>[2]基础状态预期!I40</f>
        <v>0</v>
      </c>
      <c r="AC29" s="21">
        <f>[2]基础状态预期!J40</f>
        <v>6</v>
      </c>
      <c r="AD29" s="21">
        <f>[2]基础状态预期!K40</f>
        <v>0</v>
      </c>
      <c r="AE29" s="21">
        <f>[2]基础状态预期!L40</f>
        <v>0</v>
      </c>
      <c r="AF29" s="21">
        <f>[2]基础状态预期!M40</f>
        <v>0</v>
      </c>
      <c r="AG29" s="21">
        <f>[2]基础状态预期!N40</f>
        <v>0</v>
      </c>
      <c r="AH29" s="21">
        <f>[2]基础状态预期!O40</f>
        <v>6.0952249373760301</v>
      </c>
      <c r="AI29" s="7">
        <f>[2]各r阵容卡情况!G34</f>
        <v>0</v>
      </c>
      <c r="AJ29" s="7">
        <f>[2]各r阵容卡情况!H34</f>
        <v>0</v>
      </c>
      <c r="AK29" s="7">
        <f>[2]各r阵容卡情况!I34</f>
        <v>24</v>
      </c>
      <c r="AL29" s="7">
        <f>[2]各r阵容卡情况!J34</f>
        <v>0</v>
      </c>
      <c r="AM29" s="7">
        <f>[2]各r阵容卡情况!K34</f>
        <v>3</v>
      </c>
      <c r="AN29" s="7">
        <f>[2]各r阵容卡情况!L34</f>
        <v>6</v>
      </c>
      <c r="AO29" s="7">
        <f>[2]各r阵容卡情况!M34</f>
        <v>8</v>
      </c>
      <c r="AP29" s="7">
        <f>[2]各r阵容卡情况!N34</f>
        <v>6.0952249373760301</v>
      </c>
      <c r="AZ29" s="7">
        <f>[3]基础状态预期!C40</f>
        <v>107.48165553683219</v>
      </c>
      <c r="BA29" s="7">
        <f>[3]基础状态预期!D40</f>
        <v>1720</v>
      </c>
      <c r="BB29" s="7">
        <f>[3]基础状态预期!E40</f>
        <v>3</v>
      </c>
      <c r="BC29" s="7">
        <f>[3]基础状态预期!F40</f>
        <v>7</v>
      </c>
      <c r="BD29" s="7">
        <f>[3]基础状态预期!G40</f>
        <v>20</v>
      </c>
      <c r="BE29" s="7">
        <f>[3]基础状态预期!H40</f>
        <v>8</v>
      </c>
      <c r="BF29" s="7">
        <f>[3]基础状态预期!I40</f>
        <v>7</v>
      </c>
      <c r="BG29" s="7">
        <f>[3]基础状态预期!J40</f>
        <v>7</v>
      </c>
      <c r="BH29" s="7">
        <f>[3]基础状态预期!K40</f>
        <v>6.9352347803811707</v>
      </c>
      <c r="BI29" s="7">
        <f>[3]基础状态预期!L40</f>
        <v>5.8890121111967844</v>
      </c>
      <c r="BM29" s="32" t="s">
        <v>165</v>
      </c>
      <c r="BN29" s="32" t="s">
        <v>203</v>
      </c>
      <c r="BO29" s="32">
        <v>9074.2646158412535</v>
      </c>
      <c r="BP29" s="32">
        <v>24821.69247623716</v>
      </c>
    </row>
    <row r="30" spans="2:68">
      <c r="B30" s="40"/>
      <c r="C30" s="10">
        <f>[2]武将升星!C128</f>
        <v>4</v>
      </c>
      <c r="D30" s="10">
        <f>[2]武将升星!D128</f>
        <v>0</v>
      </c>
      <c r="E30" s="10">
        <f>[2]武将升星!E128</f>
        <v>0</v>
      </c>
      <c r="F30" s="10">
        <f>[2]武将升星!F128</f>
        <v>0</v>
      </c>
      <c r="G30" s="10">
        <f>[2]武将升星!G128</f>
        <v>3</v>
      </c>
      <c r="H30" s="10">
        <f>[2]武将升星!H128</f>
        <v>0</v>
      </c>
      <c r="I30" s="10">
        <f>[2]武将升星!I128</f>
        <v>0</v>
      </c>
      <c r="W30" s="21">
        <v>2200</v>
      </c>
      <c r="X30" s="21">
        <f>[2]基础状态预期!D41</f>
        <v>111.03813549320469</v>
      </c>
      <c r="Y30" s="21">
        <f>[2]基础状态预期!F41</f>
        <v>0</v>
      </c>
      <c r="Z30" s="21">
        <f>[2]基础状态预期!G41</f>
        <v>0</v>
      </c>
      <c r="AA30" s="21">
        <f>[2]基础状态预期!H41</f>
        <v>0</v>
      </c>
      <c r="AB30" s="21">
        <f>[2]基础状态预期!I41</f>
        <v>0</v>
      </c>
      <c r="AC30" s="21">
        <f>[2]基础状态预期!J41</f>
        <v>6</v>
      </c>
      <c r="AD30" s="21">
        <f>[2]基础状态预期!K41</f>
        <v>0</v>
      </c>
      <c r="AE30" s="21">
        <f>[2]基础状态预期!L41</f>
        <v>0</v>
      </c>
      <c r="AF30" s="21">
        <f>[2]基础状态预期!M41</f>
        <v>0</v>
      </c>
      <c r="AG30" s="21">
        <f>[2]基础状态预期!N41</f>
        <v>0</v>
      </c>
      <c r="AH30" s="21">
        <f>[2]基础状态预期!O41</f>
        <v>6.8805377800516423</v>
      </c>
      <c r="AI30" s="7">
        <f>[2]各r阵容卡情况!G35</f>
        <v>0</v>
      </c>
      <c r="AJ30" s="7">
        <f>[2]各r阵容卡情况!H35</f>
        <v>0</v>
      </c>
      <c r="AK30" s="7">
        <f>[2]各r阵容卡情况!I35</f>
        <v>24</v>
      </c>
      <c r="AL30" s="7">
        <f>[2]各r阵容卡情况!J35</f>
        <v>0</v>
      </c>
      <c r="AM30" s="7">
        <f>[2]各r阵容卡情况!K35</f>
        <v>3</v>
      </c>
      <c r="AN30" s="7">
        <f>[2]各r阵容卡情况!L35</f>
        <v>6</v>
      </c>
      <c r="AO30" s="7">
        <f>[2]各r阵容卡情况!M35</f>
        <v>8</v>
      </c>
      <c r="AP30" s="7">
        <f>[2]各r阵容卡情况!N35</f>
        <v>6.8805377800516423</v>
      </c>
      <c r="AZ30" s="7">
        <f>[3]基础状态预期!C41</f>
        <v>111.03813549320469</v>
      </c>
      <c r="BA30" s="7">
        <f>[3]基础状态预期!D41</f>
        <v>2200</v>
      </c>
      <c r="BB30" s="7">
        <f>[3]基础状态预期!E41</f>
        <v>3</v>
      </c>
      <c r="BC30" s="7">
        <f>[3]基础状态预期!F41</f>
        <v>7</v>
      </c>
      <c r="BD30" s="7">
        <f>[3]基础状态预期!G41</f>
        <v>20</v>
      </c>
      <c r="BE30" s="7">
        <f>[3]基础状态预期!H41</f>
        <v>8</v>
      </c>
      <c r="BF30" s="7">
        <f>[3]基础状态预期!I41</f>
        <v>7</v>
      </c>
      <c r="BG30" s="7">
        <f>[3]基础状态预期!J41</f>
        <v>7</v>
      </c>
      <c r="BH30" s="7">
        <f>[3]基础状态预期!K41</f>
        <v>7</v>
      </c>
      <c r="BI30" s="7">
        <f>[3]基础状态预期!L41</f>
        <v>6.1954382925905369</v>
      </c>
      <c r="BM30" s="32" t="s">
        <v>167</v>
      </c>
      <c r="BN30" s="32" t="s">
        <v>203</v>
      </c>
      <c r="BO30" s="32">
        <v>9074.2646158412535</v>
      </c>
      <c r="BP30" s="32">
        <v>24821.69247623716</v>
      </c>
    </row>
    <row r="31" spans="2:68">
      <c r="B31" s="40"/>
      <c r="C31" s="10">
        <f>[2]武将升星!C129</f>
        <v>5</v>
      </c>
      <c r="D31" s="10">
        <f>[2]武将升星!D129</f>
        <v>0</v>
      </c>
      <c r="E31" s="10">
        <f>[2]武将升星!E129</f>
        <v>0</v>
      </c>
      <c r="F31" s="10">
        <f>[2]武将升星!F129</f>
        <v>0</v>
      </c>
      <c r="G31" s="10">
        <f>[2]武将升星!G129</f>
        <v>6</v>
      </c>
      <c r="H31" s="10">
        <f>[2]武将升星!H129</f>
        <v>0</v>
      </c>
      <c r="I31" s="10">
        <f>[2]武将升星!I129</f>
        <v>0</v>
      </c>
      <c r="W31" s="21">
        <v>2800</v>
      </c>
      <c r="X31" s="21">
        <f>[2]基础状态预期!D42</f>
        <v>114.50860608277577</v>
      </c>
      <c r="Y31" s="21">
        <f>[2]基础状态预期!F42</f>
        <v>0</v>
      </c>
      <c r="Z31" s="21">
        <f>[2]基础状态预期!G42</f>
        <v>0</v>
      </c>
      <c r="AA31" s="21">
        <f>[2]基础状态预期!H42</f>
        <v>0</v>
      </c>
      <c r="AB31" s="21">
        <f>[2]基础状态预期!I42</f>
        <v>0</v>
      </c>
      <c r="AC31" s="21">
        <f>[2]基础状态预期!J42</f>
        <v>6</v>
      </c>
      <c r="AD31" s="21">
        <f>[2]基础状态预期!K42</f>
        <v>0</v>
      </c>
      <c r="AE31" s="21">
        <f>[2]基础状态预期!L42</f>
        <v>0</v>
      </c>
      <c r="AF31" s="21">
        <f>[2]基础状态预期!M42</f>
        <v>0</v>
      </c>
      <c r="AG31" s="21">
        <f>[2]基础状态预期!N42</f>
        <v>0</v>
      </c>
      <c r="AH31" s="21">
        <f>[2]基础状态预期!O42</f>
        <v>7.6204341742698301</v>
      </c>
      <c r="AI31" s="7">
        <f>[2]各r阵容卡情况!G36</f>
        <v>0</v>
      </c>
      <c r="AJ31" s="7">
        <f>[2]各r阵容卡情况!H36</f>
        <v>0</v>
      </c>
      <c r="AK31" s="7">
        <f>[2]各r阵容卡情况!I36</f>
        <v>24</v>
      </c>
      <c r="AL31" s="7">
        <f>[2]各r阵容卡情况!J36</f>
        <v>0</v>
      </c>
      <c r="AM31" s="7">
        <f>[2]各r阵容卡情况!K36</f>
        <v>3</v>
      </c>
      <c r="AN31" s="7">
        <f>[2]各r阵容卡情况!L36</f>
        <v>6</v>
      </c>
      <c r="AO31" s="7">
        <f>[2]各r阵容卡情况!M36</f>
        <v>8</v>
      </c>
      <c r="AP31" s="7">
        <f>[2]各r阵容卡情况!N36</f>
        <v>7.6204341742698301</v>
      </c>
      <c r="AZ31" s="7">
        <f>[3]基础状态预期!C42</f>
        <v>114.50860608277577</v>
      </c>
      <c r="BA31" s="7">
        <f>[3]基础状态预期!D42</f>
        <v>2800</v>
      </c>
      <c r="BB31" s="7">
        <f>[3]基础状态预期!E42</f>
        <v>3</v>
      </c>
      <c r="BC31" s="7">
        <f>[3]基础状态预期!F42</f>
        <v>7</v>
      </c>
      <c r="BD31" s="7">
        <f>[3]基础状态预期!G42</f>
        <v>20</v>
      </c>
      <c r="BE31" s="7">
        <f>[3]基础状态预期!H42</f>
        <v>8</v>
      </c>
      <c r="BF31" s="7">
        <f>[3]基础状态预期!I42</f>
        <v>7</v>
      </c>
      <c r="BG31" s="7">
        <f>[3]基础状态预期!J42</f>
        <v>7</v>
      </c>
      <c r="BH31" s="7">
        <f>[3]基础状态预期!K42</f>
        <v>7</v>
      </c>
      <c r="BI31" s="7">
        <f>[3]基础状态预期!L42</f>
        <v>6.5089171917120696</v>
      </c>
      <c r="BM31" s="32" t="s">
        <v>233</v>
      </c>
      <c r="BN31" s="32" t="s">
        <v>203</v>
      </c>
      <c r="BO31" s="32">
        <v>13611.39692376188</v>
      </c>
      <c r="BP31" s="32">
        <v>37232.538714355738</v>
      </c>
    </row>
    <row r="32" spans="2:68">
      <c r="B32" s="40"/>
      <c r="C32" s="10">
        <f>[2]武将升星!C130</f>
        <v>6</v>
      </c>
      <c r="D32" s="10">
        <f>[2]武将升星!D130</f>
        <v>0</v>
      </c>
      <c r="E32" s="10">
        <f>[2]武将升星!E130</f>
        <v>0</v>
      </c>
      <c r="F32" s="10">
        <f>[2]武将升星!F130</f>
        <v>0</v>
      </c>
      <c r="G32" s="10">
        <f>[2]武将升星!G130</f>
        <v>6</v>
      </c>
      <c r="H32" s="10">
        <f>[2]武将升星!H130</f>
        <v>0</v>
      </c>
      <c r="I32" s="10">
        <f>[2]武将升星!I130</f>
        <v>0</v>
      </c>
      <c r="W32" s="21">
        <v>3580</v>
      </c>
      <c r="X32" s="21">
        <f>[2]基础状态预期!D43</f>
        <v>118.05948896247369</v>
      </c>
      <c r="Y32" s="21">
        <f>[2]基础状态预期!F43</f>
        <v>0</v>
      </c>
      <c r="Z32" s="21">
        <f>[2]基础状态预期!G43</f>
        <v>0</v>
      </c>
      <c r="AA32" s="21">
        <f>[2]基础状态预期!H43</f>
        <v>0</v>
      </c>
      <c r="AB32" s="21">
        <f>[2]基础状态预期!I43</f>
        <v>0</v>
      </c>
      <c r="AC32" s="21">
        <f>[2]基础状态预期!J43</f>
        <v>6</v>
      </c>
      <c r="AD32" s="21">
        <f>[2]基础状态预期!K43</f>
        <v>0</v>
      </c>
      <c r="AE32" s="21">
        <f>[2]基础状态预期!L43</f>
        <v>0</v>
      </c>
      <c r="AF32" s="21">
        <f>[2]基础状态预期!M43</f>
        <v>0</v>
      </c>
      <c r="AG32" s="21">
        <f>[2]基础状态预期!N43</f>
        <v>0</v>
      </c>
      <c r="AH32" s="21">
        <f>[2]基础状态预期!O43</f>
        <v>8</v>
      </c>
      <c r="AI32" s="7">
        <f>[2]各r阵容卡情况!G37</f>
        <v>0</v>
      </c>
      <c r="AJ32" s="7">
        <f>[2]各r阵容卡情况!H37</f>
        <v>0</v>
      </c>
      <c r="AK32" s="7">
        <f>[2]各r阵容卡情况!I37</f>
        <v>24</v>
      </c>
      <c r="AL32" s="7">
        <f>[2]各r阵容卡情况!J37</f>
        <v>0</v>
      </c>
      <c r="AM32" s="7">
        <f>[2]各r阵容卡情况!K37</f>
        <v>3</v>
      </c>
      <c r="AN32" s="7">
        <f>[2]各r阵容卡情况!L37</f>
        <v>6</v>
      </c>
      <c r="AO32" s="7">
        <f>[2]各r阵容卡情况!M37</f>
        <v>8</v>
      </c>
      <c r="AP32" s="7">
        <f>[2]各r阵容卡情况!N37</f>
        <v>8</v>
      </c>
      <c r="AZ32" s="7">
        <f>[3]基础状态预期!C43</f>
        <v>118.05948896247369</v>
      </c>
      <c r="BA32" s="7">
        <f>[3]基础状态预期!D43</f>
        <v>3580</v>
      </c>
      <c r="BB32" s="7">
        <f>[3]基础状态预期!E43</f>
        <v>3</v>
      </c>
      <c r="BC32" s="7">
        <f>[3]基础状态预期!F43</f>
        <v>7</v>
      </c>
      <c r="BD32" s="7">
        <f>[3]基础状态预期!G43</f>
        <v>20</v>
      </c>
      <c r="BE32" s="7">
        <f>[3]基础状态预期!H43</f>
        <v>8</v>
      </c>
      <c r="BF32" s="7">
        <f>[3]基础状态预期!I43</f>
        <v>7</v>
      </c>
      <c r="BG32" s="7">
        <f>[3]基础状态预期!J43</f>
        <v>7</v>
      </c>
      <c r="BH32" s="7">
        <f>[3]基础状态预期!K43</f>
        <v>7</v>
      </c>
      <c r="BI32" s="7">
        <f>[3]基础状态预期!L43</f>
        <v>6.900111399358881</v>
      </c>
      <c r="BM32" s="32" t="s">
        <v>209</v>
      </c>
      <c r="BN32" s="32" t="s">
        <v>203</v>
      </c>
      <c r="BO32" s="32">
        <v>168829.88317644352</v>
      </c>
      <c r="BP32" s="32">
        <v>174860.16933334613</v>
      </c>
    </row>
    <row r="33" spans="2:68">
      <c r="B33" s="40"/>
      <c r="C33" s="10">
        <f>[2]武将升星!C131</f>
        <v>7</v>
      </c>
      <c r="D33" s="10">
        <f>[2]武将升星!D131</f>
        <v>0</v>
      </c>
      <c r="E33" s="10">
        <f>[2]武将升星!E131</f>
        <v>0</v>
      </c>
      <c r="F33" s="10">
        <f>[2]武将升星!F131</f>
        <v>0</v>
      </c>
      <c r="G33" s="10">
        <f>[2]武将升星!G131</f>
        <v>9</v>
      </c>
      <c r="H33" s="10">
        <f>[2]武将升星!H131</f>
        <v>0</v>
      </c>
      <c r="I33" s="10">
        <f>[2]武将升星!I131</f>
        <v>0</v>
      </c>
      <c r="W33" s="21">
        <v>4540</v>
      </c>
      <c r="X33" s="21">
        <f>[2]基础状态预期!D44</f>
        <v>121.47928719052189</v>
      </c>
      <c r="Y33" s="21">
        <f>[2]基础状态预期!F44</f>
        <v>0</v>
      </c>
      <c r="Z33" s="21">
        <f>[2]基础状态预期!G44</f>
        <v>0</v>
      </c>
      <c r="AA33" s="21">
        <f>[2]基础状态预期!H44</f>
        <v>0</v>
      </c>
      <c r="AB33" s="21">
        <f>[2]基础状态预期!I44</f>
        <v>0</v>
      </c>
      <c r="AC33" s="21">
        <f>[2]基础状态预期!J44</f>
        <v>6</v>
      </c>
      <c r="AD33" s="21">
        <f>[2]基础状态预期!K44</f>
        <v>0</v>
      </c>
      <c r="AE33" s="21">
        <f>[2]基础状态预期!L44</f>
        <v>0</v>
      </c>
      <c r="AF33" s="21">
        <f>[2]基础状态预期!M44</f>
        <v>0</v>
      </c>
      <c r="AG33" s="21">
        <f>[2]基础状态预期!N44</f>
        <v>0</v>
      </c>
      <c r="AH33" s="21">
        <f>[2]基础状态预期!O44</f>
        <v>8</v>
      </c>
      <c r="AI33" s="7">
        <f>[2]各r阵容卡情况!G38</f>
        <v>0</v>
      </c>
      <c r="AJ33" s="7">
        <f>[2]各r阵容卡情况!H38</f>
        <v>0</v>
      </c>
      <c r="AK33" s="7">
        <f>[2]各r阵容卡情况!I38</f>
        <v>24</v>
      </c>
      <c r="AL33" s="7">
        <f>[2]各r阵容卡情况!J38</f>
        <v>0</v>
      </c>
      <c r="AM33" s="7">
        <f>[2]各r阵容卡情况!K38</f>
        <v>3</v>
      </c>
      <c r="AN33" s="7">
        <f>[2]各r阵容卡情况!L38</f>
        <v>6</v>
      </c>
      <c r="AO33" s="7">
        <f>[2]各r阵容卡情况!M38</f>
        <v>8</v>
      </c>
      <c r="AP33" s="7">
        <f>[2]各r阵容卡情况!N38</f>
        <v>8</v>
      </c>
      <c r="AZ33" s="7">
        <f>[3]基础状态预期!C44</f>
        <v>121.47928719052189</v>
      </c>
      <c r="BA33" s="7">
        <f>[3]基础状态预期!D44</f>
        <v>4540</v>
      </c>
      <c r="BB33" s="7">
        <f>[3]基础状态预期!E44</f>
        <v>3</v>
      </c>
      <c r="BC33" s="7">
        <f>[3]基础状态预期!F44</f>
        <v>7</v>
      </c>
      <c r="BD33" s="7">
        <f>[3]基础状态预期!G44</f>
        <v>20</v>
      </c>
      <c r="BE33" s="7">
        <f>[3]基础状态预期!H44</f>
        <v>8</v>
      </c>
      <c r="BF33" s="7">
        <f>[3]基础状态预期!I44</f>
        <v>7</v>
      </c>
      <c r="BG33" s="7">
        <f>[3]基础状态预期!J44</f>
        <v>7</v>
      </c>
      <c r="BH33" s="7">
        <f>[3]基础状态预期!K44</f>
        <v>7</v>
      </c>
      <c r="BI33" s="7">
        <f>[3]基础状态预期!L44</f>
        <v>7</v>
      </c>
      <c r="BM33" s="32" t="s">
        <v>210</v>
      </c>
      <c r="BN33" s="32" t="s">
        <v>203</v>
      </c>
      <c r="BO33" s="32">
        <v>36067.199999999997</v>
      </c>
      <c r="BP33" s="32">
        <v>69383.681528511894</v>
      </c>
    </row>
    <row r="34" spans="2:68">
      <c r="B34" s="41"/>
      <c r="C34" s="10">
        <f>[2]武将升星!C132</f>
        <v>8</v>
      </c>
      <c r="D34" s="10">
        <f>[2]武将升星!D132</f>
        <v>0</v>
      </c>
      <c r="E34" s="10">
        <f>[2]武将升星!E132</f>
        <v>0</v>
      </c>
      <c r="F34" s="10">
        <f>[2]武将升星!F132</f>
        <v>0</v>
      </c>
      <c r="G34" s="10">
        <f>[2]武将升星!G132</f>
        <v>9</v>
      </c>
      <c r="H34" s="10">
        <f>[2]武将升星!H132</f>
        <v>0</v>
      </c>
      <c r="I34" s="10">
        <f>[2]武将升星!I132</f>
        <v>0</v>
      </c>
      <c r="W34" s="21">
        <v>5800</v>
      </c>
      <c r="X34" s="21">
        <f>[2]基础状态预期!D45</f>
        <v>125.02015904129435</v>
      </c>
      <c r="Y34" s="21">
        <f>[2]基础状态预期!F45</f>
        <v>0</v>
      </c>
      <c r="Z34" s="21">
        <f>[2]基础状态预期!G45</f>
        <v>0</v>
      </c>
      <c r="AA34" s="21">
        <f>[2]基础状态预期!H45</f>
        <v>0</v>
      </c>
      <c r="AB34" s="21">
        <f>[2]基础状态预期!I45</f>
        <v>0</v>
      </c>
      <c r="AC34" s="21">
        <f>[2]基础状态预期!J45</f>
        <v>6</v>
      </c>
      <c r="AD34" s="21">
        <f>[2]基础状态预期!K45</f>
        <v>0</v>
      </c>
      <c r="AE34" s="21">
        <f>[2]基础状态预期!L45</f>
        <v>0</v>
      </c>
      <c r="AF34" s="21">
        <f>[2]基础状态预期!M45</f>
        <v>0</v>
      </c>
      <c r="AG34" s="21">
        <f>[2]基础状态预期!N45</f>
        <v>0</v>
      </c>
      <c r="AH34" s="21">
        <f>[2]基础状态预期!O45</f>
        <v>8</v>
      </c>
      <c r="AI34" s="7">
        <f>[2]各r阵容卡情况!G39</f>
        <v>0</v>
      </c>
      <c r="AJ34" s="7">
        <f>[2]各r阵容卡情况!H39</f>
        <v>0</v>
      </c>
      <c r="AK34" s="7">
        <f>[2]各r阵容卡情况!I39</f>
        <v>24</v>
      </c>
      <c r="AL34" s="7">
        <f>[2]各r阵容卡情况!J39</f>
        <v>0</v>
      </c>
      <c r="AM34" s="7">
        <f>[2]各r阵容卡情况!K39</f>
        <v>3</v>
      </c>
      <c r="AN34" s="7">
        <f>[2]各r阵容卡情况!L39</f>
        <v>6</v>
      </c>
      <c r="AO34" s="7">
        <f>[2]各r阵容卡情况!M39</f>
        <v>8</v>
      </c>
      <c r="AP34" s="7">
        <f>[2]各r阵容卡情况!N39</f>
        <v>8</v>
      </c>
      <c r="AZ34" s="7">
        <f>[3]基础状态预期!C45</f>
        <v>125.02015904129435</v>
      </c>
      <c r="BA34" s="7">
        <f>[3]基础状态预期!D45</f>
        <v>5800</v>
      </c>
      <c r="BB34" s="7">
        <f>[3]基础状态预期!E45</f>
        <v>3</v>
      </c>
      <c r="BC34" s="7">
        <f>[3]基础状态预期!F45</f>
        <v>7</v>
      </c>
      <c r="BD34" s="7">
        <f>[3]基础状态预期!G45</f>
        <v>20</v>
      </c>
      <c r="BE34" s="7">
        <f>[3]基础状态预期!H45</f>
        <v>8</v>
      </c>
      <c r="BF34" s="7">
        <f>[3]基础状态预期!I45</f>
        <v>7</v>
      </c>
      <c r="BG34" s="7">
        <f>[3]基础状态预期!J45</f>
        <v>7</v>
      </c>
      <c r="BH34" s="7">
        <f>[3]基础状态预期!K45</f>
        <v>7</v>
      </c>
      <c r="BI34" s="7">
        <f>[3]基础状态预期!L45</f>
        <v>7</v>
      </c>
      <c r="BM34" s="32" t="s">
        <v>211</v>
      </c>
      <c r="BN34" s="32" t="s">
        <v>203</v>
      </c>
      <c r="BO34" s="32">
        <v>24441.69862265508</v>
      </c>
      <c r="BP34" s="32">
        <v>24441.69862265508</v>
      </c>
    </row>
    <row r="35" spans="2:68">
      <c r="B35" s="39" t="s">
        <v>107</v>
      </c>
      <c r="C35" s="10" t="str">
        <f>[2]武将升星!C133</f>
        <v>星级</v>
      </c>
      <c r="D35" s="10" t="str">
        <f>[2]武将升星!D133</f>
        <v>绿</v>
      </c>
      <c r="E35" s="10" t="str">
        <f>[2]武将升星!E133</f>
        <v>蓝</v>
      </c>
      <c r="F35" s="10" t="str">
        <f>[2]武将升星!F133</f>
        <v>紫</v>
      </c>
      <c r="G35" s="10" t="str">
        <f>[2]武将升星!G133</f>
        <v>橙</v>
      </c>
      <c r="H35" s="10" t="str">
        <f>[2]武将升星!H133</f>
        <v>橙+</v>
      </c>
      <c r="I35" s="10" t="str">
        <f>[2]武将升星!I133</f>
        <v>红</v>
      </c>
      <c r="W35" s="21">
        <v>7420</v>
      </c>
      <c r="X35" s="21">
        <f>[2]基础状态预期!D46</f>
        <v>128.56549059889721</v>
      </c>
      <c r="Y35" s="21">
        <f>[2]基础状态预期!F46</f>
        <v>0</v>
      </c>
      <c r="Z35" s="21">
        <f>[2]基础状态预期!G46</f>
        <v>0</v>
      </c>
      <c r="AA35" s="21">
        <f>[2]基础状态预期!H46</f>
        <v>0</v>
      </c>
      <c r="AB35" s="21">
        <f>[2]基础状态预期!I46</f>
        <v>0</v>
      </c>
      <c r="AC35" s="21">
        <f>[2]基础状态预期!J46</f>
        <v>6</v>
      </c>
      <c r="AD35" s="21">
        <f>[2]基础状态预期!K46</f>
        <v>0</v>
      </c>
      <c r="AE35" s="21">
        <f>[2]基础状态预期!L46</f>
        <v>0</v>
      </c>
      <c r="AF35" s="21">
        <f>[2]基础状态预期!M46</f>
        <v>0</v>
      </c>
      <c r="AG35" s="21">
        <f>[2]基础状态预期!N46</f>
        <v>0</v>
      </c>
      <c r="AH35" s="21">
        <f>[2]基础状态预期!O46</f>
        <v>8</v>
      </c>
      <c r="AI35" s="7">
        <f>[2]各r阵容卡情况!G40</f>
        <v>0</v>
      </c>
      <c r="AJ35" s="7">
        <f>[2]各r阵容卡情况!H40</f>
        <v>0</v>
      </c>
      <c r="AK35" s="7">
        <f>[2]各r阵容卡情况!I40</f>
        <v>24</v>
      </c>
      <c r="AL35" s="7">
        <f>[2]各r阵容卡情况!J40</f>
        <v>0</v>
      </c>
      <c r="AM35" s="7">
        <f>[2]各r阵容卡情况!K40</f>
        <v>3</v>
      </c>
      <c r="AN35" s="7">
        <f>[2]各r阵容卡情况!L40</f>
        <v>6</v>
      </c>
      <c r="AO35" s="7">
        <f>[2]各r阵容卡情况!M40</f>
        <v>8</v>
      </c>
      <c r="AP35" s="7">
        <f>[2]各r阵容卡情况!N40</f>
        <v>8</v>
      </c>
      <c r="AZ35" s="7">
        <f>[3]基础状态预期!C46</f>
        <v>128.56549059889721</v>
      </c>
      <c r="BA35" s="7">
        <f>[3]基础状态预期!D46</f>
        <v>7420</v>
      </c>
      <c r="BB35" s="7">
        <f>[3]基础状态预期!E46</f>
        <v>3</v>
      </c>
      <c r="BC35" s="7">
        <f>[3]基础状态预期!F46</f>
        <v>7</v>
      </c>
      <c r="BD35" s="7">
        <f>[3]基础状态预期!G46</f>
        <v>20</v>
      </c>
      <c r="BE35" s="7">
        <f>[3]基础状态预期!H46</f>
        <v>8</v>
      </c>
      <c r="BF35" s="7">
        <f>[3]基础状态预期!I46</f>
        <v>7</v>
      </c>
      <c r="BG35" s="7">
        <f>[3]基础状态预期!J46</f>
        <v>7</v>
      </c>
      <c r="BH35" s="7">
        <f>[3]基础状态预期!K46</f>
        <v>7</v>
      </c>
      <c r="BI35" s="7">
        <f>[3]基础状态预期!L46</f>
        <v>7</v>
      </c>
      <c r="BM35" s="32" t="s">
        <v>212</v>
      </c>
      <c r="BN35" s="32" t="s">
        <v>203</v>
      </c>
      <c r="BO35" s="32">
        <v>61104.246556637707</v>
      </c>
      <c r="BP35" s="32">
        <v>61104.246556637707</v>
      </c>
    </row>
    <row r="36" spans="2:68">
      <c r="B36" s="40"/>
      <c r="C36" s="10">
        <f>[2]武将升星!C134</f>
        <v>0</v>
      </c>
      <c r="D36" s="10">
        <f>[2]武将升星!D134</f>
        <v>0</v>
      </c>
      <c r="E36" s="10">
        <f>[2]武将升星!E134</f>
        <v>0</v>
      </c>
      <c r="F36" s="10">
        <f>[2]武将升星!F134</f>
        <v>0</v>
      </c>
      <c r="G36" s="10">
        <f>[2]武将升星!G134</f>
        <v>0</v>
      </c>
      <c r="H36" s="10">
        <f>[2]武将升星!H134</f>
        <v>0</v>
      </c>
      <c r="I36" s="10">
        <f>[2]武将升星!I134</f>
        <v>0</v>
      </c>
      <c r="W36" s="21">
        <v>9460</v>
      </c>
      <c r="X36" s="21">
        <f>[2]基础状态预期!D47</f>
        <v>132.07530828871487</v>
      </c>
      <c r="Y36" s="21">
        <f>[2]基础状态预期!F47</f>
        <v>0</v>
      </c>
      <c r="Z36" s="21">
        <f>[2]基础状态预期!G47</f>
        <v>0</v>
      </c>
      <c r="AA36" s="21">
        <f>[2]基础状态预期!H47</f>
        <v>0</v>
      </c>
      <c r="AB36" s="21">
        <f>[2]基础状态预期!I47</f>
        <v>0</v>
      </c>
      <c r="AC36" s="21">
        <f>[2]基础状态预期!J47</f>
        <v>6</v>
      </c>
      <c r="AD36" s="21">
        <f>[2]基础状态预期!K47</f>
        <v>0</v>
      </c>
      <c r="AE36" s="21">
        <f>[2]基础状态预期!L47</f>
        <v>0</v>
      </c>
      <c r="AF36" s="21">
        <f>[2]基础状态预期!M47</f>
        <v>0</v>
      </c>
      <c r="AG36" s="21">
        <f>[2]基础状态预期!N47</f>
        <v>0</v>
      </c>
      <c r="AH36" s="21">
        <f>[2]基础状态预期!O47</f>
        <v>8</v>
      </c>
      <c r="AI36" s="7">
        <f>[2]各r阵容卡情况!G41</f>
        <v>0</v>
      </c>
      <c r="AJ36" s="7">
        <f>[2]各r阵容卡情况!H41</f>
        <v>0</v>
      </c>
      <c r="AK36" s="7">
        <f>[2]各r阵容卡情况!I41</f>
        <v>24</v>
      </c>
      <c r="AL36" s="7">
        <f>[2]各r阵容卡情况!J41</f>
        <v>0</v>
      </c>
      <c r="AM36" s="7">
        <f>[2]各r阵容卡情况!K41</f>
        <v>3</v>
      </c>
      <c r="AN36" s="7">
        <f>[2]各r阵容卡情况!L41</f>
        <v>6</v>
      </c>
      <c r="AO36" s="7">
        <f>[2]各r阵容卡情况!M41</f>
        <v>8</v>
      </c>
      <c r="AP36" s="7">
        <f>[2]各r阵容卡情况!N41</f>
        <v>8</v>
      </c>
      <c r="AZ36" s="7">
        <f>[3]基础状态预期!C47</f>
        <v>132.07530828871487</v>
      </c>
      <c r="BA36" s="7">
        <f>[3]基础状态预期!D47</f>
        <v>9460</v>
      </c>
      <c r="BB36" s="7">
        <f>[3]基础状态预期!E47</f>
        <v>3</v>
      </c>
      <c r="BC36" s="7">
        <f>[3]基础状态预期!F47</f>
        <v>7</v>
      </c>
      <c r="BD36" s="7">
        <f>[3]基础状态预期!G47</f>
        <v>20</v>
      </c>
      <c r="BE36" s="7">
        <f>[3]基础状态预期!H47</f>
        <v>8</v>
      </c>
      <c r="BF36" s="7">
        <f>[3]基础状态预期!I47</f>
        <v>7</v>
      </c>
      <c r="BG36" s="7">
        <f>[3]基础状态预期!J47</f>
        <v>7</v>
      </c>
      <c r="BH36" s="7">
        <f>[3]基础状态预期!K47</f>
        <v>7</v>
      </c>
      <c r="BI36" s="7">
        <f>[3]基础状态预期!L47</f>
        <v>7</v>
      </c>
      <c r="BM36" s="32" t="s">
        <v>213</v>
      </c>
      <c r="BN36" s="32" t="s">
        <v>203</v>
      </c>
      <c r="BO36" s="32">
        <v>8453.7652267026278</v>
      </c>
      <c r="BP36" s="32">
        <v>17549.423471368886</v>
      </c>
    </row>
    <row r="37" spans="2:68">
      <c r="B37" s="40"/>
      <c r="C37" s="10">
        <f>[2]武将升星!C135</f>
        <v>1</v>
      </c>
      <c r="D37" s="10">
        <f>[2]武将升星!D135</f>
        <v>0</v>
      </c>
      <c r="E37" s="10">
        <f>[2]武将升星!E135</f>
        <v>0</v>
      </c>
      <c r="F37" s="10">
        <f>[2]武将升星!F135</f>
        <v>0</v>
      </c>
      <c r="G37" s="10">
        <f>[2]武将升星!G135</f>
        <v>0</v>
      </c>
      <c r="H37" s="10">
        <f>[2]武将升星!H135</f>
        <v>0</v>
      </c>
      <c r="I37" s="10">
        <f>[2]武将升星!I135</f>
        <v>0</v>
      </c>
      <c r="W37" s="21">
        <v>12040</v>
      </c>
      <c r="X37" s="21">
        <f>[2]基础状态预期!D48</f>
        <v>135.54811255008914</v>
      </c>
      <c r="Y37" s="21">
        <f>[2]基础状态预期!F48</f>
        <v>0</v>
      </c>
      <c r="Z37" s="21">
        <f>[2]基础状态预期!G48</f>
        <v>0</v>
      </c>
      <c r="AA37" s="21">
        <f>[2]基础状态预期!H48</f>
        <v>0</v>
      </c>
      <c r="AB37" s="21">
        <f>[2]基础状态预期!I48</f>
        <v>0</v>
      </c>
      <c r="AC37" s="21">
        <f>[2]基础状态预期!J48</f>
        <v>6</v>
      </c>
      <c r="AD37" s="21">
        <f>[2]基础状态预期!K48</f>
        <v>0</v>
      </c>
      <c r="AE37" s="21">
        <f>[2]基础状态预期!L48</f>
        <v>0</v>
      </c>
      <c r="AF37" s="21">
        <f>[2]基础状态预期!M48</f>
        <v>0</v>
      </c>
      <c r="AG37" s="21">
        <f>[2]基础状态预期!N48</f>
        <v>0</v>
      </c>
      <c r="AH37" s="21">
        <f>[2]基础状态预期!O48</f>
        <v>8</v>
      </c>
      <c r="AI37" s="7">
        <f>[2]各r阵容卡情况!G42</f>
        <v>0</v>
      </c>
      <c r="AJ37" s="7">
        <f>[2]各r阵容卡情况!H42</f>
        <v>0</v>
      </c>
      <c r="AK37" s="7">
        <f>[2]各r阵容卡情况!I42</f>
        <v>24</v>
      </c>
      <c r="AL37" s="7">
        <f>[2]各r阵容卡情况!J42</f>
        <v>0</v>
      </c>
      <c r="AM37" s="7">
        <f>[2]各r阵容卡情况!K42</f>
        <v>3</v>
      </c>
      <c r="AN37" s="7">
        <f>[2]各r阵容卡情况!L42</f>
        <v>6</v>
      </c>
      <c r="AO37" s="7">
        <f>[2]各r阵容卡情况!M42</f>
        <v>8</v>
      </c>
      <c r="AP37" s="7">
        <f>[2]各r阵容卡情况!N42</f>
        <v>8</v>
      </c>
      <c r="AZ37" s="7">
        <f>[3]基础状态预期!C48</f>
        <v>135.54811255008914</v>
      </c>
      <c r="BA37" s="7">
        <f>[3]基础状态预期!D48</f>
        <v>12040</v>
      </c>
      <c r="BB37" s="7">
        <f>[3]基础状态预期!E48</f>
        <v>3</v>
      </c>
      <c r="BC37" s="7">
        <f>[3]基础状态预期!F48</f>
        <v>7</v>
      </c>
      <c r="BD37" s="7">
        <f>[3]基础状态预期!G48</f>
        <v>20</v>
      </c>
      <c r="BE37" s="7">
        <f>[3]基础状态预期!H48</f>
        <v>8</v>
      </c>
      <c r="BF37" s="7">
        <f>[3]基础状态预期!I48</f>
        <v>7</v>
      </c>
      <c r="BG37" s="7">
        <f>[3]基础状态预期!J48</f>
        <v>7</v>
      </c>
      <c r="BH37" s="7">
        <f>[3]基础状态预期!K48</f>
        <v>7</v>
      </c>
      <c r="BI37" s="7">
        <f>[3]基础状态预期!L48</f>
        <v>7</v>
      </c>
      <c r="BM37" s="32" t="s">
        <v>237</v>
      </c>
      <c r="BN37" s="32" t="s">
        <v>203</v>
      </c>
      <c r="BO37" s="32">
        <v>499025.31270098942</v>
      </c>
      <c r="BP37" s="32">
        <v>565348.08846456266</v>
      </c>
    </row>
    <row r="38" spans="2:68">
      <c r="B38" s="40"/>
      <c r="C38" s="10">
        <f>[2]武将升星!C136</f>
        <v>2</v>
      </c>
      <c r="D38" s="10">
        <f>[2]武将升星!D136</f>
        <v>0</v>
      </c>
      <c r="E38" s="10">
        <f>[2]武将升星!E136</f>
        <v>0</v>
      </c>
      <c r="F38" s="10">
        <f>[2]武将升星!F136</f>
        <v>0</v>
      </c>
      <c r="G38" s="10">
        <f>[2]武将升星!G136</f>
        <v>0</v>
      </c>
      <c r="H38" s="10">
        <f>[2]武将升星!H136</f>
        <v>0</v>
      </c>
      <c r="I38" s="10">
        <f>[2]武将升星!I136</f>
        <v>0</v>
      </c>
      <c r="W38" s="21">
        <v>15340</v>
      </c>
      <c r="X38" s="21">
        <f>[2]基础状态预期!D49</f>
        <v>139.0493876099641</v>
      </c>
      <c r="Y38" s="21">
        <f>[2]基础状态预期!F49</f>
        <v>0</v>
      </c>
      <c r="Z38" s="21">
        <f>[2]基础状态预期!G49</f>
        <v>0</v>
      </c>
      <c r="AA38" s="21">
        <f>[2]基础状态预期!H49</f>
        <v>0</v>
      </c>
      <c r="AB38" s="21">
        <f>[2]基础状态预期!I49</f>
        <v>0</v>
      </c>
      <c r="AC38" s="21">
        <f>[2]基础状态预期!J49</f>
        <v>6</v>
      </c>
      <c r="AD38" s="21">
        <f>[2]基础状态预期!K49</f>
        <v>0</v>
      </c>
      <c r="AE38" s="21">
        <f>[2]基础状态预期!L49</f>
        <v>0</v>
      </c>
      <c r="AF38" s="21">
        <f>[2]基础状态预期!M49</f>
        <v>0</v>
      </c>
      <c r="AG38" s="21">
        <f>[2]基础状态预期!N49</f>
        <v>0</v>
      </c>
      <c r="AH38" s="21">
        <f>[2]基础状态预期!O49</f>
        <v>8</v>
      </c>
      <c r="AI38" s="7">
        <f>[2]各r阵容卡情况!G43</f>
        <v>0</v>
      </c>
      <c r="AJ38" s="7">
        <f>[2]各r阵容卡情况!H43</f>
        <v>0</v>
      </c>
      <c r="AK38" s="7">
        <f>[2]各r阵容卡情况!I43</f>
        <v>24</v>
      </c>
      <c r="AL38" s="7">
        <f>[2]各r阵容卡情况!J43</f>
        <v>0</v>
      </c>
      <c r="AM38" s="7">
        <f>[2]各r阵容卡情况!K43</f>
        <v>3</v>
      </c>
      <c r="AN38" s="7">
        <f>[2]各r阵容卡情况!L43</f>
        <v>6</v>
      </c>
      <c r="AO38" s="7">
        <f>[2]各r阵容卡情况!M43</f>
        <v>8</v>
      </c>
      <c r="AP38" s="7">
        <f>[2]各r阵容卡情况!N43</f>
        <v>8</v>
      </c>
      <c r="AZ38" s="7">
        <f>[3]基础状态预期!C49</f>
        <v>139.0493876099641</v>
      </c>
      <c r="BA38" s="7">
        <f>[3]基础状态预期!D49</f>
        <v>15340</v>
      </c>
      <c r="BB38" s="7">
        <f>[3]基础状态预期!E49</f>
        <v>3</v>
      </c>
      <c r="BC38" s="7">
        <f>[3]基础状态预期!F49</f>
        <v>7</v>
      </c>
      <c r="BD38" s="7">
        <f>[3]基础状态预期!G49</f>
        <v>20</v>
      </c>
      <c r="BE38" s="7">
        <f>[3]基础状态预期!H49</f>
        <v>8</v>
      </c>
      <c r="BF38" s="7">
        <f>[3]基础状态预期!I49</f>
        <v>7</v>
      </c>
      <c r="BG38" s="7">
        <f>[3]基础状态预期!J49</f>
        <v>7</v>
      </c>
      <c r="BH38" s="7">
        <f>[3]基础状态预期!K49</f>
        <v>7</v>
      </c>
      <c r="BI38" s="7">
        <f>[3]基础状态预期!L49</f>
        <v>7</v>
      </c>
      <c r="BM38" s="32" t="s">
        <v>214</v>
      </c>
      <c r="BN38" s="32" t="s">
        <v>197</v>
      </c>
      <c r="BO38" s="32"/>
      <c r="BP38" s="32"/>
    </row>
    <row r="39" spans="2:68">
      <c r="B39" s="40"/>
      <c r="C39" s="10">
        <f>[2]武将升星!C137</f>
        <v>3</v>
      </c>
      <c r="D39" s="10">
        <f>[2]武将升星!D137</f>
        <v>0</v>
      </c>
      <c r="E39" s="10">
        <f>[2]武将升星!E137</f>
        <v>0</v>
      </c>
      <c r="F39" s="10">
        <f>[2]武将升星!F137</f>
        <v>0</v>
      </c>
      <c r="G39" s="10">
        <f>[2]武将升星!G137</f>
        <v>5</v>
      </c>
      <c r="H39" s="10">
        <f>[2]武将升星!H137</f>
        <v>0</v>
      </c>
      <c r="I39" s="10">
        <f>[2]武将升星!I137</f>
        <v>0</v>
      </c>
      <c r="W39" s="21">
        <v>19540</v>
      </c>
      <c r="X39" s="21">
        <f>[2]基础状态预期!D50</f>
        <v>142.53355653582128</v>
      </c>
      <c r="Y39" s="21">
        <f>[2]基础状态预期!F50</f>
        <v>0</v>
      </c>
      <c r="Z39" s="21">
        <f>[2]基础状态预期!G50</f>
        <v>0</v>
      </c>
      <c r="AA39" s="21">
        <f>[2]基础状态预期!H50</f>
        <v>0</v>
      </c>
      <c r="AB39" s="21">
        <f>[2]基础状态预期!I50</f>
        <v>0</v>
      </c>
      <c r="AC39" s="21">
        <f>[2]基础状态预期!J50</f>
        <v>6</v>
      </c>
      <c r="AD39" s="21">
        <f>[2]基础状态预期!K50</f>
        <v>0</v>
      </c>
      <c r="AE39" s="21">
        <f>[2]基础状态预期!L50</f>
        <v>0</v>
      </c>
      <c r="AF39" s="21">
        <f>[2]基础状态预期!M50</f>
        <v>0</v>
      </c>
      <c r="AG39" s="21">
        <f>[2]基础状态预期!N50</f>
        <v>0</v>
      </c>
      <c r="AH39" s="21">
        <f>[2]基础状态预期!O50</f>
        <v>8</v>
      </c>
      <c r="AI39" s="7">
        <f>[2]各r阵容卡情况!G44</f>
        <v>0</v>
      </c>
      <c r="AJ39" s="7">
        <f>[2]各r阵容卡情况!H44</f>
        <v>0</v>
      </c>
      <c r="AK39" s="7">
        <f>[2]各r阵容卡情况!I44</f>
        <v>24</v>
      </c>
      <c r="AL39" s="7">
        <f>[2]各r阵容卡情况!J44</f>
        <v>0</v>
      </c>
      <c r="AM39" s="7">
        <f>[2]各r阵容卡情况!K44</f>
        <v>3</v>
      </c>
      <c r="AN39" s="7">
        <f>[2]各r阵容卡情况!L44</f>
        <v>6</v>
      </c>
      <c r="AO39" s="7">
        <f>[2]各r阵容卡情况!M44</f>
        <v>8</v>
      </c>
      <c r="AP39" s="7">
        <f>[2]各r阵容卡情况!N44</f>
        <v>8</v>
      </c>
      <c r="AZ39" s="7">
        <f>[3]基础状态预期!C50</f>
        <v>142.53355653582128</v>
      </c>
      <c r="BA39" s="7">
        <f>[3]基础状态预期!D50</f>
        <v>19540</v>
      </c>
      <c r="BB39" s="7">
        <f>[3]基础状态预期!E50</f>
        <v>3</v>
      </c>
      <c r="BC39" s="7">
        <f>[3]基础状态预期!F50</f>
        <v>7</v>
      </c>
      <c r="BD39" s="7">
        <f>[3]基础状态预期!G50</f>
        <v>20</v>
      </c>
      <c r="BE39" s="7">
        <f>[3]基础状态预期!H50</f>
        <v>8</v>
      </c>
      <c r="BF39" s="7">
        <f>[3]基础状态预期!I50</f>
        <v>7</v>
      </c>
      <c r="BG39" s="7">
        <f>[3]基础状态预期!J50</f>
        <v>7</v>
      </c>
      <c r="BH39" s="7">
        <f>[3]基础状态预期!K50</f>
        <v>7</v>
      </c>
      <c r="BI39" s="7">
        <f>[3]基础状态预期!L50</f>
        <v>7</v>
      </c>
      <c r="BM39" s="32" t="s">
        <v>215</v>
      </c>
      <c r="BN39" s="32" t="s">
        <v>203</v>
      </c>
      <c r="BO39" s="32">
        <v>843649.28755456104</v>
      </c>
      <c r="BP39" s="32">
        <v>797752.33943613665</v>
      </c>
    </row>
    <row r="40" spans="2:68">
      <c r="B40" s="40"/>
      <c r="C40" s="10">
        <f>[2]武将升星!C138</f>
        <v>4</v>
      </c>
      <c r="D40" s="10">
        <f>[2]武将升星!D138</f>
        <v>0</v>
      </c>
      <c r="E40" s="10">
        <f>[2]武将升星!E138</f>
        <v>0</v>
      </c>
      <c r="F40" s="10">
        <f>[2]武将升星!F138</f>
        <v>0</v>
      </c>
      <c r="G40" s="10">
        <f>[2]武将升星!G138</f>
        <v>5</v>
      </c>
      <c r="H40" s="10">
        <f>[2]武将升星!H138</f>
        <v>0</v>
      </c>
      <c r="I40" s="10">
        <f>[2]武将升星!I138</f>
        <v>0</v>
      </c>
      <c r="W40" s="21">
        <v>24880</v>
      </c>
      <c r="X40" s="21">
        <f>[2]基础状态预期!D51</f>
        <v>146.02664953963369</v>
      </c>
      <c r="Y40" s="21">
        <f>[2]基础状态预期!F51</f>
        <v>0</v>
      </c>
      <c r="Z40" s="21">
        <f>[2]基础状态预期!G51</f>
        <v>0</v>
      </c>
      <c r="AA40" s="21">
        <f>[2]基础状态预期!H51</f>
        <v>0</v>
      </c>
      <c r="AB40" s="21">
        <f>[2]基础状态预期!I51</f>
        <v>0</v>
      </c>
      <c r="AC40" s="21">
        <f>[2]基础状态预期!J51</f>
        <v>6</v>
      </c>
      <c r="AD40" s="21">
        <f>[2]基础状态预期!K51</f>
        <v>0</v>
      </c>
      <c r="AE40" s="21">
        <f>[2]基础状态预期!L51</f>
        <v>0</v>
      </c>
      <c r="AF40" s="21">
        <f>[2]基础状态预期!M51</f>
        <v>0</v>
      </c>
      <c r="AG40" s="21">
        <f>[2]基础状态预期!N51</f>
        <v>0</v>
      </c>
      <c r="AH40" s="21">
        <f>[2]基础状态预期!O51</f>
        <v>8</v>
      </c>
      <c r="AI40" s="7">
        <f>[2]各r阵容卡情况!G45</f>
        <v>0</v>
      </c>
      <c r="AJ40" s="7">
        <f>[2]各r阵容卡情况!H45</f>
        <v>0</v>
      </c>
      <c r="AK40" s="7">
        <f>[2]各r阵容卡情况!I45</f>
        <v>24</v>
      </c>
      <c r="AL40" s="7">
        <f>[2]各r阵容卡情况!J45</f>
        <v>0</v>
      </c>
      <c r="AM40" s="7">
        <f>[2]各r阵容卡情况!K45</f>
        <v>3</v>
      </c>
      <c r="AN40" s="7">
        <f>[2]各r阵容卡情况!L45</f>
        <v>6</v>
      </c>
      <c r="AO40" s="7">
        <f>[2]各r阵容卡情况!M45</f>
        <v>8</v>
      </c>
      <c r="AP40" s="7">
        <f>[2]各r阵容卡情况!N45</f>
        <v>8</v>
      </c>
      <c r="AZ40" s="7">
        <f>[3]基础状态预期!C51</f>
        <v>146.02664953963369</v>
      </c>
      <c r="BA40" s="7">
        <f>[3]基础状态预期!D51</f>
        <v>24880</v>
      </c>
      <c r="BB40" s="7">
        <f>[3]基础状态预期!E51</f>
        <v>3</v>
      </c>
      <c r="BC40" s="7">
        <f>[3]基础状态预期!F51</f>
        <v>7</v>
      </c>
      <c r="BD40" s="7">
        <f>[3]基础状态预期!G51</f>
        <v>20</v>
      </c>
      <c r="BE40" s="7">
        <f>[3]基础状态预期!H51</f>
        <v>8</v>
      </c>
      <c r="BF40" s="7">
        <f>[3]基础状态预期!I51</f>
        <v>7</v>
      </c>
      <c r="BG40" s="7">
        <f>[3]基础状态预期!J51</f>
        <v>7</v>
      </c>
      <c r="BH40" s="7">
        <f>[3]基础状态预期!K51</f>
        <v>7</v>
      </c>
      <c r="BI40" s="7">
        <f>[3]基础状态预期!L51</f>
        <v>7</v>
      </c>
      <c r="BM40" s="32" t="s">
        <v>236</v>
      </c>
      <c r="BN40" s="32" t="s">
        <v>203</v>
      </c>
      <c r="BO40" s="32">
        <v>830318.2720553102</v>
      </c>
      <c r="BP40" s="32">
        <v>877147.56294057553</v>
      </c>
    </row>
    <row r="41" spans="2:68">
      <c r="B41" s="40"/>
      <c r="C41" s="10">
        <f>[2]武将升星!C139</f>
        <v>5</v>
      </c>
      <c r="D41" s="10">
        <f>[2]武将升星!D139</f>
        <v>0</v>
      </c>
      <c r="E41" s="10">
        <f>[2]武将升星!E139</f>
        <v>0</v>
      </c>
      <c r="F41" s="10">
        <f>[2]武将升星!F139</f>
        <v>0</v>
      </c>
      <c r="G41" s="10">
        <f>[2]武将升星!G139</f>
        <v>15</v>
      </c>
      <c r="H41" s="10">
        <f>[2]武将升星!H139</f>
        <v>0</v>
      </c>
      <c r="I41" s="10">
        <f>[2]武将升星!I139</f>
        <v>0</v>
      </c>
      <c r="W41" s="21">
        <v>31720</v>
      </c>
      <c r="X41" s="21">
        <f>[2]基础状态预期!D52</f>
        <v>149.52287096243165</v>
      </c>
      <c r="Y41" s="21">
        <f>[2]基础状态预期!F52</f>
        <v>0</v>
      </c>
      <c r="Z41" s="21">
        <f>[2]基础状态预期!G52</f>
        <v>0</v>
      </c>
      <c r="AA41" s="21">
        <f>[2]基础状态预期!H52</f>
        <v>0</v>
      </c>
      <c r="AB41" s="21">
        <f>[2]基础状态预期!I52</f>
        <v>0</v>
      </c>
      <c r="AC41" s="21">
        <f>[2]基础状态预期!J52</f>
        <v>6</v>
      </c>
      <c r="AD41" s="21">
        <f>[2]基础状态预期!K52</f>
        <v>0</v>
      </c>
      <c r="AE41" s="21">
        <f>[2]基础状态预期!L52</f>
        <v>0</v>
      </c>
      <c r="AF41" s="21">
        <f>[2]基础状态预期!M52</f>
        <v>0</v>
      </c>
      <c r="AG41" s="21">
        <f>[2]基础状态预期!N52</f>
        <v>0</v>
      </c>
      <c r="AH41" s="21">
        <f>[2]基础状态预期!O52</f>
        <v>8</v>
      </c>
      <c r="AI41" s="7">
        <f>[2]各r阵容卡情况!G46</f>
        <v>0</v>
      </c>
      <c r="AJ41" s="7">
        <f>[2]各r阵容卡情况!H46</f>
        <v>0</v>
      </c>
      <c r="AK41" s="7">
        <f>[2]各r阵容卡情况!I46</f>
        <v>24</v>
      </c>
      <c r="AL41" s="7">
        <f>[2]各r阵容卡情况!J46</f>
        <v>0</v>
      </c>
      <c r="AM41" s="7">
        <f>[2]各r阵容卡情况!K46</f>
        <v>3</v>
      </c>
      <c r="AN41" s="7">
        <f>[2]各r阵容卡情况!L46</f>
        <v>6</v>
      </c>
      <c r="AO41" s="7">
        <f>[2]各r阵容卡情况!M46</f>
        <v>8</v>
      </c>
      <c r="AP41" s="7">
        <f>[2]各r阵容卡情况!N46</f>
        <v>8</v>
      </c>
      <c r="AZ41" s="7">
        <f>[3]基础状态预期!C52</f>
        <v>149.52287096243165</v>
      </c>
      <c r="BA41" s="7">
        <f>[3]基础状态预期!D52</f>
        <v>31720</v>
      </c>
      <c r="BB41" s="7">
        <f>[3]基础状态预期!E52</f>
        <v>3</v>
      </c>
      <c r="BC41" s="7">
        <f>[3]基础状态预期!F52</f>
        <v>7</v>
      </c>
      <c r="BD41" s="7">
        <f>[3]基础状态预期!G52</f>
        <v>20</v>
      </c>
      <c r="BE41" s="7">
        <f>[3]基础状态预期!H52</f>
        <v>8</v>
      </c>
      <c r="BF41" s="7">
        <f>[3]基础状态预期!I52</f>
        <v>7</v>
      </c>
      <c r="BG41" s="7">
        <f>[3]基础状态预期!J52</f>
        <v>7</v>
      </c>
      <c r="BH41" s="7">
        <f>[3]基础状态预期!K52</f>
        <v>7</v>
      </c>
      <c r="BI41" s="7">
        <f>[3]基础状态预期!L52</f>
        <v>7</v>
      </c>
      <c r="BM41" s="32" t="s">
        <v>216</v>
      </c>
      <c r="BN41" s="32" t="s">
        <v>203</v>
      </c>
      <c r="BO41" s="32">
        <v>47426.637742271902</v>
      </c>
      <c r="BP41" s="32">
        <v>85367.947936089418</v>
      </c>
    </row>
    <row r="42" spans="2:68">
      <c r="B42" s="40"/>
      <c r="C42" s="10">
        <f>[2]武将升星!C140</f>
        <v>6</v>
      </c>
      <c r="D42" s="10">
        <f>[2]武将升星!D140</f>
        <v>0</v>
      </c>
      <c r="E42" s="10">
        <f>[2]武将升星!E140</f>
        <v>0</v>
      </c>
      <c r="F42" s="10">
        <f>[2]武将升星!F140</f>
        <v>0</v>
      </c>
      <c r="G42" s="10">
        <f>[2]武将升星!G140</f>
        <v>15</v>
      </c>
      <c r="H42" s="10">
        <f>[2]武将升星!H140</f>
        <v>0</v>
      </c>
      <c r="I42" s="10">
        <f>[2]武将升星!I140</f>
        <v>0</v>
      </c>
      <c r="W42" s="21">
        <v>40420</v>
      </c>
      <c r="X42" s="21">
        <f>[2]基础状态预期!D53</f>
        <v>153.02723536432757</v>
      </c>
      <c r="Y42" s="21">
        <f>[2]基础状态预期!F53</f>
        <v>0</v>
      </c>
      <c r="Z42" s="21">
        <f>[2]基础状态预期!G53</f>
        <v>0</v>
      </c>
      <c r="AA42" s="21">
        <f>[2]基础状态预期!H53</f>
        <v>0</v>
      </c>
      <c r="AB42" s="21">
        <f>[2]基础状态预期!I53</f>
        <v>0</v>
      </c>
      <c r="AC42" s="21">
        <f>[2]基础状态预期!J53</f>
        <v>6</v>
      </c>
      <c r="AD42" s="21">
        <f>[2]基础状态预期!K53</f>
        <v>0</v>
      </c>
      <c r="AE42" s="21">
        <f>[2]基础状态预期!L53</f>
        <v>0</v>
      </c>
      <c r="AF42" s="21">
        <f>[2]基础状态预期!M53</f>
        <v>0</v>
      </c>
      <c r="AG42" s="21">
        <f>[2]基础状态预期!N53</f>
        <v>0</v>
      </c>
      <c r="AH42" s="21">
        <f>[2]基础状态预期!O53</f>
        <v>8</v>
      </c>
      <c r="AI42" s="7">
        <f>[2]各r阵容卡情况!G47</f>
        <v>0</v>
      </c>
      <c r="AJ42" s="7">
        <f>[2]各r阵容卡情况!H47</f>
        <v>0</v>
      </c>
      <c r="AK42" s="7">
        <f>[2]各r阵容卡情况!I47</f>
        <v>24</v>
      </c>
      <c r="AL42" s="7">
        <f>[2]各r阵容卡情况!J47</f>
        <v>0</v>
      </c>
      <c r="AM42" s="7">
        <f>[2]各r阵容卡情况!K47</f>
        <v>3</v>
      </c>
      <c r="AN42" s="7">
        <f>[2]各r阵容卡情况!L47</f>
        <v>6</v>
      </c>
      <c r="AO42" s="7">
        <f>[2]各r阵容卡情况!M47</f>
        <v>8</v>
      </c>
      <c r="AP42" s="7">
        <f>[2]各r阵容卡情况!N47</f>
        <v>8</v>
      </c>
      <c r="AZ42" s="7">
        <f>[3]基础状态预期!C53</f>
        <v>153.02723536432757</v>
      </c>
      <c r="BA42" s="7">
        <f>[3]基础状态预期!D53</f>
        <v>40420</v>
      </c>
      <c r="BB42" s="7">
        <f>[3]基础状态预期!E53</f>
        <v>3</v>
      </c>
      <c r="BC42" s="7">
        <f>[3]基础状态预期!F53</f>
        <v>7</v>
      </c>
      <c r="BD42" s="7">
        <f>[3]基础状态预期!G53</f>
        <v>20</v>
      </c>
      <c r="BE42" s="7">
        <f>[3]基础状态预期!H53</f>
        <v>8</v>
      </c>
      <c r="BF42" s="7">
        <f>[3]基础状态预期!I53</f>
        <v>7</v>
      </c>
      <c r="BG42" s="7">
        <f>[3]基础状态预期!J53</f>
        <v>7</v>
      </c>
      <c r="BH42" s="7">
        <f>[3]基础状态预期!K53</f>
        <v>7</v>
      </c>
      <c r="BI42" s="7">
        <f>[3]基础状态预期!L53</f>
        <v>7</v>
      </c>
      <c r="BM42" s="32" t="s">
        <v>217</v>
      </c>
      <c r="BN42" s="32" t="s">
        <v>203</v>
      </c>
      <c r="BO42" s="32"/>
      <c r="BP42" s="32"/>
    </row>
    <row r="43" spans="2:68">
      <c r="B43" s="40"/>
      <c r="C43" s="10">
        <f>[2]武将升星!C141</f>
        <v>7</v>
      </c>
      <c r="D43" s="10">
        <f>[2]武将升星!D141</f>
        <v>0</v>
      </c>
      <c r="E43" s="10">
        <f>[2]武将升星!E141</f>
        <v>0</v>
      </c>
      <c r="F43" s="10">
        <f>[2]武将升星!F141</f>
        <v>0</v>
      </c>
      <c r="G43" s="10">
        <f>[2]武将升星!G141</f>
        <v>35</v>
      </c>
      <c r="H43" s="10">
        <f>[2]武将升星!H141</f>
        <v>0</v>
      </c>
      <c r="I43" s="10">
        <f>[2]武将升星!I141</f>
        <v>0</v>
      </c>
      <c r="W43" s="21">
        <v>51520</v>
      </c>
      <c r="X43" s="21">
        <f>[2]基础状态预期!D54</f>
        <v>156.52008914974525</v>
      </c>
      <c r="Y43" s="21">
        <f>[2]基础状态预期!F54</f>
        <v>0</v>
      </c>
      <c r="Z43" s="21">
        <f>[2]基础状态预期!G54</f>
        <v>0</v>
      </c>
      <c r="AA43" s="21">
        <f>[2]基础状态预期!H54</f>
        <v>0</v>
      </c>
      <c r="AB43" s="21">
        <f>[2]基础状态预期!I54</f>
        <v>0</v>
      </c>
      <c r="AC43" s="21">
        <f>[2]基础状态预期!J54</f>
        <v>6</v>
      </c>
      <c r="AD43" s="21">
        <f>[2]基础状态预期!K54</f>
        <v>0</v>
      </c>
      <c r="AE43" s="21">
        <f>[2]基础状态预期!L54</f>
        <v>0</v>
      </c>
      <c r="AF43" s="21">
        <f>[2]基础状态预期!M54</f>
        <v>0</v>
      </c>
      <c r="AG43" s="21">
        <f>[2]基础状态预期!N54</f>
        <v>0</v>
      </c>
      <c r="AH43" s="21">
        <f>[2]基础状态预期!O54</f>
        <v>8</v>
      </c>
      <c r="AI43" s="7">
        <f>[2]各r阵容卡情况!G48</f>
        <v>0</v>
      </c>
      <c r="AJ43" s="7">
        <f>[2]各r阵容卡情况!H48</f>
        <v>0</v>
      </c>
      <c r="AK43" s="7">
        <f>[2]各r阵容卡情况!I48</f>
        <v>24</v>
      </c>
      <c r="AL43" s="7">
        <f>[2]各r阵容卡情况!J48</f>
        <v>0</v>
      </c>
      <c r="AM43" s="7">
        <f>[2]各r阵容卡情况!K48</f>
        <v>3</v>
      </c>
      <c r="AN43" s="7">
        <f>[2]各r阵容卡情况!L48</f>
        <v>6</v>
      </c>
      <c r="AO43" s="7">
        <f>[2]各r阵容卡情况!M48</f>
        <v>8</v>
      </c>
      <c r="AP43" s="7">
        <f>[2]各r阵容卡情况!N48</f>
        <v>8</v>
      </c>
      <c r="AZ43" s="7">
        <f>[3]基础状态预期!C54</f>
        <v>156.52008914974525</v>
      </c>
      <c r="BA43" s="7">
        <f>[3]基础状态预期!D54</f>
        <v>51520</v>
      </c>
      <c r="BB43" s="7">
        <f>[3]基础状态预期!E54</f>
        <v>3</v>
      </c>
      <c r="BC43" s="7">
        <f>[3]基础状态预期!F54</f>
        <v>7</v>
      </c>
      <c r="BD43" s="7">
        <f>[3]基础状态预期!G54</f>
        <v>20</v>
      </c>
      <c r="BE43" s="7">
        <f>[3]基础状态预期!H54</f>
        <v>8</v>
      </c>
      <c r="BF43" s="7">
        <f>[3]基础状态预期!I54</f>
        <v>7</v>
      </c>
      <c r="BG43" s="7">
        <f>[3]基础状态预期!J54</f>
        <v>7</v>
      </c>
      <c r="BH43" s="7">
        <f>[3]基础状态预期!K54</f>
        <v>7</v>
      </c>
      <c r="BI43" s="7">
        <f>[3]基础状态预期!L54</f>
        <v>7</v>
      </c>
      <c r="BM43" s="32" t="s">
        <v>218</v>
      </c>
      <c r="BN43" s="32" t="s">
        <v>203</v>
      </c>
      <c r="BO43" s="32"/>
      <c r="BP43" s="32"/>
    </row>
    <row r="44" spans="2:68">
      <c r="B44" s="41"/>
      <c r="C44" s="10">
        <f>[2]武将升星!C142</f>
        <v>8</v>
      </c>
      <c r="D44" s="10">
        <f>[2]武将升星!D142</f>
        <v>0</v>
      </c>
      <c r="E44" s="10">
        <f>[2]武将升星!E142</f>
        <v>0</v>
      </c>
      <c r="F44" s="10">
        <f>[2]武将升星!F142</f>
        <v>0</v>
      </c>
      <c r="G44" s="10">
        <f>[2]武将升星!G142</f>
        <v>35</v>
      </c>
      <c r="H44" s="10">
        <f>[2]武将升星!H142</f>
        <v>0</v>
      </c>
      <c r="I44" s="10">
        <f>[2]武将升星!I142</f>
        <v>0</v>
      </c>
      <c r="W44" s="21">
        <v>65500</v>
      </c>
      <c r="X44" s="21">
        <f>[2]基础状态预期!D55</f>
        <v>159.99202506384199</v>
      </c>
      <c r="Y44" s="21">
        <f>[2]基础状态预期!F55</f>
        <v>0</v>
      </c>
      <c r="Z44" s="21">
        <f>[2]基础状态预期!G55</f>
        <v>0</v>
      </c>
      <c r="AA44" s="21">
        <f>[2]基础状态预期!H55</f>
        <v>0</v>
      </c>
      <c r="AB44" s="21">
        <f>[2]基础状态预期!I55</f>
        <v>0</v>
      </c>
      <c r="AC44" s="21">
        <f>[2]基础状态预期!J55</f>
        <v>6</v>
      </c>
      <c r="AD44" s="21">
        <f>[2]基础状态预期!K55</f>
        <v>0</v>
      </c>
      <c r="AE44" s="21">
        <f>[2]基础状态预期!L55</f>
        <v>0</v>
      </c>
      <c r="AF44" s="21">
        <f>[2]基础状态预期!M55</f>
        <v>0</v>
      </c>
      <c r="AG44" s="21">
        <f>[2]基础状态预期!N55</f>
        <v>0</v>
      </c>
      <c r="AH44" s="21">
        <f>[2]基础状态预期!O55</f>
        <v>8</v>
      </c>
      <c r="AI44" s="7">
        <f>[2]各r阵容卡情况!G49</f>
        <v>0</v>
      </c>
      <c r="AJ44" s="7">
        <f>[2]各r阵容卡情况!H49</f>
        <v>0</v>
      </c>
      <c r="AK44" s="7">
        <f>[2]各r阵容卡情况!I49</f>
        <v>24</v>
      </c>
      <c r="AL44" s="7">
        <f>[2]各r阵容卡情况!J49</f>
        <v>0</v>
      </c>
      <c r="AM44" s="7">
        <f>[2]各r阵容卡情况!K49</f>
        <v>3</v>
      </c>
      <c r="AN44" s="7">
        <f>[2]各r阵容卡情况!L49</f>
        <v>6</v>
      </c>
      <c r="AO44" s="7">
        <f>[2]各r阵容卡情况!M49</f>
        <v>8</v>
      </c>
      <c r="AP44" s="7">
        <f>[2]各r阵容卡情况!N49</f>
        <v>8</v>
      </c>
      <c r="AZ44" s="7">
        <f>[3]基础状态预期!C55</f>
        <v>159.99202506384199</v>
      </c>
      <c r="BA44" s="7">
        <f>[3]基础状态预期!D55</f>
        <v>65500</v>
      </c>
      <c r="BB44" s="7">
        <f>[3]基础状态预期!E55</f>
        <v>3</v>
      </c>
      <c r="BC44" s="7">
        <f>[3]基础状态预期!F55</f>
        <v>7</v>
      </c>
      <c r="BD44" s="7">
        <f>[3]基础状态预期!G55</f>
        <v>20</v>
      </c>
      <c r="BE44" s="7">
        <f>[3]基础状态预期!H55</f>
        <v>8</v>
      </c>
      <c r="BF44" s="7">
        <f>[3]基础状态预期!I55</f>
        <v>7</v>
      </c>
      <c r="BG44" s="7">
        <f>[3]基础状态预期!J55</f>
        <v>7</v>
      </c>
      <c r="BH44" s="7">
        <f>[3]基础状态预期!K55</f>
        <v>7</v>
      </c>
      <c r="BI44" s="7">
        <f>[3]基础状态预期!L55</f>
        <v>7</v>
      </c>
      <c r="BM44" s="32" t="s">
        <v>219</v>
      </c>
      <c r="BN44" s="32" t="s">
        <v>203</v>
      </c>
      <c r="BO44" s="32">
        <v>69722.258569194863</v>
      </c>
      <c r="BP44" s="32">
        <v>69722.258569194863</v>
      </c>
    </row>
    <row r="45" spans="2:68">
      <c r="W45" s="23"/>
      <c r="X45" s="23"/>
      <c r="Y45" s="23"/>
      <c r="Z45" s="23"/>
      <c r="AA45" s="23"/>
      <c r="AB45" s="23"/>
      <c r="AC45" s="23"/>
      <c r="AI45" s="6"/>
      <c r="AJ45" s="6"/>
      <c r="AK45" s="6"/>
      <c r="AL45" s="6"/>
      <c r="AM45" s="6"/>
      <c r="AN45" s="6"/>
      <c r="AO45" s="6"/>
      <c r="AP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M45" s="32" t="s">
        <v>220</v>
      </c>
      <c r="BN45" s="32" t="s">
        <v>203</v>
      </c>
      <c r="BO45" s="32">
        <v>1222084.9311327541</v>
      </c>
      <c r="BP45" s="32">
        <v>1222084.9311327541</v>
      </c>
    </row>
    <row r="46" spans="2:68">
      <c r="W46" s="23"/>
      <c r="X46" s="23"/>
      <c r="Y46" s="23"/>
      <c r="Z46" s="23"/>
      <c r="AA46" s="23"/>
      <c r="AB46" s="23"/>
      <c r="AC46" s="23"/>
      <c r="AI46" s="6"/>
      <c r="AJ46" s="6"/>
      <c r="AK46" s="6"/>
      <c r="AL46" s="6"/>
      <c r="AM46" s="6"/>
      <c r="AN46" s="6"/>
      <c r="AO46" s="6"/>
      <c r="AP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M46" s="32" t="s">
        <v>221</v>
      </c>
      <c r="BN46" s="32" t="s">
        <v>203</v>
      </c>
      <c r="BO46" s="32" t="e">
        <v>#VALUE!</v>
      </c>
      <c r="BP46" s="32" t="e">
        <v>#VALUE!</v>
      </c>
    </row>
    <row r="47" spans="2:68">
      <c r="W47" s="23"/>
      <c r="X47" s="23"/>
      <c r="Y47" s="23"/>
      <c r="Z47" s="23"/>
      <c r="AA47" s="23"/>
      <c r="AB47" s="23"/>
      <c r="AC47" s="23"/>
      <c r="AI47" s="6"/>
      <c r="AJ47" s="6"/>
      <c r="AK47" s="6"/>
      <c r="AL47" s="6"/>
      <c r="AM47" s="6"/>
      <c r="AN47" s="6"/>
      <c r="AO47" s="6"/>
      <c r="AP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M47" s="32" t="s">
        <v>222</v>
      </c>
      <c r="BN47" s="32" t="s">
        <v>223</v>
      </c>
      <c r="BO47" s="32">
        <v>7881.5351535204636</v>
      </c>
      <c r="BP47" s="32">
        <v>7881.5351535204636</v>
      </c>
    </row>
    <row r="48" spans="2:68">
      <c r="W48" s="34" t="s">
        <v>46</v>
      </c>
      <c r="X48" s="34"/>
      <c r="Y48" s="23"/>
      <c r="Z48" s="23"/>
      <c r="AA48" s="23"/>
      <c r="AB48" s="23"/>
      <c r="AC48" s="23"/>
      <c r="AI48" s="6" t="s">
        <v>31</v>
      </c>
      <c r="AJ48" s="6"/>
      <c r="AK48" s="6"/>
      <c r="AL48" s="6"/>
      <c r="AM48" s="6"/>
      <c r="AN48" s="6"/>
      <c r="AO48" s="6"/>
      <c r="AP48" s="6"/>
      <c r="AZ48" s="35" t="s">
        <v>108</v>
      </c>
      <c r="BA48" s="35"/>
      <c r="BB48" s="35"/>
      <c r="BC48" s="35"/>
      <c r="BD48" s="35"/>
      <c r="BE48" s="35"/>
      <c r="BF48" s="35"/>
      <c r="BG48" s="35"/>
      <c r="BH48" s="35"/>
      <c r="BI48" s="35"/>
      <c r="BM48" s="32" t="s">
        <v>148</v>
      </c>
      <c r="BN48" s="32" t="s">
        <v>203</v>
      </c>
      <c r="BO48" s="32">
        <v>877225.17989711883</v>
      </c>
      <c r="BP48" s="32">
        <v>877225.17989711883</v>
      </c>
    </row>
    <row r="49" spans="23:68">
      <c r="W49" s="34"/>
      <c r="X49" s="34"/>
      <c r="Y49" s="42" t="s">
        <v>128</v>
      </c>
      <c r="Z49" s="43"/>
      <c r="AA49" s="43"/>
      <c r="AB49" s="43"/>
      <c r="AC49" s="44"/>
      <c r="AD49" s="34" t="s">
        <v>97</v>
      </c>
      <c r="AE49" s="34"/>
      <c r="AF49" s="34"/>
      <c r="AG49" s="34"/>
      <c r="AH49" s="34"/>
      <c r="AI49" s="36" t="s">
        <v>129</v>
      </c>
      <c r="AJ49" s="37"/>
      <c r="AK49" s="37"/>
      <c r="AL49" s="38"/>
      <c r="AM49" s="36" t="s">
        <v>130</v>
      </c>
      <c r="AN49" s="37"/>
      <c r="AO49" s="37"/>
      <c r="AP49" s="38"/>
      <c r="AZ49" s="7"/>
      <c r="BA49" s="7"/>
      <c r="BB49" s="36" t="s">
        <v>135</v>
      </c>
      <c r="BC49" s="37"/>
      <c r="BD49" s="37"/>
      <c r="BE49" s="38"/>
      <c r="BF49" s="36" t="s">
        <v>98</v>
      </c>
      <c r="BG49" s="37"/>
      <c r="BH49" s="37"/>
      <c r="BI49" s="38"/>
      <c r="BM49" s="32" t="s">
        <v>149</v>
      </c>
      <c r="BN49" s="32" t="s">
        <v>203</v>
      </c>
      <c r="BO49" s="32">
        <v>877225.17989711883</v>
      </c>
      <c r="BP49" s="32">
        <v>877225.17989711883</v>
      </c>
    </row>
    <row r="50" spans="23:68">
      <c r="W50" s="21" t="s">
        <v>103</v>
      </c>
      <c r="X50" s="21" t="s">
        <v>92</v>
      </c>
      <c r="Y50" s="21" t="s">
        <v>104</v>
      </c>
      <c r="Z50" s="21" t="s">
        <v>14</v>
      </c>
      <c r="AA50" s="21" t="s">
        <v>15</v>
      </c>
      <c r="AB50" s="21" t="s">
        <v>13</v>
      </c>
      <c r="AC50" s="21" t="s">
        <v>102</v>
      </c>
      <c r="AD50" s="21" t="s">
        <v>104</v>
      </c>
      <c r="AE50" s="21" t="s">
        <v>14</v>
      </c>
      <c r="AF50" s="21" t="s">
        <v>15</v>
      </c>
      <c r="AG50" s="21" t="s">
        <v>13</v>
      </c>
      <c r="AH50" s="21" t="s">
        <v>102</v>
      </c>
      <c r="AI50" s="7" t="s">
        <v>14</v>
      </c>
      <c r="AJ50" s="7" t="s">
        <v>15</v>
      </c>
      <c r="AK50" s="7" t="s">
        <v>13</v>
      </c>
      <c r="AL50" s="7" t="s">
        <v>102</v>
      </c>
      <c r="AM50" s="7" t="s">
        <v>14</v>
      </c>
      <c r="AN50" s="7" t="s">
        <v>15</v>
      </c>
      <c r="AO50" s="7" t="s">
        <v>13</v>
      </c>
      <c r="AP50" s="7" t="s">
        <v>102</v>
      </c>
      <c r="AZ50" s="7" t="s">
        <v>91</v>
      </c>
      <c r="BA50" s="7" t="s">
        <v>103</v>
      </c>
      <c r="BB50" s="7" t="s">
        <v>14</v>
      </c>
      <c r="BC50" s="7" t="s">
        <v>15</v>
      </c>
      <c r="BD50" s="7" t="s">
        <v>13</v>
      </c>
      <c r="BE50" s="7" t="s">
        <v>102</v>
      </c>
      <c r="BF50" s="7" t="s">
        <v>14</v>
      </c>
      <c r="BG50" s="7" t="s">
        <v>15</v>
      </c>
      <c r="BH50" s="7" t="s">
        <v>13</v>
      </c>
      <c r="BI50" s="7" t="s">
        <v>102</v>
      </c>
      <c r="BM50" s="32" t="s">
        <v>224</v>
      </c>
      <c r="BN50" s="32" t="s">
        <v>203</v>
      </c>
      <c r="BO50" s="32">
        <v>804168.41847446049</v>
      </c>
      <c r="BP50" s="32">
        <v>804168.41847446049</v>
      </c>
    </row>
    <row r="51" spans="23:68">
      <c r="W51" s="21">
        <f t="shared" ref="W51:W89" si="0">W6*0.85</f>
        <v>0.85</v>
      </c>
      <c r="X51" s="21">
        <f>[2]基础状态预期!D62</f>
        <v>9.9592453074578113</v>
      </c>
      <c r="Y51" s="21">
        <f>[2]基础状态预期!F62</f>
        <v>0</v>
      </c>
      <c r="Z51" s="21">
        <f>[2]基础状态预期!G62</f>
        <v>0</v>
      </c>
      <c r="AA51" s="21">
        <f>[2]基础状态预期!H62</f>
        <v>2</v>
      </c>
      <c r="AB51" s="21">
        <f>[2]基础状态预期!I62</f>
        <v>4</v>
      </c>
      <c r="AC51" s="21">
        <f>[2]基础状态预期!J62</f>
        <v>0</v>
      </c>
      <c r="AD51" s="21">
        <f>[2]基础状态预期!K62</f>
        <v>0</v>
      </c>
      <c r="AE51" s="21">
        <f>[2]基础状态预期!L62</f>
        <v>0</v>
      </c>
      <c r="AF51" s="21">
        <f>[2]基础状态预期!M62</f>
        <v>0.54012019288390922</v>
      </c>
      <c r="AG51" s="21">
        <f>[2]基础状态预期!N62</f>
        <v>0</v>
      </c>
      <c r="AH51" s="21">
        <f>[2]基础状态预期!O62</f>
        <v>0</v>
      </c>
      <c r="AI51" s="7">
        <f>[2]各r阵容卡情况!G56</f>
        <v>0</v>
      </c>
      <c r="AJ51" s="7">
        <f>[2]各r阵容卡情况!H56</f>
        <v>0</v>
      </c>
      <c r="AK51" s="7">
        <f>[2]各r阵容卡情况!I56</f>
        <v>0</v>
      </c>
      <c r="AL51" s="7">
        <f>[2]各r阵容卡情况!J56</f>
        <v>0</v>
      </c>
      <c r="AM51" s="7">
        <f>[2]各r阵容卡情况!K56</f>
        <v>3</v>
      </c>
      <c r="AN51" s="7">
        <f>[2]各r阵容卡情况!L56</f>
        <v>0.54012019288390922</v>
      </c>
      <c r="AO51" s="7">
        <f>[2]各r阵容卡情况!M56</f>
        <v>0</v>
      </c>
      <c r="AP51" s="7">
        <f>[2]各r阵容卡情况!N56</f>
        <v>0</v>
      </c>
      <c r="AZ51" s="7">
        <f>[3]基础状态预期!C62</f>
        <v>9.9592453074578113</v>
      </c>
      <c r="BA51" s="7">
        <f>[3]基础状态预期!D62</f>
        <v>0.85</v>
      </c>
      <c r="BB51" s="7">
        <f>[3]基础状态预期!E62</f>
        <v>3</v>
      </c>
      <c r="BC51" s="7">
        <f>[3]基础状态预期!F62</f>
        <v>4</v>
      </c>
      <c r="BD51" s="7">
        <f>[3]基础状态预期!G62</f>
        <v>2</v>
      </c>
      <c r="BE51" s="7">
        <f>[3]基础状态预期!H62</f>
        <v>0</v>
      </c>
      <c r="BF51" s="7">
        <f>[3]基础状态预期!I62</f>
        <v>1.5291592660896463</v>
      </c>
      <c r="BG51" s="7">
        <f>[3]基础状态预期!J62</f>
        <v>2</v>
      </c>
      <c r="BH51" s="7">
        <f>[3]基础状态预期!K62</f>
        <v>3</v>
      </c>
      <c r="BI51" s="7">
        <f>[3]基础状态预期!L62</f>
        <v>0</v>
      </c>
      <c r="BM51" s="32" t="s">
        <v>225</v>
      </c>
      <c r="BN51" s="32" t="s">
        <v>203</v>
      </c>
      <c r="BO51" s="32">
        <v>804168.41847446049</v>
      </c>
      <c r="BP51" s="32">
        <v>804168.41847446049</v>
      </c>
    </row>
    <row r="52" spans="23:68">
      <c r="W52" s="21">
        <f t="shared" si="0"/>
        <v>2.5499999999999998</v>
      </c>
      <c r="X52" s="21">
        <f>[2]基础状态预期!D63</f>
        <v>19.766822802328868</v>
      </c>
      <c r="Y52" s="21">
        <f>[2]基础状态预期!F63</f>
        <v>0</v>
      </c>
      <c r="Z52" s="21">
        <f>[2]基础状态预期!G63</f>
        <v>0</v>
      </c>
      <c r="AA52" s="21">
        <f>[2]基础状态预期!H63</f>
        <v>0</v>
      </c>
      <c r="AB52" s="21">
        <f>[2]基础状态预期!I63</f>
        <v>6</v>
      </c>
      <c r="AC52" s="21">
        <f>[2]基础状态预期!J63</f>
        <v>0</v>
      </c>
      <c r="AD52" s="21">
        <f>[2]基础状态预期!K63</f>
        <v>0</v>
      </c>
      <c r="AE52" s="21">
        <f>[2]基础状态预期!L63</f>
        <v>0</v>
      </c>
      <c r="AF52" s="21">
        <f>[2]基础状态预期!M63</f>
        <v>0</v>
      </c>
      <c r="AG52" s="21">
        <f>[2]基础状态预期!N63</f>
        <v>0</v>
      </c>
      <c r="AH52" s="21">
        <f>[2]基础状态预期!O63</f>
        <v>0</v>
      </c>
      <c r="AI52" s="7">
        <f>[2]各r阵容卡情况!G57</f>
        <v>6</v>
      </c>
      <c r="AJ52" s="7">
        <f>[2]各r阵容卡情况!H57</f>
        <v>0</v>
      </c>
      <c r="AK52" s="7">
        <f>[2]各r阵容卡情况!I57</f>
        <v>0</v>
      </c>
      <c r="AL52" s="7">
        <f>[2]各r阵容卡情况!J57</f>
        <v>0</v>
      </c>
      <c r="AM52" s="7">
        <f>[2]各r阵容卡情况!K57</f>
        <v>3</v>
      </c>
      <c r="AN52" s="7">
        <f>[2]各r阵容卡情况!L57</f>
        <v>2.1687703458217906</v>
      </c>
      <c r="AO52" s="7">
        <f>[2]各r阵容卡情况!M57</f>
        <v>0</v>
      </c>
      <c r="AP52" s="7">
        <f>[2]各r阵容卡情况!N57</f>
        <v>0</v>
      </c>
      <c r="AZ52" s="7">
        <f>[3]基础状态预期!C63</f>
        <v>19.766822802328868</v>
      </c>
      <c r="BA52" s="7">
        <f>[3]基础状态预期!D63</f>
        <v>2.5499999999999998</v>
      </c>
      <c r="BB52" s="7">
        <f>[3]基础状态预期!E63</f>
        <v>3</v>
      </c>
      <c r="BC52" s="7">
        <f>[3]基础状态预期!F63</f>
        <v>7</v>
      </c>
      <c r="BD52" s="7">
        <f>[3]基础状态预期!G63</f>
        <v>4</v>
      </c>
      <c r="BE52" s="7">
        <f>[3]基础状态预期!H63</f>
        <v>0</v>
      </c>
      <c r="BF52" s="7">
        <f>[3]基础状态预期!I63</f>
        <v>2.7054911202592899</v>
      </c>
      <c r="BG52" s="7">
        <f>[3]基础状态预期!J63</f>
        <v>2</v>
      </c>
      <c r="BH52" s="7">
        <f>[3]基础状态预期!K63</f>
        <v>3</v>
      </c>
      <c r="BI52" s="7">
        <f>[3]基础状态预期!L63</f>
        <v>0</v>
      </c>
      <c r="BM52" s="32" t="s">
        <v>150</v>
      </c>
      <c r="BN52" s="32" t="s">
        <v>203</v>
      </c>
      <c r="BO52" s="32">
        <v>1026912.2371136531</v>
      </c>
      <c r="BP52" s="32">
        <v>1026912.2371136531</v>
      </c>
    </row>
    <row r="53" spans="23:68">
      <c r="W53" s="21">
        <f t="shared" si="0"/>
        <v>5.0999999999999996</v>
      </c>
      <c r="X53" s="21">
        <f>[2]基础状态预期!D64</f>
        <v>27.773265580596355</v>
      </c>
      <c r="Y53" s="21">
        <f>[2]基础状态预期!F64</f>
        <v>0</v>
      </c>
      <c r="Z53" s="21">
        <f>[2]基础状态预期!G64</f>
        <v>0</v>
      </c>
      <c r="AA53" s="21">
        <f>[2]基础状态预期!H64</f>
        <v>0</v>
      </c>
      <c r="AB53" s="21">
        <f>[2]基础状态预期!I64</f>
        <v>6</v>
      </c>
      <c r="AC53" s="21">
        <f>[2]基础状态预期!J64</f>
        <v>0</v>
      </c>
      <c r="AD53" s="21">
        <f>[2]基础状态预期!K64</f>
        <v>0</v>
      </c>
      <c r="AE53" s="21">
        <f>[2]基础状态预期!L64</f>
        <v>0</v>
      </c>
      <c r="AF53" s="21">
        <f>[2]基础状态预期!M64</f>
        <v>0</v>
      </c>
      <c r="AG53" s="21">
        <f>[2]基础状态预期!N64</f>
        <v>0</v>
      </c>
      <c r="AH53" s="21">
        <f>[2]基础状态预期!O64</f>
        <v>0</v>
      </c>
      <c r="AI53" s="7">
        <f>[2]各r阵容卡情况!G58</f>
        <v>6</v>
      </c>
      <c r="AJ53" s="7">
        <f>[2]各r阵容卡情况!H58</f>
        <v>0</v>
      </c>
      <c r="AK53" s="7">
        <f>[2]各r阵容卡情况!I58</f>
        <v>0</v>
      </c>
      <c r="AL53" s="7">
        <f>[2]各r阵容卡情况!J58</f>
        <v>0</v>
      </c>
      <c r="AM53" s="7">
        <f>[2]各r阵容卡情况!K58</f>
        <v>3</v>
      </c>
      <c r="AN53" s="7">
        <f>[2]各r阵容卡情况!L58</f>
        <v>3.3786509208296396</v>
      </c>
      <c r="AO53" s="7">
        <f>[2]各r阵容卡情况!M58</f>
        <v>0</v>
      </c>
      <c r="AP53" s="7">
        <f>[2]各r阵容卡情况!N58</f>
        <v>0</v>
      </c>
      <c r="AZ53" s="7">
        <f>[3]基础状态预期!C64</f>
        <v>27.773265580596355</v>
      </c>
      <c r="BA53" s="7">
        <f>[3]基础状态预期!D64</f>
        <v>5.0999999999999996</v>
      </c>
      <c r="BB53" s="7">
        <f>[3]基础状态预期!E64</f>
        <v>3</v>
      </c>
      <c r="BC53" s="7">
        <f>[3]基础状态预期!F64</f>
        <v>7</v>
      </c>
      <c r="BD53" s="7">
        <f>[3]基础状态预期!G64</f>
        <v>6</v>
      </c>
      <c r="BE53" s="7">
        <f>[3]基础状态预期!H64</f>
        <v>0</v>
      </c>
      <c r="BF53" s="7">
        <f>[3]基础状态预期!I64</f>
        <v>3.5157337722350386</v>
      </c>
      <c r="BG53" s="7">
        <f>[3]基础状态预期!J64</f>
        <v>2</v>
      </c>
      <c r="BH53" s="7">
        <f>[3]基础状态预期!K64</f>
        <v>3</v>
      </c>
      <c r="BI53" s="7">
        <f>[3]基础状态预期!L64</f>
        <v>0</v>
      </c>
      <c r="BM53" s="32" t="s">
        <v>151</v>
      </c>
      <c r="BN53" s="32" t="s">
        <v>203</v>
      </c>
      <c r="BO53" s="32">
        <v>1026912.2371136531</v>
      </c>
      <c r="BP53" s="32">
        <v>1026912.2371136531</v>
      </c>
    </row>
    <row r="54" spans="23:68">
      <c r="W54" s="21">
        <f t="shared" si="0"/>
        <v>8.5</v>
      </c>
      <c r="X54" s="21">
        <f>[2]基础状态预期!D65</f>
        <v>34.250806171891597</v>
      </c>
      <c r="Y54" s="21">
        <f>[2]基础状态预期!F65</f>
        <v>0</v>
      </c>
      <c r="Z54" s="21">
        <f>[2]基础状态预期!G65</f>
        <v>0</v>
      </c>
      <c r="AA54" s="21">
        <f>[2]基础状态预期!H65</f>
        <v>0</v>
      </c>
      <c r="AB54" s="21">
        <f>[2]基础状态预期!I65</f>
        <v>6</v>
      </c>
      <c r="AC54" s="21">
        <f>[2]基础状态预期!J65</f>
        <v>0</v>
      </c>
      <c r="AD54" s="21">
        <f>[2]基础状态预期!K65</f>
        <v>0</v>
      </c>
      <c r="AE54" s="21">
        <f>[2]基础状态预期!L65</f>
        <v>0</v>
      </c>
      <c r="AF54" s="21">
        <f>[2]基础状态预期!M65</f>
        <v>0</v>
      </c>
      <c r="AG54" s="21">
        <f>[2]基础状态预期!N65</f>
        <v>0</v>
      </c>
      <c r="AH54" s="21">
        <f>[2]基础状态预期!O65</f>
        <v>0</v>
      </c>
      <c r="AI54" s="7">
        <f>[2]各r阵容卡情况!G59</f>
        <v>6</v>
      </c>
      <c r="AJ54" s="7">
        <f>[2]各r阵容卡情况!H59</f>
        <v>2</v>
      </c>
      <c r="AK54" s="7">
        <f>[2]各r阵容卡情况!I59</f>
        <v>0</v>
      </c>
      <c r="AL54" s="7">
        <f>[2]各r阵容卡情况!J59</f>
        <v>0</v>
      </c>
      <c r="AM54" s="7">
        <f>[2]各r阵容卡情况!K59</f>
        <v>3</v>
      </c>
      <c r="AN54" s="7">
        <f>[2]各r阵容卡情况!L59</f>
        <v>4.4965141005010834</v>
      </c>
      <c r="AO54" s="7">
        <f>[2]各r阵容卡情况!M59</f>
        <v>0</v>
      </c>
      <c r="AP54" s="7">
        <f>[2]各r阵容卡情况!N59</f>
        <v>0</v>
      </c>
      <c r="AZ54" s="7">
        <f>[3]基础状态预期!C65</f>
        <v>34.250806171891597</v>
      </c>
      <c r="BA54" s="7">
        <f>[3]基础状态预期!D65</f>
        <v>8.5</v>
      </c>
      <c r="BB54" s="7">
        <f>[3]基础状态预期!E65</f>
        <v>3</v>
      </c>
      <c r="BC54" s="7">
        <f>[3]基础状态预期!F65</f>
        <v>7</v>
      </c>
      <c r="BD54" s="7">
        <f>[3]基础状态预期!G65</f>
        <v>9</v>
      </c>
      <c r="BE54" s="7">
        <f>[3]基础状态预期!H65</f>
        <v>0</v>
      </c>
      <c r="BF54" s="7">
        <f>[3]基础状态预期!I65</f>
        <v>4.1438874861848447</v>
      </c>
      <c r="BG54" s="7">
        <f>[3]基础状态预期!J65</f>
        <v>2.4791648528252308</v>
      </c>
      <c r="BH54" s="7">
        <f>[3]基础状态预期!K65</f>
        <v>3</v>
      </c>
      <c r="BI54" s="7">
        <f>[3]基础状态预期!L65</f>
        <v>0</v>
      </c>
      <c r="BM54" s="32" t="s">
        <v>226</v>
      </c>
      <c r="BN54" s="32" t="s">
        <v>203</v>
      </c>
      <c r="BO54" s="32">
        <v>939711.89127572021</v>
      </c>
      <c r="BP54" s="32">
        <v>939711.89127572021</v>
      </c>
    </row>
    <row r="55" spans="23:68">
      <c r="W55" s="21">
        <f t="shared" si="0"/>
        <v>12.75</v>
      </c>
      <c r="X55" s="21">
        <f>[2]基础状态预期!D66</f>
        <v>39.661158518499626</v>
      </c>
      <c r="Y55" s="21">
        <f>[2]基础状态预期!F66</f>
        <v>0</v>
      </c>
      <c r="Z55" s="21">
        <f>[2]基础状态预期!G66</f>
        <v>0</v>
      </c>
      <c r="AA55" s="21">
        <f>[2]基础状态预期!H66</f>
        <v>0</v>
      </c>
      <c r="AB55" s="21">
        <f>[2]基础状态预期!I66</f>
        <v>6</v>
      </c>
      <c r="AC55" s="21">
        <f>[2]基础状态预期!J66</f>
        <v>0</v>
      </c>
      <c r="AD55" s="21">
        <f>[2]基础状态预期!K66</f>
        <v>0</v>
      </c>
      <c r="AE55" s="21">
        <f>[2]基础状态预期!L66</f>
        <v>0</v>
      </c>
      <c r="AF55" s="21">
        <f>[2]基础状态预期!M66</f>
        <v>0</v>
      </c>
      <c r="AG55" s="21">
        <f>[2]基础状态预期!N66</f>
        <v>0.23229478243937529</v>
      </c>
      <c r="AH55" s="21">
        <f>[2]基础状态预期!O66</f>
        <v>0</v>
      </c>
      <c r="AI55" s="7">
        <f>[2]各r阵容卡情况!G60</f>
        <v>6</v>
      </c>
      <c r="AJ55" s="7">
        <f>[2]各r阵容卡情况!H60</f>
        <v>4</v>
      </c>
      <c r="AK55" s="7">
        <f>[2]各r阵容卡情况!I60</f>
        <v>0</v>
      </c>
      <c r="AL55" s="7">
        <f>[2]各r阵容卡情况!J60</f>
        <v>0</v>
      </c>
      <c r="AM55" s="7">
        <f>[2]各r阵容卡情况!K60</f>
        <v>3</v>
      </c>
      <c r="AN55" s="7">
        <f>[2]各r阵容卡情况!L60</f>
        <v>5.4230816292477249</v>
      </c>
      <c r="AO55" s="7">
        <f>[2]各r阵容卡情况!M60</f>
        <v>0.23229478243937529</v>
      </c>
      <c r="AP55" s="7">
        <f>[2]各r阵容卡情况!N60</f>
        <v>0</v>
      </c>
      <c r="AZ55" s="7">
        <f>[3]基础状态预期!C66</f>
        <v>39.661158518499626</v>
      </c>
      <c r="BA55" s="7">
        <f>[3]基础状态预期!D66</f>
        <v>12.75</v>
      </c>
      <c r="BB55" s="7">
        <f>[3]基础状态预期!E66</f>
        <v>3</v>
      </c>
      <c r="BC55" s="7">
        <f>[3]基础状态预期!F66</f>
        <v>7</v>
      </c>
      <c r="BD55" s="7">
        <f>[3]基础状态预期!G66</f>
        <v>13</v>
      </c>
      <c r="BE55" s="7">
        <f>[3]基础状态预期!H66</f>
        <v>0</v>
      </c>
      <c r="BF55" s="7">
        <f>[3]基础状态预期!I66</f>
        <v>4.537791629153241</v>
      </c>
      <c r="BG55" s="7">
        <f>[3]基础状态预期!J66</f>
        <v>2.9885236583878116</v>
      </c>
      <c r="BH55" s="7">
        <f>[3]基础状态预期!K66</f>
        <v>3</v>
      </c>
      <c r="BI55" s="7">
        <f>[3]基础状态预期!L66</f>
        <v>0</v>
      </c>
      <c r="BM55" s="32" t="s">
        <v>227</v>
      </c>
      <c r="BN55" s="32" t="s">
        <v>203</v>
      </c>
      <c r="BO55" s="32">
        <v>939711.89127572021</v>
      </c>
      <c r="BP55" s="32">
        <v>939711.89127572021</v>
      </c>
    </row>
    <row r="56" spans="23:68">
      <c r="W56" s="21">
        <f t="shared" si="0"/>
        <v>17</v>
      </c>
      <c r="X56" s="21">
        <f>[2]基础状态预期!D67</f>
        <v>43.535389560453282</v>
      </c>
      <c r="Y56" s="21">
        <f>[2]基础状态预期!F67</f>
        <v>0</v>
      </c>
      <c r="Z56" s="21">
        <f>[2]基础状态预期!G67</f>
        <v>0</v>
      </c>
      <c r="AA56" s="21">
        <f>[2]基础状态预期!H67</f>
        <v>0</v>
      </c>
      <c r="AB56" s="21">
        <f>[2]基础状态预期!I67</f>
        <v>6</v>
      </c>
      <c r="AC56" s="21">
        <f>[2]基础状态预期!J67</f>
        <v>0</v>
      </c>
      <c r="AD56" s="21">
        <f>[2]基础状态预期!K67</f>
        <v>0</v>
      </c>
      <c r="AE56" s="21">
        <f>[2]基础状态预期!L67</f>
        <v>0</v>
      </c>
      <c r="AF56" s="21">
        <f>[2]基础状态预期!M67</f>
        <v>0</v>
      </c>
      <c r="AG56" s="21">
        <f>[2]基础状态预期!N67</f>
        <v>0.5155370005844655</v>
      </c>
      <c r="AH56" s="21">
        <f>[2]基础状态预期!O67</f>
        <v>0</v>
      </c>
      <c r="AI56" s="7">
        <f>[2]各r阵容卡情况!G61</f>
        <v>6</v>
      </c>
      <c r="AJ56" s="7">
        <f>[2]各r阵容卡情况!H61</f>
        <v>6</v>
      </c>
      <c r="AK56" s="7">
        <f>[2]各r阵容卡情况!I61</f>
        <v>0</v>
      </c>
      <c r="AL56" s="7">
        <f>[2]各r阵容卡情况!J61</f>
        <v>0</v>
      </c>
      <c r="AM56" s="7">
        <f>[2]各r阵容卡情况!K61</f>
        <v>3</v>
      </c>
      <c r="AN56" s="7">
        <f>[2]各r阵容卡情况!L61</f>
        <v>6</v>
      </c>
      <c r="AO56" s="7">
        <f>[2]各r阵容卡情况!M61</f>
        <v>0.5155370005844655</v>
      </c>
      <c r="AP56" s="7">
        <f>[2]各r阵容卡情况!N61</f>
        <v>0</v>
      </c>
      <c r="AZ56" s="7">
        <f>[3]基础状态预期!C67</f>
        <v>43.535389560453282</v>
      </c>
      <c r="BA56" s="7">
        <f>[3]基础状态预期!D67</f>
        <v>17</v>
      </c>
      <c r="BB56" s="7">
        <f>[3]基础状态预期!E67</f>
        <v>3</v>
      </c>
      <c r="BC56" s="7">
        <f>[3]基础状态预期!F67</f>
        <v>7</v>
      </c>
      <c r="BD56" s="7">
        <f>[3]基础状态预期!G67</f>
        <v>16</v>
      </c>
      <c r="BE56" s="7">
        <f>[3]基础状态预期!H67</f>
        <v>0</v>
      </c>
      <c r="BF56" s="7">
        <f>[3]基础状态预期!I67</f>
        <v>4.9239269582837402</v>
      </c>
      <c r="BG56" s="7">
        <f>[3]基础状态预期!J67</f>
        <v>3.2439182919937979</v>
      </c>
      <c r="BH56" s="7">
        <f>[3]基础状态预期!K67</f>
        <v>3</v>
      </c>
      <c r="BI56" s="7">
        <f>[3]基础状态预期!L67</f>
        <v>0</v>
      </c>
      <c r="BM56" s="32" t="s">
        <v>228</v>
      </c>
      <c r="BN56" s="32" t="s">
        <v>203</v>
      </c>
      <c r="BO56" s="32">
        <v>87722.51798971188</v>
      </c>
      <c r="BP56" s="32">
        <v>87722.51798971188</v>
      </c>
    </row>
    <row r="57" spans="23:68">
      <c r="W57" s="21">
        <f t="shared" si="0"/>
        <v>25.5</v>
      </c>
      <c r="X57" s="21">
        <f>[2]基础状态预期!D68</f>
        <v>49.178590903134719</v>
      </c>
      <c r="Y57" s="21">
        <f>[2]基础状态预期!F68</f>
        <v>0</v>
      </c>
      <c r="Z57" s="21">
        <f>[2]基础状态预期!G68</f>
        <v>0</v>
      </c>
      <c r="AA57" s="21">
        <f>[2]基础状态预期!H68</f>
        <v>0</v>
      </c>
      <c r="AB57" s="21">
        <f>[2]基础状态预期!I68</f>
        <v>6</v>
      </c>
      <c r="AC57" s="21">
        <f>[2]基础状态预期!J68</f>
        <v>0</v>
      </c>
      <c r="AD57" s="21">
        <f>[2]基础状态预期!K68</f>
        <v>0</v>
      </c>
      <c r="AE57" s="21">
        <f>[2]基础状态预期!L68</f>
        <v>0</v>
      </c>
      <c r="AF57" s="21">
        <f>[2]基础状态预期!M68</f>
        <v>0</v>
      </c>
      <c r="AG57" s="21">
        <f>[2]基础状态预期!N68</f>
        <v>1.031291182502831</v>
      </c>
      <c r="AH57" s="21">
        <f>[2]基础状态预期!O68</f>
        <v>0</v>
      </c>
      <c r="AI57" s="7">
        <f>[2]各r阵容卡情况!G62</f>
        <v>6</v>
      </c>
      <c r="AJ57" s="7">
        <f>[2]各r阵容卡情况!H62</f>
        <v>8</v>
      </c>
      <c r="AK57" s="7">
        <f>[2]各r阵容卡情况!I62</f>
        <v>0</v>
      </c>
      <c r="AL57" s="7">
        <f>[2]各r阵容卡情况!J62</f>
        <v>0</v>
      </c>
      <c r="AM57" s="7">
        <f>[2]各r阵容卡情况!K62</f>
        <v>3</v>
      </c>
      <c r="AN57" s="7">
        <f>[2]各r阵容卡情况!L62</f>
        <v>6</v>
      </c>
      <c r="AO57" s="7">
        <f>[2]各r阵容卡情况!M62</f>
        <v>1.031291182502831</v>
      </c>
      <c r="AP57" s="7">
        <f>[2]各r阵容卡情况!N62</f>
        <v>0</v>
      </c>
      <c r="AZ57" s="7">
        <f>[3]基础状态预期!C68</f>
        <v>49.178590903134719</v>
      </c>
      <c r="BA57" s="7">
        <f>[3]基础状态预期!D68</f>
        <v>25.5</v>
      </c>
      <c r="BB57" s="7">
        <f>[3]基础状态预期!E68</f>
        <v>3</v>
      </c>
      <c r="BC57" s="7">
        <f>[3]基础状态预期!F68</f>
        <v>7</v>
      </c>
      <c r="BD57" s="7">
        <f>[3]基础状态预期!G68</f>
        <v>20</v>
      </c>
      <c r="BE57" s="7">
        <f>[3]基础状态预期!H68</f>
        <v>0</v>
      </c>
      <c r="BF57" s="7">
        <f>[3]基础状态预期!I68</f>
        <v>5.3448618025065793</v>
      </c>
      <c r="BG57" s="7">
        <f>[3]基础状态预期!J68</f>
        <v>3.7390454342757491</v>
      </c>
      <c r="BH57" s="7">
        <f>[3]基础状态预期!K68</f>
        <v>3</v>
      </c>
      <c r="BI57" s="7">
        <f>[3]基础状态预期!L68</f>
        <v>0</v>
      </c>
      <c r="BM57" s="32" t="s">
        <v>229</v>
      </c>
      <c r="BN57" s="32" t="s">
        <v>203</v>
      </c>
      <c r="BO57" s="32">
        <v>35089.007195884755</v>
      </c>
      <c r="BP57" s="32">
        <v>35089.007195884755</v>
      </c>
    </row>
    <row r="58" spans="23:68">
      <c r="W58" s="21">
        <f t="shared" si="0"/>
        <v>34</v>
      </c>
      <c r="X58" s="21">
        <f>[2]基础状态预期!D69</f>
        <v>53.226994578658328</v>
      </c>
      <c r="Y58" s="21">
        <f>[2]基础状态预期!F69</f>
        <v>0</v>
      </c>
      <c r="Z58" s="21">
        <f>[2]基础状态预期!G69</f>
        <v>0</v>
      </c>
      <c r="AA58" s="21">
        <f>[2]基础状态预期!H69</f>
        <v>0</v>
      </c>
      <c r="AB58" s="21">
        <f>[2]基础状态预期!I69</f>
        <v>5</v>
      </c>
      <c r="AC58" s="21">
        <f>[2]基础状态预期!J69</f>
        <v>1</v>
      </c>
      <c r="AD58" s="21">
        <f>[2]基础状态预期!K69</f>
        <v>0</v>
      </c>
      <c r="AE58" s="21">
        <f>[2]基础状态预期!L69</f>
        <v>0</v>
      </c>
      <c r="AF58" s="21">
        <f>[2]基础状态预期!M69</f>
        <v>0</v>
      </c>
      <c r="AG58" s="21">
        <f>[2]基础状态预期!N69</f>
        <v>1.5179751030665232</v>
      </c>
      <c r="AH58" s="21">
        <f>[2]基础状态预期!O69</f>
        <v>0</v>
      </c>
      <c r="AI58" s="7">
        <f>[2]各r阵容卡情况!G63</f>
        <v>2</v>
      </c>
      <c r="AJ58" s="7">
        <f>[2]各r阵容卡情况!H63</f>
        <v>10</v>
      </c>
      <c r="AK58" s="7">
        <f>[2]各r阵容卡情况!I63</f>
        <v>0</v>
      </c>
      <c r="AL58" s="7">
        <f>[2]各r阵容卡情况!J63</f>
        <v>0</v>
      </c>
      <c r="AM58" s="7">
        <f>[2]各r阵容卡情况!K63</f>
        <v>3</v>
      </c>
      <c r="AN58" s="7">
        <f>[2]各r阵容卡情况!L63</f>
        <v>6</v>
      </c>
      <c r="AO58" s="7">
        <f>[2]各r阵容卡情况!M63</f>
        <v>1.5179751030665232</v>
      </c>
      <c r="AP58" s="7">
        <f>[2]各r阵容卡情况!N63</f>
        <v>0</v>
      </c>
      <c r="AZ58" s="7">
        <f>[3]基础状态预期!C69</f>
        <v>53.226994578658328</v>
      </c>
      <c r="BA58" s="7">
        <f>[3]基础状态预期!D69</f>
        <v>34</v>
      </c>
      <c r="BB58" s="7">
        <f>[3]基础状态预期!E69</f>
        <v>3</v>
      </c>
      <c r="BC58" s="7">
        <f>[3]基础状态预期!F69</f>
        <v>7</v>
      </c>
      <c r="BD58" s="7">
        <f>[3]基础状态预期!G69</f>
        <v>20</v>
      </c>
      <c r="BE58" s="7">
        <f>[3]基础状态预期!H69</f>
        <v>0</v>
      </c>
      <c r="BF58" s="7">
        <f>[3]基础状态预期!I69</f>
        <v>5.7361973343432489</v>
      </c>
      <c r="BG58" s="7">
        <f>[3]基础状态预期!J69</f>
        <v>4.1225413799633071</v>
      </c>
      <c r="BH58" s="7">
        <f>[3]基础状态预期!K69</f>
        <v>3.1973774719608619</v>
      </c>
      <c r="BI58" s="7">
        <f>[3]基础状态预期!L69</f>
        <v>0</v>
      </c>
      <c r="BM58" s="32" t="s">
        <v>230</v>
      </c>
      <c r="BN58" s="32" t="s">
        <v>203</v>
      </c>
      <c r="BO58" s="32">
        <v>35089.007195884755</v>
      </c>
      <c r="BP58" s="32">
        <v>35089.007195884755</v>
      </c>
    </row>
    <row r="59" spans="23:68">
      <c r="W59" s="21">
        <f t="shared" si="0"/>
        <v>51</v>
      </c>
      <c r="X59" s="21">
        <f>[2]基础状态预期!D70</f>
        <v>59.016342740868758</v>
      </c>
      <c r="Y59" s="21">
        <f>[2]基础状态预期!F70</f>
        <v>0</v>
      </c>
      <c r="Z59" s="21">
        <f>[2]基础状态预期!G70</f>
        <v>0</v>
      </c>
      <c r="AA59" s="21">
        <f>[2]基础状态预期!H70</f>
        <v>0</v>
      </c>
      <c r="AB59" s="21">
        <f>[2]基础状态预期!I70</f>
        <v>4</v>
      </c>
      <c r="AC59" s="21">
        <f>[2]基础状态预期!J70</f>
        <v>2</v>
      </c>
      <c r="AD59" s="21">
        <f>[2]基础状态预期!K70</f>
        <v>0</v>
      </c>
      <c r="AE59" s="21">
        <f>[2]基础状态预期!L70</f>
        <v>0</v>
      </c>
      <c r="AF59" s="21">
        <f>[2]基础状态预期!M70</f>
        <v>0</v>
      </c>
      <c r="AG59" s="21">
        <f>[2]基础状态预期!N70</f>
        <v>2.3049571647612241</v>
      </c>
      <c r="AH59" s="21">
        <f>[2]基础状态预期!O70</f>
        <v>0</v>
      </c>
      <c r="AI59" s="7">
        <f>[2]各r阵容卡情况!G64</f>
        <v>0</v>
      </c>
      <c r="AJ59" s="7">
        <f>[2]各r阵容卡情况!H64</f>
        <v>12</v>
      </c>
      <c r="AK59" s="7">
        <f>[2]各r阵容卡情况!I64</f>
        <v>4</v>
      </c>
      <c r="AL59" s="7">
        <f>[2]各r阵容卡情况!J64</f>
        <v>0</v>
      </c>
      <c r="AM59" s="7">
        <f>[2]各r阵容卡情况!K64</f>
        <v>3</v>
      </c>
      <c r="AN59" s="7">
        <f>[2]各r阵容卡情况!L64</f>
        <v>6</v>
      </c>
      <c r="AO59" s="7">
        <f>[2]各r阵容卡情况!M64</f>
        <v>2.3049571647612241</v>
      </c>
      <c r="AP59" s="7">
        <f>[2]各r阵容卡情况!N64</f>
        <v>0</v>
      </c>
      <c r="AZ59" s="7">
        <f>[3]基础状态预期!C70</f>
        <v>59.016342740868758</v>
      </c>
      <c r="BA59" s="7">
        <f>[3]基础状态预期!D70</f>
        <v>51</v>
      </c>
      <c r="BB59" s="7">
        <f>[3]基础状态预期!E70</f>
        <v>3</v>
      </c>
      <c r="BC59" s="7">
        <f>[3]基础状态预期!F70</f>
        <v>7</v>
      </c>
      <c r="BD59" s="7">
        <f>[3]基础状态预期!G70</f>
        <v>20</v>
      </c>
      <c r="BE59" s="7">
        <f>[3]基础状态预期!H70</f>
        <v>0</v>
      </c>
      <c r="BF59" s="7">
        <f>[3]基础状态预期!I70</f>
        <v>6.271295481542408</v>
      </c>
      <c r="BG59" s="7">
        <f>[3]基础状态预期!J70</f>
        <v>4.6408526619042023</v>
      </c>
      <c r="BH59" s="7">
        <f>[3]基础状态预期!K70</f>
        <v>3.728128224668338</v>
      </c>
      <c r="BI59" s="7">
        <f>[3]基础状态预期!L70</f>
        <v>0</v>
      </c>
      <c r="BM59" s="32" t="s">
        <v>231</v>
      </c>
      <c r="BN59" s="32" t="s">
        <v>203</v>
      </c>
      <c r="BO59" s="32">
        <v>50393.786930260001</v>
      </c>
      <c r="BP59" s="32">
        <v>50393.786930260001</v>
      </c>
    </row>
    <row r="60" spans="23:68">
      <c r="W60" s="21">
        <f t="shared" si="0"/>
        <v>76.5</v>
      </c>
      <c r="X60" s="21">
        <f>[2]基础状态预期!D71</f>
        <v>64.781009552500748</v>
      </c>
      <c r="Y60" s="21">
        <f>[2]基础状态预期!F71</f>
        <v>0</v>
      </c>
      <c r="Z60" s="21">
        <f>[2]基础状态预期!G71</f>
        <v>0</v>
      </c>
      <c r="AA60" s="21">
        <f>[2]基础状态预期!H71</f>
        <v>0</v>
      </c>
      <c r="AB60" s="21">
        <f>[2]基础状态预期!I71</f>
        <v>3</v>
      </c>
      <c r="AC60" s="21">
        <f>[2]基础状态预期!J71</f>
        <v>3</v>
      </c>
      <c r="AD60" s="21">
        <f>[2]基础状态预期!K71</f>
        <v>0</v>
      </c>
      <c r="AE60" s="21">
        <f>[2]基础状态预期!L71</f>
        <v>0</v>
      </c>
      <c r="AF60" s="21">
        <f>[2]基础状态预期!M71</f>
        <v>0</v>
      </c>
      <c r="AG60" s="21">
        <f>[2]基础状态预期!N71</f>
        <v>3.0094437122595719</v>
      </c>
      <c r="AH60" s="21">
        <f>[2]基础状态预期!O71</f>
        <v>0.64462271402140225</v>
      </c>
      <c r="AI60" s="7">
        <f>[2]各r阵容卡情况!G65</f>
        <v>0</v>
      </c>
      <c r="AJ60" s="7">
        <f>[2]各r阵容卡情况!H65</f>
        <v>14</v>
      </c>
      <c r="AK60" s="7">
        <f>[2]各r阵容卡情况!I65</f>
        <v>6</v>
      </c>
      <c r="AL60" s="7">
        <f>[2]各r阵容卡情况!J65</f>
        <v>0</v>
      </c>
      <c r="AM60" s="7">
        <f>[2]各r阵容卡情况!K65</f>
        <v>3</v>
      </c>
      <c r="AN60" s="7">
        <f>[2]各r阵容卡情况!L65</f>
        <v>6</v>
      </c>
      <c r="AO60" s="7">
        <f>[2]各r阵容卡情况!M65</f>
        <v>3.0094437122595719</v>
      </c>
      <c r="AP60" s="7">
        <f>[2]各r阵容卡情况!N65</f>
        <v>0.64462271402140225</v>
      </c>
      <c r="AZ60" s="7">
        <f>[3]基础状态预期!C71</f>
        <v>64.781009552500748</v>
      </c>
      <c r="BA60" s="7">
        <f>[3]基础状态预期!D71</f>
        <v>76.5</v>
      </c>
      <c r="BB60" s="7">
        <f>[3]基础状态预期!E71</f>
        <v>3</v>
      </c>
      <c r="BC60" s="7">
        <f>[3]基础状态预期!F71</f>
        <v>7</v>
      </c>
      <c r="BD60" s="7">
        <f>[3]基础状态预期!G71</f>
        <v>20</v>
      </c>
      <c r="BE60" s="7">
        <f>[3]基础状态预期!H71</f>
        <v>1</v>
      </c>
      <c r="BF60" s="7">
        <f>[3]基础状态预期!I71</f>
        <v>6.8796448376033217</v>
      </c>
      <c r="BG60" s="7">
        <f>[3]基础状态预期!J71</f>
        <v>5.2091597924077728</v>
      </c>
      <c r="BH60" s="7">
        <f>[3]基础状态预期!K71</f>
        <v>4.2455412158426675</v>
      </c>
      <c r="BI60" s="7">
        <f>[3]基础状态预期!L71</f>
        <v>3</v>
      </c>
      <c r="BM60" s="32" t="s">
        <v>238</v>
      </c>
      <c r="BN60" s="32" t="s">
        <v>203</v>
      </c>
      <c r="BO60" s="32">
        <v>550961.38273259904</v>
      </c>
      <c r="BP60" s="32">
        <v>612260.89217533707</v>
      </c>
    </row>
    <row r="61" spans="23:68">
      <c r="W61" s="21">
        <f t="shared" si="0"/>
        <v>102</v>
      </c>
      <c r="X61" s="21">
        <f>[2]基础状态预期!D72</f>
        <v>68.923431594456531</v>
      </c>
      <c r="Y61" s="21">
        <f>[2]基础状态预期!F72</f>
        <v>0</v>
      </c>
      <c r="Z61" s="21">
        <f>[2]基础状态预期!G72</f>
        <v>0</v>
      </c>
      <c r="AA61" s="21">
        <f>[2]基础状态预期!H72</f>
        <v>0</v>
      </c>
      <c r="AB61" s="21">
        <f>[2]基础状态预期!I72</f>
        <v>2</v>
      </c>
      <c r="AC61" s="21">
        <f>[2]基础状态预期!J72</f>
        <v>4</v>
      </c>
      <c r="AD61" s="21">
        <f>[2]基础状态预期!K72</f>
        <v>0</v>
      </c>
      <c r="AE61" s="21">
        <f>[2]基础状态预期!L72</f>
        <v>0</v>
      </c>
      <c r="AF61" s="21">
        <f>[2]基础状态预期!M72</f>
        <v>0</v>
      </c>
      <c r="AG61" s="21">
        <f>[2]基础状态预期!N72</f>
        <v>3.3323209952844213</v>
      </c>
      <c r="AH61" s="21">
        <f>[2]基础状态预期!O72</f>
        <v>0.96972464559888372</v>
      </c>
      <c r="AI61" s="7">
        <f>[2]各r阵容卡情况!G66</f>
        <v>0</v>
      </c>
      <c r="AJ61" s="7">
        <f>[2]各r阵容卡情况!H66</f>
        <v>16</v>
      </c>
      <c r="AK61" s="7">
        <f>[2]各r阵容卡情况!I66</f>
        <v>6</v>
      </c>
      <c r="AL61" s="7">
        <f>[2]各r阵容卡情况!J66</f>
        <v>0</v>
      </c>
      <c r="AM61" s="7">
        <f>[2]各r阵容卡情况!K66</f>
        <v>3</v>
      </c>
      <c r="AN61" s="7">
        <f>[2]各r阵容卡情况!L66</f>
        <v>6</v>
      </c>
      <c r="AO61" s="7">
        <f>[2]各r阵容卡情况!M66</f>
        <v>3.3323209952844213</v>
      </c>
      <c r="AP61" s="7">
        <f>[2]各r阵容卡情况!N66</f>
        <v>0.96972464559888372</v>
      </c>
      <c r="AZ61" s="7">
        <f>[3]基础状态预期!C72</f>
        <v>68.923431594456531</v>
      </c>
      <c r="BA61" s="7">
        <f>[3]基础状态预期!D72</f>
        <v>102</v>
      </c>
      <c r="BB61" s="7">
        <f>[3]基础状态预期!E72</f>
        <v>3</v>
      </c>
      <c r="BC61" s="7">
        <f>[3]基础状态预期!F72</f>
        <v>7</v>
      </c>
      <c r="BD61" s="7">
        <f>[3]基础状态预期!G72</f>
        <v>20</v>
      </c>
      <c r="BE61" s="7">
        <f>[3]基础状态预期!H72</f>
        <v>2</v>
      </c>
      <c r="BF61" s="7">
        <f>[3]基础状态预期!I72</f>
        <v>7</v>
      </c>
      <c r="BG61" s="7">
        <f>[3]基础状态预期!J72</f>
        <v>5.5587766712175855</v>
      </c>
      <c r="BH61" s="7">
        <f>[3]基础状态预期!K72</f>
        <v>4.5438809524270418</v>
      </c>
      <c r="BI61" s="7">
        <f>[3]基础状态预期!L72</f>
        <v>3</v>
      </c>
      <c r="BM61" s="32" t="s">
        <v>232</v>
      </c>
      <c r="BN61" s="32" t="s">
        <v>203</v>
      </c>
      <c r="BO61" s="32"/>
      <c r="BP61" s="32"/>
    </row>
    <row r="62" spans="23:68">
      <c r="W62" s="21">
        <f t="shared" si="0"/>
        <v>127.5</v>
      </c>
      <c r="X62" s="21">
        <f>[2]基础状态预期!D73</f>
        <v>72.103942950990486</v>
      </c>
      <c r="Y62" s="21">
        <f>[2]基础状态预期!F73</f>
        <v>0</v>
      </c>
      <c r="Z62" s="21">
        <f>[2]基础状态预期!G73</f>
        <v>0</v>
      </c>
      <c r="AA62" s="21">
        <f>[2]基础状态预期!H73</f>
        <v>0</v>
      </c>
      <c r="AB62" s="21">
        <f>[2]基础状态预期!I73</f>
        <v>1</v>
      </c>
      <c r="AC62" s="21">
        <f>[2]基础状态预期!J73</f>
        <v>5</v>
      </c>
      <c r="AD62" s="21">
        <f>[2]基础状态预期!K73</f>
        <v>0</v>
      </c>
      <c r="AE62" s="21">
        <f>[2]基础状态预期!L73</f>
        <v>0</v>
      </c>
      <c r="AF62" s="21">
        <f>[2]基础状态预期!M73</f>
        <v>0</v>
      </c>
      <c r="AG62" s="21">
        <f>[2]基础状态预期!N73</f>
        <v>3.6205192065184972</v>
      </c>
      <c r="AH62" s="21">
        <f>[2]基础状态预期!O73</f>
        <v>1.0723082797699766</v>
      </c>
      <c r="AI62" s="7">
        <f>[2]各r阵容卡情况!G67</f>
        <v>0</v>
      </c>
      <c r="AJ62" s="7">
        <f>[2]各r阵容卡情况!H67</f>
        <v>12</v>
      </c>
      <c r="AK62" s="7">
        <f>[2]各r阵容卡情况!I67</f>
        <v>12</v>
      </c>
      <c r="AL62" s="7">
        <f>[2]各r阵容卡情况!J67</f>
        <v>0</v>
      </c>
      <c r="AM62" s="7">
        <f>[2]各r阵容卡情况!K67</f>
        <v>3</v>
      </c>
      <c r="AN62" s="7">
        <f>[2]各r阵容卡情况!L67</f>
        <v>6</v>
      </c>
      <c r="AO62" s="7">
        <f>[2]各r阵容卡情况!M67</f>
        <v>3.6205192065184972</v>
      </c>
      <c r="AP62" s="7">
        <f>[2]各r阵容卡情况!N67</f>
        <v>1.0723082797699766</v>
      </c>
      <c r="AZ62" s="7">
        <f>[3]基础状态预期!C73</f>
        <v>72.103942950990486</v>
      </c>
      <c r="BA62" s="7">
        <f>[3]基础状态预期!D73</f>
        <v>127.5</v>
      </c>
      <c r="BB62" s="7">
        <f>[3]基础状态预期!E73</f>
        <v>3</v>
      </c>
      <c r="BC62" s="7">
        <f>[3]基础状态预期!F73</f>
        <v>7</v>
      </c>
      <c r="BD62" s="7">
        <f>[3]基础状态预期!G73</f>
        <v>20</v>
      </c>
      <c r="BE62" s="7">
        <f>[3]基础状态预期!H73</f>
        <v>3</v>
      </c>
      <c r="BF62" s="7">
        <f>[3]基础状态预期!I73</f>
        <v>7</v>
      </c>
      <c r="BG62" s="7">
        <f>[3]基础状态预期!J73</f>
        <v>5.8643873945508087</v>
      </c>
      <c r="BH62" s="7">
        <f>[3]基础状态预期!K73</f>
        <v>4.7394718153603046</v>
      </c>
      <c r="BI62" s="7">
        <f>[3]基础状态预期!L73</f>
        <v>3</v>
      </c>
    </row>
    <row r="63" spans="23:68">
      <c r="W63" s="21">
        <f t="shared" si="0"/>
        <v>153</v>
      </c>
      <c r="X63" s="21">
        <f>[2]基础状态预期!D74</f>
        <v>74.74003809013405</v>
      </c>
      <c r="Y63" s="21">
        <f>[2]基础状态预期!F74</f>
        <v>0</v>
      </c>
      <c r="Z63" s="21">
        <f>[2]基础状态预期!G74</f>
        <v>0</v>
      </c>
      <c r="AA63" s="21">
        <f>[2]基础状态预期!H74</f>
        <v>0</v>
      </c>
      <c r="AB63" s="21">
        <f>[2]基础状态预期!I74</f>
        <v>0.5</v>
      </c>
      <c r="AC63" s="21">
        <f>[2]基础状态预期!J74</f>
        <v>5.5</v>
      </c>
      <c r="AD63" s="21">
        <f>[2]基础状态预期!K74</f>
        <v>0</v>
      </c>
      <c r="AE63" s="21">
        <f>[2]基础状态预期!L74</f>
        <v>0</v>
      </c>
      <c r="AF63" s="21">
        <f>[2]基础状态预期!M74</f>
        <v>0</v>
      </c>
      <c r="AG63" s="21">
        <f>[2]基础状态预期!N74</f>
        <v>3.902872478182962</v>
      </c>
      <c r="AH63" s="21">
        <f>[2]基础状态预期!O74</f>
        <v>1.3211366704926193</v>
      </c>
      <c r="AI63" s="7">
        <f>[2]各r阵容卡情况!G68</f>
        <v>0</v>
      </c>
      <c r="AJ63" s="7">
        <f>[2]各r阵容卡情况!H68</f>
        <v>12</v>
      </c>
      <c r="AK63" s="7">
        <f>[2]各r阵容卡情况!I68</f>
        <v>12</v>
      </c>
      <c r="AL63" s="7">
        <f>[2]各r阵容卡情况!J68</f>
        <v>0</v>
      </c>
      <c r="AM63" s="7">
        <f>[2]各r阵容卡情况!K68</f>
        <v>3</v>
      </c>
      <c r="AN63" s="7">
        <f>[2]各r阵容卡情况!L68</f>
        <v>6</v>
      </c>
      <c r="AO63" s="7">
        <f>[2]各r阵容卡情况!M68</f>
        <v>3.902872478182962</v>
      </c>
      <c r="AP63" s="7">
        <f>[2]各r阵容卡情况!N68</f>
        <v>1.3211366704926193</v>
      </c>
      <c r="AZ63" s="7">
        <f>[3]基础状态预期!C74</f>
        <v>74.74003809013405</v>
      </c>
      <c r="BA63" s="7">
        <f>[3]基础状态预期!D74</f>
        <v>153</v>
      </c>
      <c r="BB63" s="7">
        <f>[3]基础状态预期!E74</f>
        <v>3</v>
      </c>
      <c r="BC63" s="7">
        <f>[3]基础状态预期!F74</f>
        <v>7</v>
      </c>
      <c r="BD63" s="7">
        <f>[3]基础状态预期!G74</f>
        <v>20</v>
      </c>
      <c r="BE63" s="7">
        <f>[3]基础状态预期!H74</f>
        <v>5</v>
      </c>
      <c r="BF63" s="7">
        <f>[3]基础状态预期!I74</f>
        <v>7</v>
      </c>
      <c r="BG63" s="7">
        <f>[3]基础状态预期!J74</f>
        <v>6.0849990589420155</v>
      </c>
      <c r="BH63" s="7">
        <f>[3]基础状态预期!K74</f>
        <v>4.9350626782935674</v>
      </c>
      <c r="BI63" s="7">
        <f>[3]基础状态预期!L74</f>
        <v>3</v>
      </c>
    </row>
    <row r="64" spans="23:68">
      <c r="W64" s="21">
        <f t="shared" si="0"/>
        <v>187</v>
      </c>
      <c r="X64" s="21">
        <f>[2]基础状态预期!D75</f>
        <v>77.609642525433856</v>
      </c>
      <c r="Y64" s="21">
        <f>[2]基础状态预期!F75</f>
        <v>0</v>
      </c>
      <c r="Z64" s="21">
        <f>[2]基础状态预期!G75</f>
        <v>0</v>
      </c>
      <c r="AA64" s="21">
        <f>[2]基础状态预期!H75</f>
        <v>0</v>
      </c>
      <c r="AB64" s="21">
        <f>[2]基础状态预期!I75</f>
        <v>0</v>
      </c>
      <c r="AC64" s="21">
        <f>[2]基础状态预期!J75</f>
        <v>6</v>
      </c>
      <c r="AD64" s="21">
        <f>[2]基础状态预期!K75</f>
        <v>0</v>
      </c>
      <c r="AE64" s="21">
        <f>[2]基础状态预期!L75</f>
        <v>0</v>
      </c>
      <c r="AF64" s="21">
        <f>[2]基础状态预期!M75</f>
        <v>0</v>
      </c>
      <c r="AG64" s="21">
        <f>[2]基础状态预期!N75</f>
        <v>0</v>
      </c>
      <c r="AH64" s="21">
        <f>[2]基础状态预期!O75</f>
        <v>1.6281088731394537</v>
      </c>
      <c r="AI64" s="7">
        <f>[2]各r阵容卡情况!G69</f>
        <v>0</v>
      </c>
      <c r="AJ64" s="7">
        <f>[2]各r阵容卡情况!H69</f>
        <v>10</v>
      </c>
      <c r="AK64" s="7">
        <f>[2]各r阵容卡情况!I69</f>
        <v>14</v>
      </c>
      <c r="AL64" s="7">
        <f>[2]各r阵容卡情况!J69</f>
        <v>0</v>
      </c>
      <c r="AM64" s="7">
        <f>[2]各r阵容卡情况!K69</f>
        <v>3</v>
      </c>
      <c r="AN64" s="7">
        <f>[2]各r阵容卡情况!L69</f>
        <v>6</v>
      </c>
      <c r="AO64" s="7">
        <f>[2]各r阵容卡情况!M69</f>
        <v>4.2640525945175103</v>
      </c>
      <c r="AP64" s="7">
        <f>[2]各r阵容卡情况!N69</f>
        <v>1.6281088731394537</v>
      </c>
      <c r="AZ64" s="7">
        <f>[3]基础状态预期!C75</f>
        <v>77.609642525433856</v>
      </c>
      <c r="BA64" s="7">
        <f>[3]基础状态预期!D75</f>
        <v>187</v>
      </c>
      <c r="BB64" s="7">
        <f>[3]基础状态预期!E75</f>
        <v>3</v>
      </c>
      <c r="BC64" s="7">
        <f>[3]基础状态预期!F75</f>
        <v>7</v>
      </c>
      <c r="BD64" s="7">
        <f>[3]基础状态预期!G75</f>
        <v>20</v>
      </c>
      <c r="BE64" s="7">
        <f>[3]基础状态预期!H75</f>
        <v>8</v>
      </c>
      <c r="BF64" s="7">
        <f>[3]基础状态预期!I75</f>
        <v>7</v>
      </c>
      <c r="BG64" s="7">
        <f>[3]基础状态预期!J75</f>
        <v>6.2853923221255226</v>
      </c>
      <c r="BH64" s="7">
        <f>[3]基础状态预期!K75</f>
        <v>5.0957830275842273</v>
      </c>
      <c r="BI64" s="7">
        <f>[3]基础状态预期!L75</f>
        <v>3</v>
      </c>
    </row>
    <row r="65" spans="23:61">
      <c r="W65" s="21">
        <f t="shared" si="0"/>
        <v>221</v>
      </c>
      <c r="X65" s="21">
        <f>[2]基础状态预期!D76</f>
        <v>79.994335665275713</v>
      </c>
      <c r="Y65" s="21">
        <f>[2]基础状态预期!F76</f>
        <v>0</v>
      </c>
      <c r="Z65" s="21">
        <f>[2]基础状态预期!G76</f>
        <v>0</v>
      </c>
      <c r="AA65" s="21">
        <f>[2]基础状态预期!H76</f>
        <v>0</v>
      </c>
      <c r="AB65" s="21">
        <f>[2]基础状态预期!I76</f>
        <v>0</v>
      </c>
      <c r="AC65" s="21">
        <f>[2]基础状态预期!J76</f>
        <v>6</v>
      </c>
      <c r="AD65" s="21">
        <f>[2]基础状态预期!K76</f>
        <v>0</v>
      </c>
      <c r="AE65" s="21">
        <f>[2]基础状态预期!L76</f>
        <v>0</v>
      </c>
      <c r="AF65" s="21">
        <f>[2]基础状态预期!M76</f>
        <v>0</v>
      </c>
      <c r="AG65" s="21">
        <f>[2]基础状态预期!N76</f>
        <v>0</v>
      </c>
      <c r="AH65" s="21">
        <f>[2]基础状态预期!O76</f>
        <v>2.0688627431900444</v>
      </c>
      <c r="AI65" s="7">
        <f>[2]各r阵容卡情况!G70</f>
        <v>0</v>
      </c>
      <c r="AJ65" s="7">
        <f>[2]各r阵容卡情况!H70</f>
        <v>8</v>
      </c>
      <c r="AK65" s="7">
        <f>[2]各r阵容卡情况!I70</f>
        <v>16</v>
      </c>
      <c r="AL65" s="7">
        <f>[2]各r阵容卡情况!J70</f>
        <v>0</v>
      </c>
      <c r="AM65" s="7">
        <f>[2]各r阵容卡情况!K70</f>
        <v>3</v>
      </c>
      <c r="AN65" s="7">
        <f>[2]各r阵容卡情况!L70</f>
        <v>6</v>
      </c>
      <c r="AO65" s="7">
        <f>[2]各r阵容卡情况!M70</f>
        <v>4.5983918360402765</v>
      </c>
      <c r="AP65" s="7">
        <f>[2]各r阵容卡情况!N70</f>
        <v>2.0688627431900444</v>
      </c>
      <c r="AZ65" s="7">
        <f>[3]基础状态预期!C76</f>
        <v>79.994335665275713</v>
      </c>
      <c r="BA65" s="7">
        <f>[3]基础状态预期!D76</f>
        <v>221</v>
      </c>
      <c r="BB65" s="7">
        <f>[3]基础状态预期!E76</f>
        <v>3</v>
      </c>
      <c r="BC65" s="7">
        <f>[3]基础状态预期!F76</f>
        <v>7</v>
      </c>
      <c r="BD65" s="7">
        <f>[3]基础状态预期!G76</f>
        <v>20</v>
      </c>
      <c r="BE65" s="7">
        <f>[3]基础状态预期!H76</f>
        <v>8</v>
      </c>
      <c r="BF65" s="7">
        <f>[3]基础状态预期!I76</f>
        <v>7</v>
      </c>
      <c r="BG65" s="7">
        <f>[3]基础状态预期!J76</f>
        <v>6.4737876666208232</v>
      </c>
      <c r="BH65" s="7">
        <f>[3]基础状态预期!K76</f>
        <v>5.2163560480612201</v>
      </c>
      <c r="BI65" s="7">
        <f>[3]基础状态预期!L76</f>
        <v>3.2194884445748273</v>
      </c>
    </row>
    <row r="66" spans="23:61">
      <c r="W66" s="21">
        <f t="shared" si="0"/>
        <v>255</v>
      </c>
      <c r="X66" s="21">
        <f>[2]基础状态预期!D77</f>
        <v>82.100546804797787</v>
      </c>
      <c r="Y66" s="21">
        <f>[2]基础状态预期!F77</f>
        <v>0</v>
      </c>
      <c r="Z66" s="21">
        <f>[2]基础状态预期!G77</f>
        <v>0</v>
      </c>
      <c r="AA66" s="21">
        <f>[2]基础状态预期!H77</f>
        <v>0</v>
      </c>
      <c r="AB66" s="21">
        <f>[2]基础状态预期!I77</f>
        <v>0</v>
      </c>
      <c r="AC66" s="21">
        <f>[2]基础状态预期!J77</f>
        <v>6</v>
      </c>
      <c r="AD66" s="21">
        <f>[2]基础状态预期!K77</f>
        <v>0</v>
      </c>
      <c r="AE66" s="21">
        <f>[2]基础状态预期!L77</f>
        <v>0</v>
      </c>
      <c r="AF66" s="21">
        <f>[2]基础状态预期!M77</f>
        <v>0</v>
      </c>
      <c r="AG66" s="21">
        <f>[2]基础状态预期!N77</f>
        <v>0</v>
      </c>
      <c r="AH66" s="21">
        <f>[2]基础状态预期!O77</f>
        <v>2.5164211958710969</v>
      </c>
      <c r="AI66" s="7">
        <f>[2]各r阵容卡情况!G71</f>
        <v>0</v>
      </c>
      <c r="AJ66" s="7">
        <f>[2]各r阵容卡情况!H71</f>
        <v>6</v>
      </c>
      <c r="AK66" s="7">
        <f>[2]各r阵容卡情况!I71</f>
        <v>18</v>
      </c>
      <c r="AL66" s="7">
        <f>[2]各r阵容卡情况!J71</f>
        <v>0</v>
      </c>
      <c r="AM66" s="7">
        <f>[2]各r阵容卡情况!K71</f>
        <v>3</v>
      </c>
      <c r="AN66" s="7">
        <f>[2]各r阵容卡情况!L71</f>
        <v>6</v>
      </c>
      <c r="AO66" s="7">
        <f>[2]各r阵容卡情况!M71</f>
        <v>4.9357931397467496</v>
      </c>
      <c r="AP66" s="7">
        <f>[2]各r阵容卡情况!N71</f>
        <v>2.5164211958710969</v>
      </c>
      <c r="AZ66" s="7">
        <f>[3]基础状态预期!C77</f>
        <v>82.100546804797787</v>
      </c>
      <c r="BA66" s="7">
        <f>[3]基础状态预期!D77</f>
        <v>255</v>
      </c>
      <c r="BB66" s="7">
        <f>[3]基础状态预期!E77</f>
        <v>3</v>
      </c>
      <c r="BC66" s="7">
        <f>[3]基础状态预期!F77</f>
        <v>7</v>
      </c>
      <c r="BD66" s="7">
        <f>[3]基础状态预期!G77</f>
        <v>20</v>
      </c>
      <c r="BE66" s="7">
        <f>[3]基础状态预期!H77</f>
        <v>8</v>
      </c>
      <c r="BF66" s="7">
        <f>[3]基础状态预期!I77</f>
        <v>7</v>
      </c>
      <c r="BG66" s="7">
        <f>[3]基础状态预期!J77</f>
        <v>6.6620271700618332</v>
      </c>
      <c r="BH66" s="7">
        <f>[3]基础状态预期!K77</f>
        <v>5.3368293302634662</v>
      </c>
      <c r="BI66" s="7">
        <f>[3]基础状态预期!L77</f>
        <v>3.49485594675139</v>
      </c>
    </row>
    <row r="67" spans="23:61">
      <c r="W67" s="21">
        <f t="shared" si="0"/>
        <v>289</v>
      </c>
      <c r="X67" s="21">
        <f>[2]基础状态预期!D78</f>
        <v>83.885420957389968</v>
      </c>
      <c r="Y67" s="21">
        <f>[2]基础状态预期!F78</f>
        <v>0</v>
      </c>
      <c r="Z67" s="21">
        <f>[2]基础状态预期!G78</f>
        <v>0</v>
      </c>
      <c r="AA67" s="21">
        <f>[2]基础状态预期!H78</f>
        <v>0</v>
      </c>
      <c r="AB67" s="21">
        <f>[2]基础状态预期!I78</f>
        <v>0</v>
      </c>
      <c r="AC67" s="21">
        <f>[2]基础状态预期!J78</f>
        <v>6</v>
      </c>
      <c r="AD67" s="21">
        <f>[2]基础状态预期!K78</f>
        <v>0</v>
      </c>
      <c r="AE67" s="21">
        <f>[2]基础状态预期!L78</f>
        <v>0</v>
      </c>
      <c r="AF67" s="21">
        <f>[2]基础状态预期!M78</f>
        <v>0</v>
      </c>
      <c r="AG67" s="21">
        <f>[2]基础状态预期!N78</f>
        <v>0</v>
      </c>
      <c r="AH67" s="21">
        <f>[2]基础状态预期!O78</f>
        <v>2.944635871395533</v>
      </c>
      <c r="AI67" s="7">
        <f>[2]各r阵容卡情况!G72</f>
        <v>0</v>
      </c>
      <c r="AJ67" s="7">
        <f>[2]各r阵容卡情况!H72</f>
        <v>4</v>
      </c>
      <c r="AK67" s="7">
        <f>[2]各r阵容卡情况!I72</f>
        <v>20</v>
      </c>
      <c r="AL67" s="7">
        <f>[2]各r阵容卡情况!J72</f>
        <v>0</v>
      </c>
      <c r="AM67" s="7">
        <f>[2]各r阵容卡情况!K72</f>
        <v>3</v>
      </c>
      <c r="AN67" s="7">
        <f>[2]各r阵容卡情况!L72</f>
        <v>6</v>
      </c>
      <c r="AO67" s="7">
        <f>[2]各r阵容卡情况!M72</f>
        <v>5.1763264958218302</v>
      </c>
      <c r="AP67" s="7">
        <f>[2]各r阵容卡情况!N72</f>
        <v>2.944635871395533</v>
      </c>
      <c r="AZ67" s="7">
        <f>[3]基础状态预期!C78</f>
        <v>83.885420957389968</v>
      </c>
      <c r="BA67" s="7">
        <f>[3]基础状态预期!D78</f>
        <v>289</v>
      </c>
      <c r="BB67" s="7">
        <f>[3]基础状态预期!E78</f>
        <v>3</v>
      </c>
      <c r="BC67" s="7">
        <f>[3]基础状态预期!F78</f>
        <v>7</v>
      </c>
      <c r="BD67" s="7">
        <f>[3]基础状态预期!G78</f>
        <v>20</v>
      </c>
      <c r="BE67" s="7">
        <f>[3]基础状态预期!H78</f>
        <v>8</v>
      </c>
      <c r="BF67" s="7">
        <f>[3]基础状态预期!I78</f>
        <v>7</v>
      </c>
      <c r="BG67" s="7">
        <f>[3]基础状态预期!J78</f>
        <v>6.8502666735028432</v>
      </c>
      <c r="BH67" s="7">
        <f>[3]基础状态预期!K78</f>
        <v>5.4573026124657131</v>
      </c>
      <c r="BI67" s="7">
        <f>[3]基础状态预期!L78</f>
        <v>3.7702234489279536</v>
      </c>
    </row>
    <row r="68" spans="23:61">
      <c r="W68" s="21">
        <f t="shared" si="0"/>
        <v>340</v>
      </c>
      <c r="X68" s="21">
        <f>[2]基础状态预期!D79</f>
        <v>86.247032860782397</v>
      </c>
      <c r="Y68" s="21">
        <f>[2]基础状态预期!F79</f>
        <v>0</v>
      </c>
      <c r="Z68" s="21">
        <f>[2]基础状态预期!G79</f>
        <v>0</v>
      </c>
      <c r="AA68" s="21">
        <f>[2]基础状态预期!H79</f>
        <v>0</v>
      </c>
      <c r="AB68" s="21">
        <f>[2]基础状态预期!I79</f>
        <v>0</v>
      </c>
      <c r="AC68" s="21">
        <f>[2]基础状态预期!J79</f>
        <v>6</v>
      </c>
      <c r="AD68" s="21">
        <f>[2]基础状态预期!K79</f>
        <v>0</v>
      </c>
      <c r="AE68" s="21">
        <f>[2]基础状态预期!L79</f>
        <v>0</v>
      </c>
      <c r="AF68" s="21">
        <f>[2]基础状态预期!M79</f>
        <v>0</v>
      </c>
      <c r="AG68" s="21">
        <f>[2]基础状态预期!N79</f>
        <v>0</v>
      </c>
      <c r="AH68" s="21">
        <f>[2]基础状态预期!O79</f>
        <v>3.2921694267425439</v>
      </c>
      <c r="AI68" s="7">
        <f>[2]各r阵容卡情况!G73</f>
        <v>0</v>
      </c>
      <c r="AJ68" s="7">
        <f>[2]各r阵容卡情况!H73</f>
        <v>2</v>
      </c>
      <c r="AK68" s="7">
        <f>[2]各r阵容卡情况!I73</f>
        <v>22</v>
      </c>
      <c r="AL68" s="7">
        <f>[2]各r阵容卡情况!J73</f>
        <v>0</v>
      </c>
      <c r="AM68" s="7">
        <f>[2]各r阵容卡情况!K73</f>
        <v>3</v>
      </c>
      <c r="AN68" s="7">
        <f>[2]各r阵容卡情况!L73</f>
        <v>6</v>
      </c>
      <c r="AO68" s="7">
        <f>[2]各r阵容卡情况!M73</f>
        <v>5.5042373904486972</v>
      </c>
      <c r="AP68" s="7">
        <f>[2]各r阵容卡情况!N73</f>
        <v>3.2921694267425439</v>
      </c>
      <c r="AZ68" s="7">
        <f>[3]基础状态预期!C79</f>
        <v>86.247032860782397</v>
      </c>
      <c r="BA68" s="7">
        <f>[3]基础状态预期!D79</f>
        <v>340</v>
      </c>
      <c r="BB68" s="7">
        <f>[3]基础状态预期!E79</f>
        <v>3</v>
      </c>
      <c r="BC68" s="7">
        <f>[3]基础状态预期!F79</f>
        <v>7</v>
      </c>
      <c r="BD68" s="7">
        <f>[3]基础状态预期!G79</f>
        <v>20</v>
      </c>
      <c r="BE68" s="7">
        <f>[3]基础状态预期!H79</f>
        <v>8</v>
      </c>
      <c r="BF68" s="7">
        <f>[3]基础状态预期!I79</f>
        <v>7</v>
      </c>
      <c r="BG68" s="7">
        <f>[3]基础状态预期!J79</f>
        <v>7</v>
      </c>
      <c r="BH68" s="7">
        <f>[3]基础状态预期!K79</f>
        <v>5.6380125357690831</v>
      </c>
      <c r="BI68" s="7">
        <f>[3]基础状态预期!L79</f>
        <v>4.0916373510963995</v>
      </c>
    </row>
    <row r="69" spans="23:61">
      <c r="W69" s="21">
        <f t="shared" si="0"/>
        <v>442</v>
      </c>
      <c r="X69" s="21">
        <f>[2]基础状态预期!D80</f>
        <v>90.122782504866933</v>
      </c>
      <c r="Y69" s="21">
        <f>[2]基础状态预期!F80</f>
        <v>0</v>
      </c>
      <c r="Z69" s="21">
        <f>[2]基础状态预期!G80</f>
        <v>0</v>
      </c>
      <c r="AA69" s="21">
        <f>[2]基础状态预期!H80</f>
        <v>0</v>
      </c>
      <c r="AB69" s="21">
        <f>[2]基础状态预期!I80</f>
        <v>0</v>
      </c>
      <c r="AC69" s="21">
        <f>[2]基础状态预期!J80</f>
        <v>6</v>
      </c>
      <c r="AD69" s="21">
        <f>[2]基础状态预期!K80</f>
        <v>0</v>
      </c>
      <c r="AE69" s="21">
        <f>[2]基础状态预期!L80</f>
        <v>0</v>
      </c>
      <c r="AF69" s="21">
        <f>[2]基础状态预期!M80</f>
        <v>0</v>
      </c>
      <c r="AG69" s="21">
        <f>[2]基础状态预期!N80</f>
        <v>0</v>
      </c>
      <c r="AH69" s="21">
        <f>[2]基础状态预期!O80</f>
        <v>3.8683893458943941</v>
      </c>
      <c r="AI69" s="7">
        <f>[2]各r阵容卡情况!G74</f>
        <v>0</v>
      </c>
      <c r="AJ69" s="7">
        <f>[2]各r阵容卡情况!H74</f>
        <v>0</v>
      </c>
      <c r="AK69" s="7">
        <f>[2]各r阵容卡情况!I74</f>
        <v>24</v>
      </c>
      <c r="AL69" s="7">
        <f>[2]各r阵容卡情况!J74</f>
        <v>0</v>
      </c>
      <c r="AM69" s="7">
        <f>[2]各r阵容卡情况!K74</f>
        <v>3</v>
      </c>
      <c r="AN69" s="7">
        <f>[2]各r阵容卡情况!L74</f>
        <v>6</v>
      </c>
      <c r="AO69" s="7">
        <f>[2]各r阵容卡情况!M74</f>
        <v>6.1219693419398071</v>
      </c>
      <c r="AP69" s="7">
        <f>[2]各r阵容卡情况!N74</f>
        <v>3.8683893458943941</v>
      </c>
      <c r="AZ69" s="7">
        <f>[3]基础状态预期!C80</f>
        <v>90.122782504866933</v>
      </c>
      <c r="BA69" s="7">
        <f>[3]基础状态预期!D80</f>
        <v>442</v>
      </c>
      <c r="BB69" s="7">
        <f>[3]基础状态预期!E80</f>
        <v>3</v>
      </c>
      <c r="BC69" s="7">
        <f>[3]基础状态预期!F80</f>
        <v>7</v>
      </c>
      <c r="BD69" s="7">
        <f>[3]基础状态预期!G80</f>
        <v>20</v>
      </c>
      <c r="BE69" s="7">
        <f>[3]基础状态预期!H80</f>
        <v>8</v>
      </c>
      <c r="BF69" s="7">
        <f>[3]基础状态预期!I80</f>
        <v>7</v>
      </c>
      <c r="BG69" s="7">
        <f>[3]基础状态预期!J80</f>
        <v>7</v>
      </c>
      <c r="BH69" s="7">
        <f>[3]基础状态预期!K80</f>
        <v>5.9805064547332689</v>
      </c>
      <c r="BI69" s="7">
        <f>[3]基础状态预期!L80</f>
        <v>4.4830589727697552</v>
      </c>
    </row>
    <row r="70" spans="23:61">
      <c r="W70" s="21">
        <f t="shared" si="0"/>
        <v>544</v>
      </c>
      <c r="X70" s="21">
        <f>[2]基础状态预期!D81</f>
        <v>93.149045658279036</v>
      </c>
      <c r="Y70" s="21">
        <f>[2]基础状态预期!F81</f>
        <v>0</v>
      </c>
      <c r="Z70" s="21">
        <f>[2]基础状态预期!G81</f>
        <v>0</v>
      </c>
      <c r="AA70" s="21">
        <f>[2]基础状态预期!H81</f>
        <v>0</v>
      </c>
      <c r="AB70" s="21">
        <f>[2]基础状态预期!I81</f>
        <v>0</v>
      </c>
      <c r="AC70" s="21">
        <f>[2]基础状态预期!J81</f>
        <v>6</v>
      </c>
      <c r="AD70" s="21">
        <f>[2]基础状态预期!K81</f>
        <v>0</v>
      </c>
      <c r="AE70" s="21">
        <f>[2]基础状态预期!L81</f>
        <v>0</v>
      </c>
      <c r="AF70" s="21">
        <f>[2]基础状态预期!M81</f>
        <v>0</v>
      </c>
      <c r="AG70" s="21">
        <f>[2]基础状态预期!N81</f>
        <v>0</v>
      </c>
      <c r="AH70" s="21">
        <f>[2]基础状态预期!O81</f>
        <v>4.4297867848721495</v>
      </c>
      <c r="AI70" s="7">
        <f>[2]各r阵容卡情况!G75</f>
        <v>0</v>
      </c>
      <c r="AJ70" s="7">
        <f>[2]各r阵容卡情况!H75</f>
        <v>0</v>
      </c>
      <c r="AK70" s="7">
        <f>[2]各r阵容卡情况!I75</f>
        <v>24</v>
      </c>
      <c r="AL70" s="7">
        <f>[2]各r阵容卡情况!J75</f>
        <v>0</v>
      </c>
      <c r="AM70" s="7">
        <f>[2]各r阵容卡情况!K75</f>
        <v>3</v>
      </c>
      <c r="AN70" s="7">
        <f>[2]各r阵容卡情况!L75</f>
        <v>6</v>
      </c>
      <c r="AO70" s="7">
        <f>[2]各r阵容卡情况!M75</f>
        <v>6.7308078053264611</v>
      </c>
      <c r="AP70" s="7">
        <f>[2]各r阵容卡情况!N75</f>
        <v>4.4297867848721495</v>
      </c>
      <c r="AZ70" s="7">
        <f>[3]基础状态预期!C81</f>
        <v>93.149045658279036</v>
      </c>
      <c r="BA70" s="7">
        <f>[3]基础状态预期!D81</f>
        <v>544</v>
      </c>
      <c r="BB70" s="7">
        <f>[3]基础状态预期!E81</f>
        <v>3</v>
      </c>
      <c r="BC70" s="7">
        <f>[3]基础状态预期!F81</f>
        <v>7</v>
      </c>
      <c r="BD70" s="7">
        <f>[3]基础状态预期!G81</f>
        <v>20</v>
      </c>
      <c r="BE70" s="7">
        <f>[3]基础状态预期!H81</f>
        <v>8</v>
      </c>
      <c r="BF70" s="7">
        <f>[3]基础状态预期!I81</f>
        <v>7</v>
      </c>
      <c r="BG70" s="7">
        <f>[3]基础状态预期!J81</f>
        <v>7</v>
      </c>
      <c r="BH70" s="7">
        <f>[3]基础状态预期!K81</f>
        <v>6.1591921468923188</v>
      </c>
      <c r="BI70" s="7">
        <f>[3]基础状态预期!L81</f>
        <v>4.869205074542748</v>
      </c>
    </row>
    <row r="71" spans="23:61">
      <c r="W71" s="21">
        <f t="shared" si="0"/>
        <v>697</v>
      </c>
      <c r="X71" s="21">
        <f>[2]基础状态预期!D82</f>
        <v>96.770480813454071</v>
      </c>
      <c r="Y71" s="21">
        <f>[2]基础状态预期!F82</f>
        <v>0</v>
      </c>
      <c r="Z71" s="21">
        <f>[2]基础状态预期!G82</f>
        <v>0</v>
      </c>
      <c r="AA71" s="21">
        <f>[2]基础状态预期!H82</f>
        <v>0</v>
      </c>
      <c r="AB71" s="21">
        <f>[2]基础状态预期!I82</f>
        <v>0</v>
      </c>
      <c r="AC71" s="21">
        <f>[2]基础状态预期!J82</f>
        <v>6</v>
      </c>
      <c r="AD71" s="21">
        <f>[2]基础状态预期!K82</f>
        <v>0</v>
      </c>
      <c r="AE71" s="21">
        <f>[2]基础状态预期!L82</f>
        <v>0</v>
      </c>
      <c r="AF71" s="21">
        <f>[2]基础状态预期!M82</f>
        <v>0</v>
      </c>
      <c r="AG71" s="21">
        <f>[2]基础状态预期!N82</f>
        <v>0</v>
      </c>
      <c r="AH71" s="21">
        <f>[2]基础状态预期!O82</f>
        <v>5.1580451681173232</v>
      </c>
      <c r="AI71" s="7">
        <f>[2]各r阵容卡情况!G76</f>
        <v>0</v>
      </c>
      <c r="AJ71" s="7">
        <f>[2]各r阵容卡情况!H76</f>
        <v>0</v>
      </c>
      <c r="AK71" s="7">
        <f>[2]各r阵容卡情况!I76</f>
        <v>24</v>
      </c>
      <c r="AL71" s="7">
        <f>[2]各r阵容卡情况!J76</f>
        <v>0</v>
      </c>
      <c r="AM71" s="7">
        <f>[2]各r阵容卡情况!K76</f>
        <v>3</v>
      </c>
      <c r="AN71" s="7">
        <f>[2]各r阵容卡情况!L76</f>
        <v>6</v>
      </c>
      <c r="AO71" s="7">
        <f>[2]各r阵容卡情况!M76</f>
        <v>7.4673822892815709</v>
      </c>
      <c r="AP71" s="7">
        <f>[2]各r阵容卡情况!N76</f>
        <v>5.1580451681173232</v>
      </c>
      <c r="AZ71" s="7">
        <f>[3]基础状态预期!C82</f>
        <v>96.770480813454071</v>
      </c>
      <c r="BA71" s="7">
        <f>[3]基础状态预期!D82</f>
        <v>697</v>
      </c>
      <c r="BB71" s="7">
        <f>[3]基础状态预期!E82</f>
        <v>3</v>
      </c>
      <c r="BC71" s="7">
        <f>[3]基础状态预期!F82</f>
        <v>7</v>
      </c>
      <c r="BD71" s="7">
        <f>[3]基础状态预期!G82</f>
        <v>20</v>
      </c>
      <c r="BE71" s="7">
        <f>[3]基础状态预期!H82</f>
        <v>8</v>
      </c>
      <c r="BF71" s="7">
        <f>[3]基础状态预期!I82</f>
        <v>7</v>
      </c>
      <c r="BG71" s="7">
        <f>[3]基础状态预期!J82</f>
        <v>7</v>
      </c>
      <c r="BH71" s="7">
        <f>[3]基础状态预期!K82</f>
        <v>6.412600526180845</v>
      </c>
      <c r="BI71" s="7">
        <f>[3]基础状态预期!L82</f>
        <v>5.2242121136011175</v>
      </c>
    </row>
    <row r="72" spans="23:61">
      <c r="W72" s="21">
        <f t="shared" si="0"/>
        <v>901</v>
      </c>
      <c r="X72" s="21">
        <f>[2]基础状态预期!D83</f>
        <v>100.40175326279811</v>
      </c>
      <c r="Y72" s="21">
        <f>[2]基础状态预期!F83</f>
        <v>0</v>
      </c>
      <c r="Z72" s="21">
        <f>[2]基础状态预期!G83</f>
        <v>0</v>
      </c>
      <c r="AA72" s="21">
        <f>[2]基础状态预期!H83</f>
        <v>0</v>
      </c>
      <c r="AB72" s="21">
        <f>[2]基础状态预期!I83</f>
        <v>0</v>
      </c>
      <c r="AC72" s="21">
        <f>[2]基础状态预期!J83</f>
        <v>6</v>
      </c>
      <c r="AD72" s="21">
        <f>[2]基础状态预期!K83</f>
        <v>0</v>
      </c>
      <c r="AE72" s="21">
        <f>[2]基础状态预期!L83</f>
        <v>0</v>
      </c>
      <c r="AF72" s="21">
        <f>[2]基础状态预期!M83</f>
        <v>0</v>
      </c>
      <c r="AG72" s="21">
        <f>[2]基础状态预期!N83</f>
        <v>0</v>
      </c>
      <c r="AH72" s="21">
        <f>[2]基础状态预期!O83</f>
        <v>5.8068072442036263</v>
      </c>
      <c r="AI72" s="7">
        <f>[2]各r阵容卡情况!G77</f>
        <v>0</v>
      </c>
      <c r="AJ72" s="7">
        <f>[2]各r阵容卡情况!H77</f>
        <v>0</v>
      </c>
      <c r="AK72" s="7">
        <f>[2]各r阵容卡情况!I77</f>
        <v>24</v>
      </c>
      <c r="AL72" s="7">
        <f>[2]各r阵容卡情况!J77</f>
        <v>0</v>
      </c>
      <c r="AM72" s="7">
        <f>[2]各r阵容卡情况!K77</f>
        <v>3</v>
      </c>
      <c r="AN72" s="7">
        <f>[2]各r阵容卡情况!L77</f>
        <v>6</v>
      </c>
      <c r="AO72" s="7">
        <f>[2]各r阵容卡情况!M77</f>
        <v>8</v>
      </c>
      <c r="AP72" s="7">
        <f>[2]各r阵容卡情况!N77</f>
        <v>5.8068072442036263</v>
      </c>
      <c r="AZ72" s="7">
        <f>[3]基础状态预期!C83</f>
        <v>100.40175326279811</v>
      </c>
      <c r="BA72" s="7">
        <f>[3]基础状态预期!D83</f>
        <v>901</v>
      </c>
      <c r="BB72" s="7">
        <f>[3]基础状态预期!E83</f>
        <v>3</v>
      </c>
      <c r="BC72" s="7">
        <f>[3]基础状态预期!F83</f>
        <v>7</v>
      </c>
      <c r="BD72" s="7">
        <f>[3]基础状态预期!G83</f>
        <v>20</v>
      </c>
      <c r="BE72" s="7">
        <f>[3]基础状态预期!H83</f>
        <v>8</v>
      </c>
      <c r="BF72" s="7">
        <f>[3]基础状态预期!I83</f>
        <v>7</v>
      </c>
      <c r="BG72" s="7">
        <f>[3]基础状态预期!J83</f>
        <v>7</v>
      </c>
      <c r="BH72" s="7">
        <f>[3]基础状态预期!K83</f>
        <v>6.7345050616019391</v>
      </c>
      <c r="BI72" s="7">
        <f>[3]基础状态预期!L83</f>
        <v>5.5921030112252259</v>
      </c>
    </row>
    <row r="73" spans="23:61">
      <c r="W73" s="21">
        <f t="shared" si="0"/>
        <v>1156</v>
      </c>
      <c r="X73" s="21">
        <f>[2]基础状态预期!D84</f>
        <v>104.06236366727887</v>
      </c>
      <c r="Y73" s="21">
        <f>[2]基础状态预期!F84</f>
        <v>0</v>
      </c>
      <c r="Z73" s="21">
        <f>[2]基础状态预期!G84</f>
        <v>0</v>
      </c>
      <c r="AA73" s="21">
        <f>[2]基础状态预期!H84</f>
        <v>0</v>
      </c>
      <c r="AB73" s="21">
        <f>[2]基础状态预期!I84</f>
        <v>0</v>
      </c>
      <c r="AC73" s="21">
        <f>[2]基础状态预期!J84</f>
        <v>6</v>
      </c>
      <c r="AD73" s="21">
        <f>[2]基础状态预期!K84</f>
        <v>0</v>
      </c>
      <c r="AE73" s="21">
        <f>[2]基础状态预期!L84</f>
        <v>0</v>
      </c>
      <c r="AF73" s="21">
        <f>[2]基础状态预期!M84</f>
        <v>0</v>
      </c>
      <c r="AG73" s="21">
        <f>[2]基础状态预期!N84</f>
        <v>0</v>
      </c>
      <c r="AH73" s="21">
        <f>[2]基础状态预期!O84</f>
        <v>6.5919083163317866</v>
      </c>
      <c r="AI73" s="7">
        <f>[2]各r阵容卡情况!G78</f>
        <v>0</v>
      </c>
      <c r="AJ73" s="7">
        <f>[2]各r阵容卡情况!H78</f>
        <v>0</v>
      </c>
      <c r="AK73" s="7">
        <f>[2]各r阵容卡情况!I78</f>
        <v>24</v>
      </c>
      <c r="AL73" s="7">
        <f>[2]各r阵容卡情况!J78</f>
        <v>0</v>
      </c>
      <c r="AM73" s="7">
        <f>[2]各r阵容卡情况!K78</f>
        <v>3</v>
      </c>
      <c r="AN73" s="7">
        <f>[2]各r阵容卡情况!L78</f>
        <v>6</v>
      </c>
      <c r="AO73" s="7">
        <f>[2]各r阵容卡情况!M78</f>
        <v>8</v>
      </c>
      <c r="AP73" s="7">
        <f>[2]各r阵容卡情况!N78</f>
        <v>6.5919083163317866</v>
      </c>
      <c r="AZ73" s="7">
        <f>[3]基础状态预期!C84</f>
        <v>104.06236366727887</v>
      </c>
      <c r="BA73" s="7">
        <f>[3]基础状态预期!D84</f>
        <v>1156</v>
      </c>
      <c r="BB73" s="7">
        <f>[3]基础状态预期!E84</f>
        <v>3</v>
      </c>
      <c r="BC73" s="7">
        <f>[3]基础状态预期!F84</f>
        <v>7</v>
      </c>
      <c r="BD73" s="7">
        <f>[3]基础状态预期!G84</f>
        <v>20</v>
      </c>
      <c r="BE73" s="7">
        <f>[3]基础状态预期!H84</f>
        <v>8</v>
      </c>
      <c r="BF73" s="7">
        <f>[3]基础状态预期!I84</f>
        <v>7</v>
      </c>
      <c r="BG73" s="7">
        <f>[3]基础状态预期!J84</f>
        <v>7</v>
      </c>
      <c r="BH73" s="7">
        <f>[3]基础状态预期!K84</f>
        <v>7</v>
      </c>
      <c r="BI73" s="7">
        <f>[3]基础状态预期!L84</f>
        <v>6.0245334903313257</v>
      </c>
    </row>
    <row r="74" spans="23:61">
      <c r="W74" s="21">
        <f t="shared" si="0"/>
        <v>1462</v>
      </c>
      <c r="X74" s="21">
        <f>[2]基础状态预期!D85</f>
        <v>107.42257994053838</v>
      </c>
      <c r="Y74" s="21">
        <f>[2]基础状态预期!F85</f>
        <v>0</v>
      </c>
      <c r="Z74" s="21">
        <f>[2]基础状态预期!G85</f>
        <v>0</v>
      </c>
      <c r="AA74" s="21">
        <f>[2]基础状态预期!H85</f>
        <v>0</v>
      </c>
      <c r="AB74" s="21">
        <f>[2]基础状态预期!I85</f>
        <v>0</v>
      </c>
      <c r="AC74" s="21">
        <f>[2]基础状态预期!J85</f>
        <v>6</v>
      </c>
      <c r="AD74" s="21">
        <f>[2]基础状态预期!K85</f>
        <v>0</v>
      </c>
      <c r="AE74" s="21">
        <f>[2]基础状态预期!L85</f>
        <v>0</v>
      </c>
      <c r="AF74" s="21">
        <f>[2]基础状态预期!M85</f>
        <v>0</v>
      </c>
      <c r="AG74" s="21">
        <f>[2]基础状态预期!N85</f>
        <v>0</v>
      </c>
      <c r="AH74" s="21">
        <f>[2]基础状态预期!O85</f>
        <v>7.3742161095566559</v>
      </c>
      <c r="AI74" s="7">
        <f>[2]各r阵容卡情况!G79</f>
        <v>0</v>
      </c>
      <c r="AJ74" s="7">
        <f>[2]各r阵容卡情况!H79</f>
        <v>0</v>
      </c>
      <c r="AK74" s="7">
        <f>[2]各r阵容卡情况!I79</f>
        <v>24</v>
      </c>
      <c r="AL74" s="7">
        <f>[2]各r阵容卡情况!J79</f>
        <v>0</v>
      </c>
      <c r="AM74" s="7">
        <f>[2]各r阵容卡情况!K79</f>
        <v>3</v>
      </c>
      <c r="AN74" s="7">
        <f>[2]各r阵容卡情况!L79</f>
        <v>6</v>
      </c>
      <c r="AO74" s="7">
        <f>[2]各r阵容卡情况!M79</f>
        <v>8</v>
      </c>
      <c r="AP74" s="7">
        <f>[2]各r阵容卡情况!N79</f>
        <v>7.3742161095566559</v>
      </c>
      <c r="AZ74" s="7">
        <f>[3]基础状态预期!C85</f>
        <v>107.42257994053838</v>
      </c>
      <c r="BA74" s="7">
        <f>[3]基础状态预期!D85</f>
        <v>1462</v>
      </c>
      <c r="BB74" s="7">
        <f>[3]基础状态预期!E85</f>
        <v>3</v>
      </c>
      <c r="BC74" s="7">
        <f>[3]基础状态预期!F85</f>
        <v>7</v>
      </c>
      <c r="BD74" s="7">
        <f>[3]基础状态预期!G85</f>
        <v>20</v>
      </c>
      <c r="BE74" s="7">
        <f>[3]基础状态预期!H85</f>
        <v>8</v>
      </c>
      <c r="BF74" s="7">
        <f>[3]基础状态预期!I85</f>
        <v>7</v>
      </c>
      <c r="BG74" s="7">
        <f>[3]基础状态预期!J85</f>
        <v>7</v>
      </c>
      <c r="BH74" s="7">
        <f>[3]基础状态预期!K85</f>
        <v>7</v>
      </c>
      <c r="BI74" s="7">
        <f>[3]基础状态预期!L85</f>
        <v>6.297502575269613</v>
      </c>
    </row>
    <row r="75" spans="23:61">
      <c r="W75" s="21">
        <f t="shared" si="0"/>
        <v>1870</v>
      </c>
      <c r="X75" s="21">
        <f>[2]基础状态预期!D86</f>
        <v>111.00691759243479</v>
      </c>
      <c r="Y75" s="21">
        <f>[2]基础状态预期!F86</f>
        <v>0</v>
      </c>
      <c r="Z75" s="21">
        <f>[2]基础状态预期!G86</f>
        <v>0</v>
      </c>
      <c r="AA75" s="21">
        <f>[2]基础状态预期!H86</f>
        <v>0</v>
      </c>
      <c r="AB75" s="21">
        <f>[2]基础状态预期!I86</f>
        <v>0</v>
      </c>
      <c r="AC75" s="21">
        <f>[2]基础状态预期!J86</f>
        <v>6</v>
      </c>
      <c r="AD75" s="21">
        <f>[2]基础状态预期!K86</f>
        <v>0</v>
      </c>
      <c r="AE75" s="21">
        <f>[2]基础状态预期!L86</f>
        <v>0</v>
      </c>
      <c r="AF75" s="21">
        <f>[2]基础状态预期!M86</f>
        <v>0</v>
      </c>
      <c r="AG75" s="21">
        <f>[2]基础状态预期!N86</f>
        <v>0</v>
      </c>
      <c r="AH75" s="21">
        <f>[2]基础状态预期!O86</f>
        <v>8</v>
      </c>
      <c r="AI75" s="7">
        <f>[2]各r阵容卡情况!G80</f>
        <v>0</v>
      </c>
      <c r="AJ75" s="7">
        <f>[2]各r阵容卡情况!H80</f>
        <v>0</v>
      </c>
      <c r="AK75" s="7">
        <f>[2]各r阵容卡情况!I80</f>
        <v>24</v>
      </c>
      <c r="AL75" s="7">
        <f>[2]各r阵容卡情况!J80</f>
        <v>0</v>
      </c>
      <c r="AM75" s="7">
        <f>[2]各r阵容卡情况!K80</f>
        <v>3</v>
      </c>
      <c r="AN75" s="7">
        <f>[2]各r阵容卡情况!L80</f>
        <v>6</v>
      </c>
      <c r="AO75" s="7">
        <f>[2]各r阵容卡情况!M80</f>
        <v>8</v>
      </c>
      <c r="AP75" s="7">
        <f>[2]各r阵容卡情况!N80</f>
        <v>8</v>
      </c>
      <c r="AZ75" s="7">
        <f>[3]基础状态预期!C86</f>
        <v>111.00691759243479</v>
      </c>
      <c r="BA75" s="7">
        <f>[3]基础状态预期!D86</f>
        <v>1870</v>
      </c>
      <c r="BB75" s="7">
        <f>[3]基础状态预期!E86</f>
        <v>3</v>
      </c>
      <c r="BC75" s="7">
        <f>[3]基础状态预期!F86</f>
        <v>7</v>
      </c>
      <c r="BD75" s="7">
        <f>[3]基础状态预期!G86</f>
        <v>20</v>
      </c>
      <c r="BE75" s="7">
        <f>[3]基础状态预期!H86</f>
        <v>8</v>
      </c>
      <c r="BF75" s="7">
        <f>[3]基础状态预期!I86</f>
        <v>7</v>
      </c>
      <c r="BG75" s="7">
        <f>[3]基础状态预期!J86</f>
        <v>7</v>
      </c>
      <c r="BH75" s="7">
        <f>[3]基础状态预期!K86</f>
        <v>7</v>
      </c>
      <c r="BI75" s="7">
        <f>[3]基础状态预期!L86</f>
        <v>6.6490614360858613</v>
      </c>
    </row>
    <row r="76" spans="23:61">
      <c r="W76" s="21">
        <f t="shared" si="0"/>
        <v>2380</v>
      </c>
      <c r="X76" s="21">
        <f>[2]基础状态预期!D87</f>
        <v>114.47614359759058</v>
      </c>
      <c r="Y76" s="21">
        <f>[2]基础状态预期!F87</f>
        <v>0</v>
      </c>
      <c r="Z76" s="21">
        <f>[2]基础状态预期!G87</f>
        <v>0</v>
      </c>
      <c r="AA76" s="21">
        <f>[2]基础状态预期!H87</f>
        <v>0</v>
      </c>
      <c r="AB76" s="21">
        <f>[2]基础状态预期!I87</f>
        <v>0</v>
      </c>
      <c r="AC76" s="21">
        <f>[2]基础状态预期!J87</f>
        <v>6</v>
      </c>
      <c r="AD76" s="21">
        <f>[2]基础状态预期!K87</f>
        <v>0</v>
      </c>
      <c r="AE76" s="21">
        <f>[2]基础状态预期!L87</f>
        <v>0</v>
      </c>
      <c r="AF76" s="21">
        <f>[2]基础状态预期!M87</f>
        <v>0</v>
      </c>
      <c r="AG76" s="21">
        <f>[2]基础状态预期!N87</f>
        <v>0</v>
      </c>
      <c r="AH76" s="21">
        <f>[2]基础状态预期!O87</f>
        <v>8</v>
      </c>
      <c r="AI76" s="7">
        <f>[2]各r阵容卡情况!G81</f>
        <v>0</v>
      </c>
      <c r="AJ76" s="7">
        <f>[2]各r阵容卡情况!H81</f>
        <v>0</v>
      </c>
      <c r="AK76" s="7">
        <f>[2]各r阵容卡情况!I81</f>
        <v>24</v>
      </c>
      <c r="AL76" s="7">
        <f>[2]各r阵容卡情况!J81</f>
        <v>0</v>
      </c>
      <c r="AM76" s="7">
        <f>[2]各r阵容卡情况!K81</f>
        <v>3</v>
      </c>
      <c r="AN76" s="7">
        <f>[2]各r阵容卡情况!L81</f>
        <v>6</v>
      </c>
      <c r="AO76" s="7">
        <f>[2]各r阵容卡情况!M81</f>
        <v>8</v>
      </c>
      <c r="AP76" s="7">
        <f>[2]各r阵容卡情况!N81</f>
        <v>8</v>
      </c>
      <c r="AZ76" s="7">
        <f>[3]基础状态预期!C87</f>
        <v>114.47614359759058</v>
      </c>
      <c r="BA76" s="7">
        <f>[3]基础状态预期!D87</f>
        <v>2380</v>
      </c>
      <c r="BB76" s="7">
        <f>[3]基础状态预期!E87</f>
        <v>3</v>
      </c>
      <c r="BC76" s="7">
        <f>[3]基础状态预期!F87</f>
        <v>7</v>
      </c>
      <c r="BD76" s="7">
        <f>[3]基础状态预期!G87</f>
        <v>20</v>
      </c>
      <c r="BE76" s="7">
        <f>[3]基础状态预期!H87</f>
        <v>8</v>
      </c>
      <c r="BF76" s="7">
        <f>[3]基础状态预期!I87</f>
        <v>7</v>
      </c>
      <c r="BG76" s="7">
        <f>[3]基础状态预期!J87</f>
        <v>7</v>
      </c>
      <c r="BH76" s="7">
        <f>[3]基础状态预期!K87</f>
        <v>7</v>
      </c>
      <c r="BI76" s="7">
        <f>[3]基础状态预期!L87</f>
        <v>7</v>
      </c>
    </row>
    <row r="77" spans="23:61">
      <c r="W77" s="21">
        <f t="shared" si="0"/>
        <v>3043</v>
      </c>
      <c r="X77" s="21">
        <f>[2]基础状态预期!D88</f>
        <v>118.05724034557241</v>
      </c>
      <c r="Y77" s="21">
        <f>[2]基础状态预期!F88</f>
        <v>0</v>
      </c>
      <c r="Z77" s="21">
        <f>[2]基础状态预期!G88</f>
        <v>0</v>
      </c>
      <c r="AA77" s="21">
        <f>[2]基础状态预期!H88</f>
        <v>0</v>
      </c>
      <c r="AB77" s="21">
        <f>[2]基础状态预期!I88</f>
        <v>0</v>
      </c>
      <c r="AC77" s="21">
        <f>[2]基础状态预期!J88</f>
        <v>6</v>
      </c>
      <c r="AD77" s="21">
        <f>[2]基础状态预期!K88</f>
        <v>0</v>
      </c>
      <c r="AE77" s="21">
        <f>[2]基础状态预期!L88</f>
        <v>0</v>
      </c>
      <c r="AF77" s="21">
        <f>[2]基础状态预期!M88</f>
        <v>0</v>
      </c>
      <c r="AG77" s="21">
        <f>[2]基础状态预期!N88</f>
        <v>0</v>
      </c>
      <c r="AH77" s="21">
        <f>[2]基础状态预期!O88</f>
        <v>8</v>
      </c>
      <c r="AI77" s="7">
        <f>[2]各r阵容卡情况!G82</f>
        <v>0</v>
      </c>
      <c r="AJ77" s="7">
        <f>[2]各r阵容卡情况!H82</f>
        <v>0</v>
      </c>
      <c r="AK77" s="7">
        <f>[2]各r阵容卡情况!I82</f>
        <v>24</v>
      </c>
      <c r="AL77" s="7">
        <f>[2]各r阵容卡情况!J82</f>
        <v>0</v>
      </c>
      <c r="AM77" s="7">
        <f>[2]各r阵容卡情况!K82</f>
        <v>3</v>
      </c>
      <c r="AN77" s="7">
        <f>[2]各r阵容卡情况!L82</f>
        <v>6</v>
      </c>
      <c r="AO77" s="7">
        <f>[2]各r阵容卡情况!M82</f>
        <v>8</v>
      </c>
      <c r="AP77" s="7">
        <f>[2]各r阵容卡情况!N82</f>
        <v>8</v>
      </c>
      <c r="AZ77" s="7">
        <f>[3]基础状态预期!C88</f>
        <v>118.05724034557241</v>
      </c>
      <c r="BA77" s="7">
        <f>[3]基础状态预期!D88</f>
        <v>3043</v>
      </c>
      <c r="BB77" s="7">
        <f>[3]基础状态预期!E88</f>
        <v>3</v>
      </c>
      <c r="BC77" s="7">
        <f>[3]基础状态预期!F88</f>
        <v>7</v>
      </c>
      <c r="BD77" s="7">
        <f>[3]基础状态预期!G88</f>
        <v>20</v>
      </c>
      <c r="BE77" s="7">
        <f>[3]基础状态预期!H88</f>
        <v>8</v>
      </c>
      <c r="BF77" s="7">
        <f>[3]基础状态预期!I88</f>
        <v>7</v>
      </c>
      <c r="BG77" s="7">
        <f>[3]基础状态预期!J88</f>
        <v>7</v>
      </c>
      <c r="BH77" s="7">
        <f>[3]基础状态预期!K88</f>
        <v>7</v>
      </c>
      <c r="BI77" s="7">
        <f>[3]基础状态预期!L88</f>
        <v>7</v>
      </c>
    </row>
    <row r="78" spans="23:61">
      <c r="W78" s="21">
        <f t="shared" si="0"/>
        <v>3859</v>
      </c>
      <c r="X78" s="21">
        <f>[2]基础状态预期!D89</f>
        <v>121.49411884885473</v>
      </c>
      <c r="Y78" s="21">
        <f>[2]基础状态预期!F89</f>
        <v>0</v>
      </c>
      <c r="Z78" s="21">
        <f>[2]基础状态预期!G89</f>
        <v>0</v>
      </c>
      <c r="AA78" s="21">
        <f>[2]基础状态预期!H89</f>
        <v>0</v>
      </c>
      <c r="AB78" s="21">
        <f>[2]基础状态预期!I89</f>
        <v>0</v>
      </c>
      <c r="AC78" s="21">
        <f>[2]基础状态预期!J89</f>
        <v>6</v>
      </c>
      <c r="AD78" s="21">
        <f>[2]基础状态预期!K89</f>
        <v>0</v>
      </c>
      <c r="AE78" s="21">
        <f>[2]基础状态预期!L89</f>
        <v>0</v>
      </c>
      <c r="AF78" s="21">
        <f>[2]基础状态预期!M89</f>
        <v>0</v>
      </c>
      <c r="AG78" s="21">
        <f>[2]基础状态预期!N89</f>
        <v>0</v>
      </c>
      <c r="AH78" s="21">
        <f>[2]基础状态预期!O89</f>
        <v>8</v>
      </c>
      <c r="AI78" s="7">
        <f>[2]各r阵容卡情况!G83</f>
        <v>0</v>
      </c>
      <c r="AJ78" s="7">
        <f>[2]各r阵容卡情况!H83</f>
        <v>0</v>
      </c>
      <c r="AK78" s="7">
        <f>[2]各r阵容卡情况!I83</f>
        <v>24</v>
      </c>
      <c r="AL78" s="7">
        <f>[2]各r阵容卡情况!J83</f>
        <v>0</v>
      </c>
      <c r="AM78" s="7">
        <f>[2]各r阵容卡情况!K83</f>
        <v>3</v>
      </c>
      <c r="AN78" s="7">
        <f>[2]各r阵容卡情况!L83</f>
        <v>6</v>
      </c>
      <c r="AO78" s="7">
        <f>[2]各r阵容卡情况!M83</f>
        <v>8</v>
      </c>
      <c r="AP78" s="7">
        <f>[2]各r阵容卡情况!N83</f>
        <v>8</v>
      </c>
      <c r="AZ78" s="7">
        <f>[3]基础状态预期!C89</f>
        <v>121.49411884885473</v>
      </c>
      <c r="BA78" s="7">
        <f>[3]基础状态预期!D89</f>
        <v>3859</v>
      </c>
      <c r="BB78" s="7">
        <f>[3]基础状态预期!E89</f>
        <v>3</v>
      </c>
      <c r="BC78" s="7">
        <f>[3]基础状态预期!F89</f>
        <v>7</v>
      </c>
      <c r="BD78" s="7">
        <f>[3]基础状态预期!G89</f>
        <v>20</v>
      </c>
      <c r="BE78" s="7">
        <f>[3]基础状态预期!H89</f>
        <v>8</v>
      </c>
      <c r="BF78" s="7">
        <f>[3]基础状态预期!I89</f>
        <v>7</v>
      </c>
      <c r="BG78" s="7">
        <f>[3]基础状态预期!J89</f>
        <v>7</v>
      </c>
      <c r="BH78" s="7">
        <f>[3]基础状态预期!K89</f>
        <v>7</v>
      </c>
      <c r="BI78" s="7">
        <f>[3]基础状态预期!L89</f>
        <v>7</v>
      </c>
    </row>
    <row r="79" spans="23:61">
      <c r="W79" s="21">
        <f t="shared" si="0"/>
        <v>4930</v>
      </c>
      <c r="X79" s="21">
        <f>[2]基础状态预期!D90</f>
        <v>125.03100311549058</v>
      </c>
      <c r="Y79" s="21">
        <f>[2]基础状态预期!F90</f>
        <v>0</v>
      </c>
      <c r="Z79" s="21">
        <f>[2]基础状态预期!G90</f>
        <v>0</v>
      </c>
      <c r="AA79" s="21">
        <f>[2]基础状态预期!H90</f>
        <v>0</v>
      </c>
      <c r="AB79" s="21">
        <f>[2]基础状态预期!I90</f>
        <v>0</v>
      </c>
      <c r="AC79" s="21">
        <f>[2]基础状态预期!J90</f>
        <v>6</v>
      </c>
      <c r="AD79" s="21">
        <f>[2]基础状态预期!K90</f>
        <v>0</v>
      </c>
      <c r="AE79" s="21">
        <f>[2]基础状态预期!L90</f>
        <v>0</v>
      </c>
      <c r="AF79" s="21">
        <f>[2]基础状态预期!M90</f>
        <v>0</v>
      </c>
      <c r="AG79" s="21">
        <f>[2]基础状态预期!N90</f>
        <v>0</v>
      </c>
      <c r="AH79" s="21">
        <f>[2]基础状态预期!O90</f>
        <v>8</v>
      </c>
      <c r="AI79" s="7">
        <f>[2]各r阵容卡情况!G84</f>
        <v>0</v>
      </c>
      <c r="AJ79" s="7">
        <f>[2]各r阵容卡情况!H84</f>
        <v>0</v>
      </c>
      <c r="AK79" s="7">
        <f>[2]各r阵容卡情况!I84</f>
        <v>24</v>
      </c>
      <c r="AL79" s="7">
        <f>[2]各r阵容卡情况!J84</f>
        <v>0</v>
      </c>
      <c r="AM79" s="7">
        <f>[2]各r阵容卡情况!K84</f>
        <v>3</v>
      </c>
      <c r="AN79" s="7">
        <f>[2]各r阵容卡情况!L84</f>
        <v>6</v>
      </c>
      <c r="AO79" s="7">
        <f>[2]各r阵容卡情况!M84</f>
        <v>8</v>
      </c>
      <c r="AP79" s="7">
        <f>[2]各r阵容卡情况!N84</f>
        <v>8</v>
      </c>
      <c r="AZ79" s="7">
        <f>[3]基础状态预期!C90</f>
        <v>125.03100311549058</v>
      </c>
      <c r="BA79" s="7">
        <f>[3]基础状态预期!D90</f>
        <v>4930</v>
      </c>
      <c r="BB79" s="7">
        <f>[3]基础状态预期!E90</f>
        <v>3</v>
      </c>
      <c r="BC79" s="7">
        <f>[3]基础状态预期!F90</f>
        <v>7</v>
      </c>
      <c r="BD79" s="7">
        <f>[3]基础状态预期!G90</f>
        <v>20</v>
      </c>
      <c r="BE79" s="7">
        <f>[3]基础状态预期!H90</f>
        <v>8</v>
      </c>
      <c r="BF79" s="7">
        <f>[3]基础状态预期!I90</f>
        <v>7</v>
      </c>
      <c r="BG79" s="7">
        <f>[3]基础状态预期!J90</f>
        <v>7</v>
      </c>
      <c r="BH79" s="7">
        <f>[3]基础状态预期!K90</f>
        <v>7</v>
      </c>
      <c r="BI79" s="7">
        <f>[3]基础状态预期!L90</f>
        <v>7</v>
      </c>
    </row>
    <row r="80" spans="23:61">
      <c r="W80" s="21">
        <f t="shared" si="0"/>
        <v>6307</v>
      </c>
      <c r="X80" s="21">
        <f>[2]基础状态预期!D91</f>
        <v>128.62542789463421</v>
      </c>
      <c r="Y80" s="21">
        <f>[2]基础状态预期!F91</f>
        <v>0</v>
      </c>
      <c r="Z80" s="21">
        <f>[2]基础状态预期!G91</f>
        <v>0</v>
      </c>
      <c r="AA80" s="21">
        <f>[2]基础状态预期!H91</f>
        <v>0</v>
      </c>
      <c r="AB80" s="21">
        <f>[2]基础状态预期!I91</f>
        <v>0</v>
      </c>
      <c r="AC80" s="21">
        <f>[2]基础状态预期!J91</f>
        <v>6</v>
      </c>
      <c r="AD80" s="21">
        <f>[2]基础状态预期!K91</f>
        <v>0</v>
      </c>
      <c r="AE80" s="21">
        <f>[2]基础状态预期!L91</f>
        <v>0</v>
      </c>
      <c r="AF80" s="21">
        <f>[2]基础状态预期!M91</f>
        <v>0</v>
      </c>
      <c r="AG80" s="21">
        <f>[2]基础状态预期!N91</f>
        <v>0</v>
      </c>
      <c r="AH80" s="21">
        <f>[2]基础状态预期!O91</f>
        <v>8</v>
      </c>
      <c r="AI80" s="7">
        <f>[2]各r阵容卡情况!G85</f>
        <v>0</v>
      </c>
      <c r="AJ80" s="7">
        <f>[2]各r阵容卡情况!H85</f>
        <v>0</v>
      </c>
      <c r="AK80" s="7">
        <f>[2]各r阵容卡情况!I85</f>
        <v>24</v>
      </c>
      <c r="AL80" s="7">
        <f>[2]各r阵容卡情况!J85</f>
        <v>0</v>
      </c>
      <c r="AM80" s="7">
        <f>[2]各r阵容卡情况!K85</f>
        <v>3</v>
      </c>
      <c r="AN80" s="7">
        <f>[2]各r阵容卡情况!L85</f>
        <v>6</v>
      </c>
      <c r="AO80" s="7">
        <f>[2]各r阵容卡情况!M85</f>
        <v>8</v>
      </c>
      <c r="AP80" s="7">
        <f>[2]各r阵容卡情况!N85</f>
        <v>8</v>
      </c>
      <c r="AZ80" s="7">
        <f>[3]基础状态预期!C91</f>
        <v>128.62542789463421</v>
      </c>
      <c r="BA80" s="7">
        <f>[3]基础状态预期!D91</f>
        <v>6307</v>
      </c>
      <c r="BB80" s="7">
        <f>[3]基础状态预期!E91</f>
        <v>3</v>
      </c>
      <c r="BC80" s="7">
        <f>[3]基础状态预期!F91</f>
        <v>7</v>
      </c>
      <c r="BD80" s="7">
        <f>[3]基础状态预期!G91</f>
        <v>20</v>
      </c>
      <c r="BE80" s="7">
        <f>[3]基础状态预期!H91</f>
        <v>8</v>
      </c>
      <c r="BF80" s="7">
        <f>[3]基础状态预期!I91</f>
        <v>7</v>
      </c>
      <c r="BG80" s="7">
        <f>[3]基础状态预期!J91</f>
        <v>7</v>
      </c>
      <c r="BH80" s="7">
        <f>[3]基础状态预期!K91</f>
        <v>7</v>
      </c>
      <c r="BI80" s="7">
        <f>[3]基础状态预期!L91</f>
        <v>7</v>
      </c>
    </row>
    <row r="81" spans="23:61">
      <c r="W81" s="21">
        <f t="shared" si="0"/>
        <v>8041</v>
      </c>
      <c r="X81" s="21">
        <f>[2]基础状态预期!D92</f>
        <v>132.09902390525281</v>
      </c>
      <c r="Y81" s="21">
        <f>[2]基础状态预期!F92</f>
        <v>0</v>
      </c>
      <c r="Z81" s="21">
        <f>[2]基础状态预期!G92</f>
        <v>0</v>
      </c>
      <c r="AA81" s="21">
        <f>[2]基础状态预期!H92</f>
        <v>0</v>
      </c>
      <c r="AB81" s="21">
        <f>[2]基础状态预期!I92</f>
        <v>0</v>
      </c>
      <c r="AC81" s="21">
        <f>[2]基础状态预期!J92</f>
        <v>6</v>
      </c>
      <c r="AD81" s="21">
        <f>[2]基础状态预期!K92</f>
        <v>0</v>
      </c>
      <c r="AE81" s="21">
        <f>[2]基础状态预期!L92</f>
        <v>0</v>
      </c>
      <c r="AF81" s="21">
        <f>[2]基础状态预期!M92</f>
        <v>0</v>
      </c>
      <c r="AG81" s="21">
        <f>[2]基础状态预期!N92</f>
        <v>0</v>
      </c>
      <c r="AH81" s="21">
        <f>[2]基础状态预期!O92</f>
        <v>8</v>
      </c>
      <c r="AI81" s="7">
        <f>[2]各r阵容卡情况!G86</f>
        <v>0</v>
      </c>
      <c r="AJ81" s="7">
        <f>[2]各r阵容卡情况!H86</f>
        <v>0</v>
      </c>
      <c r="AK81" s="7">
        <f>[2]各r阵容卡情况!I86</f>
        <v>24</v>
      </c>
      <c r="AL81" s="7">
        <f>[2]各r阵容卡情况!J86</f>
        <v>0</v>
      </c>
      <c r="AM81" s="7">
        <f>[2]各r阵容卡情况!K86</f>
        <v>3</v>
      </c>
      <c r="AN81" s="7">
        <f>[2]各r阵容卡情况!L86</f>
        <v>6</v>
      </c>
      <c r="AO81" s="7">
        <f>[2]各r阵容卡情况!M86</f>
        <v>8</v>
      </c>
      <c r="AP81" s="7">
        <f>[2]各r阵容卡情况!N86</f>
        <v>8</v>
      </c>
      <c r="AZ81" s="7">
        <f>[3]基础状态预期!C92</f>
        <v>132.09902390525281</v>
      </c>
      <c r="BA81" s="7">
        <f>[3]基础状态预期!D92</f>
        <v>8041</v>
      </c>
      <c r="BB81" s="7">
        <f>[3]基础状态预期!E92</f>
        <v>3</v>
      </c>
      <c r="BC81" s="7">
        <f>[3]基础状态预期!F92</f>
        <v>7</v>
      </c>
      <c r="BD81" s="7">
        <f>[3]基础状态预期!G92</f>
        <v>20</v>
      </c>
      <c r="BE81" s="7">
        <f>[3]基础状态预期!H92</f>
        <v>8</v>
      </c>
      <c r="BF81" s="7">
        <f>[3]基础状态预期!I92</f>
        <v>7</v>
      </c>
      <c r="BG81" s="7">
        <f>[3]基础状态预期!J92</f>
        <v>7</v>
      </c>
      <c r="BH81" s="7">
        <f>[3]基础状态预期!K92</f>
        <v>7</v>
      </c>
      <c r="BI81" s="7">
        <f>[3]基础状态预期!L92</f>
        <v>7</v>
      </c>
    </row>
    <row r="82" spans="23:61">
      <c r="W82" s="21">
        <f t="shared" si="0"/>
        <v>10234</v>
      </c>
      <c r="X82" s="21">
        <f>[2]基础状态预期!D93</f>
        <v>135.61521761503846</v>
      </c>
      <c r="Y82" s="21">
        <f>[2]基础状态预期!F93</f>
        <v>0</v>
      </c>
      <c r="Z82" s="21">
        <f>[2]基础状态预期!G93</f>
        <v>0</v>
      </c>
      <c r="AA82" s="21">
        <f>[2]基础状态预期!H93</f>
        <v>0</v>
      </c>
      <c r="AB82" s="21">
        <f>[2]基础状态预期!I93</f>
        <v>0</v>
      </c>
      <c r="AC82" s="21">
        <f>[2]基础状态预期!J93</f>
        <v>6</v>
      </c>
      <c r="AD82" s="21">
        <f>[2]基础状态预期!K93</f>
        <v>0</v>
      </c>
      <c r="AE82" s="21">
        <f>[2]基础状态预期!L93</f>
        <v>0</v>
      </c>
      <c r="AF82" s="21">
        <f>[2]基础状态预期!M93</f>
        <v>0</v>
      </c>
      <c r="AG82" s="21">
        <f>[2]基础状态预期!N93</f>
        <v>0</v>
      </c>
      <c r="AH82" s="21">
        <f>[2]基础状态预期!O93</f>
        <v>8</v>
      </c>
      <c r="AI82" s="7">
        <f>[2]各r阵容卡情况!G87</f>
        <v>0</v>
      </c>
      <c r="AJ82" s="7">
        <f>[2]各r阵容卡情况!H87</f>
        <v>0</v>
      </c>
      <c r="AK82" s="7">
        <f>[2]各r阵容卡情况!I87</f>
        <v>24</v>
      </c>
      <c r="AL82" s="7">
        <f>[2]各r阵容卡情况!J87</f>
        <v>0</v>
      </c>
      <c r="AM82" s="7">
        <f>[2]各r阵容卡情况!K87</f>
        <v>3</v>
      </c>
      <c r="AN82" s="7">
        <f>[2]各r阵容卡情况!L87</f>
        <v>6</v>
      </c>
      <c r="AO82" s="7">
        <f>[2]各r阵容卡情况!M87</f>
        <v>8</v>
      </c>
      <c r="AP82" s="7">
        <f>[2]各r阵容卡情况!N87</f>
        <v>8</v>
      </c>
      <c r="AZ82" s="7">
        <f>[3]基础状态预期!C93</f>
        <v>135.61521761503846</v>
      </c>
      <c r="BA82" s="7">
        <f>[3]基础状态预期!D93</f>
        <v>10234</v>
      </c>
      <c r="BB82" s="7">
        <f>[3]基础状态预期!E93</f>
        <v>3</v>
      </c>
      <c r="BC82" s="7">
        <f>[3]基础状态预期!F93</f>
        <v>7</v>
      </c>
      <c r="BD82" s="7">
        <f>[3]基础状态预期!G93</f>
        <v>20</v>
      </c>
      <c r="BE82" s="7">
        <f>[3]基础状态预期!H93</f>
        <v>8</v>
      </c>
      <c r="BF82" s="7">
        <f>[3]基础状态预期!I93</f>
        <v>7</v>
      </c>
      <c r="BG82" s="7">
        <f>[3]基础状态预期!J93</f>
        <v>7</v>
      </c>
      <c r="BH82" s="7">
        <f>[3]基础状态预期!K93</f>
        <v>7</v>
      </c>
      <c r="BI82" s="7">
        <f>[3]基础状态预期!L93</f>
        <v>7</v>
      </c>
    </row>
    <row r="83" spans="23:61">
      <c r="W83" s="21">
        <f t="shared" si="0"/>
        <v>13039</v>
      </c>
      <c r="X83" s="21">
        <f>[2]基础状态预期!D94</f>
        <v>139.08794136138388</v>
      </c>
      <c r="Y83" s="21">
        <f>[2]基础状态预期!F94</f>
        <v>0</v>
      </c>
      <c r="Z83" s="21">
        <f>[2]基础状态预期!G94</f>
        <v>0</v>
      </c>
      <c r="AA83" s="21">
        <f>[2]基础状态预期!H94</f>
        <v>0</v>
      </c>
      <c r="AB83" s="21">
        <f>[2]基础状态预期!I94</f>
        <v>0</v>
      </c>
      <c r="AC83" s="21">
        <f>[2]基础状态预期!J94</f>
        <v>6</v>
      </c>
      <c r="AD83" s="21">
        <f>[2]基础状态预期!K94</f>
        <v>0</v>
      </c>
      <c r="AE83" s="21">
        <f>[2]基础状态预期!L94</f>
        <v>0</v>
      </c>
      <c r="AF83" s="21">
        <f>[2]基础状态预期!M94</f>
        <v>0</v>
      </c>
      <c r="AG83" s="21">
        <f>[2]基础状态预期!N94</f>
        <v>0</v>
      </c>
      <c r="AH83" s="21">
        <f>[2]基础状态预期!O94</f>
        <v>8</v>
      </c>
      <c r="AI83" s="7">
        <f>[2]各r阵容卡情况!G88</f>
        <v>0</v>
      </c>
      <c r="AJ83" s="7">
        <f>[2]各r阵容卡情况!H88</f>
        <v>0</v>
      </c>
      <c r="AK83" s="7">
        <f>[2]各r阵容卡情况!I88</f>
        <v>24</v>
      </c>
      <c r="AL83" s="7">
        <f>[2]各r阵容卡情况!J88</f>
        <v>0</v>
      </c>
      <c r="AM83" s="7">
        <f>[2]各r阵容卡情况!K88</f>
        <v>3</v>
      </c>
      <c r="AN83" s="7">
        <f>[2]各r阵容卡情况!L88</f>
        <v>6</v>
      </c>
      <c r="AO83" s="7">
        <f>[2]各r阵容卡情况!M88</f>
        <v>8</v>
      </c>
      <c r="AP83" s="7">
        <f>[2]各r阵容卡情况!N88</f>
        <v>8</v>
      </c>
      <c r="AZ83" s="7">
        <f>[3]基础状态预期!C94</f>
        <v>139.08794136138388</v>
      </c>
      <c r="BA83" s="7">
        <f>[3]基础状态预期!D94</f>
        <v>13039</v>
      </c>
      <c r="BB83" s="7">
        <f>[3]基础状态预期!E94</f>
        <v>3</v>
      </c>
      <c r="BC83" s="7">
        <f>[3]基础状态预期!F94</f>
        <v>7</v>
      </c>
      <c r="BD83" s="7">
        <f>[3]基础状态预期!G94</f>
        <v>20</v>
      </c>
      <c r="BE83" s="7">
        <f>[3]基础状态预期!H94</f>
        <v>8</v>
      </c>
      <c r="BF83" s="7">
        <f>[3]基础状态预期!I94</f>
        <v>7</v>
      </c>
      <c r="BG83" s="7">
        <f>[3]基础状态预期!J94</f>
        <v>7</v>
      </c>
      <c r="BH83" s="7">
        <f>[3]基础状态预期!K94</f>
        <v>7</v>
      </c>
      <c r="BI83" s="7">
        <f>[3]基础状态预期!L94</f>
        <v>7</v>
      </c>
    </row>
    <row r="84" spans="23:61">
      <c r="W84" s="21">
        <f t="shared" si="0"/>
        <v>16609</v>
      </c>
      <c r="X84" s="21">
        <f>[2]基础状态预期!D95</f>
        <v>142.60670974426387</v>
      </c>
      <c r="Y84" s="21">
        <f>[2]基础状态预期!F95</f>
        <v>0</v>
      </c>
      <c r="Z84" s="21">
        <f>[2]基础状态预期!G95</f>
        <v>0</v>
      </c>
      <c r="AA84" s="21">
        <f>[2]基础状态预期!H95</f>
        <v>0</v>
      </c>
      <c r="AB84" s="21">
        <f>[2]基础状态预期!I95</f>
        <v>0</v>
      </c>
      <c r="AC84" s="21">
        <f>[2]基础状态预期!J95</f>
        <v>6</v>
      </c>
      <c r="AD84" s="21">
        <f>[2]基础状态预期!K95</f>
        <v>0</v>
      </c>
      <c r="AE84" s="21">
        <f>[2]基础状态预期!L95</f>
        <v>0</v>
      </c>
      <c r="AF84" s="21">
        <f>[2]基础状态预期!M95</f>
        <v>0</v>
      </c>
      <c r="AG84" s="21">
        <f>[2]基础状态预期!N95</f>
        <v>0</v>
      </c>
      <c r="AH84" s="21">
        <f>[2]基础状态预期!O95</f>
        <v>8</v>
      </c>
      <c r="AI84" s="7">
        <f>[2]各r阵容卡情况!G89</f>
        <v>0</v>
      </c>
      <c r="AJ84" s="7">
        <f>[2]各r阵容卡情况!H89</f>
        <v>0</v>
      </c>
      <c r="AK84" s="7">
        <f>[2]各r阵容卡情况!I89</f>
        <v>24</v>
      </c>
      <c r="AL84" s="7">
        <f>[2]各r阵容卡情况!J89</f>
        <v>0</v>
      </c>
      <c r="AM84" s="7">
        <f>[2]各r阵容卡情况!K89</f>
        <v>3</v>
      </c>
      <c r="AN84" s="7">
        <f>[2]各r阵容卡情况!L89</f>
        <v>6</v>
      </c>
      <c r="AO84" s="7">
        <f>[2]各r阵容卡情况!M89</f>
        <v>8</v>
      </c>
      <c r="AP84" s="7">
        <f>[2]各r阵容卡情况!N89</f>
        <v>8</v>
      </c>
      <c r="AZ84" s="7">
        <f>[3]基础状态预期!C95</f>
        <v>142.60670974426387</v>
      </c>
      <c r="BA84" s="7">
        <f>[3]基础状态预期!D95</f>
        <v>16609</v>
      </c>
      <c r="BB84" s="7">
        <f>[3]基础状态预期!E95</f>
        <v>3</v>
      </c>
      <c r="BC84" s="7">
        <f>[3]基础状态预期!F95</f>
        <v>7</v>
      </c>
      <c r="BD84" s="7">
        <f>[3]基础状态预期!G95</f>
        <v>20</v>
      </c>
      <c r="BE84" s="7">
        <f>[3]基础状态预期!H95</f>
        <v>8</v>
      </c>
      <c r="BF84" s="7">
        <f>[3]基础状态预期!I95</f>
        <v>7</v>
      </c>
      <c r="BG84" s="7">
        <f>[3]基础状态预期!J95</f>
        <v>7</v>
      </c>
      <c r="BH84" s="7">
        <f>[3]基础状态预期!K95</f>
        <v>7</v>
      </c>
      <c r="BI84" s="7">
        <f>[3]基础状态预期!L95</f>
        <v>7</v>
      </c>
    </row>
    <row r="85" spans="23:61">
      <c r="W85" s="21">
        <f t="shared" si="0"/>
        <v>21148</v>
      </c>
      <c r="X85" s="21">
        <f>[2]基础状态预期!D96</f>
        <v>146.07830147206653</v>
      </c>
      <c r="Y85" s="21">
        <f>[2]基础状态预期!F96</f>
        <v>0</v>
      </c>
      <c r="Z85" s="21">
        <f>[2]基础状态预期!G96</f>
        <v>0</v>
      </c>
      <c r="AA85" s="21">
        <f>[2]基础状态预期!H96</f>
        <v>0</v>
      </c>
      <c r="AB85" s="21">
        <f>[2]基础状态预期!I96</f>
        <v>0</v>
      </c>
      <c r="AC85" s="21">
        <f>[2]基础状态预期!J96</f>
        <v>6</v>
      </c>
      <c r="AD85" s="21">
        <f>[2]基础状态预期!K96</f>
        <v>0</v>
      </c>
      <c r="AE85" s="21">
        <f>[2]基础状态预期!L96</f>
        <v>0</v>
      </c>
      <c r="AF85" s="21">
        <f>[2]基础状态预期!M96</f>
        <v>0</v>
      </c>
      <c r="AG85" s="21">
        <f>[2]基础状态预期!N96</f>
        <v>0</v>
      </c>
      <c r="AH85" s="21">
        <f>[2]基础状态预期!O96</f>
        <v>8</v>
      </c>
      <c r="AI85" s="7">
        <f>[2]各r阵容卡情况!G90</f>
        <v>0</v>
      </c>
      <c r="AJ85" s="7">
        <f>[2]各r阵容卡情况!H90</f>
        <v>0</v>
      </c>
      <c r="AK85" s="7">
        <f>[2]各r阵容卡情况!I90</f>
        <v>24</v>
      </c>
      <c r="AL85" s="7">
        <f>[2]各r阵容卡情况!J90</f>
        <v>0</v>
      </c>
      <c r="AM85" s="7">
        <f>[2]各r阵容卡情况!K90</f>
        <v>3</v>
      </c>
      <c r="AN85" s="7">
        <f>[2]各r阵容卡情况!L90</f>
        <v>6</v>
      </c>
      <c r="AO85" s="7">
        <f>[2]各r阵容卡情况!M90</f>
        <v>8</v>
      </c>
      <c r="AP85" s="7">
        <f>[2]各r阵容卡情况!N90</f>
        <v>8</v>
      </c>
      <c r="AZ85" s="7">
        <f>[3]基础状态预期!C96</f>
        <v>146.07830147206653</v>
      </c>
      <c r="BA85" s="7">
        <f>[3]基础状态预期!D96</f>
        <v>21148</v>
      </c>
      <c r="BB85" s="7">
        <f>[3]基础状态预期!E96</f>
        <v>3</v>
      </c>
      <c r="BC85" s="7">
        <f>[3]基础状态预期!F96</f>
        <v>7</v>
      </c>
      <c r="BD85" s="7">
        <f>[3]基础状态预期!G96</f>
        <v>20</v>
      </c>
      <c r="BE85" s="7">
        <f>[3]基础状态预期!H96</f>
        <v>8</v>
      </c>
      <c r="BF85" s="7">
        <f>[3]基础状态预期!I96</f>
        <v>7</v>
      </c>
      <c r="BG85" s="7">
        <f>[3]基础状态预期!J96</f>
        <v>7</v>
      </c>
      <c r="BH85" s="7">
        <f>[3]基础状态预期!K96</f>
        <v>7</v>
      </c>
      <c r="BI85" s="7">
        <f>[3]基础状态预期!L96</f>
        <v>7</v>
      </c>
    </row>
    <row r="86" spans="23:61">
      <c r="W86" s="21">
        <f t="shared" si="0"/>
        <v>26962</v>
      </c>
      <c r="X86" s="21">
        <f>[2]基础状态预期!D97</f>
        <v>149.61701338734093</v>
      </c>
      <c r="Y86" s="21">
        <f>[2]基础状态预期!F97</f>
        <v>0</v>
      </c>
      <c r="Z86" s="21">
        <f>[2]基础状态预期!G97</f>
        <v>0</v>
      </c>
      <c r="AA86" s="21">
        <f>[2]基础状态预期!H97</f>
        <v>0</v>
      </c>
      <c r="AB86" s="21">
        <f>[2]基础状态预期!I97</f>
        <v>0</v>
      </c>
      <c r="AC86" s="21">
        <f>[2]基础状态预期!J97</f>
        <v>6</v>
      </c>
      <c r="AD86" s="21">
        <f>[2]基础状态预期!K97</f>
        <v>0</v>
      </c>
      <c r="AE86" s="21">
        <f>[2]基础状态预期!L97</f>
        <v>0</v>
      </c>
      <c r="AF86" s="21">
        <f>[2]基础状态预期!M97</f>
        <v>0</v>
      </c>
      <c r="AG86" s="21">
        <f>[2]基础状态预期!N97</f>
        <v>0</v>
      </c>
      <c r="AH86" s="21">
        <f>[2]基础状态预期!O97</f>
        <v>8</v>
      </c>
      <c r="AI86" s="7">
        <f>[2]各r阵容卡情况!G91</f>
        <v>0</v>
      </c>
      <c r="AJ86" s="7">
        <f>[2]各r阵容卡情况!H91</f>
        <v>0</v>
      </c>
      <c r="AK86" s="7">
        <f>[2]各r阵容卡情况!I91</f>
        <v>24</v>
      </c>
      <c r="AL86" s="7">
        <f>[2]各r阵容卡情况!J91</f>
        <v>0</v>
      </c>
      <c r="AM86" s="7">
        <f>[2]各r阵容卡情况!K91</f>
        <v>3</v>
      </c>
      <c r="AN86" s="7">
        <f>[2]各r阵容卡情况!L91</f>
        <v>6</v>
      </c>
      <c r="AO86" s="7">
        <f>[2]各r阵容卡情况!M91</f>
        <v>8</v>
      </c>
      <c r="AP86" s="7">
        <f>[2]各r阵容卡情况!N91</f>
        <v>8</v>
      </c>
      <c r="AZ86" s="7">
        <f>[3]基础状态预期!C97</f>
        <v>149.61701338734093</v>
      </c>
      <c r="BA86" s="7">
        <f>[3]基础状态预期!D97</f>
        <v>26962</v>
      </c>
      <c r="BB86" s="7">
        <f>[3]基础状态预期!E97</f>
        <v>3</v>
      </c>
      <c r="BC86" s="7">
        <f>[3]基础状态预期!F97</f>
        <v>7</v>
      </c>
      <c r="BD86" s="7">
        <f>[3]基础状态预期!G97</f>
        <v>20</v>
      </c>
      <c r="BE86" s="7">
        <f>[3]基础状态预期!H97</f>
        <v>8</v>
      </c>
      <c r="BF86" s="7">
        <f>[3]基础状态预期!I97</f>
        <v>7</v>
      </c>
      <c r="BG86" s="7">
        <f>[3]基础状态预期!J97</f>
        <v>7</v>
      </c>
      <c r="BH86" s="7">
        <f>[3]基础状态预期!K97</f>
        <v>7</v>
      </c>
      <c r="BI86" s="7">
        <f>[3]基础状态预期!L97</f>
        <v>7</v>
      </c>
    </row>
    <row r="87" spans="23:61">
      <c r="W87" s="21">
        <f t="shared" si="0"/>
        <v>34357</v>
      </c>
      <c r="X87" s="21">
        <f>[2]基础状态预期!D98</f>
        <v>153.01012120353457</v>
      </c>
      <c r="Y87" s="21">
        <f>[2]基础状态预期!F98</f>
        <v>0</v>
      </c>
      <c r="Z87" s="21">
        <f>[2]基础状态预期!G98</f>
        <v>0</v>
      </c>
      <c r="AA87" s="21">
        <f>[2]基础状态预期!H98</f>
        <v>0</v>
      </c>
      <c r="AB87" s="21">
        <f>[2]基础状态预期!I98</f>
        <v>0</v>
      </c>
      <c r="AC87" s="21">
        <f>[2]基础状态预期!J98</f>
        <v>6</v>
      </c>
      <c r="AD87" s="21">
        <f>[2]基础状态预期!K98</f>
        <v>0</v>
      </c>
      <c r="AE87" s="21">
        <f>[2]基础状态预期!L98</f>
        <v>0</v>
      </c>
      <c r="AF87" s="21">
        <f>[2]基础状态预期!M98</f>
        <v>0</v>
      </c>
      <c r="AG87" s="21">
        <f>[2]基础状态预期!N98</f>
        <v>0</v>
      </c>
      <c r="AH87" s="21">
        <f>[2]基础状态预期!O98</f>
        <v>8</v>
      </c>
      <c r="AI87" s="7">
        <f>[2]各r阵容卡情况!G92</f>
        <v>0</v>
      </c>
      <c r="AJ87" s="7">
        <f>[2]各r阵容卡情况!H92</f>
        <v>0</v>
      </c>
      <c r="AK87" s="7">
        <f>[2]各r阵容卡情况!I92</f>
        <v>24</v>
      </c>
      <c r="AL87" s="7">
        <f>[2]各r阵容卡情况!J92</f>
        <v>0</v>
      </c>
      <c r="AM87" s="7">
        <f>[2]各r阵容卡情况!K92</f>
        <v>3</v>
      </c>
      <c r="AN87" s="7">
        <f>[2]各r阵容卡情况!L92</f>
        <v>6</v>
      </c>
      <c r="AO87" s="7">
        <f>[2]各r阵容卡情况!M92</f>
        <v>8</v>
      </c>
      <c r="AP87" s="7">
        <f>[2]各r阵容卡情况!N92</f>
        <v>8</v>
      </c>
      <c r="AZ87" s="7">
        <f>[3]基础状态预期!C98</f>
        <v>153.01012120353457</v>
      </c>
      <c r="BA87" s="7">
        <f>[3]基础状态预期!D98</f>
        <v>34357</v>
      </c>
      <c r="BB87" s="7">
        <f>[3]基础状态预期!E98</f>
        <v>3</v>
      </c>
      <c r="BC87" s="7">
        <f>[3]基础状态预期!F98</f>
        <v>7</v>
      </c>
      <c r="BD87" s="7">
        <f>[3]基础状态预期!G98</f>
        <v>20</v>
      </c>
      <c r="BE87" s="7">
        <f>[3]基础状态预期!H98</f>
        <v>8</v>
      </c>
      <c r="BF87" s="7">
        <f>[3]基础状态预期!I98</f>
        <v>7</v>
      </c>
      <c r="BG87" s="7">
        <f>[3]基础状态预期!J98</f>
        <v>7</v>
      </c>
      <c r="BH87" s="7">
        <f>[3]基础状态预期!K98</f>
        <v>7</v>
      </c>
      <c r="BI87" s="7">
        <f>[3]基础状态预期!L98</f>
        <v>7</v>
      </c>
    </row>
    <row r="88" spans="23:61">
      <c r="W88" s="21">
        <f t="shared" si="0"/>
        <v>43792</v>
      </c>
      <c r="X88" s="21">
        <f>[2]基础状态预期!D99</f>
        <v>154.95970315183646</v>
      </c>
      <c r="Y88" s="21">
        <f>[2]基础状态预期!F99</f>
        <v>0</v>
      </c>
      <c r="Z88" s="21">
        <f>[2]基础状态预期!G99</f>
        <v>0</v>
      </c>
      <c r="AA88" s="21">
        <f>[2]基础状态预期!H99</f>
        <v>0</v>
      </c>
      <c r="AB88" s="21">
        <f>[2]基础状态预期!I99</f>
        <v>0</v>
      </c>
      <c r="AC88" s="21">
        <f>[2]基础状态预期!J99</f>
        <v>6</v>
      </c>
      <c r="AD88" s="21">
        <f>[2]基础状态预期!K99</f>
        <v>0</v>
      </c>
      <c r="AE88" s="21">
        <f>[2]基础状态预期!L99</f>
        <v>0</v>
      </c>
      <c r="AF88" s="21">
        <f>[2]基础状态预期!M99</f>
        <v>0</v>
      </c>
      <c r="AG88" s="21">
        <f>[2]基础状态预期!N99</f>
        <v>0</v>
      </c>
      <c r="AH88" s="21">
        <f>[2]基础状态预期!O99</f>
        <v>8</v>
      </c>
      <c r="AI88" s="7">
        <f>[2]各r阵容卡情况!G93</f>
        <v>0</v>
      </c>
      <c r="AJ88" s="7">
        <f>[2]各r阵容卡情况!H93</f>
        <v>0</v>
      </c>
      <c r="AK88" s="7">
        <f>[2]各r阵容卡情况!I93</f>
        <v>24</v>
      </c>
      <c r="AL88" s="7">
        <f>[2]各r阵容卡情况!J93</f>
        <v>0</v>
      </c>
      <c r="AM88" s="7">
        <f>[2]各r阵容卡情况!K93</f>
        <v>3</v>
      </c>
      <c r="AN88" s="7">
        <f>[2]各r阵容卡情况!L93</f>
        <v>6</v>
      </c>
      <c r="AO88" s="7">
        <f>[2]各r阵容卡情况!M93</f>
        <v>8</v>
      </c>
      <c r="AP88" s="7">
        <f>[2]各r阵容卡情况!N93</f>
        <v>8</v>
      </c>
      <c r="AZ88" s="7">
        <f>[3]基础状态预期!C99</f>
        <v>154.95970315183646</v>
      </c>
      <c r="BA88" s="7">
        <f>[3]基础状态预期!D99</f>
        <v>43792</v>
      </c>
      <c r="BB88" s="7">
        <f>[3]基础状态预期!E99</f>
        <v>3</v>
      </c>
      <c r="BC88" s="7">
        <f>[3]基础状态预期!F99</f>
        <v>7</v>
      </c>
      <c r="BD88" s="7">
        <f>[3]基础状态预期!G99</f>
        <v>20</v>
      </c>
      <c r="BE88" s="7">
        <f>[3]基础状态预期!H99</f>
        <v>8</v>
      </c>
      <c r="BF88" s="7">
        <f>[3]基础状态预期!I99</f>
        <v>7</v>
      </c>
      <c r="BG88" s="7">
        <f>[3]基础状态预期!J99</f>
        <v>7</v>
      </c>
      <c r="BH88" s="7">
        <f>[3]基础状态预期!K99</f>
        <v>7</v>
      </c>
      <c r="BI88" s="7">
        <f>[3]基础状态预期!L99</f>
        <v>7</v>
      </c>
    </row>
    <row r="89" spans="23:61">
      <c r="W89" s="21">
        <f t="shared" si="0"/>
        <v>55675</v>
      </c>
      <c r="X89" s="21">
        <f>[2]基础状态预期!D100</f>
        <v>157.63974470288184</v>
      </c>
      <c r="Y89" s="21">
        <f>[2]基础状态预期!F100</f>
        <v>0</v>
      </c>
      <c r="Z89" s="21">
        <f>[2]基础状态预期!G100</f>
        <v>0</v>
      </c>
      <c r="AA89" s="21">
        <f>[2]基础状态预期!H100</f>
        <v>0</v>
      </c>
      <c r="AB89" s="21">
        <f>[2]基础状态预期!I100</f>
        <v>0</v>
      </c>
      <c r="AC89" s="21">
        <f>[2]基础状态预期!J100</f>
        <v>6</v>
      </c>
      <c r="AD89" s="21">
        <f>[2]基础状态预期!K100</f>
        <v>0</v>
      </c>
      <c r="AE89" s="21">
        <f>[2]基础状态预期!L100</f>
        <v>0</v>
      </c>
      <c r="AF89" s="21">
        <f>[2]基础状态预期!M100</f>
        <v>0</v>
      </c>
      <c r="AG89" s="21">
        <f>[2]基础状态预期!N100</f>
        <v>0</v>
      </c>
      <c r="AH89" s="21">
        <f>[2]基础状态预期!O100</f>
        <v>8</v>
      </c>
      <c r="AI89" s="7">
        <f>[2]各r阵容卡情况!G94</f>
        <v>0</v>
      </c>
      <c r="AJ89" s="7">
        <f>[2]各r阵容卡情况!H94</f>
        <v>0</v>
      </c>
      <c r="AK89" s="7">
        <f>[2]各r阵容卡情况!I94</f>
        <v>24</v>
      </c>
      <c r="AL89" s="7">
        <f>[2]各r阵容卡情况!J94</f>
        <v>0</v>
      </c>
      <c r="AM89" s="7">
        <f>[2]各r阵容卡情况!K94</f>
        <v>3</v>
      </c>
      <c r="AN89" s="7">
        <f>[2]各r阵容卡情况!L94</f>
        <v>6</v>
      </c>
      <c r="AO89" s="7">
        <f>[2]各r阵容卡情况!M94</f>
        <v>8</v>
      </c>
      <c r="AP89" s="7">
        <f>[2]各r阵容卡情况!N94</f>
        <v>8</v>
      </c>
      <c r="AZ89" s="7">
        <f>[3]基础状态预期!C100</f>
        <v>157.63974470288184</v>
      </c>
      <c r="BA89" s="7">
        <f>[3]基础状态预期!D100</f>
        <v>55675</v>
      </c>
      <c r="BB89" s="7">
        <f>[3]基础状态预期!E100</f>
        <v>3</v>
      </c>
      <c r="BC89" s="7">
        <f>[3]基础状态预期!F100</f>
        <v>7</v>
      </c>
      <c r="BD89" s="7">
        <f>[3]基础状态预期!G100</f>
        <v>20</v>
      </c>
      <c r="BE89" s="7">
        <f>[3]基础状态预期!H100</f>
        <v>8</v>
      </c>
      <c r="BF89" s="7">
        <f>[3]基础状态预期!I100</f>
        <v>7</v>
      </c>
      <c r="BG89" s="7">
        <f>[3]基础状态预期!J100</f>
        <v>7</v>
      </c>
      <c r="BH89" s="7">
        <f>[3]基础状态预期!K100</f>
        <v>7</v>
      </c>
      <c r="BI89" s="7">
        <f>[3]基础状态预期!L100</f>
        <v>7</v>
      </c>
    </row>
    <row r="90" spans="23:61">
      <c r="W90" s="23"/>
      <c r="X90" s="23"/>
      <c r="Y90" s="23"/>
      <c r="Z90" s="23"/>
      <c r="AA90" s="23"/>
      <c r="AB90" s="23"/>
      <c r="AC90" s="23"/>
      <c r="AI90" s="6"/>
      <c r="AJ90" s="6"/>
      <c r="AK90" s="6"/>
      <c r="AL90" s="6"/>
      <c r="AM90" s="6"/>
      <c r="AN90" s="6"/>
      <c r="AO90" s="6"/>
      <c r="AP90" s="6"/>
      <c r="AZ90" s="6"/>
      <c r="BA90" s="6"/>
      <c r="BB90" s="6"/>
      <c r="BC90" s="6"/>
      <c r="BD90" s="6"/>
      <c r="BE90" s="6"/>
      <c r="BF90" s="6"/>
      <c r="BG90" s="6"/>
      <c r="BH90" s="6"/>
      <c r="BI90" s="6"/>
    </row>
    <row r="91" spans="23:61">
      <c r="W91" s="23"/>
      <c r="X91" s="23"/>
      <c r="Y91" s="23"/>
      <c r="Z91" s="23"/>
      <c r="AA91" s="23"/>
      <c r="AB91" s="23"/>
      <c r="AC91" s="23"/>
      <c r="AI91" s="6"/>
      <c r="AJ91" s="6"/>
      <c r="AK91" s="6"/>
      <c r="AL91" s="6"/>
      <c r="AM91" s="6"/>
      <c r="AN91" s="6"/>
      <c r="AO91" s="6"/>
      <c r="AP91" s="6"/>
      <c r="AZ91" s="6"/>
      <c r="BA91" s="6"/>
      <c r="BB91" s="6"/>
      <c r="BC91" s="6"/>
      <c r="BD91" s="6"/>
      <c r="BE91" s="6"/>
      <c r="BF91" s="6"/>
      <c r="BG91" s="6"/>
      <c r="BH91" s="6"/>
      <c r="BI91" s="6"/>
    </row>
    <row r="92" spans="23:61">
      <c r="W92" s="23"/>
      <c r="X92" s="23"/>
      <c r="Y92" s="23"/>
      <c r="Z92" s="23"/>
      <c r="AA92" s="23"/>
      <c r="AB92" s="23"/>
      <c r="AC92" s="23"/>
      <c r="AI92" s="6"/>
      <c r="AJ92" s="6"/>
      <c r="AK92" s="6"/>
      <c r="AL92" s="6"/>
      <c r="AM92" s="6"/>
      <c r="AN92" s="6"/>
      <c r="AO92" s="6"/>
      <c r="AP92" s="6"/>
      <c r="AZ92" s="6"/>
      <c r="BA92" s="6"/>
      <c r="BB92" s="6"/>
      <c r="BC92" s="6"/>
      <c r="BD92" s="6"/>
      <c r="BE92" s="6"/>
      <c r="BF92" s="6"/>
      <c r="BG92" s="6"/>
      <c r="BH92" s="6"/>
      <c r="BI92" s="6"/>
    </row>
    <row r="93" spans="23:61">
      <c r="W93" s="34" t="s">
        <v>47</v>
      </c>
      <c r="X93" s="34"/>
      <c r="Y93" s="23"/>
      <c r="Z93" s="23"/>
      <c r="AA93" s="23"/>
      <c r="AB93" s="23"/>
      <c r="AC93" s="23"/>
      <c r="AI93" s="6" t="s">
        <v>32</v>
      </c>
      <c r="AJ93" s="6"/>
      <c r="AK93" s="6"/>
      <c r="AL93" s="6"/>
      <c r="AM93" s="6"/>
      <c r="AN93" s="6"/>
      <c r="AO93" s="6"/>
      <c r="AP93" s="6"/>
      <c r="AZ93" s="35" t="s">
        <v>109</v>
      </c>
      <c r="BA93" s="35"/>
      <c r="BB93" s="35"/>
      <c r="BC93" s="35"/>
      <c r="BD93" s="35"/>
      <c r="BE93" s="35"/>
      <c r="BF93" s="35"/>
      <c r="BG93" s="35"/>
      <c r="BH93" s="35"/>
      <c r="BI93" s="35"/>
    </row>
    <row r="94" spans="23:61">
      <c r="W94" s="34"/>
      <c r="X94" s="34"/>
      <c r="Y94" s="42" t="s">
        <v>128</v>
      </c>
      <c r="Z94" s="43"/>
      <c r="AA94" s="43"/>
      <c r="AB94" s="43"/>
      <c r="AC94" s="44"/>
      <c r="AD94" s="34" t="s">
        <v>97</v>
      </c>
      <c r="AE94" s="34"/>
      <c r="AF94" s="34"/>
      <c r="AG94" s="34"/>
      <c r="AH94" s="34"/>
      <c r="AI94" s="36" t="s">
        <v>129</v>
      </c>
      <c r="AJ94" s="37"/>
      <c r="AK94" s="37"/>
      <c r="AL94" s="38"/>
      <c r="AM94" s="36" t="s">
        <v>130</v>
      </c>
      <c r="AN94" s="37"/>
      <c r="AO94" s="37"/>
      <c r="AP94" s="38"/>
      <c r="AZ94" s="7"/>
      <c r="BA94" s="7"/>
      <c r="BB94" s="36" t="s">
        <v>135</v>
      </c>
      <c r="BC94" s="37"/>
      <c r="BD94" s="37"/>
      <c r="BE94" s="38"/>
      <c r="BF94" s="36" t="s">
        <v>98</v>
      </c>
      <c r="BG94" s="37"/>
      <c r="BH94" s="37"/>
      <c r="BI94" s="38"/>
    </row>
    <row r="95" spans="23:61">
      <c r="W95" s="21" t="s">
        <v>103</v>
      </c>
      <c r="X95" s="21" t="s">
        <v>92</v>
      </c>
      <c r="Y95" s="21" t="s">
        <v>104</v>
      </c>
      <c r="Z95" s="21" t="s">
        <v>14</v>
      </c>
      <c r="AA95" s="21" t="s">
        <v>15</v>
      </c>
      <c r="AB95" s="21" t="s">
        <v>13</v>
      </c>
      <c r="AC95" s="21" t="s">
        <v>102</v>
      </c>
      <c r="AD95" s="21" t="s">
        <v>104</v>
      </c>
      <c r="AE95" s="21" t="s">
        <v>14</v>
      </c>
      <c r="AF95" s="21" t="s">
        <v>15</v>
      </c>
      <c r="AG95" s="21" t="s">
        <v>13</v>
      </c>
      <c r="AH95" s="21" t="s">
        <v>102</v>
      </c>
      <c r="AI95" s="7" t="s">
        <v>14</v>
      </c>
      <c r="AJ95" s="7" t="s">
        <v>15</v>
      </c>
      <c r="AK95" s="7" t="s">
        <v>13</v>
      </c>
      <c r="AL95" s="7" t="s">
        <v>102</v>
      </c>
      <c r="AM95" s="7" t="s">
        <v>14</v>
      </c>
      <c r="AN95" s="7" t="s">
        <v>15</v>
      </c>
      <c r="AO95" s="7" t="s">
        <v>13</v>
      </c>
      <c r="AP95" s="7" t="s">
        <v>102</v>
      </c>
      <c r="AZ95" s="7" t="s">
        <v>91</v>
      </c>
      <c r="BA95" s="7" t="s">
        <v>103</v>
      </c>
      <c r="BB95" s="7" t="s">
        <v>14</v>
      </c>
      <c r="BC95" s="7" t="s">
        <v>15</v>
      </c>
      <c r="BD95" s="7" t="s">
        <v>13</v>
      </c>
      <c r="BE95" s="7" t="s">
        <v>102</v>
      </c>
      <c r="BF95" s="7" t="s">
        <v>14</v>
      </c>
      <c r="BG95" s="7" t="s">
        <v>15</v>
      </c>
      <c r="BH95" s="7" t="s">
        <v>13</v>
      </c>
      <c r="BI95" s="7" t="s">
        <v>102</v>
      </c>
    </row>
    <row r="96" spans="23:61">
      <c r="W96" s="21">
        <f t="shared" ref="W96:W134" si="1">W6*0.7</f>
        <v>0.7</v>
      </c>
      <c r="X96" s="21">
        <f>[2]基础状态预期!D107</f>
        <v>10.099965341977441</v>
      </c>
      <c r="Y96" s="21">
        <f>[2]基础状态预期!F107</f>
        <v>0</v>
      </c>
      <c r="Z96" s="21">
        <f>[2]基础状态预期!G107</f>
        <v>0</v>
      </c>
      <c r="AA96" s="21">
        <f>[2]基础状态预期!H107</f>
        <v>2</v>
      </c>
      <c r="AB96" s="21">
        <f>[2]基础状态预期!I107</f>
        <v>4</v>
      </c>
      <c r="AC96" s="21">
        <f>[2]基础状态预期!J107</f>
        <v>0</v>
      </c>
      <c r="AD96" s="21">
        <f>[2]基础状态预期!K107</f>
        <v>0</v>
      </c>
      <c r="AE96" s="21">
        <f>[2]基础状态预期!L107</f>
        <v>0</v>
      </c>
      <c r="AF96" s="21">
        <f>[2]基础状态预期!M107</f>
        <v>0.95229770414189363</v>
      </c>
      <c r="AG96" s="21">
        <f>[2]基础状态预期!N107</f>
        <v>0</v>
      </c>
      <c r="AH96" s="21">
        <f>[2]基础状态预期!O107</f>
        <v>0</v>
      </c>
      <c r="AI96" s="7">
        <f>[2]各r阵容卡情况!G101</f>
        <v>4</v>
      </c>
      <c r="AJ96" s="7">
        <f>[2]各r阵容卡情况!H101</f>
        <v>0</v>
      </c>
      <c r="AK96" s="7">
        <f>[2]各r阵容卡情况!I101</f>
        <v>0</v>
      </c>
      <c r="AL96" s="7">
        <f>[2]各r阵容卡情况!J101</f>
        <v>0</v>
      </c>
      <c r="AM96" s="7">
        <f>[2]各r阵容卡情况!K101</f>
        <v>3</v>
      </c>
      <c r="AN96" s="7">
        <f>[2]各r阵容卡情况!L101</f>
        <v>0.95229770414189363</v>
      </c>
      <c r="AO96" s="7">
        <f>[2]各r阵容卡情况!M101</f>
        <v>0</v>
      </c>
      <c r="AP96" s="7">
        <f>[2]各r阵容卡情况!N101</f>
        <v>0</v>
      </c>
      <c r="AZ96" s="7">
        <f>[3]基础状态预期!C107</f>
        <v>10.099965341977441</v>
      </c>
      <c r="BA96" s="7">
        <f>[3]基础状态预期!D107</f>
        <v>0.7</v>
      </c>
      <c r="BB96" s="7">
        <f>[3]基础状态预期!E107</f>
        <v>3</v>
      </c>
      <c r="BC96" s="7">
        <f>[3]基础状态预期!F107</f>
        <v>5</v>
      </c>
      <c r="BD96" s="7">
        <f>[3]基础状态预期!G107</f>
        <v>2</v>
      </c>
      <c r="BE96" s="7">
        <f>[3]基础状态预期!H107</f>
        <v>0</v>
      </c>
      <c r="BF96" s="7">
        <f>[3]基础状态预期!I107</f>
        <v>1.9996970280792628</v>
      </c>
      <c r="BG96" s="7">
        <f>[3]基础状态预期!J107</f>
        <v>2</v>
      </c>
      <c r="BH96" s="7">
        <f>[3]基础状态预期!K107</f>
        <v>3</v>
      </c>
      <c r="BI96" s="7">
        <f>[3]基础状态预期!L107</f>
        <v>0</v>
      </c>
    </row>
    <row r="97" spans="23:61">
      <c r="W97" s="21">
        <f t="shared" si="1"/>
        <v>2.0999999999999996</v>
      </c>
      <c r="X97" s="21">
        <f>[2]基础状态预期!D108</f>
        <v>19.800198258084681</v>
      </c>
      <c r="Y97" s="21">
        <f>[2]基础状态预期!F108</f>
        <v>0</v>
      </c>
      <c r="Z97" s="21">
        <f>[2]基础状态预期!G108</f>
        <v>0</v>
      </c>
      <c r="AA97" s="21">
        <f>[2]基础状态预期!H108</f>
        <v>0</v>
      </c>
      <c r="AB97" s="21">
        <f>[2]基础状态预期!I108</f>
        <v>6</v>
      </c>
      <c r="AC97" s="21">
        <f>[2]基础状态预期!J108</f>
        <v>0</v>
      </c>
      <c r="AD97" s="21">
        <f>[2]基础状态预期!K108</f>
        <v>0</v>
      </c>
      <c r="AE97" s="21">
        <f>[2]基础状态预期!L108</f>
        <v>0</v>
      </c>
      <c r="AF97" s="21">
        <f>[2]基础状态预期!M108</f>
        <v>0</v>
      </c>
      <c r="AG97" s="21">
        <f>[2]基础状态预期!N108</f>
        <v>0</v>
      </c>
      <c r="AH97" s="21">
        <f>[2]基础状态预期!O108</f>
        <v>0</v>
      </c>
      <c r="AI97" s="7">
        <f>[2]各r阵容卡情况!G102</f>
        <v>6</v>
      </c>
      <c r="AJ97" s="7">
        <f>[2]各r阵容卡情况!H102</f>
        <v>0</v>
      </c>
      <c r="AK97" s="7">
        <f>[2]各r阵容卡情况!I102</f>
        <v>0</v>
      </c>
      <c r="AL97" s="7">
        <f>[2]各r阵容卡情况!J102</f>
        <v>0</v>
      </c>
      <c r="AM97" s="7">
        <f>[2]各r阵容卡情况!K102</f>
        <v>3</v>
      </c>
      <c r="AN97" s="7">
        <f>[2]各r阵容卡情况!L102</f>
        <v>2.6630840504326772</v>
      </c>
      <c r="AO97" s="7">
        <f>[2]各r阵容卡情况!M102</f>
        <v>0</v>
      </c>
      <c r="AP97" s="7">
        <f>[2]各r阵容卡情况!N102</f>
        <v>0</v>
      </c>
      <c r="AZ97" s="7">
        <f>[3]基础状态预期!C108</f>
        <v>19.800198258084681</v>
      </c>
      <c r="BA97" s="7">
        <f>[3]基础状态预期!D108</f>
        <v>2.0999999999999996</v>
      </c>
      <c r="BB97" s="7">
        <f>[3]基础状态预期!E108</f>
        <v>3</v>
      </c>
      <c r="BC97" s="7">
        <f>[3]基础状态预期!F108</f>
        <v>7</v>
      </c>
      <c r="BD97" s="7">
        <f>[3]基础状态预期!G108</f>
        <v>5</v>
      </c>
      <c r="BE97" s="7">
        <f>[3]基础状态预期!H108</f>
        <v>0</v>
      </c>
      <c r="BF97" s="7">
        <f>[3]基础状态预期!I108</f>
        <v>3.1575156303665377</v>
      </c>
      <c r="BG97" s="7">
        <f>[3]基础状态预期!J108</f>
        <v>2</v>
      </c>
      <c r="BH97" s="7">
        <f>[3]基础状态预期!K108</f>
        <v>3</v>
      </c>
      <c r="BI97" s="7">
        <f>[3]基础状态预期!L108</f>
        <v>0</v>
      </c>
    </row>
    <row r="98" spans="23:61">
      <c r="W98" s="21">
        <f t="shared" si="1"/>
        <v>4.1999999999999993</v>
      </c>
      <c r="X98" s="21">
        <f>[2]基础状态预期!D109</f>
        <v>27.769105021676069</v>
      </c>
      <c r="Y98" s="21">
        <f>[2]基础状态预期!F109</f>
        <v>0</v>
      </c>
      <c r="Z98" s="21">
        <f>[2]基础状态预期!G109</f>
        <v>0</v>
      </c>
      <c r="AA98" s="21">
        <f>[2]基础状态预期!H109</f>
        <v>0</v>
      </c>
      <c r="AB98" s="21">
        <f>[2]基础状态预期!I109</f>
        <v>6</v>
      </c>
      <c r="AC98" s="21">
        <f>[2]基础状态预期!J109</f>
        <v>0</v>
      </c>
      <c r="AD98" s="21">
        <f>[2]基础状态预期!K109</f>
        <v>0</v>
      </c>
      <c r="AE98" s="21">
        <f>[2]基础状态预期!L109</f>
        <v>0</v>
      </c>
      <c r="AF98" s="21">
        <f>[2]基础状态预期!M109</f>
        <v>0</v>
      </c>
      <c r="AG98" s="21">
        <f>[2]基础状态预期!N109</f>
        <v>0</v>
      </c>
      <c r="AH98" s="21">
        <f>[2]基础状态预期!O109</f>
        <v>0</v>
      </c>
      <c r="AI98" s="7">
        <f>[2]各r阵容卡情况!G103</f>
        <v>6</v>
      </c>
      <c r="AJ98" s="7">
        <f>[2]各r阵容卡情况!H103</f>
        <v>2</v>
      </c>
      <c r="AK98" s="7">
        <f>[2]各r阵容卡情况!I103</f>
        <v>0</v>
      </c>
      <c r="AL98" s="7">
        <f>[2]各r阵容卡情况!J103</f>
        <v>0</v>
      </c>
      <c r="AM98" s="7">
        <f>[2]各r阵容卡情况!K103</f>
        <v>3</v>
      </c>
      <c r="AN98" s="7">
        <f>[2]各r阵容卡情况!L103</f>
        <v>4.0767046858310074</v>
      </c>
      <c r="AO98" s="7">
        <f>[2]各r阵容卡情况!M103</f>
        <v>0</v>
      </c>
      <c r="AP98" s="7">
        <f>[2]各r阵容卡情况!N103</f>
        <v>0</v>
      </c>
      <c r="AZ98" s="7">
        <f>[3]基础状态预期!C109</f>
        <v>27.769105021676069</v>
      </c>
      <c r="BA98" s="7">
        <f>[3]基础状态预期!D109</f>
        <v>4.1999999999999993</v>
      </c>
      <c r="BB98" s="7">
        <f>[3]基础状态预期!E109</f>
        <v>3</v>
      </c>
      <c r="BC98" s="7">
        <f>[3]基础状态预期!F109</f>
        <v>7</v>
      </c>
      <c r="BD98" s="7">
        <f>[3]基础状态预期!G109</f>
        <v>8</v>
      </c>
      <c r="BE98" s="7">
        <f>[3]基础状态预期!H109</f>
        <v>0</v>
      </c>
      <c r="BF98" s="7">
        <f>[3]基础状态预期!I109</f>
        <v>4.0019442027788514</v>
      </c>
      <c r="BG98" s="7">
        <f>[3]基础状态预期!J109</f>
        <v>2.295617503593343</v>
      </c>
      <c r="BH98" s="7">
        <f>[3]基础状态预期!K109</f>
        <v>3</v>
      </c>
      <c r="BI98" s="7">
        <f>[3]基础状态预期!L109</f>
        <v>0</v>
      </c>
    </row>
    <row r="99" spans="23:61">
      <c r="W99" s="21">
        <f t="shared" si="1"/>
        <v>7</v>
      </c>
      <c r="X99" s="21">
        <f>[2]基础状态预期!D110</f>
        <v>34.192155176139416</v>
      </c>
      <c r="Y99" s="21">
        <f>[2]基础状态预期!F110</f>
        <v>0</v>
      </c>
      <c r="Z99" s="21">
        <f>[2]基础状态预期!G110</f>
        <v>0</v>
      </c>
      <c r="AA99" s="21">
        <f>[2]基础状态预期!H110</f>
        <v>0</v>
      </c>
      <c r="AB99" s="21">
        <f>[2]基础状态预期!I110</f>
        <v>6</v>
      </c>
      <c r="AC99" s="21">
        <f>[2]基础状态预期!J110</f>
        <v>0</v>
      </c>
      <c r="AD99" s="21">
        <f>[2]基础状态预期!K110</f>
        <v>0</v>
      </c>
      <c r="AE99" s="21">
        <f>[2]基础状态预期!L110</f>
        <v>0</v>
      </c>
      <c r="AF99" s="21">
        <f>[2]基础状态预期!M110</f>
        <v>0</v>
      </c>
      <c r="AG99" s="21">
        <f>[2]基础状态预期!N110</f>
        <v>0.24629079215903205</v>
      </c>
      <c r="AH99" s="21">
        <f>[2]基础状态预期!O110</f>
        <v>0</v>
      </c>
      <c r="AI99" s="7">
        <f>[2]各r阵容卡情况!G104</f>
        <v>6</v>
      </c>
      <c r="AJ99" s="7">
        <f>[2]各r阵容卡情况!H104</f>
        <v>4</v>
      </c>
      <c r="AK99" s="7">
        <f>[2]各r阵容卡情况!I104</f>
        <v>2</v>
      </c>
      <c r="AL99" s="7">
        <f>[2]各r阵容卡情况!J104</f>
        <v>0</v>
      </c>
      <c r="AM99" s="7">
        <f>[2]各r阵容卡情况!K104</f>
        <v>3</v>
      </c>
      <c r="AN99" s="7">
        <f>[2]各r阵容卡情况!L104</f>
        <v>5.3011335324476603</v>
      </c>
      <c r="AO99" s="7">
        <f>[2]各r阵容卡情况!M104</f>
        <v>0.24629079215903205</v>
      </c>
      <c r="AP99" s="7">
        <f>[2]各r阵容卡情况!N104</f>
        <v>0</v>
      </c>
      <c r="AZ99" s="7">
        <f>[3]基础状态预期!C110</f>
        <v>34.192155176139416</v>
      </c>
      <c r="BA99" s="7">
        <f>[3]基础状态预期!D110</f>
        <v>7</v>
      </c>
      <c r="BB99" s="7">
        <f>[3]基础状态预期!E110</f>
        <v>3</v>
      </c>
      <c r="BC99" s="7">
        <f>[3]基础状态预期!F110</f>
        <v>7</v>
      </c>
      <c r="BD99" s="7">
        <f>[3]基础状态预期!G110</f>
        <v>13</v>
      </c>
      <c r="BE99" s="7">
        <f>[3]基础状态预期!H110</f>
        <v>0</v>
      </c>
      <c r="BF99" s="7">
        <f>[3]基础状态预期!I110</f>
        <v>4.562286444327647</v>
      </c>
      <c r="BG99" s="7">
        <f>[3]基础状态预期!J110</f>
        <v>3.0100989941773579</v>
      </c>
      <c r="BH99" s="7">
        <f>[3]基础状态预期!K110</f>
        <v>3</v>
      </c>
      <c r="BI99" s="7">
        <f>[3]基础状态预期!L110</f>
        <v>0</v>
      </c>
    </row>
    <row r="100" spans="23:61">
      <c r="W100" s="21">
        <f t="shared" si="1"/>
        <v>10.5</v>
      </c>
      <c r="X100" s="21">
        <f>[2]基础状态预期!D111</f>
        <v>39.631851677253941</v>
      </c>
      <c r="Y100" s="21">
        <f>[2]基础状态预期!F111</f>
        <v>0</v>
      </c>
      <c r="Z100" s="21">
        <f>[2]基础状态预期!G111</f>
        <v>0</v>
      </c>
      <c r="AA100" s="21">
        <f>[2]基础状态预期!H111</f>
        <v>0</v>
      </c>
      <c r="AB100" s="21">
        <f>[2]基础状态预期!I111</f>
        <v>6</v>
      </c>
      <c r="AC100" s="21">
        <f>[2]基础状态预期!J111</f>
        <v>0</v>
      </c>
      <c r="AD100" s="21">
        <f>[2]基础状态预期!K111</f>
        <v>0</v>
      </c>
      <c r="AE100" s="21">
        <f>[2]基础状态预期!L111</f>
        <v>0</v>
      </c>
      <c r="AF100" s="21">
        <f>[2]基础状态预期!M111</f>
        <v>0</v>
      </c>
      <c r="AG100" s="21">
        <f>[2]基础状态预期!N111</f>
        <v>0.63858043051182434</v>
      </c>
      <c r="AH100" s="21">
        <f>[2]基础状态预期!O111</f>
        <v>0</v>
      </c>
      <c r="AI100" s="7">
        <f>[2]各r阵容卡情况!G105</f>
        <v>6</v>
      </c>
      <c r="AJ100" s="7">
        <f>[2]各r阵容卡情况!H105</f>
        <v>6</v>
      </c>
      <c r="AK100" s="7">
        <f>[2]各r阵容卡情况!I105</f>
        <v>4</v>
      </c>
      <c r="AL100" s="7">
        <f>[2]各r阵容卡情况!J105</f>
        <v>0</v>
      </c>
      <c r="AM100" s="7">
        <f>[2]各r阵容卡情况!K105</f>
        <v>3</v>
      </c>
      <c r="AN100" s="7">
        <f>[2]各r阵容卡情况!L105</f>
        <v>6</v>
      </c>
      <c r="AO100" s="7">
        <f>[2]各r阵容卡情况!M105</f>
        <v>0.63858043051182434</v>
      </c>
      <c r="AP100" s="7">
        <f>[2]各r阵容卡情况!N105</f>
        <v>0</v>
      </c>
      <c r="AZ100" s="7">
        <f>[3]基础状态预期!C111</f>
        <v>39.631851677253941</v>
      </c>
      <c r="BA100" s="7">
        <f>[3]基础状态预期!D111</f>
        <v>10.5</v>
      </c>
      <c r="BB100" s="7">
        <f>[3]基础状态预期!E111</f>
        <v>3</v>
      </c>
      <c r="BC100" s="7">
        <f>[3]基础状态预期!F111</f>
        <v>7</v>
      </c>
      <c r="BD100" s="7">
        <f>[3]基础状态预期!G111</f>
        <v>18</v>
      </c>
      <c r="BE100" s="7">
        <f>[3]基础状态预期!H111</f>
        <v>0</v>
      </c>
      <c r="BF100" s="7">
        <f>[3]基础状态预期!I111</f>
        <v>5.0575209272961272</v>
      </c>
      <c r="BG100" s="7">
        <f>[3]基础状态预期!J111</f>
        <v>3.3674839577105091</v>
      </c>
      <c r="BH100" s="7">
        <f>[3]基础状态预期!K111</f>
        <v>3</v>
      </c>
      <c r="BI100" s="7">
        <f>[3]基础状态预期!L111</f>
        <v>0</v>
      </c>
    </row>
    <row r="101" spans="23:61">
      <c r="W101" s="21">
        <f t="shared" si="1"/>
        <v>14</v>
      </c>
      <c r="X101" s="21">
        <f>[2]基础状态预期!D112</f>
        <v>43.484929789964411</v>
      </c>
      <c r="Y101" s="21">
        <f>[2]基础状态预期!F112</f>
        <v>0</v>
      </c>
      <c r="Z101" s="21">
        <f>[2]基础状态预期!G112</f>
        <v>0</v>
      </c>
      <c r="AA101" s="21">
        <f>[2]基础状态预期!H112</f>
        <v>0</v>
      </c>
      <c r="AB101" s="21">
        <f>[2]基础状态预期!I112</f>
        <v>6</v>
      </c>
      <c r="AC101" s="21">
        <f>[2]基础状态预期!J112</f>
        <v>0</v>
      </c>
      <c r="AD101" s="21">
        <f>[2]基础状态预期!K112</f>
        <v>0</v>
      </c>
      <c r="AE101" s="21">
        <f>[2]基础状态预期!L112</f>
        <v>0</v>
      </c>
      <c r="AF101" s="21">
        <f>[2]基础状态预期!M112</f>
        <v>0</v>
      </c>
      <c r="AG101" s="21">
        <f>[2]基础状态预期!N112</f>
        <v>1.0203642572712983</v>
      </c>
      <c r="AH101" s="21">
        <f>[2]基础状态预期!O112</f>
        <v>0</v>
      </c>
      <c r="AI101" s="7">
        <f>[2]各r阵容卡情况!G106</f>
        <v>5</v>
      </c>
      <c r="AJ101" s="7">
        <f>[2]各r阵容卡情况!H106</f>
        <v>8</v>
      </c>
      <c r="AK101" s="7">
        <f>[2]各r阵容卡情况!I106</f>
        <v>6</v>
      </c>
      <c r="AL101" s="7">
        <f>[2]各r阵容卡情况!J106</f>
        <v>0</v>
      </c>
      <c r="AM101" s="7">
        <f>[2]各r阵容卡情况!K106</f>
        <v>3</v>
      </c>
      <c r="AN101" s="7">
        <f>[2]各r阵容卡情况!L106</f>
        <v>6</v>
      </c>
      <c r="AO101" s="7">
        <f>[2]各r阵容卡情况!M106</f>
        <v>1.0203642572712983</v>
      </c>
      <c r="AP101" s="7">
        <f>[2]各r阵容卡情况!N106</f>
        <v>0</v>
      </c>
      <c r="AZ101" s="7">
        <f>[3]基础状态预期!C112</f>
        <v>43.484929789964411</v>
      </c>
      <c r="BA101" s="7">
        <f>[3]基础状态预期!D112</f>
        <v>14</v>
      </c>
      <c r="BB101" s="7">
        <f>[3]基础状态预期!E112</f>
        <v>3</v>
      </c>
      <c r="BC101" s="7">
        <f>[3]基础状态预期!F112</f>
        <v>7</v>
      </c>
      <c r="BD101" s="7">
        <f>[3]基础状态预期!G112</f>
        <v>20</v>
      </c>
      <c r="BE101" s="7">
        <f>[3]基础状态预期!H112</f>
        <v>0</v>
      </c>
      <c r="BF101" s="7">
        <f>[3]基础状态预期!I112</f>
        <v>5.3307194512484477</v>
      </c>
      <c r="BG101" s="7">
        <f>[3]基础状态预期!J112</f>
        <v>3.7207579110971305</v>
      </c>
      <c r="BH101" s="7">
        <f>[3]基础状态预期!K112</f>
        <v>3</v>
      </c>
      <c r="BI101" s="7">
        <f>[3]基础状态预期!L112</f>
        <v>0</v>
      </c>
    </row>
    <row r="102" spans="23:61">
      <c r="W102" s="21">
        <f t="shared" si="1"/>
        <v>21</v>
      </c>
      <c r="X102" s="21">
        <f>[2]基础状态预期!D113</f>
        <v>49.18886033229559</v>
      </c>
      <c r="Y102" s="21">
        <f>[2]基础状态预期!F113</f>
        <v>0</v>
      </c>
      <c r="Z102" s="21">
        <f>[2]基础状态预期!G113</f>
        <v>0</v>
      </c>
      <c r="AA102" s="21">
        <f>[2]基础状态预期!H113</f>
        <v>0</v>
      </c>
      <c r="AB102" s="21">
        <f>[2]基础状态预期!I113</f>
        <v>6</v>
      </c>
      <c r="AC102" s="21">
        <f>[2]基础状态预期!J113</f>
        <v>0</v>
      </c>
      <c r="AD102" s="21">
        <f>[2]基础状态预期!K113</f>
        <v>0</v>
      </c>
      <c r="AE102" s="21">
        <f>[2]基础状态预期!L113</f>
        <v>0</v>
      </c>
      <c r="AF102" s="21">
        <f>[2]基础状态预期!M113</f>
        <v>0</v>
      </c>
      <c r="AG102" s="21">
        <f>[2]基础状态预期!N113</f>
        <v>1.6781889742723117</v>
      </c>
      <c r="AH102" s="21">
        <f>[2]基础状态预期!O113</f>
        <v>0</v>
      </c>
      <c r="AI102" s="7">
        <f>[2]各r阵容卡情况!G107</f>
        <v>0</v>
      </c>
      <c r="AJ102" s="7">
        <f>[2]各r阵容卡情况!H107</f>
        <v>10</v>
      </c>
      <c r="AK102" s="7">
        <f>[2]各r阵容卡情况!I107</f>
        <v>6</v>
      </c>
      <c r="AL102" s="7">
        <f>[2]各r阵容卡情况!J107</f>
        <v>0</v>
      </c>
      <c r="AM102" s="7">
        <f>[2]各r阵容卡情况!K107</f>
        <v>3</v>
      </c>
      <c r="AN102" s="7">
        <f>[2]各r阵容卡情况!L107</f>
        <v>6</v>
      </c>
      <c r="AO102" s="7">
        <f>[2]各r阵容卡情况!M107</f>
        <v>1.6781889742723117</v>
      </c>
      <c r="AP102" s="7">
        <f>[2]各r阵容卡情况!N107</f>
        <v>0</v>
      </c>
      <c r="AZ102" s="7">
        <f>[3]基础状态预期!C113</f>
        <v>49.18886033229559</v>
      </c>
      <c r="BA102" s="7">
        <f>[3]基础状态预期!D113</f>
        <v>21</v>
      </c>
      <c r="BB102" s="7">
        <f>[3]基础状态预期!E113</f>
        <v>3</v>
      </c>
      <c r="BC102" s="7">
        <f>[3]基础状态预期!F113</f>
        <v>7</v>
      </c>
      <c r="BD102" s="7">
        <f>[3]基础状态预期!G113</f>
        <v>20</v>
      </c>
      <c r="BE102" s="7">
        <f>[3]基础状态预期!H113</f>
        <v>0</v>
      </c>
      <c r="BF102" s="7">
        <f>[3]基础状态预期!I113</f>
        <v>5.8468223616722046</v>
      </c>
      <c r="BG102" s="7">
        <f>[3]基础状态预期!J113</f>
        <v>4.19406618211565</v>
      </c>
      <c r="BH102" s="7">
        <f>[3]基础状态预期!K113</f>
        <v>3.2736705942566933</v>
      </c>
      <c r="BI102" s="7">
        <f>[3]基础状态预期!L113</f>
        <v>0</v>
      </c>
    </row>
    <row r="103" spans="23:61">
      <c r="W103" s="21">
        <f t="shared" si="1"/>
        <v>28</v>
      </c>
      <c r="X103" s="21">
        <f>[2]基础状态预期!D114</f>
        <v>53.212684955585161</v>
      </c>
      <c r="Y103" s="21">
        <f>[2]基础状态预期!F114</f>
        <v>0</v>
      </c>
      <c r="Z103" s="21">
        <f>[2]基础状态预期!G114</f>
        <v>0</v>
      </c>
      <c r="AA103" s="21">
        <f>[2]基础状态预期!H114</f>
        <v>0</v>
      </c>
      <c r="AB103" s="21">
        <f>[2]基础状态预期!I114</f>
        <v>5</v>
      </c>
      <c r="AC103" s="21">
        <f>[2]基础状态预期!J114</f>
        <v>1</v>
      </c>
      <c r="AD103" s="21">
        <f>[2]基础状态预期!K114</f>
        <v>0</v>
      </c>
      <c r="AE103" s="21">
        <f>[2]基础状态预期!L114</f>
        <v>0</v>
      </c>
      <c r="AF103" s="21">
        <f>[2]基础状态预期!M114</f>
        <v>0</v>
      </c>
      <c r="AG103" s="21">
        <f>[2]基础状态预期!N114</f>
        <v>2.2826436518017683</v>
      </c>
      <c r="AH103" s="21">
        <f>[2]基础状态预期!O114</f>
        <v>0</v>
      </c>
      <c r="AI103" s="7">
        <f>[2]各r阵容卡情况!G108</f>
        <v>0</v>
      </c>
      <c r="AJ103" s="7">
        <f>[2]各r阵容卡情况!H108</f>
        <v>12</v>
      </c>
      <c r="AK103" s="7">
        <f>[2]各r阵容卡情况!I108</f>
        <v>6</v>
      </c>
      <c r="AL103" s="7">
        <f>[2]各r阵容卡情况!J108</f>
        <v>0</v>
      </c>
      <c r="AM103" s="7">
        <f>[2]各r阵容卡情况!K108</f>
        <v>3</v>
      </c>
      <c r="AN103" s="7">
        <f>[2]各r阵容卡情况!L108</f>
        <v>6</v>
      </c>
      <c r="AO103" s="7">
        <f>[2]各r阵容卡情况!M108</f>
        <v>2.2826436518017683</v>
      </c>
      <c r="AP103" s="7">
        <f>[2]各r阵容卡情况!N108</f>
        <v>0</v>
      </c>
      <c r="AZ103" s="7">
        <f>[3]基础状态预期!C114</f>
        <v>53.212684955585161</v>
      </c>
      <c r="BA103" s="7">
        <f>[3]基础状态预期!D114</f>
        <v>28</v>
      </c>
      <c r="BB103" s="7">
        <f>[3]基础状态预期!E114</f>
        <v>3</v>
      </c>
      <c r="BC103" s="7">
        <f>[3]基础状态预期!F114</f>
        <v>7</v>
      </c>
      <c r="BD103" s="7">
        <f>[3]基础状态预期!G114</f>
        <v>20</v>
      </c>
      <c r="BE103" s="7">
        <f>[3]基础状态预期!H114</f>
        <v>0</v>
      </c>
      <c r="BF103" s="7">
        <f>[3]基础状态预期!I114</f>
        <v>6.1808496142693183</v>
      </c>
      <c r="BG103" s="7">
        <f>[3]基础状态预期!J114</f>
        <v>4.5269607081068779</v>
      </c>
      <c r="BH103" s="7">
        <f>[3]基础状态预期!K114</f>
        <v>3.6287580886473361</v>
      </c>
      <c r="BI103" s="7">
        <f>[3]基础状态预期!L114</f>
        <v>0</v>
      </c>
    </row>
    <row r="104" spans="23:61">
      <c r="W104" s="21">
        <f t="shared" si="1"/>
        <v>42</v>
      </c>
      <c r="X104" s="21">
        <f>[2]基础状态预期!D115</f>
        <v>59.09095196730258</v>
      </c>
      <c r="Y104" s="21">
        <f>[2]基础状态预期!F115</f>
        <v>0</v>
      </c>
      <c r="Z104" s="21">
        <f>[2]基础状态预期!G115</f>
        <v>0</v>
      </c>
      <c r="AA104" s="21">
        <f>[2]基础状态预期!H115</f>
        <v>0</v>
      </c>
      <c r="AB104" s="21">
        <f>[2]基础状态预期!I115</f>
        <v>4</v>
      </c>
      <c r="AC104" s="21">
        <f>[2]基础状态预期!J115</f>
        <v>2</v>
      </c>
      <c r="AD104" s="21">
        <f>[2]基础状态预期!K115</f>
        <v>0</v>
      </c>
      <c r="AE104" s="21">
        <f>[2]基础状态预期!L115</f>
        <v>0</v>
      </c>
      <c r="AF104" s="21">
        <f>[2]基础状态预期!M115</f>
        <v>0</v>
      </c>
      <c r="AG104" s="21">
        <f>[2]基础状态预期!N115</f>
        <v>3.1340072884565995</v>
      </c>
      <c r="AH104" s="21">
        <f>[2]基础状态预期!O115</f>
        <v>0</v>
      </c>
      <c r="AI104" s="7">
        <f>[2]各r阵容卡情况!G109</f>
        <v>0</v>
      </c>
      <c r="AJ104" s="7">
        <f>[2]各r阵容卡情况!H109</f>
        <v>14</v>
      </c>
      <c r="AK104" s="7">
        <f>[2]各r阵容卡情况!I109</f>
        <v>8</v>
      </c>
      <c r="AL104" s="7">
        <f>[2]各r阵容卡情况!J109</f>
        <v>0</v>
      </c>
      <c r="AM104" s="7">
        <f>[2]各r阵容卡情况!K109</f>
        <v>3</v>
      </c>
      <c r="AN104" s="7">
        <f>[2]各r阵容卡情况!L109</f>
        <v>6</v>
      </c>
      <c r="AO104" s="7">
        <f>[2]各r阵容卡情况!M109</f>
        <v>3.1340072884565995</v>
      </c>
      <c r="AP104" s="7">
        <f>[2]各r阵容卡情况!N109</f>
        <v>0</v>
      </c>
      <c r="AZ104" s="7">
        <f>[3]基础状态预期!C115</f>
        <v>59.09095196730258</v>
      </c>
      <c r="BA104" s="7">
        <f>[3]基础状态预期!D115</f>
        <v>42</v>
      </c>
      <c r="BB104" s="7">
        <f>[3]基础状态预期!E115</f>
        <v>3</v>
      </c>
      <c r="BC104" s="7">
        <f>[3]基础状态预期!F115</f>
        <v>7</v>
      </c>
      <c r="BD104" s="7">
        <f>[3]基础状态预期!G115</f>
        <v>20</v>
      </c>
      <c r="BE104" s="7">
        <f>[3]基础状态预期!H115</f>
        <v>0</v>
      </c>
      <c r="BF104" s="7">
        <f>[3]基础状态预期!I115</f>
        <v>6.7224314465056896</v>
      </c>
      <c r="BG104" s="7">
        <f>[3]基础状态预期!J115</f>
        <v>5.1115832702190795</v>
      </c>
      <c r="BH104" s="7">
        <f>[3]基础状态预期!K115</f>
        <v>4.1708364304772836</v>
      </c>
      <c r="BI104" s="7">
        <f>[3]基础状态预期!L115</f>
        <v>0</v>
      </c>
    </row>
    <row r="105" spans="23:61">
      <c r="W105" s="21">
        <f t="shared" si="1"/>
        <v>62.999999999999993</v>
      </c>
      <c r="X105" s="21">
        <f>[2]基础状态预期!D116</f>
        <v>64.819145630244321</v>
      </c>
      <c r="Y105" s="21">
        <f>[2]基础状态预期!F116</f>
        <v>0</v>
      </c>
      <c r="Z105" s="21">
        <f>[2]基础状态预期!G116</f>
        <v>0</v>
      </c>
      <c r="AA105" s="21">
        <f>[2]基础状态预期!H116</f>
        <v>0</v>
      </c>
      <c r="AB105" s="21">
        <f>[2]基础状态预期!I116</f>
        <v>3</v>
      </c>
      <c r="AC105" s="21">
        <f>[2]基础状态预期!J116</f>
        <v>3</v>
      </c>
      <c r="AD105" s="21">
        <f>[2]基础状态预期!K116</f>
        <v>0</v>
      </c>
      <c r="AE105" s="21">
        <f>[2]基础状态预期!L116</f>
        <v>0</v>
      </c>
      <c r="AF105" s="21">
        <f>[2]基础状态预期!M116</f>
        <v>0</v>
      </c>
      <c r="AG105" s="21">
        <f>[2]基础状态预期!N116</f>
        <v>3.5629305287645163</v>
      </c>
      <c r="AH105" s="21">
        <f>[2]基础状态预期!O116</f>
        <v>0.9396509055261586</v>
      </c>
      <c r="AI105" s="7">
        <f>[2]各r阵容卡情况!G110</f>
        <v>0</v>
      </c>
      <c r="AJ105" s="7">
        <f>[2]各r阵容卡情况!H110</f>
        <v>15</v>
      </c>
      <c r="AK105" s="7">
        <f>[2]各r阵容卡情况!I110</f>
        <v>9</v>
      </c>
      <c r="AL105" s="7">
        <f>[2]各r阵容卡情况!J110</f>
        <v>0</v>
      </c>
      <c r="AM105" s="7">
        <f>[2]各r阵容卡情况!K110</f>
        <v>3</v>
      </c>
      <c r="AN105" s="7">
        <f>[2]各r阵容卡情况!L110</f>
        <v>6</v>
      </c>
      <c r="AO105" s="7">
        <f>[2]各r阵容卡情况!M110</f>
        <v>3.5629305287645163</v>
      </c>
      <c r="AP105" s="7">
        <f>[2]各r阵容卡情况!N110</f>
        <v>0.9396509055261586</v>
      </c>
      <c r="AZ105" s="7">
        <f>[3]基础状态预期!C116</f>
        <v>64.819145630244321</v>
      </c>
      <c r="BA105" s="7">
        <f>[3]基础状态预期!D116</f>
        <v>62.999999999999993</v>
      </c>
      <c r="BB105" s="7">
        <f>[3]基础状态预期!E116</f>
        <v>3</v>
      </c>
      <c r="BC105" s="7">
        <f>[3]基础状态预期!F116</f>
        <v>7</v>
      </c>
      <c r="BD105" s="7">
        <f>[3]基础状态预期!G116</f>
        <v>20</v>
      </c>
      <c r="BE105" s="7">
        <f>[3]基础状态预期!H116</f>
        <v>1</v>
      </c>
      <c r="BF105" s="7">
        <f>[3]基础状态预期!I116</f>
        <v>7</v>
      </c>
      <c r="BG105" s="7">
        <f>[3]基础状态预期!J116</f>
        <v>5.6375397420111435</v>
      </c>
      <c r="BH105" s="7">
        <f>[3]基础状态预期!K116</f>
        <v>4.6869750481292298</v>
      </c>
      <c r="BI105" s="7">
        <f>[3]基础状态预期!L116</f>
        <v>3</v>
      </c>
    </row>
    <row r="106" spans="23:61">
      <c r="W106" s="21">
        <f t="shared" si="1"/>
        <v>84</v>
      </c>
      <c r="X106" s="21">
        <f>[2]基础状态预期!D117</f>
        <v>69.01697485309198</v>
      </c>
      <c r="Y106" s="21">
        <f>[2]基础状态预期!F117</f>
        <v>0</v>
      </c>
      <c r="Z106" s="21">
        <f>[2]基础状态预期!G117</f>
        <v>0</v>
      </c>
      <c r="AA106" s="21">
        <f>[2]基础状态预期!H117</f>
        <v>0</v>
      </c>
      <c r="AB106" s="21">
        <f>[2]基础状态预期!I117</f>
        <v>2</v>
      </c>
      <c r="AC106" s="21">
        <f>[2]基础状态预期!J117</f>
        <v>4</v>
      </c>
      <c r="AD106" s="21">
        <f>[2]基础状态预期!K117</f>
        <v>0</v>
      </c>
      <c r="AE106" s="21">
        <f>[2]基础状态预期!L117</f>
        <v>0</v>
      </c>
      <c r="AF106" s="21">
        <f>[2]基础状态预期!M117</f>
        <v>0</v>
      </c>
      <c r="AG106" s="21">
        <f>[2]基础状态预期!N117</f>
        <v>3.9826716303999277</v>
      </c>
      <c r="AH106" s="21">
        <f>[2]基础状态预期!O117</f>
        <v>1.4339830589145661</v>
      </c>
      <c r="AI106" s="7">
        <f>[2]各r阵容卡情况!G111</f>
        <v>0</v>
      </c>
      <c r="AJ106" s="7">
        <f>[2]各r阵容卡情况!H111</f>
        <v>8</v>
      </c>
      <c r="AK106" s="7">
        <f>[2]各r阵容卡情况!I111</f>
        <v>16</v>
      </c>
      <c r="AL106" s="7">
        <f>[2]各r阵容卡情况!J111</f>
        <v>0</v>
      </c>
      <c r="AM106" s="7">
        <f>[2]各r阵容卡情况!K111</f>
        <v>3</v>
      </c>
      <c r="AN106" s="7">
        <f>[2]各r阵容卡情况!L111</f>
        <v>6</v>
      </c>
      <c r="AO106" s="7">
        <f>[2]各r阵容卡情况!M111</f>
        <v>3.9826716303999277</v>
      </c>
      <c r="AP106" s="7">
        <f>[2]各r阵容卡情况!N111</f>
        <v>1.4339830589145661</v>
      </c>
      <c r="AZ106" s="7">
        <f>[3]基础状态预期!C117</f>
        <v>69.01697485309198</v>
      </c>
      <c r="BA106" s="7">
        <f>[3]基础状态预期!D117</f>
        <v>84</v>
      </c>
      <c r="BB106" s="7">
        <f>[3]基础状态预期!E117</f>
        <v>3</v>
      </c>
      <c r="BC106" s="7">
        <f>[3]基础状态预期!F117</f>
        <v>7</v>
      </c>
      <c r="BD106" s="7">
        <f>[3]基础状态预期!G117</f>
        <v>20</v>
      </c>
      <c r="BE106" s="7">
        <f>[3]基础状态预期!H117</f>
        <v>2</v>
      </c>
      <c r="BF106" s="7">
        <f>[3]基础状态预期!I117</f>
        <v>7</v>
      </c>
      <c r="BG106" s="7">
        <f>[3]基础状态预期!J117</f>
        <v>6.081744865760176</v>
      </c>
      <c r="BH106" s="7">
        <f>[3]基础状态预期!K117</f>
        <v>5.0678928529218767</v>
      </c>
      <c r="BI106" s="7">
        <f>[3]基础状态预期!L117</f>
        <v>3</v>
      </c>
    </row>
    <row r="107" spans="23:61">
      <c r="W107" s="21">
        <f t="shared" si="1"/>
        <v>105</v>
      </c>
      <c r="X107" s="21">
        <f>[2]基础状态预期!D118</f>
        <v>72.23150684883845</v>
      </c>
      <c r="Y107" s="21">
        <f>[2]基础状态预期!F118</f>
        <v>0</v>
      </c>
      <c r="Z107" s="21">
        <f>[2]基础状态预期!G118</f>
        <v>0</v>
      </c>
      <c r="AA107" s="21">
        <f>[2]基础状态预期!H118</f>
        <v>0</v>
      </c>
      <c r="AB107" s="21">
        <f>[2]基础状态预期!I118</f>
        <v>1</v>
      </c>
      <c r="AC107" s="21">
        <f>[2]基础状态预期!J118</f>
        <v>5</v>
      </c>
      <c r="AD107" s="21">
        <f>[2]基础状态预期!K118</f>
        <v>0</v>
      </c>
      <c r="AE107" s="21">
        <f>[2]基础状态预期!L118</f>
        <v>0</v>
      </c>
      <c r="AF107" s="21">
        <f>[2]基础状态预期!M118</f>
        <v>0</v>
      </c>
      <c r="AG107" s="21">
        <f>[2]基础状态预期!N118</f>
        <v>4.3579049192939214</v>
      </c>
      <c r="AH107" s="21">
        <f>[2]基础状态预期!O118</f>
        <v>1.6267307878843065</v>
      </c>
      <c r="AI107" s="7">
        <f>[2]各r阵容卡情况!G112</f>
        <v>0</v>
      </c>
      <c r="AJ107" s="7">
        <f>[2]各r阵容卡情况!H112</f>
        <v>6</v>
      </c>
      <c r="AK107" s="7">
        <f>[2]各r阵容卡情况!I112</f>
        <v>18</v>
      </c>
      <c r="AL107" s="7">
        <f>[2]各r阵容卡情况!J112</f>
        <v>0</v>
      </c>
      <c r="AM107" s="7">
        <f>[2]各r阵容卡情况!K112</f>
        <v>3</v>
      </c>
      <c r="AN107" s="7">
        <f>[2]各r阵容卡情况!L112</f>
        <v>6</v>
      </c>
      <c r="AO107" s="7">
        <f>[2]各r阵容卡情况!M112</f>
        <v>4.3579049192939214</v>
      </c>
      <c r="AP107" s="7">
        <f>[2]各r阵容卡情况!N112</f>
        <v>1.6267307878843065</v>
      </c>
      <c r="AZ107" s="7">
        <f>[3]基础状态预期!C118</f>
        <v>72.23150684883845</v>
      </c>
      <c r="BA107" s="7">
        <f>[3]基础状态预期!D118</f>
        <v>105</v>
      </c>
      <c r="BB107" s="7">
        <f>[3]基础状态预期!E118</f>
        <v>3</v>
      </c>
      <c r="BC107" s="7">
        <f>[3]基础状态预期!F118</f>
        <v>7</v>
      </c>
      <c r="BD107" s="7">
        <f>[3]基础状态预期!G118</f>
        <v>20</v>
      </c>
      <c r="BE107" s="7">
        <f>[3]基础状态预期!H118</f>
        <v>5</v>
      </c>
      <c r="BF107" s="7">
        <f>[3]基础状态预期!I118</f>
        <v>7</v>
      </c>
      <c r="BG107" s="7">
        <f>[3]基础状态预期!J118</f>
        <v>6.3178336922286089</v>
      </c>
      <c r="BH107" s="7">
        <f>[3]基础状态预期!K118</f>
        <v>5.2189897018616733</v>
      </c>
      <c r="BI107" s="7">
        <f>[3]基础状态预期!L118</f>
        <v>3</v>
      </c>
    </row>
    <row r="108" spans="23:61">
      <c r="W108" s="21">
        <f t="shared" si="1"/>
        <v>125.99999999999999</v>
      </c>
      <c r="X108" s="21">
        <f>[2]基础状态预期!D119</f>
        <v>74.840792411391348</v>
      </c>
      <c r="Y108" s="21">
        <f>[2]基础状态预期!F119</f>
        <v>0</v>
      </c>
      <c r="Z108" s="21">
        <f>[2]基础状态预期!G119</f>
        <v>0</v>
      </c>
      <c r="AA108" s="21">
        <f>[2]基础状态预期!H119</f>
        <v>0</v>
      </c>
      <c r="AB108" s="21">
        <f>[2]基础状态预期!I119</f>
        <v>0.5</v>
      </c>
      <c r="AC108" s="21">
        <f>[2]基础状态预期!J119</f>
        <v>5.5</v>
      </c>
      <c r="AD108" s="21">
        <f>[2]基础状态预期!K119</f>
        <v>0</v>
      </c>
      <c r="AE108" s="21">
        <f>[2]基础状态预期!L119</f>
        <v>0</v>
      </c>
      <c r="AF108" s="21">
        <f>[2]基础状态预期!M119</f>
        <v>0</v>
      </c>
      <c r="AG108" s="21">
        <f>[2]基础状态预期!N119</f>
        <v>4.7093451729823999</v>
      </c>
      <c r="AH108" s="21">
        <f>[2]基础状态预期!O119</f>
        <v>1.9552345877188704</v>
      </c>
      <c r="AI108" s="7">
        <f>[2]各r阵容卡情况!G113</f>
        <v>0</v>
      </c>
      <c r="AJ108" s="7">
        <f>[2]各r阵容卡情况!H113</f>
        <v>4</v>
      </c>
      <c r="AK108" s="7">
        <f>[2]各r阵容卡情况!I113</f>
        <v>20</v>
      </c>
      <c r="AL108" s="7">
        <f>[2]各r阵容卡情况!J113</f>
        <v>0</v>
      </c>
      <c r="AM108" s="7">
        <f>[2]各r阵容卡情况!K113</f>
        <v>3</v>
      </c>
      <c r="AN108" s="7">
        <f>[2]各r阵容卡情况!L113</f>
        <v>6</v>
      </c>
      <c r="AO108" s="7">
        <f>[2]各r阵容卡情况!M113</f>
        <v>4.7093451729823999</v>
      </c>
      <c r="AP108" s="7">
        <f>[2]各r阵容卡情况!N113</f>
        <v>1.9552345877188704</v>
      </c>
      <c r="AZ108" s="7">
        <f>[3]基础状态预期!C119</f>
        <v>74.840792411391348</v>
      </c>
      <c r="BA108" s="7">
        <f>[3]基础状态预期!D119</f>
        <v>125.99999999999999</v>
      </c>
      <c r="BB108" s="7">
        <f>[3]基础状态预期!E119</f>
        <v>3</v>
      </c>
      <c r="BC108" s="7">
        <f>[3]基础状态预期!F119</f>
        <v>7</v>
      </c>
      <c r="BD108" s="7">
        <f>[3]基础状态预期!G119</f>
        <v>20</v>
      </c>
      <c r="BE108" s="7">
        <f>[3]基础状态预期!H119</f>
        <v>8</v>
      </c>
      <c r="BF108" s="7">
        <f>[3]基础状态预期!I119</f>
        <v>7</v>
      </c>
      <c r="BG108" s="7">
        <f>[3]基础状态预期!J119</f>
        <v>6.5431622173280024</v>
      </c>
      <c r="BH108" s="7">
        <f>[3]基础状态预期!K119</f>
        <v>5.3631999579252856</v>
      </c>
      <c r="BI108" s="7">
        <f>[3]基础状态预期!L119</f>
        <v>3</v>
      </c>
    </row>
    <row r="109" spans="23:61">
      <c r="W109" s="21">
        <f t="shared" si="1"/>
        <v>154</v>
      </c>
      <c r="X109" s="21">
        <f>[2]基础状态预期!D120</f>
        <v>77.697893604818219</v>
      </c>
      <c r="Y109" s="21">
        <f>[2]基础状态预期!F120</f>
        <v>0</v>
      </c>
      <c r="Z109" s="21">
        <f>[2]基础状态预期!G120</f>
        <v>0</v>
      </c>
      <c r="AA109" s="21">
        <f>[2]基础状态预期!H120</f>
        <v>0</v>
      </c>
      <c r="AB109" s="21">
        <f>[2]基础状态预期!I120</f>
        <v>0</v>
      </c>
      <c r="AC109" s="21">
        <f>[2]基础状态预期!J120</f>
        <v>6</v>
      </c>
      <c r="AD109" s="21">
        <f>[2]基础状态预期!K120</f>
        <v>0</v>
      </c>
      <c r="AE109" s="21">
        <f>[2]基础状态预期!L120</f>
        <v>0</v>
      </c>
      <c r="AF109" s="21">
        <f>[2]基础状态预期!M120</f>
        <v>0</v>
      </c>
      <c r="AG109" s="21">
        <f>[2]基础状态预期!N120</f>
        <v>0</v>
      </c>
      <c r="AH109" s="21">
        <f>[2]基础状态预期!O120</f>
        <v>2.3708913960133526</v>
      </c>
      <c r="AI109" s="7">
        <f>[2]各r阵容卡情况!G114</f>
        <v>0</v>
      </c>
      <c r="AJ109" s="7">
        <f>[2]各r阵容卡情况!H114</f>
        <v>4</v>
      </c>
      <c r="AK109" s="7">
        <f>[2]各r阵容卡情况!I114</f>
        <v>20</v>
      </c>
      <c r="AL109" s="7">
        <f>[2]各r阵容卡情况!J114</f>
        <v>0</v>
      </c>
      <c r="AM109" s="7">
        <f>[2]各r阵容卡情况!K114</f>
        <v>3</v>
      </c>
      <c r="AN109" s="7">
        <f>[2]各r阵容卡情况!L114</f>
        <v>6</v>
      </c>
      <c r="AO109" s="7">
        <f>[2]各r阵容卡情况!M114</f>
        <v>5.1078429616240575</v>
      </c>
      <c r="AP109" s="7">
        <f>[2]各r阵容卡情况!N114</f>
        <v>2.3708913960133526</v>
      </c>
      <c r="AZ109" s="7">
        <f>[3]基础状态预期!C120</f>
        <v>77.697893604818219</v>
      </c>
      <c r="BA109" s="7">
        <f>[3]基础状态预期!D120</f>
        <v>154</v>
      </c>
      <c r="BB109" s="7">
        <f>[3]基础状态预期!E120</f>
        <v>3</v>
      </c>
      <c r="BC109" s="7">
        <f>[3]基础状态预期!F120</f>
        <v>7</v>
      </c>
      <c r="BD109" s="7">
        <f>[3]基础状态预期!G120</f>
        <v>20</v>
      </c>
      <c r="BE109" s="7">
        <f>[3]基础状态预期!H120</f>
        <v>8</v>
      </c>
      <c r="BF109" s="7">
        <f>[3]基础状态预期!I120</f>
        <v>7</v>
      </c>
      <c r="BG109" s="7">
        <f>[3]基础状态预期!J120</f>
        <v>6.8436002507938607</v>
      </c>
      <c r="BH109" s="7">
        <f>[3]基础状态预期!K120</f>
        <v>5.5554802993434356</v>
      </c>
      <c r="BI109" s="7">
        <f>[3]基础状态预期!L120</f>
        <v>3.4092341765829128</v>
      </c>
    </row>
    <row r="110" spans="23:61">
      <c r="W110" s="21">
        <f t="shared" si="1"/>
        <v>182</v>
      </c>
      <c r="X110" s="21">
        <f>[2]基础状态预期!D121</f>
        <v>80.134867890916794</v>
      </c>
      <c r="Y110" s="21">
        <f>[2]基础状态预期!F121</f>
        <v>0</v>
      </c>
      <c r="Z110" s="21">
        <f>[2]基础状态预期!G121</f>
        <v>0</v>
      </c>
      <c r="AA110" s="21">
        <f>[2]基础状态预期!H121</f>
        <v>0</v>
      </c>
      <c r="AB110" s="21">
        <f>[2]基础状态预期!I121</f>
        <v>0</v>
      </c>
      <c r="AC110" s="21">
        <f>[2]基础状态预期!J121</f>
        <v>6</v>
      </c>
      <c r="AD110" s="21">
        <f>[2]基础状态预期!K121</f>
        <v>0</v>
      </c>
      <c r="AE110" s="21">
        <f>[2]基础状态预期!L121</f>
        <v>0</v>
      </c>
      <c r="AF110" s="21">
        <f>[2]基础状态预期!M121</f>
        <v>0</v>
      </c>
      <c r="AG110" s="21">
        <f>[2]基础状态预期!N121</f>
        <v>0</v>
      </c>
      <c r="AH110" s="21">
        <f>[2]基础状态预期!O121</f>
        <v>2.9964325797504592</v>
      </c>
      <c r="AI110" s="7">
        <f>[2]各r阵容卡情况!G115</f>
        <v>0</v>
      </c>
      <c r="AJ110" s="7">
        <f>[2]各r阵容卡情况!H115</f>
        <v>4</v>
      </c>
      <c r="AK110" s="7">
        <f>[2]各r阵容卡情况!I115</f>
        <v>20</v>
      </c>
      <c r="AL110" s="7">
        <f>[2]各r阵容卡情况!J115</f>
        <v>0</v>
      </c>
      <c r="AM110" s="7">
        <f>[2]各r阵容卡情况!K115</f>
        <v>3</v>
      </c>
      <c r="AN110" s="7">
        <f>[2]各r阵容卡情况!L115</f>
        <v>6</v>
      </c>
      <c r="AO110" s="7">
        <f>[2]各r阵容卡情况!M115</f>
        <v>5.3969808912863027</v>
      </c>
      <c r="AP110" s="7">
        <f>[2]各r阵容卡情况!N115</f>
        <v>2.9964325797504592</v>
      </c>
      <c r="AZ110" s="7">
        <f>[3]基础状态预期!C121</f>
        <v>80.134867890916794</v>
      </c>
      <c r="BA110" s="7">
        <f>[3]基础状态预期!D121</f>
        <v>182</v>
      </c>
      <c r="BB110" s="7">
        <f>[3]基础状态预期!E121</f>
        <v>3</v>
      </c>
      <c r="BC110" s="7">
        <f>[3]基础状态预期!F121</f>
        <v>7</v>
      </c>
      <c r="BD110" s="7">
        <f>[3]基础状态预期!G121</f>
        <v>20</v>
      </c>
      <c r="BE110" s="7">
        <f>[3]基础状态预期!H121</f>
        <v>8</v>
      </c>
      <c r="BF110" s="7">
        <f>[3]基础状态预期!I121</f>
        <v>7</v>
      </c>
      <c r="BG110" s="7">
        <f>[3]基础状态预期!J121</f>
        <v>7</v>
      </c>
      <c r="BH110" s="7">
        <f>[3]基础状态预期!K121</f>
        <v>5.7471187178755887</v>
      </c>
      <c r="BI110" s="7">
        <f>[3]基础状态预期!L121</f>
        <v>3.84726484751355</v>
      </c>
    </row>
    <row r="111" spans="23:61">
      <c r="W111" s="21">
        <f t="shared" si="1"/>
        <v>210</v>
      </c>
      <c r="X111" s="21">
        <f>[2]基础状态预期!D122</f>
        <v>82.238672852681816</v>
      </c>
      <c r="Y111" s="21">
        <f>[2]基础状态预期!F122</f>
        <v>0</v>
      </c>
      <c r="Z111" s="21">
        <f>[2]基础状态预期!G122</f>
        <v>0</v>
      </c>
      <c r="AA111" s="21">
        <f>[2]基础状态预期!H122</f>
        <v>0</v>
      </c>
      <c r="AB111" s="21">
        <f>[2]基础状态预期!I122</f>
        <v>0</v>
      </c>
      <c r="AC111" s="21">
        <f>[2]基础状态预期!J122</f>
        <v>6</v>
      </c>
      <c r="AD111" s="21">
        <f>[2]基础状态预期!K122</f>
        <v>0</v>
      </c>
      <c r="AE111" s="21">
        <f>[2]基础状态预期!L122</f>
        <v>0</v>
      </c>
      <c r="AF111" s="21">
        <f>[2]基础状态预期!M122</f>
        <v>0</v>
      </c>
      <c r="AG111" s="21">
        <f>[2]基础状态预期!N122</f>
        <v>0</v>
      </c>
      <c r="AH111" s="21">
        <f>[2]基础状态预期!O122</f>
        <v>3.2983565880731107</v>
      </c>
      <c r="AI111" s="7">
        <f>[2]各r阵容卡情况!G116</f>
        <v>0</v>
      </c>
      <c r="AJ111" s="7">
        <f>[2]各r阵容卡情况!H116</f>
        <v>4</v>
      </c>
      <c r="AK111" s="7">
        <f>[2]各r阵容卡情况!I116</f>
        <v>20</v>
      </c>
      <c r="AL111" s="7">
        <f>[2]各r阵容卡情况!J116</f>
        <v>0</v>
      </c>
      <c r="AM111" s="7">
        <f>[2]各r阵容卡情况!K116</f>
        <v>3</v>
      </c>
      <c r="AN111" s="7">
        <f>[2]各r阵容卡情况!L116</f>
        <v>6</v>
      </c>
      <c r="AO111" s="7">
        <f>[2]各r阵容卡情况!M116</f>
        <v>5.6774580481458017</v>
      </c>
      <c r="AP111" s="7">
        <f>[2]各r阵容卡情况!N116</f>
        <v>3.2983565880731107</v>
      </c>
      <c r="AZ111" s="7">
        <f>[3]基础状态预期!C122</f>
        <v>82.238672852681816</v>
      </c>
      <c r="BA111" s="7">
        <f>[3]基础状态预期!D122</f>
        <v>210</v>
      </c>
      <c r="BB111" s="7">
        <f>[3]基础状态预期!E122</f>
        <v>3</v>
      </c>
      <c r="BC111" s="7">
        <f>[3]基础状态预期!F122</f>
        <v>7</v>
      </c>
      <c r="BD111" s="7">
        <f>[3]基础状态预期!G122</f>
        <v>20</v>
      </c>
      <c r="BE111" s="7">
        <f>[3]基础状态预期!H122</f>
        <v>8</v>
      </c>
      <c r="BF111" s="7">
        <f>[3]基础状态预期!I122</f>
        <v>7</v>
      </c>
      <c r="BG111" s="7">
        <f>[3]基础状态预期!J122</f>
        <v>7</v>
      </c>
      <c r="BH111" s="7">
        <f>[3]基础状态预期!K122</f>
        <v>5.9304121388898032</v>
      </c>
      <c r="BI111" s="7">
        <f>[3]基础状态预期!L122</f>
        <v>4.1331106192015907</v>
      </c>
    </row>
    <row r="112" spans="23:61">
      <c r="W112" s="21">
        <f t="shared" si="1"/>
        <v>237.99999999999997</v>
      </c>
      <c r="X112" s="21">
        <f>[2]基础状态预期!D123</f>
        <v>84.043767921022209</v>
      </c>
      <c r="Y112" s="21">
        <f>[2]基础状态预期!F123</f>
        <v>0</v>
      </c>
      <c r="Z112" s="21">
        <f>[2]基础状态预期!G123</f>
        <v>0</v>
      </c>
      <c r="AA112" s="21">
        <f>[2]基础状态预期!H123</f>
        <v>0</v>
      </c>
      <c r="AB112" s="21">
        <f>[2]基础状态预期!I123</f>
        <v>0</v>
      </c>
      <c r="AC112" s="21">
        <f>[2]基础状态预期!J123</f>
        <v>6</v>
      </c>
      <c r="AD112" s="21">
        <f>[2]基础状态预期!K123</f>
        <v>0</v>
      </c>
      <c r="AE112" s="21">
        <f>[2]基础状态预期!L123</f>
        <v>0</v>
      </c>
      <c r="AF112" s="21">
        <f>[2]基础状态预期!M123</f>
        <v>0</v>
      </c>
      <c r="AG112" s="21">
        <f>[2]基础状态预期!N123</f>
        <v>0</v>
      </c>
      <c r="AH112" s="21">
        <f>[2]基础状态预期!O123</f>
        <v>3.5856210492083469</v>
      </c>
      <c r="AI112" s="7">
        <f>[2]各r阵容卡情况!G117</f>
        <v>0</v>
      </c>
      <c r="AJ112" s="7">
        <f>[2]各r阵容卡情况!H117</f>
        <v>2</v>
      </c>
      <c r="AK112" s="7">
        <f>[2]各r阵容卡情况!I117</f>
        <v>22</v>
      </c>
      <c r="AL112" s="7">
        <f>[2]各r阵容卡情况!J117</f>
        <v>0</v>
      </c>
      <c r="AM112" s="7">
        <f>[2]各r阵容卡情况!K117</f>
        <v>3</v>
      </c>
      <c r="AN112" s="7">
        <f>[2]各r阵容卡情况!L117</f>
        <v>6</v>
      </c>
      <c r="AO112" s="7">
        <f>[2]各r阵容卡情况!M117</f>
        <v>5.9491060595909167</v>
      </c>
      <c r="AP112" s="7">
        <f>[2]各r阵容卡情况!N117</f>
        <v>3.5856210492083469</v>
      </c>
      <c r="AZ112" s="7">
        <f>[3]基础状态预期!C123</f>
        <v>84.043767921022209</v>
      </c>
      <c r="BA112" s="7">
        <f>[3]基础状态预期!D123</f>
        <v>237.99999999999997</v>
      </c>
      <c r="BB112" s="7">
        <f>[3]基础状态预期!E123</f>
        <v>3</v>
      </c>
      <c r="BC112" s="7">
        <f>[3]基础状态预期!F123</f>
        <v>7</v>
      </c>
      <c r="BD112" s="7">
        <f>[3]基础状态预期!G123</f>
        <v>20</v>
      </c>
      <c r="BE112" s="7">
        <f>[3]基础状态预期!H123</f>
        <v>8</v>
      </c>
      <c r="BF112" s="7">
        <f>[3]基础状态预期!I123</f>
        <v>7</v>
      </c>
      <c r="BG112" s="7">
        <f>[3]基础状态预期!J123</f>
        <v>7</v>
      </c>
      <c r="BH112" s="7">
        <f>[3]基础状态预期!K123</f>
        <v>6.056852779952008</v>
      </c>
      <c r="BI112" s="7">
        <f>[3]基础状态预期!L123</f>
        <v>4.3425888146464064</v>
      </c>
    </row>
    <row r="113" spans="23:61">
      <c r="W113" s="21">
        <f t="shared" si="1"/>
        <v>280</v>
      </c>
      <c r="X113" s="21">
        <f>[2]基础状态预期!D124</f>
        <v>86.385105215793828</v>
      </c>
      <c r="Y113" s="21">
        <f>[2]基础状态预期!F124</f>
        <v>0</v>
      </c>
      <c r="Z113" s="21">
        <f>[2]基础状态预期!G124</f>
        <v>0</v>
      </c>
      <c r="AA113" s="21">
        <f>[2]基础状态预期!H124</f>
        <v>0</v>
      </c>
      <c r="AB113" s="21">
        <f>[2]基础状态预期!I124</f>
        <v>0</v>
      </c>
      <c r="AC113" s="21">
        <f>[2]基础状态预期!J124</f>
        <v>6</v>
      </c>
      <c r="AD113" s="21">
        <f>[2]基础状态预期!K124</f>
        <v>0</v>
      </c>
      <c r="AE113" s="21">
        <f>[2]基础状态预期!L124</f>
        <v>0</v>
      </c>
      <c r="AF113" s="21">
        <f>[2]基础状态预期!M124</f>
        <v>0</v>
      </c>
      <c r="AG113" s="21">
        <f>[2]基础状态预期!N124</f>
        <v>0</v>
      </c>
      <c r="AH113" s="21">
        <f>[2]基础状态预期!O124</f>
        <v>4.0140892726544681</v>
      </c>
      <c r="AI113" s="7">
        <f>[2]各r阵容卡情况!G118</f>
        <v>0</v>
      </c>
      <c r="AJ113" s="7">
        <f>[2]各r阵容卡情况!H118</f>
        <v>0</v>
      </c>
      <c r="AK113" s="7">
        <f>[2]各r阵容卡情况!I118</f>
        <v>24</v>
      </c>
      <c r="AL113" s="7">
        <f>[2]各r阵容卡情况!J118</f>
        <v>0</v>
      </c>
      <c r="AM113" s="7">
        <f>[2]各r阵容卡情况!K118</f>
        <v>3</v>
      </c>
      <c r="AN113" s="7">
        <f>[2]各r阵容卡情况!L118</f>
        <v>6</v>
      </c>
      <c r="AO113" s="7">
        <f>[2]各r阵容卡情况!M118</f>
        <v>6.354912841382542</v>
      </c>
      <c r="AP113" s="7">
        <f>[2]各r阵容卡情况!N118</f>
        <v>4.0140892726544681</v>
      </c>
      <c r="AZ113" s="7">
        <f>[3]基础状态预期!C124</f>
        <v>86.385105215793828</v>
      </c>
      <c r="BA113" s="7">
        <f>[3]基础状态预期!D124</f>
        <v>280</v>
      </c>
      <c r="BB113" s="7">
        <f>[3]基础状态预期!E124</f>
        <v>3</v>
      </c>
      <c r="BC113" s="7">
        <f>[3]基础状态预期!F124</f>
        <v>7</v>
      </c>
      <c r="BD113" s="7">
        <f>[3]基础状态预期!G124</f>
        <v>20</v>
      </c>
      <c r="BE113" s="7">
        <f>[3]基础状态预期!H124</f>
        <v>8</v>
      </c>
      <c r="BF113" s="7">
        <f>[3]基础状态预期!I124</f>
        <v>7</v>
      </c>
      <c r="BG113" s="7">
        <f>[3]基础状态预期!J124</f>
        <v>7</v>
      </c>
      <c r="BH113" s="7">
        <f>[3]基础状态预期!K124</f>
        <v>6.1943228457126693</v>
      </c>
      <c r="BI113" s="7">
        <f>[3]基础状态预期!L124</f>
        <v>4.6568061078136314</v>
      </c>
    </row>
    <row r="114" spans="23:61">
      <c r="W114" s="21">
        <f t="shared" si="1"/>
        <v>364</v>
      </c>
      <c r="X114" s="21">
        <f>[2]基础状态预期!D125</f>
        <v>90.406191748048585</v>
      </c>
      <c r="Y114" s="21">
        <f>[2]基础状态预期!F125</f>
        <v>0</v>
      </c>
      <c r="Z114" s="21">
        <f>[2]基础状态预期!G125</f>
        <v>0</v>
      </c>
      <c r="AA114" s="21">
        <f>[2]基础状态预期!H125</f>
        <v>0</v>
      </c>
      <c r="AB114" s="21">
        <f>[2]基础状态预期!I125</f>
        <v>0</v>
      </c>
      <c r="AC114" s="21">
        <f>[2]基础状态预期!J125</f>
        <v>6</v>
      </c>
      <c r="AD114" s="21">
        <f>[2]基础状态预期!K125</f>
        <v>0</v>
      </c>
      <c r="AE114" s="21">
        <f>[2]基础状态预期!L125</f>
        <v>0</v>
      </c>
      <c r="AF114" s="21">
        <f>[2]基础状态预期!M125</f>
        <v>0</v>
      </c>
      <c r="AG114" s="21">
        <f>[2]基础状态预期!N125</f>
        <v>0</v>
      </c>
      <c r="AH114" s="21">
        <f>[2]基础状态预期!O125</f>
        <v>4.832804185111744</v>
      </c>
      <c r="AI114" s="7">
        <f>[2]各r阵容卡情况!G119</f>
        <v>0</v>
      </c>
      <c r="AJ114" s="7">
        <f>[2]各r阵容卡情况!H119</f>
        <v>0</v>
      </c>
      <c r="AK114" s="7">
        <f>[2]各r阵容卡情况!I119</f>
        <v>24</v>
      </c>
      <c r="AL114" s="7">
        <f>[2]各r阵容卡情况!J119</f>
        <v>0</v>
      </c>
      <c r="AM114" s="7">
        <f>[2]各r阵容卡情况!K119</f>
        <v>3</v>
      </c>
      <c r="AN114" s="7">
        <f>[2]各r阵容卡情况!L119</f>
        <v>6</v>
      </c>
      <c r="AO114" s="7">
        <f>[2]各r阵容卡情况!M119</f>
        <v>7.1052380145863641</v>
      </c>
      <c r="AP114" s="7">
        <f>[2]各r阵容卡情况!N119</f>
        <v>4.832804185111744</v>
      </c>
      <c r="AZ114" s="7">
        <f>[3]基础状态预期!C125</f>
        <v>90.406191748048585</v>
      </c>
      <c r="BA114" s="7">
        <f>[3]基础状态预期!D125</f>
        <v>364</v>
      </c>
      <c r="BB114" s="7">
        <f>[3]基础状态预期!E125</f>
        <v>3</v>
      </c>
      <c r="BC114" s="7">
        <f>[3]基础状态预期!F125</f>
        <v>7</v>
      </c>
      <c r="BD114" s="7">
        <f>[3]基础状态预期!G125</f>
        <v>20</v>
      </c>
      <c r="BE114" s="7">
        <f>[3]基础状态预期!H125</f>
        <v>8</v>
      </c>
      <c r="BF114" s="7">
        <f>[3]基础状态预期!I125</f>
        <v>7</v>
      </c>
      <c r="BG114" s="7">
        <f>[3]基础状态预期!J125</f>
        <v>7</v>
      </c>
      <c r="BH114" s="7">
        <f>[3]基础状态预期!K125</f>
        <v>6.4683122041537446</v>
      </c>
      <c r="BI114" s="7">
        <f>[3]基础状态预期!L125</f>
        <v>5.1415337492680457</v>
      </c>
    </row>
    <row r="115" spans="23:61">
      <c r="W115" s="21">
        <f t="shared" si="1"/>
        <v>448</v>
      </c>
      <c r="X115" s="21">
        <f>[2]基础状态预期!D126</f>
        <v>93.471491811086082</v>
      </c>
      <c r="Y115" s="21">
        <f>[2]基础状态预期!F126</f>
        <v>0</v>
      </c>
      <c r="Z115" s="21">
        <f>[2]基础状态预期!G126</f>
        <v>0</v>
      </c>
      <c r="AA115" s="21">
        <f>[2]基础状态预期!H126</f>
        <v>0</v>
      </c>
      <c r="AB115" s="21">
        <f>[2]基础状态预期!I126</f>
        <v>0</v>
      </c>
      <c r="AC115" s="21">
        <f>[2]基础状态预期!J126</f>
        <v>6</v>
      </c>
      <c r="AD115" s="21">
        <f>[2]基础状态预期!K126</f>
        <v>0</v>
      </c>
      <c r="AE115" s="21">
        <f>[2]基础状态预期!L126</f>
        <v>0</v>
      </c>
      <c r="AF115" s="21">
        <f>[2]基础状态预期!M126</f>
        <v>0</v>
      </c>
      <c r="AG115" s="21">
        <f>[2]基础状态预期!N126</f>
        <v>0</v>
      </c>
      <c r="AH115" s="21">
        <f>[2]基础状态预期!O126</f>
        <v>5.4054509817285021</v>
      </c>
      <c r="AI115" s="7">
        <f>[2]各r阵容卡情况!G120</f>
        <v>0</v>
      </c>
      <c r="AJ115" s="7">
        <f>[2]各r阵容卡情况!H120</f>
        <v>0</v>
      </c>
      <c r="AK115" s="7">
        <f>[2]各r阵容卡情况!I120</f>
        <v>24</v>
      </c>
      <c r="AL115" s="7">
        <f>[2]各r阵容卡情况!J120</f>
        <v>0</v>
      </c>
      <c r="AM115" s="7">
        <f>[2]各r阵容卡情况!K120</f>
        <v>3</v>
      </c>
      <c r="AN115" s="7">
        <f>[2]各r阵容卡情况!L120</f>
        <v>6</v>
      </c>
      <c r="AO115" s="7">
        <f>[2]各r阵容卡情况!M120</f>
        <v>7.6720009052908829</v>
      </c>
      <c r="AP115" s="7">
        <f>[2]各r阵容卡情况!N120</f>
        <v>5.4054509817285021</v>
      </c>
      <c r="AZ115" s="7">
        <f>[3]基础状态预期!C126</f>
        <v>93.471491811086082</v>
      </c>
      <c r="BA115" s="7">
        <f>[3]基础状态预期!D126</f>
        <v>448</v>
      </c>
      <c r="BB115" s="7">
        <f>[3]基础状态预期!E126</f>
        <v>3</v>
      </c>
      <c r="BC115" s="7">
        <f>[3]基础状态预期!F126</f>
        <v>7</v>
      </c>
      <c r="BD115" s="7">
        <f>[3]基础状态预期!G126</f>
        <v>20</v>
      </c>
      <c r="BE115" s="7">
        <f>[3]基础状态预期!H126</f>
        <v>8</v>
      </c>
      <c r="BF115" s="7">
        <f>[3]基础状态预期!I126</f>
        <v>7</v>
      </c>
      <c r="BG115" s="7">
        <f>[3]基础状态预期!J126</f>
        <v>7</v>
      </c>
      <c r="BH115" s="7">
        <f>[3]基础状态预期!K126</f>
        <v>6.7330321953662917</v>
      </c>
      <c r="BI115" s="7">
        <f>[3]基础状态预期!L126</f>
        <v>5.444070882082384</v>
      </c>
    </row>
    <row r="116" spans="23:61">
      <c r="W116" s="21">
        <f t="shared" si="1"/>
        <v>574</v>
      </c>
      <c r="X116" s="21">
        <f>[2]基础状态预期!D127</f>
        <v>97.107381566993553</v>
      </c>
      <c r="Y116" s="21">
        <f>[2]基础状态预期!F127</f>
        <v>0</v>
      </c>
      <c r="Z116" s="21">
        <f>[2]基础状态预期!G127</f>
        <v>0</v>
      </c>
      <c r="AA116" s="21">
        <f>[2]基础状态预期!H127</f>
        <v>0</v>
      </c>
      <c r="AB116" s="21">
        <f>[2]基础状态预期!I127</f>
        <v>0</v>
      </c>
      <c r="AC116" s="21">
        <f>[2]基础状态预期!J127</f>
        <v>6</v>
      </c>
      <c r="AD116" s="21">
        <f>[2]基础状态预期!K127</f>
        <v>0</v>
      </c>
      <c r="AE116" s="21">
        <f>[2]基础状态预期!L127</f>
        <v>0</v>
      </c>
      <c r="AF116" s="21">
        <f>[2]基础状态预期!M127</f>
        <v>0</v>
      </c>
      <c r="AG116" s="21">
        <f>[2]基础状态预期!N127</f>
        <v>0</v>
      </c>
      <c r="AH116" s="21">
        <f>[2]基础状态预期!O127</f>
        <v>6.1465860183787742</v>
      </c>
      <c r="AI116" s="7">
        <f>[2]各r阵容卡情况!G121</f>
        <v>0</v>
      </c>
      <c r="AJ116" s="7">
        <f>[2]各r阵容卡情况!H121</f>
        <v>0</v>
      </c>
      <c r="AK116" s="7">
        <f>[2]各r阵容卡情况!I121</f>
        <v>24</v>
      </c>
      <c r="AL116" s="7">
        <f>[2]各r阵容卡情况!J121</f>
        <v>0</v>
      </c>
      <c r="AM116" s="7">
        <f>[2]各r阵容卡情况!K121</f>
        <v>3</v>
      </c>
      <c r="AN116" s="7">
        <f>[2]各r阵容卡情况!L121</f>
        <v>6</v>
      </c>
      <c r="AO116" s="7">
        <f>[2]各r阵容卡情况!M121</f>
        <v>8</v>
      </c>
      <c r="AP116" s="7">
        <f>[2]各r阵容卡情况!N121</f>
        <v>6.1465860183787742</v>
      </c>
      <c r="AZ116" s="7">
        <f>[3]基础状态预期!C127</f>
        <v>97.107381566993553</v>
      </c>
      <c r="BA116" s="7">
        <f>[3]基础状态预期!D127</f>
        <v>574</v>
      </c>
      <c r="BB116" s="7">
        <f>[3]基础状态预期!E127</f>
        <v>3</v>
      </c>
      <c r="BC116" s="7">
        <f>[3]基础状态预期!F127</f>
        <v>7</v>
      </c>
      <c r="BD116" s="7">
        <f>[3]基础状态预期!G127</f>
        <v>20</v>
      </c>
      <c r="BE116" s="7">
        <f>[3]基础状态预期!H127</f>
        <v>8</v>
      </c>
      <c r="BF116" s="7">
        <f>[3]基础状态预期!I127</f>
        <v>7</v>
      </c>
      <c r="BG116" s="7">
        <f>[3]基础状态预期!J127</f>
        <v>7</v>
      </c>
      <c r="BH116" s="7">
        <f>[3]基础状态预期!K127</f>
        <v>7</v>
      </c>
      <c r="BI116" s="7">
        <f>[3]基础状态预期!L127</f>
        <v>5.897117145378461</v>
      </c>
    </row>
    <row r="117" spans="23:61">
      <c r="W117" s="21">
        <f t="shared" si="1"/>
        <v>742</v>
      </c>
      <c r="X117" s="21">
        <f>[2]基础状态预期!D128</f>
        <v>100.71243145193914</v>
      </c>
      <c r="Y117" s="21">
        <f>[2]基础状态预期!F128</f>
        <v>0</v>
      </c>
      <c r="Z117" s="21">
        <f>[2]基础状态预期!G128</f>
        <v>0</v>
      </c>
      <c r="AA117" s="21">
        <f>[2]基础状态预期!H128</f>
        <v>0</v>
      </c>
      <c r="AB117" s="21">
        <f>[2]基础状态预期!I128</f>
        <v>0</v>
      </c>
      <c r="AC117" s="21">
        <f>[2]基础状态预期!J128</f>
        <v>6</v>
      </c>
      <c r="AD117" s="21">
        <f>[2]基础状态预期!K128</f>
        <v>0</v>
      </c>
      <c r="AE117" s="21">
        <f>[2]基础状态预期!L128</f>
        <v>0</v>
      </c>
      <c r="AF117" s="21">
        <f>[2]基础状态预期!M128</f>
        <v>0</v>
      </c>
      <c r="AG117" s="21">
        <f>[2]基础状态预期!N128</f>
        <v>0</v>
      </c>
      <c r="AH117" s="21">
        <f>[2]基础状态预期!O128</f>
        <v>7.0649254828466006</v>
      </c>
      <c r="AI117" s="7">
        <f>[2]各r阵容卡情况!G122</f>
        <v>0</v>
      </c>
      <c r="AJ117" s="7">
        <f>[2]各r阵容卡情况!H122</f>
        <v>0</v>
      </c>
      <c r="AK117" s="7">
        <f>[2]各r阵容卡情况!I122</f>
        <v>24</v>
      </c>
      <c r="AL117" s="7">
        <f>[2]各r阵容卡情况!J122</f>
        <v>0</v>
      </c>
      <c r="AM117" s="7">
        <f>[2]各r阵容卡情况!K122</f>
        <v>3</v>
      </c>
      <c r="AN117" s="7">
        <f>[2]各r阵容卡情况!L122</f>
        <v>6</v>
      </c>
      <c r="AO117" s="7">
        <f>[2]各r阵容卡情况!M122</f>
        <v>8</v>
      </c>
      <c r="AP117" s="7">
        <f>[2]各r阵容卡情况!N122</f>
        <v>7.0649254828466006</v>
      </c>
      <c r="AZ117" s="7">
        <f>[3]基础状态预期!C128</f>
        <v>100.71243145193914</v>
      </c>
      <c r="BA117" s="7">
        <f>[3]基础状态预期!D128</f>
        <v>742</v>
      </c>
      <c r="BB117" s="7">
        <f>[3]基础状态预期!E128</f>
        <v>3</v>
      </c>
      <c r="BC117" s="7">
        <f>[3]基础状态预期!F128</f>
        <v>7</v>
      </c>
      <c r="BD117" s="7">
        <f>[3]基础状态预期!G128</f>
        <v>20</v>
      </c>
      <c r="BE117" s="7">
        <f>[3]基础状态预期!H128</f>
        <v>8</v>
      </c>
      <c r="BF117" s="7">
        <f>[3]基础状态预期!I128</f>
        <v>7</v>
      </c>
      <c r="BG117" s="7">
        <f>[3]基础状态预期!J128</f>
        <v>7</v>
      </c>
      <c r="BH117" s="7">
        <f>[3]基础状态预期!K128</f>
        <v>7</v>
      </c>
      <c r="BI117" s="7">
        <f>[3]基础状态预期!L128</f>
        <v>6.2491566941586667</v>
      </c>
    </row>
    <row r="118" spans="23:61">
      <c r="W118" s="21">
        <f t="shared" si="1"/>
        <v>951.99999999999989</v>
      </c>
      <c r="X118" s="21">
        <f>[2]基础状态预期!D129</f>
        <v>104.39233713204413</v>
      </c>
      <c r="Y118" s="21">
        <f>[2]基础状态预期!F129</f>
        <v>0</v>
      </c>
      <c r="Z118" s="21">
        <f>[2]基础状态预期!G129</f>
        <v>0</v>
      </c>
      <c r="AA118" s="21">
        <f>[2]基础状态预期!H129</f>
        <v>0</v>
      </c>
      <c r="AB118" s="21">
        <f>[2]基础状态预期!I129</f>
        <v>0</v>
      </c>
      <c r="AC118" s="21">
        <f>[2]基础状态预期!J129</f>
        <v>6</v>
      </c>
      <c r="AD118" s="21">
        <f>[2]基础状态预期!K129</f>
        <v>0</v>
      </c>
      <c r="AE118" s="21">
        <f>[2]基础状态预期!L129</f>
        <v>0</v>
      </c>
      <c r="AF118" s="21">
        <f>[2]基础状态预期!M129</f>
        <v>0</v>
      </c>
      <c r="AG118" s="21">
        <f>[2]基础状态预期!N129</f>
        <v>0</v>
      </c>
      <c r="AH118" s="21">
        <f>[2]基础状态预期!O129</f>
        <v>7.8958415706924541</v>
      </c>
      <c r="AI118" s="7">
        <f>[2]各r阵容卡情况!G123</f>
        <v>0</v>
      </c>
      <c r="AJ118" s="7">
        <f>[2]各r阵容卡情况!H123</f>
        <v>0</v>
      </c>
      <c r="AK118" s="7">
        <f>[2]各r阵容卡情况!I123</f>
        <v>24</v>
      </c>
      <c r="AL118" s="7">
        <f>[2]各r阵容卡情况!J123</f>
        <v>0</v>
      </c>
      <c r="AM118" s="7">
        <f>[2]各r阵容卡情况!K123</f>
        <v>3</v>
      </c>
      <c r="AN118" s="7">
        <f>[2]各r阵容卡情况!L123</f>
        <v>6</v>
      </c>
      <c r="AO118" s="7">
        <f>[2]各r阵容卡情况!M123</f>
        <v>8</v>
      </c>
      <c r="AP118" s="7">
        <f>[2]各r阵容卡情况!N123</f>
        <v>7.8958415706924541</v>
      </c>
      <c r="AZ118" s="7">
        <f>[3]基础状态预期!C129</f>
        <v>104.39233713204413</v>
      </c>
      <c r="BA118" s="7">
        <f>[3]基础状态预期!D129</f>
        <v>951.99999999999989</v>
      </c>
      <c r="BB118" s="7">
        <f>[3]基础状态预期!E129</f>
        <v>3</v>
      </c>
      <c r="BC118" s="7">
        <f>[3]基础状态预期!F129</f>
        <v>7</v>
      </c>
      <c r="BD118" s="7">
        <f>[3]基础状态预期!G129</f>
        <v>20</v>
      </c>
      <c r="BE118" s="7">
        <f>[3]基础状态预期!H129</f>
        <v>8</v>
      </c>
      <c r="BF118" s="7">
        <f>[3]基础状态预期!I129</f>
        <v>7</v>
      </c>
      <c r="BG118" s="7">
        <f>[3]基础状态预期!J129</f>
        <v>7</v>
      </c>
      <c r="BH118" s="7">
        <f>[3]基础状态预期!K129</f>
        <v>7</v>
      </c>
      <c r="BI118" s="7">
        <f>[3]基础状态预期!L129</f>
        <v>6.6152585529957904</v>
      </c>
    </row>
    <row r="119" spans="23:61">
      <c r="W119" s="21">
        <f t="shared" si="1"/>
        <v>1204</v>
      </c>
      <c r="X119" s="21">
        <f>[2]基础状态预期!D130</f>
        <v>107.81562240612369</v>
      </c>
      <c r="Y119" s="21">
        <f>[2]基础状态预期!F130</f>
        <v>0</v>
      </c>
      <c r="Z119" s="21">
        <f>[2]基础状态预期!G130</f>
        <v>0</v>
      </c>
      <c r="AA119" s="21">
        <f>[2]基础状态预期!H130</f>
        <v>0</v>
      </c>
      <c r="AB119" s="21">
        <f>[2]基础状态预期!I130</f>
        <v>0</v>
      </c>
      <c r="AC119" s="21">
        <f>[2]基础状态预期!J130</f>
        <v>6</v>
      </c>
      <c r="AD119" s="21">
        <f>[2]基础状态预期!K130</f>
        <v>0</v>
      </c>
      <c r="AE119" s="21">
        <f>[2]基础状态预期!L130</f>
        <v>0</v>
      </c>
      <c r="AF119" s="21">
        <f>[2]基础状态预期!M130</f>
        <v>0</v>
      </c>
      <c r="AG119" s="21">
        <f>[2]基础状态预期!N130</f>
        <v>0</v>
      </c>
      <c r="AH119" s="21">
        <f>[2]基础状态预期!O130</f>
        <v>8</v>
      </c>
      <c r="AI119" s="7">
        <f>[2]各r阵容卡情况!G124</f>
        <v>0</v>
      </c>
      <c r="AJ119" s="7">
        <f>[2]各r阵容卡情况!H124</f>
        <v>0</v>
      </c>
      <c r="AK119" s="7">
        <f>[2]各r阵容卡情况!I124</f>
        <v>24</v>
      </c>
      <c r="AL119" s="7">
        <f>[2]各r阵容卡情况!J124</f>
        <v>0</v>
      </c>
      <c r="AM119" s="7">
        <f>[2]各r阵容卡情况!K124</f>
        <v>3</v>
      </c>
      <c r="AN119" s="7">
        <f>[2]各r阵容卡情况!L124</f>
        <v>6</v>
      </c>
      <c r="AO119" s="7">
        <f>[2]各r阵容卡情况!M124</f>
        <v>8</v>
      </c>
      <c r="AP119" s="7">
        <f>[2]各r阵容卡情况!N124</f>
        <v>8</v>
      </c>
      <c r="AZ119" s="7">
        <f>[3]基础状态预期!C130</f>
        <v>107.81562240612369</v>
      </c>
      <c r="BA119" s="7">
        <f>[3]基础状态预期!D130</f>
        <v>1204</v>
      </c>
      <c r="BB119" s="7">
        <f>[3]基础状态预期!E130</f>
        <v>3</v>
      </c>
      <c r="BC119" s="7">
        <f>[3]基础状态预期!F130</f>
        <v>7</v>
      </c>
      <c r="BD119" s="7">
        <f>[3]基础状态预期!G130</f>
        <v>20</v>
      </c>
      <c r="BE119" s="7">
        <f>[3]基础状态预期!H130</f>
        <v>8</v>
      </c>
      <c r="BF119" s="7">
        <f>[3]基础状态预期!I130</f>
        <v>7</v>
      </c>
      <c r="BG119" s="7">
        <f>[3]基础状态预期!J130</f>
        <v>7</v>
      </c>
      <c r="BH119" s="7">
        <f>[3]基础状态预期!K130</f>
        <v>7</v>
      </c>
      <c r="BI119" s="7">
        <f>[3]基础状态预期!L130</f>
        <v>7</v>
      </c>
    </row>
    <row r="120" spans="23:61">
      <c r="W120" s="21">
        <f t="shared" si="1"/>
        <v>1540</v>
      </c>
      <c r="X120" s="21">
        <f>[2]基础状态预期!D131</f>
        <v>111.36292001894914</v>
      </c>
      <c r="Y120" s="21">
        <f>[2]基础状态预期!F131</f>
        <v>0</v>
      </c>
      <c r="Z120" s="21">
        <f>[2]基础状态预期!G131</f>
        <v>0</v>
      </c>
      <c r="AA120" s="21">
        <f>[2]基础状态预期!H131</f>
        <v>0</v>
      </c>
      <c r="AB120" s="21">
        <f>[2]基础状态预期!I131</f>
        <v>0</v>
      </c>
      <c r="AC120" s="21">
        <f>[2]基础状态预期!J131</f>
        <v>6</v>
      </c>
      <c r="AD120" s="21">
        <f>[2]基础状态预期!K131</f>
        <v>0</v>
      </c>
      <c r="AE120" s="21">
        <f>[2]基础状态预期!L131</f>
        <v>0</v>
      </c>
      <c r="AF120" s="21">
        <f>[2]基础状态预期!M131</f>
        <v>0</v>
      </c>
      <c r="AG120" s="21">
        <f>[2]基础状态预期!N131</f>
        <v>0</v>
      </c>
      <c r="AH120" s="21">
        <f>[2]基础状态预期!O131</f>
        <v>8</v>
      </c>
      <c r="AI120" s="7">
        <f>[2]各r阵容卡情况!G125</f>
        <v>0</v>
      </c>
      <c r="AJ120" s="7">
        <f>[2]各r阵容卡情况!H125</f>
        <v>0</v>
      </c>
      <c r="AK120" s="7">
        <f>[2]各r阵容卡情况!I125</f>
        <v>24</v>
      </c>
      <c r="AL120" s="7">
        <f>[2]各r阵容卡情况!J125</f>
        <v>0</v>
      </c>
      <c r="AM120" s="7">
        <f>[2]各r阵容卡情况!K125</f>
        <v>3</v>
      </c>
      <c r="AN120" s="7">
        <f>[2]各r阵容卡情况!L125</f>
        <v>6</v>
      </c>
      <c r="AO120" s="7">
        <f>[2]各r阵容卡情况!M125</f>
        <v>8</v>
      </c>
      <c r="AP120" s="7">
        <f>[2]各r阵容卡情况!N125</f>
        <v>8</v>
      </c>
      <c r="AZ120" s="7">
        <f>[3]基础状态预期!C131</f>
        <v>111.36292001894914</v>
      </c>
      <c r="BA120" s="7">
        <f>[3]基础状态预期!D131</f>
        <v>1540</v>
      </c>
      <c r="BB120" s="7">
        <f>[3]基础状态预期!E131</f>
        <v>3</v>
      </c>
      <c r="BC120" s="7">
        <f>[3]基础状态预期!F131</f>
        <v>7</v>
      </c>
      <c r="BD120" s="7">
        <f>[3]基础状态预期!G131</f>
        <v>20</v>
      </c>
      <c r="BE120" s="7">
        <f>[3]基础状态预期!H131</f>
        <v>8</v>
      </c>
      <c r="BF120" s="7">
        <f>[3]基础状态预期!I131</f>
        <v>7</v>
      </c>
      <c r="BG120" s="7">
        <f>[3]基础状态预期!J131</f>
        <v>7</v>
      </c>
      <c r="BH120" s="7">
        <f>[3]基础状态预期!K131</f>
        <v>7</v>
      </c>
      <c r="BI120" s="7">
        <f>[3]基础状态预期!L131</f>
        <v>7</v>
      </c>
    </row>
    <row r="121" spans="23:61">
      <c r="W121" s="21">
        <f t="shared" si="1"/>
        <v>1959.9999999999998</v>
      </c>
      <c r="X121" s="21">
        <f>[2]基础状态预期!D132</f>
        <v>114.91934497223426</v>
      </c>
      <c r="Y121" s="21">
        <f>[2]基础状态预期!F132</f>
        <v>0</v>
      </c>
      <c r="Z121" s="21">
        <f>[2]基础状态预期!G132</f>
        <v>0</v>
      </c>
      <c r="AA121" s="21">
        <f>[2]基础状态预期!H132</f>
        <v>0</v>
      </c>
      <c r="AB121" s="21">
        <f>[2]基础状态预期!I132</f>
        <v>0</v>
      </c>
      <c r="AC121" s="21">
        <f>[2]基础状态预期!J132</f>
        <v>6</v>
      </c>
      <c r="AD121" s="21">
        <f>[2]基础状态预期!K132</f>
        <v>0</v>
      </c>
      <c r="AE121" s="21">
        <f>[2]基础状态预期!L132</f>
        <v>0</v>
      </c>
      <c r="AF121" s="21">
        <f>[2]基础状态预期!M132</f>
        <v>0</v>
      </c>
      <c r="AG121" s="21">
        <f>[2]基础状态预期!N132</f>
        <v>0</v>
      </c>
      <c r="AH121" s="21">
        <f>[2]基础状态预期!O132</f>
        <v>8</v>
      </c>
      <c r="AI121" s="7">
        <f>[2]各r阵容卡情况!G126</f>
        <v>0</v>
      </c>
      <c r="AJ121" s="7">
        <f>[2]各r阵容卡情况!H126</f>
        <v>0</v>
      </c>
      <c r="AK121" s="7">
        <f>[2]各r阵容卡情况!I126</f>
        <v>24</v>
      </c>
      <c r="AL121" s="7">
        <f>[2]各r阵容卡情况!J126</f>
        <v>0</v>
      </c>
      <c r="AM121" s="7">
        <f>[2]各r阵容卡情况!K126</f>
        <v>3</v>
      </c>
      <c r="AN121" s="7">
        <f>[2]各r阵容卡情况!L126</f>
        <v>6</v>
      </c>
      <c r="AO121" s="7">
        <f>[2]各r阵容卡情况!M126</f>
        <v>8</v>
      </c>
      <c r="AP121" s="7">
        <f>[2]各r阵容卡情况!N126</f>
        <v>8</v>
      </c>
      <c r="AZ121" s="7">
        <f>[3]基础状态预期!C132</f>
        <v>114.91934497223426</v>
      </c>
      <c r="BA121" s="7">
        <f>[3]基础状态预期!D132</f>
        <v>1959.9999999999998</v>
      </c>
      <c r="BB121" s="7">
        <f>[3]基础状态预期!E132</f>
        <v>3</v>
      </c>
      <c r="BC121" s="7">
        <f>[3]基础状态预期!F132</f>
        <v>7</v>
      </c>
      <c r="BD121" s="7">
        <f>[3]基础状态预期!G132</f>
        <v>20</v>
      </c>
      <c r="BE121" s="7">
        <f>[3]基础状态预期!H132</f>
        <v>8</v>
      </c>
      <c r="BF121" s="7">
        <f>[3]基础状态预期!I132</f>
        <v>7</v>
      </c>
      <c r="BG121" s="7">
        <f>[3]基础状态预期!J132</f>
        <v>7</v>
      </c>
      <c r="BH121" s="7">
        <f>[3]基础状态预期!K132</f>
        <v>7</v>
      </c>
      <c r="BI121" s="7">
        <f>[3]基础状态预期!L132</f>
        <v>7</v>
      </c>
    </row>
    <row r="122" spans="23:61">
      <c r="W122" s="21">
        <f t="shared" si="1"/>
        <v>2506</v>
      </c>
      <c r="X122" s="21">
        <f>[2]基础状态预期!D133</f>
        <v>118.44741987029688</v>
      </c>
      <c r="Y122" s="21">
        <f>[2]基础状态预期!F133</f>
        <v>0</v>
      </c>
      <c r="Z122" s="21">
        <f>[2]基础状态预期!G133</f>
        <v>0</v>
      </c>
      <c r="AA122" s="21">
        <f>[2]基础状态预期!H133</f>
        <v>0</v>
      </c>
      <c r="AB122" s="21">
        <f>[2]基础状态预期!I133</f>
        <v>0</v>
      </c>
      <c r="AC122" s="21">
        <f>[2]基础状态预期!J133</f>
        <v>6</v>
      </c>
      <c r="AD122" s="21">
        <f>[2]基础状态预期!K133</f>
        <v>0</v>
      </c>
      <c r="AE122" s="21">
        <f>[2]基础状态预期!L133</f>
        <v>0</v>
      </c>
      <c r="AF122" s="21">
        <f>[2]基础状态预期!M133</f>
        <v>0</v>
      </c>
      <c r="AG122" s="21">
        <f>[2]基础状态预期!N133</f>
        <v>0</v>
      </c>
      <c r="AH122" s="21">
        <f>[2]基础状态预期!O133</f>
        <v>8</v>
      </c>
      <c r="AI122" s="7">
        <f>[2]各r阵容卡情况!G127</f>
        <v>0</v>
      </c>
      <c r="AJ122" s="7">
        <f>[2]各r阵容卡情况!H127</f>
        <v>0</v>
      </c>
      <c r="AK122" s="7">
        <f>[2]各r阵容卡情况!I127</f>
        <v>24</v>
      </c>
      <c r="AL122" s="7">
        <f>[2]各r阵容卡情况!J127</f>
        <v>0</v>
      </c>
      <c r="AM122" s="7">
        <f>[2]各r阵容卡情况!K127</f>
        <v>3</v>
      </c>
      <c r="AN122" s="7">
        <f>[2]各r阵容卡情况!L127</f>
        <v>6</v>
      </c>
      <c r="AO122" s="7">
        <f>[2]各r阵容卡情况!M127</f>
        <v>8</v>
      </c>
      <c r="AP122" s="7">
        <f>[2]各r阵容卡情况!N127</f>
        <v>8</v>
      </c>
      <c r="AZ122" s="7">
        <f>[3]基础状态预期!C133</f>
        <v>118.44741987029688</v>
      </c>
      <c r="BA122" s="7">
        <f>[3]基础状态预期!D133</f>
        <v>2506</v>
      </c>
      <c r="BB122" s="7">
        <f>[3]基础状态预期!E133</f>
        <v>3</v>
      </c>
      <c r="BC122" s="7">
        <f>[3]基础状态预期!F133</f>
        <v>7</v>
      </c>
      <c r="BD122" s="7">
        <f>[3]基础状态预期!G133</f>
        <v>20</v>
      </c>
      <c r="BE122" s="7">
        <f>[3]基础状态预期!H133</f>
        <v>8</v>
      </c>
      <c r="BF122" s="7">
        <f>[3]基础状态预期!I133</f>
        <v>7</v>
      </c>
      <c r="BG122" s="7">
        <f>[3]基础状态预期!J133</f>
        <v>7</v>
      </c>
      <c r="BH122" s="7">
        <f>[3]基础状态预期!K133</f>
        <v>7</v>
      </c>
      <c r="BI122" s="7">
        <f>[3]基础状态预期!L133</f>
        <v>7</v>
      </c>
    </row>
    <row r="123" spans="23:61">
      <c r="W123" s="21">
        <f t="shared" si="1"/>
        <v>3178</v>
      </c>
      <c r="X123" s="21">
        <f>[2]基础状态预期!D134</f>
        <v>121.97211685892326</v>
      </c>
      <c r="Y123" s="21">
        <f>[2]基础状态预期!F134</f>
        <v>0</v>
      </c>
      <c r="Z123" s="21">
        <f>[2]基础状态预期!G134</f>
        <v>0</v>
      </c>
      <c r="AA123" s="21">
        <f>[2]基础状态预期!H134</f>
        <v>0</v>
      </c>
      <c r="AB123" s="21">
        <f>[2]基础状态预期!I134</f>
        <v>0</v>
      </c>
      <c r="AC123" s="21">
        <f>[2]基础状态预期!J134</f>
        <v>6</v>
      </c>
      <c r="AD123" s="21">
        <f>[2]基础状态预期!K134</f>
        <v>0</v>
      </c>
      <c r="AE123" s="21">
        <f>[2]基础状态预期!L134</f>
        <v>0</v>
      </c>
      <c r="AF123" s="21">
        <f>[2]基础状态预期!M134</f>
        <v>0</v>
      </c>
      <c r="AG123" s="21">
        <f>[2]基础状态预期!N134</f>
        <v>0</v>
      </c>
      <c r="AH123" s="21">
        <f>[2]基础状态预期!O134</f>
        <v>8</v>
      </c>
      <c r="AI123" s="7">
        <f>[2]各r阵容卡情况!G128</f>
        <v>0</v>
      </c>
      <c r="AJ123" s="7">
        <f>[2]各r阵容卡情况!H128</f>
        <v>0</v>
      </c>
      <c r="AK123" s="7">
        <f>[2]各r阵容卡情况!I128</f>
        <v>24</v>
      </c>
      <c r="AL123" s="7">
        <f>[2]各r阵容卡情况!J128</f>
        <v>0</v>
      </c>
      <c r="AM123" s="7">
        <f>[2]各r阵容卡情况!K128</f>
        <v>3</v>
      </c>
      <c r="AN123" s="7">
        <f>[2]各r阵容卡情况!L128</f>
        <v>6</v>
      </c>
      <c r="AO123" s="7">
        <f>[2]各r阵容卡情况!M128</f>
        <v>8</v>
      </c>
      <c r="AP123" s="7">
        <f>[2]各r阵容卡情况!N128</f>
        <v>8</v>
      </c>
      <c r="AZ123" s="7">
        <f>[3]基础状态预期!C134</f>
        <v>121.97211685892326</v>
      </c>
      <c r="BA123" s="7">
        <f>[3]基础状态预期!D134</f>
        <v>3178</v>
      </c>
      <c r="BB123" s="7">
        <f>[3]基础状态预期!E134</f>
        <v>3</v>
      </c>
      <c r="BC123" s="7">
        <f>[3]基础状态预期!F134</f>
        <v>7</v>
      </c>
      <c r="BD123" s="7">
        <f>[3]基础状态预期!G134</f>
        <v>20</v>
      </c>
      <c r="BE123" s="7">
        <f>[3]基础状态预期!H134</f>
        <v>8</v>
      </c>
      <c r="BF123" s="7">
        <f>[3]基础状态预期!I134</f>
        <v>7</v>
      </c>
      <c r="BG123" s="7">
        <f>[3]基础状态预期!J134</f>
        <v>7</v>
      </c>
      <c r="BH123" s="7">
        <f>[3]基础状态预期!K134</f>
        <v>7</v>
      </c>
      <c r="BI123" s="7">
        <f>[3]基础状态预期!L134</f>
        <v>7</v>
      </c>
    </row>
    <row r="124" spans="23:61">
      <c r="W124" s="21">
        <f t="shared" si="1"/>
        <v>4059.9999999999995</v>
      </c>
      <c r="X124" s="21">
        <f>[2]基础状态预期!D135</f>
        <v>125.41953077529134</v>
      </c>
      <c r="Y124" s="21">
        <f>[2]基础状态预期!F135</f>
        <v>0</v>
      </c>
      <c r="Z124" s="21">
        <f>[2]基础状态预期!G135</f>
        <v>0</v>
      </c>
      <c r="AA124" s="21">
        <f>[2]基础状态预期!H135</f>
        <v>0</v>
      </c>
      <c r="AB124" s="21">
        <f>[2]基础状态预期!I135</f>
        <v>0</v>
      </c>
      <c r="AC124" s="21">
        <f>[2]基础状态预期!J135</f>
        <v>6</v>
      </c>
      <c r="AD124" s="21">
        <f>[2]基础状态预期!K135</f>
        <v>0</v>
      </c>
      <c r="AE124" s="21">
        <f>[2]基础状态预期!L135</f>
        <v>0</v>
      </c>
      <c r="AF124" s="21">
        <f>[2]基础状态预期!M135</f>
        <v>0</v>
      </c>
      <c r="AG124" s="21">
        <f>[2]基础状态预期!N135</f>
        <v>0</v>
      </c>
      <c r="AH124" s="21">
        <f>[2]基础状态预期!O135</f>
        <v>8</v>
      </c>
      <c r="AI124" s="7">
        <f>[2]各r阵容卡情况!G129</f>
        <v>0</v>
      </c>
      <c r="AJ124" s="7">
        <f>[2]各r阵容卡情况!H129</f>
        <v>0</v>
      </c>
      <c r="AK124" s="7">
        <f>[2]各r阵容卡情况!I129</f>
        <v>24</v>
      </c>
      <c r="AL124" s="7">
        <f>[2]各r阵容卡情况!J129</f>
        <v>0</v>
      </c>
      <c r="AM124" s="7">
        <f>[2]各r阵容卡情况!K129</f>
        <v>3</v>
      </c>
      <c r="AN124" s="7">
        <f>[2]各r阵容卡情况!L129</f>
        <v>6</v>
      </c>
      <c r="AO124" s="7">
        <f>[2]各r阵容卡情况!M129</f>
        <v>8</v>
      </c>
      <c r="AP124" s="7">
        <f>[2]各r阵容卡情况!N129</f>
        <v>8</v>
      </c>
      <c r="AZ124" s="7">
        <f>[3]基础状态预期!C135</f>
        <v>125.41953077529134</v>
      </c>
      <c r="BA124" s="7">
        <f>[3]基础状态预期!D135</f>
        <v>4059.9999999999995</v>
      </c>
      <c r="BB124" s="7">
        <f>[3]基础状态预期!E135</f>
        <v>3</v>
      </c>
      <c r="BC124" s="7">
        <f>[3]基础状态预期!F135</f>
        <v>7</v>
      </c>
      <c r="BD124" s="7">
        <f>[3]基础状态预期!G135</f>
        <v>20</v>
      </c>
      <c r="BE124" s="7">
        <f>[3]基础状态预期!H135</f>
        <v>8</v>
      </c>
      <c r="BF124" s="7">
        <f>[3]基础状态预期!I135</f>
        <v>7</v>
      </c>
      <c r="BG124" s="7">
        <f>[3]基础状态预期!J135</f>
        <v>7</v>
      </c>
      <c r="BH124" s="7">
        <f>[3]基础状态预期!K135</f>
        <v>7</v>
      </c>
      <c r="BI124" s="7">
        <f>[3]基础状态预期!L135</f>
        <v>7</v>
      </c>
    </row>
    <row r="125" spans="23:61">
      <c r="W125" s="21">
        <f t="shared" si="1"/>
        <v>5194</v>
      </c>
      <c r="X125" s="21">
        <f>[2]基础状态预期!D136</f>
        <v>129.09045404756728</v>
      </c>
      <c r="Y125" s="21">
        <f>[2]基础状态预期!F136</f>
        <v>0</v>
      </c>
      <c r="Z125" s="21">
        <f>[2]基础状态预期!G136</f>
        <v>0</v>
      </c>
      <c r="AA125" s="21">
        <f>[2]基础状态预期!H136</f>
        <v>0</v>
      </c>
      <c r="AB125" s="21">
        <f>[2]基础状态预期!I136</f>
        <v>0</v>
      </c>
      <c r="AC125" s="21">
        <f>[2]基础状态预期!J136</f>
        <v>6</v>
      </c>
      <c r="AD125" s="21">
        <f>[2]基础状态预期!K136</f>
        <v>0</v>
      </c>
      <c r="AE125" s="21">
        <f>[2]基础状态预期!L136</f>
        <v>0</v>
      </c>
      <c r="AF125" s="21">
        <f>[2]基础状态预期!M136</f>
        <v>0</v>
      </c>
      <c r="AG125" s="21">
        <f>[2]基础状态预期!N136</f>
        <v>0</v>
      </c>
      <c r="AH125" s="21">
        <f>[2]基础状态预期!O136</f>
        <v>8</v>
      </c>
      <c r="AI125" s="7">
        <f>[2]各r阵容卡情况!G130</f>
        <v>0</v>
      </c>
      <c r="AJ125" s="7">
        <f>[2]各r阵容卡情况!H130</f>
        <v>0</v>
      </c>
      <c r="AK125" s="7">
        <f>[2]各r阵容卡情况!I130</f>
        <v>24</v>
      </c>
      <c r="AL125" s="7">
        <f>[2]各r阵容卡情况!J130</f>
        <v>0</v>
      </c>
      <c r="AM125" s="7">
        <f>[2]各r阵容卡情况!K130</f>
        <v>3</v>
      </c>
      <c r="AN125" s="7">
        <f>[2]各r阵容卡情况!L130</f>
        <v>6</v>
      </c>
      <c r="AO125" s="7">
        <f>[2]各r阵容卡情况!M130</f>
        <v>8</v>
      </c>
      <c r="AP125" s="7">
        <f>[2]各r阵容卡情况!N130</f>
        <v>8</v>
      </c>
      <c r="AZ125" s="7">
        <f>[3]基础状态预期!C136</f>
        <v>129.09045404756728</v>
      </c>
      <c r="BA125" s="7">
        <f>[3]基础状态预期!D136</f>
        <v>5194</v>
      </c>
      <c r="BB125" s="7">
        <f>[3]基础状态预期!E136</f>
        <v>3</v>
      </c>
      <c r="BC125" s="7">
        <f>[3]基础状态预期!F136</f>
        <v>7</v>
      </c>
      <c r="BD125" s="7">
        <f>[3]基础状态预期!G136</f>
        <v>20</v>
      </c>
      <c r="BE125" s="7">
        <f>[3]基础状态预期!H136</f>
        <v>8</v>
      </c>
      <c r="BF125" s="7">
        <f>[3]基础状态预期!I136</f>
        <v>7</v>
      </c>
      <c r="BG125" s="7">
        <f>[3]基础状态预期!J136</f>
        <v>7</v>
      </c>
      <c r="BH125" s="7">
        <f>[3]基础状态预期!K136</f>
        <v>7</v>
      </c>
      <c r="BI125" s="7">
        <f>[3]基础状态预期!L136</f>
        <v>7</v>
      </c>
    </row>
    <row r="126" spans="23:61">
      <c r="W126" s="21">
        <f t="shared" si="1"/>
        <v>6622</v>
      </c>
      <c r="X126" s="21">
        <f>[2]基础状态预期!D137</f>
        <v>132.53488795708068</v>
      </c>
      <c r="Y126" s="21">
        <f>[2]基础状态预期!F137</f>
        <v>0</v>
      </c>
      <c r="Z126" s="21">
        <f>[2]基础状态预期!G137</f>
        <v>0</v>
      </c>
      <c r="AA126" s="21">
        <f>[2]基础状态预期!H137</f>
        <v>0</v>
      </c>
      <c r="AB126" s="21">
        <f>[2]基础状态预期!I137</f>
        <v>0</v>
      </c>
      <c r="AC126" s="21">
        <f>[2]基础状态预期!J137</f>
        <v>6</v>
      </c>
      <c r="AD126" s="21">
        <f>[2]基础状态预期!K137</f>
        <v>0</v>
      </c>
      <c r="AE126" s="21">
        <f>[2]基础状态预期!L137</f>
        <v>0</v>
      </c>
      <c r="AF126" s="21">
        <f>[2]基础状态预期!M137</f>
        <v>0</v>
      </c>
      <c r="AG126" s="21">
        <f>[2]基础状态预期!N137</f>
        <v>0</v>
      </c>
      <c r="AH126" s="21">
        <f>[2]基础状态预期!O137</f>
        <v>8</v>
      </c>
      <c r="AI126" s="7">
        <f>[2]各r阵容卡情况!G131</f>
        <v>0</v>
      </c>
      <c r="AJ126" s="7">
        <f>[2]各r阵容卡情况!H131</f>
        <v>0</v>
      </c>
      <c r="AK126" s="7">
        <f>[2]各r阵容卡情况!I131</f>
        <v>24</v>
      </c>
      <c r="AL126" s="7">
        <f>[2]各r阵容卡情况!J131</f>
        <v>0</v>
      </c>
      <c r="AM126" s="7">
        <f>[2]各r阵容卡情况!K131</f>
        <v>3</v>
      </c>
      <c r="AN126" s="7">
        <f>[2]各r阵容卡情况!L131</f>
        <v>6</v>
      </c>
      <c r="AO126" s="7">
        <f>[2]各r阵容卡情况!M131</f>
        <v>8</v>
      </c>
      <c r="AP126" s="7">
        <f>[2]各r阵容卡情况!N131</f>
        <v>8</v>
      </c>
      <c r="AZ126" s="7">
        <f>[3]基础状态预期!C137</f>
        <v>132.53488795708068</v>
      </c>
      <c r="BA126" s="7">
        <f>[3]基础状态预期!D137</f>
        <v>6622</v>
      </c>
      <c r="BB126" s="7">
        <f>[3]基础状态预期!E137</f>
        <v>3</v>
      </c>
      <c r="BC126" s="7">
        <f>[3]基础状态预期!F137</f>
        <v>7</v>
      </c>
      <c r="BD126" s="7">
        <f>[3]基础状态预期!G137</f>
        <v>20</v>
      </c>
      <c r="BE126" s="7">
        <f>[3]基础状态预期!H137</f>
        <v>8</v>
      </c>
      <c r="BF126" s="7">
        <f>[3]基础状态预期!I137</f>
        <v>7</v>
      </c>
      <c r="BG126" s="7">
        <f>[3]基础状态预期!J137</f>
        <v>7</v>
      </c>
      <c r="BH126" s="7">
        <f>[3]基础状态预期!K137</f>
        <v>7</v>
      </c>
      <c r="BI126" s="7">
        <f>[3]基础状态预期!L137</f>
        <v>7</v>
      </c>
    </row>
    <row r="127" spans="23:61">
      <c r="W127" s="21">
        <f t="shared" si="1"/>
        <v>8428</v>
      </c>
      <c r="X127" s="21">
        <f>[2]基础状态预期!D138</f>
        <v>136.07141427598387</v>
      </c>
      <c r="Y127" s="21">
        <f>[2]基础状态预期!F138</f>
        <v>0</v>
      </c>
      <c r="Z127" s="21">
        <f>[2]基础状态预期!G138</f>
        <v>0</v>
      </c>
      <c r="AA127" s="21">
        <f>[2]基础状态预期!H138</f>
        <v>0</v>
      </c>
      <c r="AB127" s="21">
        <f>[2]基础状态预期!I138</f>
        <v>0</v>
      </c>
      <c r="AC127" s="21">
        <f>[2]基础状态预期!J138</f>
        <v>6</v>
      </c>
      <c r="AD127" s="21">
        <f>[2]基础状态预期!K138</f>
        <v>0</v>
      </c>
      <c r="AE127" s="21">
        <f>[2]基础状态预期!L138</f>
        <v>0</v>
      </c>
      <c r="AF127" s="21">
        <f>[2]基础状态预期!M138</f>
        <v>0</v>
      </c>
      <c r="AG127" s="21">
        <f>[2]基础状态预期!N138</f>
        <v>0</v>
      </c>
      <c r="AH127" s="21">
        <f>[2]基础状态预期!O138</f>
        <v>8</v>
      </c>
      <c r="AI127" s="7">
        <f>[2]各r阵容卡情况!G132</f>
        <v>0</v>
      </c>
      <c r="AJ127" s="7">
        <f>[2]各r阵容卡情况!H132</f>
        <v>0</v>
      </c>
      <c r="AK127" s="7">
        <f>[2]各r阵容卡情况!I132</f>
        <v>24</v>
      </c>
      <c r="AL127" s="7">
        <f>[2]各r阵容卡情况!J132</f>
        <v>0</v>
      </c>
      <c r="AM127" s="7">
        <f>[2]各r阵容卡情况!K132</f>
        <v>3</v>
      </c>
      <c r="AN127" s="7">
        <f>[2]各r阵容卡情况!L132</f>
        <v>6</v>
      </c>
      <c r="AO127" s="7">
        <f>[2]各r阵容卡情况!M132</f>
        <v>8</v>
      </c>
      <c r="AP127" s="7">
        <f>[2]各r阵容卡情况!N132</f>
        <v>8</v>
      </c>
      <c r="AZ127" s="7">
        <f>[3]基础状态预期!C138</f>
        <v>136.07141427598387</v>
      </c>
      <c r="BA127" s="7">
        <f>[3]基础状态预期!D138</f>
        <v>8428</v>
      </c>
      <c r="BB127" s="7">
        <f>[3]基础状态预期!E138</f>
        <v>3</v>
      </c>
      <c r="BC127" s="7">
        <f>[3]基础状态预期!F138</f>
        <v>7</v>
      </c>
      <c r="BD127" s="7">
        <f>[3]基础状态预期!G138</f>
        <v>20</v>
      </c>
      <c r="BE127" s="7">
        <f>[3]基础状态预期!H138</f>
        <v>8</v>
      </c>
      <c r="BF127" s="7">
        <f>[3]基础状态预期!I138</f>
        <v>7</v>
      </c>
      <c r="BG127" s="7">
        <f>[3]基础状态预期!J138</f>
        <v>7</v>
      </c>
      <c r="BH127" s="7">
        <f>[3]基础状态预期!K138</f>
        <v>7</v>
      </c>
      <c r="BI127" s="7">
        <f>[3]基础状态预期!L138</f>
        <v>7</v>
      </c>
    </row>
    <row r="128" spans="23:61">
      <c r="W128" s="21">
        <f t="shared" si="1"/>
        <v>10738</v>
      </c>
      <c r="X128" s="21">
        <f>[2]基础状态预期!D139</f>
        <v>139.56936219880694</v>
      </c>
      <c r="Y128" s="21">
        <f>[2]基础状态预期!F139</f>
        <v>0</v>
      </c>
      <c r="Z128" s="21">
        <f>[2]基础状态预期!G139</f>
        <v>0</v>
      </c>
      <c r="AA128" s="21">
        <f>[2]基础状态预期!H139</f>
        <v>0</v>
      </c>
      <c r="AB128" s="21">
        <f>[2]基础状态预期!I139</f>
        <v>0</v>
      </c>
      <c r="AC128" s="21">
        <f>[2]基础状态预期!J139</f>
        <v>6</v>
      </c>
      <c r="AD128" s="21">
        <f>[2]基础状态预期!K139</f>
        <v>0</v>
      </c>
      <c r="AE128" s="21">
        <f>[2]基础状态预期!L139</f>
        <v>0</v>
      </c>
      <c r="AF128" s="21">
        <f>[2]基础状态预期!M139</f>
        <v>0</v>
      </c>
      <c r="AG128" s="21">
        <f>[2]基础状态预期!N139</f>
        <v>0</v>
      </c>
      <c r="AH128" s="21">
        <f>[2]基础状态预期!O139</f>
        <v>8</v>
      </c>
      <c r="AI128" s="7">
        <f>[2]各r阵容卡情况!G133</f>
        <v>0</v>
      </c>
      <c r="AJ128" s="7">
        <f>[2]各r阵容卡情况!H133</f>
        <v>0</v>
      </c>
      <c r="AK128" s="7">
        <f>[2]各r阵容卡情况!I133</f>
        <v>24</v>
      </c>
      <c r="AL128" s="7">
        <f>[2]各r阵容卡情况!J133</f>
        <v>0</v>
      </c>
      <c r="AM128" s="7">
        <f>[2]各r阵容卡情况!K133</f>
        <v>3</v>
      </c>
      <c r="AN128" s="7">
        <f>[2]各r阵容卡情况!L133</f>
        <v>6</v>
      </c>
      <c r="AO128" s="7">
        <f>[2]各r阵容卡情况!M133</f>
        <v>8</v>
      </c>
      <c r="AP128" s="7">
        <f>[2]各r阵容卡情况!N133</f>
        <v>8</v>
      </c>
      <c r="AZ128" s="7">
        <f>[3]基础状态预期!C139</f>
        <v>139.56936219880694</v>
      </c>
      <c r="BA128" s="7">
        <f>[3]基础状态预期!D139</f>
        <v>10738</v>
      </c>
      <c r="BB128" s="7">
        <f>[3]基础状态预期!E139</f>
        <v>3</v>
      </c>
      <c r="BC128" s="7">
        <f>[3]基础状态预期!F139</f>
        <v>7</v>
      </c>
      <c r="BD128" s="7">
        <f>[3]基础状态预期!G139</f>
        <v>20</v>
      </c>
      <c r="BE128" s="7">
        <f>[3]基础状态预期!H139</f>
        <v>8</v>
      </c>
      <c r="BF128" s="7">
        <f>[3]基础状态预期!I139</f>
        <v>7</v>
      </c>
      <c r="BG128" s="7">
        <f>[3]基础状态预期!J139</f>
        <v>7</v>
      </c>
      <c r="BH128" s="7">
        <f>[3]基础状态预期!K139</f>
        <v>7</v>
      </c>
      <c r="BI128" s="7">
        <f>[3]基础状态预期!L139</f>
        <v>7</v>
      </c>
    </row>
    <row r="129" spans="23:61">
      <c r="W129" s="21">
        <f t="shared" si="1"/>
        <v>13678</v>
      </c>
      <c r="X129" s="21">
        <f>[2]基础状态预期!D140</f>
        <v>143.08413721822018</v>
      </c>
      <c r="Y129" s="21">
        <f>[2]基础状态预期!F140</f>
        <v>0</v>
      </c>
      <c r="Z129" s="21">
        <f>[2]基础状态预期!G140</f>
        <v>0</v>
      </c>
      <c r="AA129" s="21">
        <f>[2]基础状态预期!H140</f>
        <v>0</v>
      </c>
      <c r="AB129" s="21">
        <f>[2]基础状态预期!I140</f>
        <v>0</v>
      </c>
      <c r="AC129" s="21">
        <f>[2]基础状态预期!J140</f>
        <v>6</v>
      </c>
      <c r="AD129" s="21">
        <f>[2]基础状态预期!K140</f>
        <v>0</v>
      </c>
      <c r="AE129" s="21">
        <f>[2]基础状态预期!L140</f>
        <v>0</v>
      </c>
      <c r="AF129" s="21">
        <f>[2]基础状态预期!M140</f>
        <v>0</v>
      </c>
      <c r="AG129" s="21">
        <f>[2]基础状态预期!N140</f>
        <v>0</v>
      </c>
      <c r="AH129" s="21">
        <f>[2]基础状态预期!O140</f>
        <v>8</v>
      </c>
      <c r="AI129" s="7">
        <f>[2]各r阵容卡情况!G134</f>
        <v>0</v>
      </c>
      <c r="AJ129" s="7">
        <f>[2]各r阵容卡情况!H134</f>
        <v>0</v>
      </c>
      <c r="AK129" s="7">
        <f>[2]各r阵容卡情况!I134</f>
        <v>24</v>
      </c>
      <c r="AL129" s="7">
        <f>[2]各r阵容卡情况!J134</f>
        <v>0</v>
      </c>
      <c r="AM129" s="7">
        <f>[2]各r阵容卡情况!K134</f>
        <v>3</v>
      </c>
      <c r="AN129" s="7">
        <f>[2]各r阵容卡情况!L134</f>
        <v>6</v>
      </c>
      <c r="AO129" s="7">
        <f>[2]各r阵容卡情况!M134</f>
        <v>8</v>
      </c>
      <c r="AP129" s="7">
        <f>[2]各r阵容卡情况!N134</f>
        <v>8</v>
      </c>
      <c r="AZ129" s="7">
        <f>[3]基础状态预期!C140</f>
        <v>143.08413721822018</v>
      </c>
      <c r="BA129" s="7">
        <f>[3]基础状态预期!D140</f>
        <v>13678</v>
      </c>
      <c r="BB129" s="7">
        <f>[3]基础状态预期!E140</f>
        <v>3</v>
      </c>
      <c r="BC129" s="7">
        <f>[3]基础状态预期!F140</f>
        <v>7</v>
      </c>
      <c r="BD129" s="7">
        <f>[3]基础状态预期!G140</f>
        <v>20</v>
      </c>
      <c r="BE129" s="7">
        <f>[3]基础状态预期!H140</f>
        <v>8</v>
      </c>
      <c r="BF129" s="7">
        <f>[3]基础状态预期!I140</f>
        <v>7</v>
      </c>
      <c r="BG129" s="7">
        <f>[3]基础状态预期!J140</f>
        <v>7</v>
      </c>
      <c r="BH129" s="7">
        <f>[3]基础状态预期!K140</f>
        <v>7</v>
      </c>
      <c r="BI129" s="7">
        <f>[3]基础状态预期!L140</f>
        <v>7</v>
      </c>
    </row>
    <row r="130" spans="23:61">
      <c r="W130" s="21">
        <f t="shared" si="1"/>
        <v>17416</v>
      </c>
      <c r="X130" s="21">
        <f>[2]基础状态预期!D141</f>
        <v>146.62302564097175</v>
      </c>
      <c r="Y130" s="21">
        <f>[2]基础状态预期!F141</f>
        <v>0</v>
      </c>
      <c r="Z130" s="21">
        <f>[2]基础状态预期!G141</f>
        <v>0</v>
      </c>
      <c r="AA130" s="21">
        <f>[2]基础状态预期!H141</f>
        <v>0</v>
      </c>
      <c r="AB130" s="21">
        <f>[2]基础状态预期!I141</f>
        <v>0</v>
      </c>
      <c r="AC130" s="21">
        <f>[2]基础状态预期!J141</f>
        <v>6</v>
      </c>
      <c r="AD130" s="21">
        <f>[2]基础状态预期!K141</f>
        <v>0</v>
      </c>
      <c r="AE130" s="21">
        <f>[2]基础状态预期!L141</f>
        <v>0</v>
      </c>
      <c r="AF130" s="21">
        <f>[2]基础状态预期!M141</f>
        <v>0</v>
      </c>
      <c r="AG130" s="21">
        <f>[2]基础状态预期!N141</f>
        <v>0</v>
      </c>
      <c r="AH130" s="21">
        <f>[2]基础状态预期!O141</f>
        <v>8</v>
      </c>
      <c r="AI130" s="7">
        <f>[2]各r阵容卡情况!G135</f>
        <v>0</v>
      </c>
      <c r="AJ130" s="7">
        <f>[2]各r阵容卡情况!H135</f>
        <v>0</v>
      </c>
      <c r="AK130" s="7">
        <f>[2]各r阵容卡情况!I135</f>
        <v>24</v>
      </c>
      <c r="AL130" s="7">
        <f>[2]各r阵容卡情况!J135</f>
        <v>0</v>
      </c>
      <c r="AM130" s="7">
        <f>[2]各r阵容卡情况!K135</f>
        <v>3</v>
      </c>
      <c r="AN130" s="7">
        <f>[2]各r阵容卡情况!L135</f>
        <v>6</v>
      </c>
      <c r="AO130" s="7">
        <f>[2]各r阵容卡情况!M135</f>
        <v>8</v>
      </c>
      <c r="AP130" s="7">
        <f>[2]各r阵容卡情况!N135</f>
        <v>8</v>
      </c>
      <c r="AZ130" s="7">
        <f>[3]基础状态预期!C141</f>
        <v>146.62302564097175</v>
      </c>
      <c r="BA130" s="7">
        <f>[3]基础状态预期!D141</f>
        <v>17416</v>
      </c>
      <c r="BB130" s="7">
        <f>[3]基础状态预期!E141</f>
        <v>3</v>
      </c>
      <c r="BC130" s="7">
        <f>[3]基础状态预期!F141</f>
        <v>7</v>
      </c>
      <c r="BD130" s="7">
        <f>[3]基础状态预期!G141</f>
        <v>20</v>
      </c>
      <c r="BE130" s="7">
        <f>[3]基础状态预期!H141</f>
        <v>8</v>
      </c>
      <c r="BF130" s="7">
        <f>[3]基础状态预期!I141</f>
        <v>7</v>
      </c>
      <c r="BG130" s="7">
        <f>[3]基础状态预期!J141</f>
        <v>7</v>
      </c>
      <c r="BH130" s="7">
        <f>[3]基础状态预期!K141</f>
        <v>7</v>
      </c>
      <c r="BI130" s="7">
        <f>[3]基础状态预期!L141</f>
        <v>7</v>
      </c>
    </row>
    <row r="131" spans="23:61">
      <c r="W131" s="21">
        <f t="shared" si="1"/>
        <v>22204</v>
      </c>
      <c r="X131" s="21">
        <f>[2]基础状态预期!D142</f>
        <v>150.12999034316616</v>
      </c>
      <c r="Y131" s="21">
        <f>[2]基础状态预期!F142</f>
        <v>0</v>
      </c>
      <c r="Z131" s="21">
        <f>[2]基础状态预期!G142</f>
        <v>0</v>
      </c>
      <c r="AA131" s="21">
        <f>[2]基础状态预期!H142</f>
        <v>0</v>
      </c>
      <c r="AB131" s="21">
        <f>[2]基础状态预期!I142</f>
        <v>0</v>
      </c>
      <c r="AC131" s="21">
        <f>[2]基础状态预期!J142</f>
        <v>6</v>
      </c>
      <c r="AD131" s="21">
        <f>[2]基础状态预期!K142</f>
        <v>0</v>
      </c>
      <c r="AE131" s="21">
        <f>[2]基础状态预期!L142</f>
        <v>0</v>
      </c>
      <c r="AF131" s="21">
        <f>[2]基础状态预期!M142</f>
        <v>0</v>
      </c>
      <c r="AG131" s="21">
        <f>[2]基础状态预期!N142</f>
        <v>0</v>
      </c>
      <c r="AH131" s="21">
        <f>[2]基础状态预期!O142</f>
        <v>8</v>
      </c>
      <c r="AI131" s="7">
        <f>[2]各r阵容卡情况!G136</f>
        <v>0</v>
      </c>
      <c r="AJ131" s="7">
        <f>[2]各r阵容卡情况!H136</f>
        <v>0</v>
      </c>
      <c r="AK131" s="7">
        <f>[2]各r阵容卡情况!I136</f>
        <v>24</v>
      </c>
      <c r="AL131" s="7">
        <f>[2]各r阵容卡情况!J136</f>
        <v>0</v>
      </c>
      <c r="AM131" s="7">
        <f>[2]各r阵容卡情况!K136</f>
        <v>3</v>
      </c>
      <c r="AN131" s="7">
        <f>[2]各r阵容卡情况!L136</f>
        <v>6</v>
      </c>
      <c r="AO131" s="7">
        <f>[2]各r阵容卡情况!M136</f>
        <v>8</v>
      </c>
      <c r="AP131" s="7">
        <f>[2]各r阵容卡情况!N136</f>
        <v>8</v>
      </c>
      <c r="AZ131" s="7">
        <f>[3]基础状态预期!C142</f>
        <v>150.12999034316616</v>
      </c>
      <c r="BA131" s="7">
        <f>[3]基础状态预期!D142</f>
        <v>22204</v>
      </c>
      <c r="BB131" s="7">
        <f>[3]基础状态预期!E142</f>
        <v>3</v>
      </c>
      <c r="BC131" s="7">
        <f>[3]基础状态预期!F142</f>
        <v>7</v>
      </c>
      <c r="BD131" s="7">
        <f>[3]基础状态预期!G142</f>
        <v>20</v>
      </c>
      <c r="BE131" s="7">
        <f>[3]基础状态预期!H142</f>
        <v>8</v>
      </c>
      <c r="BF131" s="7">
        <f>[3]基础状态预期!I142</f>
        <v>7</v>
      </c>
      <c r="BG131" s="7">
        <f>[3]基础状态预期!J142</f>
        <v>7</v>
      </c>
      <c r="BH131" s="7">
        <f>[3]基础状态预期!K142</f>
        <v>7</v>
      </c>
      <c r="BI131" s="7">
        <f>[3]基础状态预期!L142</f>
        <v>7</v>
      </c>
    </row>
    <row r="132" spans="23:61">
      <c r="W132" s="21">
        <f t="shared" si="1"/>
        <v>28294</v>
      </c>
      <c r="X132" s="21">
        <f>[2]基础状态预期!D143</f>
        <v>153.11600330857166</v>
      </c>
      <c r="Y132" s="21">
        <f>[2]基础状态预期!F143</f>
        <v>0</v>
      </c>
      <c r="Z132" s="21">
        <f>[2]基础状态预期!G143</f>
        <v>0</v>
      </c>
      <c r="AA132" s="21">
        <f>[2]基础状态预期!H143</f>
        <v>0</v>
      </c>
      <c r="AB132" s="21">
        <f>[2]基础状态预期!I143</f>
        <v>0</v>
      </c>
      <c r="AC132" s="21">
        <f>[2]基础状态预期!J143</f>
        <v>6</v>
      </c>
      <c r="AD132" s="21">
        <f>[2]基础状态预期!K143</f>
        <v>0</v>
      </c>
      <c r="AE132" s="21">
        <f>[2]基础状态预期!L143</f>
        <v>0</v>
      </c>
      <c r="AF132" s="21">
        <f>[2]基础状态预期!M143</f>
        <v>0</v>
      </c>
      <c r="AG132" s="21">
        <f>[2]基础状态预期!N143</f>
        <v>0</v>
      </c>
      <c r="AH132" s="21">
        <f>[2]基础状态预期!O143</f>
        <v>8</v>
      </c>
      <c r="AI132" s="7">
        <f>[2]各r阵容卡情况!G137</f>
        <v>0</v>
      </c>
      <c r="AJ132" s="7">
        <f>[2]各r阵容卡情况!H137</f>
        <v>0</v>
      </c>
      <c r="AK132" s="7">
        <f>[2]各r阵容卡情况!I137</f>
        <v>24</v>
      </c>
      <c r="AL132" s="7">
        <f>[2]各r阵容卡情况!J137</f>
        <v>0</v>
      </c>
      <c r="AM132" s="7">
        <f>[2]各r阵容卡情况!K137</f>
        <v>3</v>
      </c>
      <c r="AN132" s="7">
        <f>[2]各r阵容卡情况!L137</f>
        <v>6</v>
      </c>
      <c r="AO132" s="7">
        <f>[2]各r阵容卡情况!M137</f>
        <v>8</v>
      </c>
      <c r="AP132" s="7">
        <f>[2]各r阵容卡情况!N137</f>
        <v>8</v>
      </c>
      <c r="AZ132" s="7">
        <f>[3]基础状态预期!C143</f>
        <v>153.11600330857166</v>
      </c>
      <c r="BA132" s="7">
        <f>[3]基础状态预期!D143</f>
        <v>28294</v>
      </c>
      <c r="BB132" s="7">
        <f>[3]基础状态预期!E143</f>
        <v>3</v>
      </c>
      <c r="BC132" s="7">
        <f>[3]基础状态预期!F143</f>
        <v>7</v>
      </c>
      <c r="BD132" s="7">
        <f>[3]基础状态预期!G143</f>
        <v>20</v>
      </c>
      <c r="BE132" s="7">
        <f>[3]基础状态预期!H143</f>
        <v>8</v>
      </c>
      <c r="BF132" s="7">
        <f>[3]基础状态预期!I143</f>
        <v>7</v>
      </c>
      <c r="BG132" s="7">
        <f>[3]基础状态预期!J143</f>
        <v>7</v>
      </c>
      <c r="BH132" s="7">
        <f>[3]基础状态预期!K143</f>
        <v>7</v>
      </c>
      <c r="BI132" s="7">
        <f>[3]基础状态预期!L143</f>
        <v>7</v>
      </c>
    </row>
    <row r="133" spans="23:61">
      <c r="W133" s="21">
        <f t="shared" si="1"/>
        <v>36064</v>
      </c>
      <c r="X133" s="21">
        <f>[2]基础状态预期!D144</f>
        <v>154.20294442048996</v>
      </c>
      <c r="Y133" s="21">
        <f>[2]基础状态预期!F144</f>
        <v>0</v>
      </c>
      <c r="Z133" s="21">
        <f>[2]基础状态预期!G144</f>
        <v>0</v>
      </c>
      <c r="AA133" s="21">
        <f>[2]基础状态预期!H144</f>
        <v>0</v>
      </c>
      <c r="AB133" s="21">
        <f>[2]基础状态预期!I144</f>
        <v>0</v>
      </c>
      <c r="AC133" s="21">
        <f>[2]基础状态预期!J144</f>
        <v>6</v>
      </c>
      <c r="AD133" s="21">
        <f>[2]基础状态预期!K144</f>
        <v>0</v>
      </c>
      <c r="AE133" s="21">
        <f>[2]基础状态预期!L144</f>
        <v>0</v>
      </c>
      <c r="AF133" s="21">
        <f>[2]基础状态预期!M144</f>
        <v>0</v>
      </c>
      <c r="AG133" s="21">
        <f>[2]基础状态预期!N144</f>
        <v>0</v>
      </c>
      <c r="AH133" s="21">
        <f>[2]基础状态预期!O144</f>
        <v>8</v>
      </c>
      <c r="AI133" s="7">
        <f>[2]各r阵容卡情况!G138</f>
        <v>0</v>
      </c>
      <c r="AJ133" s="7">
        <f>[2]各r阵容卡情况!H138</f>
        <v>0</v>
      </c>
      <c r="AK133" s="7">
        <f>[2]各r阵容卡情况!I138</f>
        <v>24</v>
      </c>
      <c r="AL133" s="7">
        <f>[2]各r阵容卡情况!J138</f>
        <v>0</v>
      </c>
      <c r="AM133" s="7">
        <f>[2]各r阵容卡情况!K138</f>
        <v>3</v>
      </c>
      <c r="AN133" s="7">
        <f>[2]各r阵容卡情况!L138</f>
        <v>6</v>
      </c>
      <c r="AO133" s="7">
        <f>[2]各r阵容卡情况!M138</f>
        <v>8</v>
      </c>
      <c r="AP133" s="7">
        <f>[2]各r阵容卡情况!N138</f>
        <v>8</v>
      </c>
      <c r="AZ133" s="7">
        <f>[3]基础状态预期!C144</f>
        <v>154.20294442048996</v>
      </c>
      <c r="BA133" s="7">
        <f>[3]基础状态预期!D144</f>
        <v>36064</v>
      </c>
      <c r="BB133" s="7">
        <f>[3]基础状态预期!E144</f>
        <v>3</v>
      </c>
      <c r="BC133" s="7">
        <f>[3]基础状态预期!F144</f>
        <v>7</v>
      </c>
      <c r="BD133" s="7">
        <f>[3]基础状态预期!G144</f>
        <v>20</v>
      </c>
      <c r="BE133" s="7">
        <f>[3]基础状态预期!H144</f>
        <v>8</v>
      </c>
      <c r="BF133" s="7">
        <f>[3]基础状态预期!I144</f>
        <v>7</v>
      </c>
      <c r="BG133" s="7">
        <f>[3]基础状态预期!J144</f>
        <v>7</v>
      </c>
      <c r="BH133" s="7">
        <f>[3]基础状态预期!K144</f>
        <v>7</v>
      </c>
      <c r="BI133" s="7">
        <f>[3]基础状态预期!L144</f>
        <v>7</v>
      </c>
    </row>
    <row r="134" spans="23:61">
      <c r="W134" s="21">
        <f t="shared" si="1"/>
        <v>45850</v>
      </c>
      <c r="X134" s="21">
        <f>[2]基础状态预期!D145</f>
        <v>155.2512378743358</v>
      </c>
      <c r="Y134" s="21">
        <f>[2]基础状态预期!F145</f>
        <v>0</v>
      </c>
      <c r="Z134" s="21">
        <f>[2]基础状态预期!G145</f>
        <v>0</v>
      </c>
      <c r="AA134" s="21">
        <f>[2]基础状态预期!H145</f>
        <v>0</v>
      </c>
      <c r="AB134" s="21">
        <f>[2]基础状态预期!I145</f>
        <v>0</v>
      </c>
      <c r="AC134" s="21">
        <f>[2]基础状态预期!J145</f>
        <v>6</v>
      </c>
      <c r="AD134" s="21">
        <f>[2]基础状态预期!K145</f>
        <v>0</v>
      </c>
      <c r="AE134" s="21">
        <f>[2]基础状态预期!L145</f>
        <v>0</v>
      </c>
      <c r="AF134" s="21">
        <f>[2]基础状态预期!M145</f>
        <v>0</v>
      </c>
      <c r="AG134" s="21">
        <f>[2]基础状态预期!N145</f>
        <v>0</v>
      </c>
      <c r="AH134" s="21">
        <f>[2]基础状态预期!O145</f>
        <v>8</v>
      </c>
      <c r="AI134" s="7">
        <f>[2]各r阵容卡情况!G139</f>
        <v>0</v>
      </c>
      <c r="AJ134" s="7">
        <f>[2]各r阵容卡情况!H139</f>
        <v>0</v>
      </c>
      <c r="AK134" s="7">
        <f>[2]各r阵容卡情况!I139</f>
        <v>24</v>
      </c>
      <c r="AL134" s="7">
        <f>[2]各r阵容卡情况!J139</f>
        <v>0</v>
      </c>
      <c r="AM134" s="7">
        <f>[2]各r阵容卡情况!K139</f>
        <v>3</v>
      </c>
      <c r="AN134" s="7">
        <f>[2]各r阵容卡情况!L139</f>
        <v>6</v>
      </c>
      <c r="AO134" s="7">
        <f>[2]各r阵容卡情况!M139</f>
        <v>8</v>
      </c>
      <c r="AP134" s="7">
        <f>[2]各r阵容卡情况!N139</f>
        <v>8</v>
      </c>
      <c r="AZ134" s="7">
        <f>[3]基础状态预期!C145</f>
        <v>155.2512378743358</v>
      </c>
      <c r="BA134" s="7">
        <f>[3]基础状态预期!D145</f>
        <v>45850</v>
      </c>
      <c r="BB134" s="7">
        <f>[3]基础状态预期!E145</f>
        <v>3</v>
      </c>
      <c r="BC134" s="7">
        <f>[3]基础状态预期!F145</f>
        <v>7</v>
      </c>
      <c r="BD134" s="7">
        <f>[3]基础状态预期!G145</f>
        <v>20</v>
      </c>
      <c r="BE134" s="7">
        <f>[3]基础状态预期!H145</f>
        <v>8</v>
      </c>
      <c r="BF134" s="7">
        <f>[3]基础状态预期!I145</f>
        <v>7</v>
      </c>
      <c r="BG134" s="7">
        <f>[3]基础状态预期!J145</f>
        <v>7</v>
      </c>
      <c r="BH134" s="7">
        <f>[3]基础状态预期!K145</f>
        <v>7</v>
      </c>
      <c r="BI134" s="7">
        <f>[3]基础状态预期!L145</f>
        <v>7</v>
      </c>
    </row>
    <row r="135" spans="23:61">
      <c r="W135" s="23"/>
      <c r="X135" s="23"/>
      <c r="Y135" s="23"/>
      <c r="Z135" s="23"/>
      <c r="AA135" s="23"/>
      <c r="AB135" s="23"/>
      <c r="AC135" s="23"/>
      <c r="AI135" s="6"/>
      <c r="AJ135" s="6"/>
      <c r="AK135" s="6"/>
      <c r="AL135" s="6"/>
      <c r="AM135" s="6"/>
      <c r="AN135" s="6"/>
      <c r="AO135" s="6"/>
      <c r="AP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</row>
    <row r="136" spans="23:61">
      <c r="W136" s="23"/>
      <c r="X136" s="23"/>
      <c r="Y136" s="23"/>
      <c r="Z136" s="23"/>
      <c r="AA136" s="23"/>
      <c r="AB136" s="23"/>
      <c r="AC136" s="23"/>
      <c r="AI136" s="6"/>
      <c r="AJ136" s="6"/>
      <c r="AK136" s="6"/>
      <c r="AL136" s="6"/>
      <c r="AM136" s="6"/>
      <c r="AN136" s="6"/>
      <c r="AO136" s="6"/>
      <c r="AP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</row>
    <row r="137" spans="23:61">
      <c r="W137" s="23"/>
      <c r="X137" s="23"/>
      <c r="Y137" s="23"/>
      <c r="Z137" s="23"/>
      <c r="AA137" s="23"/>
      <c r="AB137" s="23"/>
      <c r="AC137" s="23"/>
      <c r="AI137" s="6"/>
      <c r="AJ137" s="6"/>
      <c r="AK137" s="6"/>
      <c r="AL137" s="6"/>
      <c r="AM137" s="6"/>
      <c r="AN137" s="6"/>
      <c r="AO137" s="6"/>
      <c r="AP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</row>
    <row r="138" spans="23:61">
      <c r="W138" s="34" t="s">
        <v>48</v>
      </c>
      <c r="X138" s="34"/>
      <c r="Y138" s="23"/>
      <c r="Z138" s="23"/>
      <c r="AA138" s="23"/>
      <c r="AB138" s="23"/>
      <c r="AC138" s="23"/>
      <c r="AI138" s="6" t="s">
        <v>33</v>
      </c>
      <c r="AJ138" s="6"/>
      <c r="AK138" s="6"/>
      <c r="AL138" s="6"/>
      <c r="AM138" s="6"/>
      <c r="AN138" s="6"/>
      <c r="AO138" s="6"/>
      <c r="AP138" s="6"/>
      <c r="AZ138" s="35" t="s">
        <v>110</v>
      </c>
      <c r="BA138" s="35"/>
      <c r="BB138" s="35"/>
      <c r="BC138" s="35"/>
      <c r="BD138" s="35"/>
      <c r="BE138" s="35"/>
      <c r="BF138" s="35"/>
      <c r="BG138" s="35"/>
      <c r="BH138" s="35"/>
      <c r="BI138" s="35"/>
    </row>
    <row r="139" spans="23:61">
      <c r="W139" s="34"/>
      <c r="X139" s="34"/>
      <c r="Y139" s="42" t="s">
        <v>128</v>
      </c>
      <c r="Z139" s="43"/>
      <c r="AA139" s="43"/>
      <c r="AB139" s="43"/>
      <c r="AC139" s="44"/>
      <c r="AD139" s="34" t="s">
        <v>97</v>
      </c>
      <c r="AE139" s="34"/>
      <c r="AF139" s="34"/>
      <c r="AG139" s="34"/>
      <c r="AH139" s="34"/>
      <c r="AI139" s="36" t="s">
        <v>129</v>
      </c>
      <c r="AJ139" s="37"/>
      <c r="AK139" s="37"/>
      <c r="AL139" s="38"/>
      <c r="AM139" s="36" t="s">
        <v>130</v>
      </c>
      <c r="AN139" s="37"/>
      <c r="AO139" s="37"/>
      <c r="AP139" s="38"/>
      <c r="AZ139" s="7"/>
      <c r="BA139" s="7"/>
      <c r="BB139" s="36" t="s">
        <v>135</v>
      </c>
      <c r="BC139" s="37"/>
      <c r="BD139" s="37"/>
      <c r="BE139" s="38"/>
      <c r="BF139" s="36" t="s">
        <v>98</v>
      </c>
      <c r="BG139" s="37"/>
      <c r="BH139" s="37"/>
      <c r="BI139" s="38"/>
    </row>
    <row r="140" spans="23:61">
      <c r="W140" s="21" t="s">
        <v>103</v>
      </c>
      <c r="X140" s="21" t="s">
        <v>92</v>
      </c>
      <c r="Y140" s="21" t="s">
        <v>104</v>
      </c>
      <c r="Z140" s="21" t="s">
        <v>14</v>
      </c>
      <c r="AA140" s="21" t="s">
        <v>15</v>
      </c>
      <c r="AB140" s="21" t="s">
        <v>13</v>
      </c>
      <c r="AC140" s="21" t="s">
        <v>102</v>
      </c>
      <c r="AD140" s="21" t="s">
        <v>104</v>
      </c>
      <c r="AE140" s="21" t="s">
        <v>14</v>
      </c>
      <c r="AF140" s="21" t="s">
        <v>15</v>
      </c>
      <c r="AG140" s="21" t="s">
        <v>13</v>
      </c>
      <c r="AH140" s="21" t="s">
        <v>102</v>
      </c>
      <c r="AI140" s="7" t="s">
        <v>14</v>
      </c>
      <c r="AJ140" s="7" t="s">
        <v>15</v>
      </c>
      <c r="AK140" s="7" t="s">
        <v>13</v>
      </c>
      <c r="AL140" s="7" t="s">
        <v>102</v>
      </c>
      <c r="AM140" s="7" t="s">
        <v>14</v>
      </c>
      <c r="AN140" s="7" t="s">
        <v>15</v>
      </c>
      <c r="AO140" s="7" t="s">
        <v>13</v>
      </c>
      <c r="AP140" s="7" t="s">
        <v>102</v>
      </c>
      <c r="AZ140" s="7" t="s">
        <v>91</v>
      </c>
      <c r="BA140" s="7" t="s">
        <v>103</v>
      </c>
      <c r="BB140" s="7" t="s">
        <v>14</v>
      </c>
      <c r="BC140" s="7" t="s">
        <v>15</v>
      </c>
      <c r="BD140" s="7" t="s">
        <v>13</v>
      </c>
      <c r="BE140" s="7" t="s">
        <v>102</v>
      </c>
      <c r="BF140" s="7" t="s">
        <v>14</v>
      </c>
      <c r="BG140" s="7" t="s">
        <v>15</v>
      </c>
      <c r="BH140" s="7" t="s">
        <v>13</v>
      </c>
      <c r="BI140" s="7" t="s">
        <v>102</v>
      </c>
    </row>
    <row r="141" spans="23:61">
      <c r="W141" s="21">
        <f t="shared" ref="W141:W179" si="2">W6*0.5</f>
        <v>0.5</v>
      </c>
      <c r="X141" s="21">
        <f>[2]基础状态预期!D152</f>
        <v>10.00263241450434</v>
      </c>
      <c r="Y141" s="21">
        <f>[2]基础状态预期!F152</f>
        <v>0</v>
      </c>
      <c r="Z141" s="21">
        <f>[2]基础状态预期!G152</f>
        <v>0</v>
      </c>
      <c r="AA141" s="21">
        <f>[2]基础状态预期!H152</f>
        <v>0</v>
      </c>
      <c r="AB141" s="21">
        <f>[2]基础状态预期!I152</f>
        <v>6</v>
      </c>
      <c r="AC141" s="21">
        <f>[2]基础状态预期!J152</f>
        <v>0</v>
      </c>
      <c r="AD141" s="21">
        <f>[2]基础状态预期!K152</f>
        <v>0</v>
      </c>
      <c r="AE141" s="21">
        <f>[2]基础状态预期!L152</f>
        <v>0</v>
      </c>
      <c r="AF141" s="21">
        <f>[2]基础状态预期!M152</f>
        <v>0</v>
      </c>
      <c r="AG141" s="21">
        <f>[2]基础状态预期!N152</f>
        <v>0</v>
      </c>
      <c r="AH141" s="21">
        <f>[2]基础状态预期!O152</f>
        <v>0</v>
      </c>
      <c r="AI141" s="7">
        <f>[2]各r阵容卡情况!G146</f>
        <v>5</v>
      </c>
      <c r="AJ141" s="7">
        <f>[2]各r阵容卡情况!H146</f>
        <v>2</v>
      </c>
      <c r="AK141" s="7">
        <f>[2]各r阵容卡情况!I146</f>
        <v>0</v>
      </c>
      <c r="AL141" s="7">
        <f>[2]各r阵容卡情况!J146</f>
        <v>0</v>
      </c>
      <c r="AM141" s="7">
        <f>[2]各r阵容卡情况!K146</f>
        <v>3</v>
      </c>
      <c r="AN141" s="7">
        <f>[2]各r阵容卡情况!L146</f>
        <v>2.174849098055744</v>
      </c>
      <c r="AO141" s="7">
        <f>[2]各r阵容卡情况!M146</f>
        <v>0</v>
      </c>
      <c r="AP141" s="7">
        <f>[2]各r阵容卡情况!N146</f>
        <v>0</v>
      </c>
      <c r="AZ141" s="7">
        <f>[3]基础状态预期!C152</f>
        <v>10.00263241450434</v>
      </c>
      <c r="BA141" s="7">
        <f>[3]基础状态预期!D152</f>
        <v>0.5</v>
      </c>
      <c r="BB141" s="7">
        <f>[3]基础状态预期!E152</f>
        <v>3</v>
      </c>
      <c r="BC141" s="7">
        <f>[3]基础状态预期!F152</f>
        <v>7</v>
      </c>
      <c r="BD141" s="7">
        <f>[3]基础状态预期!G152</f>
        <v>4</v>
      </c>
      <c r="BE141" s="7">
        <f>[3]基础状态预期!H152</f>
        <v>0</v>
      </c>
      <c r="BF141" s="7">
        <f>[3]基础状态预期!I152</f>
        <v>2.7724279730165442</v>
      </c>
      <c r="BG141" s="7">
        <f>[3]基础状态预期!J152</f>
        <v>2</v>
      </c>
      <c r="BH141" s="7">
        <f>[3]基础状态预期!K152</f>
        <v>3</v>
      </c>
      <c r="BI141" s="7">
        <f>[3]基础状态预期!L152</f>
        <v>0</v>
      </c>
    </row>
    <row r="142" spans="23:61">
      <c r="W142" s="21">
        <f t="shared" si="2"/>
        <v>1.5</v>
      </c>
      <c r="X142" s="21">
        <f>[2]基础状态预期!D153</f>
        <v>19.43005414991557</v>
      </c>
      <c r="Y142" s="21">
        <f>[2]基础状态预期!F153</f>
        <v>0</v>
      </c>
      <c r="Z142" s="21">
        <f>[2]基础状态预期!G153</f>
        <v>0</v>
      </c>
      <c r="AA142" s="21">
        <f>[2]基础状态预期!H153</f>
        <v>0</v>
      </c>
      <c r="AB142" s="21">
        <f>[2]基础状态预期!I153</f>
        <v>6</v>
      </c>
      <c r="AC142" s="21">
        <f>[2]基础状态预期!J153</f>
        <v>0</v>
      </c>
      <c r="AD142" s="21">
        <f>[2]基础状态预期!K153</f>
        <v>0</v>
      </c>
      <c r="AE142" s="21">
        <f>[2]基础状态预期!L153</f>
        <v>0</v>
      </c>
      <c r="AF142" s="21">
        <f>[2]基础状态预期!M153</f>
        <v>0</v>
      </c>
      <c r="AG142" s="21">
        <f>[2]基础状态预期!N153</f>
        <v>0</v>
      </c>
      <c r="AH142" s="21">
        <f>[2]基础状态预期!O153</f>
        <v>0</v>
      </c>
      <c r="AI142" s="7">
        <f>[2]各r阵容卡情况!G147</f>
        <v>6</v>
      </c>
      <c r="AJ142" s="7">
        <f>[2]各r阵容卡情况!H147</f>
        <v>4</v>
      </c>
      <c r="AK142" s="7">
        <f>[2]各r阵容卡情况!I147</f>
        <v>0</v>
      </c>
      <c r="AL142" s="7">
        <f>[2]各r阵容卡情况!J147</f>
        <v>0</v>
      </c>
      <c r="AM142" s="7">
        <f>[2]各r阵容卡情况!K147</f>
        <v>3</v>
      </c>
      <c r="AN142" s="7">
        <f>[2]各r阵容卡情况!L147</f>
        <v>4.3490379128662537</v>
      </c>
      <c r="AO142" s="7">
        <f>[2]各r阵容卡情况!M147</f>
        <v>0</v>
      </c>
      <c r="AP142" s="7">
        <f>[2]各r阵容卡情况!N147</f>
        <v>0</v>
      </c>
      <c r="AZ142" s="7">
        <f>[3]基础状态预期!C153</f>
        <v>19.43005414991557</v>
      </c>
      <c r="BA142" s="7">
        <f>[3]基础状态预期!D153</f>
        <v>1.5</v>
      </c>
      <c r="BB142" s="7">
        <f>[3]基础状态预期!E153</f>
        <v>3</v>
      </c>
      <c r="BC142" s="7">
        <f>[3]基础状态预期!F153</f>
        <v>7</v>
      </c>
      <c r="BD142" s="7">
        <f>[3]基础状态预期!G153</f>
        <v>9</v>
      </c>
      <c r="BE142" s="7">
        <f>[3]基础状态预期!H153</f>
        <v>0</v>
      </c>
      <c r="BF142" s="7">
        <f>[3]基础状态预期!I153</f>
        <v>4.1286262115242165</v>
      </c>
      <c r="BG142" s="7">
        <f>[3]基础状态预期!J153</f>
        <v>2.4594304459364871</v>
      </c>
      <c r="BH142" s="7">
        <f>[3]基础状态预期!K153</f>
        <v>3</v>
      </c>
      <c r="BI142" s="7">
        <f>[3]基础状态预期!L153</f>
        <v>0</v>
      </c>
    </row>
    <row r="143" spans="23:61">
      <c r="W143" s="21">
        <f t="shared" si="2"/>
        <v>3</v>
      </c>
      <c r="X143" s="21">
        <f>[2]基础状态预期!D154</f>
        <v>27.324610510337703</v>
      </c>
      <c r="Y143" s="21">
        <f>[2]基础状态预期!F154</f>
        <v>0</v>
      </c>
      <c r="Z143" s="21">
        <f>[2]基础状态预期!G154</f>
        <v>0</v>
      </c>
      <c r="AA143" s="21">
        <f>[2]基础状态预期!H154</f>
        <v>0</v>
      </c>
      <c r="AB143" s="21">
        <f>[2]基础状态预期!I154</f>
        <v>6</v>
      </c>
      <c r="AC143" s="21">
        <f>[2]基础状态预期!J154</f>
        <v>0</v>
      </c>
      <c r="AD143" s="21">
        <f>[2]基础状态预期!K154</f>
        <v>0</v>
      </c>
      <c r="AE143" s="21">
        <f>[2]基础状态预期!L154</f>
        <v>0</v>
      </c>
      <c r="AF143" s="21">
        <f>[2]基础状态预期!M154</f>
        <v>0</v>
      </c>
      <c r="AG143" s="21">
        <f>[2]基础状态预期!N154</f>
        <v>0.40521222492145181</v>
      </c>
      <c r="AH143" s="21">
        <f>[2]基础状态预期!O154</f>
        <v>0</v>
      </c>
      <c r="AI143" s="7">
        <f>[2]各r阵容卡情况!G148</f>
        <v>6</v>
      </c>
      <c r="AJ143" s="7">
        <f>[2]各r阵容卡情况!H148</f>
        <v>6</v>
      </c>
      <c r="AK143" s="7">
        <f>[2]各r阵容卡情况!I148</f>
        <v>0</v>
      </c>
      <c r="AL143" s="7">
        <f>[2]各r阵容卡情况!J148</f>
        <v>0</v>
      </c>
      <c r="AM143" s="7">
        <f>[2]各r阵容卡情况!K148</f>
        <v>3</v>
      </c>
      <c r="AN143" s="7">
        <f>[2]各r阵容卡情况!L148</f>
        <v>5.8917128593494938</v>
      </c>
      <c r="AO143" s="7">
        <f>[2]各r阵容卡情况!M148</f>
        <v>0.40521222492145181</v>
      </c>
      <c r="AP143" s="7">
        <f>[2]各r阵容卡情况!N148</f>
        <v>0</v>
      </c>
      <c r="AZ143" s="7">
        <f>[3]基础状态预期!C154</f>
        <v>27.324610510337703</v>
      </c>
      <c r="BA143" s="7">
        <f>[3]基础状态预期!D154</f>
        <v>3</v>
      </c>
      <c r="BB143" s="7">
        <f>[3]基础状态预期!E154</f>
        <v>3</v>
      </c>
      <c r="BC143" s="7">
        <f>[3]基础状态预期!F154</f>
        <v>7</v>
      </c>
      <c r="BD143" s="7">
        <f>[3]基础状态预期!G154</f>
        <v>15</v>
      </c>
      <c r="BE143" s="7">
        <f>[3]基础状态预期!H154</f>
        <v>0</v>
      </c>
      <c r="BF143" s="7">
        <f>[3]基础状态预期!I154</f>
        <v>4.8558628865720515</v>
      </c>
      <c r="BG143" s="7">
        <f>[3]基础状态预期!J154</f>
        <v>3.199911349076757</v>
      </c>
      <c r="BH143" s="7">
        <f>[3]基础状态预期!K154</f>
        <v>3</v>
      </c>
      <c r="BI143" s="7">
        <f>[3]基础状态预期!L154</f>
        <v>0</v>
      </c>
    </row>
    <row r="144" spans="23:61">
      <c r="W144" s="21">
        <f t="shared" si="2"/>
        <v>5</v>
      </c>
      <c r="X144" s="21">
        <f>[2]基础状态预期!D155</f>
        <v>33.672145166817529</v>
      </c>
      <c r="Y144" s="21">
        <f>[2]基础状态预期!F155</f>
        <v>0</v>
      </c>
      <c r="Z144" s="21">
        <f>[2]基础状态预期!G155</f>
        <v>0</v>
      </c>
      <c r="AA144" s="21">
        <f>[2]基础状态预期!H155</f>
        <v>0</v>
      </c>
      <c r="AB144" s="21">
        <f>[2]基础状态预期!I155</f>
        <v>6</v>
      </c>
      <c r="AC144" s="21">
        <f>[2]基础状态预期!J155</f>
        <v>0</v>
      </c>
      <c r="AD144" s="21">
        <f>[2]基础状态预期!K155</f>
        <v>0</v>
      </c>
      <c r="AE144" s="21">
        <f>[2]基础状态预期!L155</f>
        <v>0</v>
      </c>
      <c r="AF144" s="21">
        <f>[2]基础状态预期!M155</f>
        <v>0</v>
      </c>
      <c r="AG144" s="21">
        <f>[2]基础状态预期!N155</f>
        <v>1.0971453345747504</v>
      </c>
      <c r="AH144" s="21">
        <f>[2]基础状态预期!O155</f>
        <v>0</v>
      </c>
      <c r="AI144" s="7">
        <f>[2]各r阵容卡情况!G149</f>
        <v>6</v>
      </c>
      <c r="AJ144" s="7">
        <f>[2]各r阵容卡情况!H149</f>
        <v>8</v>
      </c>
      <c r="AK144" s="7">
        <f>[2]各r阵容卡情况!I149</f>
        <v>0</v>
      </c>
      <c r="AL144" s="7">
        <f>[2]各r阵容卡情况!J149</f>
        <v>0</v>
      </c>
      <c r="AM144" s="7">
        <f>[2]各r阵容卡情况!K149</f>
        <v>3</v>
      </c>
      <c r="AN144" s="7">
        <f>[2]各r阵容卡情况!L149</f>
        <v>6</v>
      </c>
      <c r="AO144" s="7">
        <f>[2]各r阵容卡情况!M149</f>
        <v>1.0971453345747504</v>
      </c>
      <c r="AP144" s="7">
        <f>[2]各r阵容卡情况!N149</f>
        <v>0</v>
      </c>
      <c r="AZ144" s="7">
        <f>[3]基础状态预期!C155</f>
        <v>33.672145166817529</v>
      </c>
      <c r="BA144" s="7">
        <f>[3]基础状态预期!D155</f>
        <v>5</v>
      </c>
      <c r="BB144" s="7">
        <f>[3]基础状态预期!E155</f>
        <v>3</v>
      </c>
      <c r="BC144" s="7">
        <f>[3]基础状态预期!F155</f>
        <v>7</v>
      </c>
      <c r="BD144" s="7">
        <f>[3]基础状态预期!G155</f>
        <v>20</v>
      </c>
      <c r="BE144" s="7">
        <f>[3]基础状态预期!H155</f>
        <v>0</v>
      </c>
      <c r="BF144" s="7">
        <f>[3]基础状态预期!I155</f>
        <v>5.4127558933179154</v>
      </c>
      <c r="BG144" s="7">
        <f>[3]基础状态预期!J155</f>
        <v>3.8268395172214422</v>
      </c>
      <c r="BH144" s="7">
        <f>[3]基础状态预期!K155</f>
        <v>3</v>
      </c>
      <c r="BI144" s="7">
        <f>[3]基础状态预期!L155</f>
        <v>0</v>
      </c>
    </row>
    <row r="145" spans="23:61">
      <c r="W145" s="21">
        <f t="shared" si="2"/>
        <v>7.5</v>
      </c>
      <c r="X145" s="21">
        <f>[2]基础状态预期!D156</f>
        <v>39.138098927718012</v>
      </c>
      <c r="Y145" s="21">
        <f>[2]基础状态预期!F156</f>
        <v>0</v>
      </c>
      <c r="Z145" s="21">
        <f>[2]基础状态预期!G156</f>
        <v>0</v>
      </c>
      <c r="AA145" s="21">
        <f>[2]基础状态预期!H156</f>
        <v>0</v>
      </c>
      <c r="AB145" s="21">
        <f>[2]基础状态预期!I156</f>
        <v>6</v>
      </c>
      <c r="AC145" s="21">
        <f>[2]基础状态预期!J156</f>
        <v>0</v>
      </c>
      <c r="AD145" s="21">
        <f>[2]基础状态预期!K156</f>
        <v>0</v>
      </c>
      <c r="AE145" s="21">
        <f>[2]基础状态预期!L156</f>
        <v>0</v>
      </c>
      <c r="AF145" s="21">
        <f>[2]基础状态预期!M156</f>
        <v>0</v>
      </c>
      <c r="AG145" s="21">
        <f>[2]基础状态预期!N156</f>
        <v>1.9079626268144594</v>
      </c>
      <c r="AH145" s="21">
        <f>[2]基础状态预期!O156</f>
        <v>0</v>
      </c>
      <c r="AI145" s="7">
        <f>[2]各r阵容卡情况!G150</f>
        <v>0</v>
      </c>
      <c r="AJ145" s="7">
        <f>[2]各r阵容卡情况!H150</f>
        <v>10</v>
      </c>
      <c r="AK145" s="7">
        <f>[2]各r阵容卡情况!I150</f>
        <v>6</v>
      </c>
      <c r="AL145" s="7">
        <f>[2]各r阵容卡情况!J150</f>
        <v>0</v>
      </c>
      <c r="AM145" s="7">
        <f>[2]各r阵容卡情况!K150</f>
        <v>3</v>
      </c>
      <c r="AN145" s="7">
        <f>[2]各r阵容卡情况!L150</f>
        <v>6</v>
      </c>
      <c r="AO145" s="7">
        <f>[2]各r阵容卡情况!M150</f>
        <v>1.9079626268144594</v>
      </c>
      <c r="AP145" s="7">
        <f>[2]各r阵容卡情况!N150</f>
        <v>0</v>
      </c>
      <c r="AZ145" s="7">
        <f>[3]基础状态预期!C156</f>
        <v>39.138098927718012</v>
      </c>
      <c r="BA145" s="7">
        <f>[3]基础状态预期!D156</f>
        <v>7.5</v>
      </c>
      <c r="BB145" s="7">
        <f>[3]基础状态预期!E156</f>
        <v>3</v>
      </c>
      <c r="BC145" s="7">
        <f>[3]基础状态预期!F156</f>
        <v>7</v>
      </c>
      <c r="BD145" s="7">
        <f>[3]基础状态预期!G156</f>
        <v>20</v>
      </c>
      <c r="BE145" s="7">
        <f>[3]基础状态预期!H156</f>
        <v>0</v>
      </c>
      <c r="BF145" s="7">
        <f>[3]基础状态预期!I156</f>
        <v>6.0011906242287756</v>
      </c>
      <c r="BG145" s="7">
        <f>[3]基础状态预期!J156</f>
        <v>4.2946430485716931</v>
      </c>
      <c r="BH145" s="7">
        <f>[3]基础状态预期!K156</f>
        <v>3.380952585143139</v>
      </c>
      <c r="BI145" s="7">
        <f>[3]基础状态预期!L156</f>
        <v>0</v>
      </c>
    </row>
    <row r="146" spans="23:61">
      <c r="W146" s="21">
        <f t="shared" si="2"/>
        <v>10</v>
      </c>
      <c r="X146" s="21">
        <f>[2]基础状态预期!D157</f>
        <v>42.970748198558951</v>
      </c>
      <c r="Y146" s="21">
        <f>[2]基础状态预期!F157</f>
        <v>0</v>
      </c>
      <c r="Z146" s="21">
        <f>[2]基础状态预期!G157</f>
        <v>0</v>
      </c>
      <c r="AA146" s="21">
        <f>[2]基础状态预期!H157</f>
        <v>0</v>
      </c>
      <c r="AB146" s="21">
        <f>[2]基础状态预期!I157</f>
        <v>6</v>
      </c>
      <c r="AC146" s="21">
        <f>[2]基础状态预期!J157</f>
        <v>0</v>
      </c>
      <c r="AD146" s="21">
        <f>[2]基础状态预期!K157</f>
        <v>0</v>
      </c>
      <c r="AE146" s="21">
        <f>[2]基础状态预期!L157</f>
        <v>0</v>
      </c>
      <c r="AF146" s="21">
        <f>[2]基础状态预期!M157</f>
        <v>0</v>
      </c>
      <c r="AG146" s="21">
        <f>[2]基础状态预期!N157</f>
        <v>2.6074663889615612</v>
      </c>
      <c r="AH146" s="21">
        <f>[2]基础状态预期!O157</f>
        <v>0</v>
      </c>
      <c r="AI146" s="7">
        <f>[2]各r阵容卡情况!G151</f>
        <v>0</v>
      </c>
      <c r="AJ146" s="7">
        <f>[2]各r阵容卡情况!H151</f>
        <v>11</v>
      </c>
      <c r="AK146" s="7">
        <f>[2]各r阵容卡情况!I151</f>
        <v>7</v>
      </c>
      <c r="AL146" s="7">
        <f>[2]各r阵容卡情况!J151</f>
        <v>0</v>
      </c>
      <c r="AM146" s="7">
        <f>[2]各r阵容卡情况!K151</f>
        <v>3</v>
      </c>
      <c r="AN146" s="7">
        <f>[2]各r阵容卡情况!L151</f>
        <v>6</v>
      </c>
      <c r="AO146" s="7">
        <f>[2]各r阵容卡情况!M151</f>
        <v>2.6074663889615612</v>
      </c>
      <c r="AP146" s="7">
        <f>[2]各r阵容卡情况!N151</f>
        <v>0</v>
      </c>
      <c r="AZ146" s="7">
        <f>[3]基础状态预期!C157</f>
        <v>42.970748198558951</v>
      </c>
      <c r="BA146" s="7">
        <f>[3]基础状态预期!D157</f>
        <v>10</v>
      </c>
      <c r="BB146" s="7">
        <f>[3]基础状态预期!E157</f>
        <v>3</v>
      </c>
      <c r="BC146" s="7">
        <f>[3]基础状态预期!F157</f>
        <v>7</v>
      </c>
      <c r="BD146" s="7">
        <f>[3]基础状态预期!G157</f>
        <v>20</v>
      </c>
      <c r="BE146" s="7">
        <f>[3]基础状态预期!H157</f>
        <v>0</v>
      </c>
      <c r="BF146" s="7">
        <f>[3]基础状态预期!I157</f>
        <v>6.2631928869981417</v>
      </c>
      <c r="BG146" s="7">
        <f>[3]基础状态预期!J157</f>
        <v>4.6334390780148382</v>
      </c>
      <c r="BH146" s="7">
        <f>[3]基础状态预期!K157</f>
        <v>3.7423350165491609</v>
      </c>
      <c r="BI146" s="7">
        <f>[3]基础状态预期!L157</f>
        <v>0</v>
      </c>
    </row>
    <row r="147" spans="23:61">
      <c r="W147" s="21">
        <f t="shared" si="2"/>
        <v>15</v>
      </c>
      <c r="X147" s="21">
        <f>[2]基础状态预期!D158</f>
        <v>48.731413734867289</v>
      </c>
      <c r="Y147" s="21">
        <f>[2]基础状态预期!F158</f>
        <v>0</v>
      </c>
      <c r="Z147" s="21">
        <f>[2]基础状态预期!G158</f>
        <v>0</v>
      </c>
      <c r="AA147" s="21">
        <f>[2]基础状态预期!H158</f>
        <v>0</v>
      </c>
      <c r="AB147" s="21">
        <f>[2]基础状态预期!I158</f>
        <v>6</v>
      </c>
      <c r="AC147" s="21">
        <f>[2]基础状态预期!J158</f>
        <v>0</v>
      </c>
      <c r="AD147" s="21">
        <f>[2]基础状态预期!K158</f>
        <v>0</v>
      </c>
      <c r="AE147" s="21">
        <f>[2]基础状态预期!L158</f>
        <v>0</v>
      </c>
      <c r="AF147" s="21">
        <f>[2]基础状态预期!M158</f>
        <v>0</v>
      </c>
      <c r="AG147" s="21">
        <f>[2]基础状态预期!N158</f>
        <v>3.4257104915500984</v>
      </c>
      <c r="AH147" s="21">
        <f>[2]基础状态预期!O158</f>
        <v>0</v>
      </c>
      <c r="AI147" s="7">
        <f>[2]各r阵容卡情况!G152</f>
        <v>0</v>
      </c>
      <c r="AJ147" s="7">
        <f>[2]各r阵容卡情况!H152</f>
        <v>14</v>
      </c>
      <c r="AK147" s="7">
        <f>[2]各r阵容卡情况!I152</f>
        <v>8</v>
      </c>
      <c r="AL147" s="7">
        <f>[2]各r阵容卡情况!J152</f>
        <v>0</v>
      </c>
      <c r="AM147" s="7">
        <f>[2]各r阵容卡情况!K152</f>
        <v>3</v>
      </c>
      <c r="AN147" s="7">
        <f>[2]各r阵容卡情况!L152</f>
        <v>6</v>
      </c>
      <c r="AO147" s="7">
        <f>[2]各r阵容卡情况!M152</f>
        <v>3.4257104915500984</v>
      </c>
      <c r="AP147" s="7">
        <f>[2]各r阵容卡情况!N152</f>
        <v>0</v>
      </c>
      <c r="AZ147" s="7">
        <f>[3]基础状态预期!C158</f>
        <v>48.731413734867289</v>
      </c>
      <c r="BA147" s="7">
        <f>[3]基础状态预期!D158</f>
        <v>15</v>
      </c>
      <c r="BB147" s="7">
        <f>[3]基础状态预期!E158</f>
        <v>3</v>
      </c>
      <c r="BC147" s="7">
        <f>[3]基础状态预期!F158</f>
        <v>7</v>
      </c>
      <c r="BD147" s="7">
        <f>[3]基础状态预期!G158</f>
        <v>20</v>
      </c>
      <c r="BE147" s="7">
        <f>[3]基础状态预期!H158</f>
        <v>0</v>
      </c>
      <c r="BF147" s="7">
        <f>[3]基础状态预期!I158</f>
        <v>6.7768185323339063</v>
      </c>
      <c r="BG147" s="7">
        <f>[3]基础状态预期!J158</f>
        <v>5.1488050855607153</v>
      </c>
      <c r="BH147" s="7">
        <f>[3]基础状态预期!K158</f>
        <v>4.2253920912647631</v>
      </c>
      <c r="BI147" s="7">
        <f>[3]基础状态预期!L158</f>
        <v>0</v>
      </c>
    </row>
    <row r="148" spans="23:61">
      <c r="W148" s="21">
        <f t="shared" si="2"/>
        <v>20</v>
      </c>
      <c r="X148" s="21">
        <f>[2]基础状态预期!D159</f>
        <v>52.769987980532711</v>
      </c>
      <c r="Y148" s="21">
        <f>[2]基础状态预期!F159</f>
        <v>0</v>
      </c>
      <c r="Z148" s="21">
        <f>[2]基础状态预期!G159</f>
        <v>0</v>
      </c>
      <c r="AA148" s="21">
        <f>[2]基础状态预期!H159</f>
        <v>0</v>
      </c>
      <c r="AB148" s="21">
        <f>[2]基础状态预期!I159</f>
        <v>5</v>
      </c>
      <c r="AC148" s="21">
        <f>[2]基础状态预期!J159</f>
        <v>1</v>
      </c>
      <c r="AD148" s="21">
        <f>[2]基础状态预期!K159</f>
        <v>0</v>
      </c>
      <c r="AE148" s="21">
        <f>[2]基础状态预期!L159</f>
        <v>0</v>
      </c>
      <c r="AF148" s="21">
        <f>[2]基础状态预期!M159</f>
        <v>0</v>
      </c>
      <c r="AG148" s="21">
        <f>[2]基础状态预期!N159</f>
        <v>3.9460188324987273</v>
      </c>
      <c r="AH148" s="21">
        <f>[2]基础状态预期!O159</f>
        <v>0</v>
      </c>
      <c r="AI148" s="7">
        <f>[2]各r阵容卡情况!G153</f>
        <v>0</v>
      </c>
      <c r="AJ148" s="7">
        <f>[2]各r阵容卡情况!H153</f>
        <v>15</v>
      </c>
      <c r="AK148" s="7">
        <f>[2]各r阵容卡情况!I153</f>
        <v>9</v>
      </c>
      <c r="AL148" s="7">
        <f>[2]各r阵容卡情况!J153</f>
        <v>0</v>
      </c>
      <c r="AM148" s="7">
        <f>[2]各r阵容卡情况!K153</f>
        <v>3</v>
      </c>
      <c r="AN148" s="7">
        <f>[2]各r阵容卡情况!L153</f>
        <v>6</v>
      </c>
      <c r="AO148" s="7">
        <f>[2]各r阵容卡情况!M153</f>
        <v>3.9460188324987273</v>
      </c>
      <c r="AP148" s="7">
        <f>[2]各r阵容卡情况!N153</f>
        <v>0</v>
      </c>
      <c r="AZ148" s="7">
        <f>[3]基础状态预期!C159</f>
        <v>52.769987980532711</v>
      </c>
      <c r="BA148" s="7">
        <f>[3]基础状态预期!D159</f>
        <v>20</v>
      </c>
      <c r="BB148" s="7">
        <f>[3]基础状态预期!E159</f>
        <v>3</v>
      </c>
      <c r="BC148" s="7">
        <f>[3]基础状态预期!F159</f>
        <v>7</v>
      </c>
      <c r="BD148" s="7">
        <f>[3]基础状态预期!G159</f>
        <v>20</v>
      </c>
      <c r="BE148" s="7">
        <f>[3]基础状态预期!H159</f>
        <v>0</v>
      </c>
      <c r="BF148" s="7">
        <f>[3]基础状态预期!I159</f>
        <v>7</v>
      </c>
      <c r="BG148" s="7">
        <f>[3]基础状态预期!J159</f>
        <v>5.4540487005546119</v>
      </c>
      <c r="BH148" s="7">
        <f>[3]基础状态预期!K159</f>
        <v>4.5509852805915854</v>
      </c>
      <c r="BI148" s="7">
        <f>[3]基础状态预期!L159</f>
        <v>0</v>
      </c>
    </row>
    <row r="149" spans="23:61">
      <c r="W149" s="21">
        <f t="shared" si="2"/>
        <v>30</v>
      </c>
      <c r="X149" s="21">
        <f>[2]基础状态预期!D160</f>
        <v>58.701446767877648</v>
      </c>
      <c r="Y149" s="21">
        <f>[2]基础状态预期!F160</f>
        <v>0</v>
      </c>
      <c r="Z149" s="21">
        <f>[2]基础状态预期!G160</f>
        <v>0</v>
      </c>
      <c r="AA149" s="21">
        <f>[2]基础状态预期!H160</f>
        <v>0</v>
      </c>
      <c r="AB149" s="21">
        <f>[2]基础状态预期!I160</f>
        <v>4</v>
      </c>
      <c r="AC149" s="21">
        <f>[2]基础状态预期!J160</f>
        <v>2</v>
      </c>
      <c r="AD149" s="21">
        <f>[2]基础状态预期!K160</f>
        <v>0</v>
      </c>
      <c r="AE149" s="21">
        <f>[2]基础状态预期!L160</f>
        <v>0</v>
      </c>
      <c r="AF149" s="21">
        <f>[2]基础状态预期!M160</f>
        <v>0</v>
      </c>
      <c r="AG149" s="21">
        <f>[2]基础状态预期!N160</f>
        <v>4.7477779650018288</v>
      </c>
      <c r="AH149" s="21">
        <f>[2]基础状态预期!O160</f>
        <v>0.36649900938125635</v>
      </c>
      <c r="AI149" s="7">
        <f>[2]各r阵容卡情况!G154</f>
        <v>0</v>
      </c>
      <c r="AJ149" s="7">
        <f>[2]各r阵容卡情况!H154</f>
        <v>8</v>
      </c>
      <c r="AK149" s="7">
        <f>[2]各r阵容卡情况!I154</f>
        <v>16</v>
      </c>
      <c r="AL149" s="7">
        <f>[2]各r阵容卡情况!J154</f>
        <v>0</v>
      </c>
      <c r="AM149" s="7">
        <f>[2]各r阵容卡情况!K154</f>
        <v>3</v>
      </c>
      <c r="AN149" s="7">
        <f>[2]各r阵容卡情况!L154</f>
        <v>6</v>
      </c>
      <c r="AO149" s="7">
        <f>[2]各r阵容卡情况!M154</f>
        <v>4.7477779650018288</v>
      </c>
      <c r="AP149" s="7">
        <f>[2]各r阵容卡情况!N154</f>
        <v>0.36649900938125635</v>
      </c>
      <c r="AZ149" s="7">
        <f>[3]基础状态预期!C160</f>
        <v>58.701446767877648</v>
      </c>
      <c r="BA149" s="7">
        <f>[3]基础状态预期!D160</f>
        <v>30</v>
      </c>
      <c r="BB149" s="7">
        <f>[3]基础状态预期!E160</f>
        <v>3</v>
      </c>
      <c r="BC149" s="7">
        <f>[3]基础状态预期!F160</f>
        <v>7</v>
      </c>
      <c r="BD149" s="7">
        <f>[3]基础状态预期!G160</f>
        <v>20</v>
      </c>
      <c r="BE149" s="7">
        <f>[3]基础状态预期!H160</f>
        <v>1</v>
      </c>
      <c r="BF149" s="7">
        <f>[3]基础状态预期!I160</f>
        <v>7</v>
      </c>
      <c r="BG149" s="7">
        <f>[3]基础状态预期!J160</f>
        <v>6.0330608425622376</v>
      </c>
      <c r="BH149" s="7">
        <f>[3]基础状态预期!K160</f>
        <v>5.088874008395563</v>
      </c>
      <c r="BI149" s="7">
        <f>[3]基础状态预期!L160</f>
        <v>0</v>
      </c>
    </row>
    <row r="150" spans="23:61">
      <c r="W150" s="21">
        <f t="shared" si="2"/>
        <v>45</v>
      </c>
      <c r="X150" s="21">
        <f>[2]基础状态预期!D161</f>
        <v>64.399012521055653</v>
      </c>
      <c r="Y150" s="21">
        <f>[2]基础状态预期!F161</f>
        <v>0</v>
      </c>
      <c r="Z150" s="21">
        <f>[2]基础状态预期!G161</f>
        <v>0</v>
      </c>
      <c r="AA150" s="21">
        <f>[2]基础状态预期!H161</f>
        <v>0</v>
      </c>
      <c r="AB150" s="21">
        <f>[2]基础状态预期!I161</f>
        <v>3</v>
      </c>
      <c r="AC150" s="21">
        <f>[2]基础状态预期!J161</f>
        <v>3</v>
      </c>
      <c r="AD150" s="21">
        <f>[2]基础状态预期!K161</f>
        <v>0</v>
      </c>
      <c r="AE150" s="21">
        <f>[2]基础状态预期!L161</f>
        <v>0</v>
      </c>
      <c r="AF150" s="21">
        <f>[2]基础状态预期!M161</f>
        <v>0</v>
      </c>
      <c r="AG150" s="21">
        <f>[2]基础状态预期!N161</f>
        <v>5.2956035757558197</v>
      </c>
      <c r="AH150" s="21">
        <f>[2]基础状态预期!O161</f>
        <v>2.0297573350271727</v>
      </c>
      <c r="AI150" s="7">
        <f>[2]各r阵容卡情况!G155</f>
        <v>0</v>
      </c>
      <c r="AJ150" s="7">
        <f>[2]各r阵容卡情况!H155</f>
        <v>4</v>
      </c>
      <c r="AK150" s="7">
        <f>[2]各r阵容卡情况!I155</f>
        <v>20</v>
      </c>
      <c r="AL150" s="7">
        <f>[2]各r阵容卡情况!J155</f>
        <v>0</v>
      </c>
      <c r="AM150" s="7">
        <f>[2]各r阵容卡情况!K155</f>
        <v>3</v>
      </c>
      <c r="AN150" s="7">
        <f>[2]各r阵容卡情况!L155</f>
        <v>6</v>
      </c>
      <c r="AO150" s="7">
        <f>[2]各r阵容卡情况!M155</f>
        <v>5.2956035757558197</v>
      </c>
      <c r="AP150" s="7">
        <f>[2]各r阵容卡情况!N155</f>
        <v>2.0297573350271727</v>
      </c>
      <c r="AZ150" s="7">
        <f>[3]基础状态预期!C161</f>
        <v>64.399012521055653</v>
      </c>
      <c r="BA150" s="7">
        <f>[3]基础状态预期!D161</f>
        <v>45</v>
      </c>
      <c r="BB150" s="7">
        <f>[3]基础状态预期!E161</f>
        <v>3</v>
      </c>
      <c r="BC150" s="7">
        <f>[3]基础状态预期!F161</f>
        <v>7</v>
      </c>
      <c r="BD150" s="7">
        <f>[3]基础状态预期!G161</f>
        <v>20</v>
      </c>
      <c r="BE150" s="7">
        <f>[3]基础状态预期!H161</f>
        <v>2</v>
      </c>
      <c r="BF150" s="7">
        <f>[3]基础状态预期!I161</f>
        <v>7</v>
      </c>
      <c r="BG150" s="7">
        <f>[3]基础状态预期!J161</f>
        <v>6.5180355182709757</v>
      </c>
      <c r="BH150" s="7">
        <f>[3]基础状态预期!K161</f>
        <v>5.5647958234910719</v>
      </c>
      <c r="BI150" s="7">
        <f>[3]基础状态预期!L161</f>
        <v>3</v>
      </c>
    </row>
    <row r="151" spans="23:61">
      <c r="W151" s="21">
        <f t="shared" si="2"/>
        <v>60</v>
      </c>
      <c r="X151" s="21">
        <f>[2]基础状态预期!D162</f>
        <v>68.627579426319684</v>
      </c>
      <c r="Y151" s="21">
        <f>[2]基础状态预期!F162</f>
        <v>0</v>
      </c>
      <c r="Z151" s="21">
        <f>[2]基础状态预期!G162</f>
        <v>0</v>
      </c>
      <c r="AA151" s="21">
        <f>[2]基础状态预期!H162</f>
        <v>0</v>
      </c>
      <c r="AB151" s="21">
        <f>[2]基础状态预期!I162</f>
        <v>2</v>
      </c>
      <c r="AC151" s="21">
        <f>[2]基础状态预期!J162</f>
        <v>4</v>
      </c>
      <c r="AD151" s="21">
        <f>[2]基础状态预期!K162</f>
        <v>0</v>
      </c>
      <c r="AE151" s="21">
        <f>[2]基础状态预期!L162</f>
        <v>0</v>
      </c>
      <c r="AF151" s="21">
        <f>[2]基础状态预期!M162</f>
        <v>0</v>
      </c>
      <c r="AG151" s="21">
        <f>[2]基础状态预期!N162</f>
        <v>5.7489151462672803</v>
      </c>
      <c r="AH151" s="21">
        <f>[2]基础状态预期!O162</f>
        <v>2.8222363906883587</v>
      </c>
      <c r="AI151" s="7">
        <f>[2]各r阵容卡情况!G156</f>
        <v>0</v>
      </c>
      <c r="AJ151" s="7">
        <f>[2]各r阵容卡情况!H156</f>
        <v>4</v>
      </c>
      <c r="AK151" s="7">
        <f>[2]各r阵容卡情况!I156</f>
        <v>20</v>
      </c>
      <c r="AL151" s="7">
        <f>[2]各r阵容卡情况!J156</f>
        <v>0</v>
      </c>
      <c r="AM151" s="7">
        <f>[2]各r阵容卡情况!K156</f>
        <v>3</v>
      </c>
      <c r="AN151" s="7">
        <f>[2]各r阵容卡情况!L156</f>
        <v>6</v>
      </c>
      <c r="AO151" s="7">
        <f>[2]各r阵容卡情况!M156</f>
        <v>5.7489151462672803</v>
      </c>
      <c r="AP151" s="7">
        <f>[2]各r阵容卡情况!N156</f>
        <v>2.8222363906883587</v>
      </c>
      <c r="AZ151" s="7">
        <f>[3]基础状态预期!C162</f>
        <v>68.627579426319684</v>
      </c>
      <c r="BA151" s="7">
        <f>[3]基础状态预期!D162</f>
        <v>60</v>
      </c>
      <c r="BB151" s="7">
        <f>[3]基础状态预期!E162</f>
        <v>3</v>
      </c>
      <c r="BC151" s="7">
        <f>[3]基础状态预期!F162</f>
        <v>7</v>
      </c>
      <c r="BD151" s="7">
        <f>[3]基础状态预期!G162</f>
        <v>20</v>
      </c>
      <c r="BE151" s="7">
        <f>[3]基础状态预期!H162</f>
        <v>3</v>
      </c>
      <c r="BF151" s="7">
        <f>[3]基础状态预期!I162</f>
        <v>7</v>
      </c>
      <c r="BG151" s="7">
        <f>[3]基础状态预期!J162</f>
        <v>7</v>
      </c>
      <c r="BH151" s="7">
        <f>[3]基础状态预期!K162</f>
        <v>5.9793174687175448</v>
      </c>
      <c r="BI151" s="7">
        <f>[3]基础状态预期!L162</f>
        <v>3</v>
      </c>
    </row>
    <row r="152" spans="23:61">
      <c r="W152" s="21">
        <f t="shared" si="2"/>
        <v>75</v>
      </c>
      <c r="X152" s="21">
        <f>[2]基础状态预期!D163</f>
        <v>71.882008108111634</v>
      </c>
      <c r="Y152" s="21">
        <f>[2]基础状态预期!F163</f>
        <v>0</v>
      </c>
      <c r="Z152" s="21">
        <f>[2]基础状态预期!G163</f>
        <v>0</v>
      </c>
      <c r="AA152" s="21">
        <f>[2]基础状态预期!H163</f>
        <v>0</v>
      </c>
      <c r="AB152" s="21">
        <f>[2]基础状态预期!I163</f>
        <v>1</v>
      </c>
      <c r="AC152" s="21">
        <f>[2]基础状态预期!J163</f>
        <v>5</v>
      </c>
      <c r="AD152" s="21">
        <f>[2]基础状态预期!K163</f>
        <v>0</v>
      </c>
      <c r="AE152" s="21">
        <f>[2]基础状态预期!L163</f>
        <v>0</v>
      </c>
      <c r="AF152" s="21">
        <f>[2]基础状态预期!M163</f>
        <v>0</v>
      </c>
      <c r="AG152" s="21">
        <f>[2]基础状态预期!N163</f>
        <v>6.1926945819947017</v>
      </c>
      <c r="AH152" s="21">
        <f>[2]基础状态预期!O163</f>
        <v>3.134563709866474</v>
      </c>
      <c r="AI152" s="7">
        <f>[2]各r阵容卡情况!G157</f>
        <v>0</v>
      </c>
      <c r="AJ152" s="7">
        <f>[2]各r阵容卡情况!H157</f>
        <v>2</v>
      </c>
      <c r="AK152" s="7">
        <f>[2]各r阵容卡情况!I157</f>
        <v>20</v>
      </c>
      <c r="AL152" s="7">
        <f>[2]各r阵容卡情况!J157</f>
        <v>0</v>
      </c>
      <c r="AM152" s="7">
        <f>[2]各r阵容卡情况!K157</f>
        <v>3</v>
      </c>
      <c r="AN152" s="7">
        <f>[2]各r阵容卡情况!L157</f>
        <v>6</v>
      </c>
      <c r="AO152" s="7">
        <f>[2]各r阵容卡情况!M157</f>
        <v>6.1926945819947017</v>
      </c>
      <c r="AP152" s="7">
        <f>[2]各r阵容卡情况!N157</f>
        <v>3.134563709866474</v>
      </c>
      <c r="AZ152" s="7">
        <f>[3]基础状态预期!C163</f>
        <v>71.882008108111634</v>
      </c>
      <c r="BA152" s="7">
        <f>[3]基础状态预期!D163</f>
        <v>75</v>
      </c>
      <c r="BB152" s="7">
        <f>[3]基础状态预期!E163</f>
        <v>3</v>
      </c>
      <c r="BC152" s="7">
        <f>[3]基础状态预期!F163</f>
        <v>7</v>
      </c>
      <c r="BD152" s="7">
        <f>[3]基础状态预期!G163</f>
        <v>20</v>
      </c>
      <c r="BE152" s="7">
        <f>[3]基础状态预期!H163</f>
        <v>4</v>
      </c>
      <c r="BF152" s="7">
        <f>[3]基础状态预期!I163</f>
        <v>7</v>
      </c>
      <c r="BG152" s="7">
        <f>[3]基础状态预期!J163</f>
        <v>7</v>
      </c>
      <c r="BH152" s="7">
        <f>[3]基础状态预期!K163</f>
        <v>6.1451043513187003</v>
      </c>
      <c r="BI152" s="7">
        <f>[3]基础状态预期!L163</f>
        <v>3.2525713025753991</v>
      </c>
    </row>
    <row r="153" spans="23:61">
      <c r="W153" s="21">
        <f t="shared" si="2"/>
        <v>90</v>
      </c>
      <c r="X153" s="21">
        <f>[2]基础状态预期!D164</f>
        <v>74.493385467679886</v>
      </c>
      <c r="Y153" s="21">
        <f>[2]基础状态预期!F164</f>
        <v>0</v>
      </c>
      <c r="Z153" s="21">
        <f>[2]基础状态预期!G164</f>
        <v>0</v>
      </c>
      <c r="AA153" s="21">
        <f>[2]基础状态预期!H164</f>
        <v>0</v>
      </c>
      <c r="AB153" s="21">
        <f>[2]基础状态预期!I164</f>
        <v>0.5</v>
      </c>
      <c r="AC153" s="21">
        <f>[2]基础状态预期!J164</f>
        <v>5.5</v>
      </c>
      <c r="AD153" s="21">
        <f>[2]基础状态预期!K164</f>
        <v>0</v>
      </c>
      <c r="AE153" s="21">
        <f>[2]基础状态预期!L164</f>
        <v>0</v>
      </c>
      <c r="AF153" s="21">
        <f>[2]基础状态预期!M164</f>
        <v>0</v>
      </c>
      <c r="AG153" s="21">
        <f>[2]基础状态预期!N164</f>
        <v>6.6204130370488947</v>
      </c>
      <c r="AH153" s="21">
        <f>[2]基础状态预期!O164</f>
        <v>3.4692194476797864</v>
      </c>
      <c r="AI153" s="7">
        <f>[2]各r阵容卡情况!G158</f>
        <v>0</v>
      </c>
      <c r="AJ153" s="7">
        <f>[2]各r阵容卡情况!H158</f>
        <v>0</v>
      </c>
      <c r="AK153" s="7">
        <f>[2]各r阵容卡情况!I158</f>
        <v>24</v>
      </c>
      <c r="AL153" s="7">
        <f>[2]各r阵容卡情况!J158</f>
        <v>0</v>
      </c>
      <c r="AM153" s="7">
        <f>[2]各r阵容卡情况!K158</f>
        <v>3</v>
      </c>
      <c r="AN153" s="7">
        <f>[2]各r阵容卡情况!L158</f>
        <v>6</v>
      </c>
      <c r="AO153" s="7">
        <f>[2]各r阵容卡情况!M158</f>
        <v>6.6204130370488947</v>
      </c>
      <c r="AP153" s="7">
        <f>[2]各r阵容卡情况!N158</f>
        <v>3.4692194476797864</v>
      </c>
      <c r="AZ153" s="7">
        <f>[3]基础状态预期!C164</f>
        <v>74.493385467679886</v>
      </c>
      <c r="BA153" s="7">
        <f>[3]基础状态预期!D164</f>
        <v>90</v>
      </c>
      <c r="BB153" s="7">
        <f>[3]基础状态预期!E164</f>
        <v>3</v>
      </c>
      <c r="BC153" s="7">
        <f>[3]基础状态预期!F164</f>
        <v>7</v>
      </c>
      <c r="BD153" s="7">
        <f>[3]基础状态预期!G164</f>
        <v>20</v>
      </c>
      <c r="BE153" s="7">
        <f>[3]基础状态预期!H164</f>
        <v>5</v>
      </c>
      <c r="BF153" s="7">
        <f>[3]基础状态预期!I164</f>
        <v>7</v>
      </c>
      <c r="BG153" s="7">
        <f>[3]基础状态预期!J164</f>
        <v>7</v>
      </c>
      <c r="BH153" s="7">
        <f>[3]基础状态预期!K164</f>
        <v>6.2995492337513852</v>
      </c>
      <c r="BI153" s="7">
        <f>[3]基础状态预期!L164</f>
        <v>3.958605050839104</v>
      </c>
    </row>
    <row r="154" spans="23:61">
      <c r="W154" s="21">
        <f t="shared" si="2"/>
        <v>110</v>
      </c>
      <c r="X154" s="21">
        <f>[2]基础状态预期!D165</f>
        <v>77.332919927503724</v>
      </c>
      <c r="Y154" s="21">
        <f>[2]基础状态预期!F165</f>
        <v>0</v>
      </c>
      <c r="Z154" s="21">
        <f>[2]基础状态预期!G165</f>
        <v>0</v>
      </c>
      <c r="AA154" s="21">
        <f>[2]基础状态预期!H165</f>
        <v>0</v>
      </c>
      <c r="AB154" s="21">
        <f>[2]基础状态预期!I165</f>
        <v>0</v>
      </c>
      <c r="AC154" s="21">
        <f>[2]基础状态预期!J165</f>
        <v>6</v>
      </c>
      <c r="AD154" s="21">
        <f>[2]基础状态预期!K165</f>
        <v>0</v>
      </c>
      <c r="AE154" s="21">
        <f>[2]基础状态预期!L165</f>
        <v>0</v>
      </c>
      <c r="AF154" s="21">
        <f>[2]基础状态预期!M165</f>
        <v>0</v>
      </c>
      <c r="AG154" s="21">
        <f>[2]基础状态预期!N165</f>
        <v>0</v>
      </c>
      <c r="AH154" s="21">
        <f>[2]基础状态预期!O165</f>
        <v>3.8454578495058556</v>
      </c>
      <c r="AI154" s="7">
        <f>[2]各r阵容卡情况!G159</f>
        <v>0</v>
      </c>
      <c r="AJ154" s="7">
        <f>[2]各r阵容卡情况!H159</f>
        <v>0</v>
      </c>
      <c r="AK154" s="7">
        <f>[2]各r阵容卡情况!I159</f>
        <v>24</v>
      </c>
      <c r="AL154" s="7">
        <f>[2]各r阵容卡情况!J159</f>
        <v>0</v>
      </c>
      <c r="AM154" s="7">
        <f>[2]各r阵容卡情况!K159</f>
        <v>3</v>
      </c>
      <c r="AN154" s="7">
        <f>[2]各r阵容卡情况!L159</f>
        <v>6</v>
      </c>
      <c r="AO154" s="7">
        <f>[2]各r阵容卡情况!M159</f>
        <v>7.1045137912663021</v>
      </c>
      <c r="AP154" s="7">
        <f>[2]各r阵容卡情况!N159</f>
        <v>3.8454578495058556</v>
      </c>
      <c r="AZ154" s="7">
        <f>[3]基础状态预期!C165</f>
        <v>77.332919927503724</v>
      </c>
      <c r="BA154" s="7">
        <f>[3]基础状态预期!D165</f>
        <v>110</v>
      </c>
      <c r="BB154" s="7">
        <f>[3]基础状态预期!E165</f>
        <v>3</v>
      </c>
      <c r="BC154" s="7">
        <f>[3]基础状态预期!F165</f>
        <v>7</v>
      </c>
      <c r="BD154" s="7">
        <f>[3]基础状态预期!G165</f>
        <v>20</v>
      </c>
      <c r="BE154" s="7">
        <f>[3]基础状态预期!H165</f>
        <v>6</v>
      </c>
      <c r="BF154" s="7">
        <f>[3]基础状态预期!I165</f>
        <v>7</v>
      </c>
      <c r="BG154" s="7">
        <f>[3]基础状态预期!J165</f>
        <v>7</v>
      </c>
      <c r="BH154" s="7">
        <f>[3]基础状态预期!K165</f>
        <v>6.495189173558134</v>
      </c>
      <c r="BI154" s="7">
        <f>[3]基础状态预期!L165</f>
        <v>4.4264795306921201</v>
      </c>
    </row>
    <row r="155" spans="23:61">
      <c r="W155" s="21">
        <f t="shared" si="2"/>
        <v>130</v>
      </c>
      <c r="X155" s="21">
        <f>[2]基础状态预期!D166</f>
        <v>79.813360188853366</v>
      </c>
      <c r="Y155" s="21">
        <f>[2]基础状态预期!F166</f>
        <v>0</v>
      </c>
      <c r="Z155" s="21">
        <f>[2]基础状态预期!G166</f>
        <v>0</v>
      </c>
      <c r="AA155" s="21">
        <f>[2]基础状态预期!H166</f>
        <v>0</v>
      </c>
      <c r="AB155" s="21">
        <f>[2]基础状态预期!I166</f>
        <v>0</v>
      </c>
      <c r="AC155" s="21">
        <f>[2]基础状态预期!J166</f>
        <v>6</v>
      </c>
      <c r="AD155" s="21">
        <f>[2]基础状态预期!K166</f>
        <v>0</v>
      </c>
      <c r="AE155" s="21">
        <f>[2]基础状态预期!L166</f>
        <v>0</v>
      </c>
      <c r="AF155" s="21">
        <f>[2]基础状态预期!M166</f>
        <v>0</v>
      </c>
      <c r="AG155" s="21">
        <f>[2]基础状态预期!N166</f>
        <v>0</v>
      </c>
      <c r="AH155" s="21">
        <f>[2]基础状态预期!O166</f>
        <v>4.394392694673348</v>
      </c>
      <c r="AI155" s="7">
        <f>[2]各r阵容卡情况!G160</f>
        <v>0</v>
      </c>
      <c r="AJ155" s="7">
        <f>[2]各r阵容卡情况!H160</f>
        <v>0</v>
      </c>
      <c r="AK155" s="7">
        <f>[2]各r阵容卡情况!I160</f>
        <v>24</v>
      </c>
      <c r="AL155" s="7">
        <f>[2]各r阵容卡情况!J160</f>
        <v>0</v>
      </c>
      <c r="AM155" s="7">
        <f>[2]各r阵容卡情况!K160</f>
        <v>3</v>
      </c>
      <c r="AN155" s="7">
        <f>[2]各r阵容卡情况!L160</f>
        <v>6</v>
      </c>
      <c r="AO155" s="7">
        <f>[2]各r阵容卡情况!M160</f>
        <v>7.4738746983667976</v>
      </c>
      <c r="AP155" s="7">
        <f>[2]各r阵容卡情况!N160</f>
        <v>4.394392694673348</v>
      </c>
      <c r="AZ155" s="7">
        <f>[3]基础状态预期!C166</f>
        <v>79.813360188853366</v>
      </c>
      <c r="BA155" s="7">
        <f>[3]基础状态预期!D166</f>
        <v>130</v>
      </c>
      <c r="BB155" s="7">
        <f>[3]基础状态预期!E166</f>
        <v>3</v>
      </c>
      <c r="BC155" s="7">
        <f>[3]基础状态预期!F166</f>
        <v>7</v>
      </c>
      <c r="BD155" s="7">
        <f>[3]基础状态预期!G166</f>
        <v>20</v>
      </c>
      <c r="BE155" s="7">
        <f>[3]基础状态预期!H166</f>
        <v>7</v>
      </c>
      <c r="BF155" s="7">
        <f>[3]基础状态预期!I166</f>
        <v>7</v>
      </c>
      <c r="BG155" s="7">
        <f>[3]基础状态预期!J166</f>
        <v>7</v>
      </c>
      <c r="BH155" s="7">
        <f>[3]基础状态预期!K166</f>
        <v>6.6898283788376407</v>
      </c>
      <c r="BI155" s="7">
        <f>[3]基础状态预期!L166</f>
        <v>4.8713691427595638</v>
      </c>
    </row>
    <row r="156" spans="23:61">
      <c r="W156" s="21">
        <f t="shared" si="2"/>
        <v>150</v>
      </c>
      <c r="X156" s="21">
        <f>[2]基础状态预期!D167</f>
        <v>81.919202803497143</v>
      </c>
      <c r="Y156" s="21">
        <f>[2]基础状态预期!F167</f>
        <v>0</v>
      </c>
      <c r="Z156" s="21">
        <f>[2]基础状态预期!G167</f>
        <v>0</v>
      </c>
      <c r="AA156" s="21">
        <f>[2]基础状态预期!H167</f>
        <v>0</v>
      </c>
      <c r="AB156" s="21">
        <f>[2]基础状态预期!I167</f>
        <v>0</v>
      </c>
      <c r="AC156" s="21">
        <f>[2]基础状态预期!J167</f>
        <v>6</v>
      </c>
      <c r="AD156" s="21">
        <f>[2]基础状态预期!K167</f>
        <v>0</v>
      </c>
      <c r="AE156" s="21">
        <f>[2]基础状态预期!L167</f>
        <v>0</v>
      </c>
      <c r="AF156" s="21">
        <f>[2]基础状态预期!M167</f>
        <v>0</v>
      </c>
      <c r="AG156" s="21">
        <f>[2]基础状态预期!N167</f>
        <v>0</v>
      </c>
      <c r="AH156" s="21">
        <f>[2]基础状态预期!O167</f>
        <v>4.9476954756879028</v>
      </c>
      <c r="AI156" s="7">
        <f>[2]各r阵容卡情况!G161</f>
        <v>0</v>
      </c>
      <c r="AJ156" s="7">
        <f>[2]各r阵容卡情况!H161</f>
        <v>0</v>
      </c>
      <c r="AK156" s="7">
        <f>[2]各r阵容卡情况!I161</f>
        <v>24</v>
      </c>
      <c r="AL156" s="7">
        <f>[2]各r阵容卡情况!J161</f>
        <v>0</v>
      </c>
      <c r="AM156" s="7">
        <f>[2]各r阵容卡情况!K161</f>
        <v>3</v>
      </c>
      <c r="AN156" s="7">
        <f>[2]各r阵容卡情况!L161</f>
        <v>6</v>
      </c>
      <c r="AO156" s="7">
        <f>[2]各r阵容卡情况!M161</f>
        <v>7.8458563669755303</v>
      </c>
      <c r="AP156" s="7">
        <f>[2]各r阵容卡情况!N161</f>
        <v>4.9476954756879028</v>
      </c>
      <c r="AZ156" s="7">
        <f>[3]基础状态预期!C167</f>
        <v>81.919202803497143</v>
      </c>
      <c r="BA156" s="7">
        <f>[3]基础状态预期!D167</f>
        <v>150</v>
      </c>
      <c r="BB156" s="7">
        <f>[3]基础状态预期!E167</f>
        <v>3</v>
      </c>
      <c r="BC156" s="7">
        <f>[3]基础状态预期!F167</f>
        <v>7</v>
      </c>
      <c r="BD156" s="7">
        <f>[3]基础状态预期!G167</f>
        <v>20</v>
      </c>
      <c r="BE156" s="7">
        <f>[3]基础状态预期!H167</f>
        <v>9</v>
      </c>
      <c r="BF156" s="7">
        <f>[3]基础状态预期!I167</f>
        <v>7</v>
      </c>
      <c r="BG156" s="7">
        <f>[3]基础状态预期!J167</f>
        <v>7</v>
      </c>
      <c r="BH156" s="7">
        <f>[3]基础状态预期!K167</f>
        <v>6.8844675841171474</v>
      </c>
      <c r="BI156" s="7">
        <f>[3]基础状态预期!L167</f>
        <v>5.1581293774135037</v>
      </c>
    </row>
    <row r="157" spans="23:61">
      <c r="W157" s="21">
        <f t="shared" si="2"/>
        <v>170</v>
      </c>
      <c r="X157" s="21">
        <f>[2]基础状态预期!D168</f>
        <v>83.738783536778797</v>
      </c>
      <c r="Y157" s="21">
        <f>[2]基础状态预期!F168</f>
        <v>0</v>
      </c>
      <c r="Z157" s="21">
        <f>[2]基础状态预期!G168</f>
        <v>0</v>
      </c>
      <c r="AA157" s="21">
        <f>[2]基础状态预期!H168</f>
        <v>0</v>
      </c>
      <c r="AB157" s="21">
        <f>[2]基础状态预期!I168</f>
        <v>0</v>
      </c>
      <c r="AC157" s="21">
        <f>[2]基础状态预期!J168</f>
        <v>6</v>
      </c>
      <c r="AD157" s="21">
        <f>[2]基础状态预期!K168</f>
        <v>0</v>
      </c>
      <c r="AE157" s="21">
        <f>[2]基础状态预期!L168</f>
        <v>0</v>
      </c>
      <c r="AF157" s="21">
        <f>[2]基础状态预期!M168</f>
        <v>0</v>
      </c>
      <c r="AG157" s="21">
        <f>[2]基础状态预期!N168</f>
        <v>0</v>
      </c>
      <c r="AH157" s="21">
        <f>[2]基础状态预期!O168</f>
        <v>5.3183727282442197</v>
      </c>
      <c r="AI157" s="7">
        <f>[2]各r阵容卡情况!G162</f>
        <v>0</v>
      </c>
      <c r="AJ157" s="7">
        <f>[2]各r阵容卡情况!H162</f>
        <v>0</v>
      </c>
      <c r="AK157" s="7">
        <f>[2]各r阵容卡情况!I162</f>
        <v>24</v>
      </c>
      <c r="AL157" s="7">
        <f>[2]各r阵容卡情况!J162</f>
        <v>0</v>
      </c>
      <c r="AM157" s="7">
        <f>[2]各r阵容卡情况!K162</f>
        <v>3</v>
      </c>
      <c r="AN157" s="7">
        <f>[2]各r阵容卡情况!L162</f>
        <v>6</v>
      </c>
      <c r="AO157" s="7">
        <f>[2]各r阵容卡情况!M162</f>
        <v>8</v>
      </c>
      <c r="AP157" s="7">
        <f>[2]各r阵容卡情况!N162</f>
        <v>5.3183727282442197</v>
      </c>
      <c r="AZ157" s="7">
        <f>[3]基础状态预期!C168</f>
        <v>83.738783536778797</v>
      </c>
      <c r="BA157" s="7">
        <f>[3]基础状态预期!D168</f>
        <v>170</v>
      </c>
      <c r="BB157" s="7">
        <f>[3]基础状态预期!E168</f>
        <v>3</v>
      </c>
      <c r="BC157" s="7">
        <f>[3]基础状态预期!F168</f>
        <v>7</v>
      </c>
      <c r="BD157" s="7">
        <f>[3]基础状态预期!G168</f>
        <v>20</v>
      </c>
      <c r="BE157" s="7">
        <f>[3]基础状态预期!H168</f>
        <v>10</v>
      </c>
      <c r="BF157" s="7">
        <f>[3]基础状态预期!I168</f>
        <v>7</v>
      </c>
      <c r="BG157" s="7">
        <f>[3]基础状态预期!J168</f>
        <v>7</v>
      </c>
      <c r="BH157" s="7">
        <f>[3]基础状态预期!K168</f>
        <v>7</v>
      </c>
      <c r="BI157" s="7">
        <f>[3]基础状态预期!L168</f>
        <v>5.3805741834472256</v>
      </c>
    </row>
    <row r="158" spans="23:61">
      <c r="W158" s="21">
        <f t="shared" si="2"/>
        <v>200</v>
      </c>
      <c r="X158" s="21">
        <f>[2]基础状态预期!D169</f>
        <v>86.045919706798657</v>
      </c>
      <c r="Y158" s="21">
        <f>[2]基础状态预期!F169</f>
        <v>0</v>
      </c>
      <c r="Z158" s="21">
        <f>[2]基础状态预期!G169</f>
        <v>0</v>
      </c>
      <c r="AA158" s="21">
        <f>[2]基础状态预期!H169</f>
        <v>0</v>
      </c>
      <c r="AB158" s="21">
        <f>[2]基础状态预期!I169</f>
        <v>0</v>
      </c>
      <c r="AC158" s="21">
        <f>[2]基础状态预期!J169</f>
        <v>6</v>
      </c>
      <c r="AD158" s="21">
        <f>[2]基础状态预期!K169</f>
        <v>0</v>
      </c>
      <c r="AE158" s="21">
        <f>[2]基础状态预期!L169</f>
        <v>0</v>
      </c>
      <c r="AF158" s="21">
        <f>[2]基础状态预期!M169</f>
        <v>0</v>
      </c>
      <c r="AG158" s="21">
        <f>[2]基础状态预期!N169</f>
        <v>0</v>
      </c>
      <c r="AH158" s="21">
        <f>[2]基础状态预期!O169</f>
        <v>5.8365140048616935</v>
      </c>
      <c r="AI158" s="7">
        <f>[2]各r阵容卡情况!G163</f>
        <v>0</v>
      </c>
      <c r="AJ158" s="7">
        <f>[2]各r阵容卡情况!H163</f>
        <v>0</v>
      </c>
      <c r="AK158" s="7">
        <f>[2]各r阵容卡情况!I163</f>
        <v>24</v>
      </c>
      <c r="AL158" s="7">
        <f>[2]各r阵容卡情况!J163</f>
        <v>0</v>
      </c>
      <c r="AM158" s="7">
        <f>[2]各r阵容卡情况!K163</f>
        <v>3</v>
      </c>
      <c r="AN158" s="7">
        <f>[2]各r阵容卡情况!L163</f>
        <v>6</v>
      </c>
      <c r="AO158" s="7">
        <f>[2]各r阵容卡情况!M163</f>
        <v>8</v>
      </c>
      <c r="AP158" s="7">
        <f>[2]各r阵容卡情况!N163</f>
        <v>5.8365140048616935</v>
      </c>
      <c r="AZ158" s="7">
        <f>[3]基础状态预期!C169</f>
        <v>86.045919706798657</v>
      </c>
      <c r="BA158" s="7">
        <f>[3]基础状态预期!D169</f>
        <v>200</v>
      </c>
      <c r="BB158" s="7">
        <f>[3]基础状态预期!E169</f>
        <v>3</v>
      </c>
      <c r="BC158" s="7">
        <f>[3]基础状态预期!F169</f>
        <v>7</v>
      </c>
      <c r="BD158" s="7">
        <f>[3]基础状态预期!G169</f>
        <v>20</v>
      </c>
      <c r="BE158" s="7">
        <f>[3]基础状态预期!H169</f>
        <v>12</v>
      </c>
      <c r="BF158" s="7">
        <f>[3]基础状态预期!I169</f>
        <v>7</v>
      </c>
      <c r="BG158" s="7">
        <f>[3]基础状态预期!J169</f>
        <v>7</v>
      </c>
      <c r="BH158" s="7">
        <f>[3]基础状态预期!K169</f>
        <v>7</v>
      </c>
      <c r="BI158" s="7">
        <f>[3]基础状态预期!L169</f>
        <v>5.71020644864298</v>
      </c>
    </row>
    <row r="159" spans="23:61">
      <c r="W159" s="21">
        <f t="shared" si="2"/>
        <v>260</v>
      </c>
      <c r="X159" s="21">
        <f>[2]基础状态预期!D170</f>
        <v>90.288435080379244</v>
      </c>
      <c r="Y159" s="21">
        <f>[2]基础状态预期!F170</f>
        <v>0</v>
      </c>
      <c r="Z159" s="21">
        <f>[2]基础状态预期!G170</f>
        <v>0</v>
      </c>
      <c r="AA159" s="21">
        <f>[2]基础状态预期!H170</f>
        <v>0</v>
      </c>
      <c r="AB159" s="21">
        <f>[2]基础状态预期!I170</f>
        <v>0</v>
      </c>
      <c r="AC159" s="21">
        <f>[2]基础状态预期!J170</f>
        <v>6</v>
      </c>
      <c r="AD159" s="21">
        <f>[2]基础状态预期!K170</f>
        <v>0</v>
      </c>
      <c r="AE159" s="21">
        <f>[2]基础状态预期!L170</f>
        <v>0</v>
      </c>
      <c r="AF159" s="21">
        <f>[2]基础状态预期!M170</f>
        <v>0</v>
      </c>
      <c r="AG159" s="21">
        <f>[2]基础状态预期!N170</f>
        <v>0</v>
      </c>
      <c r="AH159" s="21">
        <f>[2]基础状态预期!O170</f>
        <v>6.8224799219132448</v>
      </c>
      <c r="AI159" s="7">
        <f>[2]各r阵容卡情况!G164</f>
        <v>0</v>
      </c>
      <c r="AJ159" s="7">
        <f>[2]各r阵容卡情况!H164</f>
        <v>0</v>
      </c>
      <c r="AK159" s="7">
        <f>[2]各r阵容卡情况!I164</f>
        <v>24</v>
      </c>
      <c r="AL159" s="7">
        <f>[2]各r阵容卡情况!J164</f>
        <v>0</v>
      </c>
      <c r="AM159" s="7">
        <f>[2]各r阵容卡情况!K164</f>
        <v>3</v>
      </c>
      <c r="AN159" s="7">
        <f>[2]各r阵容卡情况!L164</f>
        <v>6</v>
      </c>
      <c r="AO159" s="7">
        <f>[2]各r阵容卡情况!M164</f>
        <v>8</v>
      </c>
      <c r="AP159" s="7">
        <f>[2]各r阵容卡情况!N164</f>
        <v>6.8224799219132448</v>
      </c>
      <c r="AZ159" s="7">
        <f>[3]基础状态预期!C170</f>
        <v>90.288435080379244</v>
      </c>
      <c r="BA159" s="7">
        <f>[3]基础状态预期!D170</f>
        <v>260</v>
      </c>
      <c r="BB159" s="7">
        <f>[3]基础状态预期!E170</f>
        <v>3</v>
      </c>
      <c r="BC159" s="7">
        <f>[3]基础状态预期!F170</f>
        <v>7</v>
      </c>
      <c r="BD159" s="7">
        <f>[3]基础状态预期!G170</f>
        <v>20</v>
      </c>
      <c r="BE159" s="7">
        <f>[3]基础状态预期!H170</f>
        <v>16</v>
      </c>
      <c r="BF159" s="7">
        <f>[3]基础状态预期!I170</f>
        <v>7</v>
      </c>
      <c r="BG159" s="7">
        <f>[3]基础状态预期!J170</f>
        <v>7</v>
      </c>
      <c r="BH159" s="7">
        <f>[3]基础状态预期!K170</f>
        <v>7</v>
      </c>
      <c r="BI159" s="7">
        <f>[3]基础状态预期!L170</f>
        <v>6.1827180175898304</v>
      </c>
    </row>
    <row r="160" spans="23:61">
      <c r="W160" s="21">
        <f t="shared" si="2"/>
        <v>320</v>
      </c>
      <c r="X160" s="21">
        <f>[2]基础状态预期!D171</f>
        <v>93.400072017025948</v>
      </c>
      <c r="Y160" s="21">
        <f>[2]基础状态预期!F171</f>
        <v>0</v>
      </c>
      <c r="Z160" s="21">
        <f>[2]基础状态预期!G171</f>
        <v>0</v>
      </c>
      <c r="AA160" s="21">
        <f>[2]基础状态预期!H171</f>
        <v>0</v>
      </c>
      <c r="AB160" s="21">
        <f>[2]基础状态预期!I171</f>
        <v>0</v>
      </c>
      <c r="AC160" s="21">
        <f>[2]基础状态预期!J171</f>
        <v>6</v>
      </c>
      <c r="AD160" s="21">
        <f>[2]基础状态预期!K171</f>
        <v>0</v>
      </c>
      <c r="AE160" s="21">
        <f>[2]基础状态预期!L171</f>
        <v>0</v>
      </c>
      <c r="AF160" s="21">
        <f>[2]基础状态预期!M171</f>
        <v>0</v>
      </c>
      <c r="AG160" s="21">
        <f>[2]基础状态预期!N171</f>
        <v>0</v>
      </c>
      <c r="AH160" s="21">
        <f>[2]基础状态预期!O171</f>
        <v>7.5942143103752517</v>
      </c>
      <c r="AI160" s="7">
        <f>[2]各r阵容卡情况!G165</f>
        <v>0</v>
      </c>
      <c r="AJ160" s="7">
        <f>[2]各r阵容卡情况!H165</f>
        <v>0</v>
      </c>
      <c r="AK160" s="7">
        <f>[2]各r阵容卡情况!I165</f>
        <v>24</v>
      </c>
      <c r="AL160" s="7">
        <f>[2]各r阵容卡情况!J165</f>
        <v>0</v>
      </c>
      <c r="AM160" s="7">
        <f>[2]各r阵容卡情况!K165</f>
        <v>3</v>
      </c>
      <c r="AN160" s="7">
        <f>[2]各r阵容卡情况!L165</f>
        <v>6</v>
      </c>
      <c r="AO160" s="7">
        <f>[2]各r阵容卡情况!M165</f>
        <v>8</v>
      </c>
      <c r="AP160" s="7">
        <f>[2]各r阵容卡情况!N165</f>
        <v>7.5942143103752517</v>
      </c>
      <c r="AZ160" s="7">
        <f>[3]基础状态预期!C171</f>
        <v>93.400072017025948</v>
      </c>
      <c r="BA160" s="7">
        <f>[3]基础状态预期!D171</f>
        <v>320</v>
      </c>
      <c r="BB160" s="7">
        <f>[3]基础状态预期!E171</f>
        <v>3</v>
      </c>
      <c r="BC160" s="7">
        <f>[3]基础状态预期!F171</f>
        <v>7</v>
      </c>
      <c r="BD160" s="7">
        <f>[3]基础状态预期!G171</f>
        <v>20</v>
      </c>
      <c r="BE160" s="7">
        <f>[3]基础状态预期!H171</f>
        <v>20</v>
      </c>
      <c r="BF160" s="7">
        <f>[3]基础状态预期!I171</f>
        <v>7</v>
      </c>
      <c r="BG160" s="7">
        <f>[3]基础状态预期!J171</f>
        <v>7</v>
      </c>
      <c r="BH160" s="7">
        <f>[3]基础状态预期!K171</f>
        <v>7</v>
      </c>
      <c r="BI160" s="7">
        <f>[3]基础状态预期!L171</f>
        <v>6.5103328108581717</v>
      </c>
    </row>
    <row r="161" spans="23:61">
      <c r="W161" s="21">
        <f t="shared" si="2"/>
        <v>410</v>
      </c>
      <c r="X161" s="21">
        <f>[2]基础状态预期!D172</f>
        <v>97.006001686863456</v>
      </c>
      <c r="Y161" s="21">
        <f>[2]基础状态预期!F172</f>
        <v>0</v>
      </c>
      <c r="Z161" s="21">
        <f>[2]基础状态预期!G172</f>
        <v>0</v>
      </c>
      <c r="AA161" s="21">
        <f>[2]基础状态预期!H172</f>
        <v>0</v>
      </c>
      <c r="AB161" s="21">
        <f>[2]基础状态预期!I172</f>
        <v>0</v>
      </c>
      <c r="AC161" s="21">
        <f>[2]基础状态预期!J172</f>
        <v>6</v>
      </c>
      <c r="AD161" s="21">
        <f>[2]基础状态预期!K172</f>
        <v>0</v>
      </c>
      <c r="AE161" s="21">
        <f>[2]基础状态预期!L172</f>
        <v>0</v>
      </c>
      <c r="AF161" s="21">
        <f>[2]基础状态预期!M172</f>
        <v>0</v>
      </c>
      <c r="AG161" s="21">
        <f>[2]基础状态预期!N172</f>
        <v>0</v>
      </c>
      <c r="AH161" s="21">
        <f>[2]基础状态预期!O172</f>
        <v>8</v>
      </c>
      <c r="AI161" s="7">
        <f>[2]各r阵容卡情况!G166</f>
        <v>0</v>
      </c>
      <c r="AJ161" s="7">
        <f>[2]各r阵容卡情况!H166</f>
        <v>0</v>
      </c>
      <c r="AK161" s="7">
        <f>[2]各r阵容卡情况!I166</f>
        <v>24</v>
      </c>
      <c r="AL161" s="7">
        <f>[2]各r阵容卡情况!J166</f>
        <v>0</v>
      </c>
      <c r="AM161" s="7">
        <f>[2]各r阵容卡情况!K166</f>
        <v>3</v>
      </c>
      <c r="AN161" s="7">
        <f>[2]各r阵容卡情况!L166</f>
        <v>6</v>
      </c>
      <c r="AO161" s="7">
        <f>[2]各r阵容卡情况!M166</f>
        <v>8</v>
      </c>
      <c r="AP161" s="7">
        <f>[2]各r阵容卡情况!N166</f>
        <v>8</v>
      </c>
      <c r="AZ161" s="7">
        <f>[3]基础状态预期!C172</f>
        <v>97.006001686863456</v>
      </c>
      <c r="BA161" s="7">
        <f>[3]基础状态预期!D172</f>
        <v>410</v>
      </c>
      <c r="BB161" s="7">
        <f>[3]基础状态预期!E172</f>
        <v>3</v>
      </c>
      <c r="BC161" s="7">
        <f>[3]基础状态预期!F172</f>
        <v>7</v>
      </c>
      <c r="BD161" s="7">
        <f>[3]基础状态预期!G172</f>
        <v>20</v>
      </c>
      <c r="BE161" s="7">
        <f>[3]基础状态预期!H172</f>
        <v>20</v>
      </c>
      <c r="BF161" s="7">
        <f>[3]基础状态预期!I172</f>
        <v>7</v>
      </c>
      <c r="BG161" s="7">
        <f>[3]基础状态预期!J172</f>
        <v>7</v>
      </c>
      <c r="BH161" s="7">
        <f>[3]基础状态预期!K172</f>
        <v>7</v>
      </c>
      <c r="BI161" s="7">
        <f>[3]基础状态预期!L172</f>
        <v>6.9977653888360329</v>
      </c>
    </row>
    <row r="162" spans="23:61">
      <c r="W162" s="21">
        <f t="shared" si="2"/>
        <v>530</v>
      </c>
      <c r="X162" s="21">
        <f>[2]基础状态预期!D173</f>
        <v>100.64473135315967</v>
      </c>
      <c r="Y162" s="21">
        <f>[2]基础状态预期!F173</f>
        <v>0</v>
      </c>
      <c r="Z162" s="21">
        <f>[2]基础状态预期!G173</f>
        <v>0</v>
      </c>
      <c r="AA162" s="21">
        <f>[2]基础状态预期!H173</f>
        <v>0</v>
      </c>
      <c r="AB162" s="21">
        <f>[2]基础状态预期!I173</f>
        <v>0</v>
      </c>
      <c r="AC162" s="21">
        <f>[2]基础状态预期!J173</f>
        <v>6</v>
      </c>
      <c r="AD162" s="21">
        <f>[2]基础状态预期!K173</f>
        <v>0</v>
      </c>
      <c r="AE162" s="21">
        <f>[2]基础状态预期!L173</f>
        <v>0</v>
      </c>
      <c r="AF162" s="21">
        <f>[2]基础状态预期!M173</f>
        <v>0</v>
      </c>
      <c r="AG162" s="21">
        <f>[2]基础状态预期!N173</f>
        <v>0</v>
      </c>
      <c r="AH162" s="21">
        <f>[2]基础状态预期!O173</f>
        <v>8</v>
      </c>
      <c r="AI162" s="7">
        <f>[2]各r阵容卡情况!G167</f>
        <v>0</v>
      </c>
      <c r="AJ162" s="7">
        <f>[2]各r阵容卡情况!H167</f>
        <v>0</v>
      </c>
      <c r="AK162" s="7">
        <f>[2]各r阵容卡情况!I167</f>
        <v>24</v>
      </c>
      <c r="AL162" s="7">
        <f>[2]各r阵容卡情况!J167</f>
        <v>0</v>
      </c>
      <c r="AM162" s="7">
        <f>[2]各r阵容卡情况!K167</f>
        <v>3</v>
      </c>
      <c r="AN162" s="7">
        <f>[2]各r阵容卡情况!L167</f>
        <v>6</v>
      </c>
      <c r="AO162" s="7">
        <f>[2]各r阵容卡情况!M167</f>
        <v>8</v>
      </c>
      <c r="AP162" s="7">
        <f>[2]各r阵容卡情况!N167</f>
        <v>8</v>
      </c>
      <c r="AZ162" s="7">
        <f>[3]基础状态预期!C173</f>
        <v>100.64473135315967</v>
      </c>
      <c r="BA162" s="7">
        <f>[3]基础状态预期!D173</f>
        <v>530</v>
      </c>
      <c r="BB162" s="7">
        <f>[3]基础状态预期!E173</f>
        <v>3</v>
      </c>
      <c r="BC162" s="7">
        <f>[3]基础状态预期!F173</f>
        <v>7</v>
      </c>
      <c r="BD162" s="7">
        <f>[3]基础状态预期!G173</f>
        <v>20</v>
      </c>
      <c r="BE162" s="7">
        <f>[3]基础状态预期!H173</f>
        <v>20</v>
      </c>
      <c r="BF162" s="7">
        <f>[3]基础状态预期!I173</f>
        <v>7</v>
      </c>
      <c r="BG162" s="7">
        <f>[3]基础状态预期!J173</f>
        <v>7</v>
      </c>
      <c r="BH162" s="7">
        <f>[3]基础状态预期!K173</f>
        <v>7</v>
      </c>
      <c r="BI162" s="7">
        <f>[3]基础状态预期!L173</f>
        <v>7</v>
      </c>
    </row>
    <row r="163" spans="23:61">
      <c r="W163" s="21">
        <f t="shared" si="2"/>
        <v>680</v>
      </c>
      <c r="X163" s="21">
        <f>[2]基础状态预期!D174</f>
        <v>104.30731379164318</v>
      </c>
      <c r="Y163" s="21">
        <f>[2]基础状态预期!F174</f>
        <v>0</v>
      </c>
      <c r="Z163" s="21">
        <f>[2]基础状态预期!G174</f>
        <v>0</v>
      </c>
      <c r="AA163" s="21">
        <f>[2]基础状态预期!H174</f>
        <v>0</v>
      </c>
      <c r="AB163" s="21">
        <f>[2]基础状态预期!I174</f>
        <v>0</v>
      </c>
      <c r="AC163" s="21">
        <f>[2]基础状态预期!J174</f>
        <v>6</v>
      </c>
      <c r="AD163" s="21">
        <f>[2]基础状态预期!K174</f>
        <v>0</v>
      </c>
      <c r="AE163" s="21">
        <f>[2]基础状态预期!L174</f>
        <v>0</v>
      </c>
      <c r="AF163" s="21">
        <f>[2]基础状态预期!M174</f>
        <v>0</v>
      </c>
      <c r="AG163" s="21">
        <f>[2]基础状态预期!N174</f>
        <v>0</v>
      </c>
      <c r="AH163" s="21">
        <f>[2]基础状态预期!O174</f>
        <v>8</v>
      </c>
      <c r="AI163" s="7">
        <f>[2]各r阵容卡情况!G168</f>
        <v>0</v>
      </c>
      <c r="AJ163" s="7">
        <f>[2]各r阵容卡情况!H168</f>
        <v>0</v>
      </c>
      <c r="AK163" s="7">
        <f>[2]各r阵容卡情况!I168</f>
        <v>24</v>
      </c>
      <c r="AL163" s="7">
        <f>[2]各r阵容卡情况!J168</f>
        <v>0</v>
      </c>
      <c r="AM163" s="7">
        <f>[2]各r阵容卡情况!K168</f>
        <v>3</v>
      </c>
      <c r="AN163" s="7">
        <f>[2]各r阵容卡情况!L168</f>
        <v>6</v>
      </c>
      <c r="AO163" s="7">
        <f>[2]各r阵容卡情况!M168</f>
        <v>8</v>
      </c>
      <c r="AP163" s="7">
        <f>[2]各r阵容卡情况!N168</f>
        <v>8</v>
      </c>
      <c r="AZ163" s="7">
        <f>[3]基础状态预期!C174</f>
        <v>104.30731379164318</v>
      </c>
      <c r="BA163" s="7">
        <f>[3]基础状态预期!D174</f>
        <v>680</v>
      </c>
      <c r="BB163" s="7">
        <f>[3]基础状态预期!E174</f>
        <v>3</v>
      </c>
      <c r="BC163" s="7">
        <f>[3]基础状态预期!F174</f>
        <v>7</v>
      </c>
      <c r="BD163" s="7">
        <f>[3]基础状态预期!G174</f>
        <v>20</v>
      </c>
      <c r="BE163" s="7">
        <f>[3]基础状态预期!H174</f>
        <v>20</v>
      </c>
      <c r="BF163" s="7">
        <f>[3]基础状态预期!I174</f>
        <v>7</v>
      </c>
      <c r="BG163" s="7">
        <f>[3]基础状态预期!J174</f>
        <v>7</v>
      </c>
      <c r="BH163" s="7">
        <f>[3]基础状态预期!K174</f>
        <v>7</v>
      </c>
      <c r="BI163" s="7">
        <f>[3]基础状态预期!L174</f>
        <v>7</v>
      </c>
    </row>
    <row r="164" spans="23:61">
      <c r="W164" s="21">
        <f t="shared" si="2"/>
        <v>860</v>
      </c>
      <c r="X164" s="21">
        <f>[2]基础状态预期!D175</f>
        <v>107.78950972208385</v>
      </c>
      <c r="Y164" s="21">
        <f>[2]基础状态预期!F175</f>
        <v>0</v>
      </c>
      <c r="Z164" s="21">
        <f>[2]基础状态预期!G175</f>
        <v>0</v>
      </c>
      <c r="AA164" s="21">
        <f>[2]基础状态预期!H175</f>
        <v>0</v>
      </c>
      <c r="AB164" s="21">
        <f>[2]基础状态预期!I175</f>
        <v>0</v>
      </c>
      <c r="AC164" s="21">
        <f>[2]基础状态预期!J175</f>
        <v>6</v>
      </c>
      <c r="AD164" s="21">
        <f>[2]基础状态预期!K175</f>
        <v>0</v>
      </c>
      <c r="AE164" s="21">
        <f>[2]基础状态预期!L175</f>
        <v>0</v>
      </c>
      <c r="AF164" s="21">
        <f>[2]基础状态预期!M175</f>
        <v>0</v>
      </c>
      <c r="AG164" s="21">
        <f>[2]基础状态预期!N175</f>
        <v>0</v>
      </c>
      <c r="AH164" s="21">
        <f>[2]基础状态预期!O175</f>
        <v>8</v>
      </c>
      <c r="AI164" s="7">
        <f>[2]各r阵容卡情况!G169</f>
        <v>0</v>
      </c>
      <c r="AJ164" s="7">
        <f>[2]各r阵容卡情况!H169</f>
        <v>0</v>
      </c>
      <c r="AK164" s="7">
        <f>[2]各r阵容卡情况!I169</f>
        <v>24</v>
      </c>
      <c r="AL164" s="7">
        <f>[2]各r阵容卡情况!J169</f>
        <v>0</v>
      </c>
      <c r="AM164" s="7">
        <f>[2]各r阵容卡情况!K169</f>
        <v>3</v>
      </c>
      <c r="AN164" s="7">
        <f>[2]各r阵容卡情况!L169</f>
        <v>6</v>
      </c>
      <c r="AO164" s="7">
        <f>[2]各r阵容卡情况!M169</f>
        <v>8</v>
      </c>
      <c r="AP164" s="7">
        <f>[2]各r阵容卡情况!N169</f>
        <v>8</v>
      </c>
      <c r="AZ164" s="7">
        <f>[3]基础状态预期!C175</f>
        <v>107.78950972208385</v>
      </c>
      <c r="BA164" s="7">
        <f>[3]基础状态预期!D175</f>
        <v>860</v>
      </c>
      <c r="BB164" s="7">
        <f>[3]基础状态预期!E175</f>
        <v>3</v>
      </c>
      <c r="BC164" s="7">
        <f>[3]基础状态预期!F175</f>
        <v>7</v>
      </c>
      <c r="BD164" s="7">
        <f>[3]基础状态预期!G175</f>
        <v>20</v>
      </c>
      <c r="BE164" s="7">
        <f>[3]基础状态预期!H175</f>
        <v>20</v>
      </c>
      <c r="BF164" s="7">
        <f>[3]基础状态预期!I175</f>
        <v>7</v>
      </c>
      <c r="BG164" s="7">
        <f>[3]基础状态预期!J175</f>
        <v>7</v>
      </c>
      <c r="BH164" s="7">
        <f>[3]基础状态预期!K175</f>
        <v>7</v>
      </c>
      <c r="BI164" s="7">
        <f>[3]基础状态预期!L175</f>
        <v>7</v>
      </c>
    </row>
    <row r="165" spans="23:61">
      <c r="W165" s="21">
        <f t="shared" si="2"/>
        <v>1100</v>
      </c>
      <c r="X165" s="21">
        <f>[2]基础状态预期!D176</f>
        <v>111.29737083030383</v>
      </c>
      <c r="Y165" s="21">
        <f>[2]基础状态预期!F176</f>
        <v>0</v>
      </c>
      <c r="Z165" s="21">
        <f>[2]基础状态预期!G176</f>
        <v>0</v>
      </c>
      <c r="AA165" s="21">
        <f>[2]基础状态预期!H176</f>
        <v>0</v>
      </c>
      <c r="AB165" s="21">
        <f>[2]基础状态预期!I176</f>
        <v>0</v>
      </c>
      <c r="AC165" s="21">
        <f>[2]基础状态预期!J176</f>
        <v>6</v>
      </c>
      <c r="AD165" s="21">
        <f>[2]基础状态预期!K176</f>
        <v>0</v>
      </c>
      <c r="AE165" s="21">
        <f>[2]基础状态预期!L176</f>
        <v>0</v>
      </c>
      <c r="AF165" s="21">
        <f>[2]基础状态预期!M176</f>
        <v>0</v>
      </c>
      <c r="AG165" s="21">
        <f>[2]基础状态预期!N176</f>
        <v>0</v>
      </c>
      <c r="AH165" s="21">
        <f>[2]基础状态预期!O176</f>
        <v>8</v>
      </c>
      <c r="AI165" s="7">
        <f>[2]各r阵容卡情况!G170</f>
        <v>0</v>
      </c>
      <c r="AJ165" s="7">
        <f>[2]各r阵容卡情况!H170</f>
        <v>0</v>
      </c>
      <c r="AK165" s="7">
        <f>[2]各r阵容卡情况!I170</f>
        <v>24</v>
      </c>
      <c r="AL165" s="7">
        <f>[2]各r阵容卡情况!J170</f>
        <v>0</v>
      </c>
      <c r="AM165" s="7">
        <f>[2]各r阵容卡情况!K170</f>
        <v>3</v>
      </c>
      <c r="AN165" s="7">
        <f>[2]各r阵容卡情况!L170</f>
        <v>6</v>
      </c>
      <c r="AO165" s="7">
        <f>[2]各r阵容卡情况!M170</f>
        <v>8</v>
      </c>
      <c r="AP165" s="7">
        <f>[2]各r阵容卡情况!N170</f>
        <v>8</v>
      </c>
      <c r="AZ165" s="7">
        <f>[3]基础状态预期!C176</f>
        <v>111.29737083030383</v>
      </c>
      <c r="BA165" s="7">
        <f>[3]基础状态预期!D176</f>
        <v>1100</v>
      </c>
      <c r="BB165" s="7">
        <f>[3]基础状态预期!E176</f>
        <v>3</v>
      </c>
      <c r="BC165" s="7">
        <f>[3]基础状态预期!F176</f>
        <v>7</v>
      </c>
      <c r="BD165" s="7">
        <f>[3]基础状态预期!G176</f>
        <v>20</v>
      </c>
      <c r="BE165" s="7">
        <f>[3]基础状态预期!H176</f>
        <v>20</v>
      </c>
      <c r="BF165" s="7">
        <f>[3]基础状态预期!I176</f>
        <v>7</v>
      </c>
      <c r="BG165" s="7">
        <f>[3]基础状态预期!J176</f>
        <v>7</v>
      </c>
      <c r="BH165" s="7">
        <f>[3]基础状态预期!K176</f>
        <v>7</v>
      </c>
      <c r="BI165" s="7">
        <f>[3]基础状态预期!L176</f>
        <v>7</v>
      </c>
    </row>
    <row r="166" spans="23:61">
      <c r="W166" s="21">
        <f t="shared" si="2"/>
        <v>1400</v>
      </c>
      <c r="X166" s="21">
        <f>[2]基础状态预期!D177</f>
        <v>114.91888401282834</v>
      </c>
      <c r="Y166" s="21">
        <f>[2]基础状态预期!F177</f>
        <v>0</v>
      </c>
      <c r="Z166" s="21">
        <f>[2]基础状态预期!G177</f>
        <v>0</v>
      </c>
      <c r="AA166" s="21">
        <f>[2]基础状态预期!H177</f>
        <v>0</v>
      </c>
      <c r="AB166" s="21">
        <f>[2]基础状态预期!I177</f>
        <v>0</v>
      </c>
      <c r="AC166" s="21">
        <f>[2]基础状态预期!J177</f>
        <v>6</v>
      </c>
      <c r="AD166" s="21">
        <f>[2]基础状态预期!K177</f>
        <v>0</v>
      </c>
      <c r="AE166" s="21">
        <f>[2]基础状态预期!L177</f>
        <v>0</v>
      </c>
      <c r="AF166" s="21">
        <f>[2]基础状态预期!M177</f>
        <v>0</v>
      </c>
      <c r="AG166" s="21">
        <f>[2]基础状态预期!N177</f>
        <v>0</v>
      </c>
      <c r="AH166" s="21">
        <f>[2]基础状态预期!O177</f>
        <v>8</v>
      </c>
      <c r="AI166" s="7">
        <f>[2]各r阵容卡情况!G171</f>
        <v>0</v>
      </c>
      <c r="AJ166" s="7">
        <f>[2]各r阵容卡情况!H171</f>
        <v>0</v>
      </c>
      <c r="AK166" s="7">
        <f>[2]各r阵容卡情况!I171</f>
        <v>24</v>
      </c>
      <c r="AL166" s="7">
        <f>[2]各r阵容卡情况!J171</f>
        <v>0</v>
      </c>
      <c r="AM166" s="7">
        <f>[2]各r阵容卡情况!K171</f>
        <v>3</v>
      </c>
      <c r="AN166" s="7">
        <f>[2]各r阵容卡情况!L171</f>
        <v>6</v>
      </c>
      <c r="AO166" s="7">
        <f>[2]各r阵容卡情况!M171</f>
        <v>8</v>
      </c>
      <c r="AP166" s="7">
        <f>[2]各r阵容卡情况!N171</f>
        <v>8</v>
      </c>
      <c r="AZ166" s="7">
        <f>[3]基础状态预期!C177</f>
        <v>114.91888401282834</v>
      </c>
      <c r="BA166" s="7">
        <f>[3]基础状态预期!D177</f>
        <v>1400</v>
      </c>
      <c r="BB166" s="7">
        <f>[3]基础状态预期!E177</f>
        <v>3</v>
      </c>
      <c r="BC166" s="7">
        <f>[3]基础状态预期!F177</f>
        <v>7</v>
      </c>
      <c r="BD166" s="7">
        <f>[3]基础状态预期!G177</f>
        <v>20</v>
      </c>
      <c r="BE166" s="7">
        <f>[3]基础状态预期!H177</f>
        <v>20</v>
      </c>
      <c r="BF166" s="7">
        <f>[3]基础状态预期!I177</f>
        <v>7</v>
      </c>
      <c r="BG166" s="7">
        <f>[3]基础状态预期!J177</f>
        <v>7</v>
      </c>
      <c r="BH166" s="7">
        <f>[3]基础状态预期!K177</f>
        <v>7</v>
      </c>
      <c r="BI166" s="7">
        <f>[3]基础状态预期!L177</f>
        <v>7</v>
      </c>
    </row>
    <row r="167" spans="23:61">
      <c r="W167" s="21">
        <f t="shared" si="2"/>
        <v>1790</v>
      </c>
      <c r="X167" s="21">
        <f>[2]基础状态预期!D178</f>
        <v>118.4172728380062</v>
      </c>
      <c r="Y167" s="21">
        <f>[2]基础状态预期!F178</f>
        <v>0</v>
      </c>
      <c r="Z167" s="21">
        <f>[2]基础状态预期!G178</f>
        <v>0</v>
      </c>
      <c r="AA167" s="21">
        <f>[2]基础状态预期!H178</f>
        <v>0</v>
      </c>
      <c r="AB167" s="21">
        <f>[2]基础状态预期!I178</f>
        <v>0</v>
      </c>
      <c r="AC167" s="21">
        <f>[2]基础状态预期!J178</f>
        <v>6</v>
      </c>
      <c r="AD167" s="21">
        <f>[2]基础状态预期!K178</f>
        <v>0</v>
      </c>
      <c r="AE167" s="21">
        <f>[2]基础状态预期!L178</f>
        <v>0</v>
      </c>
      <c r="AF167" s="21">
        <f>[2]基础状态预期!M178</f>
        <v>0</v>
      </c>
      <c r="AG167" s="21">
        <f>[2]基础状态预期!N178</f>
        <v>0</v>
      </c>
      <c r="AH167" s="21">
        <f>[2]基础状态预期!O178</f>
        <v>8</v>
      </c>
      <c r="AI167" s="7">
        <f>[2]各r阵容卡情况!G172</f>
        <v>0</v>
      </c>
      <c r="AJ167" s="7">
        <f>[2]各r阵容卡情况!H172</f>
        <v>0</v>
      </c>
      <c r="AK167" s="7">
        <f>[2]各r阵容卡情况!I172</f>
        <v>24</v>
      </c>
      <c r="AL167" s="7">
        <f>[2]各r阵容卡情况!J172</f>
        <v>0</v>
      </c>
      <c r="AM167" s="7">
        <f>[2]各r阵容卡情况!K172</f>
        <v>3</v>
      </c>
      <c r="AN167" s="7">
        <f>[2]各r阵容卡情况!L172</f>
        <v>6</v>
      </c>
      <c r="AO167" s="7">
        <f>[2]各r阵容卡情况!M172</f>
        <v>8</v>
      </c>
      <c r="AP167" s="7">
        <f>[2]各r阵容卡情况!N172</f>
        <v>8</v>
      </c>
      <c r="AZ167" s="7">
        <f>[3]基础状态预期!C178</f>
        <v>118.4172728380062</v>
      </c>
      <c r="BA167" s="7">
        <f>[3]基础状态预期!D178</f>
        <v>1790</v>
      </c>
      <c r="BB167" s="7">
        <f>[3]基础状态预期!E178</f>
        <v>3</v>
      </c>
      <c r="BC167" s="7">
        <f>[3]基础状态预期!F178</f>
        <v>7</v>
      </c>
      <c r="BD167" s="7">
        <f>[3]基础状态预期!G178</f>
        <v>20</v>
      </c>
      <c r="BE167" s="7">
        <f>[3]基础状态预期!H178</f>
        <v>20</v>
      </c>
      <c r="BF167" s="7">
        <f>[3]基础状态预期!I178</f>
        <v>7</v>
      </c>
      <c r="BG167" s="7">
        <f>[3]基础状态预期!J178</f>
        <v>7</v>
      </c>
      <c r="BH167" s="7">
        <f>[3]基础状态预期!K178</f>
        <v>7</v>
      </c>
      <c r="BI167" s="7">
        <f>[3]基础状态预期!L178</f>
        <v>7</v>
      </c>
    </row>
    <row r="168" spans="23:61">
      <c r="W168" s="21">
        <f t="shared" si="2"/>
        <v>2270</v>
      </c>
      <c r="X168" s="21">
        <f>[2]基础状态预期!D179</f>
        <v>121.99245722798884</v>
      </c>
      <c r="Y168" s="21">
        <f>[2]基础状态预期!F179</f>
        <v>0</v>
      </c>
      <c r="Z168" s="21">
        <f>[2]基础状态预期!G179</f>
        <v>0</v>
      </c>
      <c r="AA168" s="21">
        <f>[2]基础状态预期!H179</f>
        <v>0</v>
      </c>
      <c r="AB168" s="21">
        <f>[2]基础状态预期!I179</f>
        <v>0</v>
      </c>
      <c r="AC168" s="21">
        <f>[2]基础状态预期!J179</f>
        <v>6</v>
      </c>
      <c r="AD168" s="21">
        <f>[2]基础状态预期!K179</f>
        <v>0</v>
      </c>
      <c r="AE168" s="21">
        <f>[2]基础状态预期!L179</f>
        <v>0</v>
      </c>
      <c r="AF168" s="21">
        <f>[2]基础状态预期!M179</f>
        <v>0</v>
      </c>
      <c r="AG168" s="21">
        <f>[2]基础状态预期!N179</f>
        <v>0</v>
      </c>
      <c r="AH168" s="21">
        <f>[2]基础状态预期!O179</f>
        <v>8</v>
      </c>
      <c r="AI168" s="7">
        <f>[2]各r阵容卡情况!G173</f>
        <v>0</v>
      </c>
      <c r="AJ168" s="7">
        <f>[2]各r阵容卡情况!H173</f>
        <v>0</v>
      </c>
      <c r="AK168" s="7">
        <f>[2]各r阵容卡情况!I173</f>
        <v>24</v>
      </c>
      <c r="AL168" s="7">
        <f>[2]各r阵容卡情况!J173</f>
        <v>0</v>
      </c>
      <c r="AM168" s="7">
        <f>[2]各r阵容卡情况!K173</f>
        <v>3</v>
      </c>
      <c r="AN168" s="7">
        <f>[2]各r阵容卡情况!L173</f>
        <v>6</v>
      </c>
      <c r="AO168" s="7">
        <f>[2]各r阵容卡情况!M173</f>
        <v>8</v>
      </c>
      <c r="AP168" s="7">
        <f>[2]各r阵容卡情况!N173</f>
        <v>8</v>
      </c>
      <c r="AZ168" s="7">
        <f>[3]基础状态预期!C179</f>
        <v>121.99245722798884</v>
      </c>
      <c r="BA168" s="7">
        <f>[3]基础状态预期!D179</f>
        <v>2270</v>
      </c>
      <c r="BB168" s="7">
        <f>[3]基础状态预期!E179</f>
        <v>3</v>
      </c>
      <c r="BC168" s="7">
        <f>[3]基础状态预期!F179</f>
        <v>7</v>
      </c>
      <c r="BD168" s="7">
        <f>[3]基础状态预期!G179</f>
        <v>20</v>
      </c>
      <c r="BE168" s="7">
        <f>[3]基础状态预期!H179</f>
        <v>20</v>
      </c>
      <c r="BF168" s="7">
        <f>[3]基础状态预期!I179</f>
        <v>7</v>
      </c>
      <c r="BG168" s="7">
        <f>[3]基础状态预期!J179</f>
        <v>7</v>
      </c>
      <c r="BH168" s="7">
        <f>[3]基础状态预期!K179</f>
        <v>7</v>
      </c>
      <c r="BI168" s="7">
        <f>[3]基础状态预期!L179</f>
        <v>7</v>
      </c>
    </row>
    <row r="169" spans="23:61">
      <c r="W169" s="21">
        <f t="shared" si="2"/>
        <v>2900</v>
      </c>
      <c r="X169" s="21">
        <f>[2]基础状态预期!D180</f>
        <v>125.43876546297123</v>
      </c>
      <c r="Y169" s="21">
        <f>[2]基础状态预期!F180</f>
        <v>0</v>
      </c>
      <c r="Z169" s="21">
        <f>[2]基础状态预期!G180</f>
        <v>0</v>
      </c>
      <c r="AA169" s="21">
        <f>[2]基础状态预期!H180</f>
        <v>0</v>
      </c>
      <c r="AB169" s="21">
        <f>[2]基础状态预期!I180</f>
        <v>0</v>
      </c>
      <c r="AC169" s="21">
        <f>[2]基础状态预期!J180</f>
        <v>6</v>
      </c>
      <c r="AD169" s="21">
        <f>[2]基础状态预期!K180</f>
        <v>0</v>
      </c>
      <c r="AE169" s="21">
        <f>[2]基础状态预期!L180</f>
        <v>0</v>
      </c>
      <c r="AF169" s="21">
        <f>[2]基础状态预期!M180</f>
        <v>0</v>
      </c>
      <c r="AG169" s="21">
        <f>[2]基础状态预期!N180</f>
        <v>0</v>
      </c>
      <c r="AH169" s="21">
        <f>[2]基础状态预期!O180</f>
        <v>8</v>
      </c>
      <c r="AI169" s="7">
        <f>[2]各r阵容卡情况!G174</f>
        <v>0</v>
      </c>
      <c r="AJ169" s="7">
        <f>[2]各r阵容卡情况!H174</f>
        <v>0</v>
      </c>
      <c r="AK169" s="7">
        <f>[2]各r阵容卡情况!I174</f>
        <v>24</v>
      </c>
      <c r="AL169" s="7">
        <f>[2]各r阵容卡情况!J174</f>
        <v>0</v>
      </c>
      <c r="AM169" s="7">
        <f>[2]各r阵容卡情况!K174</f>
        <v>3</v>
      </c>
      <c r="AN169" s="7">
        <f>[2]各r阵容卡情况!L174</f>
        <v>6</v>
      </c>
      <c r="AO169" s="7">
        <f>[2]各r阵容卡情况!M174</f>
        <v>8</v>
      </c>
      <c r="AP169" s="7">
        <f>[2]各r阵容卡情况!N174</f>
        <v>8</v>
      </c>
      <c r="AZ169" s="7">
        <f>[3]基础状态预期!C180</f>
        <v>125.43876546297123</v>
      </c>
      <c r="BA169" s="7">
        <f>[3]基础状态预期!D180</f>
        <v>2900</v>
      </c>
      <c r="BB169" s="7">
        <f>[3]基础状态预期!E180</f>
        <v>3</v>
      </c>
      <c r="BC169" s="7">
        <f>[3]基础状态预期!F180</f>
        <v>7</v>
      </c>
      <c r="BD169" s="7">
        <f>[3]基础状态预期!G180</f>
        <v>20</v>
      </c>
      <c r="BE169" s="7">
        <f>[3]基础状态预期!H180</f>
        <v>20</v>
      </c>
      <c r="BF169" s="7">
        <f>[3]基础状态预期!I180</f>
        <v>7</v>
      </c>
      <c r="BG169" s="7">
        <f>[3]基础状态预期!J180</f>
        <v>7</v>
      </c>
      <c r="BH169" s="7">
        <f>[3]基础状态预期!K180</f>
        <v>7</v>
      </c>
      <c r="BI169" s="7">
        <f>[3]基础状态预期!L180</f>
        <v>7</v>
      </c>
    </row>
    <row r="170" spans="23:61">
      <c r="W170" s="21">
        <f t="shared" si="2"/>
        <v>3710</v>
      </c>
      <c r="X170" s="21">
        <f>[2]基础状态预期!D181</f>
        <v>129.12105302323599</v>
      </c>
      <c r="Y170" s="21">
        <f>[2]基础状态预期!F181</f>
        <v>0</v>
      </c>
      <c r="Z170" s="21">
        <f>[2]基础状态预期!G181</f>
        <v>0</v>
      </c>
      <c r="AA170" s="21">
        <f>[2]基础状态预期!H181</f>
        <v>0</v>
      </c>
      <c r="AB170" s="21">
        <f>[2]基础状态预期!I181</f>
        <v>0</v>
      </c>
      <c r="AC170" s="21">
        <f>[2]基础状态预期!J181</f>
        <v>6</v>
      </c>
      <c r="AD170" s="21">
        <f>[2]基础状态预期!K181</f>
        <v>0</v>
      </c>
      <c r="AE170" s="21">
        <f>[2]基础状态预期!L181</f>
        <v>0</v>
      </c>
      <c r="AF170" s="21">
        <f>[2]基础状态预期!M181</f>
        <v>0</v>
      </c>
      <c r="AG170" s="21">
        <f>[2]基础状态预期!N181</f>
        <v>0</v>
      </c>
      <c r="AH170" s="21">
        <f>[2]基础状态预期!O181</f>
        <v>8</v>
      </c>
      <c r="AI170" s="7">
        <f>[2]各r阵容卡情况!G175</f>
        <v>0</v>
      </c>
      <c r="AJ170" s="7">
        <f>[2]各r阵容卡情况!H175</f>
        <v>0</v>
      </c>
      <c r="AK170" s="7">
        <f>[2]各r阵容卡情况!I175</f>
        <v>24</v>
      </c>
      <c r="AL170" s="7">
        <f>[2]各r阵容卡情况!J175</f>
        <v>0</v>
      </c>
      <c r="AM170" s="7">
        <f>[2]各r阵容卡情况!K175</f>
        <v>3</v>
      </c>
      <c r="AN170" s="7">
        <f>[2]各r阵容卡情况!L175</f>
        <v>6</v>
      </c>
      <c r="AO170" s="7">
        <f>[2]各r阵容卡情况!M175</f>
        <v>8</v>
      </c>
      <c r="AP170" s="7">
        <f>[2]各r阵容卡情况!N175</f>
        <v>8</v>
      </c>
      <c r="AZ170" s="7">
        <f>[3]基础状态预期!C181</f>
        <v>129.12105302323599</v>
      </c>
      <c r="BA170" s="7">
        <f>[3]基础状态预期!D181</f>
        <v>3710</v>
      </c>
      <c r="BB170" s="7">
        <f>[3]基础状态预期!E181</f>
        <v>3</v>
      </c>
      <c r="BC170" s="7">
        <f>[3]基础状态预期!F181</f>
        <v>7</v>
      </c>
      <c r="BD170" s="7">
        <f>[3]基础状态预期!G181</f>
        <v>20</v>
      </c>
      <c r="BE170" s="7">
        <f>[3]基础状态预期!H181</f>
        <v>20</v>
      </c>
      <c r="BF170" s="7">
        <f>[3]基础状态预期!I181</f>
        <v>7</v>
      </c>
      <c r="BG170" s="7">
        <f>[3]基础状态预期!J181</f>
        <v>7</v>
      </c>
      <c r="BH170" s="7">
        <f>[3]基础状态预期!K181</f>
        <v>7</v>
      </c>
      <c r="BI170" s="7">
        <f>[3]基础状态预期!L181</f>
        <v>7</v>
      </c>
    </row>
    <row r="171" spans="23:61">
      <c r="W171" s="21">
        <f t="shared" si="2"/>
        <v>4730</v>
      </c>
      <c r="X171" s="21">
        <f>[2]基础状态预期!D182</f>
        <v>132.61179169042359</v>
      </c>
      <c r="Y171" s="21">
        <f>[2]基础状态预期!F182</f>
        <v>0</v>
      </c>
      <c r="Z171" s="21">
        <f>[2]基础状态预期!G182</f>
        <v>0</v>
      </c>
      <c r="AA171" s="21">
        <f>[2]基础状态预期!H182</f>
        <v>0</v>
      </c>
      <c r="AB171" s="21">
        <f>[2]基础状态预期!I182</f>
        <v>0</v>
      </c>
      <c r="AC171" s="21">
        <f>[2]基础状态预期!J182</f>
        <v>6</v>
      </c>
      <c r="AD171" s="21">
        <f>[2]基础状态预期!K182</f>
        <v>0</v>
      </c>
      <c r="AE171" s="21">
        <f>[2]基础状态预期!L182</f>
        <v>0</v>
      </c>
      <c r="AF171" s="21">
        <f>[2]基础状态预期!M182</f>
        <v>0</v>
      </c>
      <c r="AG171" s="21">
        <f>[2]基础状态预期!N182</f>
        <v>0</v>
      </c>
      <c r="AH171" s="21">
        <f>[2]基础状态预期!O182</f>
        <v>8</v>
      </c>
      <c r="AI171" s="7">
        <f>[2]各r阵容卡情况!G176</f>
        <v>0</v>
      </c>
      <c r="AJ171" s="7">
        <f>[2]各r阵容卡情况!H176</f>
        <v>0</v>
      </c>
      <c r="AK171" s="7">
        <f>[2]各r阵容卡情况!I176</f>
        <v>24</v>
      </c>
      <c r="AL171" s="7">
        <f>[2]各r阵容卡情况!J176</f>
        <v>0</v>
      </c>
      <c r="AM171" s="7">
        <f>[2]各r阵容卡情况!K176</f>
        <v>3</v>
      </c>
      <c r="AN171" s="7">
        <f>[2]各r阵容卡情况!L176</f>
        <v>6</v>
      </c>
      <c r="AO171" s="7">
        <f>[2]各r阵容卡情况!M176</f>
        <v>8</v>
      </c>
      <c r="AP171" s="7">
        <f>[2]各r阵容卡情况!N176</f>
        <v>8</v>
      </c>
      <c r="AZ171" s="7">
        <f>[3]基础状态预期!C182</f>
        <v>132.61179169042359</v>
      </c>
      <c r="BA171" s="7">
        <f>[3]基础状态预期!D182</f>
        <v>4730</v>
      </c>
      <c r="BB171" s="7">
        <f>[3]基础状态预期!E182</f>
        <v>3</v>
      </c>
      <c r="BC171" s="7">
        <f>[3]基础状态预期!F182</f>
        <v>7</v>
      </c>
      <c r="BD171" s="7">
        <f>[3]基础状态预期!G182</f>
        <v>20</v>
      </c>
      <c r="BE171" s="7">
        <f>[3]基础状态预期!H182</f>
        <v>20</v>
      </c>
      <c r="BF171" s="7">
        <f>[3]基础状态预期!I182</f>
        <v>7</v>
      </c>
      <c r="BG171" s="7">
        <f>[3]基础状态预期!J182</f>
        <v>7</v>
      </c>
      <c r="BH171" s="7">
        <f>[3]基础状态预期!K182</f>
        <v>7</v>
      </c>
      <c r="BI171" s="7">
        <f>[3]基础状态预期!L182</f>
        <v>7</v>
      </c>
    </row>
    <row r="172" spans="23:61">
      <c r="W172" s="21">
        <f t="shared" si="2"/>
        <v>6020</v>
      </c>
      <c r="X172" s="21">
        <f>[2]基础状态预期!D183</f>
        <v>136.12035534953262</v>
      </c>
      <c r="Y172" s="21">
        <f>[2]基础状态预期!F183</f>
        <v>0</v>
      </c>
      <c r="Z172" s="21">
        <f>[2]基础状态预期!G183</f>
        <v>0</v>
      </c>
      <c r="AA172" s="21">
        <f>[2]基础状态预期!H183</f>
        <v>0</v>
      </c>
      <c r="AB172" s="21">
        <f>[2]基础状态预期!I183</f>
        <v>0</v>
      </c>
      <c r="AC172" s="21">
        <f>[2]基础状态预期!J183</f>
        <v>6</v>
      </c>
      <c r="AD172" s="21">
        <f>[2]基础状态预期!K183</f>
        <v>0</v>
      </c>
      <c r="AE172" s="21">
        <f>[2]基础状态预期!L183</f>
        <v>0</v>
      </c>
      <c r="AF172" s="21">
        <f>[2]基础状态预期!M183</f>
        <v>0</v>
      </c>
      <c r="AG172" s="21">
        <f>[2]基础状态预期!N183</f>
        <v>0</v>
      </c>
      <c r="AH172" s="21">
        <f>[2]基础状态预期!O183</f>
        <v>8</v>
      </c>
      <c r="AI172" s="7">
        <f>[2]各r阵容卡情况!G177</f>
        <v>0</v>
      </c>
      <c r="AJ172" s="7">
        <f>[2]各r阵容卡情况!H177</f>
        <v>0</v>
      </c>
      <c r="AK172" s="7">
        <f>[2]各r阵容卡情况!I177</f>
        <v>24</v>
      </c>
      <c r="AL172" s="7">
        <f>[2]各r阵容卡情况!J177</f>
        <v>0</v>
      </c>
      <c r="AM172" s="7">
        <f>[2]各r阵容卡情况!K177</f>
        <v>3</v>
      </c>
      <c r="AN172" s="7">
        <f>[2]各r阵容卡情况!L177</f>
        <v>6</v>
      </c>
      <c r="AO172" s="7">
        <f>[2]各r阵容卡情况!M177</f>
        <v>8</v>
      </c>
      <c r="AP172" s="7">
        <f>[2]各r阵容卡情况!N177</f>
        <v>8</v>
      </c>
      <c r="AZ172" s="7">
        <f>[3]基础状态预期!C183</f>
        <v>136.12035534953262</v>
      </c>
      <c r="BA172" s="7">
        <f>[3]基础状态预期!D183</f>
        <v>6020</v>
      </c>
      <c r="BB172" s="7">
        <f>[3]基础状态预期!E183</f>
        <v>3</v>
      </c>
      <c r="BC172" s="7">
        <f>[3]基础状态预期!F183</f>
        <v>7</v>
      </c>
      <c r="BD172" s="7">
        <f>[3]基础状态预期!G183</f>
        <v>20</v>
      </c>
      <c r="BE172" s="7">
        <f>[3]基础状态预期!H183</f>
        <v>20</v>
      </c>
      <c r="BF172" s="7">
        <f>[3]基础状态预期!I183</f>
        <v>7</v>
      </c>
      <c r="BG172" s="7">
        <f>[3]基础状态预期!J183</f>
        <v>7</v>
      </c>
      <c r="BH172" s="7">
        <f>[3]基础状态预期!K183</f>
        <v>7</v>
      </c>
      <c r="BI172" s="7">
        <f>[3]基础状态预期!L183</f>
        <v>7</v>
      </c>
    </row>
    <row r="173" spans="23:61">
      <c r="W173" s="21">
        <f t="shared" si="2"/>
        <v>7670</v>
      </c>
      <c r="X173" s="21">
        <f>[2]基础状态预期!D184</f>
        <v>139.6793621861803</v>
      </c>
      <c r="Y173" s="21">
        <f>[2]基础状态预期!F184</f>
        <v>0</v>
      </c>
      <c r="Z173" s="21">
        <f>[2]基础状态预期!G184</f>
        <v>0</v>
      </c>
      <c r="AA173" s="21">
        <f>[2]基础状态预期!H184</f>
        <v>0</v>
      </c>
      <c r="AB173" s="21">
        <f>[2]基础状态预期!I184</f>
        <v>0</v>
      </c>
      <c r="AC173" s="21">
        <f>[2]基础状态预期!J184</f>
        <v>6</v>
      </c>
      <c r="AD173" s="21">
        <f>[2]基础状态预期!K184</f>
        <v>0</v>
      </c>
      <c r="AE173" s="21">
        <f>[2]基础状态预期!L184</f>
        <v>0</v>
      </c>
      <c r="AF173" s="21">
        <f>[2]基础状态预期!M184</f>
        <v>0</v>
      </c>
      <c r="AG173" s="21">
        <f>[2]基础状态预期!N184</f>
        <v>0</v>
      </c>
      <c r="AH173" s="21">
        <f>[2]基础状态预期!O184</f>
        <v>8</v>
      </c>
      <c r="AI173" s="7">
        <f>[2]各r阵容卡情况!G178</f>
        <v>0</v>
      </c>
      <c r="AJ173" s="7">
        <f>[2]各r阵容卡情况!H178</f>
        <v>0</v>
      </c>
      <c r="AK173" s="7">
        <f>[2]各r阵容卡情况!I178</f>
        <v>24</v>
      </c>
      <c r="AL173" s="7">
        <f>[2]各r阵容卡情况!J178</f>
        <v>0</v>
      </c>
      <c r="AM173" s="7">
        <f>[2]各r阵容卡情况!K178</f>
        <v>3</v>
      </c>
      <c r="AN173" s="7">
        <f>[2]各r阵容卡情况!L178</f>
        <v>6</v>
      </c>
      <c r="AO173" s="7">
        <f>[2]各r阵容卡情况!M178</f>
        <v>8</v>
      </c>
      <c r="AP173" s="7">
        <f>[2]各r阵容卡情况!N178</f>
        <v>8</v>
      </c>
      <c r="AZ173" s="7">
        <f>[3]基础状态预期!C184</f>
        <v>139.6793621861803</v>
      </c>
      <c r="BA173" s="7">
        <f>[3]基础状态预期!D184</f>
        <v>7670</v>
      </c>
      <c r="BB173" s="7">
        <f>[3]基础状态预期!E184</f>
        <v>3</v>
      </c>
      <c r="BC173" s="7">
        <f>[3]基础状态预期!F184</f>
        <v>7</v>
      </c>
      <c r="BD173" s="7">
        <f>[3]基础状态预期!G184</f>
        <v>20</v>
      </c>
      <c r="BE173" s="7">
        <f>[3]基础状态预期!H184</f>
        <v>20</v>
      </c>
      <c r="BF173" s="7">
        <f>[3]基础状态预期!I184</f>
        <v>7</v>
      </c>
      <c r="BG173" s="7">
        <f>[3]基础状态预期!J184</f>
        <v>7</v>
      </c>
      <c r="BH173" s="7">
        <f>[3]基础状态预期!K184</f>
        <v>7</v>
      </c>
      <c r="BI173" s="7">
        <f>[3]基础状态预期!L184</f>
        <v>7</v>
      </c>
    </row>
    <row r="174" spans="23:61">
      <c r="W174" s="21">
        <f t="shared" si="2"/>
        <v>9770</v>
      </c>
      <c r="X174" s="21">
        <f>[2]基础状态预期!D185</f>
        <v>143.14123736077869</v>
      </c>
      <c r="Y174" s="21">
        <f>[2]基础状态预期!F185</f>
        <v>0</v>
      </c>
      <c r="Z174" s="21">
        <f>[2]基础状态预期!G185</f>
        <v>0</v>
      </c>
      <c r="AA174" s="21">
        <f>[2]基础状态预期!H185</f>
        <v>0</v>
      </c>
      <c r="AB174" s="21">
        <f>[2]基础状态预期!I185</f>
        <v>0</v>
      </c>
      <c r="AC174" s="21">
        <f>[2]基础状态预期!J185</f>
        <v>6</v>
      </c>
      <c r="AD174" s="21">
        <f>[2]基础状态预期!K185</f>
        <v>0</v>
      </c>
      <c r="AE174" s="21">
        <f>[2]基础状态预期!L185</f>
        <v>0</v>
      </c>
      <c r="AF174" s="21">
        <f>[2]基础状态预期!M185</f>
        <v>0</v>
      </c>
      <c r="AG174" s="21">
        <f>[2]基础状态预期!N185</f>
        <v>0</v>
      </c>
      <c r="AH174" s="21">
        <f>[2]基础状态预期!O185</f>
        <v>8</v>
      </c>
      <c r="AI174" s="7">
        <f>[2]各r阵容卡情况!G179</f>
        <v>0</v>
      </c>
      <c r="AJ174" s="7">
        <f>[2]各r阵容卡情况!H179</f>
        <v>0</v>
      </c>
      <c r="AK174" s="7">
        <f>[2]各r阵容卡情况!I179</f>
        <v>24</v>
      </c>
      <c r="AL174" s="7">
        <f>[2]各r阵容卡情况!J179</f>
        <v>0</v>
      </c>
      <c r="AM174" s="7">
        <f>[2]各r阵容卡情况!K179</f>
        <v>3</v>
      </c>
      <c r="AN174" s="7">
        <f>[2]各r阵容卡情况!L179</f>
        <v>6</v>
      </c>
      <c r="AO174" s="7">
        <f>[2]各r阵容卡情况!M179</f>
        <v>8</v>
      </c>
      <c r="AP174" s="7">
        <f>[2]各r阵容卡情况!N179</f>
        <v>8</v>
      </c>
      <c r="AZ174" s="7">
        <f>[3]基础状态预期!C185</f>
        <v>143.14123736077869</v>
      </c>
      <c r="BA174" s="7">
        <f>[3]基础状态预期!D185</f>
        <v>9770</v>
      </c>
      <c r="BB174" s="7">
        <f>[3]基础状态预期!E185</f>
        <v>3</v>
      </c>
      <c r="BC174" s="7">
        <f>[3]基础状态预期!F185</f>
        <v>7</v>
      </c>
      <c r="BD174" s="7">
        <f>[3]基础状态预期!G185</f>
        <v>20</v>
      </c>
      <c r="BE174" s="7">
        <f>[3]基础状态预期!H185</f>
        <v>20</v>
      </c>
      <c r="BF174" s="7">
        <f>[3]基础状态预期!I185</f>
        <v>7</v>
      </c>
      <c r="BG174" s="7">
        <f>[3]基础状态预期!J185</f>
        <v>7</v>
      </c>
      <c r="BH174" s="7">
        <f>[3]基础状态预期!K185</f>
        <v>7</v>
      </c>
      <c r="BI174" s="7">
        <f>[3]基础状态预期!L185</f>
        <v>7</v>
      </c>
    </row>
    <row r="175" spans="23:61">
      <c r="W175" s="21">
        <f t="shared" si="2"/>
        <v>12440</v>
      </c>
      <c r="X175" s="21">
        <f>[2]基础状态预期!D186</f>
        <v>146.75578521325724</v>
      </c>
      <c r="Y175" s="21">
        <f>[2]基础状态预期!F186</f>
        <v>0</v>
      </c>
      <c r="Z175" s="21">
        <f>[2]基础状态预期!G186</f>
        <v>0</v>
      </c>
      <c r="AA175" s="21">
        <f>[2]基础状态预期!H186</f>
        <v>0</v>
      </c>
      <c r="AB175" s="21">
        <f>[2]基础状态预期!I186</f>
        <v>0</v>
      </c>
      <c r="AC175" s="21">
        <f>[2]基础状态预期!J186</f>
        <v>6</v>
      </c>
      <c r="AD175" s="21">
        <f>[2]基础状态预期!K186</f>
        <v>0</v>
      </c>
      <c r="AE175" s="21">
        <f>[2]基础状态预期!L186</f>
        <v>0</v>
      </c>
      <c r="AF175" s="21">
        <f>[2]基础状态预期!M186</f>
        <v>0</v>
      </c>
      <c r="AG175" s="21">
        <f>[2]基础状态预期!N186</f>
        <v>0</v>
      </c>
      <c r="AH175" s="21">
        <f>[2]基础状态预期!O186</f>
        <v>8</v>
      </c>
      <c r="AI175" s="7">
        <f>[2]各r阵容卡情况!G180</f>
        <v>0</v>
      </c>
      <c r="AJ175" s="7">
        <f>[2]各r阵容卡情况!H180</f>
        <v>0</v>
      </c>
      <c r="AK175" s="7">
        <f>[2]各r阵容卡情况!I180</f>
        <v>24</v>
      </c>
      <c r="AL175" s="7">
        <f>[2]各r阵容卡情况!J180</f>
        <v>0</v>
      </c>
      <c r="AM175" s="7">
        <f>[2]各r阵容卡情况!K180</f>
        <v>3</v>
      </c>
      <c r="AN175" s="7">
        <f>[2]各r阵容卡情况!L180</f>
        <v>6</v>
      </c>
      <c r="AO175" s="7">
        <f>[2]各r阵容卡情况!M180</f>
        <v>8</v>
      </c>
      <c r="AP175" s="7">
        <f>[2]各r阵容卡情况!N180</f>
        <v>8</v>
      </c>
      <c r="AZ175" s="7">
        <f>[3]基础状态预期!C186</f>
        <v>146.75578521325724</v>
      </c>
      <c r="BA175" s="7">
        <f>[3]基础状态预期!D186</f>
        <v>12440</v>
      </c>
      <c r="BB175" s="7">
        <f>[3]基础状态预期!E186</f>
        <v>3</v>
      </c>
      <c r="BC175" s="7">
        <f>[3]基础状态预期!F186</f>
        <v>7</v>
      </c>
      <c r="BD175" s="7">
        <f>[3]基础状态预期!G186</f>
        <v>20</v>
      </c>
      <c r="BE175" s="7">
        <f>[3]基础状态预期!H186</f>
        <v>20</v>
      </c>
      <c r="BF175" s="7">
        <f>[3]基础状态预期!I186</f>
        <v>7</v>
      </c>
      <c r="BG175" s="7">
        <f>[3]基础状态预期!J186</f>
        <v>7</v>
      </c>
      <c r="BH175" s="7">
        <f>[3]基础状态预期!K186</f>
        <v>7</v>
      </c>
      <c r="BI175" s="7">
        <f>[3]基础状态预期!L186</f>
        <v>7</v>
      </c>
    </row>
    <row r="176" spans="23:61">
      <c r="W176" s="21">
        <f t="shared" si="2"/>
        <v>15860</v>
      </c>
      <c r="X176" s="21">
        <f>[2]基础状态预期!D187</f>
        <v>150.21349802228445</v>
      </c>
      <c r="Y176" s="21">
        <f>[2]基础状态预期!F187</f>
        <v>0</v>
      </c>
      <c r="Z176" s="21">
        <f>[2]基础状态预期!G187</f>
        <v>0</v>
      </c>
      <c r="AA176" s="21">
        <f>[2]基础状态预期!H187</f>
        <v>0</v>
      </c>
      <c r="AB176" s="21">
        <f>[2]基础状态预期!I187</f>
        <v>0</v>
      </c>
      <c r="AC176" s="21">
        <f>[2]基础状态预期!J187</f>
        <v>6</v>
      </c>
      <c r="AD176" s="21">
        <f>[2]基础状态预期!K187</f>
        <v>0</v>
      </c>
      <c r="AE176" s="21">
        <f>[2]基础状态预期!L187</f>
        <v>0</v>
      </c>
      <c r="AF176" s="21">
        <f>[2]基础状态预期!M187</f>
        <v>0</v>
      </c>
      <c r="AG176" s="21">
        <f>[2]基础状态预期!N187</f>
        <v>0</v>
      </c>
      <c r="AH176" s="21">
        <f>[2]基础状态预期!O187</f>
        <v>8</v>
      </c>
      <c r="AI176" s="7">
        <f>[2]各r阵容卡情况!G181</f>
        <v>0</v>
      </c>
      <c r="AJ176" s="7">
        <f>[2]各r阵容卡情况!H181</f>
        <v>0</v>
      </c>
      <c r="AK176" s="7">
        <f>[2]各r阵容卡情况!I181</f>
        <v>24</v>
      </c>
      <c r="AL176" s="7">
        <f>[2]各r阵容卡情况!J181</f>
        <v>0</v>
      </c>
      <c r="AM176" s="7">
        <f>[2]各r阵容卡情况!K181</f>
        <v>3</v>
      </c>
      <c r="AN176" s="7">
        <f>[2]各r阵容卡情况!L181</f>
        <v>6</v>
      </c>
      <c r="AO176" s="7">
        <f>[2]各r阵容卡情况!M181</f>
        <v>8</v>
      </c>
      <c r="AP176" s="7">
        <f>[2]各r阵容卡情况!N181</f>
        <v>8</v>
      </c>
      <c r="AZ176" s="7">
        <f>[3]基础状态预期!C187</f>
        <v>150.21349802228445</v>
      </c>
      <c r="BA176" s="7">
        <f>[3]基础状态预期!D187</f>
        <v>15860</v>
      </c>
      <c r="BB176" s="7">
        <f>[3]基础状态预期!E187</f>
        <v>3</v>
      </c>
      <c r="BC176" s="7">
        <f>[3]基础状态预期!F187</f>
        <v>7</v>
      </c>
      <c r="BD176" s="7">
        <f>[3]基础状态预期!G187</f>
        <v>20</v>
      </c>
      <c r="BE176" s="7">
        <f>[3]基础状态预期!H187</f>
        <v>20</v>
      </c>
      <c r="BF176" s="7">
        <f>[3]基础状态预期!I187</f>
        <v>7</v>
      </c>
      <c r="BG176" s="7">
        <f>[3]基础状态预期!J187</f>
        <v>7</v>
      </c>
      <c r="BH176" s="7">
        <f>[3]基础状态预期!K187</f>
        <v>7</v>
      </c>
      <c r="BI176" s="7">
        <f>[3]基础状态预期!L187</f>
        <v>7</v>
      </c>
    </row>
    <row r="177" spans="23:61">
      <c r="W177" s="21">
        <f t="shared" si="2"/>
        <v>20210</v>
      </c>
      <c r="X177" s="21">
        <f>[2]基础状态预期!D188</f>
        <v>152.32856849044819</v>
      </c>
      <c r="Y177" s="21">
        <f>[2]基础状态预期!F188</f>
        <v>0</v>
      </c>
      <c r="Z177" s="21">
        <f>[2]基础状态预期!G188</f>
        <v>0</v>
      </c>
      <c r="AA177" s="21">
        <f>[2]基础状态预期!H188</f>
        <v>0</v>
      </c>
      <c r="AB177" s="21">
        <f>[2]基础状态预期!I188</f>
        <v>0</v>
      </c>
      <c r="AC177" s="21">
        <f>[2]基础状态预期!J188</f>
        <v>6</v>
      </c>
      <c r="AD177" s="21">
        <f>[2]基础状态预期!K188</f>
        <v>0</v>
      </c>
      <c r="AE177" s="21">
        <f>[2]基础状态预期!L188</f>
        <v>0</v>
      </c>
      <c r="AF177" s="21">
        <f>[2]基础状态预期!M188</f>
        <v>0</v>
      </c>
      <c r="AG177" s="21">
        <f>[2]基础状态预期!N188</f>
        <v>0</v>
      </c>
      <c r="AH177" s="21">
        <f>[2]基础状态预期!O188</f>
        <v>8</v>
      </c>
      <c r="AI177" s="7">
        <f>[2]各r阵容卡情况!G182</f>
        <v>0</v>
      </c>
      <c r="AJ177" s="7">
        <f>[2]各r阵容卡情况!H182</f>
        <v>0</v>
      </c>
      <c r="AK177" s="7">
        <f>[2]各r阵容卡情况!I182</f>
        <v>24</v>
      </c>
      <c r="AL177" s="7">
        <f>[2]各r阵容卡情况!J182</f>
        <v>0</v>
      </c>
      <c r="AM177" s="7">
        <f>[2]各r阵容卡情况!K182</f>
        <v>3</v>
      </c>
      <c r="AN177" s="7">
        <f>[2]各r阵容卡情况!L182</f>
        <v>6</v>
      </c>
      <c r="AO177" s="7">
        <f>[2]各r阵容卡情况!M182</f>
        <v>8</v>
      </c>
      <c r="AP177" s="7">
        <f>[2]各r阵容卡情况!N182</f>
        <v>8</v>
      </c>
      <c r="AZ177" s="7">
        <f>[3]基础状态预期!C188</f>
        <v>152.32856849044819</v>
      </c>
      <c r="BA177" s="7">
        <f>[3]基础状态预期!D188</f>
        <v>20210</v>
      </c>
      <c r="BB177" s="7">
        <f>[3]基础状态预期!E188</f>
        <v>3</v>
      </c>
      <c r="BC177" s="7">
        <f>[3]基础状态预期!F188</f>
        <v>7</v>
      </c>
      <c r="BD177" s="7">
        <f>[3]基础状态预期!G188</f>
        <v>20</v>
      </c>
      <c r="BE177" s="7">
        <f>[3]基础状态预期!H188</f>
        <v>20</v>
      </c>
      <c r="BF177" s="7">
        <f>[3]基础状态预期!I188</f>
        <v>7</v>
      </c>
      <c r="BG177" s="7">
        <f>[3]基础状态预期!J188</f>
        <v>7</v>
      </c>
      <c r="BH177" s="7">
        <f>[3]基础状态预期!K188</f>
        <v>7</v>
      </c>
      <c r="BI177" s="7">
        <f>[3]基础状态预期!L188</f>
        <v>7</v>
      </c>
    </row>
    <row r="178" spans="23:61">
      <c r="W178" s="21">
        <f t="shared" si="2"/>
        <v>25760</v>
      </c>
      <c r="X178" s="21">
        <f>[2]基础状态预期!D189</f>
        <v>153.15627769682186</v>
      </c>
      <c r="Y178" s="21">
        <f>[2]基础状态预期!F189</f>
        <v>0</v>
      </c>
      <c r="Z178" s="21">
        <f>[2]基础状态预期!G189</f>
        <v>0</v>
      </c>
      <c r="AA178" s="21">
        <f>[2]基础状态预期!H189</f>
        <v>0</v>
      </c>
      <c r="AB178" s="21">
        <f>[2]基础状态预期!I189</f>
        <v>0</v>
      </c>
      <c r="AC178" s="21">
        <f>[2]基础状态预期!J189</f>
        <v>6</v>
      </c>
      <c r="AD178" s="21">
        <f>[2]基础状态预期!K189</f>
        <v>0</v>
      </c>
      <c r="AE178" s="21">
        <f>[2]基础状态预期!L189</f>
        <v>0</v>
      </c>
      <c r="AF178" s="21">
        <f>[2]基础状态预期!M189</f>
        <v>0</v>
      </c>
      <c r="AG178" s="21">
        <f>[2]基础状态预期!N189</f>
        <v>0</v>
      </c>
      <c r="AH178" s="21">
        <f>[2]基础状态预期!O189</f>
        <v>8</v>
      </c>
      <c r="AI178" s="7">
        <f>[2]各r阵容卡情况!G183</f>
        <v>0</v>
      </c>
      <c r="AJ178" s="7">
        <f>[2]各r阵容卡情况!H183</f>
        <v>0</v>
      </c>
      <c r="AK178" s="7">
        <f>[2]各r阵容卡情况!I183</f>
        <v>24</v>
      </c>
      <c r="AL178" s="7">
        <f>[2]各r阵容卡情况!J183</f>
        <v>0</v>
      </c>
      <c r="AM178" s="7">
        <f>[2]各r阵容卡情况!K183</f>
        <v>3</v>
      </c>
      <c r="AN178" s="7">
        <f>[2]各r阵容卡情况!L183</f>
        <v>6</v>
      </c>
      <c r="AO178" s="7">
        <f>[2]各r阵容卡情况!M183</f>
        <v>8</v>
      </c>
      <c r="AP178" s="7">
        <f>[2]各r阵容卡情况!N183</f>
        <v>8</v>
      </c>
      <c r="AZ178" s="7">
        <f>[3]基础状态预期!C189</f>
        <v>153.15627769682186</v>
      </c>
      <c r="BA178" s="7">
        <f>[3]基础状态预期!D189</f>
        <v>25760</v>
      </c>
      <c r="BB178" s="7">
        <f>[3]基础状态预期!E189</f>
        <v>3</v>
      </c>
      <c r="BC178" s="7">
        <f>[3]基础状态预期!F189</f>
        <v>7</v>
      </c>
      <c r="BD178" s="7">
        <f>[3]基础状态预期!G189</f>
        <v>20</v>
      </c>
      <c r="BE178" s="7">
        <f>[3]基础状态预期!H189</f>
        <v>20</v>
      </c>
      <c r="BF178" s="7">
        <f>[3]基础状态预期!I189</f>
        <v>7</v>
      </c>
      <c r="BG178" s="7">
        <f>[3]基础状态预期!J189</f>
        <v>7</v>
      </c>
      <c r="BH178" s="7">
        <f>[3]基础状态预期!K189</f>
        <v>7</v>
      </c>
      <c r="BI178" s="7">
        <f>[3]基础状态预期!L189</f>
        <v>7</v>
      </c>
    </row>
    <row r="179" spans="23:61">
      <c r="W179" s="21">
        <f t="shared" si="2"/>
        <v>32750</v>
      </c>
      <c r="X179" s="21">
        <f>[2]基础状态预期!D190</f>
        <v>153.85863088955028</v>
      </c>
      <c r="Y179" s="21">
        <f>[2]基础状态预期!F190</f>
        <v>0</v>
      </c>
      <c r="Z179" s="21">
        <f>[2]基础状态预期!G190</f>
        <v>0</v>
      </c>
      <c r="AA179" s="21">
        <f>[2]基础状态预期!H190</f>
        <v>0</v>
      </c>
      <c r="AB179" s="21">
        <f>[2]基础状态预期!I190</f>
        <v>0</v>
      </c>
      <c r="AC179" s="21">
        <f>[2]基础状态预期!J190</f>
        <v>6</v>
      </c>
      <c r="AD179" s="21">
        <f>[2]基础状态预期!K190</f>
        <v>0</v>
      </c>
      <c r="AE179" s="21">
        <f>[2]基础状态预期!L190</f>
        <v>0</v>
      </c>
      <c r="AF179" s="21">
        <f>[2]基础状态预期!M190</f>
        <v>0</v>
      </c>
      <c r="AG179" s="21">
        <f>[2]基础状态预期!N190</f>
        <v>0</v>
      </c>
      <c r="AH179" s="21">
        <f>[2]基础状态预期!O190</f>
        <v>8</v>
      </c>
      <c r="AI179" s="7">
        <f>[2]各r阵容卡情况!G184</f>
        <v>0</v>
      </c>
      <c r="AJ179" s="7">
        <f>[2]各r阵容卡情况!H184</f>
        <v>0</v>
      </c>
      <c r="AK179" s="7">
        <f>[2]各r阵容卡情况!I184</f>
        <v>24</v>
      </c>
      <c r="AL179" s="7">
        <f>[2]各r阵容卡情况!J184</f>
        <v>0</v>
      </c>
      <c r="AM179" s="7">
        <f>[2]各r阵容卡情况!K184</f>
        <v>3</v>
      </c>
      <c r="AN179" s="7">
        <f>[2]各r阵容卡情况!L184</f>
        <v>6</v>
      </c>
      <c r="AO179" s="7">
        <f>[2]各r阵容卡情况!M184</f>
        <v>8</v>
      </c>
      <c r="AP179" s="7">
        <f>[2]各r阵容卡情况!N184</f>
        <v>8</v>
      </c>
      <c r="AZ179" s="7">
        <f>[3]基础状态预期!C190</f>
        <v>153.85863088955028</v>
      </c>
      <c r="BA179" s="7">
        <f>[3]基础状态预期!D190</f>
        <v>32750</v>
      </c>
      <c r="BB179" s="7">
        <f>[3]基础状态预期!E190</f>
        <v>3</v>
      </c>
      <c r="BC179" s="7">
        <f>[3]基础状态预期!F190</f>
        <v>7</v>
      </c>
      <c r="BD179" s="7">
        <f>[3]基础状态预期!G190</f>
        <v>20</v>
      </c>
      <c r="BE179" s="7">
        <f>[3]基础状态预期!H190</f>
        <v>20</v>
      </c>
      <c r="BF179" s="7">
        <f>[3]基础状态预期!I190</f>
        <v>7</v>
      </c>
      <c r="BG179" s="7">
        <f>[3]基础状态预期!J190</f>
        <v>7</v>
      </c>
      <c r="BH179" s="7">
        <f>[3]基础状态预期!K190</f>
        <v>7</v>
      </c>
      <c r="BI179" s="7">
        <f>[3]基础状态预期!L190</f>
        <v>7</v>
      </c>
    </row>
    <row r="180" spans="23:61">
      <c r="W180" s="23"/>
      <c r="X180" s="23"/>
      <c r="Y180" s="23"/>
      <c r="Z180" s="23"/>
      <c r="AA180" s="23"/>
      <c r="AB180" s="23"/>
      <c r="AC180" s="23"/>
      <c r="AI180" s="6"/>
      <c r="AJ180" s="6"/>
      <c r="AK180" s="6"/>
      <c r="AL180" s="6"/>
      <c r="AM180" s="6"/>
      <c r="AN180" s="6"/>
      <c r="AO180" s="6"/>
      <c r="AP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</row>
    <row r="181" spans="23:61">
      <c r="W181" s="23"/>
      <c r="X181" s="23"/>
      <c r="Y181" s="23"/>
      <c r="Z181" s="23"/>
      <c r="AA181" s="23"/>
      <c r="AB181" s="23"/>
      <c r="AC181" s="23"/>
      <c r="AI181" s="6"/>
      <c r="AJ181" s="6"/>
      <c r="AK181" s="6"/>
      <c r="AL181" s="6"/>
      <c r="AM181" s="6"/>
      <c r="AN181" s="6"/>
      <c r="AO181" s="6"/>
      <c r="AP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</row>
    <row r="182" spans="23:61">
      <c r="W182" s="23"/>
      <c r="X182" s="23"/>
      <c r="Y182" s="23"/>
      <c r="Z182" s="23"/>
      <c r="AA182" s="23"/>
      <c r="AB182" s="23"/>
      <c r="AC182" s="23"/>
      <c r="AI182" s="6"/>
      <c r="AJ182" s="6"/>
      <c r="AK182" s="6"/>
      <c r="AL182" s="6"/>
      <c r="AM182" s="6"/>
      <c r="AN182" s="6"/>
      <c r="AO182" s="6"/>
      <c r="AP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</row>
    <row r="183" spans="23:61">
      <c r="W183" s="34" t="s">
        <v>49</v>
      </c>
      <c r="X183" s="34"/>
      <c r="Y183" s="23"/>
      <c r="Z183" s="23"/>
      <c r="AA183" s="23"/>
      <c r="AB183" s="23"/>
      <c r="AC183" s="23"/>
      <c r="AI183" s="6" t="s">
        <v>34</v>
      </c>
      <c r="AJ183" s="6"/>
      <c r="AK183" s="6"/>
      <c r="AL183" s="6"/>
      <c r="AM183" s="6"/>
      <c r="AN183" s="6"/>
      <c r="AO183" s="6"/>
      <c r="AP183" s="6"/>
      <c r="AZ183" s="35" t="s">
        <v>111</v>
      </c>
      <c r="BA183" s="35"/>
      <c r="BB183" s="35"/>
      <c r="BC183" s="35"/>
      <c r="BD183" s="35"/>
      <c r="BE183" s="35"/>
      <c r="BF183" s="35"/>
      <c r="BG183" s="35"/>
      <c r="BH183" s="35"/>
      <c r="BI183" s="35"/>
    </row>
    <row r="184" spans="23:61">
      <c r="W184" s="34"/>
      <c r="X184" s="34"/>
      <c r="Y184" s="42" t="s">
        <v>128</v>
      </c>
      <c r="Z184" s="43"/>
      <c r="AA184" s="43"/>
      <c r="AB184" s="43"/>
      <c r="AC184" s="44"/>
      <c r="AD184" s="34" t="s">
        <v>97</v>
      </c>
      <c r="AE184" s="34"/>
      <c r="AF184" s="34"/>
      <c r="AG184" s="34"/>
      <c r="AH184" s="34"/>
      <c r="AI184" s="36" t="s">
        <v>129</v>
      </c>
      <c r="AJ184" s="37"/>
      <c r="AK184" s="37"/>
      <c r="AL184" s="38"/>
      <c r="AM184" s="36" t="s">
        <v>130</v>
      </c>
      <c r="AN184" s="37"/>
      <c r="AO184" s="37"/>
      <c r="AP184" s="38"/>
      <c r="AZ184" s="7"/>
      <c r="BA184" s="7"/>
      <c r="BB184" s="36" t="s">
        <v>135</v>
      </c>
      <c r="BC184" s="37"/>
      <c r="BD184" s="37"/>
      <c r="BE184" s="38"/>
      <c r="BF184" s="36" t="s">
        <v>98</v>
      </c>
      <c r="BG184" s="37"/>
      <c r="BH184" s="37"/>
      <c r="BI184" s="38"/>
    </row>
    <row r="185" spans="23:61">
      <c r="W185" s="21" t="s">
        <v>103</v>
      </c>
      <c r="X185" s="21" t="s">
        <v>92</v>
      </c>
      <c r="Y185" s="21" t="s">
        <v>104</v>
      </c>
      <c r="Z185" s="21" t="s">
        <v>14</v>
      </c>
      <c r="AA185" s="21" t="s">
        <v>15</v>
      </c>
      <c r="AB185" s="21" t="s">
        <v>13</v>
      </c>
      <c r="AC185" s="21" t="s">
        <v>102</v>
      </c>
      <c r="AD185" s="21" t="s">
        <v>104</v>
      </c>
      <c r="AE185" s="21" t="s">
        <v>14</v>
      </c>
      <c r="AF185" s="21" t="s">
        <v>15</v>
      </c>
      <c r="AG185" s="21" t="s">
        <v>13</v>
      </c>
      <c r="AH185" s="21" t="s">
        <v>102</v>
      </c>
      <c r="AI185" s="7" t="s">
        <v>14</v>
      </c>
      <c r="AJ185" s="7" t="s">
        <v>15</v>
      </c>
      <c r="AK185" s="7" t="s">
        <v>13</v>
      </c>
      <c r="AL185" s="7" t="s">
        <v>102</v>
      </c>
      <c r="AM185" s="7" t="s">
        <v>14</v>
      </c>
      <c r="AN185" s="7" t="s">
        <v>15</v>
      </c>
      <c r="AO185" s="7" t="s">
        <v>13</v>
      </c>
      <c r="AP185" s="7" t="s">
        <v>102</v>
      </c>
      <c r="AZ185" s="7" t="s">
        <v>91</v>
      </c>
      <c r="BA185" s="7" t="s">
        <v>103</v>
      </c>
      <c r="BB185" s="7" t="s">
        <v>14</v>
      </c>
      <c r="BC185" s="7" t="s">
        <v>15</v>
      </c>
      <c r="BD185" s="7" t="s">
        <v>13</v>
      </c>
      <c r="BE185" s="7" t="s">
        <v>102</v>
      </c>
      <c r="BF185" s="7" t="s">
        <v>14</v>
      </c>
      <c r="BG185" s="7" t="s">
        <v>15</v>
      </c>
      <c r="BH185" s="7" t="s">
        <v>13</v>
      </c>
      <c r="BI185" s="7" t="s">
        <v>102</v>
      </c>
    </row>
    <row r="186" spans="23:61">
      <c r="W186" s="21">
        <f t="shared" ref="W186:W224" si="3">W6*0.275</f>
        <v>0.27500000000000002</v>
      </c>
      <c r="X186" s="21">
        <f>[2]基础状态预期!D197</f>
        <v>10.040470049930473</v>
      </c>
      <c r="Y186" s="21">
        <f>[2]基础状态预期!F197</f>
        <v>0</v>
      </c>
      <c r="Z186" s="21">
        <f>[2]基础状态预期!G197</f>
        <v>0</v>
      </c>
      <c r="AA186" s="21">
        <f>[2]基础状态预期!H197</f>
        <v>0</v>
      </c>
      <c r="AB186" s="21">
        <f>[2]基础状态预期!I197</f>
        <v>6</v>
      </c>
      <c r="AC186" s="21">
        <f>[2]基础状态预期!J197</f>
        <v>0</v>
      </c>
      <c r="AD186" s="21">
        <f>[2]基础状态预期!K197</f>
        <v>0</v>
      </c>
      <c r="AE186" s="21">
        <f>[2]基础状态预期!L197</f>
        <v>0</v>
      </c>
      <c r="AF186" s="21">
        <f>[2]基础状态预期!M197</f>
        <v>0</v>
      </c>
      <c r="AG186" s="21">
        <f>[2]基础状态预期!N197</f>
        <v>0</v>
      </c>
      <c r="AH186" s="21">
        <f>[2]基础状态预期!O197</f>
        <v>0</v>
      </c>
      <c r="AI186" s="7">
        <f>[2]各r阵容卡情况!G191</f>
        <v>5</v>
      </c>
      <c r="AJ186" s="7">
        <f>[2]各r阵容卡情况!H191</f>
        <v>1</v>
      </c>
      <c r="AK186" s="7">
        <f>[2]各r阵容卡情况!I191</f>
        <v>0</v>
      </c>
      <c r="AL186" s="7">
        <f>[2]各r阵容卡情况!J191</f>
        <v>0</v>
      </c>
      <c r="AM186" s="7">
        <f>[2]各r阵容卡情况!K191</f>
        <v>3</v>
      </c>
      <c r="AN186" s="7">
        <f>[2]各r阵容卡情况!L191</f>
        <v>2.6095540168237257</v>
      </c>
      <c r="AO186" s="7">
        <f>[2]各r阵容卡情况!M191</f>
        <v>0</v>
      </c>
      <c r="AP186" s="7">
        <f>[2]各r阵容卡情况!N191</f>
        <v>0</v>
      </c>
      <c r="AZ186" s="7">
        <f>[3]基础状态预期!C197</f>
        <v>10.040470049930473</v>
      </c>
      <c r="BA186" s="7">
        <f>[3]基础状态预期!D197</f>
        <v>0.27500000000000002</v>
      </c>
      <c r="BB186" s="7">
        <f>[3]基础状态预期!E197</f>
        <v>3</v>
      </c>
      <c r="BC186" s="7">
        <f>[3]基础状态预期!F197</f>
        <v>7</v>
      </c>
      <c r="BD186" s="7">
        <f>[3]基础状态预期!G197</f>
        <v>5</v>
      </c>
      <c r="BE186" s="7">
        <f>[3]基础状态预期!H197</f>
        <v>0</v>
      </c>
      <c r="BF186" s="7">
        <f>[3]基础状态预期!I197</f>
        <v>3.1306312830479435</v>
      </c>
      <c r="BG186" s="7">
        <f>[3]基础状态预期!J197</f>
        <v>2</v>
      </c>
      <c r="BH186" s="7">
        <f>[3]基础状态预期!K197</f>
        <v>3</v>
      </c>
      <c r="BI186" s="7">
        <f>[3]基础状态预期!L197</f>
        <v>0</v>
      </c>
    </row>
    <row r="187" spans="23:61">
      <c r="W187" s="21">
        <f t="shared" si="3"/>
        <v>0.82500000000000007</v>
      </c>
      <c r="X187" s="21">
        <f>[2]基础状态预期!D198</f>
        <v>19.288856680060892</v>
      </c>
      <c r="Y187" s="21">
        <f>[2]基础状态预期!F198</f>
        <v>0</v>
      </c>
      <c r="Z187" s="21">
        <f>[2]基础状态预期!G198</f>
        <v>0</v>
      </c>
      <c r="AA187" s="21">
        <f>[2]基础状态预期!H198</f>
        <v>0</v>
      </c>
      <c r="AB187" s="21">
        <f>[2]基础状态预期!I198</f>
        <v>6</v>
      </c>
      <c r="AC187" s="21">
        <f>[2]基础状态预期!J198</f>
        <v>0</v>
      </c>
      <c r="AD187" s="21">
        <f>[2]基础状态预期!K198</f>
        <v>0</v>
      </c>
      <c r="AE187" s="21">
        <f>[2]基础状态预期!L198</f>
        <v>0</v>
      </c>
      <c r="AF187" s="21">
        <f>[2]基础状态预期!M198</f>
        <v>0</v>
      </c>
      <c r="AG187" s="21">
        <f>[2]基础状态预期!N198</f>
        <v>0</v>
      </c>
      <c r="AH187" s="21">
        <f>[2]基础状态预期!O198</f>
        <v>0</v>
      </c>
      <c r="AI187" s="7">
        <f>[2]各r阵容卡情况!G192</f>
        <v>6</v>
      </c>
      <c r="AJ187" s="7">
        <f>[2]各r阵容卡情况!H192</f>
        <v>2</v>
      </c>
      <c r="AK187" s="7">
        <f>[2]各r阵容卡情况!I192</f>
        <v>0</v>
      </c>
      <c r="AL187" s="7">
        <f>[2]各r阵容卡情况!J192</f>
        <v>0</v>
      </c>
      <c r="AM187" s="7">
        <f>[2]各r阵容卡情况!K192</f>
        <v>3</v>
      </c>
      <c r="AN187" s="7">
        <f>[2]各r阵容卡情况!L192</f>
        <v>5.6259217608754417</v>
      </c>
      <c r="AO187" s="7">
        <f>[2]各r阵容卡情况!M192</f>
        <v>0</v>
      </c>
      <c r="AP187" s="7">
        <f>[2]各r阵容卡情况!N192</f>
        <v>0</v>
      </c>
      <c r="AZ187" s="7">
        <f>[3]基础状态预期!C198</f>
        <v>19.288856680060892</v>
      </c>
      <c r="BA187" s="7">
        <f>[3]基础状态预期!D198</f>
        <v>0.82500000000000007</v>
      </c>
      <c r="BB187" s="7">
        <f>[3]基础状态预期!E198</f>
        <v>3</v>
      </c>
      <c r="BC187" s="7">
        <f>[3]基础状态预期!F198</f>
        <v>7</v>
      </c>
      <c r="BD187" s="7">
        <f>[3]基础状态预期!G198</f>
        <v>14</v>
      </c>
      <c r="BE187" s="7">
        <f>[3]基础状态预期!H198</f>
        <v>0</v>
      </c>
      <c r="BF187" s="7">
        <f>[3]基础状态预期!I198</f>
        <v>4.6959469245719143</v>
      </c>
      <c r="BG187" s="7">
        <f>[3]基础状态预期!J198</f>
        <v>3.0965174081283933</v>
      </c>
      <c r="BH187" s="7">
        <f>[3]基础状态预期!K198</f>
        <v>3</v>
      </c>
      <c r="BI187" s="7">
        <f>[3]基础状态预期!L198</f>
        <v>0</v>
      </c>
    </row>
    <row r="188" spans="23:61">
      <c r="W188" s="21">
        <f t="shared" si="3"/>
        <v>1.6500000000000001</v>
      </c>
      <c r="X188" s="21">
        <f>[2]基础状态预期!D199</f>
        <v>27.144641112884834</v>
      </c>
      <c r="Y188" s="21">
        <f>[2]基础状态预期!F199</f>
        <v>0</v>
      </c>
      <c r="Z188" s="21">
        <f>[2]基础状态预期!G199</f>
        <v>0</v>
      </c>
      <c r="AA188" s="21">
        <f>[2]基础状态预期!H199</f>
        <v>0</v>
      </c>
      <c r="AB188" s="21">
        <f>[2]基础状态预期!I199</f>
        <v>6</v>
      </c>
      <c r="AC188" s="21">
        <f>[2]基础状态预期!J199</f>
        <v>0</v>
      </c>
      <c r="AD188" s="21">
        <f>[2]基础状态预期!K199</f>
        <v>0</v>
      </c>
      <c r="AE188" s="21">
        <f>[2]基础状态预期!L199</f>
        <v>0</v>
      </c>
      <c r="AF188" s="21">
        <f>[2]基础状态预期!M199</f>
        <v>0</v>
      </c>
      <c r="AG188" s="21">
        <f>[2]基础状态预期!N199</f>
        <v>0.52879294642818553</v>
      </c>
      <c r="AH188" s="21">
        <f>[2]基础状态预期!O199</f>
        <v>0</v>
      </c>
      <c r="AI188" s="7">
        <f>[2]各r阵容卡情况!G193</f>
        <v>6</v>
      </c>
      <c r="AJ188" s="7">
        <f>[2]各r阵容卡情况!H193</f>
        <v>4</v>
      </c>
      <c r="AK188" s="7">
        <f>[2]各r阵容卡情况!I193</f>
        <v>0</v>
      </c>
      <c r="AL188" s="7">
        <f>[2]各r阵容卡情况!J193</f>
        <v>0</v>
      </c>
      <c r="AM188" s="7">
        <f>[2]各r阵容卡情况!K193</f>
        <v>3</v>
      </c>
      <c r="AN188" s="7">
        <f>[2]各r阵容卡情况!L193</f>
        <v>6</v>
      </c>
      <c r="AO188" s="7">
        <f>[2]各r阵容卡情况!M193</f>
        <v>0.52879294642818553</v>
      </c>
      <c r="AP188" s="7">
        <f>[2]各r阵容卡情况!N193</f>
        <v>0</v>
      </c>
      <c r="AZ188" s="7">
        <f>[3]基础状态预期!C199</f>
        <v>27.144641112884834</v>
      </c>
      <c r="BA188" s="7">
        <f>[3]基础状态预期!D199</f>
        <v>1.6500000000000001</v>
      </c>
      <c r="BB188" s="7">
        <f>[3]基础状态预期!E199</f>
        <v>3</v>
      </c>
      <c r="BC188" s="7">
        <f>[3]基础状态预期!F199</f>
        <v>7</v>
      </c>
      <c r="BD188" s="7">
        <f>[3]基础状态预期!G199</f>
        <v>20</v>
      </c>
      <c r="BE188" s="7">
        <f>[3]基础状态预期!H199</f>
        <v>0</v>
      </c>
      <c r="BF188" s="7">
        <f>[3]基础状态预期!I199</f>
        <v>5.3885200570084262</v>
      </c>
      <c r="BG188" s="7">
        <f>[3]基础状态预期!J199</f>
        <v>3.7955000737177933</v>
      </c>
      <c r="BH188" s="7">
        <f>[3]基础状态预期!K199</f>
        <v>3</v>
      </c>
      <c r="BI188" s="7">
        <f>[3]基础状态预期!L199</f>
        <v>0</v>
      </c>
    </row>
    <row r="189" spans="23:61">
      <c r="W189" s="21">
        <f t="shared" si="3"/>
        <v>2.75</v>
      </c>
      <c r="X189" s="21">
        <f>[2]基础状态预期!D200</f>
        <v>33.399598377161809</v>
      </c>
      <c r="Y189" s="21">
        <f>[2]基础状态预期!F200</f>
        <v>0</v>
      </c>
      <c r="Z189" s="21">
        <f>[2]基础状态预期!G200</f>
        <v>0</v>
      </c>
      <c r="AA189" s="21">
        <f>[2]基础状态预期!H200</f>
        <v>0</v>
      </c>
      <c r="AB189" s="21">
        <f>[2]基础状态预期!I200</f>
        <v>6</v>
      </c>
      <c r="AC189" s="21">
        <f>[2]基础状态预期!J200</f>
        <v>0</v>
      </c>
      <c r="AD189" s="21">
        <f>[2]基础状态预期!K200</f>
        <v>0</v>
      </c>
      <c r="AE189" s="21">
        <f>[2]基础状态预期!L200</f>
        <v>0</v>
      </c>
      <c r="AF189" s="21">
        <f>[2]基础状态预期!M200</f>
        <v>0</v>
      </c>
      <c r="AG189" s="21">
        <f>[2]基础状态预期!N200</f>
        <v>1.2315161541088231</v>
      </c>
      <c r="AH189" s="21">
        <f>[2]基础状态预期!O200</f>
        <v>0</v>
      </c>
      <c r="AI189" s="7">
        <f>[2]各r阵容卡情况!G194</f>
        <v>6</v>
      </c>
      <c r="AJ189" s="7">
        <f>[2]各r阵容卡情况!H194</f>
        <v>6</v>
      </c>
      <c r="AK189" s="7">
        <f>[2]各r阵容卡情况!I194</f>
        <v>0</v>
      </c>
      <c r="AL189" s="7">
        <f>[2]各r阵容卡情况!J194</f>
        <v>0</v>
      </c>
      <c r="AM189" s="7">
        <f>[2]各r阵容卡情况!K194</f>
        <v>3</v>
      </c>
      <c r="AN189" s="7">
        <f>[2]各r阵容卡情况!L194</f>
        <v>6</v>
      </c>
      <c r="AO189" s="7">
        <f>[2]各r阵容卡情况!M194</f>
        <v>1.2315161541088231</v>
      </c>
      <c r="AP189" s="7">
        <f>[2]各r阵容卡情况!N194</f>
        <v>0</v>
      </c>
      <c r="AZ189" s="7">
        <f>[3]基础状态预期!C200</f>
        <v>33.399598377161809</v>
      </c>
      <c r="BA189" s="7">
        <f>[3]基础状态预期!D200</f>
        <v>2.75</v>
      </c>
      <c r="BB189" s="7">
        <f>[3]基础状态预期!E200</f>
        <v>3</v>
      </c>
      <c r="BC189" s="7">
        <f>[3]基础状态预期!F200</f>
        <v>7</v>
      </c>
      <c r="BD189" s="7">
        <f>[3]基础状态预期!G200</f>
        <v>20</v>
      </c>
      <c r="BE189" s="7">
        <f>[3]基础状态预期!H200</f>
        <v>0</v>
      </c>
      <c r="BF189" s="7">
        <f>[3]基础状态预期!I200</f>
        <v>5.9988904872566202</v>
      </c>
      <c r="BG189" s="7">
        <f>[3]基础状态预期!J200</f>
        <v>4.2923860908986766</v>
      </c>
      <c r="BH189" s="7">
        <f>[3]基础状态预期!K200</f>
        <v>3.3785451636252555</v>
      </c>
      <c r="BI189" s="7">
        <f>[3]基础状态预期!L200</f>
        <v>0</v>
      </c>
    </row>
    <row r="190" spans="23:61">
      <c r="W190" s="21">
        <f t="shared" si="3"/>
        <v>4.125</v>
      </c>
      <c r="X190" s="21">
        <f>[2]基础状态预期!D201</f>
        <v>38.848984787984186</v>
      </c>
      <c r="Y190" s="21">
        <f>[2]基础状态预期!F201</f>
        <v>0</v>
      </c>
      <c r="Z190" s="21">
        <f>[2]基础状态预期!G201</f>
        <v>0</v>
      </c>
      <c r="AA190" s="21">
        <f>[2]基础状态预期!H201</f>
        <v>0</v>
      </c>
      <c r="AB190" s="21">
        <f>[2]基础状态预期!I201</f>
        <v>6</v>
      </c>
      <c r="AC190" s="21">
        <f>[2]基础状态预期!J201</f>
        <v>0</v>
      </c>
      <c r="AD190" s="21">
        <f>[2]基础状态预期!K201</f>
        <v>0</v>
      </c>
      <c r="AE190" s="21">
        <f>[2]基础状态预期!L201</f>
        <v>0</v>
      </c>
      <c r="AF190" s="21">
        <f>[2]基础状态预期!M201</f>
        <v>0</v>
      </c>
      <c r="AG190" s="21">
        <f>[2]基础状态预期!N201</f>
        <v>2.0945508794395717</v>
      </c>
      <c r="AH190" s="21">
        <f>[2]基础状态预期!O201</f>
        <v>0</v>
      </c>
      <c r="AI190" s="7">
        <f>[2]各r阵容卡情况!G195</f>
        <v>0</v>
      </c>
      <c r="AJ190" s="7">
        <f>[2]各r阵容卡情况!H195</f>
        <v>8</v>
      </c>
      <c r="AK190" s="7">
        <f>[2]各r阵容卡情况!I195</f>
        <v>12</v>
      </c>
      <c r="AL190" s="7">
        <f>[2]各r阵容卡情况!J195</f>
        <v>0</v>
      </c>
      <c r="AM190" s="7">
        <f>[2]各r阵容卡情况!K195</f>
        <v>3</v>
      </c>
      <c r="AN190" s="7">
        <f>[2]各r阵容卡情况!L195</f>
        <v>6</v>
      </c>
      <c r="AO190" s="7">
        <f>[2]各r阵容卡情况!M195</f>
        <v>2.0945508794395717</v>
      </c>
      <c r="AP190" s="7">
        <f>[2]各r阵容卡情况!N195</f>
        <v>0</v>
      </c>
      <c r="AZ190" s="7">
        <f>[3]基础状态预期!C201</f>
        <v>38.848984787984186</v>
      </c>
      <c r="BA190" s="7">
        <f>[3]基础状态预期!D201</f>
        <v>4.125</v>
      </c>
      <c r="BB190" s="7">
        <f>[3]基础状态预期!E201</f>
        <v>3</v>
      </c>
      <c r="BC190" s="7">
        <f>[3]基础状态预期!F201</f>
        <v>7</v>
      </c>
      <c r="BD190" s="7">
        <f>[3]基础状态预期!G201</f>
        <v>20</v>
      </c>
      <c r="BE190" s="7">
        <f>[3]基础状态预期!H201</f>
        <v>0</v>
      </c>
      <c r="BF190" s="7">
        <f>[3]基础状态预期!I201</f>
        <v>6.3809267625334316</v>
      </c>
      <c r="BG190" s="7">
        <f>[3]基础状态预期!J201</f>
        <v>4.7856811584484031</v>
      </c>
      <c r="BH190" s="7">
        <f>[3]基础状态预期!K201</f>
        <v>3.9047265690116291</v>
      </c>
      <c r="BI190" s="7">
        <f>[3]基础状态预期!L201</f>
        <v>0</v>
      </c>
    </row>
    <row r="191" spans="23:61">
      <c r="W191" s="21">
        <f t="shared" si="3"/>
        <v>5.5</v>
      </c>
      <c r="X191" s="21">
        <f>[2]基础状态预期!D202</f>
        <v>42.643360270022924</v>
      </c>
      <c r="Y191" s="21">
        <f>[2]基础状态预期!F202</f>
        <v>0</v>
      </c>
      <c r="Z191" s="21">
        <f>[2]基础状态预期!G202</f>
        <v>0</v>
      </c>
      <c r="AA191" s="21">
        <f>[2]基础状态预期!H202</f>
        <v>0</v>
      </c>
      <c r="AB191" s="21">
        <f>[2]基础状态预期!I202</f>
        <v>6</v>
      </c>
      <c r="AC191" s="21">
        <f>[2]基础状态预期!J202</f>
        <v>0</v>
      </c>
      <c r="AD191" s="21">
        <f>[2]基础状态预期!K202</f>
        <v>0</v>
      </c>
      <c r="AE191" s="21">
        <f>[2]基础状态预期!L202</f>
        <v>0</v>
      </c>
      <c r="AF191" s="21">
        <f>[2]基础状态预期!M202</f>
        <v>0</v>
      </c>
      <c r="AG191" s="21">
        <f>[2]基础状态预期!N202</f>
        <v>2.9480378590372114</v>
      </c>
      <c r="AH191" s="21">
        <f>[2]基础状态预期!O202</f>
        <v>0</v>
      </c>
      <c r="AI191" s="7">
        <f>[2]各r阵容卡情况!G196</f>
        <v>0</v>
      </c>
      <c r="AJ191" s="7">
        <f>[2]各r阵容卡情况!H196</f>
        <v>8</v>
      </c>
      <c r="AK191" s="7">
        <f>[2]各r阵容卡情况!I196</f>
        <v>16</v>
      </c>
      <c r="AL191" s="7">
        <f>[2]各r阵容卡情况!J196</f>
        <v>0</v>
      </c>
      <c r="AM191" s="7">
        <f>[2]各r阵容卡情况!K196</f>
        <v>3</v>
      </c>
      <c r="AN191" s="7">
        <f>[2]各r阵容卡情况!L196</f>
        <v>6</v>
      </c>
      <c r="AO191" s="7">
        <f>[2]各r阵容卡情况!M196</f>
        <v>2.9480378590372114</v>
      </c>
      <c r="AP191" s="7">
        <f>[2]各r阵容卡情况!N196</f>
        <v>0</v>
      </c>
      <c r="AZ191" s="7">
        <f>[3]基础状态预期!C202</f>
        <v>42.643360270022924</v>
      </c>
      <c r="BA191" s="7">
        <f>[3]基础状态预期!D202</f>
        <v>5.5</v>
      </c>
      <c r="BB191" s="7">
        <f>[3]基础状态预期!E202</f>
        <v>3</v>
      </c>
      <c r="BC191" s="7">
        <f>[3]基础状态预期!F202</f>
        <v>7</v>
      </c>
      <c r="BD191" s="7">
        <f>[3]基础状态预期!G202</f>
        <v>20</v>
      </c>
      <c r="BE191" s="7">
        <f>[3]基础状态预期!H202</f>
        <v>0</v>
      </c>
      <c r="BF191" s="7">
        <f>[3]基础状态预期!I202</f>
        <v>6.7624082814385531</v>
      </c>
      <c r="BG191" s="7">
        <f>[3]基础状态预期!J202</f>
        <v>5.1394881129990644</v>
      </c>
      <c r="BH191" s="7">
        <f>[3]基础状态预期!K202</f>
        <v>4.2154539871990018</v>
      </c>
      <c r="BI191" s="7">
        <f>[3]基础状态预期!L202</f>
        <v>0</v>
      </c>
    </row>
    <row r="192" spans="23:61">
      <c r="W192" s="21">
        <f t="shared" si="3"/>
        <v>8.25</v>
      </c>
      <c r="X192" s="21">
        <f>[2]基础状态预期!D203</f>
        <v>48.493134765265182</v>
      </c>
      <c r="Y192" s="21">
        <f>[2]基础状态预期!F203</f>
        <v>0</v>
      </c>
      <c r="Z192" s="21">
        <f>[2]基础状态预期!G203</f>
        <v>0</v>
      </c>
      <c r="AA192" s="21">
        <f>[2]基础状态预期!H203</f>
        <v>0</v>
      </c>
      <c r="AB192" s="21">
        <f>[2]基础状态预期!I203</f>
        <v>6</v>
      </c>
      <c r="AC192" s="21">
        <f>[2]基础状态预期!J203</f>
        <v>0</v>
      </c>
      <c r="AD192" s="21">
        <f>[2]基础状态预期!K203</f>
        <v>0</v>
      </c>
      <c r="AE192" s="21">
        <f>[2]基础状态预期!L203</f>
        <v>0</v>
      </c>
      <c r="AF192" s="21">
        <f>[2]基础状态预期!M203</f>
        <v>0</v>
      </c>
      <c r="AG192" s="21">
        <f>[2]基础状态预期!N203</f>
        <v>3.7756959890327284</v>
      </c>
      <c r="AH192" s="21">
        <f>[2]基础状态预期!O203</f>
        <v>0</v>
      </c>
      <c r="AI192" s="7">
        <f>[2]各r阵容卡情况!G197</f>
        <v>0</v>
      </c>
      <c r="AJ192" s="7">
        <f>[2]各r阵容卡情况!H197</f>
        <v>4</v>
      </c>
      <c r="AK192" s="7">
        <f>[2]各r阵容卡情况!I197</f>
        <v>20</v>
      </c>
      <c r="AL192" s="7">
        <f>[2]各r阵容卡情况!J197</f>
        <v>0</v>
      </c>
      <c r="AM192" s="7">
        <f>[2]各r阵容卡情况!K197</f>
        <v>3</v>
      </c>
      <c r="AN192" s="7">
        <f>[2]各r阵容卡情况!L197</f>
        <v>6</v>
      </c>
      <c r="AO192" s="7">
        <f>[2]各r阵容卡情况!M197</f>
        <v>3.7756959890327284</v>
      </c>
      <c r="AP192" s="7">
        <f>[2]各r阵容卡情况!N197</f>
        <v>0</v>
      </c>
      <c r="AZ192" s="7">
        <f>[3]基础状态预期!C203</f>
        <v>48.493134765265182</v>
      </c>
      <c r="BA192" s="7">
        <f>[3]基础状态预期!D203</f>
        <v>8.25</v>
      </c>
      <c r="BB192" s="7">
        <f>[3]基础状态预期!E203</f>
        <v>3</v>
      </c>
      <c r="BC192" s="7">
        <f>[3]基础状态预期!F203</f>
        <v>7</v>
      </c>
      <c r="BD192" s="7">
        <f>[3]基础状态预期!G203</f>
        <v>20</v>
      </c>
      <c r="BE192" s="7">
        <f>[3]基础状态预期!H203</f>
        <v>0</v>
      </c>
      <c r="BF192" s="7">
        <f>[3]基础状态预期!I203</f>
        <v>7</v>
      </c>
      <c r="BG192" s="7">
        <f>[3]基础状态预期!J203</f>
        <v>5.6109193252580027</v>
      </c>
      <c r="BH192" s="7">
        <f>[3]基础状态预期!K203</f>
        <v>4.71831394694187</v>
      </c>
      <c r="BI192" s="7">
        <f>[3]基础状态预期!L203</f>
        <v>0</v>
      </c>
    </row>
    <row r="193" spans="23:61">
      <c r="W193" s="21">
        <f t="shared" si="3"/>
        <v>11</v>
      </c>
      <c r="X193" s="21">
        <f>[2]基础状态预期!D204</f>
        <v>52.559419343629337</v>
      </c>
      <c r="Y193" s="21">
        <f>[2]基础状态预期!F204</f>
        <v>0</v>
      </c>
      <c r="Z193" s="21">
        <f>[2]基础状态预期!G204</f>
        <v>0</v>
      </c>
      <c r="AA193" s="21">
        <f>[2]基础状态预期!H204</f>
        <v>0</v>
      </c>
      <c r="AB193" s="21">
        <f>[2]基础状态预期!I204</f>
        <v>5</v>
      </c>
      <c r="AC193" s="21">
        <f>[2]基础状态预期!J204</f>
        <v>1</v>
      </c>
      <c r="AD193" s="21">
        <f>[2]基础状态预期!K204</f>
        <v>0</v>
      </c>
      <c r="AE193" s="21">
        <f>[2]基础状态预期!L204</f>
        <v>0</v>
      </c>
      <c r="AF193" s="21">
        <f>[2]基础状态预期!M204</f>
        <v>0</v>
      </c>
      <c r="AG193" s="21">
        <f>[2]基础状态预期!N204</f>
        <v>4.5194940869892894</v>
      </c>
      <c r="AH193" s="21">
        <f>[2]基础状态预期!O204</f>
        <v>0</v>
      </c>
      <c r="AI193" s="7">
        <f>[2]各r阵容卡情况!G198</f>
        <v>0</v>
      </c>
      <c r="AJ193" s="7">
        <f>[2]各r阵容卡情况!H198</f>
        <v>2</v>
      </c>
      <c r="AK193" s="7">
        <f>[2]各r阵容卡情况!I198</f>
        <v>22</v>
      </c>
      <c r="AL193" s="7">
        <f>[2]各r阵容卡情况!J198</f>
        <v>0</v>
      </c>
      <c r="AM193" s="7">
        <f>[2]各r阵容卡情况!K198</f>
        <v>3</v>
      </c>
      <c r="AN193" s="7">
        <f>[2]各r阵容卡情况!L198</f>
        <v>6</v>
      </c>
      <c r="AO193" s="7">
        <f>[2]各r阵容卡情况!M198</f>
        <v>4.5194940869892894</v>
      </c>
      <c r="AP193" s="7">
        <f>[2]各r阵容卡情况!N198</f>
        <v>0</v>
      </c>
      <c r="AZ193" s="7">
        <f>[3]基础状态预期!C204</f>
        <v>52.559419343629337</v>
      </c>
      <c r="BA193" s="7">
        <f>[3]基础状态预期!D204</f>
        <v>11</v>
      </c>
      <c r="BB193" s="7">
        <f>[3]基础状态预期!E204</f>
        <v>3</v>
      </c>
      <c r="BC193" s="7">
        <f>[3]基础状态预期!F204</f>
        <v>7</v>
      </c>
      <c r="BD193" s="7">
        <f>[3]基础状态预期!G204</f>
        <v>20</v>
      </c>
      <c r="BE193" s="7">
        <f>[3]基础状态预期!H204</f>
        <v>0</v>
      </c>
      <c r="BF193" s="7">
        <f>[3]基础状态预期!I204</f>
        <v>7</v>
      </c>
      <c r="BG193" s="7">
        <f>[3]基础状态预期!J204</f>
        <v>6.028056955583998</v>
      </c>
      <c r="BH193" s="7">
        <f>[3]基础状态预期!K204</f>
        <v>5.0965940859562648</v>
      </c>
      <c r="BI193" s="7">
        <f>[3]基础状态预期!L204</f>
        <v>0</v>
      </c>
    </row>
    <row r="194" spans="23:61">
      <c r="W194" s="21">
        <f t="shared" si="3"/>
        <v>16.5</v>
      </c>
      <c r="X194" s="21">
        <f>[2]基础状态预期!D205</f>
        <v>58.560986008166232</v>
      </c>
      <c r="Y194" s="21">
        <f>[2]基础状态预期!F205</f>
        <v>0</v>
      </c>
      <c r="Z194" s="21">
        <f>[2]基础状态预期!G205</f>
        <v>0</v>
      </c>
      <c r="AA194" s="21">
        <f>[2]基础状态预期!H205</f>
        <v>0</v>
      </c>
      <c r="AB194" s="21">
        <f>[2]基础状态预期!I205</f>
        <v>4</v>
      </c>
      <c r="AC194" s="21">
        <f>[2]基础状态预期!J205</f>
        <v>2</v>
      </c>
      <c r="AD194" s="21">
        <f>[2]基础状态预期!K205</f>
        <v>0</v>
      </c>
      <c r="AE194" s="21">
        <f>[2]基础状态预期!L205</f>
        <v>0</v>
      </c>
      <c r="AF194" s="21">
        <f>[2]基础状态预期!M205</f>
        <v>0</v>
      </c>
      <c r="AG194" s="21">
        <f>[2]基础状态预期!N205</f>
        <v>5.3933308348064131</v>
      </c>
      <c r="AH194" s="21">
        <f>[2]基础状态预期!O205</f>
        <v>0.58763563494102167</v>
      </c>
      <c r="AI194" s="7">
        <f>[2]各r阵容卡情况!G199</f>
        <v>0</v>
      </c>
      <c r="AJ194" s="7">
        <f>[2]各r阵容卡情况!H199</f>
        <v>0</v>
      </c>
      <c r="AK194" s="7">
        <f>[2]各r阵容卡情况!I199</f>
        <v>24</v>
      </c>
      <c r="AL194" s="7">
        <f>[2]各r阵容卡情况!J199</f>
        <v>0</v>
      </c>
      <c r="AM194" s="7">
        <f>[2]各r阵容卡情况!K199</f>
        <v>3</v>
      </c>
      <c r="AN194" s="7">
        <f>[2]各r阵容卡情况!L199</f>
        <v>6</v>
      </c>
      <c r="AO194" s="7">
        <f>[2]各r阵容卡情况!M199</f>
        <v>5.3933308348064131</v>
      </c>
      <c r="AP194" s="7">
        <f>[2]各r阵容卡情况!N199</f>
        <v>0.58763563494102167</v>
      </c>
      <c r="AZ194" s="7">
        <f>[3]基础状态预期!C205</f>
        <v>58.560986008166232</v>
      </c>
      <c r="BA194" s="7">
        <f>[3]基础状态预期!D205</f>
        <v>16.5</v>
      </c>
      <c r="BB194" s="7">
        <f>[3]基础状态预期!E205</f>
        <v>3</v>
      </c>
      <c r="BC194" s="7">
        <f>[3]基础状态预期!F205</f>
        <v>7</v>
      </c>
      <c r="BD194" s="7">
        <f>[3]基础状态预期!G205</f>
        <v>20</v>
      </c>
      <c r="BE194" s="7">
        <f>[3]基础状态预期!H205</f>
        <v>0</v>
      </c>
      <c r="BF194" s="7">
        <f>[3]基础状态预期!I205</f>
        <v>7</v>
      </c>
      <c r="BG194" s="7">
        <f>[3]基础状态预期!J205</f>
        <v>6.4503755941058527</v>
      </c>
      <c r="BH194" s="7">
        <f>[3]基础状态预期!K205</f>
        <v>5.5290483718026433</v>
      </c>
      <c r="BI194" s="7">
        <f>[3]基础状态预期!L205</f>
        <v>0</v>
      </c>
    </row>
    <row r="195" spans="23:61">
      <c r="W195" s="21">
        <f t="shared" si="3"/>
        <v>24.750000000000004</v>
      </c>
      <c r="X195" s="21">
        <f>[2]基础状态预期!D206</f>
        <v>64.247064283227857</v>
      </c>
      <c r="Y195" s="21">
        <f>[2]基础状态预期!F206</f>
        <v>0</v>
      </c>
      <c r="Z195" s="21">
        <f>[2]基础状态预期!G206</f>
        <v>0</v>
      </c>
      <c r="AA195" s="21">
        <f>[2]基础状态预期!H206</f>
        <v>0</v>
      </c>
      <c r="AB195" s="21">
        <f>[2]基础状态预期!I206</f>
        <v>3</v>
      </c>
      <c r="AC195" s="21">
        <f>[2]基础状态预期!J206</f>
        <v>3</v>
      </c>
      <c r="AD195" s="21">
        <f>[2]基础状态预期!K206</f>
        <v>0</v>
      </c>
      <c r="AE195" s="21">
        <f>[2]基础状态预期!L206</f>
        <v>0</v>
      </c>
      <c r="AF195" s="21">
        <f>[2]基础状态预期!M206</f>
        <v>0</v>
      </c>
      <c r="AG195" s="21">
        <f>[2]基础状态预期!N206</f>
        <v>5.925595804380329</v>
      </c>
      <c r="AH195" s="21">
        <f>[2]基础状态预期!O206</f>
        <v>2.1845277965186631</v>
      </c>
      <c r="AI195" s="7">
        <f>[2]各r阵容卡情况!G200</f>
        <v>0</v>
      </c>
      <c r="AJ195" s="7">
        <f>[2]各r阵容卡情况!H200</f>
        <v>0</v>
      </c>
      <c r="AK195" s="7">
        <f>[2]各r阵容卡情况!I200</f>
        <v>24</v>
      </c>
      <c r="AL195" s="7">
        <f>[2]各r阵容卡情况!J200</f>
        <v>0</v>
      </c>
      <c r="AM195" s="7">
        <f>[2]各r阵容卡情况!K200</f>
        <v>3</v>
      </c>
      <c r="AN195" s="7">
        <f>[2]各r阵容卡情况!L200</f>
        <v>6</v>
      </c>
      <c r="AO195" s="7">
        <f>[2]各r阵容卡情况!M200</f>
        <v>5.925595804380329</v>
      </c>
      <c r="AP195" s="7">
        <f>[2]各r阵容卡情况!N200</f>
        <v>2.1845277965186631</v>
      </c>
      <c r="AZ195" s="7">
        <f>[3]基础状态预期!C206</f>
        <v>64.247064283227857</v>
      </c>
      <c r="BA195" s="7">
        <f>[3]基础状态预期!D206</f>
        <v>24.750000000000004</v>
      </c>
      <c r="BB195" s="7">
        <f>[3]基础状态预期!E206</f>
        <v>3</v>
      </c>
      <c r="BC195" s="7">
        <f>[3]基础状态预期!F206</f>
        <v>7</v>
      </c>
      <c r="BD195" s="7">
        <f>[3]基础状态预期!G206</f>
        <v>20</v>
      </c>
      <c r="BE195" s="7">
        <f>[3]基础状态预期!H206</f>
        <v>0</v>
      </c>
      <c r="BF195" s="7">
        <f>[3]基础状态预期!I206</f>
        <v>7</v>
      </c>
      <c r="BG195" s="7">
        <f>[3]基础状态预期!J206</f>
        <v>7</v>
      </c>
      <c r="BH195" s="7">
        <f>[3]基础状态预期!K206</f>
        <v>6.0551466671202014</v>
      </c>
      <c r="BI195" s="7">
        <f>[3]基础状态预期!L206</f>
        <v>3</v>
      </c>
    </row>
    <row r="196" spans="23:61">
      <c r="W196" s="21">
        <f t="shared" si="3"/>
        <v>33</v>
      </c>
      <c r="X196" s="21">
        <f>[2]基础状态预期!D207</f>
        <v>68.518369035696878</v>
      </c>
      <c r="Y196" s="21">
        <f>[2]基础状态预期!F207</f>
        <v>0</v>
      </c>
      <c r="Z196" s="21">
        <f>[2]基础状态预期!G207</f>
        <v>0</v>
      </c>
      <c r="AA196" s="21">
        <f>[2]基础状态预期!H207</f>
        <v>0</v>
      </c>
      <c r="AB196" s="21">
        <f>[2]基础状态预期!I207</f>
        <v>2</v>
      </c>
      <c r="AC196" s="21">
        <f>[2]基础状态预期!J207</f>
        <v>4</v>
      </c>
      <c r="AD196" s="21">
        <f>[2]基础状态预期!K207</f>
        <v>0</v>
      </c>
      <c r="AE196" s="21">
        <f>[2]基础状态预期!L207</f>
        <v>0</v>
      </c>
      <c r="AF196" s="21">
        <f>[2]基础状态预期!M207</f>
        <v>0</v>
      </c>
      <c r="AG196" s="21">
        <f>[2]基础状态预期!N207</f>
        <v>6.4594959111259005</v>
      </c>
      <c r="AH196" s="21">
        <f>[2]基础状态预期!O207</f>
        <v>2.9880836809689093</v>
      </c>
      <c r="AI196" s="7">
        <f>[2]各r阵容卡情况!G201</f>
        <v>0</v>
      </c>
      <c r="AJ196" s="7">
        <f>[2]各r阵容卡情况!H201</f>
        <v>0</v>
      </c>
      <c r="AK196" s="7">
        <f>[2]各r阵容卡情况!I201</f>
        <v>24</v>
      </c>
      <c r="AL196" s="7">
        <f>[2]各r阵容卡情况!J201</f>
        <v>0</v>
      </c>
      <c r="AM196" s="7">
        <f>[2]各r阵容卡情况!K201</f>
        <v>3</v>
      </c>
      <c r="AN196" s="7">
        <f>[2]各r阵容卡情况!L201</f>
        <v>6</v>
      </c>
      <c r="AO196" s="7">
        <f>[2]各r阵容卡情况!M201</f>
        <v>6.4594959111259005</v>
      </c>
      <c r="AP196" s="7">
        <f>[2]各r阵容卡情况!N201</f>
        <v>2.9880836809689093</v>
      </c>
      <c r="AZ196" s="7">
        <f>[3]基础状态预期!C207</f>
        <v>68.518369035696878</v>
      </c>
      <c r="BA196" s="7">
        <f>[3]基础状态预期!D207</f>
        <v>33</v>
      </c>
      <c r="BB196" s="7">
        <f>[3]基础状态预期!E207</f>
        <v>3</v>
      </c>
      <c r="BC196" s="7">
        <f>[3]基础状态预期!F207</f>
        <v>7</v>
      </c>
      <c r="BD196" s="7">
        <f>[3]基础状态预期!G207</f>
        <v>20</v>
      </c>
      <c r="BE196" s="7">
        <f>[3]基础状态预期!H207</f>
        <v>1</v>
      </c>
      <c r="BF196" s="7">
        <f>[3]基础状态预期!I207</f>
        <v>7</v>
      </c>
      <c r="BG196" s="7">
        <f>[3]基础状态预期!J207</f>
        <v>7</v>
      </c>
      <c r="BH196" s="7">
        <f>[3]基础状态预期!K207</f>
        <v>6.3137421572143957</v>
      </c>
      <c r="BI196" s="7">
        <f>[3]基础状态预期!L207</f>
        <v>3</v>
      </c>
    </row>
    <row r="197" spans="23:61">
      <c r="W197" s="21">
        <f t="shared" si="3"/>
        <v>41.25</v>
      </c>
      <c r="X197" s="21">
        <f>[2]基础状态预期!D208</f>
        <v>71.7664716439551</v>
      </c>
      <c r="Y197" s="21">
        <f>[2]基础状态预期!F208</f>
        <v>0</v>
      </c>
      <c r="Z197" s="21">
        <f>[2]基础状态预期!G208</f>
        <v>0</v>
      </c>
      <c r="AA197" s="21">
        <f>[2]基础状态预期!H208</f>
        <v>0</v>
      </c>
      <c r="AB197" s="21">
        <f>[2]基础状态预期!I208</f>
        <v>1</v>
      </c>
      <c r="AC197" s="21">
        <f>[2]基础状态预期!J208</f>
        <v>5</v>
      </c>
      <c r="AD197" s="21">
        <f>[2]基础状态预期!K208</f>
        <v>0</v>
      </c>
      <c r="AE197" s="21">
        <f>[2]基础状态预期!L208</f>
        <v>0</v>
      </c>
      <c r="AF197" s="21">
        <f>[2]基础状态预期!M208</f>
        <v>0</v>
      </c>
      <c r="AG197" s="21">
        <f>[2]基础状态预期!N208</f>
        <v>7.0032857150673395</v>
      </c>
      <c r="AH197" s="21">
        <f>[2]基础状态预期!O208</f>
        <v>3.2488397752590865</v>
      </c>
      <c r="AI197" s="7">
        <f>[2]各r阵容卡情况!G202</f>
        <v>0</v>
      </c>
      <c r="AJ197" s="7">
        <f>[2]各r阵容卡情况!H202</f>
        <v>0</v>
      </c>
      <c r="AK197" s="7">
        <f>[2]各r阵容卡情况!I202</f>
        <v>24</v>
      </c>
      <c r="AL197" s="7">
        <f>[2]各r阵容卡情况!J202</f>
        <v>0</v>
      </c>
      <c r="AM197" s="7">
        <f>[2]各r阵容卡情况!K202</f>
        <v>3</v>
      </c>
      <c r="AN197" s="7">
        <f>[2]各r阵容卡情况!L202</f>
        <v>6</v>
      </c>
      <c r="AO197" s="7">
        <f>[2]各r阵容卡情况!M202</f>
        <v>7.0032857150673395</v>
      </c>
      <c r="AP197" s="7">
        <f>[2]各r阵容卡情况!N202</f>
        <v>3.2488397752590865</v>
      </c>
      <c r="AZ197" s="7">
        <f>[3]基础状态预期!C208</f>
        <v>71.7664716439551</v>
      </c>
      <c r="BA197" s="7">
        <f>[3]基础状态预期!D208</f>
        <v>41.25</v>
      </c>
      <c r="BB197" s="7">
        <f>[3]基础状态预期!E208</f>
        <v>3</v>
      </c>
      <c r="BC197" s="7">
        <f>[3]基础状态预期!F208</f>
        <v>7</v>
      </c>
      <c r="BD197" s="7">
        <f>[3]基础状态预期!G208</f>
        <v>20</v>
      </c>
      <c r="BE197" s="7">
        <f>[3]基础状态预期!H208</f>
        <v>1</v>
      </c>
      <c r="BF197" s="7">
        <f>[3]基础状态预期!I208</f>
        <v>7</v>
      </c>
      <c r="BG197" s="7">
        <f>[3]基础状态预期!J208</f>
        <v>7</v>
      </c>
      <c r="BH197" s="7">
        <f>[3]基础状态预期!K208</f>
        <v>6.5154066541425593</v>
      </c>
      <c r="BI197" s="7">
        <f>[3]基础状态预期!L208</f>
        <v>3.6002710048236333</v>
      </c>
    </row>
    <row r="198" spans="23:61">
      <c r="W198" s="21">
        <f t="shared" si="3"/>
        <v>49.500000000000007</v>
      </c>
      <c r="X198" s="21">
        <f>[2]基础状态预期!D209</f>
        <v>74.370993278111257</v>
      </c>
      <c r="Y198" s="21">
        <f>[2]基础状态预期!F209</f>
        <v>0</v>
      </c>
      <c r="Z198" s="21">
        <f>[2]基础状态预期!G209</f>
        <v>0</v>
      </c>
      <c r="AA198" s="21">
        <f>[2]基础状态预期!H209</f>
        <v>0</v>
      </c>
      <c r="AB198" s="21">
        <f>[2]基础状态预期!I209</f>
        <v>0.5</v>
      </c>
      <c r="AC198" s="21">
        <f>[2]基础状态预期!J209</f>
        <v>5.5</v>
      </c>
      <c r="AD198" s="21">
        <f>[2]基础状态预期!K209</f>
        <v>0</v>
      </c>
      <c r="AE198" s="21">
        <f>[2]基础状态预期!L209</f>
        <v>0</v>
      </c>
      <c r="AF198" s="21">
        <f>[2]基础状态预期!M209</f>
        <v>0</v>
      </c>
      <c r="AG198" s="21">
        <f>[2]基础状态预期!N209</f>
        <v>7.3991094245767099</v>
      </c>
      <c r="AH198" s="21">
        <f>[2]基础状态预期!O209</f>
        <v>3.6191326888860953</v>
      </c>
      <c r="AI198" s="7">
        <f>[2]各r阵容卡情况!G203</f>
        <v>0</v>
      </c>
      <c r="AJ198" s="7">
        <f>[2]各r阵容卡情况!H203</f>
        <v>0</v>
      </c>
      <c r="AK198" s="7">
        <f>[2]各r阵容卡情况!I203</f>
        <v>24</v>
      </c>
      <c r="AL198" s="7">
        <f>[2]各r阵容卡情况!J203</f>
        <v>0</v>
      </c>
      <c r="AM198" s="7">
        <f>[2]各r阵容卡情况!K203</f>
        <v>3</v>
      </c>
      <c r="AN198" s="7">
        <f>[2]各r阵容卡情况!L203</f>
        <v>6</v>
      </c>
      <c r="AO198" s="7">
        <f>[2]各r阵容卡情况!M203</f>
        <v>7.3991094245767099</v>
      </c>
      <c r="AP198" s="7">
        <f>[2]各r阵容卡情况!N203</f>
        <v>3.6191326888860953</v>
      </c>
      <c r="AZ198" s="7">
        <f>[3]基础状态预期!C209</f>
        <v>74.370993278111257</v>
      </c>
      <c r="BA198" s="7">
        <f>[3]基础状态预期!D209</f>
        <v>49.500000000000007</v>
      </c>
      <c r="BB198" s="7">
        <f>[3]基础状态预期!E209</f>
        <v>3</v>
      </c>
      <c r="BC198" s="7">
        <f>[3]基础状态预期!F209</f>
        <v>7</v>
      </c>
      <c r="BD198" s="7">
        <f>[3]基础状态预期!G209</f>
        <v>20</v>
      </c>
      <c r="BE198" s="7">
        <f>[3]基础状态预期!H209</f>
        <v>2</v>
      </c>
      <c r="BF198" s="7">
        <f>[3]基础状态预期!I209</f>
        <v>7</v>
      </c>
      <c r="BG198" s="7">
        <f>[3]基础状态预期!J209</f>
        <v>7</v>
      </c>
      <c r="BH198" s="7">
        <f>[3]基础状态预期!K209</f>
        <v>6.7170711510707228</v>
      </c>
      <c r="BI198" s="7">
        <f>[3]基础状态预期!L209</f>
        <v>4.2610829239619044</v>
      </c>
    </row>
    <row r="199" spans="23:61">
      <c r="W199" s="21">
        <f t="shared" si="3"/>
        <v>60.500000000000007</v>
      </c>
      <c r="X199" s="21">
        <f>[2]基础状态预期!D210</f>
        <v>77.234275947206214</v>
      </c>
      <c r="Y199" s="21">
        <f>[2]基础状态预期!F210</f>
        <v>0</v>
      </c>
      <c r="Z199" s="21">
        <f>[2]基础状态预期!G210</f>
        <v>0</v>
      </c>
      <c r="AA199" s="21">
        <f>[2]基础状态预期!H210</f>
        <v>0</v>
      </c>
      <c r="AB199" s="21">
        <f>[2]基础状态预期!I210</f>
        <v>0</v>
      </c>
      <c r="AC199" s="21">
        <f>[2]基础状态预期!J210</f>
        <v>6</v>
      </c>
      <c r="AD199" s="21">
        <f>[2]基础状态预期!K210</f>
        <v>0</v>
      </c>
      <c r="AE199" s="21">
        <f>[2]基础状态预期!L210</f>
        <v>0</v>
      </c>
      <c r="AF199" s="21">
        <f>[2]基础状态预期!M210</f>
        <v>0</v>
      </c>
      <c r="AG199" s="21">
        <f>[2]基础状态预期!N210</f>
        <v>0</v>
      </c>
      <c r="AH199" s="21">
        <f>[2]基础状态预期!O210</f>
        <v>4.0715819298236369</v>
      </c>
      <c r="AI199" s="7">
        <f>[2]各r阵容卡情况!G204</f>
        <v>0</v>
      </c>
      <c r="AJ199" s="7">
        <f>[2]各r阵容卡情况!H204</f>
        <v>0</v>
      </c>
      <c r="AK199" s="7">
        <f>[2]各r阵容卡情况!I204</f>
        <v>24</v>
      </c>
      <c r="AL199" s="7">
        <f>[2]各r阵容卡情况!J204</f>
        <v>0</v>
      </c>
      <c r="AM199" s="7">
        <f>[2]各r阵容卡情况!K204</f>
        <v>3</v>
      </c>
      <c r="AN199" s="7">
        <f>[2]各r阵容卡情况!L204</f>
        <v>6</v>
      </c>
      <c r="AO199" s="7">
        <f>[2]各r阵容卡情况!M204</f>
        <v>7.9040208393849056</v>
      </c>
      <c r="AP199" s="7">
        <f>[2]各r阵容卡情况!N204</f>
        <v>4.0715819298236369</v>
      </c>
      <c r="AZ199" s="7">
        <f>[3]基础状态预期!C210</f>
        <v>77.234275947206214</v>
      </c>
      <c r="BA199" s="7">
        <f>[3]基础状态预期!D210</f>
        <v>60.500000000000007</v>
      </c>
      <c r="BB199" s="7">
        <f>[3]基础状态预期!E210</f>
        <v>3</v>
      </c>
      <c r="BC199" s="7">
        <f>[3]基础状态预期!F210</f>
        <v>7</v>
      </c>
      <c r="BD199" s="7">
        <f>[3]基础状态预期!G210</f>
        <v>20</v>
      </c>
      <c r="BE199" s="7">
        <f>[3]基础状态预期!H210</f>
        <v>3</v>
      </c>
      <c r="BF199" s="7">
        <f>[3]基础状态预期!I210</f>
        <v>7</v>
      </c>
      <c r="BG199" s="7">
        <f>[3]基础状态预期!J210</f>
        <v>7</v>
      </c>
      <c r="BH199" s="7">
        <f>[3]基础状态预期!K210</f>
        <v>6.9859571469749397</v>
      </c>
      <c r="BI199" s="7">
        <f>[3]基础状态预期!L210</f>
        <v>4.8756794860286874</v>
      </c>
    </row>
    <row r="200" spans="23:61">
      <c r="W200" s="21">
        <f t="shared" si="3"/>
        <v>71.5</v>
      </c>
      <c r="X200" s="21">
        <f>[2]基础状态预期!D211</f>
        <v>79.725666247801229</v>
      </c>
      <c r="Y200" s="21">
        <f>[2]基础状态预期!F211</f>
        <v>0</v>
      </c>
      <c r="Z200" s="21">
        <f>[2]基础状态预期!G211</f>
        <v>0</v>
      </c>
      <c r="AA200" s="21">
        <f>[2]基础状态预期!H211</f>
        <v>0</v>
      </c>
      <c r="AB200" s="21">
        <f>[2]基础状态预期!I211</f>
        <v>0</v>
      </c>
      <c r="AC200" s="21">
        <f>[2]基础状态预期!J211</f>
        <v>6</v>
      </c>
      <c r="AD200" s="21">
        <f>[2]基础状态预期!K211</f>
        <v>0</v>
      </c>
      <c r="AE200" s="21">
        <f>[2]基础状态预期!L211</f>
        <v>0</v>
      </c>
      <c r="AF200" s="21">
        <f>[2]基础状态预期!M211</f>
        <v>0</v>
      </c>
      <c r="AG200" s="21">
        <f>[2]基础状态预期!N211</f>
        <v>0</v>
      </c>
      <c r="AH200" s="21">
        <f>[2]基础状态预期!O211</f>
        <v>4.7080545221665631</v>
      </c>
      <c r="AI200" s="7">
        <f>[2]各r阵容卡情况!G205</f>
        <v>0</v>
      </c>
      <c r="AJ200" s="7">
        <f>[2]各r阵容卡情况!H205</f>
        <v>0</v>
      </c>
      <c r="AK200" s="7">
        <f>[2]各r阵容卡情况!I205</f>
        <v>24</v>
      </c>
      <c r="AL200" s="7">
        <f>[2]各r阵容卡情况!J205</f>
        <v>0</v>
      </c>
      <c r="AM200" s="7">
        <f>[2]各r阵容卡情况!K205</f>
        <v>3</v>
      </c>
      <c r="AN200" s="7">
        <f>[2]各r阵容卡情况!L205</f>
        <v>6</v>
      </c>
      <c r="AO200" s="7">
        <f>[2]各r阵容卡情况!M205</f>
        <v>8</v>
      </c>
      <c r="AP200" s="7">
        <f>[2]各r阵容卡情况!N205</f>
        <v>4.7080545221665631</v>
      </c>
      <c r="AZ200" s="7">
        <f>[3]基础状态预期!C211</f>
        <v>79.725666247801229</v>
      </c>
      <c r="BA200" s="7">
        <f>[3]基础状态预期!D211</f>
        <v>71.5</v>
      </c>
      <c r="BB200" s="7">
        <f>[3]基础状态预期!E211</f>
        <v>3</v>
      </c>
      <c r="BC200" s="7">
        <f>[3]基础状态预期!F211</f>
        <v>7</v>
      </c>
      <c r="BD200" s="7">
        <f>[3]基础状态预期!G211</f>
        <v>20</v>
      </c>
      <c r="BE200" s="7">
        <f>[3]基础状态预期!H211</f>
        <v>3</v>
      </c>
      <c r="BF200" s="7">
        <f>[3]基础状态预期!I211</f>
        <v>7</v>
      </c>
      <c r="BG200" s="7">
        <f>[3]基础状态预期!J211</f>
        <v>7</v>
      </c>
      <c r="BH200" s="7">
        <f>[3]基础状态预期!K211</f>
        <v>7</v>
      </c>
      <c r="BI200" s="7">
        <f>[3]基础状态预期!L211</f>
        <v>5.2451380240477343</v>
      </c>
    </row>
    <row r="201" spans="23:61">
      <c r="W201" s="21">
        <f t="shared" si="3"/>
        <v>82.5</v>
      </c>
      <c r="X201" s="21">
        <f>[2]基础状态预期!D212</f>
        <v>81.863982387630472</v>
      </c>
      <c r="Y201" s="21">
        <f>[2]基础状态预期!F212</f>
        <v>0</v>
      </c>
      <c r="Z201" s="21">
        <f>[2]基础状态预期!G212</f>
        <v>0</v>
      </c>
      <c r="AA201" s="21">
        <f>[2]基础状态预期!H212</f>
        <v>0</v>
      </c>
      <c r="AB201" s="21">
        <f>[2]基础状态预期!I212</f>
        <v>0</v>
      </c>
      <c r="AC201" s="21">
        <f>[2]基础状态预期!J212</f>
        <v>6</v>
      </c>
      <c r="AD201" s="21">
        <f>[2]基础状态预期!K212</f>
        <v>0</v>
      </c>
      <c r="AE201" s="21">
        <f>[2]基础状态预期!L212</f>
        <v>0</v>
      </c>
      <c r="AF201" s="21">
        <f>[2]基础状态预期!M212</f>
        <v>0</v>
      </c>
      <c r="AG201" s="21">
        <f>[2]基础状态预期!N212</f>
        <v>0</v>
      </c>
      <c r="AH201" s="21">
        <f>[2]基础状态预期!O212</f>
        <v>5.2321699298251731</v>
      </c>
      <c r="AI201" s="7">
        <f>[2]各r阵容卡情况!G206</f>
        <v>0</v>
      </c>
      <c r="AJ201" s="7">
        <f>[2]各r阵容卡情况!H206</f>
        <v>0</v>
      </c>
      <c r="AK201" s="7">
        <f>[2]各r阵容卡情况!I206</f>
        <v>24</v>
      </c>
      <c r="AL201" s="7">
        <f>[2]各r阵容卡情况!J206</f>
        <v>0</v>
      </c>
      <c r="AM201" s="7">
        <f>[2]各r阵容卡情况!K206</f>
        <v>3</v>
      </c>
      <c r="AN201" s="7">
        <f>[2]各r阵容卡情况!L206</f>
        <v>6</v>
      </c>
      <c r="AO201" s="7">
        <f>[2]各r阵容卡情况!M206</f>
        <v>8</v>
      </c>
      <c r="AP201" s="7">
        <f>[2]各r阵容卡情况!N206</f>
        <v>5.2321699298251731</v>
      </c>
      <c r="AZ201" s="7">
        <f>[3]基础状态预期!C212</f>
        <v>81.863982387630472</v>
      </c>
      <c r="BA201" s="7">
        <f>[3]基础状态预期!D212</f>
        <v>82.5</v>
      </c>
      <c r="BB201" s="7">
        <f>[3]基础状态预期!E212</f>
        <v>3</v>
      </c>
      <c r="BC201" s="7">
        <f>[3]基础状态预期!F212</f>
        <v>7</v>
      </c>
      <c r="BD201" s="7">
        <f>[3]基础状态预期!G212</f>
        <v>20</v>
      </c>
      <c r="BE201" s="7">
        <f>[3]基础状态预期!H212</f>
        <v>4</v>
      </c>
      <c r="BF201" s="7">
        <f>[3]基础状态预期!I212</f>
        <v>7</v>
      </c>
      <c r="BG201" s="7">
        <f>[3]基础状态预期!J212</f>
        <v>7</v>
      </c>
      <c r="BH201" s="7">
        <f>[3]基础状态预期!K212</f>
        <v>7</v>
      </c>
      <c r="BI201" s="7">
        <f>[3]基础状态预期!L212</f>
        <v>5.5524363050811267</v>
      </c>
    </row>
    <row r="202" spans="23:61">
      <c r="W202" s="21">
        <f t="shared" si="3"/>
        <v>93.500000000000014</v>
      </c>
      <c r="X202" s="21">
        <f>[2]基础状态预期!D213</f>
        <v>83.667042947574714</v>
      </c>
      <c r="Y202" s="21">
        <f>[2]基础状态预期!F213</f>
        <v>0</v>
      </c>
      <c r="Z202" s="21">
        <f>[2]基础状态预期!G213</f>
        <v>0</v>
      </c>
      <c r="AA202" s="21">
        <f>[2]基础状态预期!H213</f>
        <v>0</v>
      </c>
      <c r="AB202" s="21">
        <f>[2]基础状态预期!I213</f>
        <v>0</v>
      </c>
      <c r="AC202" s="21">
        <f>[2]基础状态预期!J213</f>
        <v>6</v>
      </c>
      <c r="AD202" s="21">
        <f>[2]基础状态预期!K213</f>
        <v>0</v>
      </c>
      <c r="AE202" s="21">
        <f>[2]基础状态预期!L213</f>
        <v>0</v>
      </c>
      <c r="AF202" s="21">
        <f>[2]基础状态预期!M213</f>
        <v>0</v>
      </c>
      <c r="AG202" s="21">
        <f>[2]基础状态预期!N213</f>
        <v>0</v>
      </c>
      <c r="AH202" s="21">
        <f>[2]基础状态预期!O213</f>
        <v>5.6363341451042315</v>
      </c>
      <c r="AI202" s="7">
        <f>[2]各r阵容卡情况!G207</f>
        <v>0</v>
      </c>
      <c r="AJ202" s="7">
        <f>[2]各r阵容卡情况!H207</f>
        <v>0</v>
      </c>
      <c r="AK202" s="7">
        <f>[2]各r阵容卡情况!I207</f>
        <v>24</v>
      </c>
      <c r="AL202" s="7">
        <f>[2]各r阵容卡情况!J207</f>
        <v>0</v>
      </c>
      <c r="AM202" s="7">
        <f>[2]各r阵容卡情况!K207</f>
        <v>3</v>
      </c>
      <c r="AN202" s="7">
        <f>[2]各r阵容卡情况!L207</f>
        <v>6</v>
      </c>
      <c r="AO202" s="7">
        <f>[2]各r阵容卡情况!M207</f>
        <v>8</v>
      </c>
      <c r="AP202" s="7">
        <f>[2]各r阵容卡情况!N207</f>
        <v>5.6363341451042315</v>
      </c>
      <c r="AZ202" s="7">
        <f>[3]基础状态预期!C213</f>
        <v>83.667042947574714</v>
      </c>
      <c r="BA202" s="7">
        <f>[3]基础状态预期!D213</f>
        <v>93.500000000000014</v>
      </c>
      <c r="BB202" s="7">
        <f>[3]基础状态预期!E213</f>
        <v>3</v>
      </c>
      <c r="BC202" s="7">
        <f>[3]基础状态预期!F213</f>
        <v>7</v>
      </c>
      <c r="BD202" s="7">
        <f>[3]基础状态预期!G213</f>
        <v>20</v>
      </c>
      <c r="BE202" s="7">
        <f>[3]基础状态预期!H213</f>
        <v>5</v>
      </c>
      <c r="BF202" s="7">
        <f>[3]基础状态预期!I213</f>
        <v>7</v>
      </c>
      <c r="BG202" s="7">
        <f>[3]基础状态预期!J213</f>
        <v>7</v>
      </c>
      <c r="BH202" s="7">
        <f>[3]基础状态预期!K213</f>
        <v>7</v>
      </c>
      <c r="BI202" s="7">
        <f>[3]基础状态预期!L213</f>
        <v>5.8567448442207395</v>
      </c>
    </row>
    <row r="203" spans="23:61">
      <c r="W203" s="21">
        <f t="shared" si="3"/>
        <v>110.00000000000001</v>
      </c>
      <c r="X203" s="21">
        <f>[2]基础状态预期!D214</f>
        <v>86.154780808490059</v>
      </c>
      <c r="Y203" s="21">
        <f>[2]基础状态预期!F214</f>
        <v>0</v>
      </c>
      <c r="Z203" s="21">
        <f>[2]基础状态预期!G214</f>
        <v>0</v>
      </c>
      <c r="AA203" s="21">
        <f>[2]基础状态预期!H214</f>
        <v>0</v>
      </c>
      <c r="AB203" s="21">
        <f>[2]基础状态预期!I214</f>
        <v>0</v>
      </c>
      <c r="AC203" s="21">
        <f>[2]基础状态预期!J214</f>
        <v>6</v>
      </c>
      <c r="AD203" s="21">
        <f>[2]基础状态预期!K214</f>
        <v>0</v>
      </c>
      <c r="AE203" s="21">
        <f>[2]基础状态预期!L214</f>
        <v>0</v>
      </c>
      <c r="AF203" s="21">
        <f>[2]基础状态预期!M214</f>
        <v>0</v>
      </c>
      <c r="AG203" s="21">
        <f>[2]基础状态预期!N214</f>
        <v>0</v>
      </c>
      <c r="AH203" s="21">
        <f>[2]基础状态预期!O214</f>
        <v>6.2244025246024606</v>
      </c>
      <c r="AI203" s="7">
        <f>[2]各r阵容卡情况!G208</f>
        <v>0</v>
      </c>
      <c r="AJ203" s="7">
        <f>[2]各r阵容卡情况!H208</f>
        <v>0</v>
      </c>
      <c r="AK203" s="7">
        <f>[2]各r阵容卡情况!I208</f>
        <v>24</v>
      </c>
      <c r="AL203" s="7">
        <f>[2]各r阵容卡情况!J208</f>
        <v>0</v>
      </c>
      <c r="AM203" s="7">
        <f>[2]各r阵容卡情况!K208</f>
        <v>3</v>
      </c>
      <c r="AN203" s="7">
        <f>[2]各r阵容卡情况!L208</f>
        <v>6</v>
      </c>
      <c r="AO203" s="7">
        <f>[2]各r阵容卡情况!M208</f>
        <v>8</v>
      </c>
      <c r="AP203" s="7">
        <f>[2]各r阵容卡情况!N208</f>
        <v>6.2244025246024606</v>
      </c>
      <c r="AZ203" s="7">
        <f>[3]基础状态预期!C214</f>
        <v>86.154780808490059</v>
      </c>
      <c r="BA203" s="7">
        <f>[3]基础状态预期!D214</f>
        <v>110.00000000000001</v>
      </c>
      <c r="BB203" s="7">
        <f>[3]基础状态预期!E214</f>
        <v>3</v>
      </c>
      <c r="BC203" s="7">
        <f>[3]基础状态预期!F214</f>
        <v>7</v>
      </c>
      <c r="BD203" s="7">
        <f>[3]基础状态预期!G214</f>
        <v>20</v>
      </c>
      <c r="BE203" s="7">
        <f>[3]基础状态预期!H214</f>
        <v>6</v>
      </c>
      <c r="BF203" s="7">
        <f>[3]基础状态预期!I214</f>
        <v>7</v>
      </c>
      <c r="BG203" s="7">
        <f>[3]基础状态预期!J214</f>
        <v>7</v>
      </c>
      <c r="BH203" s="7">
        <f>[3]基础状态预期!K214</f>
        <v>7</v>
      </c>
      <c r="BI203" s="7">
        <f>[3]基础状态预期!L214</f>
        <v>6.1524074157939577</v>
      </c>
    </row>
    <row r="204" spans="23:61">
      <c r="W204" s="21">
        <f t="shared" si="3"/>
        <v>143</v>
      </c>
      <c r="X204" s="21">
        <f>[2]基础状态预期!D215</f>
        <v>90.480184629206022</v>
      </c>
      <c r="Y204" s="21">
        <f>[2]基础状态预期!F215</f>
        <v>0</v>
      </c>
      <c r="Z204" s="21">
        <f>[2]基础状态预期!G215</f>
        <v>0</v>
      </c>
      <c r="AA204" s="21">
        <f>[2]基础状态预期!H215</f>
        <v>0</v>
      </c>
      <c r="AB204" s="21">
        <f>[2]基础状态预期!I215</f>
        <v>0</v>
      </c>
      <c r="AC204" s="21">
        <f>[2]基础状态预期!J215</f>
        <v>6</v>
      </c>
      <c r="AD204" s="21">
        <f>[2]基础状态预期!K215</f>
        <v>0</v>
      </c>
      <c r="AE204" s="21">
        <f>[2]基础状态预期!L215</f>
        <v>0</v>
      </c>
      <c r="AF204" s="21">
        <f>[2]基础状态预期!M215</f>
        <v>0</v>
      </c>
      <c r="AG204" s="21">
        <f>[2]基础状态预期!N215</f>
        <v>0</v>
      </c>
      <c r="AH204" s="21">
        <f>[2]基础状态预期!O215</f>
        <v>7.2629260421834143</v>
      </c>
      <c r="AI204" s="7">
        <f>[2]各r阵容卡情况!G209</f>
        <v>0</v>
      </c>
      <c r="AJ204" s="7">
        <f>[2]各r阵容卡情况!H209</f>
        <v>0</v>
      </c>
      <c r="AK204" s="7">
        <f>[2]各r阵容卡情况!I209</f>
        <v>24</v>
      </c>
      <c r="AL204" s="7">
        <f>[2]各r阵容卡情况!J209</f>
        <v>0</v>
      </c>
      <c r="AM204" s="7">
        <f>[2]各r阵容卡情况!K209</f>
        <v>3</v>
      </c>
      <c r="AN204" s="7">
        <f>[2]各r阵容卡情况!L209</f>
        <v>6</v>
      </c>
      <c r="AO204" s="7">
        <f>[2]各r阵容卡情况!M209</f>
        <v>8</v>
      </c>
      <c r="AP204" s="7">
        <f>[2]各r阵容卡情况!N209</f>
        <v>7.2629260421834143</v>
      </c>
      <c r="AZ204" s="7">
        <f>[3]基础状态预期!C215</f>
        <v>90.480184629206022</v>
      </c>
      <c r="BA204" s="7">
        <f>[3]基础状态预期!D215</f>
        <v>143</v>
      </c>
      <c r="BB204" s="7">
        <f>[3]基础状态预期!E215</f>
        <v>3</v>
      </c>
      <c r="BC204" s="7">
        <f>[3]基础状态预期!F215</f>
        <v>7</v>
      </c>
      <c r="BD204" s="7">
        <f>[3]基础状态预期!G215</f>
        <v>20</v>
      </c>
      <c r="BE204" s="7">
        <f>[3]基础状态预期!H215</f>
        <v>8</v>
      </c>
      <c r="BF204" s="7">
        <f>[3]基础状态预期!I215</f>
        <v>7</v>
      </c>
      <c r="BG204" s="7">
        <f>[3]基础状态预期!J215</f>
        <v>7</v>
      </c>
      <c r="BH204" s="7">
        <f>[3]基础状态预期!K215</f>
        <v>7</v>
      </c>
      <c r="BI204" s="7">
        <f>[3]基础状态预期!L215</f>
        <v>6.6002644170807763</v>
      </c>
    </row>
    <row r="205" spans="23:61">
      <c r="W205" s="21">
        <f t="shared" si="3"/>
        <v>176</v>
      </c>
      <c r="X205" s="21">
        <f>[2]基础状态预期!D216</f>
        <v>93.6774218048877</v>
      </c>
      <c r="Y205" s="21">
        <f>[2]基础状态预期!F216</f>
        <v>0</v>
      </c>
      <c r="Z205" s="21">
        <f>[2]基础状态预期!G216</f>
        <v>0</v>
      </c>
      <c r="AA205" s="21">
        <f>[2]基础状态预期!H216</f>
        <v>0</v>
      </c>
      <c r="AB205" s="21">
        <f>[2]基础状态预期!I216</f>
        <v>0</v>
      </c>
      <c r="AC205" s="21">
        <f>[2]基础状态预期!J216</f>
        <v>6</v>
      </c>
      <c r="AD205" s="21">
        <f>[2]基础状态预期!K216</f>
        <v>0</v>
      </c>
      <c r="AE205" s="21">
        <f>[2]基础状态预期!L216</f>
        <v>0</v>
      </c>
      <c r="AF205" s="21">
        <f>[2]基础状态预期!M216</f>
        <v>0</v>
      </c>
      <c r="AG205" s="21">
        <f>[2]基础状态预期!N216</f>
        <v>0</v>
      </c>
      <c r="AH205" s="21">
        <f>[2]基础状态预期!O216</f>
        <v>8</v>
      </c>
      <c r="AI205" s="7">
        <f>[2]各r阵容卡情况!G210</f>
        <v>0</v>
      </c>
      <c r="AJ205" s="7">
        <f>[2]各r阵容卡情况!H210</f>
        <v>0</v>
      </c>
      <c r="AK205" s="7">
        <f>[2]各r阵容卡情况!I210</f>
        <v>24</v>
      </c>
      <c r="AL205" s="7">
        <f>[2]各r阵容卡情况!J210</f>
        <v>0</v>
      </c>
      <c r="AM205" s="7">
        <f>[2]各r阵容卡情况!K210</f>
        <v>3</v>
      </c>
      <c r="AN205" s="7">
        <f>[2]各r阵容卡情况!L210</f>
        <v>6</v>
      </c>
      <c r="AO205" s="7">
        <f>[2]各r阵容卡情况!M210</f>
        <v>8</v>
      </c>
      <c r="AP205" s="7">
        <f>[2]各r阵容卡情况!N210</f>
        <v>8</v>
      </c>
      <c r="AZ205" s="7">
        <f>[3]基础状态预期!C216</f>
        <v>93.6774218048877</v>
      </c>
      <c r="BA205" s="7">
        <f>[3]基础状态预期!D216</f>
        <v>176</v>
      </c>
      <c r="BB205" s="7">
        <f>[3]基础状态预期!E216</f>
        <v>3</v>
      </c>
      <c r="BC205" s="7">
        <f>[3]基础状态预期!F216</f>
        <v>7</v>
      </c>
      <c r="BD205" s="7">
        <f>[3]基础状态预期!G216</f>
        <v>20</v>
      </c>
      <c r="BE205" s="7">
        <f>[3]基础状态预期!H216</f>
        <v>10</v>
      </c>
      <c r="BF205" s="7">
        <f>[3]基础状态预期!I216</f>
        <v>7</v>
      </c>
      <c r="BG205" s="7">
        <f>[3]基础状态预期!J216</f>
        <v>7</v>
      </c>
      <c r="BH205" s="7">
        <f>[3]基础状态预期!K216</f>
        <v>7</v>
      </c>
      <c r="BI205" s="7">
        <f>[3]基础状态预期!L216</f>
        <v>7</v>
      </c>
    </row>
    <row r="206" spans="23:61">
      <c r="W206" s="21">
        <f t="shared" si="3"/>
        <v>225.50000000000003</v>
      </c>
      <c r="X206" s="21">
        <f>[2]基础状态预期!D217</f>
        <v>97.125654465362558</v>
      </c>
      <c r="Y206" s="21">
        <f>[2]基础状态预期!F217</f>
        <v>0</v>
      </c>
      <c r="Z206" s="21">
        <f>[2]基础状态预期!G217</f>
        <v>0</v>
      </c>
      <c r="AA206" s="21">
        <f>[2]基础状态预期!H217</f>
        <v>0</v>
      </c>
      <c r="AB206" s="21">
        <f>[2]基础状态预期!I217</f>
        <v>0</v>
      </c>
      <c r="AC206" s="21">
        <f>[2]基础状态预期!J217</f>
        <v>6</v>
      </c>
      <c r="AD206" s="21">
        <f>[2]基础状态预期!K217</f>
        <v>0</v>
      </c>
      <c r="AE206" s="21">
        <f>[2]基础状态预期!L217</f>
        <v>0</v>
      </c>
      <c r="AF206" s="21">
        <f>[2]基础状态预期!M217</f>
        <v>0</v>
      </c>
      <c r="AG206" s="21">
        <f>[2]基础状态预期!N217</f>
        <v>0</v>
      </c>
      <c r="AH206" s="21">
        <f>[2]基础状态预期!O217</f>
        <v>8</v>
      </c>
      <c r="AI206" s="7">
        <f>[2]各r阵容卡情况!G211</f>
        <v>0</v>
      </c>
      <c r="AJ206" s="7">
        <f>[2]各r阵容卡情况!H211</f>
        <v>0</v>
      </c>
      <c r="AK206" s="7">
        <f>[2]各r阵容卡情况!I211</f>
        <v>24</v>
      </c>
      <c r="AL206" s="7">
        <f>[2]各r阵容卡情况!J211</f>
        <v>0</v>
      </c>
      <c r="AM206" s="7">
        <f>[2]各r阵容卡情况!K211</f>
        <v>3</v>
      </c>
      <c r="AN206" s="7">
        <f>[2]各r阵容卡情况!L211</f>
        <v>6</v>
      </c>
      <c r="AO206" s="7">
        <f>[2]各r阵容卡情况!M211</f>
        <v>8</v>
      </c>
      <c r="AP206" s="7">
        <f>[2]各r阵容卡情况!N211</f>
        <v>8</v>
      </c>
      <c r="AZ206" s="7">
        <f>[3]基础状态预期!C217</f>
        <v>97.125654465362558</v>
      </c>
      <c r="BA206" s="7">
        <f>[3]基础状态预期!D217</f>
        <v>225.50000000000003</v>
      </c>
      <c r="BB206" s="7">
        <f>[3]基础状态预期!E217</f>
        <v>3</v>
      </c>
      <c r="BC206" s="7">
        <f>[3]基础状态预期!F217</f>
        <v>7</v>
      </c>
      <c r="BD206" s="7">
        <f>[3]基础状态预期!G217</f>
        <v>20</v>
      </c>
      <c r="BE206" s="7">
        <f>[3]基础状态预期!H217</f>
        <v>14</v>
      </c>
      <c r="BF206" s="7">
        <f>[3]基础状态预期!I217</f>
        <v>7</v>
      </c>
      <c r="BG206" s="7">
        <f>[3]基础状态预期!J217</f>
        <v>7</v>
      </c>
      <c r="BH206" s="7">
        <f>[3]基础状态预期!K217</f>
        <v>7</v>
      </c>
      <c r="BI206" s="7">
        <f>[3]基础状态预期!L217</f>
        <v>7</v>
      </c>
    </row>
    <row r="207" spans="23:61">
      <c r="W207" s="21">
        <f t="shared" si="3"/>
        <v>291.5</v>
      </c>
      <c r="X207" s="21">
        <f>[2]基础状态预期!D218</f>
        <v>100.89689545435591</v>
      </c>
      <c r="Y207" s="21">
        <f>[2]基础状态预期!F218</f>
        <v>0</v>
      </c>
      <c r="Z207" s="21">
        <f>[2]基础状态预期!G218</f>
        <v>0</v>
      </c>
      <c r="AA207" s="21">
        <f>[2]基础状态预期!H218</f>
        <v>0</v>
      </c>
      <c r="AB207" s="21">
        <f>[2]基础状态预期!I218</f>
        <v>0</v>
      </c>
      <c r="AC207" s="21">
        <f>[2]基础状态预期!J218</f>
        <v>6</v>
      </c>
      <c r="AD207" s="21">
        <f>[2]基础状态预期!K218</f>
        <v>0</v>
      </c>
      <c r="AE207" s="21">
        <f>[2]基础状态预期!L218</f>
        <v>0</v>
      </c>
      <c r="AF207" s="21">
        <f>[2]基础状态预期!M218</f>
        <v>0</v>
      </c>
      <c r="AG207" s="21">
        <f>[2]基础状态预期!N218</f>
        <v>0</v>
      </c>
      <c r="AH207" s="21">
        <f>[2]基础状态预期!O218</f>
        <v>8</v>
      </c>
      <c r="AI207" s="7">
        <f>[2]各r阵容卡情况!G212</f>
        <v>0</v>
      </c>
      <c r="AJ207" s="7">
        <f>[2]各r阵容卡情况!H212</f>
        <v>0</v>
      </c>
      <c r="AK207" s="7">
        <f>[2]各r阵容卡情况!I212</f>
        <v>24</v>
      </c>
      <c r="AL207" s="7">
        <f>[2]各r阵容卡情况!J212</f>
        <v>0</v>
      </c>
      <c r="AM207" s="7">
        <f>[2]各r阵容卡情况!K212</f>
        <v>3</v>
      </c>
      <c r="AN207" s="7">
        <f>[2]各r阵容卡情况!L212</f>
        <v>6</v>
      </c>
      <c r="AO207" s="7">
        <f>[2]各r阵容卡情况!M212</f>
        <v>8</v>
      </c>
      <c r="AP207" s="7">
        <f>[2]各r阵容卡情况!N212</f>
        <v>8</v>
      </c>
      <c r="AZ207" s="7">
        <f>[3]基础状态预期!C218</f>
        <v>100.89689545435591</v>
      </c>
      <c r="BA207" s="7">
        <f>[3]基础状态预期!D218</f>
        <v>291.5</v>
      </c>
      <c r="BB207" s="7">
        <f>[3]基础状态预期!E218</f>
        <v>3</v>
      </c>
      <c r="BC207" s="7">
        <f>[3]基础状态预期!F218</f>
        <v>7</v>
      </c>
      <c r="BD207" s="7">
        <f>[3]基础状态预期!G218</f>
        <v>20</v>
      </c>
      <c r="BE207" s="7">
        <f>[3]基础状态预期!H218</f>
        <v>18</v>
      </c>
      <c r="BF207" s="7">
        <f>[3]基础状态预期!I218</f>
        <v>7</v>
      </c>
      <c r="BG207" s="7">
        <f>[3]基础状态预期!J218</f>
        <v>7</v>
      </c>
      <c r="BH207" s="7">
        <f>[3]基础状态预期!K218</f>
        <v>7</v>
      </c>
      <c r="BI207" s="7">
        <f>[3]基础状态预期!L218</f>
        <v>7</v>
      </c>
    </row>
    <row r="208" spans="23:61">
      <c r="W208" s="21">
        <f t="shared" si="3"/>
        <v>374.00000000000006</v>
      </c>
      <c r="X208" s="21">
        <f>[2]基础状态预期!D219</f>
        <v>104.52148587104635</v>
      </c>
      <c r="Y208" s="21">
        <f>[2]基础状态预期!F219</f>
        <v>0</v>
      </c>
      <c r="Z208" s="21">
        <f>[2]基础状态预期!G219</f>
        <v>0</v>
      </c>
      <c r="AA208" s="21">
        <f>[2]基础状态预期!H219</f>
        <v>0</v>
      </c>
      <c r="AB208" s="21">
        <f>[2]基础状态预期!I219</f>
        <v>0</v>
      </c>
      <c r="AC208" s="21">
        <f>[2]基础状态预期!J219</f>
        <v>6</v>
      </c>
      <c r="AD208" s="21">
        <f>[2]基础状态预期!K219</f>
        <v>0</v>
      </c>
      <c r="AE208" s="21">
        <f>[2]基础状态预期!L219</f>
        <v>0</v>
      </c>
      <c r="AF208" s="21">
        <f>[2]基础状态预期!M219</f>
        <v>0</v>
      </c>
      <c r="AG208" s="21">
        <f>[2]基础状态预期!N219</f>
        <v>0</v>
      </c>
      <c r="AH208" s="21">
        <f>[2]基础状态预期!O219</f>
        <v>8</v>
      </c>
      <c r="AI208" s="7">
        <f>[2]各r阵容卡情况!G213</f>
        <v>0</v>
      </c>
      <c r="AJ208" s="7">
        <f>[2]各r阵容卡情况!H213</f>
        <v>0</v>
      </c>
      <c r="AK208" s="7">
        <f>[2]各r阵容卡情况!I213</f>
        <v>24</v>
      </c>
      <c r="AL208" s="7">
        <f>[2]各r阵容卡情况!J213</f>
        <v>0</v>
      </c>
      <c r="AM208" s="7">
        <f>[2]各r阵容卡情况!K213</f>
        <v>3</v>
      </c>
      <c r="AN208" s="7">
        <f>[2]各r阵容卡情况!L213</f>
        <v>6</v>
      </c>
      <c r="AO208" s="7">
        <f>[2]各r阵容卡情况!M213</f>
        <v>8</v>
      </c>
      <c r="AP208" s="7">
        <f>[2]各r阵容卡情况!N213</f>
        <v>8</v>
      </c>
      <c r="AZ208" s="7">
        <f>[3]基础状态预期!C219</f>
        <v>104.52148587104635</v>
      </c>
      <c r="BA208" s="7">
        <f>[3]基础状态预期!D219</f>
        <v>374.00000000000006</v>
      </c>
      <c r="BB208" s="7">
        <f>[3]基础状态预期!E219</f>
        <v>3</v>
      </c>
      <c r="BC208" s="7">
        <f>[3]基础状态预期!F219</f>
        <v>7</v>
      </c>
      <c r="BD208" s="7">
        <f>[3]基础状态预期!G219</f>
        <v>20</v>
      </c>
      <c r="BE208" s="7">
        <f>[3]基础状态预期!H219</f>
        <v>20</v>
      </c>
      <c r="BF208" s="7">
        <f>[3]基础状态预期!I219</f>
        <v>7</v>
      </c>
      <c r="BG208" s="7">
        <f>[3]基础状态预期!J219</f>
        <v>7</v>
      </c>
      <c r="BH208" s="7">
        <f>[3]基础状态预期!K219</f>
        <v>7</v>
      </c>
      <c r="BI208" s="7">
        <f>[3]基础状态预期!L219</f>
        <v>7</v>
      </c>
    </row>
    <row r="209" spans="23:61">
      <c r="W209" s="21">
        <f t="shared" si="3"/>
        <v>473.00000000000006</v>
      </c>
      <c r="X209" s="21">
        <f>[2]基础状态预期!D220</f>
        <v>108.05586950728798</v>
      </c>
      <c r="Y209" s="21">
        <f>[2]基础状态预期!F220</f>
        <v>0</v>
      </c>
      <c r="Z209" s="21">
        <f>[2]基础状态预期!G220</f>
        <v>0</v>
      </c>
      <c r="AA209" s="21">
        <f>[2]基础状态预期!H220</f>
        <v>0</v>
      </c>
      <c r="AB209" s="21">
        <f>[2]基础状态预期!I220</f>
        <v>0</v>
      </c>
      <c r="AC209" s="21">
        <f>[2]基础状态预期!J220</f>
        <v>6</v>
      </c>
      <c r="AD209" s="21">
        <f>[2]基础状态预期!K220</f>
        <v>0</v>
      </c>
      <c r="AE209" s="21">
        <f>[2]基础状态预期!L220</f>
        <v>0</v>
      </c>
      <c r="AF209" s="21">
        <f>[2]基础状态预期!M220</f>
        <v>0</v>
      </c>
      <c r="AG209" s="21">
        <f>[2]基础状态预期!N220</f>
        <v>0</v>
      </c>
      <c r="AH209" s="21">
        <f>[2]基础状态预期!O220</f>
        <v>8</v>
      </c>
      <c r="AI209" s="7">
        <f>[2]各r阵容卡情况!G214</f>
        <v>0</v>
      </c>
      <c r="AJ209" s="7">
        <f>[2]各r阵容卡情况!H214</f>
        <v>0</v>
      </c>
      <c r="AK209" s="7">
        <f>[2]各r阵容卡情况!I214</f>
        <v>24</v>
      </c>
      <c r="AL209" s="7">
        <f>[2]各r阵容卡情况!J214</f>
        <v>0</v>
      </c>
      <c r="AM209" s="7">
        <f>[2]各r阵容卡情况!K214</f>
        <v>3</v>
      </c>
      <c r="AN209" s="7">
        <f>[2]各r阵容卡情况!L214</f>
        <v>6</v>
      </c>
      <c r="AO209" s="7">
        <f>[2]各r阵容卡情况!M214</f>
        <v>8</v>
      </c>
      <c r="AP209" s="7">
        <f>[2]各r阵容卡情况!N214</f>
        <v>8</v>
      </c>
      <c r="AZ209" s="7">
        <f>[3]基础状态预期!C220</f>
        <v>108.05586950728798</v>
      </c>
      <c r="BA209" s="7">
        <f>[3]基础状态预期!D220</f>
        <v>473.00000000000006</v>
      </c>
      <c r="BB209" s="7">
        <f>[3]基础状态预期!E220</f>
        <v>3</v>
      </c>
      <c r="BC209" s="7">
        <f>[3]基础状态预期!F220</f>
        <v>7</v>
      </c>
      <c r="BD209" s="7">
        <f>[3]基础状态预期!G220</f>
        <v>20</v>
      </c>
      <c r="BE209" s="7">
        <f>[3]基础状态预期!H220</f>
        <v>20</v>
      </c>
      <c r="BF209" s="7">
        <f>[3]基础状态预期!I220</f>
        <v>7</v>
      </c>
      <c r="BG209" s="7">
        <f>[3]基础状态预期!J220</f>
        <v>7</v>
      </c>
      <c r="BH209" s="7">
        <f>[3]基础状态预期!K220</f>
        <v>7</v>
      </c>
      <c r="BI209" s="7">
        <f>[3]基础状态预期!L220</f>
        <v>7</v>
      </c>
    </row>
    <row r="210" spans="23:61">
      <c r="W210" s="21">
        <f t="shared" si="3"/>
        <v>605</v>
      </c>
      <c r="X210" s="21">
        <f>[2]基础状态预期!D221</f>
        <v>111.54601176466306</v>
      </c>
      <c r="Y210" s="21">
        <f>[2]基础状态预期!F221</f>
        <v>0</v>
      </c>
      <c r="Z210" s="21">
        <f>[2]基础状态预期!G221</f>
        <v>0</v>
      </c>
      <c r="AA210" s="21">
        <f>[2]基础状态预期!H221</f>
        <v>0</v>
      </c>
      <c r="AB210" s="21">
        <f>[2]基础状态预期!I221</f>
        <v>0</v>
      </c>
      <c r="AC210" s="21">
        <f>[2]基础状态预期!J221</f>
        <v>6</v>
      </c>
      <c r="AD210" s="21">
        <f>[2]基础状态预期!K221</f>
        <v>0</v>
      </c>
      <c r="AE210" s="21">
        <f>[2]基础状态预期!L221</f>
        <v>0</v>
      </c>
      <c r="AF210" s="21">
        <f>[2]基础状态预期!M221</f>
        <v>0</v>
      </c>
      <c r="AG210" s="21">
        <f>[2]基础状态预期!N221</f>
        <v>0</v>
      </c>
      <c r="AH210" s="21">
        <f>[2]基础状态预期!O221</f>
        <v>8</v>
      </c>
      <c r="AI210" s="7">
        <f>[2]各r阵容卡情况!G215</f>
        <v>0</v>
      </c>
      <c r="AJ210" s="7">
        <f>[2]各r阵容卡情况!H215</f>
        <v>0</v>
      </c>
      <c r="AK210" s="7">
        <f>[2]各r阵容卡情况!I215</f>
        <v>24</v>
      </c>
      <c r="AL210" s="7">
        <f>[2]各r阵容卡情况!J215</f>
        <v>0</v>
      </c>
      <c r="AM210" s="7">
        <f>[2]各r阵容卡情况!K215</f>
        <v>3</v>
      </c>
      <c r="AN210" s="7">
        <f>[2]各r阵容卡情况!L215</f>
        <v>6</v>
      </c>
      <c r="AO210" s="7">
        <f>[2]各r阵容卡情况!M215</f>
        <v>8</v>
      </c>
      <c r="AP210" s="7">
        <f>[2]各r阵容卡情况!N215</f>
        <v>8</v>
      </c>
      <c r="AZ210" s="7">
        <f>[3]基础状态预期!C221</f>
        <v>111.54601176466306</v>
      </c>
      <c r="BA210" s="7">
        <f>[3]基础状态预期!D221</f>
        <v>605</v>
      </c>
      <c r="BB210" s="7">
        <f>[3]基础状态预期!E221</f>
        <v>3</v>
      </c>
      <c r="BC210" s="7">
        <f>[3]基础状态预期!F221</f>
        <v>7</v>
      </c>
      <c r="BD210" s="7">
        <f>[3]基础状态预期!G221</f>
        <v>20</v>
      </c>
      <c r="BE210" s="7">
        <f>[3]基础状态预期!H221</f>
        <v>20</v>
      </c>
      <c r="BF210" s="7">
        <f>[3]基础状态预期!I221</f>
        <v>7</v>
      </c>
      <c r="BG210" s="7">
        <f>[3]基础状态预期!J221</f>
        <v>7</v>
      </c>
      <c r="BH210" s="7">
        <f>[3]基础状态预期!K221</f>
        <v>7</v>
      </c>
      <c r="BI210" s="7">
        <f>[3]基础状态预期!L221</f>
        <v>7</v>
      </c>
    </row>
    <row r="211" spans="23:61">
      <c r="W211" s="21">
        <f t="shared" si="3"/>
        <v>770.00000000000011</v>
      </c>
      <c r="X211" s="21">
        <f>[2]基础状态预期!D222</f>
        <v>115.20444967370992</v>
      </c>
      <c r="Y211" s="21">
        <f>[2]基础状态预期!F222</f>
        <v>0</v>
      </c>
      <c r="Z211" s="21">
        <f>[2]基础状态预期!G222</f>
        <v>0</v>
      </c>
      <c r="AA211" s="21">
        <f>[2]基础状态预期!H222</f>
        <v>0</v>
      </c>
      <c r="AB211" s="21">
        <f>[2]基础状态预期!I222</f>
        <v>0</v>
      </c>
      <c r="AC211" s="21">
        <f>[2]基础状态预期!J222</f>
        <v>6</v>
      </c>
      <c r="AD211" s="21">
        <f>[2]基础状态预期!K222</f>
        <v>0</v>
      </c>
      <c r="AE211" s="21">
        <f>[2]基础状态预期!L222</f>
        <v>0</v>
      </c>
      <c r="AF211" s="21">
        <f>[2]基础状态预期!M222</f>
        <v>0</v>
      </c>
      <c r="AG211" s="21">
        <f>[2]基础状态预期!N222</f>
        <v>0</v>
      </c>
      <c r="AH211" s="21">
        <f>[2]基础状态预期!O222</f>
        <v>8</v>
      </c>
      <c r="AI211" s="7">
        <f>[2]各r阵容卡情况!G216</f>
        <v>0</v>
      </c>
      <c r="AJ211" s="7">
        <f>[2]各r阵容卡情况!H216</f>
        <v>0</v>
      </c>
      <c r="AK211" s="7">
        <f>[2]各r阵容卡情况!I216</f>
        <v>24</v>
      </c>
      <c r="AL211" s="7">
        <f>[2]各r阵容卡情况!J216</f>
        <v>0</v>
      </c>
      <c r="AM211" s="7">
        <f>[2]各r阵容卡情况!K216</f>
        <v>3</v>
      </c>
      <c r="AN211" s="7">
        <f>[2]各r阵容卡情况!L216</f>
        <v>6</v>
      </c>
      <c r="AO211" s="7">
        <f>[2]各r阵容卡情况!M216</f>
        <v>8</v>
      </c>
      <c r="AP211" s="7">
        <f>[2]各r阵容卡情况!N216</f>
        <v>8</v>
      </c>
      <c r="AZ211" s="7">
        <f>[3]基础状态预期!C222</f>
        <v>115.20444967370992</v>
      </c>
      <c r="BA211" s="7">
        <f>[3]基础状态预期!D222</f>
        <v>770.00000000000011</v>
      </c>
      <c r="BB211" s="7">
        <f>[3]基础状态预期!E222</f>
        <v>3</v>
      </c>
      <c r="BC211" s="7">
        <f>[3]基础状态预期!F222</f>
        <v>7</v>
      </c>
      <c r="BD211" s="7">
        <f>[3]基础状态预期!G222</f>
        <v>20</v>
      </c>
      <c r="BE211" s="7">
        <f>[3]基础状态预期!H222</f>
        <v>20</v>
      </c>
      <c r="BF211" s="7">
        <f>[3]基础状态预期!I222</f>
        <v>7</v>
      </c>
      <c r="BG211" s="7">
        <f>[3]基础状态预期!J222</f>
        <v>7</v>
      </c>
      <c r="BH211" s="7">
        <f>[3]基础状态预期!K222</f>
        <v>7</v>
      </c>
      <c r="BI211" s="7">
        <f>[3]基础状态预期!L222</f>
        <v>7</v>
      </c>
    </row>
    <row r="212" spans="23:61">
      <c r="W212" s="21">
        <f t="shared" si="3"/>
        <v>984.50000000000011</v>
      </c>
      <c r="X212" s="21">
        <f>[2]基础状态预期!D223</f>
        <v>118.75432507225094</v>
      </c>
      <c r="Y212" s="21">
        <f>[2]基础状态预期!F223</f>
        <v>0</v>
      </c>
      <c r="Z212" s="21">
        <f>[2]基础状态预期!G223</f>
        <v>0</v>
      </c>
      <c r="AA212" s="21">
        <f>[2]基础状态预期!H223</f>
        <v>0</v>
      </c>
      <c r="AB212" s="21">
        <f>[2]基础状态预期!I223</f>
        <v>0</v>
      </c>
      <c r="AC212" s="21">
        <f>[2]基础状态预期!J223</f>
        <v>6</v>
      </c>
      <c r="AD212" s="21">
        <f>[2]基础状态预期!K223</f>
        <v>0</v>
      </c>
      <c r="AE212" s="21">
        <f>[2]基础状态预期!L223</f>
        <v>0</v>
      </c>
      <c r="AF212" s="21">
        <f>[2]基础状态预期!M223</f>
        <v>0</v>
      </c>
      <c r="AG212" s="21">
        <f>[2]基础状态预期!N223</f>
        <v>0</v>
      </c>
      <c r="AH212" s="21">
        <f>[2]基础状态预期!O223</f>
        <v>8</v>
      </c>
      <c r="AI212" s="7">
        <f>[2]各r阵容卡情况!G217</f>
        <v>0</v>
      </c>
      <c r="AJ212" s="7">
        <f>[2]各r阵容卡情况!H217</f>
        <v>0</v>
      </c>
      <c r="AK212" s="7">
        <f>[2]各r阵容卡情况!I217</f>
        <v>24</v>
      </c>
      <c r="AL212" s="7">
        <f>[2]各r阵容卡情况!J217</f>
        <v>0</v>
      </c>
      <c r="AM212" s="7">
        <f>[2]各r阵容卡情况!K217</f>
        <v>3</v>
      </c>
      <c r="AN212" s="7">
        <f>[2]各r阵容卡情况!L217</f>
        <v>6</v>
      </c>
      <c r="AO212" s="7">
        <f>[2]各r阵容卡情况!M217</f>
        <v>8</v>
      </c>
      <c r="AP212" s="7">
        <f>[2]各r阵容卡情况!N217</f>
        <v>8</v>
      </c>
      <c r="AZ212" s="7">
        <f>[3]基础状态预期!C223</f>
        <v>118.75432507225094</v>
      </c>
      <c r="BA212" s="7">
        <f>[3]基础状态预期!D223</f>
        <v>984.50000000000011</v>
      </c>
      <c r="BB212" s="7">
        <f>[3]基础状态预期!E223</f>
        <v>3</v>
      </c>
      <c r="BC212" s="7">
        <f>[3]基础状态预期!F223</f>
        <v>7</v>
      </c>
      <c r="BD212" s="7">
        <f>[3]基础状态预期!G223</f>
        <v>20</v>
      </c>
      <c r="BE212" s="7">
        <f>[3]基础状态预期!H223</f>
        <v>20</v>
      </c>
      <c r="BF212" s="7">
        <f>[3]基础状态预期!I223</f>
        <v>7</v>
      </c>
      <c r="BG212" s="7">
        <f>[3]基础状态预期!J223</f>
        <v>7</v>
      </c>
      <c r="BH212" s="7">
        <f>[3]基础状态预期!K223</f>
        <v>7</v>
      </c>
      <c r="BI212" s="7">
        <f>[3]基础状态预期!L223</f>
        <v>7</v>
      </c>
    </row>
    <row r="213" spans="23:61">
      <c r="W213" s="21">
        <f t="shared" si="3"/>
        <v>1248.5</v>
      </c>
      <c r="X213" s="21">
        <f>[2]基础状态预期!D224</f>
        <v>122.26514676047371</v>
      </c>
      <c r="Y213" s="21">
        <f>[2]基础状态预期!F224</f>
        <v>0</v>
      </c>
      <c r="Z213" s="21">
        <f>[2]基础状态预期!G224</f>
        <v>0</v>
      </c>
      <c r="AA213" s="21">
        <f>[2]基础状态预期!H224</f>
        <v>0</v>
      </c>
      <c r="AB213" s="21">
        <f>[2]基础状态预期!I224</f>
        <v>0</v>
      </c>
      <c r="AC213" s="21">
        <f>[2]基础状态预期!J224</f>
        <v>6</v>
      </c>
      <c r="AD213" s="21">
        <f>[2]基础状态预期!K224</f>
        <v>0</v>
      </c>
      <c r="AE213" s="21">
        <f>[2]基础状态预期!L224</f>
        <v>0</v>
      </c>
      <c r="AF213" s="21">
        <f>[2]基础状态预期!M224</f>
        <v>0</v>
      </c>
      <c r="AG213" s="21">
        <f>[2]基础状态预期!N224</f>
        <v>0</v>
      </c>
      <c r="AH213" s="21">
        <f>[2]基础状态预期!O224</f>
        <v>8</v>
      </c>
      <c r="AI213" s="7">
        <f>[2]各r阵容卡情况!G218</f>
        <v>0</v>
      </c>
      <c r="AJ213" s="7">
        <f>[2]各r阵容卡情况!H218</f>
        <v>0</v>
      </c>
      <c r="AK213" s="7">
        <f>[2]各r阵容卡情况!I218</f>
        <v>24</v>
      </c>
      <c r="AL213" s="7">
        <f>[2]各r阵容卡情况!J218</f>
        <v>0</v>
      </c>
      <c r="AM213" s="7">
        <f>[2]各r阵容卡情况!K218</f>
        <v>3</v>
      </c>
      <c r="AN213" s="7">
        <f>[2]各r阵容卡情况!L218</f>
        <v>6</v>
      </c>
      <c r="AO213" s="7">
        <f>[2]各r阵容卡情况!M218</f>
        <v>8</v>
      </c>
      <c r="AP213" s="7">
        <f>[2]各r阵容卡情况!N218</f>
        <v>8</v>
      </c>
      <c r="AZ213" s="7">
        <f>[3]基础状态预期!C224</f>
        <v>122.26514676047371</v>
      </c>
      <c r="BA213" s="7">
        <f>[3]基础状态预期!D224</f>
        <v>1248.5</v>
      </c>
      <c r="BB213" s="7">
        <f>[3]基础状态预期!E224</f>
        <v>3</v>
      </c>
      <c r="BC213" s="7">
        <f>[3]基础状态预期!F224</f>
        <v>7</v>
      </c>
      <c r="BD213" s="7">
        <f>[3]基础状态预期!G224</f>
        <v>20</v>
      </c>
      <c r="BE213" s="7">
        <f>[3]基础状态预期!H224</f>
        <v>20</v>
      </c>
      <c r="BF213" s="7">
        <f>[3]基础状态预期!I224</f>
        <v>7</v>
      </c>
      <c r="BG213" s="7">
        <f>[3]基础状态预期!J224</f>
        <v>7</v>
      </c>
      <c r="BH213" s="7">
        <f>[3]基础状态预期!K224</f>
        <v>7</v>
      </c>
      <c r="BI213" s="7">
        <f>[3]基础状态预期!L224</f>
        <v>7</v>
      </c>
    </row>
    <row r="214" spans="23:61">
      <c r="W214" s="21">
        <f t="shared" si="3"/>
        <v>1595.0000000000002</v>
      </c>
      <c r="X214" s="21">
        <f>[2]基础状态预期!D225</f>
        <v>125.84855083483956</v>
      </c>
      <c r="Y214" s="21">
        <f>[2]基础状态预期!F225</f>
        <v>0</v>
      </c>
      <c r="Z214" s="21">
        <f>[2]基础状态预期!G225</f>
        <v>0</v>
      </c>
      <c r="AA214" s="21">
        <f>[2]基础状态预期!H225</f>
        <v>0</v>
      </c>
      <c r="AB214" s="21">
        <f>[2]基础状态预期!I225</f>
        <v>0</v>
      </c>
      <c r="AC214" s="21">
        <f>[2]基础状态预期!J225</f>
        <v>6</v>
      </c>
      <c r="AD214" s="21">
        <f>[2]基础状态预期!K225</f>
        <v>0</v>
      </c>
      <c r="AE214" s="21">
        <f>[2]基础状态预期!L225</f>
        <v>0</v>
      </c>
      <c r="AF214" s="21">
        <f>[2]基础状态预期!M225</f>
        <v>0</v>
      </c>
      <c r="AG214" s="21">
        <f>[2]基础状态预期!N225</f>
        <v>0</v>
      </c>
      <c r="AH214" s="21">
        <f>[2]基础状态预期!O225</f>
        <v>8</v>
      </c>
      <c r="AI214" s="7">
        <f>[2]各r阵容卡情况!G219</f>
        <v>0</v>
      </c>
      <c r="AJ214" s="7">
        <f>[2]各r阵容卡情况!H219</f>
        <v>0</v>
      </c>
      <c r="AK214" s="7">
        <f>[2]各r阵容卡情况!I219</f>
        <v>24</v>
      </c>
      <c r="AL214" s="7">
        <f>[2]各r阵容卡情况!J219</f>
        <v>0</v>
      </c>
      <c r="AM214" s="7">
        <f>[2]各r阵容卡情况!K219</f>
        <v>3</v>
      </c>
      <c r="AN214" s="7">
        <f>[2]各r阵容卡情况!L219</f>
        <v>6</v>
      </c>
      <c r="AO214" s="7">
        <f>[2]各r阵容卡情况!M219</f>
        <v>8</v>
      </c>
      <c r="AP214" s="7">
        <f>[2]各r阵容卡情况!N219</f>
        <v>8</v>
      </c>
      <c r="AZ214" s="7">
        <f>[3]基础状态预期!C225</f>
        <v>125.84855083483956</v>
      </c>
      <c r="BA214" s="7">
        <f>[3]基础状态预期!D225</f>
        <v>1595.0000000000002</v>
      </c>
      <c r="BB214" s="7">
        <f>[3]基础状态预期!E225</f>
        <v>3</v>
      </c>
      <c r="BC214" s="7">
        <f>[3]基础状态预期!F225</f>
        <v>7</v>
      </c>
      <c r="BD214" s="7">
        <f>[3]基础状态预期!G225</f>
        <v>20</v>
      </c>
      <c r="BE214" s="7">
        <f>[3]基础状态预期!H225</f>
        <v>20</v>
      </c>
      <c r="BF214" s="7">
        <f>[3]基础状态预期!I225</f>
        <v>7</v>
      </c>
      <c r="BG214" s="7">
        <f>[3]基础状态预期!J225</f>
        <v>7</v>
      </c>
      <c r="BH214" s="7">
        <f>[3]基础状态预期!K225</f>
        <v>7</v>
      </c>
      <c r="BI214" s="7">
        <f>[3]基础状态预期!L225</f>
        <v>7</v>
      </c>
    </row>
    <row r="215" spans="23:61">
      <c r="W215" s="21">
        <f t="shared" si="3"/>
        <v>2040.5000000000002</v>
      </c>
      <c r="X215" s="21">
        <f>[2]基础状态预期!D226</f>
        <v>129.43528964176323</v>
      </c>
      <c r="Y215" s="21">
        <f>[2]基础状态预期!F226</f>
        <v>0</v>
      </c>
      <c r="Z215" s="21">
        <f>[2]基础状态预期!G226</f>
        <v>0</v>
      </c>
      <c r="AA215" s="21">
        <f>[2]基础状态预期!H226</f>
        <v>0</v>
      </c>
      <c r="AB215" s="21">
        <f>[2]基础状态预期!I226</f>
        <v>0</v>
      </c>
      <c r="AC215" s="21">
        <f>[2]基础状态预期!J226</f>
        <v>6</v>
      </c>
      <c r="AD215" s="21">
        <f>[2]基础状态预期!K226</f>
        <v>0</v>
      </c>
      <c r="AE215" s="21">
        <f>[2]基础状态预期!L226</f>
        <v>0</v>
      </c>
      <c r="AF215" s="21">
        <f>[2]基础状态预期!M226</f>
        <v>0</v>
      </c>
      <c r="AG215" s="21">
        <f>[2]基础状态预期!N226</f>
        <v>0</v>
      </c>
      <c r="AH215" s="21">
        <f>[2]基础状态预期!O226</f>
        <v>8</v>
      </c>
      <c r="AI215" s="7">
        <f>[2]各r阵容卡情况!G220</f>
        <v>0</v>
      </c>
      <c r="AJ215" s="7">
        <f>[2]各r阵容卡情况!H220</f>
        <v>0</v>
      </c>
      <c r="AK215" s="7">
        <f>[2]各r阵容卡情况!I220</f>
        <v>24</v>
      </c>
      <c r="AL215" s="7">
        <f>[2]各r阵容卡情况!J220</f>
        <v>0</v>
      </c>
      <c r="AM215" s="7">
        <f>[2]各r阵容卡情况!K220</f>
        <v>3</v>
      </c>
      <c r="AN215" s="7">
        <f>[2]各r阵容卡情况!L220</f>
        <v>6</v>
      </c>
      <c r="AO215" s="7">
        <f>[2]各r阵容卡情况!M220</f>
        <v>8</v>
      </c>
      <c r="AP215" s="7">
        <f>[2]各r阵容卡情况!N220</f>
        <v>8</v>
      </c>
      <c r="AZ215" s="7">
        <f>[3]基础状态预期!C226</f>
        <v>129.43528964176323</v>
      </c>
      <c r="BA215" s="7">
        <f>[3]基础状态预期!D226</f>
        <v>2040.5000000000002</v>
      </c>
      <c r="BB215" s="7">
        <f>[3]基础状态预期!E226</f>
        <v>3</v>
      </c>
      <c r="BC215" s="7">
        <f>[3]基础状态预期!F226</f>
        <v>7</v>
      </c>
      <c r="BD215" s="7">
        <f>[3]基础状态预期!G226</f>
        <v>20</v>
      </c>
      <c r="BE215" s="7">
        <f>[3]基础状态预期!H226</f>
        <v>20</v>
      </c>
      <c r="BF215" s="7">
        <f>[3]基础状态预期!I226</f>
        <v>7</v>
      </c>
      <c r="BG215" s="7">
        <f>[3]基础状态预期!J226</f>
        <v>7</v>
      </c>
      <c r="BH215" s="7">
        <f>[3]基础状态预期!K226</f>
        <v>7</v>
      </c>
      <c r="BI215" s="7">
        <f>[3]基础状态预期!L226</f>
        <v>7</v>
      </c>
    </row>
    <row r="216" spans="23:61">
      <c r="W216" s="21">
        <f t="shared" si="3"/>
        <v>2601.5</v>
      </c>
      <c r="X216" s="21">
        <f>[2]基础状态预期!D227</f>
        <v>133.03192104200832</v>
      </c>
      <c r="Y216" s="21">
        <f>[2]基础状态预期!F227</f>
        <v>0</v>
      </c>
      <c r="Z216" s="21">
        <f>[2]基础状态预期!G227</f>
        <v>0</v>
      </c>
      <c r="AA216" s="21">
        <f>[2]基础状态预期!H227</f>
        <v>0</v>
      </c>
      <c r="AB216" s="21">
        <f>[2]基础状态预期!I227</f>
        <v>0</v>
      </c>
      <c r="AC216" s="21">
        <f>[2]基础状态预期!J227</f>
        <v>6</v>
      </c>
      <c r="AD216" s="21">
        <f>[2]基础状态预期!K227</f>
        <v>0</v>
      </c>
      <c r="AE216" s="21">
        <f>[2]基础状态预期!L227</f>
        <v>0</v>
      </c>
      <c r="AF216" s="21">
        <f>[2]基础状态预期!M227</f>
        <v>0</v>
      </c>
      <c r="AG216" s="21">
        <f>[2]基础状态预期!N227</f>
        <v>0</v>
      </c>
      <c r="AH216" s="21">
        <f>[2]基础状态预期!O227</f>
        <v>8</v>
      </c>
      <c r="AI216" s="7">
        <f>[2]各r阵容卡情况!G221</f>
        <v>0</v>
      </c>
      <c r="AJ216" s="7">
        <f>[2]各r阵容卡情况!H221</f>
        <v>0</v>
      </c>
      <c r="AK216" s="7">
        <f>[2]各r阵容卡情况!I221</f>
        <v>24</v>
      </c>
      <c r="AL216" s="7">
        <f>[2]各r阵容卡情况!J221</f>
        <v>0</v>
      </c>
      <c r="AM216" s="7">
        <f>[2]各r阵容卡情况!K221</f>
        <v>3</v>
      </c>
      <c r="AN216" s="7">
        <f>[2]各r阵容卡情况!L221</f>
        <v>6</v>
      </c>
      <c r="AO216" s="7">
        <f>[2]各r阵容卡情况!M221</f>
        <v>8</v>
      </c>
      <c r="AP216" s="7">
        <f>[2]各r阵容卡情况!N221</f>
        <v>8</v>
      </c>
      <c r="AZ216" s="7">
        <f>[3]基础状态预期!C227</f>
        <v>133.03192104200832</v>
      </c>
      <c r="BA216" s="7">
        <f>[3]基础状态预期!D227</f>
        <v>2601.5</v>
      </c>
      <c r="BB216" s="7">
        <f>[3]基础状态预期!E227</f>
        <v>3</v>
      </c>
      <c r="BC216" s="7">
        <f>[3]基础状态预期!F227</f>
        <v>7</v>
      </c>
      <c r="BD216" s="7">
        <f>[3]基础状态预期!G227</f>
        <v>20</v>
      </c>
      <c r="BE216" s="7">
        <f>[3]基础状态预期!H227</f>
        <v>20</v>
      </c>
      <c r="BF216" s="7">
        <f>[3]基础状态预期!I227</f>
        <v>7</v>
      </c>
      <c r="BG216" s="7">
        <f>[3]基础状态预期!J227</f>
        <v>7</v>
      </c>
      <c r="BH216" s="7">
        <f>[3]基础状态预期!K227</f>
        <v>7</v>
      </c>
      <c r="BI216" s="7">
        <f>[3]基础状态预期!L227</f>
        <v>7</v>
      </c>
    </row>
    <row r="217" spans="23:61">
      <c r="W217" s="21">
        <f t="shared" si="3"/>
        <v>3311.0000000000005</v>
      </c>
      <c r="X217" s="21">
        <f>[2]基础状态预期!D228</f>
        <v>136.45508882162355</v>
      </c>
      <c r="Y217" s="21">
        <f>[2]基础状态预期!F228</f>
        <v>0</v>
      </c>
      <c r="Z217" s="21">
        <f>[2]基础状态预期!G228</f>
        <v>0</v>
      </c>
      <c r="AA217" s="21">
        <f>[2]基础状态预期!H228</f>
        <v>0</v>
      </c>
      <c r="AB217" s="21">
        <f>[2]基础状态预期!I228</f>
        <v>0</v>
      </c>
      <c r="AC217" s="21">
        <f>[2]基础状态预期!J228</f>
        <v>6</v>
      </c>
      <c r="AD217" s="21">
        <f>[2]基础状态预期!K228</f>
        <v>0</v>
      </c>
      <c r="AE217" s="21">
        <f>[2]基础状态预期!L228</f>
        <v>0</v>
      </c>
      <c r="AF217" s="21">
        <f>[2]基础状态预期!M228</f>
        <v>0</v>
      </c>
      <c r="AG217" s="21">
        <f>[2]基础状态预期!N228</f>
        <v>0</v>
      </c>
      <c r="AH217" s="21">
        <f>[2]基础状态预期!O228</f>
        <v>8</v>
      </c>
      <c r="AI217" s="7">
        <f>[2]各r阵容卡情况!G222</f>
        <v>0</v>
      </c>
      <c r="AJ217" s="7">
        <f>[2]各r阵容卡情况!H222</f>
        <v>0</v>
      </c>
      <c r="AK217" s="7">
        <f>[2]各r阵容卡情况!I222</f>
        <v>24</v>
      </c>
      <c r="AL217" s="7">
        <f>[2]各r阵容卡情况!J222</f>
        <v>0</v>
      </c>
      <c r="AM217" s="7">
        <f>[2]各r阵容卡情况!K222</f>
        <v>3</v>
      </c>
      <c r="AN217" s="7">
        <f>[2]各r阵容卡情况!L222</f>
        <v>6</v>
      </c>
      <c r="AO217" s="7">
        <f>[2]各r阵容卡情况!M222</f>
        <v>8</v>
      </c>
      <c r="AP217" s="7">
        <f>[2]各r阵容卡情况!N222</f>
        <v>8</v>
      </c>
      <c r="AZ217" s="7">
        <f>[3]基础状态预期!C228</f>
        <v>136.45508882162355</v>
      </c>
      <c r="BA217" s="7">
        <f>[3]基础状态预期!D228</f>
        <v>3311.0000000000005</v>
      </c>
      <c r="BB217" s="7">
        <f>[3]基础状态预期!E228</f>
        <v>3</v>
      </c>
      <c r="BC217" s="7">
        <f>[3]基础状态预期!F228</f>
        <v>7</v>
      </c>
      <c r="BD217" s="7">
        <f>[3]基础状态预期!G228</f>
        <v>20</v>
      </c>
      <c r="BE217" s="7">
        <f>[3]基础状态预期!H228</f>
        <v>20</v>
      </c>
      <c r="BF217" s="7">
        <f>[3]基础状态预期!I228</f>
        <v>7</v>
      </c>
      <c r="BG217" s="7">
        <f>[3]基础状态预期!J228</f>
        <v>7</v>
      </c>
      <c r="BH217" s="7">
        <f>[3]基础状态预期!K228</f>
        <v>7</v>
      </c>
      <c r="BI217" s="7">
        <f>[3]基础状态预期!L228</f>
        <v>7</v>
      </c>
    </row>
    <row r="218" spans="23:61">
      <c r="W218" s="21">
        <f t="shared" si="3"/>
        <v>4218.5</v>
      </c>
      <c r="X218" s="21">
        <f>[2]基础状态预期!D229</f>
        <v>140.08772492574531</v>
      </c>
      <c r="Y218" s="21">
        <f>[2]基础状态预期!F229</f>
        <v>0</v>
      </c>
      <c r="Z218" s="21">
        <f>[2]基础状态预期!G229</f>
        <v>0</v>
      </c>
      <c r="AA218" s="21">
        <f>[2]基础状态预期!H229</f>
        <v>0</v>
      </c>
      <c r="AB218" s="21">
        <f>[2]基础状态预期!I229</f>
        <v>0</v>
      </c>
      <c r="AC218" s="21">
        <f>[2]基础状态预期!J229</f>
        <v>6</v>
      </c>
      <c r="AD218" s="21">
        <f>[2]基础状态预期!K229</f>
        <v>0</v>
      </c>
      <c r="AE218" s="21">
        <f>[2]基础状态预期!L229</f>
        <v>0</v>
      </c>
      <c r="AF218" s="21">
        <f>[2]基础状态预期!M229</f>
        <v>0</v>
      </c>
      <c r="AG218" s="21">
        <f>[2]基础状态预期!N229</f>
        <v>0</v>
      </c>
      <c r="AH218" s="21">
        <f>[2]基础状态预期!O229</f>
        <v>8</v>
      </c>
      <c r="AI218" s="7">
        <f>[2]各r阵容卡情况!G223</f>
        <v>0</v>
      </c>
      <c r="AJ218" s="7">
        <f>[2]各r阵容卡情况!H223</f>
        <v>0</v>
      </c>
      <c r="AK218" s="7">
        <f>[2]各r阵容卡情况!I223</f>
        <v>24</v>
      </c>
      <c r="AL218" s="7">
        <f>[2]各r阵容卡情况!J223</f>
        <v>0</v>
      </c>
      <c r="AM218" s="7">
        <f>[2]各r阵容卡情况!K223</f>
        <v>3</v>
      </c>
      <c r="AN218" s="7">
        <f>[2]各r阵容卡情况!L223</f>
        <v>6</v>
      </c>
      <c r="AO218" s="7">
        <f>[2]各r阵容卡情况!M223</f>
        <v>8</v>
      </c>
      <c r="AP218" s="7">
        <f>[2]各r阵容卡情况!N223</f>
        <v>8</v>
      </c>
      <c r="AZ218" s="7">
        <f>[3]基础状态预期!C229</f>
        <v>140.08772492574531</v>
      </c>
      <c r="BA218" s="7">
        <f>[3]基础状态预期!D229</f>
        <v>4218.5</v>
      </c>
      <c r="BB218" s="7">
        <f>[3]基础状态预期!E229</f>
        <v>3</v>
      </c>
      <c r="BC218" s="7">
        <f>[3]基础状态预期!F229</f>
        <v>7</v>
      </c>
      <c r="BD218" s="7">
        <f>[3]基础状态预期!G229</f>
        <v>20</v>
      </c>
      <c r="BE218" s="7">
        <f>[3]基础状态预期!H229</f>
        <v>20</v>
      </c>
      <c r="BF218" s="7">
        <f>[3]基础状态预期!I229</f>
        <v>7</v>
      </c>
      <c r="BG218" s="7">
        <f>[3]基础状态预期!J229</f>
        <v>7</v>
      </c>
      <c r="BH218" s="7">
        <f>[3]基础状态预期!K229</f>
        <v>7</v>
      </c>
      <c r="BI218" s="7">
        <f>[3]基础状态预期!L229</f>
        <v>7</v>
      </c>
    </row>
    <row r="219" spans="23:61">
      <c r="W219" s="21">
        <f t="shared" si="3"/>
        <v>5373.5</v>
      </c>
      <c r="X219" s="21">
        <f>[2]基础状态预期!D230</f>
        <v>143.51956656528549</v>
      </c>
      <c r="Y219" s="21">
        <f>[2]基础状态预期!F230</f>
        <v>0</v>
      </c>
      <c r="Z219" s="21">
        <f>[2]基础状态预期!G230</f>
        <v>0</v>
      </c>
      <c r="AA219" s="21">
        <f>[2]基础状态预期!H230</f>
        <v>0</v>
      </c>
      <c r="AB219" s="21">
        <f>[2]基础状态预期!I230</f>
        <v>0</v>
      </c>
      <c r="AC219" s="21">
        <f>[2]基础状态预期!J230</f>
        <v>6</v>
      </c>
      <c r="AD219" s="21">
        <f>[2]基础状态预期!K230</f>
        <v>0</v>
      </c>
      <c r="AE219" s="21">
        <f>[2]基础状态预期!L230</f>
        <v>0</v>
      </c>
      <c r="AF219" s="21">
        <f>[2]基础状态预期!M230</f>
        <v>0</v>
      </c>
      <c r="AG219" s="21">
        <f>[2]基础状态预期!N230</f>
        <v>0</v>
      </c>
      <c r="AH219" s="21">
        <f>[2]基础状态预期!O230</f>
        <v>8</v>
      </c>
      <c r="AI219" s="7">
        <f>[2]各r阵容卡情况!G224</f>
        <v>0</v>
      </c>
      <c r="AJ219" s="7">
        <f>[2]各r阵容卡情况!H224</f>
        <v>0</v>
      </c>
      <c r="AK219" s="7">
        <f>[2]各r阵容卡情况!I224</f>
        <v>24</v>
      </c>
      <c r="AL219" s="7">
        <f>[2]各r阵容卡情况!J224</f>
        <v>0</v>
      </c>
      <c r="AM219" s="7">
        <f>[2]各r阵容卡情况!K224</f>
        <v>3</v>
      </c>
      <c r="AN219" s="7">
        <f>[2]各r阵容卡情况!L224</f>
        <v>6</v>
      </c>
      <c r="AO219" s="7">
        <f>[2]各r阵容卡情况!M224</f>
        <v>8</v>
      </c>
      <c r="AP219" s="7">
        <f>[2]各r阵容卡情况!N224</f>
        <v>8</v>
      </c>
      <c r="AZ219" s="7">
        <f>[3]基础状态预期!C230</f>
        <v>143.51956656528549</v>
      </c>
      <c r="BA219" s="7">
        <f>[3]基础状态预期!D230</f>
        <v>5373.5</v>
      </c>
      <c r="BB219" s="7">
        <f>[3]基础状态预期!E230</f>
        <v>3</v>
      </c>
      <c r="BC219" s="7">
        <f>[3]基础状态预期!F230</f>
        <v>7</v>
      </c>
      <c r="BD219" s="7">
        <f>[3]基础状态预期!G230</f>
        <v>20</v>
      </c>
      <c r="BE219" s="7">
        <f>[3]基础状态预期!H230</f>
        <v>20</v>
      </c>
      <c r="BF219" s="7">
        <f>[3]基础状态预期!I230</f>
        <v>7</v>
      </c>
      <c r="BG219" s="7">
        <f>[3]基础状态预期!J230</f>
        <v>7</v>
      </c>
      <c r="BH219" s="7">
        <f>[3]基础状态预期!K230</f>
        <v>7</v>
      </c>
      <c r="BI219" s="7">
        <f>[3]基础状态预期!L230</f>
        <v>7</v>
      </c>
    </row>
    <row r="220" spans="23:61">
      <c r="W220" s="21">
        <f t="shared" si="3"/>
        <v>6842.0000000000009</v>
      </c>
      <c r="X220" s="21">
        <f>[2]基础状态预期!D231</f>
        <v>147.17868266109423</v>
      </c>
      <c r="Y220" s="21">
        <f>[2]基础状态预期!F231</f>
        <v>0</v>
      </c>
      <c r="Z220" s="21">
        <f>[2]基础状态预期!G231</f>
        <v>0</v>
      </c>
      <c r="AA220" s="21">
        <f>[2]基础状态预期!H231</f>
        <v>0</v>
      </c>
      <c r="AB220" s="21">
        <f>[2]基础状态预期!I231</f>
        <v>0</v>
      </c>
      <c r="AC220" s="21">
        <f>[2]基础状态预期!J231</f>
        <v>6</v>
      </c>
      <c r="AD220" s="21">
        <f>[2]基础状态预期!K231</f>
        <v>0</v>
      </c>
      <c r="AE220" s="21">
        <f>[2]基础状态预期!L231</f>
        <v>0</v>
      </c>
      <c r="AF220" s="21">
        <f>[2]基础状态预期!M231</f>
        <v>0</v>
      </c>
      <c r="AG220" s="21">
        <f>[2]基础状态预期!N231</f>
        <v>0</v>
      </c>
      <c r="AH220" s="21">
        <f>[2]基础状态预期!O231</f>
        <v>8</v>
      </c>
      <c r="AI220" s="7">
        <f>[2]各r阵容卡情况!G225</f>
        <v>0</v>
      </c>
      <c r="AJ220" s="7">
        <f>[2]各r阵容卡情况!H225</f>
        <v>0</v>
      </c>
      <c r="AK220" s="7">
        <f>[2]各r阵容卡情况!I225</f>
        <v>24</v>
      </c>
      <c r="AL220" s="7">
        <f>[2]各r阵容卡情况!J225</f>
        <v>0</v>
      </c>
      <c r="AM220" s="7">
        <f>[2]各r阵容卡情况!K225</f>
        <v>3</v>
      </c>
      <c r="AN220" s="7">
        <f>[2]各r阵容卡情况!L225</f>
        <v>6</v>
      </c>
      <c r="AO220" s="7">
        <f>[2]各r阵容卡情况!M225</f>
        <v>8</v>
      </c>
      <c r="AP220" s="7">
        <f>[2]各r阵容卡情况!N225</f>
        <v>8</v>
      </c>
      <c r="AZ220" s="7">
        <f>[3]基础状态预期!C231</f>
        <v>147.17868266109423</v>
      </c>
      <c r="BA220" s="7">
        <f>[3]基础状态预期!D231</f>
        <v>6842.0000000000009</v>
      </c>
      <c r="BB220" s="7">
        <f>[3]基础状态预期!E231</f>
        <v>3</v>
      </c>
      <c r="BC220" s="7">
        <f>[3]基础状态预期!F231</f>
        <v>7</v>
      </c>
      <c r="BD220" s="7">
        <f>[3]基础状态预期!G231</f>
        <v>20</v>
      </c>
      <c r="BE220" s="7">
        <f>[3]基础状态预期!H231</f>
        <v>20</v>
      </c>
      <c r="BF220" s="7">
        <f>[3]基础状态预期!I231</f>
        <v>7</v>
      </c>
      <c r="BG220" s="7">
        <f>[3]基础状态预期!J231</f>
        <v>7</v>
      </c>
      <c r="BH220" s="7">
        <f>[3]基础状态预期!K231</f>
        <v>7</v>
      </c>
      <c r="BI220" s="7">
        <f>[3]基础状态预期!L231</f>
        <v>7</v>
      </c>
    </row>
    <row r="221" spans="23:61">
      <c r="W221" s="21">
        <f t="shared" si="3"/>
        <v>8723</v>
      </c>
      <c r="X221" s="21">
        <f>[2]基础状态预期!D232</f>
        <v>150.49637054967232</v>
      </c>
      <c r="Y221" s="21">
        <f>[2]基础状态预期!F232</f>
        <v>0</v>
      </c>
      <c r="Z221" s="21">
        <f>[2]基础状态预期!G232</f>
        <v>0</v>
      </c>
      <c r="AA221" s="21">
        <f>[2]基础状态预期!H232</f>
        <v>0</v>
      </c>
      <c r="AB221" s="21">
        <f>[2]基础状态预期!I232</f>
        <v>0</v>
      </c>
      <c r="AC221" s="21">
        <f>[2]基础状态预期!J232</f>
        <v>6</v>
      </c>
      <c r="AD221" s="21">
        <f>[2]基础状态预期!K232</f>
        <v>0</v>
      </c>
      <c r="AE221" s="21">
        <f>[2]基础状态预期!L232</f>
        <v>0</v>
      </c>
      <c r="AF221" s="21">
        <f>[2]基础状态预期!M232</f>
        <v>0</v>
      </c>
      <c r="AG221" s="21">
        <f>[2]基础状态预期!N232</f>
        <v>0</v>
      </c>
      <c r="AH221" s="21">
        <f>[2]基础状态预期!O232</f>
        <v>8</v>
      </c>
      <c r="AI221" s="7">
        <f>[2]各r阵容卡情况!G226</f>
        <v>0</v>
      </c>
      <c r="AJ221" s="7">
        <f>[2]各r阵容卡情况!H226</f>
        <v>0</v>
      </c>
      <c r="AK221" s="7">
        <f>[2]各r阵容卡情况!I226</f>
        <v>24</v>
      </c>
      <c r="AL221" s="7">
        <f>[2]各r阵容卡情况!J226</f>
        <v>0</v>
      </c>
      <c r="AM221" s="7">
        <f>[2]各r阵容卡情况!K226</f>
        <v>3</v>
      </c>
      <c r="AN221" s="7">
        <f>[2]各r阵容卡情况!L226</f>
        <v>6</v>
      </c>
      <c r="AO221" s="7">
        <f>[2]各r阵容卡情况!M226</f>
        <v>8</v>
      </c>
      <c r="AP221" s="7">
        <f>[2]各r阵容卡情况!N226</f>
        <v>8</v>
      </c>
      <c r="AZ221" s="7">
        <f>[3]基础状态预期!C232</f>
        <v>150.49637054967232</v>
      </c>
      <c r="BA221" s="7">
        <f>[3]基础状态预期!D232</f>
        <v>8723</v>
      </c>
      <c r="BB221" s="7">
        <f>[3]基础状态预期!E232</f>
        <v>3</v>
      </c>
      <c r="BC221" s="7">
        <f>[3]基础状态预期!F232</f>
        <v>7</v>
      </c>
      <c r="BD221" s="7">
        <f>[3]基础状态预期!G232</f>
        <v>20</v>
      </c>
      <c r="BE221" s="7">
        <f>[3]基础状态预期!H232</f>
        <v>20</v>
      </c>
      <c r="BF221" s="7">
        <f>[3]基础状态预期!I232</f>
        <v>7</v>
      </c>
      <c r="BG221" s="7">
        <f>[3]基础状态预期!J232</f>
        <v>7</v>
      </c>
      <c r="BH221" s="7">
        <f>[3]基础状态预期!K232</f>
        <v>7</v>
      </c>
      <c r="BI221" s="7">
        <f>[3]基础状态预期!L232</f>
        <v>7</v>
      </c>
    </row>
    <row r="222" spans="23:61">
      <c r="W222" s="21">
        <f t="shared" si="3"/>
        <v>11115.5</v>
      </c>
      <c r="X222" s="21">
        <f>[2]基础状态预期!D233</f>
        <v>151.40240982411487</v>
      </c>
      <c r="Y222" s="21">
        <f>[2]基础状态预期!F233</f>
        <v>0</v>
      </c>
      <c r="Z222" s="21">
        <f>[2]基础状态预期!G233</f>
        <v>0</v>
      </c>
      <c r="AA222" s="21">
        <f>[2]基础状态预期!H233</f>
        <v>0</v>
      </c>
      <c r="AB222" s="21">
        <f>[2]基础状态预期!I233</f>
        <v>0</v>
      </c>
      <c r="AC222" s="21">
        <f>[2]基础状态预期!J233</f>
        <v>6</v>
      </c>
      <c r="AD222" s="21">
        <f>[2]基础状态预期!K233</f>
        <v>0</v>
      </c>
      <c r="AE222" s="21">
        <f>[2]基础状态预期!L233</f>
        <v>0</v>
      </c>
      <c r="AF222" s="21">
        <f>[2]基础状态预期!M233</f>
        <v>0</v>
      </c>
      <c r="AG222" s="21">
        <f>[2]基础状态预期!N233</f>
        <v>0</v>
      </c>
      <c r="AH222" s="21">
        <f>[2]基础状态预期!O233</f>
        <v>8</v>
      </c>
      <c r="AI222" s="7">
        <f>[2]各r阵容卡情况!G227</f>
        <v>0</v>
      </c>
      <c r="AJ222" s="7">
        <f>[2]各r阵容卡情况!H227</f>
        <v>0</v>
      </c>
      <c r="AK222" s="7">
        <f>[2]各r阵容卡情况!I227</f>
        <v>24</v>
      </c>
      <c r="AL222" s="7">
        <f>[2]各r阵容卡情况!J227</f>
        <v>0</v>
      </c>
      <c r="AM222" s="7">
        <f>[2]各r阵容卡情况!K227</f>
        <v>3</v>
      </c>
      <c r="AN222" s="7">
        <f>[2]各r阵容卡情况!L227</f>
        <v>6</v>
      </c>
      <c r="AO222" s="7">
        <f>[2]各r阵容卡情况!M227</f>
        <v>8</v>
      </c>
      <c r="AP222" s="7">
        <f>[2]各r阵容卡情况!N227</f>
        <v>8</v>
      </c>
      <c r="AZ222" s="7">
        <f>[3]基础状态预期!C233</f>
        <v>151.40240982411487</v>
      </c>
      <c r="BA222" s="7">
        <f>[3]基础状态预期!D233</f>
        <v>11115.5</v>
      </c>
      <c r="BB222" s="7">
        <f>[3]基础状态预期!E233</f>
        <v>3</v>
      </c>
      <c r="BC222" s="7">
        <f>[3]基础状态预期!F233</f>
        <v>7</v>
      </c>
      <c r="BD222" s="7">
        <f>[3]基础状态预期!G233</f>
        <v>20</v>
      </c>
      <c r="BE222" s="7">
        <f>[3]基础状态预期!H233</f>
        <v>20</v>
      </c>
      <c r="BF222" s="7">
        <f>[3]基础状态预期!I233</f>
        <v>7</v>
      </c>
      <c r="BG222" s="7">
        <f>[3]基础状态预期!J233</f>
        <v>7</v>
      </c>
      <c r="BH222" s="7">
        <f>[3]基础状态预期!K233</f>
        <v>7</v>
      </c>
      <c r="BI222" s="7">
        <f>[3]基础状态预期!L233</f>
        <v>7</v>
      </c>
    </row>
    <row r="223" spans="23:61">
      <c r="W223" s="21">
        <f t="shared" si="3"/>
        <v>14168.000000000002</v>
      </c>
      <c r="X223" s="21">
        <f>[2]基础状态预期!D234</f>
        <v>152.00526961196863</v>
      </c>
      <c r="Y223" s="21">
        <f>[2]基础状态预期!F234</f>
        <v>0</v>
      </c>
      <c r="Z223" s="21">
        <f>[2]基础状态预期!G234</f>
        <v>0</v>
      </c>
      <c r="AA223" s="21">
        <f>[2]基础状态预期!H234</f>
        <v>0</v>
      </c>
      <c r="AB223" s="21">
        <f>[2]基础状态预期!I234</f>
        <v>0</v>
      </c>
      <c r="AC223" s="21">
        <f>[2]基础状态预期!J234</f>
        <v>6</v>
      </c>
      <c r="AD223" s="21">
        <f>[2]基础状态预期!K234</f>
        <v>0</v>
      </c>
      <c r="AE223" s="21">
        <f>[2]基础状态预期!L234</f>
        <v>0</v>
      </c>
      <c r="AF223" s="21">
        <f>[2]基础状态预期!M234</f>
        <v>0</v>
      </c>
      <c r="AG223" s="21">
        <f>[2]基础状态预期!N234</f>
        <v>0</v>
      </c>
      <c r="AH223" s="21">
        <f>[2]基础状态预期!O234</f>
        <v>8</v>
      </c>
      <c r="AI223" s="7">
        <f>[2]各r阵容卡情况!G228</f>
        <v>0</v>
      </c>
      <c r="AJ223" s="7">
        <f>[2]各r阵容卡情况!H228</f>
        <v>0</v>
      </c>
      <c r="AK223" s="7">
        <f>[2]各r阵容卡情况!I228</f>
        <v>24</v>
      </c>
      <c r="AL223" s="7">
        <f>[2]各r阵容卡情况!J228</f>
        <v>0</v>
      </c>
      <c r="AM223" s="7">
        <f>[2]各r阵容卡情况!K228</f>
        <v>3</v>
      </c>
      <c r="AN223" s="7">
        <f>[2]各r阵容卡情况!L228</f>
        <v>6</v>
      </c>
      <c r="AO223" s="7">
        <f>[2]各r阵容卡情况!M228</f>
        <v>8</v>
      </c>
      <c r="AP223" s="7">
        <f>[2]各r阵容卡情况!N228</f>
        <v>8</v>
      </c>
      <c r="AZ223" s="7">
        <f>[3]基础状态预期!C234</f>
        <v>152.00526961196863</v>
      </c>
      <c r="BA223" s="7">
        <f>[3]基础状态预期!D234</f>
        <v>14168.000000000002</v>
      </c>
      <c r="BB223" s="7">
        <f>[3]基础状态预期!E234</f>
        <v>3</v>
      </c>
      <c r="BC223" s="7">
        <f>[3]基础状态预期!F234</f>
        <v>7</v>
      </c>
      <c r="BD223" s="7">
        <f>[3]基础状态预期!G234</f>
        <v>20</v>
      </c>
      <c r="BE223" s="7">
        <f>[3]基础状态预期!H234</f>
        <v>20</v>
      </c>
      <c r="BF223" s="7">
        <f>[3]基础状态预期!I234</f>
        <v>7</v>
      </c>
      <c r="BG223" s="7">
        <f>[3]基础状态预期!J234</f>
        <v>7</v>
      </c>
      <c r="BH223" s="7">
        <f>[3]基础状态预期!K234</f>
        <v>7</v>
      </c>
      <c r="BI223" s="7">
        <f>[3]基础状态预期!L234</f>
        <v>7</v>
      </c>
    </row>
    <row r="224" spans="23:61">
      <c r="W224" s="21">
        <f t="shared" si="3"/>
        <v>18012.5</v>
      </c>
      <c r="X224" s="21">
        <f>[2]基础状态预期!D235</f>
        <v>152.38629594951036</v>
      </c>
      <c r="Y224" s="21">
        <f>[2]基础状态预期!F235</f>
        <v>0</v>
      </c>
      <c r="Z224" s="21">
        <f>[2]基础状态预期!G235</f>
        <v>0</v>
      </c>
      <c r="AA224" s="21">
        <f>[2]基础状态预期!H235</f>
        <v>0</v>
      </c>
      <c r="AB224" s="21">
        <f>[2]基础状态预期!I235</f>
        <v>0</v>
      </c>
      <c r="AC224" s="21">
        <f>[2]基础状态预期!J235</f>
        <v>6</v>
      </c>
      <c r="AD224" s="21">
        <f>[2]基础状态预期!K235</f>
        <v>0</v>
      </c>
      <c r="AE224" s="21">
        <f>[2]基础状态预期!L235</f>
        <v>0</v>
      </c>
      <c r="AF224" s="21">
        <f>[2]基础状态预期!M235</f>
        <v>0</v>
      </c>
      <c r="AG224" s="21">
        <f>[2]基础状态预期!N235</f>
        <v>0</v>
      </c>
      <c r="AH224" s="21">
        <f>[2]基础状态预期!O235</f>
        <v>8</v>
      </c>
      <c r="AI224" s="7">
        <f>[2]各r阵容卡情况!G229</f>
        <v>0</v>
      </c>
      <c r="AJ224" s="7">
        <f>[2]各r阵容卡情况!H229</f>
        <v>0</v>
      </c>
      <c r="AK224" s="7">
        <f>[2]各r阵容卡情况!I229</f>
        <v>24</v>
      </c>
      <c r="AL224" s="7">
        <f>[2]各r阵容卡情况!J229</f>
        <v>0</v>
      </c>
      <c r="AM224" s="7">
        <f>[2]各r阵容卡情况!K229</f>
        <v>3</v>
      </c>
      <c r="AN224" s="7">
        <f>[2]各r阵容卡情况!L229</f>
        <v>6</v>
      </c>
      <c r="AO224" s="7">
        <f>[2]各r阵容卡情况!M229</f>
        <v>8</v>
      </c>
      <c r="AP224" s="7">
        <f>[2]各r阵容卡情况!N229</f>
        <v>8</v>
      </c>
      <c r="AZ224" s="7">
        <f>[3]基础状态预期!C235</f>
        <v>152.38629594951036</v>
      </c>
      <c r="BA224" s="7">
        <f>[3]基础状态预期!D235</f>
        <v>18012.5</v>
      </c>
      <c r="BB224" s="7">
        <f>[3]基础状态预期!E235</f>
        <v>3</v>
      </c>
      <c r="BC224" s="7">
        <f>[3]基础状态预期!F235</f>
        <v>7</v>
      </c>
      <c r="BD224" s="7">
        <f>[3]基础状态预期!G235</f>
        <v>20</v>
      </c>
      <c r="BE224" s="7">
        <f>[3]基础状态预期!H235</f>
        <v>20</v>
      </c>
      <c r="BF224" s="7">
        <f>[3]基础状态预期!I235</f>
        <v>7</v>
      </c>
      <c r="BG224" s="7">
        <f>[3]基础状态预期!J235</f>
        <v>7</v>
      </c>
      <c r="BH224" s="7">
        <f>[3]基础状态预期!K235</f>
        <v>7</v>
      </c>
      <c r="BI224" s="7">
        <f>[3]基础状态预期!L235</f>
        <v>7</v>
      </c>
    </row>
  </sheetData>
  <mergeCells count="45">
    <mergeCell ref="AI184:AL184"/>
    <mergeCell ref="AM184:AP184"/>
    <mergeCell ref="BB4:BE4"/>
    <mergeCell ref="BB49:BE49"/>
    <mergeCell ref="BB94:BE94"/>
    <mergeCell ref="BB139:BE139"/>
    <mergeCell ref="BB184:BE184"/>
    <mergeCell ref="W183:X184"/>
    <mergeCell ref="AZ183:BI183"/>
    <mergeCell ref="AD184:AH184"/>
    <mergeCell ref="BF184:BI184"/>
    <mergeCell ref="Y4:AC4"/>
    <mergeCell ref="Y49:AC49"/>
    <mergeCell ref="Y94:AC94"/>
    <mergeCell ref="Y139:AC139"/>
    <mergeCell ref="Y184:AC184"/>
    <mergeCell ref="AI4:AL4"/>
    <mergeCell ref="W93:X94"/>
    <mergeCell ref="AZ93:BI93"/>
    <mergeCell ref="AD94:AH94"/>
    <mergeCell ref="BF94:BI94"/>
    <mergeCell ref="W138:X139"/>
    <mergeCell ref="AZ138:BI138"/>
    <mergeCell ref="AD139:AH139"/>
    <mergeCell ref="BF139:BI139"/>
    <mergeCell ref="AI94:AL94"/>
    <mergeCell ref="AM94:AP94"/>
    <mergeCell ref="B15:B24"/>
    <mergeCell ref="B25:B34"/>
    <mergeCell ref="B35:B44"/>
    <mergeCell ref="W48:X49"/>
    <mergeCell ref="AZ48:BI48"/>
    <mergeCell ref="AD49:AH49"/>
    <mergeCell ref="BF49:BI49"/>
    <mergeCell ref="AI49:AL49"/>
    <mergeCell ref="AM49:AP49"/>
    <mergeCell ref="AI139:AL139"/>
    <mergeCell ref="AM139:AP139"/>
    <mergeCell ref="W3:X4"/>
    <mergeCell ref="AZ3:BI3"/>
    <mergeCell ref="AD4:AH4"/>
    <mergeCell ref="BF4:BI4"/>
    <mergeCell ref="B5:B14"/>
    <mergeCell ref="M5:M12"/>
    <mergeCell ref="AM4:AP4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6806-F245-4E33-B779-4B0C7A4DD563}">
  <dimension ref="B3:AO224"/>
  <sheetViews>
    <sheetView topLeftCell="AC145" workbookViewId="0">
      <selection activeCell="AZ170" sqref="AZ170"/>
    </sheetView>
  </sheetViews>
  <sheetFormatPr defaultRowHeight="13.5"/>
  <cols>
    <col min="1" max="22" width="9" style="24"/>
    <col min="23" max="23" width="10.625" style="24" customWidth="1"/>
    <col min="24" max="25" width="8.25" style="24" customWidth="1"/>
    <col min="26" max="26" width="8.5" style="24" customWidth="1"/>
    <col min="27" max="28" width="9" style="24"/>
    <col min="29" max="29" width="8.25" style="24" customWidth="1"/>
    <col min="30" max="30" width="8.5" style="24" customWidth="1"/>
    <col min="31" max="32" width="9" style="24"/>
    <col min="33" max="33" width="13.625" style="24" customWidth="1"/>
    <col min="34" max="38" width="9" style="24"/>
    <col min="39" max="39" width="13.625" style="24" customWidth="1"/>
    <col min="40" max="40" width="9" style="24"/>
    <col min="41" max="41" width="17" style="24" customWidth="1"/>
    <col min="42" max="16384" width="9" style="24"/>
  </cols>
  <sheetData>
    <row r="3" spans="2:41">
      <c r="V3" s="34" t="s">
        <v>45</v>
      </c>
      <c r="W3" s="34"/>
    </row>
    <row r="4" spans="2:41">
      <c r="V4" s="34"/>
      <c r="W4" s="34"/>
      <c r="X4" s="34" t="s">
        <v>131</v>
      </c>
      <c r="Y4" s="34"/>
      <c r="Z4" s="34"/>
      <c r="AA4" s="34"/>
      <c r="AB4" s="34"/>
      <c r="AC4" s="34" t="s">
        <v>132</v>
      </c>
      <c r="AD4" s="34"/>
      <c r="AE4" s="34"/>
      <c r="AF4" s="34"/>
      <c r="AG4" s="21"/>
      <c r="AI4" s="36" t="s">
        <v>134</v>
      </c>
      <c r="AJ4" s="37"/>
      <c r="AK4" s="37"/>
      <c r="AL4" s="38"/>
      <c r="AM4" s="21"/>
    </row>
    <row r="5" spans="2:41">
      <c r="V5" s="21" t="s">
        <v>103</v>
      </c>
      <c r="W5" s="21" t="s">
        <v>92</v>
      </c>
      <c r="X5" s="21" t="s">
        <v>104</v>
      </c>
      <c r="Y5" s="21" t="s">
        <v>14</v>
      </c>
      <c r="Z5" s="21" t="s">
        <v>15</v>
      </c>
      <c r="AA5" s="21" t="s">
        <v>13</v>
      </c>
      <c r="AB5" s="21" t="s">
        <v>102</v>
      </c>
      <c r="AC5" s="21" t="s">
        <v>14</v>
      </c>
      <c r="AD5" s="21" t="s">
        <v>15</v>
      </c>
      <c r="AE5" s="21" t="s">
        <v>13</v>
      </c>
      <c r="AF5" s="21" t="s">
        <v>102</v>
      </c>
      <c r="AG5" s="21" t="s">
        <v>133</v>
      </c>
      <c r="AI5" s="7" t="s">
        <v>14</v>
      </c>
      <c r="AJ5" s="7" t="s">
        <v>15</v>
      </c>
      <c r="AK5" s="7" t="s">
        <v>13</v>
      </c>
      <c r="AL5" s="7" t="s">
        <v>102</v>
      </c>
      <c r="AM5" s="21" t="s">
        <v>136</v>
      </c>
      <c r="AO5" s="21" t="s">
        <v>137</v>
      </c>
    </row>
    <row r="6" spans="2:41" ht="11.25" customHeight="1">
      <c r="V6" s="21">
        <f>其他调用!W6</f>
        <v>1</v>
      </c>
      <c r="W6" s="21">
        <f>其他调用!X6</f>
        <v>10</v>
      </c>
      <c r="X6" s="21">
        <f>求节点(将星点产出!$C$26:$C$34,将星点产出!E$26:E$34,其他调用!AD6)*其他调用!Y6</f>
        <v>0</v>
      </c>
      <c r="Y6" s="21">
        <f>求节点(将星点产出!$C$26:$C$34,将星点产出!F$26:F$34,其他调用!AE6)*其他调用!Z6</f>
        <v>0</v>
      </c>
      <c r="Z6" s="21">
        <f>求节点(将星点产出!$C$26:$C$34,将星点产出!G$26:G$34,其他调用!AF6)*其他调用!AA6</f>
        <v>691.32095876144865</v>
      </c>
      <c r="AA6" s="21">
        <f>求节点(将星点产出!$C$26:$C$34,将星点产出!H$26:H$34,其他调用!AG6)*其他调用!AB6</f>
        <v>3200</v>
      </c>
      <c r="AB6" s="21">
        <f>求节点(将星点产出!$C$26:$C$34,将星点产出!I$26:I$34,其他调用!AH6)*其他调用!AC6</f>
        <v>0</v>
      </c>
      <c r="AC6" s="21">
        <f>求节点(将星点产出!$C$26:$C$34,将星点产出!F$26:F$34,其他调用!AM6)*其他调用!AI6</f>
        <v>0</v>
      </c>
      <c r="AD6" s="21">
        <f>求节点(将星点产出!$C$26:$C$34,将星点产出!G$26:G$34,其他调用!AN6)*其他调用!AJ6</f>
        <v>0</v>
      </c>
      <c r="AE6" s="21">
        <f>求节点(将星点产出!$C$26:$C$34,将星点产出!H$26:H$34,其他调用!AO6)*其他调用!AK6</f>
        <v>0</v>
      </c>
      <c r="AF6" s="21">
        <f>求节点(将星点产出!$C$26:$C$34,将星点产出!I$26:I$34,其他调用!AP6)*其他调用!AL6</f>
        <v>0</v>
      </c>
      <c r="AG6" s="21">
        <f>INT(SUM(X6:AF6))</f>
        <v>3891</v>
      </c>
      <c r="AI6" s="7">
        <f>求节点($N$26:$N$32,P$26:P$32,其他调用!BF6)*其他调用!BB6</f>
        <v>400.29991489132385</v>
      </c>
      <c r="AJ6" s="7">
        <f>求节点($N$26:$N$32,Q$26:Q$32,其他调用!BG6)*其他调用!BC6</f>
        <v>1200</v>
      </c>
      <c r="AK6" s="7">
        <f>求节点($N$26:$N$32,R$26:R$32,其他调用!BH6)*其他调用!BD6</f>
        <v>900</v>
      </c>
      <c r="AL6" s="7">
        <f>求节点($N$26:$N$32,S$26:S$32,其他调用!BI6)*其他调用!BE6</f>
        <v>0</v>
      </c>
      <c r="AM6" s="21">
        <f>INT(SUM(AI6:AL6))</f>
        <v>2500</v>
      </c>
      <c r="AO6" s="21">
        <f>AG6+AM6</f>
        <v>6391</v>
      </c>
    </row>
    <row r="7" spans="2:41" ht="11.25" customHeight="1">
      <c r="B7" s="24" t="s">
        <v>112</v>
      </c>
      <c r="M7" s="24" t="s">
        <v>113</v>
      </c>
      <c r="V7" s="21">
        <f>其他调用!W7</f>
        <v>3</v>
      </c>
      <c r="W7" s="21">
        <f>其他调用!X7</f>
        <v>20</v>
      </c>
      <c r="X7" s="21">
        <f>求节点(将星点产出!$C$26:$C$34,将星点产出!E$26:E$34,其他调用!AD7)*其他调用!Y7</f>
        <v>0</v>
      </c>
      <c r="Y7" s="21">
        <f>求节点(将星点产出!$C$26:$C$34,将星点产出!F$26:F$34,其他调用!AE7)*其他调用!Z7</f>
        <v>0</v>
      </c>
      <c r="Z7" s="21">
        <f>求节点(将星点产出!$C$26:$C$34,将星点产出!G$26:G$34,其他调用!AF7)*其他调用!AA7</f>
        <v>0</v>
      </c>
      <c r="AA7" s="21">
        <f>求节点(将星点产出!$C$26:$C$34,将星点产出!H$26:H$34,其他调用!AG7)*其他调用!AB7</f>
        <v>4800</v>
      </c>
      <c r="AB7" s="21">
        <f>求节点(将星点产出!$C$26:$C$34,将星点产出!I$26:I$34,其他调用!AH7)*其他调用!AC7</f>
        <v>0</v>
      </c>
      <c r="AC7" s="21">
        <f>求节点(将星点产出!$C$26:$C$34,将星点产出!F$26:F$34,其他调用!AM7)*其他调用!AI7</f>
        <v>2400</v>
      </c>
      <c r="AD7" s="21">
        <f>求节点(将星点产出!$C$26:$C$34,将星点产出!G$26:G$34,其他调用!AN7)*其他调用!AJ7</f>
        <v>0</v>
      </c>
      <c r="AE7" s="21">
        <f>求节点(将星点产出!$C$26:$C$34,将星点产出!H$26:H$34,其他调用!AO7)*其他调用!AK7</f>
        <v>0</v>
      </c>
      <c r="AF7" s="21">
        <f>求节点(将星点产出!$C$26:$C$34,将星点产出!I$26:I$34,其他调用!AP7)*其他调用!AL7</f>
        <v>0</v>
      </c>
      <c r="AG7" s="21">
        <f t="shared" ref="AG7:AG44" si="0">INT(SUM(X7:AF7))</f>
        <v>7200</v>
      </c>
      <c r="AI7" s="7">
        <f>求节点($N$26:$N$32,P$26:P$32,其他调用!BF7)*其他调用!BB7</f>
        <v>667.80012658038231</v>
      </c>
      <c r="AJ7" s="7">
        <f>求节点($N$26:$N$32,Q$26:Q$32,其他调用!BG7)*其他调用!BC7</f>
        <v>2800</v>
      </c>
      <c r="AK7" s="7">
        <f>求节点($N$26:$N$32,R$26:R$32,其他调用!BH7)*其他调用!BD7</f>
        <v>2700</v>
      </c>
      <c r="AL7" s="7">
        <f>求节点($N$26:$N$32,S$26:S$32,其他调用!BI7)*其他调用!BE7</f>
        <v>0</v>
      </c>
      <c r="AM7" s="21">
        <f t="shared" ref="AM7:AM44" si="1">INT(SUM(AI7:AL7))</f>
        <v>6167</v>
      </c>
      <c r="AO7" s="21">
        <f t="shared" ref="AO7:AO44" si="2">AG7+AM7</f>
        <v>13367</v>
      </c>
    </row>
    <row r="8" spans="2:41" ht="12" customHeight="1">
      <c r="B8" s="7" t="s">
        <v>104</v>
      </c>
      <c r="C8" s="7" t="s">
        <v>14</v>
      </c>
      <c r="D8" s="7" t="s">
        <v>15</v>
      </c>
      <c r="E8" s="7" t="s">
        <v>13</v>
      </c>
      <c r="F8" s="10" t="s">
        <v>102</v>
      </c>
      <c r="G8" s="10" t="s">
        <v>114</v>
      </c>
      <c r="M8" s="7" t="s">
        <v>14</v>
      </c>
      <c r="N8" s="7" t="s">
        <v>15</v>
      </c>
      <c r="O8" s="7" t="s">
        <v>13</v>
      </c>
      <c r="P8" s="7" t="s">
        <v>102</v>
      </c>
      <c r="V8" s="21">
        <f>其他调用!W8</f>
        <v>6</v>
      </c>
      <c r="W8" s="21">
        <f>其他调用!X8</f>
        <v>28.071211008105138</v>
      </c>
      <c r="X8" s="21">
        <f>求节点(将星点产出!$C$26:$C$34,将星点产出!E$26:E$34,其他调用!AD8)*其他调用!Y8</f>
        <v>0</v>
      </c>
      <c r="Y8" s="21">
        <f>求节点(将星点产出!$C$26:$C$34,将星点产出!F$26:F$34,其他调用!AE8)*其他调用!Z8</f>
        <v>0</v>
      </c>
      <c r="Z8" s="21">
        <f>求节点(将星点产出!$C$26:$C$34,将星点产出!G$26:G$34,其他调用!AF8)*其他调用!AA8</f>
        <v>0</v>
      </c>
      <c r="AA8" s="21">
        <f>求节点(将星点产出!$C$26:$C$34,将星点产出!H$26:H$34,其他调用!AG8)*其他调用!AB8</f>
        <v>4800</v>
      </c>
      <c r="AB8" s="21">
        <f>求节点(将星点产出!$C$26:$C$34,将星点产出!I$26:I$34,其他调用!AH8)*其他调用!AC8</f>
        <v>0</v>
      </c>
      <c r="AC8" s="21">
        <f>求节点(将星点产出!$C$26:$C$34,将星点产出!F$26:F$34,其他调用!AM8)*其他调用!AI8</f>
        <v>2400</v>
      </c>
      <c r="AD8" s="21">
        <f>求节点(将星点产出!$C$26:$C$34,将星点产出!G$26:G$34,其他调用!AN8)*其他调用!AJ8</f>
        <v>0</v>
      </c>
      <c r="AE8" s="21">
        <f>求节点(将星点产出!$C$26:$C$34,将星点产出!H$26:H$34,其他调用!AO8)*其他调用!AK8</f>
        <v>0</v>
      </c>
      <c r="AF8" s="21">
        <f>求节点(将星点产出!$C$26:$C$34,将星点产出!I$26:I$34,其他调用!AP8)*其他调用!AL8</f>
        <v>0</v>
      </c>
      <c r="AG8" s="21">
        <f t="shared" si="0"/>
        <v>7200</v>
      </c>
      <c r="AI8" s="7">
        <f>求节点($N$26:$N$32,P$26:P$32,其他调用!BF8)*其他调用!BB8</f>
        <v>844.38784836670925</v>
      </c>
      <c r="AJ8" s="7">
        <f>求节点($N$26:$N$32,Q$26:Q$32,其他调用!BG8)*其他调用!BC8</f>
        <v>2800</v>
      </c>
      <c r="AK8" s="7">
        <f>求节点($N$26:$N$32,R$26:R$32,其他调用!BH8)*其他调用!BD8</f>
        <v>4500</v>
      </c>
      <c r="AL8" s="7">
        <f>求节点($N$26:$N$32,S$26:S$32,其他调用!BI8)*其他调用!BE8</f>
        <v>0</v>
      </c>
      <c r="AM8" s="21">
        <f t="shared" si="1"/>
        <v>8144</v>
      </c>
      <c r="AO8" s="21">
        <f t="shared" si="2"/>
        <v>15344</v>
      </c>
    </row>
    <row r="9" spans="2:41">
      <c r="B9" s="25">
        <v>0</v>
      </c>
      <c r="C9" s="25">
        <v>100</v>
      </c>
      <c r="D9" s="25">
        <v>250</v>
      </c>
      <c r="E9" s="25">
        <v>800</v>
      </c>
      <c r="F9" s="25">
        <v>2500</v>
      </c>
      <c r="G9" s="25">
        <v>4000</v>
      </c>
      <c r="M9" s="7">
        <v>100</v>
      </c>
      <c r="N9" s="7">
        <v>200</v>
      </c>
      <c r="O9" s="7">
        <v>500</v>
      </c>
      <c r="P9" s="7">
        <v>2000</v>
      </c>
      <c r="V9" s="21">
        <f>其他调用!W9</f>
        <v>10</v>
      </c>
      <c r="W9" s="21">
        <f>其他调用!X9</f>
        <v>34.585942742481357</v>
      </c>
      <c r="X9" s="21">
        <f>求节点(将星点产出!$C$26:$C$34,将星点产出!E$26:E$34,其他调用!AD9)*其他调用!Y9</f>
        <v>0</v>
      </c>
      <c r="Y9" s="21">
        <f>求节点(将星点产出!$C$26:$C$34,将星点产出!F$26:F$34,其他调用!AE9)*其他调用!Z9</f>
        <v>0</v>
      </c>
      <c r="Z9" s="21">
        <f>求节点(将星点产出!$C$26:$C$34,将星点产出!G$26:G$34,其他调用!AF9)*其他调用!AA9</f>
        <v>0</v>
      </c>
      <c r="AA9" s="21">
        <f>求节点(将星点产出!$C$26:$C$34,将星点产出!H$26:H$34,其他调用!AG9)*其他调用!AB9</f>
        <v>4800</v>
      </c>
      <c r="AB9" s="21">
        <f>求节点(将星点产出!$C$26:$C$34,将星点产出!I$26:I$34,其他调用!AH9)*其他调用!AC9</f>
        <v>0</v>
      </c>
      <c r="AC9" s="21">
        <f>求节点(将星点产出!$C$26:$C$34,将星点产出!F$26:F$34,其他调用!AM9)*其他调用!AI9</f>
        <v>2400</v>
      </c>
      <c r="AD9" s="21">
        <f>求节点(将星点产出!$C$26:$C$34,将星点产出!G$26:G$34,其他调用!AN9)*其他调用!AJ9</f>
        <v>3401.0338757450627</v>
      </c>
      <c r="AE9" s="21">
        <f>求节点(将星点产出!$C$26:$C$34,将星点产出!H$26:H$34,其他调用!AO9)*其他调用!AK9</f>
        <v>0</v>
      </c>
      <c r="AF9" s="21">
        <f>求节点(将星点产出!$C$26:$C$34,将星点产出!I$26:I$34,其他调用!AP9)*其他调用!AL9</f>
        <v>0</v>
      </c>
      <c r="AG9" s="21">
        <f t="shared" si="0"/>
        <v>10601</v>
      </c>
      <c r="AI9" s="7">
        <f>求节点($N$26:$N$32,P$26:P$32,其他调用!BF9)*其他调用!BB9</f>
        <v>1021.0367663514289</v>
      </c>
      <c r="AJ9" s="7">
        <f>求节点($N$26:$N$32,Q$26:Q$32,其他调用!BG9)*其他调用!BC9</f>
        <v>3284.4336408146564</v>
      </c>
      <c r="AK9" s="7">
        <f>求节点($N$26:$N$32,R$26:R$32,其他调用!BH9)*其他调用!BD9</f>
        <v>7200</v>
      </c>
      <c r="AL9" s="7">
        <f>求节点($N$26:$N$32,S$26:S$32,其他调用!BI9)*其他调用!BE9</f>
        <v>0</v>
      </c>
      <c r="AM9" s="21">
        <f t="shared" si="1"/>
        <v>11505</v>
      </c>
      <c r="AO9" s="21">
        <f t="shared" si="2"/>
        <v>22106</v>
      </c>
    </row>
    <row r="10" spans="2:41">
      <c r="V10" s="21">
        <f>其他调用!W10</f>
        <v>15</v>
      </c>
      <c r="W10" s="21">
        <f>其他调用!X10</f>
        <v>40</v>
      </c>
      <c r="X10" s="21">
        <f>求节点(将星点产出!$C$26:$C$34,将星点产出!E$26:E$34,其他调用!AD10)*其他调用!Y10</f>
        <v>0</v>
      </c>
      <c r="Y10" s="21">
        <f>求节点(将星点产出!$C$26:$C$34,将星点产出!F$26:F$34,其他调用!AE10)*其他调用!Z10</f>
        <v>0</v>
      </c>
      <c r="Z10" s="21">
        <f>求节点(将星点产出!$C$26:$C$34,将星点产出!G$26:G$34,其他调用!AF10)*其他调用!AA10</f>
        <v>0</v>
      </c>
      <c r="AA10" s="21">
        <f>求节点(将星点产出!$C$26:$C$34,将星点产出!H$26:H$34,其他调用!AG10)*其他调用!AB10</f>
        <v>5088.068319506745</v>
      </c>
      <c r="AB10" s="21">
        <f>求节点(将星点产出!$C$26:$C$34,将星点产出!I$26:I$34,其他调用!AH10)*其他调用!AC10</f>
        <v>0</v>
      </c>
      <c r="AC10" s="21">
        <f>求节点(将星点产出!$C$26:$C$34,将星点产出!F$26:F$34,其他调用!AM10)*其他调用!AI10</f>
        <v>2400</v>
      </c>
      <c r="AD10" s="21">
        <f>求节点(将星点产出!$C$26:$C$34,将星点产出!G$26:G$34,其他调用!AN10)*其他调用!AJ10</f>
        <v>8825.2598227190192</v>
      </c>
      <c r="AE10" s="21">
        <f>求节点(将星点产出!$C$26:$C$34,将星点产出!H$26:H$34,其他调用!AO10)*其他调用!AK10</f>
        <v>0</v>
      </c>
      <c r="AF10" s="21">
        <f>求节点(将星点产出!$C$26:$C$34,将星点产出!I$26:I$34,其他调用!AP10)*其他调用!AL10</f>
        <v>0</v>
      </c>
      <c r="AG10" s="21">
        <f t="shared" si="0"/>
        <v>16313</v>
      </c>
      <c r="AI10" s="7">
        <f>求节点($N$26:$N$32,P$26:P$32,其他调用!BF10)*其他调用!BB10</f>
        <v>1091.8365954092699</v>
      </c>
      <c r="AJ10" s="7">
        <f>求节点($N$26:$N$32,Q$26:Q$32,其他调用!BG10)*其他调用!BC10</f>
        <v>4172.9038824091986</v>
      </c>
      <c r="AK10" s="7">
        <f>求节点($N$26:$N$32,R$26:R$32,其他调用!BH10)*其他调用!BD10</f>
        <v>9900</v>
      </c>
      <c r="AL10" s="7">
        <f>求节点($N$26:$N$32,S$26:S$32,其他调用!BI10)*其他调用!BE10</f>
        <v>0</v>
      </c>
      <c r="AM10" s="21">
        <f t="shared" si="1"/>
        <v>15164</v>
      </c>
      <c r="AO10" s="21">
        <f t="shared" si="2"/>
        <v>31477</v>
      </c>
    </row>
    <row r="11" spans="2:41">
      <c r="B11" s="24" t="s">
        <v>115</v>
      </c>
      <c r="M11" s="24" t="s">
        <v>116</v>
      </c>
      <c r="V11" s="21">
        <f>其他调用!W11</f>
        <v>20</v>
      </c>
      <c r="W11" s="21">
        <f>其他调用!X11</f>
        <v>43.920692243099523</v>
      </c>
      <c r="X11" s="21">
        <f>求节点(将星点产出!$C$26:$C$34,将星点产出!E$26:E$34,其他调用!AD11)*其他调用!Y11</f>
        <v>0</v>
      </c>
      <c r="Y11" s="21">
        <f>求节点(将星点产出!$C$26:$C$34,将星点产出!F$26:F$34,其他调用!AE11)*其他调用!Z11</f>
        <v>0</v>
      </c>
      <c r="Z11" s="21">
        <f>求节点(将星点产出!$C$26:$C$34,将星点产出!G$26:G$34,其他调用!AF11)*其他调用!AA11</f>
        <v>0</v>
      </c>
      <c r="AA11" s="21">
        <f>求节点(将星点产出!$C$26:$C$34,将星点产出!H$26:H$34,其他调用!AG11)*其他调用!AB11</f>
        <v>6295.8348721200919</v>
      </c>
      <c r="AB11" s="21">
        <f>求节点(将星点产出!$C$26:$C$34,将星点产出!I$26:I$34,其他调用!AH11)*其他调用!AC11</f>
        <v>0</v>
      </c>
      <c r="AC11" s="21">
        <f>求节点(将星点产出!$C$26:$C$34,将星点产出!F$26:F$34,其他调用!AM11)*其他调用!AI11</f>
        <v>2400</v>
      </c>
      <c r="AD11" s="21">
        <f>求节点(将星点产出!$C$26:$C$34,将星点产出!G$26:G$34,其他调用!AN11)*其他调用!AJ11</f>
        <v>16240.055612831315</v>
      </c>
      <c r="AE11" s="21">
        <f>求节点(将星点产出!$C$26:$C$34,将星点产出!H$26:H$34,其他调用!AO11)*其他调用!AK11</f>
        <v>0</v>
      </c>
      <c r="AF11" s="21">
        <f>求节点(将星点产出!$C$26:$C$34,将星点产出!I$26:I$34,其他调用!AP11)*其他调用!AL11</f>
        <v>0</v>
      </c>
      <c r="AG11" s="21">
        <f t="shared" si="0"/>
        <v>24935</v>
      </c>
      <c r="AI11" s="7">
        <f>求节点($N$26:$N$32,P$26:P$32,其他调用!BF11)*其他调用!BB11</f>
        <v>1140.9130410897601</v>
      </c>
      <c r="AJ11" s="7">
        <f>求节点($N$26:$N$32,Q$26:Q$32,其他调用!BG11)*其他调用!BC11</f>
        <v>5088.2495747406238</v>
      </c>
      <c r="AK11" s="7">
        <f>求节点($N$26:$N$32,R$26:R$32,其他调用!BH11)*其他调用!BD11</f>
        <v>11700</v>
      </c>
      <c r="AL11" s="7">
        <f>求节点($N$26:$N$32,S$26:S$32,其他调用!BI11)*其他调用!BE11</f>
        <v>0</v>
      </c>
      <c r="AM11" s="21">
        <f t="shared" si="1"/>
        <v>17929</v>
      </c>
      <c r="AO11" s="21">
        <f t="shared" si="2"/>
        <v>42864</v>
      </c>
    </row>
    <row r="12" spans="2:41">
      <c r="B12" s="39" t="s">
        <v>117</v>
      </c>
      <c r="C12" s="10" t="s">
        <v>118</v>
      </c>
      <c r="D12" s="7" t="s">
        <v>119</v>
      </c>
      <c r="E12" s="7" t="s">
        <v>120</v>
      </c>
      <c r="F12" s="7" t="s">
        <v>121</v>
      </c>
      <c r="G12" s="7" t="s">
        <v>122</v>
      </c>
      <c r="H12" s="10" t="s">
        <v>102</v>
      </c>
      <c r="I12" s="10" t="s">
        <v>123</v>
      </c>
      <c r="M12" s="39" t="s">
        <v>117</v>
      </c>
      <c r="N12" s="7" t="s">
        <v>124</v>
      </c>
      <c r="O12" s="7" t="s">
        <v>120</v>
      </c>
      <c r="P12" s="7" t="s">
        <v>121</v>
      </c>
      <c r="Q12" s="7" t="s">
        <v>122</v>
      </c>
      <c r="R12" s="7" t="s">
        <v>102</v>
      </c>
      <c r="V12" s="21">
        <f>其他调用!W12</f>
        <v>30</v>
      </c>
      <c r="W12" s="21">
        <f>其他调用!X12</f>
        <v>49.533352307096472</v>
      </c>
      <c r="X12" s="21">
        <f>求节点(将星点产出!$C$26:$C$34,将星点产出!E$26:E$34,其他调用!AD12)*其他调用!Y12</f>
        <v>0</v>
      </c>
      <c r="Y12" s="21">
        <f>求节点(将星点产出!$C$26:$C$34,将星点产出!F$26:F$34,其他调用!AE12)*其他调用!Z12</f>
        <v>0</v>
      </c>
      <c r="Z12" s="21">
        <f>求节点(将星点产出!$C$26:$C$34,将星点产出!G$26:G$34,其他调用!AF12)*其他调用!AA12</f>
        <v>0</v>
      </c>
      <c r="AA12" s="21">
        <f>求节点(将星点产出!$C$26:$C$34,将星点产出!H$26:H$34,其他调用!AG12)*其他调用!AB12</f>
        <v>8525.3402091806893</v>
      </c>
      <c r="AB12" s="21">
        <f>求节点(将星点产出!$C$26:$C$34,将星点产出!I$26:I$34,其他调用!AH12)*其他调用!AC12</f>
        <v>0</v>
      </c>
      <c r="AC12" s="21">
        <f>求节点(将星点产出!$C$26:$C$34,将星点产出!F$26:F$34,其他调用!AM12)*其他调用!AI12</f>
        <v>2400</v>
      </c>
      <c r="AD12" s="21">
        <f>求节点(将星点产出!$C$26:$C$34,将星点产出!G$26:G$34,其他调用!AN12)*其他调用!AJ12</f>
        <v>22400</v>
      </c>
      <c r="AE12" s="21">
        <f>求节点(将星点产出!$C$26:$C$34,将星点产出!H$26:H$34,其他调用!AO12)*其他调用!AK12</f>
        <v>0</v>
      </c>
      <c r="AF12" s="21">
        <f>求节点(将星点产出!$C$26:$C$34,将星点产出!I$26:I$34,其他调用!AP12)*其他调用!AL12</f>
        <v>0</v>
      </c>
      <c r="AG12" s="21">
        <f t="shared" si="0"/>
        <v>33325</v>
      </c>
      <c r="AI12" s="7">
        <f>求节点($N$26:$N$32,P$26:P$32,其他调用!BF12)*其他调用!BB12</f>
        <v>1219.6424589142025</v>
      </c>
      <c r="AJ12" s="7">
        <f>求节点($N$26:$N$32,Q$26:Q$32,其他调用!BG12)*其他调用!BC12</f>
        <v>7165.9314541344211</v>
      </c>
      <c r="AK12" s="7">
        <f>求节点($N$26:$N$32,R$26:R$32,其他调用!BH12)*其他调用!BD12</f>
        <v>17100</v>
      </c>
      <c r="AL12" s="7">
        <f>求节点($N$26:$N$32,S$26:S$32,其他调用!BI12)*其他调用!BE12</f>
        <v>0</v>
      </c>
      <c r="AM12" s="21">
        <f t="shared" si="1"/>
        <v>25485</v>
      </c>
      <c r="AO12" s="21">
        <f t="shared" si="2"/>
        <v>58810</v>
      </c>
    </row>
    <row r="13" spans="2:41">
      <c r="B13" s="40"/>
      <c r="C13" s="10">
        <v>0</v>
      </c>
      <c r="D13" s="7">
        <v>0</v>
      </c>
      <c r="E13" s="7">
        <f>C$9*其他调用!E6</f>
        <v>100</v>
      </c>
      <c r="F13" s="7">
        <f>D$9*其他调用!F6+其他调用!F16*D$9</f>
        <v>250</v>
      </c>
      <c r="G13" s="7">
        <f>E$9*其他调用!G6+其他调用!G16*E$9</f>
        <v>800</v>
      </c>
      <c r="H13" s="7">
        <f>F$9*其他调用!H6+其他调用!G26*E$9</f>
        <v>2500</v>
      </c>
      <c r="I13" s="7">
        <f>G$9*其他调用!I6+其他调用!G36*E$9</f>
        <v>4000</v>
      </c>
      <c r="M13" s="40"/>
      <c r="N13" s="7">
        <v>1</v>
      </c>
      <c r="O13" s="7">
        <f>M$9*其他调用!O6</f>
        <v>100</v>
      </c>
      <c r="P13" s="7">
        <f>N$9*其他调用!P6</f>
        <v>200</v>
      </c>
      <c r="Q13" s="7">
        <f>O$9*其他调用!Q6</f>
        <v>0</v>
      </c>
      <c r="R13" s="7">
        <f>P$9*其他调用!R6</f>
        <v>0</v>
      </c>
      <c r="V13" s="21">
        <f>其他调用!W13</f>
        <v>40</v>
      </c>
      <c r="W13" s="21">
        <f>其他调用!X13</f>
        <v>53.567039423670657</v>
      </c>
      <c r="X13" s="21">
        <f>求节点(将星点产出!$C$26:$C$34,将星点产出!E$26:E$34,其他调用!AD13)*其他调用!Y13</f>
        <v>0</v>
      </c>
      <c r="Y13" s="21">
        <f>求节点(将星点产出!$C$26:$C$34,将星点产出!F$26:F$34,其他调用!AE13)*其他调用!Z13</f>
        <v>0</v>
      </c>
      <c r="Z13" s="21">
        <f>求节点(将星点产出!$C$26:$C$34,将星点产出!G$26:G$34,其他调用!AF13)*其他调用!AA13</f>
        <v>0</v>
      </c>
      <c r="AA13" s="21">
        <f>求节点(将星点产出!$C$26:$C$34,将星点产出!H$26:H$34,其他调用!AG13)*其他调用!AB13</f>
        <v>8884.7753512524396</v>
      </c>
      <c r="AB13" s="21">
        <f>求节点(将星点产出!$C$26:$C$34,将星点产出!I$26:I$34,其他调用!AH13)*其他调用!AC13</f>
        <v>2500</v>
      </c>
      <c r="AC13" s="21">
        <f>求节点(将星点产出!$C$26:$C$34,将星点产出!F$26:F$34,其他调用!AM13)*其他调用!AI13</f>
        <v>2400</v>
      </c>
      <c r="AD13" s="21">
        <f>求节点(将星点产出!$C$26:$C$34,将星点产出!G$26:G$34,其他调用!AN13)*其他调用!AJ13</f>
        <v>28000</v>
      </c>
      <c r="AE13" s="21">
        <f>求节点(将星点产出!$C$26:$C$34,将星点产出!H$26:H$34,其他调用!AO13)*其他调用!AK13</f>
        <v>0</v>
      </c>
      <c r="AF13" s="21">
        <f>求节点(将星点产出!$C$26:$C$34,将星点产出!I$26:I$34,其他调用!AP13)*其他调用!AL13</f>
        <v>0</v>
      </c>
      <c r="AG13" s="21">
        <f t="shared" si="0"/>
        <v>41784</v>
      </c>
      <c r="AI13" s="7">
        <f>求节点($N$26:$N$32,P$26:P$32,其他调用!BF13)*其他调用!BB13</f>
        <v>1270.6623267873658</v>
      </c>
      <c r="AJ13" s="7">
        <f>求节点($N$26:$N$32,Q$26:Q$32,其他调用!BG13)*其他调用!BC13</f>
        <v>9321.081045328383</v>
      </c>
      <c r="AK13" s="7">
        <f>求节点($N$26:$N$32,R$26:R$32,其他调用!BH13)*其他调用!BD13</f>
        <v>18261.709803092341</v>
      </c>
      <c r="AL13" s="7">
        <f>求节点($N$26:$N$32,S$26:S$32,其他调用!BI13)*其他调用!BE13</f>
        <v>0</v>
      </c>
      <c r="AM13" s="21">
        <f t="shared" si="1"/>
        <v>28853</v>
      </c>
      <c r="AO13" s="21">
        <f t="shared" si="2"/>
        <v>70637</v>
      </c>
    </row>
    <row r="14" spans="2:41">
      <c r="B14" s="40"/>
      <c r="C14" s="10">
        <v>1</v>
      </c>
      <c r="D14" s="7">
        <v>0</v>
      </c>
      <c r="E14" s="7">
        <f>C$9*其他调用!E7</f>
        <v>200</v>
      </c>
      <c r="F14" s="7">
        <f>D$9*其他调用!F7+其他调用!F17*D$9</f>
        <v>500</v>
      </c>
      <c r="G14" s="7">
        <f>E$9*其他调用!G7+其他调用!G17*E$9</f>
        <v>1600</v>
      </c>
      <c r="H14" s="7">
        <f>F$9*其他调用!H7+其他调用!G27*E$9</f>
        <v>5000</v>
      </c>
      <c r="I14" s="7">
        <f>G$9*其他调用!I7+其他调用!G37*E$9</f>
        <v>8000</v>
      </c>
      <c r="M14" s="40"/>
      <c r="N14" s="7">
        <v>2</v>
      </c>
      <c r="O14" s="7">
        <f>M$9*其他调用!O7</f>
        <v>200</v>
      </c>
      <c r="P14" s="7">
        <f>N$9*其他调用!P7</f>
        <v>400</v>
      </c>
      <c r="Q14" s="7">
        <f>O$9*其他调用!Q7</f>
        <v>500</v>
      </c>
      <c r="R14" s="7">
        <f>P$9*其他调用!R7</f>
        <v>0</v>
      </c>
      <c r="V14" s="21">
        <f>其他调用!W14</f>
        <v>60</v>
      </c>
      <c r="W14" s="21">
        <f>其他调用!X14</f>
        <v>59.300028460644697</v>
      </c>
      <c r="X14" s="21">
        <f>求节点(将星点产出!$C$26:$C$34,将星点产出!E$26:E$34,其他调用!AD14)*其他调用!Y14</f>
        <v>0</v>
      </c>
      <c r="Y14" s="21">
        <f>求节点(将星点产出!$C$26:$C$34,将星点产出!F$26:F$34,其他调用!AE14)*其他调用!Z14</f>
        <v>0</v>
      </c>
      <c r="Z14" s="21">
        <f>求节点(将星点产出!$C$26:$C$34,将星点产出!G$26:G$34,其他调用!AF14)*其他调用!AA14</f>
        <v>0</v>
      </c>
      <c r="AA14" s="21">
        <f>求节点(将星点产出!$C$26:$C$34,将星点产出!H$26:H$34,其他调用!AG14)*其他调用!AB14</f>
        <v>9391.9231718015199</v>
      </c>
      <c r="AB14" s="21">
        <f>求节点(将星点产出!$C$26:$C$34,将星点产出!I$26:I$34,其他调用!AH14)*其他调用!AC14</f>
        <v>5000</v>
      </c>
      <c r="AC14" s="21">
        <f>求节点(将星点产出!$C$26:$C$34,将星点产出!F$26:F$34,其他调用!AM14)*其他调用!AI14</f>
        <v>2400</v>
      </c>
      <c r="AD14" s="21">
        <f>求节点(将星点产出!$C$26:$C$34,将星点产出!G$26:G$34,其他调用!AN14)*其他调用!AJ14</f>
        <v>36400</v>
      </c>
      <c r="AE14" s="21">
        <f>求节点(将星点产出!$C$26:$C$34,将星点产出!H$26:H$34,其他调用!AO14)*其他调用!AK14</f>
        <v>2347.98079295038</v>
      </c>
      <c r="AF14" s="21">
        <f>求节点(将星点产出!$C$26:$C$34,将星点产出!I$26:I$34,其他调用!AP14)*其他调用!AL14</f>
        <v>0</v>
      </c>
      <c r="AG14" s="21">
        <f t="shared" si="0"/>
        <v>55539</v>
      </c>
      <c r="AI14" s="7">
        <f>求节点($N$26:$N$32,P$26:P$32,其他调用!BF14)*其他调用!BB14</f>
        <v>1373.525532962336</v>
      </c>
      <c r="AJ14" s="7">
        <f>求节点($N$26:$N$32,Q$26:Q$32,其他调用!BG14)*其他调用!BC14</f>
        <v>12954.80360209665</v>
      </c>
      <c r="AK14" s="7">
        <f>求节点($N$26:$N$32,R$26:R$32,其他调用!BH14)*其他调用!BD14</f>
        <v>26385.988888253567</v>
      </c>
      <c r="AL14" s="7">
        <f>求节点($N$26:$N$32,S$26:S$32,其他调用!BI14)*其他调用!BE14</f>
        <v>0</v>
      </c>
      <c r="AM14" s="21">
        <f t="shared" si="1"/>
        <v>40714</v>
      </c>
      <c r="AO14" s="21">
        <f t="shared" si="2"/>
        <v>96253</v>
      </c>
    </row>
    <row r="15" spans="2:41">
      <c r="B15" s="40"/>
      <c r="C15" s="10">
        <v>2</v>
      </c>
      <c r="D15" s="7">
        <v>0</v>
      </c>
      <c r="E15" s="7">
        <f>C$9*其他调用!E8</f>
        <v>300</v>
      </c>
      <c r="F15" s="7">
        <f>D$9*其他调用!F8+其他调用!F18*D$9</f>
        <v>750</v>
      </c>
      <c r="G15" s="7">
        <f>E$9*其他调用!G8+其他调用!G18*E$9</f>
        <v>2400</v>
      </c>
      <c r="H15" s="7">
        <f>F$9*其他调用!H8+其他调用!G28*E$9</f>
        <v>7500</v>
      </c>
      <c r="I15" s="7">
        <f>G$9*其他调用!I8+其他调用!G38*E$9</f>
        <v>12000</v>
      </c>
      <c r="M15" s="40"/>
      <c r="N15" s="7">
        <v>3</v>
      </c>
      <c r="O15" s="7">
        <f>M$9*其他调用!O8</f>
        <v>300</v>
      </c>
      <c r="P15" s="7">
        <f>N$9*其他调用!P8</f>
        <v>800</v>
      </c>
      <c r="Q15" s="7">
        <f>O$9*其他调用!Q8</f>
        <v>1000</v>
      </c>
      <c r="R15" s="7">
        <f>P$9*其他调用!R8</f>
        <v>2000</v>
      </c>
      <c r="V15" s="21">
        <f>其他调用!W15</f>
        <v>90</v>
      </c>
      <c r="W15" s="21">
        <f>其他调用!X15</f>
        <v>65.075479910097457</v>
      </c>
      <c r="X15" s="21">
        <f>求节点(将星点产出!$C$26:$C$34,将星点产出!E$26:E$34,其他调用!AD15)*其他调用!Y15</f>
        <v>0</v>
      </c>
      <c r="Y15" s="21">
        <f>求节点(将星点产出!$C$26:$C$34,将星点产出!F$26:F$34,其他调用!AE15)*其他调用!Z15</f>
        <v>0</v>
      </c>
      <c r="Z15" s="21">
        <f>求节点(将星点产出!$C$26:$C$34,将星点产出!G$26:G$34,其他调用!AF15)*其他调用!AA15</f>
        <v>0</v>
      </c>
      <c r="AA15" s="21">
        <f>求节点(将星点产出!$C$26:$C$34,将星点产出!H$26:H$34,其他调用!AG15)*其他调用!AB15</f>
        <v>8656.3045702457985</v>
      </c>
      <c r="AB15" s="21">
        <f>求节点(将星点产出!$C$26:$C$34,将星点产出!I$26:I$34,其他调用!AH15)*其他调用!AC15</f>
        <v>10475.080785994835</v>
      </c>
      <c r="AC15" s="21">
        <f>求节点(将星点产出!$C$26:$C$34,将星点产出!F$26:F$34,其他调用!AM15)*其他调用!AI15</f>
        <v>2000</v>
      </c>
      <c r="AD15" s="21">
        <f>求节点(将星点产出!$C$26:$C$34,将星点产出!G$26:G$34,其他调用!AN15)*其他调用!AJ15</f>
        <v>36400</v>
      </c>
      <c r="AE15" s="21">
        <f>求节点(将星点产出!$C$26:$C$34,将星点产出!H$26:H$34,其他调用!AO15)*其他调用!AK15</f>
        <v>8656.3045702457985</v>
      </c>
      <c r="AF15" s="21">
        <f>求节点(将星点产出!$C$26:$C$34,将星点产出!I$26:I$34,其他调用!AP15)*其他调用!AL15</f>
        <v>0</v>
      </c>
      <c r="AG15" s="21">
        <f t="shared" si="0"/>
        <v>66187</v>
      </c>
      <c r="AI15" s="7">
        <f>求节点($N$26:$N$32,P$26:P$32,其他调用!BF15)*其他调用!BB15</f>
        <v>1528.096379787981</v>
      </c>
      <c r="AJ15" s="7">
        <f>求节点($N$26:$N$32,Q$26:Q$32,其他调用!BG15)*其他调用!BC15</f>
        <v>18299.551053314666</v>
      </c>
      <c r="AK15" s="7">
        <f>求节点($N$26:$N$32,R$26:R$32,其他调用!BH15)*其他调用!BD15</f>
        <v>37568.9191189501</v>
      </c>
      <c r="AL15" s="7">
        <f>求节点($N$26:$N$32,S$26:S$32,其他调用!BI15)*其他调用!BE15</f>
        <v>1800</v>
      </c>
      <c r="AM15" s="21">
        <f t="shared" si="1"/>
        <v>59196</v>
      </c>
      <c r="AO15" s="21">
        <f t="shared" si="2"/>
        <v>125383</v>
      </c>
    </row>
    <row r="16" spans="2:41">
      <c r="B16" s="40"/>
      <c r="C16" s="10">
        <v>3</v>
      </c>
      <c r="D16" s="7">
        <v>0</v>
      </c>
      <c r="E16" s="7">
        <f>C$9*其他调用!E9</f>
        <v>500</v>
      </c>
      <c r="F16" s="7">
        <f>D$9*其他调用!F9+其他调用!F19*D$9</f>
        <v>1250</v>
      </c>
      <c r="G16" s="7">
        <f>E$9*其他调用!G9+其他调用!G19*E$9</f>
        <v>4000</v>
      </c>
      <c r="H16" s="7">
        <f>F$9*其他调用!H9+其他调用!G29*E$9</f>
        <v>12400</v>
      </c>
      <c r="I16" s="7">
        <f>G$9*其他调用!I9+其他调用!G39*E$9</f>
        <v>20000</v>
      </c>
      <c r="M16" s="40"/>
      <c r="N16" s="7">
        <v>4</v>
      </c>
      <c r="O16" s="7">
        <f>M$9*其他调用!O9</f>
        <v>400</v>
      </c>
      <c r="P16" s="7">
        <f>N$9*其他调用!P9</f>
        <v>1600</v>
      </c>
      <c r="Q16" s="7">
        <f>O$9*其他调用!Q9</f>
        <v>2000</v>
      </c>
      <c r="R16" s="7">
        <f>P$9*其他调用!R9</f>
        <v>4000</v>
      </c>
      <c r="V16" s="21">
        <f>其他调用!W16</f>
        <v>120</v>
      </c>
      <c r="W16" s="21">
        <f>其他调用!X16</f>
        <v>69.18336653741882</v>
      </c>
      <c r="X16" s="21">
        <f>求节点(将星点产出!$C$26:$C$34,将星点产出!E$26:E$34,其他调用!AD16)*其他调用!Y16</f>
        <v>0</v>
      </c>
      <c r="Y16" s="21">
        <f>求节点(将星点产出!$C$26:$C$34,将星点产出!F$26:F$34,其他调用!AE16)*其他调用!Z16</f>
        <v>0</v>
      </c>
      <c r="Z16" s="21">
        <f>求节点(将星点产出!$C$26:$C$34,将星点产出!G$26:G$34,其他调用!AF16)*其他调用!AA16</f>
        <v>0</v>
      </c>
      <c r="AA16" s="21">
        <f>求节点(将星点产出!$C$26:$C$34,将星点产出!H$26:H$34,其他调用!AG16)*其他调用!AB16</f>
        <v>6576.174164008361</v>
      </c>
      <c r="AB16" s="21">
        <f>求节点(将星点产出!$C$26:$C$34,将星点产出!I$26:I$34,其他调用!AH16)*其他调用!AC16</f>
        <v>15475.384659404011</v>
      </c>
      <c r="AC16" s="21">
        <f>求节点(将星点产出!$C$26:$C$34,将星点产出!F$26:F$34,其他调用!AM16)*其他调用!AI16</f>
        <v>800</v>
      </c>
      <c r="AD16" s="21">
        <f>求节点(将星点产出!$C$26:$C$34,将星点产出!G$26:G$34,其他调用!AN16)*其他调用!AJ16</f>
        <v>39200</v>
      </c>
      <c r="AE16" s="21">
        <f>求节点(将星点产出!$C$26:$C$34,将星点产出!H$26:H$34,其他调用!AO16)*其他调用!AK16</f>
        <v>16440.435410020902</v>
      </c>
      <c r="AF16" s="21">
        <f>求节点(将星点产出!$C$26:$C$34,将星点产出!I$26:I$34,其他调用!AP16)*其他调用!AL16</f>
        <v>0</v>
      </c>
      <c r="AG16" s="21">
        <f t="shared" si="0"/>
        <v>78491</v>
      </c>
      <c r="AI16" s="7">
        <f>求节点($N$26:$N$32,P$26:P$32,其他调用!BF16)*其他调用!BB16</f>
        <v>1644.190410745892</v>
      </c>
      <c r="AJ16" s="7">
        <f>求节点($N$26:$N$32,Q$26:Q$32,其他调用!BG16)*其他调用!BC16</f>
        <v>22637.454512701908</v>
      </c>
      <c r="AK16" s="7">
        <f>求节点($N$26:$N$32,R$26:R$32,其他调用!BH16)*其他调用!BD16</f>
        <v>43375.472246286772</v>
      </c>
      <c r="AL16" s="7">
        <f>求节点($N$26:$N$32,S$26:S$32,其他调用!BI16)*其他调用!BE16</f>
        <v>1800</v>
      </c>
      <c r="AM16" s="21">
        <f t="shared" si="1"/>
        <v>69457</v>
      </c>
      <c r="AO16" s="21">
        <f t="shared" si="2"/>
        <v>147948</v>
      </c>
    </row>
    <row r="17" spans="2:41">
      <c r="B17" s="40"/>
      <c r="C17" s="10">
        <v>4</v>
      </c>
      <c r="D17" s="7">
        <v>0</v>
      </c>
      <c r="E17" s="7">
        <v>0</v>
      </c>
      <c r="F17" s="7">
        <f>D$9*其他调用!F10+其他调用!F20*D$9</f>
        <v>2000</v>
      </c>
      <c r="G17" s="7">
        <f>E$9*其他调用!G10+其他调用!G20*E$9</f>
        <v>5600</v>
      </c>
      <c r="H17" s="7">
        <f>F$9*其他调用!H10+其他调用!G30*E$9</f>
        <v>17400</v>
      </c>
      <c r="I17" s="7">
        <f>G$9*其他调用!I10+其他调用!G40*E$9</f>
        <v>28000</v>
      </c>
      <c r="M17" s="40"/>
      <c r="N17" s="7">
        <v>5</v>
      </c>
      <c r="O17" s="7">
        <f>M$9*其他调用!O10</f>
        <v>500</v>
      </c>
      <c r="P17" s="7">
        <f>N$9*其他调用!P10</f>
        <v>3200</v>
      </c>
      <c r="Q17" s="7">
        <f>O$9*其他调用!Q10</f>
        <v>4000</v>
      </c>
      <c r="R17" s="7">
        <f>P$9*其他调用!R10</f>
        <v>8000</v>
      </c>
      <c r="V17" s="21">
        <f>其他调用!W17</f>
        <v>150</v>
      </c>
      <c r="W17" s="21">
        <f>其他调用!X17</f>
        <v>72.375871759353331</v>
      </c>
      <c r="X17" s="21">
        <f>求节点(将星点产出!$C$26:$C$34,将星点产出!E$26:E$34,其他调用!AD17)*其他调用!Y17</f>
        <v>0</v>
      </c>
      <c r="Y17" s="21">
        <f>求节点(将星点产出!$C$26:$C$34,将星点产出!F$26:F$34,其他调用!AE17)*其他调用!Z17</f>
        <v>0</v>
      </c>
      <c r="Z17" s="21">
        <f>求节点(将星点产出!$C$26:$C$34,将星点产出!G$26:G$34,其他调用!AF17)*其他调用!AA17</f>
        <v>0</v>
      </c>
      <c r="AA17" s="21">
        <f>求节点(将星点产出!$C$26:$C$34,将星点产出!H$26:H$34,其他调用!AG17)*其他调用!AB17</f>
        <v>3608.1630227839014</v>
      </c>
      <c r="AB17" s="21">
        <f>求节点(将星点产出!$C$26:$C$34,将星点产出!I$26:I$34,其他调用!AH17)*其他调用!AC17</f>
        <v>20366.38301439627</v>
      </c>
      <c r="AC17" s="21">
        <f>求节点(将星点产出!$C$26:$C$34,将星点产出!F$26:F$34,其他调用!AM17)*其他调用!AI17</f>
        <v>0</v>
      </c>
      <c r="AD17" s="21">
        <f>求节点(将星点产出!$C$26:$C$34,将星点产出!G$26:G$34,其他调用!AN17)*其他调用!AJ17</f>
        <v>42000</v>
      </c>
      <c r="AE17" s="21">
        <f>求节点(将星点产出!$C$26:$C$34,将星点产出!H$26:H$34,其他调用!AO17)*其他调用!AK17</f>
        <v>21648.978136703408</v>
      </c>
      <c r="AF17" s="21">
        <f>求节点(将星点产出!$C$26:$C$34,将星点产出!I$26:I$34,其他调用!AP17)*其他调用!AL17</f>
        <v>0</v>
      </c>
      <c r="AG17" s="21">
        <f t="shared" si="0"/>
        <v>87623</v>
      </c>
      <c r="AI17" s="7">
        <f>求节点($N$26:$N$32,P$26:P$32,其他调用!BF17)*其他调用!BB17</f>
        <v>1650</v>
      </c>
      <c r="AJ17" s="7">
        <f>求节点($N$26:$N$32,Q$26:Q$32,其他调用!BG17)*其他调用!BC17</f>
        <v>26951.378932057753</v>
      </c>
      <c r="AK17" s="7">
        <f>求节点($N$26:$N$32,R$26:R$32,其他调用!BH17)*其他调用!BD17</f>
        <v>47706.314016306744</v>
      </c>
      <c r="AL17" s="7">
        <f>求节点($N$26:$N$32,S$26:S$32,其他调用!BI17)*其他调用!BE17</f>
        <v>5400</v>
      </c>
      <c r="AM17" s="21">
        <f t="shared" si="1"/>
        <v>81707</v>
      </c>
      <c r="AO17" s="21">
        <f t="shared" si="2"/>
        <v>169330</v>
      </c>
    </row>
    <row r="18" spans="2:41">
      <c r="B18" s="40"/>
      <c r="C18" s="10">
        <v>5</v>
      </c>
      <c r="D18" s="7">
        <v>0</v>
      </c>
      <c r="E18" s="7">
        <v>0</v>
      </c>
      <c r="F18" s="7">
        <f>D$9*其他调用!F11+其他调用!F21*D$9</f>
        <v>2750</v>
      </c>
      <c r="G18" s="7">
        <f>E$9*其他调用!G11+其他调用!G21*E$9</f>
        <v>8800</v>
      </c>
      <c r="H18" s="7">
        <f>F$9*其他调用!H11+其他调用!G31*E$9</f>
        <v>24800</v>
      </c>
      <c r="I18" s="7">
        <f>G$9*其他调用!I11+其他调用!G41*E$9</f>
        <v>44000</v>
      </c>
      <c r="M18" s="40"/>
      <c r="N18" s="7">
        <v>6</v>
      </c>
      <c r="O18" s="7">
        <f>M$9*其他调用!O11</f>
        <v>600</v>
      </c>
      <c r="P18" s="7">
        <f>N$9*其他调用!P11</f>
        <v>6400</v>
      </c>
      <c r="Q18" s="7">
        <f>O$9*其他调用!Q11</f>
        <v>8000</v>
      </c>
      <c r="R18" s="7">
        <f>P$9*其他调用!R11</f>
        <v>16000</v>
      </c>
      <c r="V18" s="21">
        <f>其他调用!W18</f>
        <v>180</v>
      </c>
      <c r="W18" s="21">
        <f>其他调用!X18</f>
        <v>74.998404927577795</v>
      </c>
      <c r="X18" s="21">
        <f>求节点(将星点产出!$C$26:$C$34,将星点产出!E$26:E$34,其他调用!AD18)*其他调用!Y18</f>
        <v>0</v>
      </c>
      <c r="Y18" s="21">
        <f>求节点(将星点产出!$C$26:$C$34,将星点产出!F$26:F$34,其他调用!AE18)*其他调用!Z18</f>
        <v>0</v>
      </c>
      <c r="Z18" s="21">
        <f>求节点(将星点产出!$C$26:$C$34,将星点产出!G$26:G$34,其他调用!AF18)*其他调用!AA18</f>
        <v>0</v>
      </c>
      <c r="AA18" s="21">
        <f>求节点(将星点产出!$C$26:$C$34,将星点产出!H$26:H$34,其他调用!AG18)*其他调用!AB18</f>
        <v>1961.3694137144093</v>
      </c>
      <c r="AB18" s="21">
        <f>求节点(将星点产出!$C$26:$C$34,将星点产出!I$26:I$34,其他调用!AH18)*其他调用!AC18</f>
        <v>25104.599810088428</v>
      </c>
      <c r="AC18" s="21">
        <f>求节点(将星点产出!$C$26:$C$34,将星点产出!F$26:F$34,其他调用!AM18)*其他调用!AI18</f>
        <v>0</v>
      </c>
      <c r="AD18" s="21">
        <f>求节点(将星点产出!$C$26:$C$34,将星点产出!G$26:G$34,其他调用!AN18)*其他调用!AJ18</f>
        <v>44800</v>
      </c>
      <c r="AE18" s="21">
        <f>求节点(将星点产出!$C$26:$C$34,将星点产出!H$26:H$34,其他调用!AO18)*其他调用!AK18</f>
        <v>27459.171792001733</v>
      </c>
      <c r="AF18" s="21">
        <f>求节点(将星点产出!$C$26:$C$34,将星点产出!I$26:I$34,其他调用!AP18)*其他调用!AL18</f>
        <v>0</v>
      </c>
      <c r="AG18" s="21">
        <f t="shared" si="0"/>
        <v>99325</v>
      </c>
      <c r="AI18" s="7">
        <f>求节点($N$26:$N$32,P$26:P$32,其他调用!BF18)*其他调用!BB18</f>
        <v>1650</v>
      </c>
      <c r="AJ18" s="7">
        <f>求节点($N$26:$N$32,Q$26:Q$32,其他调用!BG18)*其他调用!BC18</f>
        <v>31265.017705033955</v>
      </c>
      <c r="AK18" s="7">
        <f>求节点($N$26:$N$32,R$26:R$32,其他调用!BH18)*其他调用!BD18</f>
        <v>52036.869019765225</v>
      </c>
      <c r="AL18" s="7">
        <f>求节点($N$26:$N$32,S$26:S$32,其他调用!BI18)*其他调用!BE18</f>
        <v>7200</v>
      </c>
      <c r="AM18" s="21">
        <f t="shared" si="1"/>
        <v>92151</v>
      </c>
      <c r="AO18" s="21">
        <f t="shared" si="2"/>
        <v>191476</v>
      </c>
    </row>
    <row r="19" spans="2:41">
      <c r="B19" s="40"/>
      <c r="C19" s="10">
        <v>6</v>
      </c>
      <c r="D19" s="7">
        <v>0</v>
      </c>
      <c r="E19" s="7">
        <v>0</v>
      </c>
      <c r="F19" s="7">
        <f>D$9*其他调用!F12+其他调用!F22*D$9</f>
        <v>4000</v>
      </c>
      <c r="G19" s="7">
        <f>E$9*其他调用!G12+其他调用!G22*E$9</f>
        <v>11200</v>
      </c>
      <c r="H19" s="7">
        <f>F$9*其他调用!H12+其他调用!G32*E$9</f>
        <v>32300</v>
      </c>
      <c r="I19" s="7">
        <f>G$9*其他调用!I12+其他调用!G42*E$9</f>
        <v>56000</v>
      </c>
      <c r="M19" s="41"/>
      <c r="N19" s="7">
        <v>7</v>
      </c>
      <c r="O19" s="7">
        <f>M$9*其他调用!O12</f>
        <v>700</v>
      </c>
      <c r="P19" s="7">
        <f>N$9*其他调用!P12</f>
        <v>12800</v>
      </c>
      <c r="Q19" s="7">
        <f>O$9*其他调用!Q12</f>
        <v>16000</v>
      </c>
      <c r="R19" s="7">
        <f>P$9*其他调用!R12</f>
        <v>32000</v>
      </c>
      <c r="V19" s="21">
        <f>其他调用!W19</f>
        <v>220</v>
      </c>
      <c r="W19" s="21">
        <f>其他调用!X19</f>
        <v>77.875308029777003</v>
      </c>
      <c r="X19" s="21">
        <f>求节点(将星点产出!$C$26:$C$34,将星点产出!E$26:E$34,其他调用!AD19)*其他调用!Y19</f>
        <v>0</v>
      </c>
      <c r="Y19" s="21">
        <f>求节点(将星点产出!$C$26:$C$34,将星点产出!F$26:F$34,其他调用!AE19)*其他调用!Z19</f>
        <v>0</v>
      </c>
      <c r="Z19" s="21">
        <f>求节点(将星点产出!$C$26:$C$34,将星点产出!G$26:G$34,其他调用!AF19)*其他调用!AA19</f>
        <v>0</v>
      </c>
      <c r="AA19" s="21">
        <f>求节点(将星点产出!$C$26:$C$34,将星点产出!H$26:H$34,其他调用!AG19)*其他调用!AB19</f>
        <v>0</v>
      </c>
      <c r="AB19" s="21">
        <f>求节点(将星点产出!$C$26:$C$34,将星点产出!I$26:I$34,其他调用!AH19)*其他调用!AC19</f>
        <v>30413.979146133435</v>
      </c>
      <c r="AC19" s="21">
        <f>求节点(将星点产出!$C$26:$C$34,将星点产出!F$26:F$34,其他调用!AM19)*其他调用!AI19</f>
        <v>0</v>
      </c>
      <c r="AD19" s="21">
        <f>求节点(将星点产出!$C$26:$C$34,将星点产出!G$26:G$34,其他调用!AN19)*其他调用!AJ19</f>
        <v>44800</v>
      </c>
      <c r="AE19" s="21">
        <f>求节点(将星点产出!$C$26:$C$34,将星点产出!H$26:H$34,其他调用!AO19)*其他调用!AK19</f>
        <v>34447.011868211514</v>
      </c>
      <c r="AF19" s="21">
        <f>求节点(将星点产出!$C$26:$C$34,将星点产出!I$26:I$34,其他调用!AP19)*其他调用!AL19</f>
        <v>0</v>
      </c>
      <c r="AG19" s="21">
        <f t="shared" si="0"/>
        <v>109660</v>
      </c>
      <c r="AI19" s="7">
        <f>求节点($N$26:$N$32,P$26:P$32,其他调用!BF19)*其他调用!BB19</f>
        <v>1650</v>
      </c>
      <c r="AJ19" s="7">
        <f>求节点($N$26:$N$32,Q$26:Q$32,其他调用!BG19)*其他调用!BC19</f>
        <v>36425.347023759692</v>
      </c>
      <c r="AK19" s="7">
        <f>求节点($N$26:$N$32,R$26:R$32,其他调用!BH19)*其他调用!BD19</f>
        <v>57217.434924054578</v>
      </c>
      <c r="AL19" s="7">
        <f>求节点($N$26:$N$32,S$26:S$32,其他调用!BI19)*其他调用!BE19</f>
        <v>10800</v>
      </c>
      <c r="AM19" s="21">
        <f t="shared" si="1"/>
        <v>106092</v>
      </c>
      <c r="AO19" s="21">
        <f t="shared" si="2"/>
        <v>215752</v>
      </c>
    </row>
    <row r="20" spans="2:41">
      <c r="B20" s="40"/>
      <c r="C20" s="10">
        <v>7</v>
      </c>
      <c r="D20" s="7">
        <v>0</v>
      </c>
      <c r="E20" s="7">
        <v>0</v>
      </c>
      <c r="F20" s="7">
        <v>0</v>
      </c>
      <c r="G20" s="7">
        <f>E$9*其他调用!G13+其他调用!G23*E$9</f>
        <v>16000</v>
      </c>
      <c r="H20" s="7">
        <f>F$9*其他调用!H13+其他调用!G33*E$9</f>
        <v>42200</v>
      </c>
      <c r="I20" s="7">
        <f>G$9*其他调用!I13+其他调用!G43*E$9</f>
        <v>84000</v>
      </c>
      <c r="V20" s="21">
        <f>其他调用!W20</f>
        <v>260</v>
      </c>
      <c r="W20" s="21">
        <f>其他调用!X20</f>
        <v>80.272123558064706</v>
      </c>
      <c r="X20" s="21">
        <f>求节点(将星点产出!$C$26:$C$34,将星点产出!E$26:E$34,其他调用!AD20)*其他调用!Y20</f>
        <v>0</v>
      </c>
      <c r="Y20" s="21">
        <f>求节点(将星点产出!$C$26:$C$34,将星点产出!F$26:F$34,其他调用!AE20)*其他调用!Z20</f>
        <v>0</v>
      </c>
      <c r="Z20" s="21">
        <f>求节点(将星点产出!$C$26:$C$34,将星点产出!G$26:G$34,其他调用!AF20)*其他调用!AA20</f>
        <v>0</v>
      </c>
      <c r="AA20" s="21">
        <f>求节点(将星点产出!$C$26:$C$34,将星点产出!H$26:H$34,其他调用!AG20)*其他调用!AB20</f>
        <v>0</v>
      </c>
      <c r="AB20" s="21">
        <f>求节点(将星点产出!$C$26:$C$34,将星点产出!I$26:I$34,其他调用!AH20)*其他调用!AC20</f>
        <v>35449.329716023421</v>
      </c>
      <c r="AC20" s="21">
        <f>求节点(将星点产出!$C$26:$C$34,将星点产出!F$26:F$34,其他调用!AM20)*其他调用!AI20</f>
        <v>0</v>
      </c>
      <c r="AD20" s="21">
        <f>求节点(将星点产出!$C$26:$C$34,将星点产出!G$26:G$34,其他调用!AN20)*其他调用!AJ20</f>
        <v>39200</v>
      </c>
      <c r="AE20" s="21">
        <f>求节点(将星点产出!$C$26:$C$34,将星点产出!H$26:H$34,其他调用!AO20)*其他调用!AK20</f>
        <v>50048.230587587022</v>
      </c>
      <c r="AF20" s="21">
        <f>求节点(将星点产出!$C$26:$C$34,将星点产出!I$26:I$34,其他调用!AP20)*其他调用!AL20</f>
        <v>0</v>
      </c>
      <c r="AG20" s="21">
        <f t="shared" si="0"/>
        <v>124697</v>
      </c>
      <c r="AI20" s="7">
        <f>求节点($N$26:$N$32,P$26:P$32,其他调用!BF20)*其他调用!BB20</f>
        <v>1650</v>
      </c>
      <c r="AJ20" s="7">
        <f>求节点($N$26:$N$32,Q$26:Q$32,其他调用!BG20)*其他调用!BC20</f>
        <v>41585.390696105824</v>
      </c>
      <c r="AK20" s="7">
        <f>求节点($N$26:$N$32,R$26:R$32,其他调用!BH20)*其他调用!BD20</f>
        <v>62397.714061782433</v>
      </c>
      <c r="AL20" s="7">
        <f>求节点($N$26:$N$32,S$26:S$32,其他调用!BI20)*其他调用!BE20</f>
        <v>12600</v>
      </c>
      <c r="AM20" s="21">
        <f t="shared" si="1"/>
        <v>118233</v>
      </c>
      <c r="AO20" s="21">
        <f t="shared" si="2"/>
        <v>242930</v>
      </c>
    </row>
    <row r="21" spans="2:41">
      <c r="B21" s="41"/>
      <c r="C21" s="10">
        <v>8</v>
      </c>
      <c r="D21" s="7">
        <v>0</v>
      </c>
      <c r="E21" s="7">
        <v>0</v>
      </c>
      <c r="F21" s="7">
        <v>0</v>
      </c>
      <c r="G21" s="7">
        <f>E$9*其他调用!G14+其他调用!G24*E$9</f>
        <v>19200</v>
      </c>
      <c r="H21" s="7">
        <f>F$9*其他调用!H14+其他调用!G34*E$9</f>
        <v>52200</v>
      </c>
      <c r="I21" s="7">
        <f>G$9*其他调用!I14+其他调用!G44*E$9</f>
        <v>100000</v>
      </c>
      <c r="V21" s="21">
        <f>其他调用!W21</f>
        <v>300</v>
      </c>
      <c r="W21" s="21">
        <f>其他调用!X21</f>
        <v>82.328492296001457</v>
      </c>
      <c r="X21" s="21">
        <f>求节点(将星点产出!$C$26:$C$34,将星点产出!E$26:E$34,其他调用!AD21)*其他调用!Y21</f>
        <v>0</v>
      </c>
      <c r="Y21" s="21">
        <f>求节点(将星点产出!$C$26:$C$34,将星点产出!F$26:F$34,其他调用!AE21)*其他调用!Z21</f>
        <v>0</v>
      </c>
      <c r="Z21" s="21">
        <f>求节点(将星点产出!$C$26:$C$34,将星点产出!G$26:G$34,其他调用!AF21)*其他调用!AA21</f>
        <v>0</v>
      </c>
      <c r="AA21" s="21">
        <f>求节点(将星点产出!$C$26:$C$34,将星点产出!H$26:H$34,其他调用!AG21)*其他调用!AB21</f>
        <v>0</v>
      </c>
      <c r="AB21" s="21">
        <f>求节点(将星点产出!$C$26:$C$34,将星点产出!I$26:I$34,其他调用!AH21)*其他调用!AC21</f>
        <v>40578.573813578507</v>
      </c>
      <c r="AC21" s="21">
        <f>求节点(将星点产出!$C$26:$C$34,将星点产出!F$26:F$34,其他调用!AM21)*其他调用!AI21</f>
        <v>0</v>
      </c>
      <c r="AD21" s="21">
        <f>求节点(将星点产出!$C$26:$C$34,将星点产出!G$26:G$34,其他调用!AN21)*其他调用!AJ21</f>
        <v>33600</v>
      </c>
      <c r="AE21" s="21">
        <f>求节点(将星点产出!$C$26:$C$34,将星点产出!H$26:H$34,其他调用!AO21)*其他调用!AK21</f>
        <v>69850.849180416029</v>
      </c>
      <c r="AF21" s="21">
        <f>求节点(将星点产出!$C$26:$C$34,将星点产出!I$26:I$34,其他调用!AP21)*其他调用!AL21</f>
        <v>0</v>
      </c>
      <c r="AG21" s="21">
        <f t="shared" si="0"/>
        <v>144029</v>
      </c>
      <c r="AI21" s="7">
        <f>求节点($N$26:$N$32,P$26:P$32,其他调用!BF21)*其他调用!BB21</f>
        <v>1650</v>
      </c>
      <c r="AJ21" s="7">
        <f>求节点($N$26:$N$32,Q$26:Q$32,其他调用!BG21)*其他调用!BC21</f>
        <v>46745.434368451919</v>
      </c>
      <c r="AK21" s="7">
        <f>求节点($N$26:$N$32,R$26:R$32,其他调用!BH21)*其他调用!BD21</f>
        <v>68089.135085154616</v>
      </c>
      <c r="AL21" s="7">
        <f>求节点($N$26:$N$32,S$26:S$32,其他调用!BI21)*其他调用!BE21</f>
        <v>16430.626105922409</v>
      </c>
      <c r="AM21" s="21">
        <f t="shared" si="1"/>
        <v>132915</v>
      </c>
      <c r="AO21" s="21">
        <f t="shared" si="2"/>
        <v>276944</v>
      </c>
    </row>
    <row r="22" spans="2:41">
      <c r="B22" s="22"/>
      <c r="C22" s="8"/>
      <c r="D22" s="6"/>
      <c r="E22" s="6"/>
      <c r="F22" s="6"/>
      <c r="G22" s="6"/>
      <c r="H22" s="6"/>
      <c r="I22" s="6"/>
      <c r="V22" s="21">
        <f>其他调用!W22</f>
        <v>340</v>
      </c>
      <c r="W22" s="21">
        <f>其他调用!X22</f>
        <v>84.132234338875293</v>
      </c>
      <c r="X22" s="21">
        <f>求节点(将星点产出!$C$26:$C$34,将星点产出!E$26:E$34,其他调用!AD22)*其他调用!Y22</f>
        <v>0</v>
      </c>
      <c r="Y22" s="21">
        <f>求节点(将星点产出!$C$26:$C$34,将星点产出!F$26:F$34,其他调用!AE22)*其他调用!Z22</f>
        <v>0</v>
      </c>
      <c r="Z22" s="21">
        <f>求节点(将星点产出!$C$26:$C$34,将星点产出!G$26:G$34,其他调用!AF22)*其他调用!AA22</f>
        <v>0</v>
      </c>
      <c r="AA22" s="21">
        <f>求节点(将星点产出!$C$26:$C$34,将星点产出!H$26:H$34,其他调用!AG22)*其他调用!AB22</f>
        <v>0</v>
      </c>
      <c r="AB22" s="21">
        <f>求节点(将星点产出!$C$26:$C$34,将星点产出!I$26:I$34,其他调用!AH22)*其他调用!AC22</f>
        <v>45434.861297203024</v>
      </c>
      <c r="AC22" s="21">
        <f>求节点(将星点产出!$C$26:$C$34,将星点产出!F$26:F$34,其他调用!AM22)*其他调用!AI22</f>
        <v>0</v>
      </c>
      <c r="AD22" s="21">
        <f>求节点(将星点产出!$C$26:$C$34,将星点产出!G$26:G$34,其他调用!AN22)*其他调用!AJ22</f>
        <v>28000</v>
      </c>
      <c r="AE22" s="21">
        <f>求节点(将星点产出!$C$26:$C$34,将星点产出!H$26:H$34,其他调用!AO22)*其他调用!AK22</f>
        <v>92672.486479997286</v>
      </c>
      <c r="AF22" s="21">
        <f>求节点(将星点产出!$C$26:$C$34,将星点产出!I$26:I$34,其他调用!AP22)*其他调用!AL22</f>
        <v>0</v>
      </c>
      <c r="AG22" s="21">
        <f t="shared" si="0"/>
        <v>166107</v>
      </c>
      <c r="AI22" s="7">
        <f>求节点($N$26:$N$32,P$26:P$32,其他调用!BF22)*其他调用!BB22</f>
        <v>1650</v>
      </c>
      <c r="AJ22" s="7">
        <f>求节点($N$26:$N$32,Q$26:Q$32,其他调用!BG22)*其他调用!BC22</f>
        <v>51903.870501720688</v>
      </c>
      <c r="AK22" s="7">
        <f>求节点($N$26:$N$32,R$26:R$32,其他调用!BH22)*其他调用!BD22</f>
        <v>74007.609707526848</v>
      </c>
      <c r="AL22" s="7">
        <f>求节点($N$26:$N$32,S$26:S$32,其他调用!BI22)*其他调用!BE22</f>
        <v>19474.413054570981</v>
      </c>
      <c r="AM22" s="21">
        <f t="shared" si="1"/>
        <v>147035</v>
      </c>
      <c r="AO22" s="21">
        <f t="shared" si="2"/>
        <v>313142</v>
      </c>
    </row>
    <row r="23" spans="2:41">
      <c r="B23" s="22"/>
      <c r="C23" s="8"/>
      <c r="D23" s="6"/>
      <c r="E23" s="6"/>
      <c r="F23" s="6"/>
      <c r="G23" s="6"/>
      <c r="H23" s="6"/>
      <c r="I23" s="6"/>
      <c r="V23" s="21">
        <f>其他调用!W23</f>
        <v>400</v>
      </c>
      <c r="W23" s="21">
        <f>其他调用!X23</f>
        <v>86.465948248806328</v>
      </c>
      <c r="X23" s="21">
        <f>求节点(将星点产出!$C$26:$C$34,将星点产出!E$26:E$34,其他调用!AD23)*其他调用!Y23</f>
        <v>0</v>
      </c>
      <c r="Y23" s="21">
        <f>求节点(将星点产出!$C$26:$C$34,将星点产出!F$26:F$34,其他调用!AE23)*其他调用!Z23</f>
        <v>0</v>
      </c>
      <c r="Z23" s="21">
        <f>求节点(将星点产出!$C$26:$C$34,将星点产出!G$26:G$34,其他调用!AF23)*其他调用!AA23</f>
        <v>0</v>
      </c>
      <c r="AA23" s="21">
        <f>求节点(将星点产出!$C$26:$C$34,将星点产出!H$26:H$34,其他调用!AG23)*其他调用!AB23</f>
        <v>0</v>
      </c>
      <c r="AB23" s="21">
        <f>求节点(将星点产出!$C$26:$C$34,将星点产出!I$26:I$34,其他调用!AH23)*其他调用!AC23</f>
        <v>51567.957313633306</v>
      </c>
      <c r="AC23" s="21">
        <f>求节点(将星点产出!$C$26:$C$34,将星点产出!F$26:F$34,其他调用!AM23)*其他调用!AI23</f>
        <v>0</v>
      </c>
      <c r="AD23" s="21">
        <f>求节点(将星点产出!$C$26:$C$34,将星点产出!G$26:G$34,其他调用!AN23)*其他调用!AJ23</f>
        <v>22400</v>
      </c>
      <c r="AE23" s="21">
        <f>求节点(将星点产出!$C$26:$C$34,将星点产出!H$26:H$34,其他调用!AO23)*其他调用!AK23</f>
        <v>114543.58419065578</v>
      </c>
      <c r="AF23" s="21">
        <f>求节点(将星点产出!$C$26:$C$34,将星点产出!I$26:I$34,其他调用!AP23)*其他调用!AL23</f>
        <v>0</v>
      </c>
      <c r="AG23" s="21">
        <f t="shared" si="0"/>
        <v>188511</v>
      </c>
      <c r="AI23" s="7">
        <f>求节点($N$26:$N$32,P$26:P$32,其他调用!BF23)*其他调用!BB23</f>
        <v>1650</v>
      </c>
      <c r="AJ23" s="7">
        <f>求节点($N$26:$N$32,Q$26:Q$32,其他调用!BG23)*其他调用!BC23</f>
        <v>59177.378626341088</v>
      </c>
      <c r="AK23" s="7">
        <f>求节点($N$26:$N$32,R$26:R$32,其他调用!BH23)*其他调用!BD23</f>
        <v>82352.788777119305</v>
      </c>
      <c r="AL23" s="7">
        <f>求节点($N$26:$N$32,S$26:S$32,其他调用!BI23)*其他调用!BE23</f>
        <v>23766.219433218539</v>
      </c>
      <c r="AM23" s="21">
        <f t="shared" si="1"/>
        <v>166946</v>
      </c>
      <c r="AO23" s="21">
        <f t="shared" si="2"/>
        <v>355457</v>
      </c>
    </row>
    <row r="24" spans="2:41">
      <c r="B24" s="24" t="s">
        <v>125</v>
      </c>
      <c r="M24" s="24" t="s">
        <v>125</v>
      </c>
      <c r="V24" s="21">
        <f>其他调用!W24</f>
        <v>520</v>
      </c>
      <c r="W24" s="21">
        <f>其他调用!X24</f>
        <v>90.244911202258237</v>
      </c>
      <c r="X24" s="21">
        <f>求节点(将星点产出!$C$26:$C$34,将星点产出!E$26:E$34,其他调用!AD24)*其他调用!Y24</f>
        <v>0</v>
      </c>
      <c r="Y24" s="21">
        <f>求节点(将星点产出!$C$26:$C$34,将星点产出!F$26:F$34,其他调用!AE24)*其他调用!Z24</f>
        <v>0</v>
      </c>
      <c r="Z24" s="21">
        <f>求节点(将星点产出!$C$26:$C$34,将星点产出!G$26:G$34,其他调用!AF24)*其他调用!AA24</f>
        <v>0</v>
      </c>
      <c r="AA24" s="21">
        <f>求节点(将星点产出!$C$26:$C$34,将星点产出!H$26:H$34,其他调用!AG24)*其他调用!AB24</f>
        <v>0</v>
      </c>
      <c r="AB24" s="21">
        <f>求节点(将星点产出!$C$26:$C$34,将星点产出!I$26:I$34,其他调用!AH24)*其他调用!AC24</f>
        <v>62420.233576587518</v>
      </c>
      <c r="AC24" s="21">
        <f>求节点(将星点产出!$C$26:$C$34,将星点产出!F$26:F$34,其他调用!AM24)*其他调用!AI24</f>
        <v>0</v>
      </c>
      <c r="AD24" s="21">
        <f>求节点(将星点产出!$C$26:$C$34,将星点产出!G$26:G$34,其他调用!AN24)*其他调用!AJ24</f>
        <v>16800</v>
      </c>
      <c r="AE24" s="21">
        <f>求节点(将星点产出!$C$26:$C$34,将星点产出!H$26:H$34,其他调用!AO24)*其他调用!AK24</f>
        <v>137099.0699616966</v>
      </c>
      <c r="AF24" s="21">
        <f>求节点(将星点产出!$C$26:$C$34,将星点产出!I$26:I$34,其他调用!AP24)*其他调用!AL24</f>
        <v>0</v>
      </c>
      <c r="AG24" s="21">
        <f t="shared" si="0"/>
        <v>216319</v>
      </c>
      <c r="AI24" s="7">
        <f>求节点($N$26:$N$32,P$26:P$32,其他调用!BF24)*其他调用!BB24</f>
        <v>1650</v>
      </c>
      <c r="AJ24" s="7">
        <f>求节点($N$26:$N$32,Q$26:Q$32,其他调用!BG24)*其他调用!BC24</f>
        <v>71400</v>
      </c>
      <c r="AK24" s="7">
        <f>求节点($N$26:$N$32,R$26:R$32,其他调用!BH24)*其他调用!BD24</f>
        <v>98502.314287555855</v>
      </c>
      <c r="AL24" s="7">
        <f>求节点($N$26:$N$32,S$26:S$32,其他调用!BI24)*其他调用!BE24</f>
        <v>31344.647541122351</v>
      </c>
      <c r="AM24" s="21">
        <f t="shared" si="1"/>
        <v>202896</v>
      </c>
      <c r="AO24" s="21">
        <f t="shared" si="2"/>
        <v>419215</v>
      </c>
    </row>
    <row r="25" spans="2:41">
      <c r="B25" s="39" t="s">
        <v>117</v>
      </c>
      <c r="C25" s="10" t="s">
        <v>118</v>
      </c>
      <c r="D25" s="10" t="s">
        <v>126</v>
      </c>
      <c r="E25" s="7" t="s">
        <v>119</v>
      </c>
      <c r="F25" s="7" t="s">
        <v>120</v>
      </c>
      <c r="G25" s="7" t="s">
        <v>121</v>
      </c>
      <c r="H25" s="7" t="s">
        <v>122</v>
      </c>
      <c r="I25" s="10" t="s">
        <v>102</v>
      </c>
      <c r="J25" s="10" t="s">
        <v>123</v>
      </c>
      <c r="M25" s="39" t="s">
        <v>117</v>
      </c>
      <c r="N25" s="10" t="s">
        <v>118</v>
      </c>
      <c r="O25" s="10" t="s">
        <v>126</v>
      </c>
      <c r="P25" s="7" t="s">
        <v>120</v>
      </c>
      <c r="Q25" s="7" t="s">
        <v>121</v>
      </c>
      <c r="R25" s="7" t="s">
        <v>122</v>
      </c>
      <c r="S25" s="10" t="s">
        <v>102</v>
      </c>
      <c r="V25" s="21">
        <f>其他调用!W25</f>
        <v>640</v>
      </c>
      <c r="W25" s="21">
        <f>其他调用!X25</f>
        <v>93.235489905456092</v>
      </c>
      <c r="X25" s="21">
        <f>求节点(将星点产出!$C$26:$C$34,将星点产出!E$26:E$34,其他调用!AD25)*其他调用!Y25</f>
        <v>0</v>
      </c>
      <c r="Y25" s="21">
        <f>求节点(将星点产出!$C$26:$C$34,将星点产出!F$26:F$34,其他调用!AE25)*其他调用!Z25</f>
        <v>0</v>
      </c>
      <c r="Z25" s="21">
        <f>求节点(将星点产出!$C$26:$C$34,将星点产出!G$26:G$34,其他调用!AF25)*其他调用!AA25</f>
        <v>0</v>
      </c>
      <c r="AA25" s="21">
        <f>求节点(将星点产出!$C$26:$C$34,将星点产出!H$26:H$34,其他调用!AG25)*其他调用!AB25</f>
        <v>0</v>
      </c>
      <c r="AB25" s="21">
        <f>求节点(将星点产出!$C$26:$C$34,将星点产出!I$26:I$34,其他调用!AH25)*其他调用!AC25</f>
        <v>72431.011502444831</v>
      </c>
      <c r="AC25" s="21">
        <f>求节点(将星点产出!$C$26:$C$34,将星点产出!F$26:F$34,其他调用!AM25)*其他调用!AI25</f>
        <v>0</v>
      </c>
      <c r="AD25" s="21">
        <f>求节点(将星点产出!$C$26:$C$34,将星点产出!G$26:G$34,其他调用!AN25)*其他调用!AJ25</f>
        <v>11200</v>
      </c>
      <c r="AE25" s="21">
        <f>求节点(将星点产出!$C$26:$C$34,将星点产出!H$26:H$34,其他调用!AO25)*其他调用!AK25</f>
        <v>168277.37503751309</v>
      </c>
      <c r="AF25" s="21">
        <f>求节点(将星点产出!$C$26:$C$34,将星点产出!I$26:I$34,其他调用!AP25)*其他调用!AL25</f>
        <v>0</v>
      </c>
      <c r="AG25" s="21">
        <f t="shared" si="0"/>
        <v>251908</v>
      </c>
      <c r="AI25" s="7">
        <f>求节点($N$26:$N$32,P$26:P$32,其他调用!BF25)*其他调用!BB25</f>
        <v>1650</v>
      </c>
      <c r="AJ25" s="7">
        <f>求节点($N$26:$N$32,Q$26:Q$32,其他调用!BG25)*其他调用!BC25</f>
        <v>71400</v>
      </c>
      <c r="AK25" s="7">
        <f>求节点($N$26:$N$32,R$26:R$32,其他调用!BH25)*其他调用!BD25</f>
        <v>114651.83979799236</v>
      </c>
      <c r="AL25" s="7">
        <f>求节点($N$26:$N$32,S$26:S$32,其他调用!BI25)*其他调用!BE25</f>
        <v>37804.457745296953</v>
      </c>
      <c r="AM25" s="21">
        <f t="shared" si="1"/>
        <v>225506</v>
      </c>
      <c r="AO25" s="21">
        <f t="shared" si="2"/>
        <v>477414</v>
      </c>
    </row>
    <row r="26" spans="2:41">
      <c r="B26" s="40"/>
      <c r="C26" s="10">
        <v>0</v>
      </c>
      <c r="D26" s="10">
        <v>1</v>
      </c>
      <c r="E26" s="7">
        <f t="shared" ref="E26:G34" si="3">INT($D26*D13/50)*50</f>
        <v>0</v>
      </c>
      <c r="F26" s="7">
        <f t="shared" si="3"/>
        <v>100</v>
      </c>
      <c r="G26" s="7">
        <f t="shared" si="3"/>
        <v>250</v>
      </c>
      <c r="H26" s="7">
        <f t="shared" ref="H26:H34" si="4">INT($D26*G13/100)*100</f>
        <v>800</v>
      </c>
      <c r="I26" s="7">
        <f t="shared" ref="I26:I34" si="5">INT($D26*H13/250)*250</f>
        <v>2500</v>
      </c>
      <c r="J26" s="7">
        <f t="shared" ref="J26:J34" si="6">INT($D26*I13/500)*500</f>
        <v>4000</v>
      </c>
      <c r="M26" s="40"/>
      <c r="N26" s="10">
        <v>1</v>
      </c>
      <c r="O26" s="10">
        <v>1</v>
      </c>
      <c r="P26" s="7">
        <f t="shared" ref="P26:S32" si="7">INT($O26*O13/50)*50</f>
        <v>100</v>
      </c>
      <c r="Q26" s="7">
        <f t="shared" si="7"/>
        <v>200</v>
      </c>
      <c r="R26" s="7">
        <f t="shared" si="7"/>
        <v>0</v>
      </c>
      <c r="S26" s="7">
        <f t="shared" si="7"/>
        <v>0</v>
      </c>
      <c r="V26" s="21">
        <f>其他调用!W26</f>
        <v>820</v>
      </c>
      <c r="W26" s="21">
        <f>其他调用!X26</f>
        <v>96.807063977001675</v>
      </c>
      <c r="X26" s="21">
        <f>求节点(将星点产出!$C$26:$C$34,将星点产出!E$26:E$34,其他调用!AD26)*其他调用!Y26</f>
        <v>0</v>
      </c>
      <c r="Y26" s="21">
        <f>求节点(将星点产出!$C$26:$C$34,将星点产出!F$26:F$34,其他调用!AE26)*其他调用!Z26</f>
        <v>0</v>
      </c>
      <c r="Z26" s="21">
        <f>求节点(将星点产出!$C$26:$C$34,将星点产出!G$26:G$34,其他调用!AF26)*其他调用!AA26</f>
        <v>0</v>
      </c>
      <c r="AA26" s="21">
        <f>求节点(将星点产出!$C$26:$C$34,将星点产出!H$26:H$34,其他调用!AG26)*其他调用!AB26</f>
        <v>0</v>
      </c>
      <c r="AB26" s="21">
        <f>求节点(将星点产出!$C$26:$C$34,将星点产出!I$26:I$34,其他调用!AH26)*其他调用!AC26</f>
        <v>87920.524995197993</v>
      </c>
      <c r="AC26" s="21">
        <f>求节点(将星点产出!$C$26:$C$34,将星点产出!F$26:F$34,其他调用!AM26)*其他调用!AI26</f>
        <v>0</v>
      </c>
      <c r="AD26" s="21">
        <f>求节点(将星点产出!$C$26:$C$34,将星点产出!G$26:G$34,其他调用!AN26)*其他调用!AJ26</f>
        <v>5600</v>
      </c>
      <c r="AE26" s="21">
        <f>求节点(将星点产出!$C$26:$C$34,将星点产出!H$26:H$34,其他调用!AO26)*其他调用!AK26</f>
        <v>216313.34147345083</v>
      </c>
      <c r="AF26" s="21">
        <f>求节点(将星点产出!$C$26:$C$34,将星点产出!I$26:I$34,其他调用!AP26)*其他调用!AL26</f>
        <v>0</v>
      </c>
      <c r="AG26" s="21">
        <f t="shared" si="0"/>
        <v>309833</v>
      </c>
      <c r="AI26" s="7">
        <f>求节点($N$26:$N$32,P$26:P$32,其他调用!BF26)*其他调用!BB26</f>
        <v>1650</v>
      </c>
      <c r="AJ26" s="7">
        <f>求节点($N$26:$N$32,Q$26:Q$32,其他调用!BG26)*其他调用!BC26</f>
        <v>71400</v>
      </c>
      <c r="AK26" s="7">
        <f>求节点($N$26:$N$32,R$26:R$32,其他调用!BH26)*其他调用!BD26</f>
        <v>137849.21552488516</v>
      </c>
      <c r="AL26" s="7">
        <f>求节点($N$26:$N$32,S$26:S$32,其他调用!BI26)*其他调用!BE26</f>
        <v>47083.408036054083</v>
      </c>
      <c r="AM26" s="21">
        <f t="shared" si="1"/>
        <v>257982</v>
      </c>
      <c r="AO26" s="21">
        <f t="shared" si="2"/>
        <v>567815</v>
      </c>
    </row>
    <row r="27" spans="2:41">
      <c r="B27" s="40"/>
      <c r="C27" s="10">
        <v>1</v>
      </c>
      <c r="D27" s="10">
        <v>1</v>
      </c>
      <c r="E27" s="7">
        <f t="shared" si="3"/>
        <v>0</v>
      </c>
      <c r="F27" s="7">
        <f t="shared" si="3"/>
        <v>200</v>
      </c>
      <c r="G27" s="7">
        <f t="shared" si="3"/>
        <v>500</v>
      </c>
      <c r="H27" s="7">
        <f t="shared" si="4"/>
        <v>1600</v>
      </c>
      <c r="I27" s="7">
        <f t="shared" si="5"/>
        <v>5000</v>
      </c>
      <c r="J27" s="7">
        <f t="shared" si="6"/>
        <v>8000</v>
      </c>
      <c r="M27" s="40"/>
      <c r="N27" s="10">
        <v>2</v>
      </c>
      <c r="O27" s="10">
        <v>1</v>
      </c>
      <c r="P27" s="7">
        <f t="shared" si="7"/>
        <v>200</v>
      </c>
      <c r="Q27" s="7">
        <f t="shared" si="7"/>
        <v>400</v>
      </c>
      <c r="R27" s="7">
        <f t="shared" si="7"/>
        <v>500</v>
      </c>
      <c r="S27" s="7">
        <f t="shared" si="7"/>
        <v>0</v>
      </c>
      <c r="V27" s="21">
        <f>其他调用!W27</f>
        <v>1060</v>
      </c>
      <c r="W27" s="21">
        <f>其他调用!X27</f>
        <v>100.50342858241972</v>
      </c>
      <c r="X27" s="21">
        <f>求节点(将星点产出!$C$26:$C$34,将星点产出!E$26:E$34,其他调用!AD27)*其他调用!Y27</f>
        <v>0</v>
      </c>
      <c r="Y27" s="21">
        <f>求节点(将星点产出!$C$26:$C$34,将星点产出!F$26:F$34,其他调用!AE27)*其他调用!Z27</f>
        <v>0</v>
      </c>
      <c r="Z27" s="21">
        <f>求节点(将星点产出!$C$26:$C$34,将星点产出!G$26:G$34,其他调用!AF27)*其他调用!AA27</f>
        <v>0</v>
      </c>
      <c r="AA27" s="21">
        <f>求节点(将星点产出!$C$26:$C$34,将星点产出!H$26:H$34,其他调用!AG27)*其他调用!AB27</f>
        <v>0</v>
      </c>
      <c r="AB27" s="21">
        <f>求节点(将星点产出!$C$26:$C$34,将星点产出!I$26:I$34,其他调用!AH27)*其他调用!AC27</f>
        <v>113074.9099799461</v>
      </c>
      <c r="AC27" s="21">
        <f>求节点(将星点产出!$C$26:$C$34,将星点产出!F$26:F$34,其他调用!AM27)*其他调用!AI27</f>
        <v>0</v>
      </c>
      <c r="AD27" s="21">
        <f>求节点(将星点产出!$C$26:$C$34,将星点产出!G$26:G$34,其他调用!AN27)*其他调用!AJ27</f>
        <v>0</v>
      </c>
      <c r="AE27" s="21">
        <f>求节点(将星点产出!$C$26:$C$34,将星点产出!H$26:H$34,其他调用!AO27)*其他调用!AK27</f>
        <v>272204.19013961637</v>
      </c>
      <c r="AF27" s="21">
        <f>求节点(将星点产出!$C$26:$C$34,将星点产出!I$26:I$34,其他调用!AP27)*其他调用!AL27</f>
        <v>0</v>
      </c>
      <c r="AG27" s="21">
        <f t="shared" si="0"/>
        <v>385279</v>
      </c>
      <c r="AI27" s="7">
        <f>求节点($N$26:$N$32,P$26:P$32,其他调用!BF27)*其他调用!BB27</f>
        <v>1650</v>
      </c>
      <c r="AJ27" s="7">
        <f>求节点($N$26:$N$32,Q$26:Q$32,其他调用!BG27)*其他调用!BC27</f>
        <v>71400</v>
      </c>
      <c r="AK27" s="7">
        <f>求节点($N$26:$N$32,R$26:R$32,其他调用!BH27)*其他调用!BD27</f>
        <v>167683.67645272953</v>
      </c>
      <c r="AL27" s="7">
        <f>求节点($N$26:$N$32,S$26:S$32,其他调用!BI27)*其他调用!BE27</f>
        <v>60133.934179647804</v>
      </c>
      <c r="AM27" s="21">
        <f t="shared" si="1"/>
        <v>300867</v>
      </c>
      <c r="AO27" s="21">
        <f t="shared" si="2"/>
        <v>686146</v>
      </c>
    </row>
    <row r="28" spans="2:41">
      <c r="B28" s="40"/>
      <c r="C28" s="10">
        <v>2</v>
      </c>
      <c r="D28" s="10">
        <v>1</v>
      </c>
      <c r="E28" s="7">
        <f t="shared" si="3"/>
        <v>0</v>
      </c>
      <c r="F28" s="7">
        <f t="shared" si="3"/>
        <v>300</v>
      </c>
      <c r="G28" s="7">
        <f t="shared" si="3"/>
        <v>750</v>
      </c>
      <c r="H28" s="7">
        <f t="shared" si="4"/>
        <v>2400</v>
      </c>
      <c r="I28" s="7">
        <f t="shared" si="5"/>
        <v>7500</v>
      </c>
      <c r="J28" s="7">
        <f t="shared" si="6"/>
        <v>12000</v>
      </c>
      <c r="M28" s="40"/>
      <c r="N28" s="10">
        <v>3</v>
      </c>
      <c r="O28" s="10">
        <v>0.9</v>
      </c>
      <c r="P28" s="7">
        <f t="shared" si="7"/>
        <v>250</v>
      </c>
      <c r="Q28" s="7">
        <f t="shared" si="7"/>
        <v>700</v>
      </c>
      <c r="R28" s="7">
        <f t="shared" si="7"/>
        <v>900</v>
      </c>
      <c r="S28" s="7">
        <f t="shared" si="7"/>
        <v>1800</v>
      </c>
      <c r="V28" s="21">
        <f>其他调用!W28</f>
        <v>1360</v>
      </c>
      <c r="W28" s="21">
        <f>其他调用!X28</f>
        <v>104.10129967499306</v>
      </c>
      <c r="X28" s="21">
        <f>求节点(将星点产出!$C$26:$C$34,将星点产出!E$26:E$34,其他调用!AD28)*其他调用!Y28</f>
        <v>0</v>
      </c>
      <c r="Y28" s="21">
        <f>求节点(将星点产出!$C$26:$C$34,将星点产出!F$26:F$34,其他调用!AE28)*其他调用!Z28</f>
        <v>0</v>
      </c>
      <c r="Z28" s="21">
        <f>求节点(将星点产出!$C$26:$C$34,将星点产出!G$26:G$34,其他调用!AF28)*其他调用!AA28</f>
        <v>0</v>
      </c>
      <c r="AA28" s="21">
        <f>求节点(将星点产出!$C$26:$C$34,将星点产出!H$26:H$34,其他调用!AG28)*其他调用!AB28</f>
        <v>0</v>
      </c>
      <c r="AB28" s="21">
        <f>求节点(将星点产出!$C$26:$C$34,将星点产出!I$26:I$34,其他调用!AH28)*其他调用!AC28</f>
        <v>126232.42789747482</v>
      </c>
      <c r="AC28" s="21">
        <f>求节点(将星点产出!$C$26:$C$34,将星点产出!F$26:F$34,其他调用!AM28)*其他调用!AI28</f>
        <v>0</v>
      </c>
      <c r="AD28" s="21">
        <f>求节点(将星点产出!$C$26:$C$34,将星点产出!G$26:G$34,其他调用!AN28)*其他调用!AJ28</f>
        <v>0</v>
      </c>
      <c r="AE28" s="21">
        <f>求节点(将星点产出!$C$26:$C$34,将星点产出!H$26:H$34,其他调用!AO28)*其他调用!AK28</f>
        <v>276000</v>
      </c>
      <c r="AF28" s="21">
        <f>求节点(将星点产出!$C$26:$C$34,将星点产出!I$26:I$34,其他调用!AP28)*其他调用!AL28</f>
        <v>0</v>
      </c>
      <c r="AG28" s="21">
        <f t="shared" si="0"/>
        <v>402232</v>
      </c>
      <c r="AI28" s="7">
        <f>求节点($N$26:$N$32,P$26:P$32,其他调用!BF28)*其他调用!BB28</f>
        <v>1650</v>
      </c>
      <c r="AJ28" s="7">
        <f>求节点($N$26:$N$32,Q$26:Q$32,其他调用!BG28)*其他调用!BC28</f>
        <v>71400</v>
      </c>
      <c r="AK28" s="7">
        <f>求节点($N$26:$N$32,R$26:R$32,其他调用!BH28)*其他调用!BD28</f>
        <v>204971.52809424768</v>
      </c>
      <c r="AL28" s="7">
        <f>求节点($N$26:$N$32,S$26:S$32,其他调用!BI28)*其他调用!BE28</f>
        <v>77179.809215770365</v>
      </c>
      <c r="AM28" s="21">
        <f t="shared" si="1"/>
        <v>355201</v>
      </c>
      <c r="AO28" s="21">
        <f t="shared" si="2"/>
        <v>757433</v>
      </c>
    </row>
    <row r="29" spans="2:41">
      <c r="B29" s="40"/>
      <c r="C29" s="10">
        <v>3</v>
      </c>
      <c r="D29" s="10">
        <v>0.8</v>
      </c>
      <c r="E29" s="7">
        <f t="shared" si="3"/>
        <v>0</v>
      </c>
      <c r="F29" s="7">
        <f t="shared" si="3"/>
        <v>400</v>
      </c>
      <c r="G29" s="7">
        <f t="shared" si="3"/>
        <v>1000</v>
      </c>
      <c r="H29" s="7">
        <f t="shared" si="4"/>
        <v>3200</v>
      </c>
      <c r="I29" s="7">
        <f t="shared" si="5"/>
        <v>9750</v>
      </c>
      <c r="J29" s="7">
        <f t="shared" si="6"/>
        <v>16000</v>
      </c>
      <c r="M29" s="40"/>
      <c r="N29" s="10">
        <v>4</v>
      </c>
      <c r="O29" s="10">
        <v>0.9</v>
      </c>
      <c r="P29" s="7">
        <f t="shared" si="7"/>
        <v>350</v>
      </c>
      <c r="Q29" s="7">
        <f t="shared" si="7"/>
        <v>1400</v>
      </c>
      <c r="R29" s="7">
        <f t="shared" si="7"/>
        <v>1800</v>
      </c>
      <c r="S29" s="7">
        <f t="shared" si="7"/>
        <v>3600</v>
      </c>
      <c r="V29" s="21">
        <f>其他调用!W29</f>
        <v>1720</v>
      </c>
      <c r="W29" s="21">
        <f>其他调用!X29</f>
        <v>107.48165553683219</v>
      </c>
      <c r="X29" s="21">
        <f>求节点(将星点产出!$C$26:$C$34,将星点产出!E$26:E$34,其他调用!AD29)*其他调用!Y29</f>
        <v>0</v>
      </c>
      <c r="Y29" s="21">
        <f>求节点(将星点产出!$C$26:$C$34,将星点产出!F$26:F$34,其他调用!AE29)*其他调用!Z29</f>
        <v>0</v>
      </c>
      <c r="Z29" s="21">
        <f>求节点(将星点产出!$C$26:$C$34,将星点产出!G$26:G$34,其他调用!AF29)*其他调用!AA29</f>
        <v>0</v>
      </c>
      <c r="AA29" s="21">
        <f>求节点(将星点产出!$C$26:$C$34,将星点产出!H$26:H$34,其他调用!AG29)*其他调用!AB29</f>
        <v>0</v>
      </c>
      <c r="AB29" s="21">
        <f>求节点(将星点产出!$C$26:$C$34,将星点产出!I$26:I$34,其他调用!AH29)*其他调用!AC29</f>
        <v>136571.2114667045</v>
      </c>
      <c r="AC29" s="21">
        <f>求节点(将星点产出!$C$26:$C$34,将星点产出!F$26:F$34,其他调用!AM29)*其他调用!AI29</f>
        <v>0</v>
      </c>
      <c r="AD29" s="21">
        <f>求节点(将星点产出!$C$26:$C$34,将星点产出!G$26:G$34,其他调用!AN29)*其他调用!AJ29</f>
        <v>0</v>
      </c>
      <c r="AE29" s="21">
        <f>求节点(将星点产出!$C$26:$C$34,将星点产出!H$26:H$34,其他调用!AO29)*其他调用!AK29</f>
        <v>276000</v>
      </c>
      <c r="AF29" s="21">
        <f>求节点(将星点产出!$C$26:$C$34,将星点产出!I$26:I$34,其他调用!AP29)*其他调用!AL29</f>
        <v>0</v>
      </c>
      <c r="AG29" s="21">
        <f t="shared" si="0"/>
        <v>412571</v>
      </c>
      <c r="AI29" s="7">
        <f>求节点($N$26:$N$32,P$26:P$32,其他调用!BF29)*其他调用!BB29</f>
        <v>1650</v>
      </c>
      <c r="AJ29" s="7">
        <f>求节点($N$26:$N$32,Q$26:Q$32,其他调用!BG29)*其他调用!BC29</f>
        <v>71400</v>
      </c>
      <c r="AK29" s="7">
        <f>求节点($N$26:$N$32,R$26:R$32,其他调用!BH29)*其他调用!BD29</f>
        <v>247710.05188878987</v>
      </c>
      <c r="AL29" s="7">
        <f>求节点($N$26:$N$32,S$26:S$32,其他调用!BI29)*其他调用!BE29</f>
        <v>96717.420093275359</v>
      </c>
      <c r="AM29" s="21">
        <f t="shared" si="1"/>
        <v>417477</v>
      </c>
      <c r="AO29" s="21">
        <f t="shared" si="2"/>
        <v>830048</v>
      </c>
    </row>
    <row r="30" spans="2:41">
      <c r="B30" s="40"/>
      <c r="C30" s="10">
        <v>4</v>
      </c>
      <c r="D30" s="10">
        <v>0.8</v>
      </c>
      <c r="E30" s="7">
        <f t="shared" si="3"/>
        <v>0</v>
      </c>
      <c r="F30" s="7">
        <f t="shared" si="3"/>
        <v>0</v>
      </c>
      <c r="G30" s="7">
        <f t="shared" si="3"/>
        <v>1600</v>
      </c>
      <c r="H30" s="7">
        <f t="shared" si="4"/>
        <v>4400</v>
      </c>
      <c r="I30" s="7">
        <f t="shared" si="5"/>
        <v>13750</v>
      </c>
      <c r="J30" s="7">
        <f t="shared" si="6"/>
        <v>22000</v>
      </c>
      <c r="M30" s="40"/>
      <c r="N30" s="10">
        <v>5</v>
      </c>
      <c r="O30" s="10">
        <v>0.8</v>
      </c>
      <c r="P30" s="7">
        <f t="shared" si="7"/>
        <v>400</v>
      </c>
      <c r="Q30" s="7">
        <f t="shared" si="7"/>
        <v>2550</v>
      </c>
      <c r="R30" s="7">
        <f t="shared" si="7"/>
        <v>3200</v>
      </c>
      <c r="S30" s="7">
        <f t="shared" si="7"/>
        <v>6400</v>
      </c>
      <c r="V30" s="21">
        <f>其他调用!W30</f>
        <v>2200</v>
      </c>
      <c r="W30" s="21">
        <f>其他调用!X30</f>
        <v>111.03813549320469</v>
      </c>
      <c r="X30" s="21">
        <f>求节点(将星点产出!$C$26:$C$34,将星点产出!E$26:E$34,其他调用!AD30)*其他调用!Y30</f>
        <v>0</v>
      </c>
      <c r="Y30" s="21">
        <f>求节点(将星点产出!$C$26:$C$34,将星点产出!F$26:F$34,其他调用!AE30)*其他调用!Z30</f>
        <v>0</v>
      </c>
      <c r="Z30" s="21">
        <f>求节点(将星点产出!$C$26:$C$34,将星点产出!G$26:G$34,其他调用!AF30)*其他调用!AA30</f>
        <v>0</v>
      </c>
      <c r="AA30" s="21">
        <f>求节点(将星点产出!$C$26:$C$34,将星点产出!H$26:H$34,其他调用!AG30)*其他调用!AB30</f>
        <v>0</v>
      </c>
      <c r="AB30" s="21">
        <f>求节点(将星点产出!$C$26:$C$34,将星点产出!I$26:I$34,其他调用!AH30)*其他调用!AC30</f>
        <v>149528.87337085209</v>
      </c>
      <c r="AC30" s="21">
        <f>求节点(将星点产出!$C$26:$C$34,将星点产出!F$26:F$34,其他调用!AM30)*其他调用!AI30</f>
        <v>0</v>
      </c>
      <c r="AD30" s="21">
        <f>求节点(将星点产出!$C$26:$C$34,将星点产出!G$26:G$34,其他调用!AN30)*其他调用!AJ30</f>
        <v>0</v>
      </c>
      <c r="AE30" s="21">
        <f>求节点(将星点产出!$C$26:$C$34,将星点产出!H$26:H$34,其他调用!AO30)*其他调用!AK30</f>
        <v>276000</v>
      </c>
      <c r="AF30" s="21">
        <f>求节点(将星点产出!$C$26:$C$34,将星点产出!I$26:I$34,其他调用!AP30)*其他调用!AL30</f>
        <v>0</v>
      </c>
      <c r="AG30" s="21">
        <f t="shared" si="0"/>
        <v>425528</v>
      </c>
      <c r="AI30" s="7">
        <f>求节点($N$26:$N$32,P$26:P$32,其他调用!BF30)*其他调用!BB30</f>
        <v>1650</v>
      </c>
      <c r="AJ30" s="7">
        <f>求节点($N$26:$N$32,Q$26:Q$32,其他调用!BG30)*其他调用!BC30</f>
        <v>71400</v>
      </c>
      <c r="AK30" s="7">
        <f>求节点($N$26:$N$32,R$26:R$32,其他调用!BH30)*其他调用!BD30</f>
        <v>256000</v>
      </c>
      <c r="AL30" s="7">
        <f>求节点($N$26:$N$32,S$26:S$32,其他调用!BI30)*其他调用!BE30</f>
        <v>122412.88116127098</v>
      </c>
      <c r="AM30" s="21">
        <f t="shared" si="1"/>
        <v>451462</v>
      </c>
      <c r="AO30" s="21">
        <f t="shared" si="2"/>
        <v>876990</v>
      </c>
    </row>
    <row r="31" spans="2:41">
      <c r="B31" s="40"/>
      <c r="C31" s="10">
        <v>5</v>
      </c>
      <c r="D31" s="10">
        <v>0.8</v>
      </c>
      <c r="E31" s="7">
        <f t="shared" si="3"/>
        <v>0</v>
      </c>
      <c r="F31" s="7">
        <f t="shared" si="3"/>
        <v>0</v>
      </c>
      <c r="G31" s="7">
        <f t="shared" si="3"/>
        <v>2200</v>
      </c>
      <c r="H31" s="7">
        <f t="shared" si="4"/>
        <v>7000</v>
      </c>
      <c r="I31" s="7">
        <f t="shared" si="5"/>
        <v>19750</v>
      </c>
      <c r="J31" s="7">
        <f t="shared" si="6"/>
        <v>35000</v>
      </c>
      <c r="M31" s="40"/>
      <c r="N31" s="10">
        <v>6</v>
      </c>
      <c r="O31" s="10">
        <v>0.8</v>
      </c>
      <c r="P31" s="7">
        <f t="shared" si="7"/>
        <v>450</v>
      </c>
      <c r="Q31" s="7">
        <f t="shared" si="7"/>
        <v>5100</v>
      </c>
      <c r="R31" s="7">
        <f t="shared" si="7"/>
        <v>6400</v>
      </c>
      <c r="S31" s="7">
        <f t="shared" si="7"/>
        <v>12800</v>
      </c>
      <c r="V31" s="21">
        <f>其他调用!W31</f>
        <v>2800</v>
      </c>
      <c r="W31" s="21">
        <f>其他调用!X31</f>
        <v>114.50860608277577</v>
      </c>
      <c r="X31" s="21">
        <f>求节点(将星点产出!$C$26:$C$34,将星点产出!E$26:E$34,其他调用!AD31)*其他调用!Y31</f>
        <v>0</v>
      </c>
      <c r="Y31" s="21">
        <f>求节点(将星点产出!$C$26:$C$34,将星点产出!F$26:F$34,其他调用!AE31)*其他调用!Z31</f>
        <v>0</v>
      </c>
      <c r="Z31" s="21">
        <f>求节点(将星点产出!$C$26:$C$34,将星点产出!G$26:G$34,其他调用!AF31)*其他调用!AA31</f>
        <v>0</v>
      </c>
      <c r="AA31" s="21">
        <f>求节点(将星点产出!$C$26:$C$34,将星点产出!H$26:H$34,其他调用!AG31)*其他调用!AB31</f>
        <v>0</v>
      </c>
      <c r="AB31" s="21">
        <f>求节点(将星点产出!$C$26:$C$34,将星点产出!I$26:I$34,其他调用!AH31)*其他调用!AC31</f>
        <v>173835.63027371388</v>
      </c>
      <c r="AC31" s="21">
        <f>求节点(将星点产出!$C$26:$C$34,将星点产出!F$26:F$34,其他调用!AM31)*其他调用!AI31</f>
        <v>0</v>
      </c>
      <c r="AD31" s="21">
        <f>求节点(将星点产出!$C$26:$C$34,将星点产出!G$26:G$34,其他调用!AN31)*其他调用!AJ31</f>
        <v>0</v>
      </c>
      <c r="AE31" s="21">
        <f>求节点(将星点产出!$C$26:$C$34,将星点产出!H$26:H$34,其他调用!AO31)*其他调用!AK31</f>
        <v>276000</v>
      </c>
      <c r="AF31" s="21">
        <f>求节点(将星点产出!$C$26:$C$34,将星点产出!I$26:I$34,其他调用!AP31)*其他调用!AL31</f>
        <v>0</v>
      </c>
      <c r="AG31" s="21">
        <f t="shared" si="0"/>
        <v>449835</v>
      </c>
      <c r="AI31" s="7">
        <f>求节点($N$26:$N$32,P$26:P$32,其他调用!BF31)*其他调用!BB31</f>
        <v>1650</v>
      </c>
      <c r="AJ31" s="7">
        <f>求节点($N$26:$N$32,Q$26:Q$32,其他调用!BG31)*其他调用!BC31</f>
        <v>71400</v>
      </c>
      <c r="AK31" s="7">
        <f>求节点($N$26:$N$32,R$26:R$32,其他调用!BH31)*其他调用!BD31</f>
        <v>256000</v>
      </c>
      <c r="AL31" s="7">
        <f>求节点($N$26:$N$32,S$26:S$32,其他调用!BI31)*其他调用!BE31</f>
        <v>154513.12043131591</v>
      </c>
      <c r="AM31" s="21">
        <f t="shared" si="1"/>
        <v>483563</v>
      </c>
      <c r="AO31" s="21">
        <f t="shared" si="2"/>
        <v>933398</v>
      </c>
    </row>
    <row r="32" spans="2:41">
      <c r="B32" s="40"/>
      <c r="C32" s="10">
        <v>6</v>
      </c>
      <c r="D32" s="10">
        <v>0.7</v>
      </c>
      <c r="E32" s="7">
        <f t="shared" si="3"/>
        <v>0</v>
      </c>
      <c r="F32" s="7">
        <f t="shared" si="3"/>
        <v>0</v>
      </c>
      <c r="G32" s="7">
        <f t="shared" si="3"/>
        <v>2800</v>
      </c>
      <c r="H32" s="7">
        <f t="shared" si="4"/>
        <v>7800</v>
      </c>
      <c r="I32" s="7">
        <f t="shared" si="5"/>
        <v>22500</v>
      </c>
      <c r="J32" s="7">
        <f t="shared" si="6"/>
        <v>39000</v>
      </c>
      <c r="M32" s="41"/>
      <c r="N32" s="10">
        <v>7</v>
      </c>
      <c r="O32" s="10">
        <v>0.8</v>
      </c>
      <c r="P32" s="7">
        <f t="shared" si="7"/>
        <v>550</v>
      </c>
      <c r="Q32" s="7">
        <f t="shared" si="7"/>
        <v>10200</v>
      </c>
      <c r="R32" s="7">
        <f t="shared" si="7"/>
        <v>12800</v>
      </c>
      <c r="S32" s="7">
        <f t="shared" si="7"/>
        <v>25600</v>
      </c>
      <c r="V32" s="21">
        <f>其他调用!W32</f>
        <v>3580</v>
      </c>
      <c r="W32" s="21">
        <f>其他调用!X32</f>
        <v>118.05948896247369</v>
      </c>
      <c r="X32" s="21">
        <f>求节点(将星点产出!$C$26:$C$34,将星点产出!E$26:E$34,其他调用!AD32)*其他调用!Y32</f>
        <v>0</v>
      </c>
      <c r="Y32" s="21">
        <f>求节点(将星点产出!$C$26:$C$34,将星点产出!F$26:F$34,其他调用!AE32)*其他调用!Z32</f>
        <v>0</v>
      </c>
      <c r="Z32" s="21">
        <f>求节点(将星点产出!$C$26:$C$34,将星点产出!G$26:G$34,其他调用!AF32)*其他调用!AA32</f>
        <v>0</v>
      </c>
      <c r="AA32" s="21">
        <f>求节点(将星点产出!$C$26:$C$34,将星点产出!H$26:H$34,其他调用!AG32)*其他调用!AB32</f>
        <v>0</v>
      </c>
      <c r="AB32" s="21">
        <f>求节点(将星点产出!$C$26:$C$34,将星点产出!I$26:I$34,其他调用!AH32)*其他调用!AC32</f>
        <v>187500</v>
      </c>
      <c r="AC32" s="21">
        <f>求节点(将星点产出!$C$26:$C$34,将星点产出!F$26:F$34,其他调用!AM32)*其他调用!AI32</f>
        <v>0</v>
      </c>
      <c r="AD32" s="21">
        <f>求节点(将星点产出!$C$26:$C$34,将星点产出!G$26:G$34,其他调用!AN32)*其他调用!AJ32</f>
        <v>0</v>
      </c>
      <c r="AE32" s="21">
        <f>求节点(将星点产出!$C$26:$C$34,将星点产出!H$26:H$34,其他调用!AO32)*其他调用!AK32</f>
        <v>276000</v>
      </c>
      <c r="AF32" s="21">
        <f>求节点(将星点产出!$C$26:$C$34,将星点产出!I$26:I$34,其他调用!AP32)*其他调用!AL32</f>
        <v>0</v>
      </c>
      <c r="AG32" s="21">
        <f t="shared" si="0"/>
        <v>463500</v>
      </c>
      <c r="AI32" s="7">
        <f>求节点($N$26:$N$32,P$26:P$32,其他调用!BF32)*其他调用!BB32</f>
        <v>1650</v>
      </c>
      <c r="AJ32" s="7">
        <f>求节点($N$26:$N$32,Q$26:Q$32,其他调用!BG32)*其他调用!BC32</f>
        <v>71400</v>
      </c>
      <c r="AK32" s="7">
        <f>求节点($N$26:$N$32,R$26:R$32,其他调用!BH32)*其他调用!BD32</f>
        <v>256000</v>
      </c>
      <c r="AL32" s="7">
        <f>求节点($N$26:$N$32,S$26:S$32,其他调用!BI32)*其他调用!BE32</f>
        <v>194571.4072943494</v>
      </c>
      <c r="AM32" s="21">
        <f t="shared" si="1"/>
        <v>523621</v>
      </c>
      <c r="AO32" s="21">
        <f t="shared" si="2"/>
        <v>987121</v>
      </c>
    </row>
    <row r="33" spans="2:41">
      <c r="B33" s="40"/>
      <c r="C33" s="10">
        <v>7</v>
      </c>
      <c r="D33" s="10">
        <v>0.6</v>
      </c>
      <c r="E33" s="7">
        <f t="shared" si="3"/>
        <v>0</v>
      </c>
      <c r="F33" s="7">
        <f t="shared" si="3"/>
        <v>0</v>
      </c>
      <c r="G33" s="7">
        <f t="shared" si="3"/>
        <v>0</v>
      </c>
      <c r="H33" s="7">
        <f t="shared" si="4"/>
        <v>9600</v>
      </c>
      <c r="I33" s="7">
        <f t="shared" si="5"/>
        <v>25250</v>
      </c>
      <c r="J33" s="7">
        <f t="shared" si="6"/>
        <v>50000</v>
      </c>
      <c r="V33" s="21">
        <f>其他调用!W33</f>
        <v>4540</v>
      </c>
      <c r="W33" s="21">
        <f>其他调用!X33</f>
        <v>121.47928719052189</v>
      </c>
      <c r="X33" s="21">
        <f>求节点(将星点产出!$C$26:$C$34,将星点产出!E$26:E$34,其他调用!AD33)*其他调用!Y33</f>
        <v>0</v>
      </c>
      <c r="Y33" s="21">
        <f>求节点(将星点产出!$C$26:$C$34,将星点产出!F$26:F$34,其他调用!AE33)*其他调用!Z33</f>
        <v>0</v>
      </c>
      <c r="Z33" s="21">
        <f>求节点(将星点产出!$C$26:$C$34,将星点产出!G$26:G$34,其他调用!AF33)*其他调用!AA33</f>
        <v>0</v>
      </c>
      <c r="AA33" s="21">
        <f>求节点(将星点产出!$C$26:$C$34,将星点产出!H$26:H$34,其他调用!AG33)*其他调用!AB33</f>
        <v>0</v>
      </c>
      <c r="AB33" s="21">
        <f>求节点(将星点产出!$C$26:$C$34,将星点产出!I$26:I$34,其他调用!AH33)*其他调用!AC33</f>
        <v>187500</v>
      </c>
      <c r="AC33" s="21">
        <f>求节点(将星点产出!$C$26:$C$34,将星点产出!F$26:F$34,其他调用!AM33)*其他调用!AI33</f>
        <v>0</v>
      </c>
      <c r="AD33" s="21">
        <f>求节点(将星点产出!$C$26:$C$34,将星点产出!G$26:G$34,其他调用!AN33)*其他调用!AJ33</f>
        <v>0</v>
      </c>
      <c r="AE33" s="21">
        <f>求节点(将星点产出!$C$26:$C$34,将星点产出!H$26:H$34,其他调用!AO33)*其他调用!AK33</f>
        <v>276000</v>
      </c>
      <c r="AF33" s="21">
        <f>求节点(将星点产出!$C$26:$C$34,将星点产出!I$26:I$34,其他调用!AP33)*其他调用!AL33</f>
        <v>0</v>
      </c>
      <c r="AG33" s="21">
        <f t="shared" si="0"/>
        <v>463500</v>
      </c>
      <c r="AI33" s="7">
        <f>求节点($N$26:$N$32,P$26:P$32,其他调用!BF33)*其他调用!BB33</f>
        <v>1650</v>
      </c>
      <c r="AJ33" s="7">
        <f>求节点($N$26:$N$32,Q$26:Q$32,其他调用!BG33)*其他调用!BC33</f>
        <v>71400</v>
      </c>
      <c r="AK33" s="7">
        <f>求节点($N$26:$N$32,R$26:R$32,其他调用!BH33)*其他调用!BD33</f>
        <v>256000</v>
      </c>
      <c r="AL33" s="7">
        <f>求节点($N$26:$N$32,S$26:S$32,其他调用!BI33)*其他调用!BE33</f>
        <v>204800</v>
      </c>
      <c r="AM33" s="21">
        <f t="shared" si="1"/>
        <v>533850</v>
      </c>
      <c r="AO33" s="21">
        <f t="shared" si="2"/>
        <v>997350</v>
      </c>
    </row>
    <row r="34" spans="2:41">
      <c r="B34" s="41"/>
      <c r="C34" s="10">
        <v>8</v>
      </c>
      <c r="D34" s="10">
        <v>0.6</v>
      </c>
      <c r="E34" s="7">
        <f t="shared" si="3"/>
        <v>0</v>
      </c>
      <c r="F34" s="7">
        <f t="shared" si="3"/>
        <v>0</v>
      </c>
      <c r="G34" s="7">
        <f t="shared" si="3"/>
        <v>0</v>
      </c>
      <c r="H34" s="7">
        <f t="shared" si="4"/>
        <v>11500</v>
      </c>
      <c r="I34" s="7">
        <f t="shared" si="5"/>
        <v>31250</v>
      </c>
      <c r="J34" s="7">
        <f t="shared" si="6"/>
        <v>60000</v>
      </c>
      <c r="V34" s="21">
        <f>其他调用!W34</f>
        <v>5800</v>
      </c>
      <c r="W34" s="21">
        <f>其他调用!X34</f>
        <v>125.02015904129435</v>
      </c>
      <c r="X34" s="21">
        <f>求节点(将星点产出!$C$26:$C$34,将星点产出!E$26:E$34,其他调用!AD34)*其他调用!Y34</f>
        <v>0</v>
      </c>
      <c r="Y34" s="21">
        <f>求节点(将星点产出!$C$26:$C$34,将星点产出!F$26:F$34,其他调用!AE34)*其他调用!Z34</f>
        <v>0</v>
      </c>
      <c r="Z34" s="21">
        <f>求节点(将星点产出!$C$26:$C$34,将星点产出!G$26:G$34,其他调用!AF34)*其他调用!AA34</f>
        <v>0</v>
      </c>
      <c r="AA34" s="21">
        <f>求节点(将星点产出!$C$26:$C$34,将星点产出!H$26:H$34,其他调用!AG34)*其他调用!AB34</f>
        <v>0</v>
      </c>
      <c r="AB34" s="21">
        <f>求节点(将星点产出!$C$26:$C$34,将星点产出!I$26:I$34,其他调用!AH34)*其他调用!AC34</f>
        <v>187500</v>
      </c>
      <c r="AC34" s="21">
        <f>求节点(将星点产出!$C$26:$C$34,将星点产出!F$26:F$34,其他调用!AM34)*其他调用!AI34</f>
        <v>0</v>
      </c>
      <c r="AD34" s="21">
        <f>求节点(将星点产出!$C$26:$C$34,将星点产出!G$26:G$34,其他调用!AN34)*其他调用!AJ34</f>
        <v>0</v>
      </c>
      <c r="AE34" s="21">
        <f>求节点(将星点产出!$C$26:$C$34,将星点产出!H$26:H$34,其他调用!AO34)*其他调用!AK34</f>
        <v>276000</v>
      </c>
      <c r="AF34" s="21">
        <f>求节点(将星点产出!$C$26:$C$34,将星点产出!I$26:I$34,其他调用!AP34)*其他调用!AL34</f>
        <v>0</v>
      </c>
      <c r="AG34" s="21">
        <f t="shared" si="0"/>
        <v>463500</v>
      </c>
      <c r="AI34" s="7">
        <f>求节点($N$26:$N$32,P$26:P$32,其他调用!BF34)*其他调用!BB34</f>
        <v>1650</v>
      </c>
      <c r="AJ34" s="7">
        <f>求节点($N$26:$N$32,Q$26:Q$32,其他调用!BG34)*其他调用!BC34</f>
        <v>71400</v>
      </c>
      <c r="AK34" s="7">
        <f>求节点($N$26:$N$32,R$26:R$32,其他调用!BH34)*其他调用!BD34</f>
        <v>256000</v>
      </c>
      <c r="AL34" s="7">
        <f>求节点($N$26:$N$32,S$26:S$32,其他调用!BI34)*其他调用!BE34</f>
        <v>204800</v>
      </c>
      <c r="AM34" s="21">
        <f t="shared" si="1"/>
        <v>533850</v>
      </c>
      <c r="AO34" s="21">
        <f t="shared" si="2"/>
        <v>997350</v>
      </c>
    </row>
    <row r="35" spans="2:41">
      <c r="B35" s="22"/>
      <c r="C35" s="8"/>
      <c r="D35" s="6"/>
      <c r="E35" s="6"/>
      <c r="F35" s="6"/>
      <c r="G35" s="6"/>
      <c r="H35" s="6"/>
      <c r="I35" s="6"/>
      <c r="V35" s="21">
        <f>其他调用!W35</f>
        <v>7420</v>
      </c>
      <c r="W35" s="21">
        <f>其他调用!X35</f>
        <v>128.56549059889721</v>
      </c>
      <c r="X35" s="21">
        <f>求节点(将星点产出!$C$26:$C$34,将星点产出!E$26:E$34,其他调用!AD35)*其他调用!Y35</f>
        <v>0</v>
      </c>
      <c r="Y35" s="21">
        <f>求节点(将星点产出!$C$26:$C$34,将星点产出!F$26:F$34,其他调用!AE35)*其他调用!Z35</f>
        <v>0</v>
      </c>
      <c r="Z35" s="21">
        <f>求节点(将星点产出!$C$26:$C$34,将星点产出!G$26:G$34,其他调用!AF35)*其他调用!AA35</f>
        <v>0</v>
      </c>
      <c r="AA35" s="21">
        <f>求节点(将星点产出!$C$26:$C$34,将星点产出!H$26:H$34,其他调用!AG35)*其他调用!AB35</f>
        <v>0</v>
      </c>
      <c r="AB35" s="21">
        <f>求节点(将星点产出!$C$26:$C$34,将星点产出!I$26:I$34,其他调用!AH35)*其他调用!AC35</f>
        <v>187500</v>
      </c>
      <c r="AC35" s="21">
        <f>求节点(将星点产出!$C$26:$C$34,将星点产出!F$26:F$34,其他调用!AM35)*其他调用!AI35</f>
        <v>0</v>
      </c>
      <c r="AD35" s="21">
        <f>求节点(将星点产出!$C$26:$C$34,将星点产出!G$26:G$34,其他调用!AN35)*其他调用!AJ35</f>
        <v>0</v>
      </c>
      <c r="AE35" s="21">
        <f>求节点(将星点产出!$C$26:$C$34,将星点产出!H$26:H$34,其他调用!AO35)*其他调用!AK35</f>
        <v>276000</v>
      </c>
      <c r="AF35" s="21">
        <f>求节点(将星点产出!$C$26:$C$34,将星点产出!I$26:I$34,其他调用!AP35)*其他调用!AL35</f>
        <v>0</v>
      </c>
      <c r="AG35" s="21">
        <f t="shared" si="0"/>
        <v>463500</v>
      </c>
      <c r="AI35" s="7">
        <f>求节点($N$26:$N$32,P$26:P$32,其他调用!BF35)*其他调用!BB35</f>
        <v>1650</v>
      </c>
      <c r="AJ35" s="7">
        <f>求节点($N$26:$N$32,Q$26:Q$32,其他调用!BG35)*其他调用!BC35</f>
        <v>71400</v>
      </c>
      <c r="AK35" s="7">
        <f>求节点($N$26:$N$32,R$26:R$32,其他调用!BH35)*其他调用!BD35</f>
        <v>256000</v>
      </c>
      <c r="AL35" s="7">
        <f>求节点($N$26:$N$32,S$26:S$32,其他调用!BI35)*其他调用!BE35</f>
        <v>204800</v>
      </c>
      <c r="AM35" s="21">
        <f t="shared" si="1"/>
        <v>533850</v>
      </c>
      <c r="AO35" s="21">
        <f t="shared" si="2"/>
        <v>997350</v>
      </c>
    </row>
    <row r="36" spans="2:41">
      <c r="B36" s="22"/>
      <c r="C36" s="8"/>
      <c r="D36" s="6"/>
      <c r="E36" s="6"/>
      <c r="F36" s="6"/>
      <c r="G36" s="6"/>
      <c r="H36" s="6"/>
      <c r="I36" s="6"/>
      <c r="V36" s="21">
        <f>其他调用!W36</f>
        <v>9460</v>
      </c>
      <c r="W36" s="21">
        <f>其他调用!X36</f>
        <v>132.07530828871487</v>
      </c>
      <c r="X36" s="21">
        <f>求节点(将星点产出!$C$26:$C$34,将星点产出!E$26:E$34,其他调用!AD36)*其他调用!Y36</f>
        <v>0</v>
      </c>
      <c r="Y36" s="21">
        <f>求节点(将星点产出!$C$26:$C$34,将星点产出!F$26:F$34,其他调用!AE36)*其他调用!Z36</f>
        <v>0</v>
      </c>
      <c r="Z36" s="21">
        <f>求节点(将星点产出!$C$26:$C$34,将星点产出!G$26:G$34,其他调用!AF36)*其他调用!AA36</f>
        <v>0</v>
      </c>
      <c r="AA36" s="21">
        <f>求节点(将星点产出!$C$26:$C$34,将星点产出!H$26:H$34,其他调用!AG36)*其他调用!AB36</f>
        <v>0</v>
      </c>
      <c r="AB36" s="21">
        <f>求节点(将星点产出!$C$26:$C$34,将星点产出!I$26:I$34,其他调用!AH36)*其他调用!AC36</f>
        <v>187500</v>
      </c>
      <c r="AC36" s="21">
        <f>求节点(将星点产出!$C$26:$C$34,将星点产出!F$26:F$34,其他调用!AM36)*其他调用!AI36</f>
        <v>0</v>
      </c>
      <c r="AD36" s="21">
        <f>求节点(将星点产出!$C$26:$C$34,将星点产出!G$26:G$34,其他调用!AN36)*其他调用!AJ36</f>
        <v>0</v>
      </c>
      <c r="AE36" s="21">
        <f>求节点(将星点产出!$C$26:$C$34,将星点产出!H$26:H$34,其他调用!AO36)*其他调用!AK36</f>
        <v>276000</v>
      </c>
      <c r="AF36" s="21">
        <f>求节点(将星点产出!$C$26:$C$34,将星点产出!I$26:I$34,其他调用!AP36)*其他调用!AL36</f>
        <v>0</v>
      </c>
      <c r="AG36" s="21">
        <f t="shared" si="0"/>
        <v>463500</v>
      </c>
      <c r="AI36" s="7">
        <f>求节点($N$26:$N$32,P$26:P$32,其他调用!BF36)*其他调用!BB36</f>
        <v>1650</v>
      </c>
      <c r="AJ36" s="7">
        <f>求节点($N$26:$N$32,Q$26:Q$32,其他调用!BG36)*其他调用!BC36</f>
        <v>71400</v>
      </c>
      <c r="AK36" s="7">
        <f>求节点($N$26:$N$32,R$26:R$32,其他调用!BH36)*其他调用!BD36</f>
        <v>256000</v>
      </c>
      <c r="AL36" s="7">
        <f>求节点($N$26:$N$32,S$26:S$32,其他调用!BI36)*其他调用!BE36</f>
        <v>204800</v>
      </c>
      <c r="AM36" s="21">
        <f t="shared" si="1"/>
        <v>533850</v>
      </c>
      <c r="AO36" s="21">
        <f t="shared" si="2"/>
        <v>997350</v>
      </c>
    </row>
    <row r="37" spans="2:41">
      <c r="B37" s="22"/>
      <c r="C37" s="8"/>
      <c r="D37" s="6"/>
      <c r="E37" s="6"/>
      <c r="F37" s="6"/>
      <c r="G37" s="6"/>
      <c r="H37" s="6"/>
      <c r="I37" s="6"/>
      <c r="V37" s="21">
        <f>其他调用!W37</f>
        <v>12040</v>
      </c>
      <c r="W37" s="21">
        <f>其他调用!X37</f>
        <v>135.54811255008914</v>
      </c>
      <c r="X37" s="21">
        <f>求节点(将星点产出!$C$26:$C$34,将星点产出!E$26:E$34,其他调用!AD37)*其他调用!Y37</f>
        <v>0</v>
      </c>
      <c r="Y37" s="21">
        <f>求节点(将星点产出!$C$26:$C$34,将星点产出!F$26:F$34,其他调用!AE37)*其他调用!Z37</f>
        <v>0</v>
      </c>
      <c r="Z37" s="21">
        <f>求节点(将星点产出!$C$26:$C$34,将星点产出!G$26:G$34,其他调用!AF37)*其他调用!AA37</f>
        <v>0</v>
      </c>
      <c r="AA37" s="21">
        <f>求节点(将星点产出!$C$26:$C$34,将星点产出!H$26:H$34,其他调用!AG37)*其他调用!AB37</f>
        <v>0</v>
      </c>
      <c r="AB37" s="21">
        <f>求节点(将星点产出!$C$26:$C$34,将星点产出!I$26:I$34,其他调用!AH37)*其他调用!AC37</f>
        <v>187500</v>
      </c>
      <c r="AC37" s="21">
        <f>求节点(将星点产出!$C$26:$C$34,将星点产出!F$26:F$34,其他调用!AM37)*其他调用!AI37</f>
        <v>0</v>
      </c>
      <c r="AD37" s="21">
        <f>求节点(将星点产出!$C$26:$C$34,将星点产出!G$26:G$34,其他调用!AN37)*其他调用!AJ37</f>
        <v>0</v>
      </c>
      <c r="AE37" s="21">
        <f>求节点(将星点产出!$C$26:$C$34,将星点产出!H$26:H$34,其他调用!AO37)*其他调用!AK37</f>
        <v>276000</v>
      </c>
      <c r="AF37" s="21">
        <f>求节点(将星点产出!$C$26:$C$34,将星点产出!I$26:I$34,其他调用!AP37)*其他调用!AL37</f>
        <v>0</v>
      </c>
      <c r="AG37" s="21">
        <f t="shared" si="0"/>
        <v>463500</v>
      </c>
      <c r="AI37" s="7">
        <f>求节点($N$26:$N$32,P$26:P$32,其他调用!BF37)*其他调用!BB37</f>
        <v>1650</v>
      </c>
      <c r="AJ37" s="7">
        <f>求节点($N$26:$N$32,Q$26:Q$32,其他调用!BG37)*其他调用!BC37</f>
        <v>71400</v>
      </c>
      <c r="AK37" s="7">
        <f>求节点($N$26:$N$32,R$26:R$32,其他调用!BH37)*其他调用!BD37</f>
        <v>256000</v>
      </c>
      <c r="AL37" s="7">
        <f>求节点($N$26:$N$32,S$26:S$32,其他调用!BI37)*其他调用!BE37</f>
        <v>204800</v>
      </c>
      <c r="AM37" s="21">
        <f t="shared" si="1"/>
        <v>533850</v>
      </c>
      <c r="AO37" s="21">
        <f t="shared" si="2"/>
        <v>997350</v>
      </c>
    </row>
    <row r="38" spans="2:41">
      <c r="B38" s="22"/>
      <c r="C38" s="8"/>
      <c r="D38" s="6"/>
      <c r="E38" s="6"/>
      <c r="F38" s="6"/>
      <c r="G38" s="6"/>
      <c r="H38" s="6"/>
      <c r="I38" s="6"/>
      <c r="V38" s="21">
        <f>其他调用!W38</f>
        <v>15340</v>
      </c>
      <c r="W38" s="21">
        <f>其他调用!X38</f>
        <v>139.0493876099641</v>
      </c>
      <c r="X38" s="21">
        <f>求节点(将星点产出!$C$26:$C$34,将星点产出!E$26:E$34,其他调用!AD38)*其他调用!Y38</f>
        <v>0</v>
      </c>
      <c r="Y38" s="21">
        <f>求节点(将星点产出!$C$26:$C$34,将星点产出!F$26:F$34,其他调用!AE38)*其他调用!Z38</f>
        <v>0</v>
      </c>
      <c r="Z38" s="21">
        <f>求节点(将星点产出!$C$26:$C$34,将星点产出!G$26:G$34,其他调用!AF38)*其他调用!AA38</f>
        <v>0</v>
      </c>
      <c r="AA38" s="21">
        <f>求节点(将星点产出!$C$26:$C$34,将星点产出!H$26:H$34,其他调用!AG38)*其他调用!AB38</f>
        <v>0</v>
      </c>
      <c r="AB38" s="21">
        <f>求节点(将星点产出!$C$26:$C$34,将星点产出!I$26:I$34,其他调用!AH38)*其他调用!AC38</f>
        <v>187500</v>
      </c>
      <c r="AC38" s="21">
        <f>求节点(将星点产出!$C$26:$C$34,将星点产出!F$26:F$34,其他调用!AM38)*其他调用!AI38</f>
        <v>0</v>
      </c>
      <c r="AD38" s="21">
        <f>求节点(将星点产出!$C$26:$C$34,将星点产出!G$26:G$34,其他调用!AN38)*其他调用!AJ38</f>
        <v>0</v>
      </c>
      <c r="AE38" s="21">
        <f>求节点(将星点产出!$C$26:$C$34,将星点产出!H$26:H$34,其他调用!AO38)*其他调用!AK38</f>
        <v>276000</v>
      </c>
      <c r="AF38" s="21">
        <f>求节点(将星点产出!$C$26:$C$34,将星点产出!I$26:I$34,其他调用!AP38)*其他调用!AL38</f>
        <v>0</v>
      </c>
      <c r="AG38" s="21">
        <f t="shared" si="0"/>
        <v>463500</v>
      </c>
      <c r="AI38" s="7">
        <f>求节点($N$26:$N$32,P$26:P$32,其他调用!BF38)*其他调用!BB38</f>
        <v>1650</v>
      </c>
      <c r="AJ38" s="7">
        <f>求节点($N$26:$N$32,Q$26:Q$32,其他调用!BG38)*其他调用!BC38</f>
        <v>71400</v>
      </c>
      <c r="AK38" s="7">
        <f>求节点($N$26:$N$32,R$26:R$32,其他调用!BH38)*其他调用!BD38</f>
        <v>256000</v>
      </c>
      <c r="AL38" s="7">
        <f>求节点($N$26:$N$32,S$26:S$32,其他调用!BI38)*其他调用!BE38</f>
        <v>204800</v>
      </c>
      <c r="AM38" s="21">
        <f t="shared" si="1"/>
        <v>533850</v>
      </c>
      <c r="AO38" s="21">
        <f t="shared" si="2"/>
        <v>997350</v>
      </c>
    </row>
    <row r="39" spans="2:41">
      <c r="B39" s="22"/>
      <c r="C39" s="8"/>
      <c r="D39" s="6"/>
      <c r="E39" s="6"/>
      <c r="F39" s="6"/>
      <c r="G39" s="6"/>
      <c r="H39" s="6"/>
      <c r="I39" s="6"/>
      <c r="V39" s="21">
        <f>其他调用!W39</f>
        <v>19540</v>
      </c>
      <c r="W39" s="21">
        <f>其他调用!X39</f>
        <v>142.53355653582128</v>
      </c>
      <c r="X39" s="21">
        <f>求节点(将星点产出!$C$26:$C$34,将星点产出!E$26:E$34,其他调用!AD39)*其他调用!Y39</f>
        <v>0</v>
      </c>
      <c r="Y39" s="21">
        <f>求节点(将星点产出!$C$26:$C$34,将星点产出!F$26:F$34,其他调用!AE39)*其他调用!Z39</f>
        <v>0</v>
      </c>
      <c r="Z39" s="21">
        <f>求节点(将星点产出!$C$26:$C$34,将星点产出!G$26:G$34,其他调用!AF39)*其他调用!AA39</f>
        <v>0</v>
      </c>
      <c r="AA39" s="21">
        <f>求节点(将星点产出!$C$26:$C$34,将星点产出!H$26:H$34,其他调用!AG39)*其他调用!AB39</f>
        <v>0</v>
      </c>
      <c r="AB39" s="21">
        <f>求节点(将星点产出!$C$26:$C$34,将星点产出!I$26:I$34,其他调用!AH39)*其他调用!AC39</f>
        <v>187500</v>
      </c>
      <c r="AC39" s="21">
        <f>求节点(将星点产出!$C$26:$C$34,将星点产出!F$26:F$34,其他调用!AM39)*其他调用!AI39</f>
        <v>0</v>
      </c>
      <c r="AD39" s="21">
        <f>求节点(将星点产出!$C$26:$C$34,将星点产出!G$26:G$34,其他调用!AN39)*其他调用!AJ39</f>
        <v>0</v>
      </c>
      <c r="AE39" s="21">
        <f>求节点(将星点产出!$C$26:$C$34,将星点产出!H$26:H$34,其他调用!AO39)*其他调用!AK39</f>
        <v>276000</v>
      </c>
      <c r="AF39" s="21">
        <f>求节点(将星点产出!$C$26:$C$34,将星点产出!I$26:I$34,其他调用!AP39)*其他调用!AL39</f>
        <v>0</v>
      </c>
      <c r="AG39" s="21">
        <f t="shared" si="0"/>
        <v>463500</v>
      </c>
      <c r="AI39" s="7">
        <f>求节点($N$26:$N$32,P$26:P$32,其他调用!BF39)*其他调用!BB39</f>
        <v>1650</v>
      </c>
      <c r="AJ39" s="7">
        <f>求节点($N$26:$N$32,Q$26:Q$32,其他调用!BG39)*其他调用!BC39</f>
        <v>71400</v>
      </c>
      <c r="AK39" s="7">
        <f>求节点($N$26:$N$32,R$26:R$32,其他调用!BH39)*其他调用!BD39</f>
        <v>256000</v>
      </c>
      <c r="AL39" s="7">
        <f>求节点($N$26:$N$32,S$26:S$32,其他调用!BI39)*其他调用!BE39</f>
        <v>204800</v>
      </c>
      <c r="AM39" s="21">
        <f t="shared" si="1"/>
        <v>533850</v>
      </c>
      <c r="AO39" s="21">
        <f t="shared" si="2"/>
        <v>997350</v>
      </c>
    </row>
    <row r="40" spans="2:41">
      <c r="B40" s="22"/>
      <c r="C40" s="8"/>
      <c r="D40" s="6"/>
      <c r="E40" s="6"/>
      <c r="F40" s="6"/>
      <c r="G40" s="6"/>
      <c r="H40" s="6"/>
      <c r="I40" s="6"/>
      <c r="V40" s="21">
        <f>其他调用!W40</f>
        <v>24880</v>
      </c>
      <c r="W40" s="21">
        <f>其他调用!X40</f>
        <v>146.02664953963369</v>
      </c>
      <c r="X40" s="21">
        <f>求节点(将星点产出!$C$26:$C$34,将星点产出!E$26:E$34,其他调用!AD40)*其他调用!Y40</f>
        <v>0</v>
      </c>
      <c r="Y40" s="21">
        <f>求节点(将星点产出!$C$26:$C$34,将星点产出!F$26:F$34,其他调用!AE40)*其他调用!Z40</f>
        <v>0</v>
      </c>
      <c r="Z40" s="21">
        <f>求节点(将星点产出!$C$26:$C$34,将星点产出!G$26:G$34,其他调用!AF40)*其他调用!AA40</f>
        <v>0</v>
      </c>
      <c r="AA40" s="21">
        <f>求节点(将星点产出!$C$26:$C$34,将星点产出!H$26:H$34,其他调用!AG40)*其他调用!AB40</f>
        <v>0</v>
      </c>
      <c r="AB40" s="21">
        <f>求节点(将星点产出!$C$26:$C$34,将星点产出!I$26:I$34,其他调用!AH40)*其他调用!AC40</f>
        <v>187500</v>
      </c>
      <c r="AC40" s="21">
        <f>求节点(将星点产出!$C$26:$C$34,将星点产出!F$26:F$34,其他调用!AM40)*其他调用!AI40</f>
        <v>0</v>
      </c>
      <c r="AD40" s="21">
        <f>求节点(将星点产出!$C$26:$C$34,将星点产出!G$26:G$34,其他调用!AN40)*其他调用!AJ40</f>
        <v>0</v>
      </c>
      <c r="AE40" s="21">
        <f>求节点(将星点产出!$C$26:$C$34,将星点产出!H$26:H$34,其他调用!AO40)*其他调用!AK40</f>
        <v>276000</v>
      </c>
      <c r="AF40" s="21">
        <f>求节点(将星点产出!$C$26:$C$34,将星点产出!I$26:I$34,其他调用!AP40)*其他调用!AL40</f>
        <v>0</v>
      </c>
      <c r="AG40" s="21">
        <f t="shared" si="0"/>
        <v>463500</v>
      </c>
      <c r="AI40" s="7">
        <f>求节点($N$26:$N$32,P$26:P$32,其他调用!BF40)*其他调用!BB40</f>
        <v>1650</v>
      </c>
      <c r="AJ40" s="7">
        <f>求节点($N$26:$N$32,Q$26:Q$32,其他调用!BG40)*其他调用!BC40</f>
        <v>71400</v>
      </c>
      <c r="AK40" s="7">
        <f>求节点($N$26:$N$32,R$26:R$32,其他调用!BH40)*其他调用!BD40</f>
        <v>256000</v>
      </c>
      <c r="AL40" s="7">
        <f>求节点($N$26:$N$32,S$26:S$32,其他调用!BI40)*其他调用!BE40</f>
        <v>204800</v>
      </c>
      <c r="AM40" s="21">
        <f t="shared" si="1"/>
        <v>533850</v>
      </c>
      <c r="AO40" s="21">
        <f t="shared" si="2"/>
        <v>997350</v>
      </c>
    </row>
    <row r="41" spans="2:41">
      <c r="B41" s="22"/>
      <c r="C41" s="8"/>
      <c r="D41" s="6"/>
      <c r="E41" s="6"/>
      <c r="F41" s="6"/>
      <c r="G41" s="6"/>
      <c r="H41" s="6"/>
      <c r="I41" s="6"/>
      <c r="V41" s="21">
        <f>其他调用!W41</f>
        <v>31720</v>
      </c>
      <c r="W41" s="21">
        <f>其他调用!X41</f>
        <v>149.52287096243165</v>
      </c>
      <c r="X41" s="21">
        <f>求节点(将星点产出!$C$26:$C$34,将星点产出!E$26:E$34,其他调用!AD41)*其他调用!Y41</f>
        <v>0</v>
      </c>
      <c r="Y41" s="21">
        <f>求节点(将星点产出!$C$26:$C$34,将星点产出!F$26:F$34,其他调用!AE41)*其他调用!Z41</f>
        <v>0</v>
      </c>
      <c r="Z41" s="21">
        <f>求节点(将星点产出!$C$26:$C$34,将星点产出!G$26:G$34,其他调用!AF41)*其他调用!AA41</f>
        <v>0</v>
      </c>
      <c r="AA41" s="21">
        <f>求节点(将星点产出!$C$26:$C$34,将星点产出!H$26:H$34,其他调用!AG41)*其他调用!AB41</f>
        <v>0</v>
      </c>
      <c r="AB41" s="21">
        <f>求节点(将星点产出!$C$26:$C$34,将星点产出!I$26:I$34,其他调用!AH41)*其他调用!AC41</f>
        <v>187500</v>
      </c>
      <c r="AC41" s="21">
        <f>求节点(将星点产出!$C$26:$C$34,将星点产出!F$26:F$34,其他调用!AM41)*其他调用!AI41</f>
        <v>0</v>
      </c>
      <c r="AD41" s="21">
        <f>求节点(将星点产出!$C$26:$C$34,将星点产出!G$26:G$34,其他调用!AN41)*其他调用!AJ41</f>
        <v>0</v>
      </c>
      <c r="AE41" s="21">
        <f>求节点(将星点产出!$C$26:$C$34,将星点产出!H$26:H$34,其他调用!AO41)*其他调用!AK41</f>
        <v>276000</v>
      </c>
      <c r="AF41" s="21">
        <f>求节点(将星点产出!$C$26:$C$34,将星点产出!I$26:I$34,其他调用!AP41)*其他调用!AL41</f>
        <v>0</v>
      </c>
      <c r="AG41" s="21">
        <f t="shared" si="0"/>
        <v>463500</v>
      </c>
      <c r="AI41" s="7">
        <f>求节点($N$26:$N$32,P$26:P$32,其他调用!BF41)*其他调用!BB41</f>
        <v>1650</v>
      </c>
      <c r="AJ41" s="7">
        <f>求节点($N$26:$N$32,Q$26:Q$32,其他调用!BG41)*其他调用!BC41</f>
        <v>71400</v>
      </c>
      <c r="AK41" s="7">
        <f>求节点($N$26:$N$32,R$26:R$32,其他调用!BH41)*其他调用!BD41</f>
        <v>256000</v>
      </c>
      <c r="AL41" s="7">
        <f>求节点($N$26:$N$32,S$26:S$32,其他调用!BI41)*其他调用!BE41</f>
        <v>204800</v>
      </c>
      <c r="AM41" s="21">
        <f t="shared" si="1"/>
        <v>533850</v>
      </c>
      <c r="AO41" s="21">
        <f t="shared" si="2"/>
        <v>997350</v>
      </c>
    </row>
    <row r="42" spans="2:41">
      <c r="B42" s="22"/>
      <c r="C42" s="8"/>
      <c r="D42" s="6"/>
      <c r="E42" s="6"/>
      <c r="F42" s="6"/>
      <c r="G42" s="6"/>
      <c r="H42" s="6"/>
      <c r="I42" s="6"/>
      <c r="V42" s="21">
        <f>其他调用!W42</f>
        <v>40420</v>
      </c>
      <c r="W42" s="21">
        <f>其他调用!X42</f>
        <v>153.02723536432757</v>
      </c>
      <c r="X42" s="21">
        <f>求节点(将星点产出!$C$26:$C$34,将星点产出!E$26:E$34,其他调用!AD42)*其他调用!Y42</f>
        <v>0</v>
      </c>
      <c r="Y42" s="21">
        <f>求节点(将星点产出!$C$26:$C$34,将星点产出!F$26:F$34,其他调用!AE42)*其他调用!Z42</f>
        <v>0</v>
      </c>
      <c r="Z42" s="21">
        <f>求节点(将星点产出!$C$26:$C$34,将星点产出!G$26:G$34,其他调用!AF42)*其他调用!AA42</f>
        <v>0</v>
      </c>
      <c r="AA42" s="21">
        <f>求节点(将星点产出!$C$26:$C$34,将星点产出!H$26:H$34,其他调用!AG42)*其他调用!AB42</f>
        <v>0</v>
      </c>
      <c r="AB42" s="21">
        <f>求节点(将星点产出!$C$26:$C$34,将星点产出!I$26:I$34,其他调用!AH42)*其他调用!AC42</f>
        <v>187500</v>
      </c>
      <c r="AC42" s="21">
        <f>求节点(将星点产出!$C$26:$C$34,将星点产出!F$26:F$34,其他调用!AM42)*其他调用!AI42</f>
        <v>0</v>
      </c>
      <c r="AD42" s="21">
        <f>求节点(将星点产出!$C$26:$C$34,将星点产出!G$26:G$34,其他调用!AN42)*其他调用!AJ42</f>
        <v>0</v>
      </c>
      <c r="AE42" s="21">
        <f>求节点(将星点产出!$C$26:$C$34,将星点产出!H$26:H$34,其他调用!AO42)*其他调用!AK42</f>
        <v>276000</v>
      </c>
      <c r="AF42" s="21">
        <f>求节点(将星点产出!$C$26:$C$34,将星点产出!I$26:I$34,其他调用!AP42)*其他调用!AL42</f>
        <v>0</v>
      </c>
      <c r="AG42" s="21">
        <f t="shared" si="0"/>
        <v>463500</v>
      </c>
      <c r="AI42" s="7">
        <f>求节点($N$26:$N$32,P$26:P$32,其他调用!BF42)*其他调用!BB42</f>
        <v>1650</v>
      </c>
      <c r="AJ42" s="7">
        <f>求节点($N$26:$N$32,Q$26:Q$32,其他调用!BG42)*其他调用!BC42</f>
        <v>71400</v>
      </c>
      <c r="AK42" s="7">
        <f>求节点($N$26:$N$32,R$26:R$32,其他调用!BH42)*其他调用!BD42</f>
        <v>256000</v>
      </c>
      <c r="AL42" s="7">
        <f>求节点($N$26:$N$32,S$26:S$32,其他调用!BI42)*其他调用!BE42</f>
        <v>204800</v>
      </c>
      <c r="AM42" s="21">
        <f t="shared" si="1"/>
        <v>533850</v>
      </c>
      <c r="AO42" s="21">
        <f t="shared" si="2"/>
        <v>997350</v>
      </c>
    </row>
    <row r="43" spans="2:41">
      <c r="B43" s="22"/>
      <c r="C43" s="8"/>
      <c r="D43" s="6"/>
      <c r="E43" s="6"/>
      <c r="F43" s="6"/>
      <c r="G43" s="6"/>
      <c r="H43" s="6"/>
      <c r="I43" s="6"/>
      <c r="V43" s="21">
        <f>其他调用!W43</f>
        <v>51520</v>
      </c>
      <c r="W43" s="21">
        <f>其他调用!X43</f>
        <v>156.52008914974525</v>
      </c>
      <c r="X43" s="21">
        <f>求节点(将星点产出!$C$26:$C$34,将星点产出!E$26:E$34,其他调用!AD43)*其他调用!Y43</f>
        <v>0</v>
      </c>
      <c r="Y43" s="21">
        <f>求节点(将星点产出!$C$26:$C$34,将星点产出!F$26:F$34,其他调用!AE43)*其他调用!Z43</f>
        <v>0</v>
      </c>
      <c r="Z43" s="21">
        <f>求节点(将星点产出!$C$26:$C$34,将星点产出!G$26:G$34,其他调用!AF43)*其他调用!AA43</f>
        <v>0</v>
      </c>
      <c r="AA43" s="21">
        <f>求节点(将星点产出!$C$26:$C$34,将星点产出!H$26:H$34,其他调用!AG43)*其他调用!AB43</f>
        <v>0</v>
      </c>
      <c r="AB43" s="21">
        <f>求节点(将星点产出!$C$26:$C$34,将星点产出!I$26:I$34,其他调用!AH43)*其他调用!AC43</f>
        <v>187500</v>
      </c>
      <c r="AC43" s="21">
        <f>求节点(将星点产出!$C$26:$C$34,将星点产出!F$26:F$34,其他调用!AM43)*其他调用!AI43</f>
        <v>0</v>
      </c>
      <c r="AD43" s="21">
        <f>求节点(将星点产出!$C$26:$C$34,将星点产出!G$26:G$34,其他调用!AN43)*其他调用!AJ43</f>
        <v>0</v>
      </c>
      <c r="AE43" s="21">
        <f>求节点(将星点产出!$C$26:$C$34,将星点产出!H$26:H$34,其他调用!AO43)*其他调用!AK43</f>
        <v>276000</v>
      </c>
      <c r="AF43" s="21">
        <f>求节点(将星点产出!$C$26:$C$34,将星点产出!I$26:I$34,其他调用!AP43)*其他调用!AL43</f>
        <v>0</v>
      </c>
      <c r="AG43" s="21">
        <f t="shared" si="0"/>
        <v>463500</v>
      </c>
      <c r="AI43" s="7">
        <f>求节点($N$26:$N$32,P$26:P$32,其他调用!BF43)*其他调用!BB43</f>
        <v>1650</v>
      </c>
      <c r="AJ43" s="7">
        <f>求节点($N$26:$N$32,Q$26:Q$32,其他调用!BG43)*其他调用!BC43</f>
        <v>71400</v>
      </c>
      <c r="AK43" s="7">
        <f>求节点($N$26:$N$32,R$26:R$32,其他调用!BH43)*其他调用!BD43</f>
        <v>256000</v>
      </c>
      <c r="AL43" s="7">
        <f>求节点($N$26:$N$32,S$26:S$32,其他调用!BI43)*其他调用!BE43</f>
        <v>204800</v>
      </c>
      <c r="AM43" s="21">
        <f t="shared" si="1"/>
        <v>533850</v>
      </c>
      <c r="AO43" s="21">
        <f t="shared" si="2"/>
        <v>997350</v>
      </c>
    </row>
    <row r="44" spans="2:41">
      <c r="B44" s="22"/>
      <c r="C44" s="8"/>
      <c r="D44" s="6"/>
      <c r="E44" s="6"/>
      <c r="F44" s="6"/>
      <c r="G44" s="6"/>
      <c r="H44" s="6"/>
      <c r="I44" s="6"/>
      <c r="V44" s="21">
        <f>其他调用!W44</f>
        <v>65500</v>
      </c>
      <c r="W44" s="21">
        <f>其他调用!X44</f>
        <v>159.99202506384199</v>
      </c>
      <c r="X44" s="21">
        <f>求节点(将星点产出!$C$26:$C$34,将星点产出!E$26:E$34,其他调用!AD44)*其他调用!Y44</f>
        <v>0</v>
      </c>
      <c r="Y44" s="21">
        <f>求节点(将星点产出!$C$26:$C$34,将星点产出!F$26:F$34,其他调用!AE44)*其他调用!Z44</f>
        <v>0</v>
      </c>
      <c r="Z44" s="21">
        <f>求节点(将星点产出!$C$26:$C$34,将星点产出!G$26:G$34,其他调用!AF44)*其他调用!AA44</f>
        <v>0</v>
      </c>
      <c r="AA44" s="21">
        <f>求节点(将星点产出!$C$26:$C$34,将星点产出!H$26:H$34,其他调用!AG44)*其他调用!AB44</f>
        <v>0</v>
      </c>
      <c r="AB44" s="21">
        <f>求节点(将星点产出!$C$26:$C$34,将星点产出!I$26:I$34,其他调用!AH44)*其他调用!AC44</f>
        <v>187500</v>
      </c>
      <c r="AC44" s="21">
        <f>求节点(将星点产出!$C$26:$C$34,将星点产出!F$26:F$34,其他调用!AM44)*其他调用!AI44</f>
        <v>0</v>
      </c>
      <c r="AD44" s="21">
        <f>求节点(将星点产出!$C$26:$C$34,将星点产出!G$26:G$34,其他调用!AN44)*其他调用!AJ44</f>
        <v>0</v>
      </c>
      <c r="AE44" s="21">
        <f>求节点(将星点产出!$C$26:$C$34,将星点产出!H$26:H$34,其他调用!AO44)*其他调用!AK44</f>
        <v>276000</v>
      </c>
      <c r="AF44" s="21">
        <f>求节点(将星点产出!$C$26:$C$34,将星点产出!I$26:I$34,其他调用!AP44)*其他调用!AL44</f>
        <v>0</v>
      </c>
      <c r="AG44" s="21">
        <f t="shared" si="0"/>
        <v>463500</v>
      </c>
      <c r="AI44" s="7">
        <f>求节点($N$26:$N$32,P$26:P$32,其他调用!BF44)*其他调用!BB44</f>
        <v>1650</v>
      </c>
      <c r="AJ44" s="7">
        <f>求节点($N$26:$N$32,Q$26:Q$32,其他调用!BG44)*其他调用!BC44</f>
        <v>71400</v>
      </c>
      <c r="AK44" s="7">
        <f>求节点($N$26:$N$32,R$26:R$32,其他调用!BH44)*其他调用!BD44</f>
        <v>256000</v>
      </c>
      <c r="AL44" s="7">
        <f>求节点($N$26:$N$32,S$26:S$32,其他调用!BI44)*其他调用!BE44</f>
        <v>204800</v>
      </c>
      <c r="AM44" s="21">
        <f t="shared" si="1"/>
        <v>533850</v>
      </c>
      <c r="AO44" s="21">
        <f t="shared" si="2"/>
        <v>997350</v>
      </c>
    </row>
    <row r="45" spans="2:41">
      <c r="V45" s="23"/>
      <c r="W45" s="23"/>
      <c r="AI45" s="6"/>
      <c r="AJ45" s="6"/>
      <c r="AK45" s="6"/>
      <c r="AL45" s="6"/>
    </row>
    <row r="46" spans="2:41" ht="12" customHeight="1">
      <c r="V46" s="23"/>
      <c r="W46" s="23"/>
      <c r="AI46" s="6"/>
      <c r="AJ46" s="6"/>
      <c r="AK46" s="6"/>
      <c r="AL46" s="6"/>
    </row>
    <row r="47" spans="2:41" ht="11.25" customHeight="1">
      <c r="V47" s="23"/>
      <c r="W47" s="23"/>
      <c r="AI47" s="6"/>
      <c r="AJ47" s="6"/>
      <c r="AK47" s="6"/>
      <c r="AL47" s="6"/>
    </row>
    <row r="48" spans="2:41" ht="11.25" customHeight="1">
      <c r="V48" s="34" t="s">
        <v>46</v>
      </c>
      <c r="W48" s="34"/>
    </row>
    <row r="49" spans="22:41" ht="11.25" customHeight="1">
      <c r="V49" s="34"/>
      <c r="W49" s="34"/>
      <c r="X49" s="34" t="s">
        <v>97</v>
      </c>
      <c r="Y49" s="34"/>
      <c r="Z49" s="34"/>
      <c r="AA49" s="34"/>
      <c r="AB49" s="34"/>
      <c r="AC49" s="34" t="s">
        <v>132</v>
      </c>
      <c r="AD49" s="34"/>
      <c r="AE49" s="34"/>
      <c r="AF49" s="34"/>
      <c r="AG49" s="21"/>
      <c r="AI49" s="36" t="s">
        <v>134</v>
      </c>
      <c r="AJ49" s="37"/>
      <c r="AK49" s="37"/>
      <c r="AL49" s="38"/>
      <c r="AM49" s="21"/>
    </row>
    <row r="50" spans="22:41" ht="11.25" customHeight="1">
      <c r="V50" s="21" t="s">
        <v>103</v>
      </c>
      <c r="W50" s="21" t="s">
        <v>92</v>
      </c>
      <c r="X50" s="21" t="s">
        <v>104</v>
      </c>
      <c r="Y50" s="21" t="s">
        <v>14</v>
      </c>
      <c r="Z50" s="21" t="s">
        <v>15</v>
      </c>
      <c r="AA50" s="21" t="s">
        <v>13</v>
      </c>
      <c r="AB50" s="21" t="s">
        <v>102</v>
      </c>
      <c r="AC50" s="21" t="s">
        <v>14</v>
      </c>
      <c r="AD50" s="21" t="s">
        <v>15</v>
      </c>
      <c r="AE50" s="21" t="s">
        <v>13</v>
      </c>
      <c r="AF50" s="21" t="s">
        <v>102</v>
      </c>
      <c r="AG50" s="21" t="s">
        <v>133</v>
      </c>
      <c r="AI50" s="7" t="s">
        <v>14</v>
      </c>
      <c r="AJ50" s="7" t="s">
        <v>15</v>
      </c>
      <c r="AK50" s="7" t="s">
        <v>13</v>
      </c>
      <c r="AL50" s="7" t="s">
        <v>102</v>
      </c>
      <c r="AM50" s="21" t="s">
        <v>136</v>
      </c>
      <c r="AO50" s="21" t="s">
        <v>137</v>
      </c>
    </row>
    <row r="51" spans="22:41" ht="11.25" customHeight="1">
      <c r="V51" s="21">
        <f>其他调用!W51</f>
        <v>0.85</v>
      </c>
      <c r="W51" s="21">
        <f>其他调用!X51</f>
        <v>9.9592453074578113</v>
      </c>
      <c r="X51" s="21">
        <f>求节点(将星点产出!$C$26:$C$34,将星点产出!E$26:E$34,其他调用!AD51)*其他调用!Y51</f>
        <v>0</v>
      </c>
      <c r="Y51" s="21">
        <f>求节点(将星点产出!$C$26:$C$34,将星点产出!F$26:F$34,其他调用!AE51)*其他调用!Z51</f>
        <v>0</v>
      </c>
      <c r="Z51" s="21">
        <f>求节点(将星点产出!$C$26:$C$34,将星点产出!G$26:G$34,其他调用!AF51)*其他调用!AA51</f>
        <v>770.06009644195456</v>
      </c>
      <c r="AA51" s="21">
        <f>求节点(将星点产出!$C$26:$C$34,将星点产出!H$26:H$34,其他调用!AG51)*其他调用!AB51</f>
        <v>3200</v>
      </c>
      <c r="AB51" s="21">
        <f>求节点(将星点产出!$C$26:$C$34,将星点产出!I$26:I$34,其他调用!AH51)*其他调用!AC51</f>
        <v>0</v>
      </c>
      <c r="AC51" s="21">
        <f>求节点(将星点产出!$C$26:$C$34,将星点产出!F$26:F$34,其他调用!AM51)*其他调用!AI51</f>
        <v>0</v>
      </c>
      <c r="AD51" s="21">
        <f>求节点(将星点产出!$C$26:$C$34,将星点产出!G$26:G$34,其他调用!AN51)*其他调用!AJ51</f>
        <v>0</v>
      </c>
      <c r="AE51" s="21">
        <f>求节点(将星点产出!$C$26:$C$34,将星点产出!H$26:H$34,其他调用!AO51)*其他调用!AK51</f>
        <v>0</v>
      </c>
      <c r="AF51" s="21">
        <f>求节点(将星点产出!$C$26:$C$34,将星点产出!I$26:I$34,其他调用!AP51)*其他调用!AL51</f>
        <v>0</v>
      </c>
      <c r="AG51" s="21">
        <f>INT(SUM(X51:AF51))</f>
        <v>3970</v>
      </c>
      <c r="AI51" s="7">
        <f>求节点($N$26:$N$32,P$26:P$32,其他调用!BF51)*其他调用!BB51</f>
        <v>458.74777982689392</v>
      </c>
      <c r="AJ51" s="7">
        <f>求节点($N$26:$N$32,Q$26:Q$32,其他调用!BG51)*其他调用!BC51</f>
        <v>1600</v>
      </c>
      <c r="AK51" s="7">
        <f>求节点($N$26:$N$32,R$26:R$32,其他调用!BH51)*其他调用!BD51</f>
        <v>1800</v>
      </c>
      <c r="AL51" s="7">
        <f>求节点($N$26:$N$32,S$26:S$32,其他调用!BI51)*其他调用!BE51</f>
        <v>0</v>
      </c>
      <c r="AM51" s="21">
        <f>INT(SUM(AI51:AL51))</f>
        <v>3858</v>
      </c>
      <c r="AO51" s="21">
        <f>AG51+AM51</f>
        <v>7828</v>
      </c>
    </row>
    <row r="52" spans="22:41" ht="11.25" customHeight="1">
      <c r="V52" s="21">
        <f>其他调用!W52</f>
        <v>2.5499999999999998</v>
      </c>
      <c r="W52" s="21">
        <f>其他调用!X52</f>
        <v>19.766822802328868</v>
      </c>
      <c r="X52" s="21">
        <f>求节点(将星点产出!$C$26:$C$34,将星点产出!E$26:E$34,其他调用!AD52)*其他调用!Y52</f>
        <v>0</v>
      </c>
      <c r="Y52" s="21">
        <f>求节点(将星点产出!$C$26:$C$34,将星点产出!F$26:F$34,其他调用!AE52)*其他调用!Z52</f>
        <v>0</v>
      </c>
      <c r="Z52" s="21">
        <f>求节点(将星点产出!$C$26:$C$34,将星点产出!G$26:G$34,其他调用!AF52)*其他调用!AA52</f>
        <v>0</v>
      </c>
      <c r="AA52" s="21">
        <f>求节点(将星点产出!$C$26:$C$34,将星点产出!H$26:H$34,其他调用!AG52)*其他调用!AB52</f>
        <v>4800</v>
      </c>
      <c r="AB52" s="21">
        <f>求节点(将星点产出!$C$26:$C$34,将星点产出!I$26:I$34,其他调用!AH52)*其他调用!AC52</f>
        <v>0</v>
      </c>
      <c r="AC52" s="21">
        <f>求节点(将星点产出!$C$26:$C$34,将星点产出!F$26:F$34,其他调用!AM52)*其他调用!AI52</f>
        <v>2400</v>
      </c>
      <c r="AD52" s="21">
        <f>求节点(将星点产出!$C$26:$C$34,将星点产出!G$26:G$34,其他调用!AN52)*其他调用!AJ52</f>
        <v>0</v>
      </c>
      <c r="AE52" s="21">
        <f>求节点(将星点产出!$C$26:$C$34,将星点产出!H$26:H$34,其他调用!AO52)*其他调用!AK52</f>
        <v>0</v>
      </c>
      <c r="AF52" s="21">
        <f>求节点(将星点产出!$C$26:$C$34,将星点产出!I$26:I$34,其他调用!AP52)*其他调用!AL52</f>
        <v>0</v>
      </c>
      <c r="AG52" s="21">
        <f t="shared" ref="AG52:AG89" si="8">INT(SUM(X52:AF52))</f>
        <v>7200</v>
      </c>
      <c r="AI52" s="7">
        <f>求节点($N$26:$N$32,P$26:P$32,其他调用!BF52)*其他调用!BB52</f>
        <v>705.82366803889352</v>
      </c>
      <c r="AJ52" s="7">
        <f>求节点($N$26:$N$32,Q$26:Q$32,其他调用!BG52)*其他调用!BC52</f>
        <v>2800</v>
      </c>
      <c r="AK52" s="7">
        <f>求节点($N$26:$N$32,R$26:R$32,其他调用!BH52)*其他调用!BD52</f>
        <v>3600</v>
      </c>
      <c r="AL52" s="7">
        <f>求节点($N$26:$N$32,S$26:S$32,其他调用!BI52)*其他调用!BE52</f>
        <v>0</v>
      </c>
      <c r="AM52" s="21">
        <f t="shared" ref="AM52:AM89" si="9">INT(SUM(AI52:AL52))</f>
        <v>7105</v>
      </c>
      <c r="AO52" s="21">
        <f t="shared" ref="AO52:AO89" si="10">AG52+AM52</f>
        <v>14305</v>
      </c>
    </row>
    <row r="53" spans="22:41" ht="11.25" customHeight="1">
      <c r="V53" s="21">
        <f>其他调用!W53</f>
        <v>5.0999999999999996</v>
      </c>
      <c r="W53" s="21">
        <f>其他调用!X53</f>
        <v>27.773265580596355</v>
      </c>
      <c r="X53" s="21">
        <f>求节点(将星点产出!$C$26:$C$34,将星点产出!E$26:E$34,其他调用!AD53)*其他调用!Y53</f>
        <v>0</v>
      </c>
      <c r="Y53" s="21">
        <f>求节点(将星点产出!$C$26:$C$34,将星点产出!F$26:F$34,其他调用!AE53)*其他调用!Z53</f>
        <v>0</v>
      </c>
      <c r="Z53" s="21">
        <f>求节点(将星点产出!$C$26:$C$34,将星点产出!G$26:G$34,其他调用!AF53)*其他调用!AA53</f>
        <v>0</v>
      </c>
      <c r="AA53" s="21">
        <f>求节点(将星点产出!$C$26:$C$34,将星点产出!H$26:H$34,其他调用!AG53)*其他调用!AB53</f>
        <v>4800</v>
      </c>
      <c r="AB53" s="21">
        <f>求节点(将星点产出!$C$26:$C$34,将星点产出!I$26:I$34,其他调用!AH53)*其他调用!AC53</f>
        <v>0</v>
      </c>
      <c r="AC53" s="21">
        <f>求节点(将星点产出!$C$26:$C$34,将星点产出!F$26:F$34,其他调用!AM53)*其他调用!AI53</f>
        <v>2400</v>
      </c>
      <c r="AD53" s="21">
        <f>求节点(将星点产出!$C$26:$C$34,将星点产出!G$26:G$34,其他调用!AN53)*其他调用!AJ53</f>
        <v>0</v>
      </c>
      <c r="AE53" s="21">
        <f>求节点(将星点产出!$C$26:$C$34,将星点产出!H$26:H$34,其他调用!AO53)*其他调用!AK53</f>
        <v>0</v>
      </c>
      <c r="AF53" s="21">
        <f>求节点(将星点产出!$C$26:$C$34,将星点产出!I$26:I$34,其他调用!AP53)*其他调用!AL53</f>
        <v>0</v>
      </c>
      <c r="AG53" s="21">
        <f t="shared" si="8"/>
        <v>7200</v>
      </c>
      <c r="AI53" s="7">
        <f>求节点($N$26:$N$32,P$26:P$32,其他调用!BF53)*其他调用!BB53</f>
        <v>904.72013167051148</v>
      </c>
      <c r="AJ53" s="7">
        <f>求节点($N$26:$N$32,Q$26:Q$32,其他调用!BG53)*其他调用!BC53</f>
        <v>2800</v>
      </c>
      <c r="AK53" s="7">
        <f>求节点($N$26:$N$32,R$26:R$32,其他调用!BH53)*其他调用!BD53</f>
        <v>5400</v>
      </c>
      <c r="AL53" s="7">
        <f>求节点($N$26:$N$32,S$26:S$32,其他调用!BI53)*其他调用!BE53</f>
        <v>0</v>
      </c>
      <c r="AM53" s="21">
        <f t="shared" si="9"/>
        <v>9104</v>
      </c>
      <c r="AO53" s="21">
        <f t="shared" si="10"/>
        <v>16304</v>
      </c>
    </row>
    <row r="54" spans="22:41" ht="11.25" customHeight="1">
      <c r="V54" s="21">
        <f>其他调用!W54</f>
        <v>8.5</v>
      </c>
      <c r="W54" s="21">
        <f>其他调用!X54</f>
        <v>34.250806171891597</v>
      </c>
      <c r="X54" s="21">
        <f>求节点(将星点产出!$C$26:$C$34,将星点产出!E$26:E$34,其他调用!AD54)*其他调用!Y54</f>
        <v>0</v>
      </c>
      <c r="Y54" s="21">
        <f>求节点(将星点产出!$C$26:$C$34,将星点产出!F$26:F$34,其他调用!AE54)*其他调用!Z54</f>
        <v>0</v>
      </c>
      <c r="Z54" s="21">
        <f>求节点(将星点产出!$C$26:$C$34,将星点产出!G$26:G$34,其他调用!AF54)*其他调用!AA54</f>
        <v>0</v>
      </c>
      <c r="AA54" s="21">
        <f>求节点(将星点产出!$C$26:$C$34,将星点产出!H$26:H$34,其他调用!AG54)*其他调用!AB54</f>
        <v>4800</v>
      </c>
      <c r="AB54" s="21">
        <f>求节点(将星点产出!$C$26:$C$34,将星点产出!I$26:I$34,其他调用!AH54)*其他调用!AC54</f>
        <v>0</v>
      </c>
      <c r="AC54" s="21">
        <f>求节点(将星点产出!$C$26:$C$34,将星点产出!F$26:F$34,其他调用!AM54)*其他调用!AI54</f>
        <v>2400</v>
      </c>
      <c r="AD54" s="21">
        <f>求节点(将星点产出!$C$26:$C$34,将星点产出!G$26:G$34,其他调用!AN54)*其他调用!AJ54</f>
        <v>3795.8169206012999</v>
      </c>
      <c r="AE54" s="21">
        <f>求节点(将星点产出!$C$26:$C$34,将星点产出!H$26:H$34,其他调用!AO54)*其他调用!AK54</f>
        <v>0</v>
      </c>
      <c r="AF54" s="21">
        <f>求节点(将星点产出!$C$26:$C$34,将星点产出!I$26:I$34,其他调用!AP54)*其他调用!AL54</f>
        <v>0</v>
      </c>
      <c r="AG54" s="21">
        <f t="shared" si="8"/>
        <v>10995</v>
      </c>
      <c r="AI54" s="7">
        <f>求节点($N$26:$N$32,P$26:P$32,其他调用!BF54)*其他调用!BB54</f>
        <v>1071.5831229277267</v>
      </c>
      <c r="AJ54" s="7">
        <f>求节点($N$26:$N$32,Q$26:Q$32,其他调用!BG54)*其他调用!BC54</f>
        <v>3806.246190932985</v>
      </c>
      <c r="AK54" s="7">
        <f>求节点($N$26:$N$32,R$26:R$32,其他调用!BH54)*其他调用!BD54</f>
        <v>8100</v>
      </c>
      <c r="AL54" s="7">
        <f>求节点($N$26:$N$32,S$26:S$32,其他调用!BI54)*其他调用!BE54</f>
        <v>0</v>
      </c>
      <c r="AM54" s="21">
        <f t="shared" si="9"/>
        <v>12977</v>
      </c>
      <c r="AO54" s="21">
        <f t="shared" si="10"/>
        <v>23972</v>
      </c>
    </row>
    <row r="55" spans="22:41" ht="11.25" customHeight="1">
      <c r="V55" s="21">
        <f>其他调用!W55</f>
        <v>12.75</v>
      </c>
      <c r="W55" s="21">
        <f>其他调用!X55</f>
        <v>39.661158518499626</v>
      </c>
      <c r="X55" s="21">
        <f>求节点(将星点产出!$C$26:$C$34,将星点产出!E$26:E$34,其他调用!AD55)*其他调用!Y55</f>
        <v>0</v>
      </c>
      <c r="Y55" s="21">
        <f>求节点(将星点产出!$C$26:$C$34,将星点产出!F$26:F$34,其他调用!AE55)*其他调用!Z55</f>
        <v>0</v>
      </c>
      <c r="Z55" s="21">
        <f>求节点(将星点产出!$C$26:$C$34,将星点产出!G$26:G$34,其他调用!AF55)*其他调用!AA55</f>
        <v>0</v>
      </c>
      <c r="AA55" s="21">
        <f>求节点(将星点产出!$C$26:$C$34,将星点产出!H$26:H$34,其他调用!AG55)*其他调用!AB55</f>
        <v>5915.0149557090017</v>
      </c>
      <c r="AB55" s="21">
        <f>求节点(将星点产出!$C$26:$C$34,将星点产出!I$26:I$34,其他调用!AH55)*其他调用!AC55</f>
        <v>0</v>
      </c>
      <c r="AC55" s="21">
        <f>求节点(将星点产出!$C$26:$C$34,将星点产出!F$26:F$34,其他调用!AM55)*其他调用!AI55</f>
        <v>2400</v>
      </c>
      <c r="AD55" s="21">
        <f>求节点(将星点产出!$C$26:$C$34,将星点产出!G$26:G$34,其他调用!AN55)*其他调用!AJ55</f>
        <v>9815.3959101945402</v>
      </c>
      <c r="AE55" s="21">
        <f>求节点(将星点产出!$C$26:$C$34,将星点产出!H$26:H$34,其他调用!AO55)*其他调用!AK55</f>
        <v>0</v>
      </c>
      <c r="AF55" s="21">
        <f>求节点(将星点产出!$C$26:$C$34,将星点产出!I$26:I$34,其他调用!AP55)*其他调用!AL55</f>
        <v>0</v>
      </c>
      <c r="AG55" s="21">
        <f t="shared" si="8"/>
        <v>18130</v>
      </c>
      <c r="AI55" s="7">
        <f>求节点($N$26:$N$32,P$26:P$32,其他调用!BF55)*其他调用!BB55</f>
        <v>1130.6687443729861</v>
      </c>
      <c r="AJ55" s="7">
        <f>求节点($N$26:$N$32,Q$26:Q$32,其他调用!BG55)*其他调用!BC55</f>
        <v>4875.8996826144039</v>
      </c>
      <c r="AK55" s="7">
        <f>求节点($N$26:$N$32,R$26:R$32,其他调用!BH55)*其他调用!BD55</f>
        <v>11700</v>
      </c>
      <c r="AL55" s="7">
        <f>求节点($N$26:$N$32,S$26:S$32,其他调用!BI55)*其他调用!BE55</f>
        <v>0</v>
      </c>
      <c r="AM55" s="21">
        <f t="shared" si="9"/>
        <v>17706</v>
      </c>
      <c r="AO55" s="21">
        <f t="shared" si="10"/>
        <v>35836</v>
      </c>
    </row>
    <row r="56" spans="22:41">
      <c r="V56" s="21">
        <f>其他调用!W56</f>
        <v>17</v>
      </c>
      <c r="W56" s="21">
        <f>其他调用!X56</f>
        <v>43.535389560453282</v>
      </c>
      <c r="X56" s="21">
        <f>求节点(将星点产出!$C$26:$C$34,将星点产出!E$26:E$34,其他调用!AD56)*其他调用!Y56</f>
        <v>0</v>
      </c>
      <c r="Y56" s="21">
        <f>求节点(将星点产出!$C$26:$C$34,将星点产出!F$26:F$34,其他调用!AE56)*其他调用!Z56</f>
        <v>0</v>
      </c>
      <c r="Z56" s="21">
        <f>求节点(将星点产出!$C$26:$C$34,将星点产出!G$26:G$34,其他调用!AF56)*其他调用!AA56</f>
        <v>0</v>
      </c>
      <c r="AA56" s="21">
        <f>求节点(将星点产出!$C$26:$C$34,将星点产出!H$26:H$34,其他调用!AG56)*其他调用!AB56</f>
        <v>7274.5776028054352</v>
      </c>
      <c r="AB56" s="21">
        <f>求节点(将星点产出!$C$26:$C$34,将星点产出!I$26:I$34,其他调用!AH56)*其他调用!AC56</f>
        <v>0</v>
      </c>
      <c r="AC56" s="21">
        <f>求节点(将星点产出!$C$26:$C$34,将星点产出!F$26:F$34,其他调用!AM56)*其他调用!AI56</f>
        <v>2400</v>
      </c>
      <c r="AD56" s="21">
        <f>求节点(将星点产出!$C$26:$C$34,将星点产出!G$26:G$34,其他调用!AN56)*其他调用!AJ56</f>
        <v>16800</v>
      </c>
      <c r="AE56" s="21">
        <f>求节点(将星点产出!$C$26:$C$34,将星点产出!H$26:H$34,其他调用!AO56)*其他调用!AK56</f>
        <v>0</v>
      </c>
      <c r="AF56" s="21">
        <f>求节点(将星点产出!$C$26:$C$34,将星点产出!I$26:I$34,其他调用!AP56)*其他调用!AL56</f>
        <v>0</v>
      </c>
      <c r="AG56" s="21">
        <f t="shared" si="8"/>
        <v>26474</v>
      </c>
      <c r="AI56" s="7">
        <f>求节点($N$26:$N$32,P$26:P$32,其他调用!BF56)*其他调用!BB56</f>
        <v>1188.589043742561</v>
      </c>
      <c r="AJ56" s="7">
        <f>求节点($N$26:$N$32,Q$26:Q$32,其他调用!BG56)*其他调用!BC56</f>
        <v>6095.199630769609</v>
      </c>
      <c r="AK56" s="7">
        <f>求节点($N$26:$N$32,R$26:R$32,其他调用!BH56)*其他调用!BD56</f>
        <v>14400</v>
      </c>
      <c r="AL56" s="7">
        <f>求节点($N$26:$N$32,S$26:S$32,其他调用!BI56)*其他调用!BE56</f>
        <v>0</v>
      </c>
      <c r="AM56" s="21">
        <f t="shared" si="9"/>
        <v>21683</v>
      </c>
      <c r="AO56" s="21">
        <f t="shared" si="10"/>
        <v>48157</v>
      </c>
    </row>
    <row r="57" spans="22:41">
      <c r="V57" s="21">
        <f>其他调用!W57</f>
        <v>25.5</v>
      </c>
      <c r="W57" s="21">
        <f>其他调用!X57</f>
        <v>49.178590903134719</v>
      </c>
      <c r="X57" s="21">
        <f>求节点(将星点产出!$C$26:$C$34,将星点产出!E$26:E$34,其他调用!AD57)*其他调用!Y57</f>
        <v>0</v>
      </c>
      <c r="Y57" s="21">
        <f>求节点(将星点产出!$C$26:$C$34,将星点产出!F$26:F$34,其他调用!AE57)*其他调用!Z57</f>
        <v>0</v>
      </c>
      <c r="Z57" s="21">
        <f>求节点(将星点产出!$C$26:$C$34,将星点产出!G$26:G$34,其他调用!AF57)*其他调用!AA57</f>
        <v>0</v>
      </c>
      <c r="AA57" s="21">
        <f>求节点(将星点产出!$C$26:$C$34,将星点产出!H$26:H$34,其他调用!AG57)*其他调用!AB57</f>
        <v>9750.1976760135894</v>
      </c>
      <c r="AB57" s="21">
        <f>求节点(将星点产出!$C$26:$C$34,将星点产出!I$26:I$34,其他调用!AH57)*其他调用!AC57</f>
        <v>0</v>
      </c>
      <c r="AC57" s="21">
        <f>求节点(将星点产出!$C$26:$C$34,将星点产出!F$26:F$34,其他调用!AM57)*其他调用!AI57</f>
        <v>2400</v>
      </c>
      <c r="AD57" s="21">
        <f>求节点(将星点产出!$C$26:$C$34,将星点产出!G$26:G$34,其他调用!AN57)*其他调用!AJ57</f>
        <v>22400</v>
      </c>
      <c r="AE57" s="21">
        <f>求节点(将星点产出!$C$26:$C$34,将星点产出!H$26:H$34,其他调用!AO57)*其他调用!AK57</f>
        <v>0</v>
      </c>
      <c r="AF57" s="21">
        <f>求节点(将星点产出!$C$26:$C$34,将星点产出!I$26:I$34,其他调用!AP57)*其他调用!AL57</f>
        <v>0</v>
      </c>
      <c r="AG57" s="21">
        <f t="shared" si="8"/>
        <v>34550</v>
      </c>
      <c r="AI57" s="7">
        <f>求节点($N$26:$N$32,P$26:P$32,其他调用!BF57)*其他调用!BB57</f>
        <v>1251.729270375987</v>
      </c>
      <c r="AJ57" s="7">
        <f>求节点($N$26:$N$32,Q$26:Q$32,其他调用!BG57)*其他调用!BC57</f>
        <v>8521.3226279511709</v>
      </c>
      <c r="AK57" s="7">
        <f>求节点($N$26:$N$32,R$26:R$32,其他调用!BH57)*其他调用!BD57</f>
        <v>18000</v>
      </c>
      <c r="AL57" s="7">
        <f>求节点($N$26:$N$32,S$26:S$32,其他调用!BI57)*其他调用!BE57</f>
        <v>0</v>
      </c>
      <c r="AM57" s="21">
        <f t="shared" si="9"/>
        <v>27773</v>
      </c>
      <c r="AO57" s="21">
        <f t="shared" si="10"/>
        <v>62323</v>
      </c>
    </row>
    <row r="58" spans="22:41">
      <c r="V58" s="21">
        <f>其他调用!W58</f>
        <v>34</v>
      </c>
      <c r="W58" s="21">
        <f>其他调用!X58</f>
        <v>53.226994578658328</v>
      </c>
      <c r="X58" s="21">
        <f>求节点(将星点产出!$C$26:$C$34,将星点产出!E$26:E$34,其他调用!AD58)*其他调用!Y58</f>
        <v>0</v>
      </c>
      <c r="Y58" s="21">
        <f>求节点(将星点产出!$C$26:$C$34,将星点产出!F$26:F$34,其他调用!AE58)*其他调用!Z58</f>
        <v>0</v>
      </c>
      <c r="Z58" s="21">
        <f>求节点(将星点产出!$C$26:$C$34,将星点产出!G$26:G$34,其他调用!AF58)*其他调用!AA58</f>
        <v>0</v>
      </c>
      <c r="AA58" s="21">
        <f>求节点(将星点产出!$C$26:$C$34,将星点产出!H$26:H$34,其他调用!AG58)*其他调用!AB58</f>
        <v>10071.900412266094</v>
      </c>
      <c r="AB58" s="21">
        <f>求节点(将星点产出!$C$26:$C$34,将星点产出!I$26:I$34,其他调用!AH58)*其他调用!AC58</f>
        <v>2500</v>
      </c>
      <c r="AC58" s="21">
        <f>求节点(将星点产出!$C$26:$C$34,将星点产出!F$26:F$34,其他调用!AM58)*其他调用!AI58</f>
        <v>800</v>
      </c>
      <c r="AD58" s="21">
        <f>求节点(将星点产出!$C$26:$C$34,将星点产出!G$26:G$34,其他调用!AN58)*其他调用!AJ58</f>
        <v>28000</v>
      </c>
      <c r="AE58" s="21">
        <f>求节点(将星点产出!$C$26:$C$34,将星点产出!H$26:H$34,其他调用!AO58)*其他调用!AK58</f>
        <v>0</v>
      </c>
      <c r="AF58" s="21">
        <f>求节点(将星点产出!$C$26:$C$34,将星点产出!I$26:I$34,其他调用!AP58)*其他调用!AL58</f>
        <v>0</v>
      </c>
      <c r="AG58" s="21">
        <f t="shared" si="8"/>
        <v>41371</v>
      </c>
      <c r="AI58" s="7">
        <f>求节点($N$26:$N$32,P$26:P$32,其他调用!BF58)*其他调用!BB58</f>
        <v>1310.4296001514872</v>
      </c>
      <c r="AJ58" s="7">
        <f>求节点($N$26:$N$32,Q$26:Q$32,其他调用!BG58)*其他调用!BC58</f>
        <v>10786.458108704621</v>
      </c>
      <c r="AK58" s="7">
        <f>求节点($N$26:$N$32,R$26:R$32,其他调用!BH58)*其他调用!BD58</f>
        <v>21552.794495295511</v>
      </c>
      <c r="AL58" s="7">
        <f>求节点($N$26:$N$32,S$26:S$32,其他调用!BI58)*其他调用!BE58</f>
        <v>0</v>
      </c>
      <c r="AM58" s="21">
        <f t="shared" si="9"/>
        <v>33649</v>
      </c>
      <c r="AO58" s="21">
        <f t="shared" si="10"/>
        <v>75020</v>
      </c>
    </row>
    <row r="59" spans="22:41">
      <c r="V59" s="21">
        <f>其他调用!W59</f>
        <v>51</v>
      </c>
      <c r="W59" s="21">
        <f>其他调用!X59</f>
        <v>59.016342740868758</v>
      </c>
      <c r="X59" s="21">
        <f>求节点(将星点产出!$C$26:$C$34,将星点产出!E$26:E$34,其他调用!AD59)*其他调用!Y59</f>
        <v>0</v>
      </c>
      <c r="Y59" s="21">
        <f>求节点(将星点产出!$C$26:$C$34,将星点产出!F$26:F$34,其他调用!AE59)*其他调用!Z59</f>
        <v>0</v>
      </c>
      <c r="Z59" s="21">
        <f>求节点(将星点产出!$C$26:$C$34,将星点产出!G$26:G$34,其他调用!AF59)*其他调用!AA59</f>
        <v>0</v>
      </c>
      <c r="AA59" s="21">
        <f>求节点(将星点产出!$C$26:$C$34,将星点产出!H$26:H$34,其他调用!AG59)*其他调用!AB59</f>
        <v>10575.862927235918</v>
      </c>
      <c r="AB59" s="21">
        <f>求节点(将星点产出!$C$26:$C$34,将星点产出!I$26:I$34,其他调用!AH59)*其他调用!AC59</f>
        <v>5000</v>
      </c>
      <c r="AC59" s="21">
        <f>求节点(将星点产出!$C$26:$C$34,将星点产出!F$26:F$34,其他调用!AM59)*其他调用!AI59</f>
        <v>0</v>
      </c>
      <c r="AD59" s="21">
        <f>求节点(将星点产出!$C$26:$C$34,将星点产出!G$26:G$34,其他调用!AN59)*其他调用!AJ59</f>
        <v>33600</v>
      </c>
      <c r="AE59" s="21">
        <f>求节点(将星点产出!$C$26:$C$34,将星点产出!H$26:H$34,其他调用!AO59)*其他调用!AK59</f>
        <v>10575.862927235918</v>
      </c>
      <c r="AF59" s="21">
        <f>求节点(将星点产出!$C$26:$C$34,将星点产出!I$26:I$34,其他调用!AP59)*其他调用!AL59</f>
        <v>0</v>
      </c>
      <c r="AG59" s="21">
        <f t="shared" si="8"/>
        <v>59751</v>
      </c>
      <c r="AI59" s="7">
        <f>求节点($N$26:$N$32,P$26:P$32,其他调用!BF59)*其他调用!BB59</f>
        <v>1431.3886444627224</v>
      </c>
      <c r="AJ59" s="7">
        <f>求节点($N$26:$N$32,Q$26:Q$32,其他调用!BG59)*其他调用!BC59</f>
        <v>14958.863928328828</v>
      </c>
      <c r="AK59" s="7">
        <f>求节点($N$26:$N$32,R$26:R$32,其他调用!BH59)*其他调用!BD59</f>
        <v>31106.308044030084</v>
      </c>
      <c r="AL59" s="7">
        <f>求节点($N$26:$N$32,S$26:S$32,其他调用!BI59)*其他调用!BE59</f>
        <v>0</v>
      </c>
      <c r="AM59" s="21">
        <f t="shared" si="9"/>
        <v>47496</v>
      </c>
      <c r="AO59" s="21">
        <f t="shared" si="10"/>
        <v>107247</v>
      </c>
    </row>
    <row r="60" spans="22:41">
      <c r="V60" s="21">
        <f>其他调用!W60</f>
        <v>76.5</v>
      </c>
      <c r="W60" s="21">
        <f>其他调用!X60</f>
        <v>64.781009552500748</v>
      </c>
      <c r="X60" s="21">
        <f>求节点(将星点产出!$C$26:$C$34,将星点产出!E$26:E$34,其他调用!AD60)*其他调用!Y60</f>
        <v>0</v>
      </c>
      <c r="Y60" s="21">
        <f>求节点(将星点产出!$C$26:$C$34,将星点产出!F$26:F$34,其他调用!AE60)*其他调用!Z60</f>
        <v>0</v>
      </c>
      <c r="Z60" s="21">
        <f>求节点(将星点产出!$C$26:$C$34,将星点产出!G$26:G$34,其他调用!AF60)*其他调用!AA60</f>
        <v>0</v>
      </c>
      <c r="AA60" s="21">
        <f>求节点(将星点产出!$C$26:$C$34,将星点产出!H$26:H$34,其他调用!AG60)*其他调用!AB60</f>
        <v>9633.9973641344586</v>
      </c>
      <c r="AB60" s="21">
        <f>求节点(将星点产出!$C$26:$C$34,将星点产出!I$26:I$34,其他调用!AH60)*其他调用!AC60</f>
        <v>12334.670355160517</v>
      </c>
      <c r="AC60" s="21">
        <f>求节点(将星点产出!$C$26:$C$34,将星点产出!F$26:F$34,其他调用!AM60)*其他调用!AI60</f>
        <v>0</v>
      </c>
      <c r="AD60" s="21">
        <f>求节点(将星点产出!$C$26:$C$34,将星点产出!G$26:G$34,其他调用!AN60)*其他调用!AJ60</f>
        <v>39200</v>
      </c>
      <c r="AE60" s="21">
        <f>求节点(将星点产出!$C$26:$C$34,将星点产出!H$26:H$34,其他调用!AO60)*其他调用!AK60</f>
        <v>19267.994728268917</v>
      </c>
      <c r="AF60" s="21">
        <f>求节点(将星点产出!$C$26:$C$34,将星点产出!I$26:I$34,其他调用!AP60)*其他调用!AL60</f>
        <v>0</v>
      </c>
      <c r="AG60" s="21">
        <f t="shared" si="8"/>
        <v>80436</v>
      </c>
      <c r="AI60" s="7">
        <f>求节点($N$26:$N$32,P$26:P$32,其他调用!BF60)*其他调用!BB60</f>
        <v>1613.8934512809965</v>
      </c>
      <c r="AJ60" s="7">
        <f>求节点($N$26:$N$32,Q$26:Q$32,其他调用!BG60)*其他调用!BC60</f>
        <v>21583.502294478745</v>
      </c>
      <c r="AK60" s="7">
        <f>求节点($N$26:$N$32,R$26:R$32,其他调用!BH60)*其他调用!BD60</f>
        <v>42875.154043594695</v>
      </c>
      <c r="AL60" s="7">
        <f>求节点($N$26:$N$32,S$26:S$32,其他调用!BI60)*其他调用!BE60</f>
        <v>1800</v>
      </c>
      <c r="AM60" s="21">
        <f t="shared" si="9"/>
        <v>67872</v>
      </c>
      <c r="AO60" s="21">
        <f t="shared" si="10"/>
        <v>148308</v>
      </c>
    </row>
    <row r="61" spans="22:41">
      <c r="V61" s="21">
        <f>其他调用!W61</f>
        <v>102</v>
      </c>
      <c r="W61" s="21">
        <f>其他调用!X61</f>
        <v>68.923431594456531</v>
      </c>
      <c r="X61" s="21">
        <f>求节点(将星点产出!$C$26:$C$34,将星点产出!E$26:E$34,其他调用!AD61)*其他调用!Y61</f>
        <v>0</v>
      </c>
      <c r="Y61" s="21">
        <f>求节点(将星点产出!$C$26:$C$34,将星点产出!F$26:F$34,其他调用!AE61)*其他调用!Z61</f>
        <v>0</v>
      </c>
      <c r="Z61" s="21">
        <f>求节点(将星点产出!$C$26:$C$34,将星点产出!G$26:G$34,其他调用!AF61)*其他调用!AA61</f>
        <v>0</v>
      </c>
      <c r="AA61" s="21">
        <f>求节点(将星点产出!$C$26:$C$34,将星点产出!H$26:H$34,其他调用!AG61)*其他调用!AB61</f>
        <v>7197.5703886826113</v>
      </c>
      <c r="AB61" s="21">
        <f>求节点(将星点产出!$C$26:$C$34,将星点产出!I$26:I$34,其他调用!AH61)*其他调用!AC61</f>
        <v>19697.246455988839</v>
      </c>
      <c r="AC61" s="21">
        <f>求节点(将星点产出!$C$26:$C$34,将星点产出!F$26:F$34,其他调用!AM61)*其他调用!AI61</f>
        <v>0</v>
      </c>
      <c r="AD61" s="21">
        <f>求节点(将星点产出!$C$26:$C$34,将星点产出!G$26:G$34,其他调用!AN61)*其他调用!AJ61</f>
        <v>44800</v>
      </c>
      <c r="AE61" s="21">
        <f>求节点(将星点产出!$C$26:$C$34,将星点产出!H$26:H$34,其他调用!AO61)*其他调用!AK61</f>
        <v>21592.711166047833</v>
      </c>
      <c r="AF61" s="21">
        <f>求节点(将星点产出!$C$26:$C$34,将星点产出!I$26:I$34,其他调用!AP61)*其他调用!AL61</f>
        <v>0</v>
      </c>
      <c r="AG61" s="21">
        <f t="shared" si="8"/>
        <v>93287</v>
      </c>
      <c r="AI61" s="7">
        <f>求节点($N$26:$N$32,P$26:P$32,其他调用!BF61)*其他调用!BB61</f>
        <v>1650</v>
      </c>
      <c r="AJ61" s="7">
        <f>求节点($N$26:$N$32,Q$26:Q$32,其他调用!BG61)*其他调用!BC61</f>
        <v>27824.163581233901</v>
      </c>
      <c r="AK61" s="7">
        <f>求节点($N$26:$N$32,R$26:R$32,其他调用!BH61)*其他调用!BD61</f>
        <v>51228.666667957164</v>
      </c>
      <c r="AL61" s="7">
        <f>求节点($N$26:$N$32,S$26:S$32,其他调用!BI61)*其他调用!BE61</f>
        <v>3600</v>
      </c>
      <c r="AM61" s="21">
        <f t="shared" si="9"/>
        <v>84302</v>
      </c>
      <c r="AO61" s="21">
        <f t="shared" si="10"/>
        <v>177589</v>
      </c>
    </row>
    <row r="62" spans="22:41">
      <c r="V62" s="21">
        <f>其他调用!W62</f>
        <v>127.5</v>
      </c>
      <c r="W62" s="21">
        <f>其他调用!X62</f>
        <v>72.103942950990486</v>
      </c>
      <c r="X62" s="21">
        <f>求节点(将星点产出!$C$26:$C$34,将星点产出!E$26:E$34,其他调用!AD62)*其他调用!Y62</f>
        <v>0</v>
      </c>
      <c r="Y62" s="21">
        <f>求节点(将星点产出!$C$26:$C$34,将星点产出!F$26:F$34,其他调用!AE62)*其他调用!Z62</f>
        <v>0</v>
      </c>
      <c r="Z62" s="21">
        <f>求节点(将星点产出!$C$26:$C$34,将星点产出!G$26:G$34,其他调用!AF62)*其他调用!AA62</f>
        <v>0</v>
      </c>
      <c r="AA62" s="21">
        <f>求节点(将星点产出!$C$26:$C$34,将星点产出!H$26:H$34,其他调用!AG62)*其他调用!AB62</f>
        <v>3944.6230478221969</v>
      </c>
      <c r="AB62" s="21">
        <f>求节点(将星点产出!$C$26:$C$34,将星点产出!I$26:I$34,其他调用!AH62)*其他调用!AC62</f>
        <v>25903.853497124706</v>
      </c>
      <c r="AC62" s="21">
        <f>求节点(将星点产出!$C$26:$C$34,将星点产出!F$26:F$34,其他调用!AM62)*其他调用!AI62</f>
        <v>0</v>
      </c>
      <c r="AD62" s="21">
        <f>求节点(将星点产出!$C$26:$C$34,将星点产出!G$26:G$34,其他调用!AN62)*其他调用!AJ62</f>
        <v>33600</v>
      </c>
      <c r="AE62" s="21">
        <f>求节点(将星点产出!$C$26:$C$34,将星点产出!H$26:H$34,其他调用!AO62)*其他调用!AK62</f>
        <v>47335.476573866363</v>
      </c>
      <c r="AF62" s="21">
        <f>求节点(将星点产出!$C$26:$C$34,将星点产出!I$26:I$34,其他调用!AP62)*其他调用!AL62</f>
        <v>0</v>
      </c>
      <c r="AG62" s="21">
        <f t="shared" si="8"/>
        <v>110783</v>
      </c>
      <c r="AI62" s="7">
        <f>求节点($N$26:$N$32,P$26:P$32,其他调用!BF62)*其他调用!BB62</f>
        <v>1650</v>
      </c>
      <c r="AJ62" s="7">
        <f>求节点($N$26:$N$32,Q$26:Q$32,其他调用!BG62)*其他调用!BC62</f>
        <v>33279.314992731939</v>
      </c>
      <c r="AK62" s="7">
        <f>求节点($N$26:$N$32,R$26:R$32,其他调用!BH62)*其他调用!BD62</f>
        <v>56705.21083008853</v>
      </c>
      <c r="AL62" s="7">
        <f>求节点($N$26:$N$32,S$26:S$32,其他调用!BI62)*其他调用!BE62</f>
        <v>5400</v>
      </c>
      <c r="AM62" s="21">
        <f t="shared" si="9"/>
        <v>97034</v>
      </c>
      <c r="AO62" s="21">
        <f t="shared" si="10"/>
        <v>207817</v>
      </c>
    </row>
    <row r="63" spans="22:41">
      <c r="V63" s="21">
        <f>其他调用!W63</f>
        <v>153</v>
      </c>
      <c r="W63" s="21">
        <f>其他调用!X63</f>
        <v>74.74003809013405</v>
      </c>
      <c r="X63" s="21">
        <f>求节点(将星点产出!$C$26:$C$34,将星点产出!E$26:E$34,其他调用!AD63)*其他调用!Y63</f>
        <v>0</v>
      </c>
      <c r="Y63" s="21">
        <f>求节点(将星点产出!$C$26:$C$34,将星点产出!F$26:F$34,其他调用!AE63)*其他调用!Z63</f>
        <v>0</v>
      </c>
      <c r="Z63" s="21">
        <f>求节点(将星点产出!$C$26:$C$34,将星点产出!G$26:G$34,其他调用!AF63)*其他调用!AA63</f>
        <v>0</v>
      </c>
      <c r="AA63" s="21">
        <f>求节点(将星点产出!$C$26:$C$34,将星点产出!H$26:H$34,其他调用!AG63)*其他调用!AB63</f>
        <v>2141.7234869097774</v>
      </c>
      <c r="AB63" s="21">
        <f>求节点(将星点产出!$C$26:$C$34,将星点产出!I$26:I$34,其他调用!AH63)*其他调用!AC63</f>
        <v>31915.629219273516</v>
      </c>
      <c r="AC63" s="21">
        <f>求节点(将星点产出!$C$26:$C$34,将星点产出!F$26:F$34,其他调用!AM63)*其他调用!AI63</f>
        <v>0</v>
      </c>
      <c r="AD63" s="21">
        <f>求节点(将星点产出!$C$26:$C$34,将星点产出!G$26:G$34,其他调用!AN63)*其他调用!AJ63</f>
        <v>33600</v>
      </c>
      <c r="AE63" s="21">
        <f>求节点(将星点产出!$C$26:$C$34,将星点产出!H$26:H$34,其他调用!AO63)*其他调用!AK63</f>
        <v>51401.363685834658</v>
      </c>
      <c r="AF63" s="21">
        <f>求节点(将星点产出!$C$26:$C$34,将星点产出!I$26:I$34,其他调用!AP63)*其他调用!AL63</f>
        <v>0</v>
      </c>
      <c r="AG63" s="21">
        <f t="shared" si="8"/>
        <v>119058</v>
      </c>
      <c r="AI63" s="7">
        <f>求节点($N$26:$N$32,P$26:P$32,其他调用!BF63)*其他调用!BB63</f>
        <v>1650</v>
      </c>
      <c r="AJ63" s="7">
        <f>求节点($N$26:$N$32,Q$26:Q$32,其他调用!BG63)*其他调用!BC63</f>
        <v>38734.466404229956</v>
      </c>
      <c r="AK63" s="7">
        <f>求节点($N$26:$N$32,R$26:R$32,其他调用!BH63)*其他调用!BD63</f>
        <v>62181.754992219881</v>
      </c>
      <c r="AL63" s="7">
        <f>求节点($N$26:$N$32,S$26:S$32,其他调用!BI63)*其他调用!BE63</f>
        <v>9000</v>
      </c>
      <c r="AM63" s="21">
        <f t="shared" si="9"/>
        <v>111566</v>
      </c>
      <c r="AO63" s="21">
        <f t="shared" si="10"/>
        <v>230624</v>
      </c>
    </row>
    <row r="64" spans="22:41">
      <c r="V64" s="21">
        <f>其他调用!W64</f>
        <v>187</v>
      </c>
      <c r="W64" s="21">
        <f>其他调用!X64</f>
        <v>77.609642525433856</v>
      </c>
      <c r="X64" s="21">
        <f>求节点(将星点产出!$C$26:$C$34,将星点产出!E$26:E$34,其他调用!AD64)*其他调用!Y64</f>
        <v>0</v>
      </c>
      <c r="Y64" s="21">
        <f>求节点(将星点产出!$C$26:$C$34,将星点产出!F$26:F$34,其他调用!AE64)*其他调用!Z64</f>
        <v>0</v>
      </c>
      <c r="Z64" s="21">
        <f>求节点(将星点产出!$C$26:$C$34,将星点产出!G$26:G$34,其他调用!AF64)*其他调用!AA64</f>
        <v>0</v>
      </c>
      <c r="AA64" s="21">
        <f>求节点(将星点产出!$C$26:$C$34,将星点产出!H$26:H$34,其他调用!AG64)*其他调用!AB64</f>
        <v>0</v>
      </c>
      <c r="AB64" s="21">
        <f>求节点(将星点产出!$C$26:$C$34,将星点产出!I$26:I$34,其他调用!AH64)*其他调用!AC64</f>
        <v>39421.633097091806</v>
      </c>
      <c r="AC64" s="21">
        <f>求节点(将星点产出!$C$26:$C$34,将星点产出!F$26:F$34,其他调用!AM64)*其他调用!AI64</f>
        <v>0</v>
      </c>
      <c r="AD64" s="21">
        <f>求节点(将星点产出!$C$26:$C$34,将星点产出!G$26:G$34,其他调用!AN64)*其他调用!AJ64</f>
        <v>28000</v>
      </c>
      <c r="AE64" s="21">
        <f>求节点(将星点产出!$C$26:$C$34,将星点产出!H$26:H$34,其他调用!AO64)*其他调用!AK64</f>
        <v>71211.514440437371</v>
      </c>
      <c r="AF64" s="21">
        <f>求节点(将星点产出!$C$26:$C$34,将星点产出!I$26:I$34,其他调用!AP64)*其他调用!AL64</f>
        <v>0</v>
      </c>
      <c r="AG64" s="21">
        <f t="shared" si="8"/>
        <v>138633</v>
      </c>
      <c r="AI64" s="7">
        <f>求节点($N$26:$N$32,P$26:P$32,其他调用!BF64)*其他调用!BB64</f>
        <v>1650</v>
      </c>
      <c r="AJ64" s="7">
        <f>求节点($N$26:$N$32,Q$26:Q$32,其他调用!BG64)*其他调用!BC64</f>
        <v>45888.505899881158</v>
      </c>
      <c r="AK64" s="7">
        <f>求节点($N$26:$N$32,R$26:R$32,其他调用!BH64)*其他调用!BD64</f>
        <v>70130.113765390546</v>
      </c>
      <c r="AL64" s="7">
        <f>求节点($N$26:$N$32,S$26:S$32,其他调用!BI64)*其他调用!BE64</f>
        <v>14400</v>
      </c>
      <c r="AM64" s="21">
        <f t="shared" si="9"/>
        <v>132068</v>
      </c>
      <c r="AO64" s="21">
        <f t="shared" si="10"/>
        <v>270701</v>
      </c>
    </row>
    <row r="65" spans="22:41">
      <c r="V65" s="21">
        <f>其他调用!W65</f>
        <v>221</v>
      </c>
      <c r="W65" s="21">
        <f>其他调用!X65</f>
        <v>79.994335665275713</v>
      </c>
      <c r="X65" s="21">
        <f>求节点(将星点产出!$C$26:$C$34,将星点产出!E$26:E$34,其他调用!AD65)*其他调用!Y65</f>
        <v>0</v>
      </c>
      <c r="Y65" s="21">
        <f>求节点(将星点产出!$C$26:$C$34,将星点产出!F$26:F$34,其他调用!AE65)*其他调用!Z65</f>
        <v>0</v>
      </c>
      <c r="Z65" s="21">
        <f>求节点(将星点产出!$C$26:$C$34,将星点产出!G$26:G$34,其他调用!AF65)*其他调用!AA65</f>
        <v>0</v>
      </c>
      <c r="AA65" s="21">
        <f>求节点(将星点产出!$C$26:$C$34,将星点产出!H$26:H$34,其他调用!AG65)*其他调用!AB65</f>
        <v>0</v>
      </c>
      <c r="AB65" s="21">
        <f>求节点(将星点产出!$C$26:$C$34,将星点产出!I$26:I$34,其他调用!AH65)*其他调用!AC65</f>
        <v>45929.647033065601</v>
      </c>
      <c r="AC65" s="21">
        <f>求节点(将星点产出!$C$26:$C$34,将星点产出!F$26:F$34,其他调用!AM65)*其他调用!AI65</f>
        <v>0</v>
      </c>
      <c r="AD65" s="21">
        <f>求节点(将星点产出!$C$26:$C$34,将星点产出!G$26:G$34,其他调用!AN65)*其他调用!AJ65</f>
        <v>22400</v>
      </c>
      <c r="AE65" s="21">
        <f>求节点(将星点产出!$C$26:$C$34,将星点产出!H$26:H$34,其他调用!AO65)*其他调用!AK65</f>
        <v>95293.100379275507</v>
      </c>
      <c r="AF65" s="21">
        <f>求节点(将星点产出!$C$26:$C$34,将星点产出!I$26:I$34,其他调用!AP65)*其他调用!AL65</f>
        <v>0</v>
      </c>
      <c r="AG65" s="21">
        <f t="shared" si="8"/>
        <v>163622</v>
      </c>
      <c r="AI65" s="7">
        <f>求节点($N$26:$N$32,P$26:P$32,其他调用!BF65)*其他调用!BB65</f>
        <v>1650</v>
      </c>
      <c r="AJ65" s="7">
        <f>求节点($N$26:$N$32,Q$26:Q$32,其他调用!BG65)*其他调用!BC65</f>
        <v>52614.219698363391</v>
      </c>
      <c r="AK65" s="7">
        <f>求节点($N$26:$N$32,R$26:R$32,其他调用!BH65)*其他调用!BD65</f>
        <v>77846.787075918095</v>
      </c>
      <c r="AL65" s="7">
        <f>求节点($N$26:$N$32,S$26:S$32,其他调用!BI65)*其他调用!BE65</f>
        <v>17560.633601877515</v>
      </c>
      <c r="AM65" s="21">
        <f t="shared" si="9"/>
        <v>149671</v>
      </c>
      <c r="AO65" s="21">
        <f t="shared" si="10"/>
        <v>313293</v>
      </c>
    </row>
    <row r="66" spans="22:41">
      <c r="V66" s="21">
        <f>其他调用!W66</f>
        <v>255</v>
      </c>
      <c r="W66" s="21">
        <f>其他调用!X66</f>
        <v>82.100546804797787</v>
      </c>
      <c r="X66" s="21">
        <f>求节点(将星点产出!$C$26:$C$34,将星点产出!E$26:E$34,其他调用!AD66)*其他调用!Y66</f>
        <v>0</v>
      </c>
      <c r="Y66" s="21">
        <f>求节点(将星点产出!$C$26:$C$34,将星点产出!F$26:F$34,其他调用!AE66)*其他调用!Z66</f>
        <v>0</v>
      </c>
      <c r="Z66" s="21">
        <f>求节点(将星点产出!$C$26:$C$34,将星点产出!G$26:G$34,其他调用!AF66)*其他调用!AA66</f>
        <v>0</v>
      </c>
      <c r="AA66" s="21">
        <f>求节点(将星点产出!$C$26:$C$34,将星点产出!H$26:H$34,其他调用!AG66)*其他调用!AB66</f>
        <v>0</v>
      </c>
      <c r="AB66" s="21">
        <f>求节点(将星点产出!$C$26:$C$34,将星点产出!I$26:I$34,其他调用!AH66)*其他调用!AC66</f>
        <v>51971.686144259817</v>
      </c>
      <c r="AC66" s="21">
        <f>求节点(将星点产出!$C$26:$C$34,将星点产出!F$26:F$34,其他调用!AM66)*其他调用!AI66</f>
        <v>0</v>
      </c>
      <c r="AD66" s="21">
        <f>求节点(将星点产出!$C$26:$C$34,将星点产出!G$26:G$34,其他调用!AN66)*其他调用!AJ66</f>
        <v>16800</v>
      </c>
      <c r="AE66" s="21">
        <f>求节点(将星点产出!$C$26:$C$34,将星点产出!H$26:H$34,其他调用!AO66)*其他调用!AK66</f>
        <v>122995.11894014788</v>
      </c>
      <c r="AF66" s="21">
        <f>求节点(将星点产出!$C$26:$C$34,将星点产出!I$26:I$34,其他调用!AP66)*其他调用!AL66</f>
        <v>0</v>
      </c>
      <c r="AG66" s="21">
        <f t="shared" si="8"/>
        <v>191766</v>
      </c>
      <c r="AI66" s="7">
        <f>求节点($N$26:$N$32,P$26:P$32,其他调用!BF66)*其他调用!BB66</f>
        <v>1650</v>
      </c>
      <c r="AJ66" s="7">
        <f>求节点($N$26:$N$32,Q$26:Q$32,其他调用!BG66)*其他调用!BC66</f>
        <v>59334.369971207445</v>
      </c>
      <c r="AK66" s="7">
        <f>求节点($N$26:$N$32,R$26:R$32,其他调用!BH66)*其他调用!BD66</f>
        <v>85557.077136861844</v>
      </c>
      <c r="AL66" s="7">
        <f>求节点($N$26:$N$32,S$26:S$32,其他调用!BI66)*其他调用!BE66</f>
        <v>21525.925633220017</v>
      </c>
      <c r="AM66" s="21">
        <f t="shared" si="9"/>
        <v>168067</v>
      </c>
      <c r="AO66" s="21">
        <f t="shared" si="10"/>
        <v>359833</v>
      </c>
    </row>
    <row r="67" spans="22:41">
      <c r="V67" s="21">
        <f>其他调用!W67</f>
        <v>289</v>
      </c>
      <c r="W67" s="21">
        <f>其他调用!X67</f>
        <v>83.885420957389968</v>
      </c>
      <c r="X67" s="21">
        <f>求节点(将星点产出!$C$26:$C$34,将星点产出!E$26:E$34,其他调用!AD67)*其他调用!Y67</f>
        <v>0</v>
      </c>
      <c r="Y67" s="21">
        <f>求节点(将星点产出!$C$26:$C$34,将星点产出!F$26:F$34,其他调用!AE67)*其他调用!Z67</f>
        <v>0</v>
      </c>
      <c r="Z67" s="21">
        <f>求节点(将星点产出!$C$26:$C$34,将星点产出!G$26:G$34,其他调用!AF67)*其他调用!AA67</f>
        <v>0</v>
      </c>
      <c r="AA67" s="21">
        <f>求节点(将星点产出!$C$26:$C$34,将星点产出!H$26:H$34,其他调用!AG67)*其他调用!AB67</f>
        <v>0</v>
      </c>
      <c r="AB67" s="21">
        <f>求节点(将星点产出!$C$26:$C$34,将星点产出!I$26:I$34,其他调用!AH67)*其他调用!AC67</f>
        <v>57752.584263839701</v>
      </c>
      <c r="AC67" s="21">
        <f>求节点(将星点产出!$C$26:$C$34,将星点产出!F$26:F$34,其他调用!AM67)*其他调用!AI67</f>
        <v>0</v>
      </c>
      <c r="AD67" s="21">
        <f>求节点(将星点产出!$C$26:$C$34,将星点产出!G$26:G$34,其他调用!AN67)*其他调用!AJ67</f>
        <v>11200</v>
      </c>
      <c r="AE67" s="21">
        <f>求节点(将星点产出!$C$26:$C$34,将星点产出!H$26:H$34,其他调用!AO67)*其他调用!AK67</f>
        <v>142821.22393314927</v>
      </c>
      <c r="AF67" s="21">
        <f>求节点(将星点产出!$C$26:$C$34,将星点产出!I$26:I$34,其他调用!AP67)*其他调用!AL67</f>
        <v>0</v>
      </c>
      <c r="AG67" s="21">
        <f t="shared" si="8"/>
        <v>211773</v>
      </c>
      <c r="AI67" s="7">
        <f>求节点($N$26:$N$32,P$26:P$32,其他调用!BF67)*其他调用!BB67</f>
        <v>1650</v>
      </c>
      <c r="AJ67" s="7">
        <f>求节点($N$26:$N$32,Q$26:Q$32,其他调用!BG67)*其他调用!BC67</f>
        <v>66054.520244051513</v>
      </c>
      <c r="AK67" s="7">
        <f>求节点($N$26:$N$32,R$26:R$32,其他调用!BH67)*其他调用!BD67</f>
        <v>93267.367197805652</v>
      </c>
      <c r="AL67" s="7">
        <f>求节点($N$26:$N$32,S$26:S$32,其他调用!BI67)*其他调用!BE67</f>
        <v>25491.21766456253</v>
      </c>
      <c r="AM67" s="21">
        <f t="shared" si="9"/>
        <v>186463</v>
      </c>
      <c r="AO67" s="21">
        <f t="shared" si="10"/>
        <v>398236</v>
      </c>
    </row>
    <row r="68" spans="22:41">
      <c r="V68" s="21">
        <f>其他调用!W68</f>
        <v>340</v>
      </c>
      <c r="W68" s="21">
        <f>其他调用!X68</f>
        <v>86.247032860782397</v>
      </c>
      <c r="X68" s="21">
        <f>求节点(将星点产出!$C$26:$C$34,将星点产出!E$26:E$34,其他调用!AD68)*其他调用!Y68</f>
        <v>0</v>
      </c>
      <c r="Y68" s="21">
        <f>求节点(将星点产出!$C$26:$C$34,将星点产出!F$26:F$34,其他调用!AE68)*其他调用!Z68</f>
        <v>0</v>
      </c>
      <c r="Z68" s="21">
        <f>求节点(将星点产出!$C$26:$C$34,将星点产出!G$26:G$34,其他调用!AF68)*其他调用!AA68</f>
        <v>0</v>
      </c>
      <c r="AA68" s="21">
        <f>求节点(将星点产出!$C$26:$C$34,将星点产出!H$26:H$34,其他调用!AG68)*其他调用!AB68</f>
        <v>0</v>
      </c>
      <c r="AB68" s="21">
        <f>求节点(将星点产出!$C$26:$C$34,将星点产出!I$26:I$34,其他调用!AH68)*其他调用!AC68</f>
        <v>65512.066241821049</v>
      </c>
      <c r="AC68" s="21">
        <f>求节点(将星点产出!$C$26:$C$34,将星点产出!F$26:F$34,其他调用!AM68)*其他调用!AI68</f>
        <v>0</v>
      </c>
      <c r="AD68" s="21">
        <f>求节点(将星点产出!$C$26:$C$34,将星点产出!G$26:G$34,其他调用!AN68)*其他调用!AJ68</f>
        <v>5600</v>
      </c>
      <c r="AE68" s="21">
        <f>求节点(将星点产出!$C$26:$C$34,将星点产出!H$26:H$34,其他调用!AO68)*其他调用!AK68</f>
        <v>162874.57807189709</v>
      </c>
      <c r="AF68" s="21">
        <f>求节点(将星点产出!$C$26:$C$34,将星点产出!I$26:I$34,其他调用!AP68)*其他调用!AL68</f>
        <v>0</v>
      </c>
      <c r="AG68" s="21">
        <f t="shared" si="8"/>
        <v>233986</v>
      </c>
      <c r="AI68" s="7">
        <f>求节点($N$26:$N$32,P$26:P$32,其他调用!BF68)*其他调用!BB68</f>
        <v>1650</v>
      </c>
      <c r="AJ68" s="7">
        <f>求节点($N$26:$N$32,Q$26:Q$32,其他调用!BG68)*其他调用!BC68</f>
        <v>71400</v>
      </c>
      <c r="AK68" s="7">
        <f>求节点($N$26:$N$32,R$26:R$32,其他调用!BH68)*其他调用!BD68</f>
        <v>104832.80228922132</v>
      </c>
      <c r="AL68" s="7">
        <f>求节点($N$26:$N$32,S$26:S$32,其他调用!BI68)*其他调用!BE68</f>
        <v>30852.676664559349</v>
      </c>
      <c r="AM68" s="21">
        <f t="shared" si="9"/>
        <v>208735</v>
      </c>
      <c r="AO68" s="21">
        <f t="shared" si="10"/>
        <v>442721</v>
      </c>
    </row>
    <row r="69" spans="22:41">
      <c r="V69" s="21">
        <f>其他调用!W69</f>
        <v>442</v>
      </c>
      <c r="W69" s="21">
        <f>其他调用!X69</f>
        <v>90.122782504866933</v>
      </c>
      <c r="X69" s="21">
        <f>求节点(将星点产出!$C$26:$C$34,将星点产出!E$26:E$34,其他调用!AD69)*其他调用!Y69</f>
        <v>0</v>
      </c>
      <c r="Y69" s="21">
        <f>求节点(将星点产出!$C$26:$C$34,将星点产出!F$26:F$34,其他调用!AE69)*其他调用!Z69</f>
        <v>0</v>
      </c>
      <c r="Z69" s="21">
        <f>求节点(将星点产出!$C$26:$C$34,将星点产出!G$26:G$34,其他调用!AF69)*其他调用!AA69</f>
        <v>0</v>
      </c>
      <c r="AA69" s="21">
        <f>求节点(将星点产出!$C$26:$C$34,将星点产出!H$26:H$34,其他调用!AG69)*其他调用!AB69</f>
        <v>0</v>
      </c>
      <c r="AB69" s="21">
        <f>求节点(将星点产出!$C$26:$C$34,将星点产出!I$26:I$34,其他调用!AH69)*其他调用!AC69</f>
        <v>79341.344301465462</v>
      </c>
      <c r="AC69" s="21">
        <f>求节点(将星点产出!$C$26:$C$34,将星点产出!F$26:F$34,其他调用!AM69)*其他调用!AI69</f>
        <v>0</v>
      </c>
      <c r="AD69" s="21">
        <f>求节点(将星点产出!$C$26:$C$34,将星点产出!G$26:G$34,其他调用!AN69)*其他调用!AJ69</f>
        <v>0</v>
      </c>
      <c r="AE69" s="21">
        <f>求节点(将星点产出!$C$26:$C$34,将星点产出!H$26:H$34,其他调用!AO69)*其他调用!AK69</f>
        <v>192469.07557179968</v>
      </c>
      <c r="AF69" s="21">
        <f>求节点(将星点产出!$C$26:$C$34,将星点产出!I$26:I$34,其他调用!AP69)*其他调用!AL69</f>
        <v>0</v>
      </c>
      <c r="AG69" s="21">
        <f t="shared" si="8"/>
        <v>271810</v>
      </c>
      <c r="AI69" s="7">
        <f>求节点($N$26:$N$32,P$26:P$32,其他调用!BF69)*其他调用!BB69</f>
        <v>1650</v>
      </c>
      <c r="AJ69" s="7">
        <f>求节点($N$26:$N$32,Q$26:Q$32,其他调用!BG69)*其他调用!BC69</f>
        <v>71400</v>
      </c>
      <c r="AK69" s="7">
        <f>求节点($N$26:$N$32,R$26:R$32,其他调用!BH69)*其他调用!BD69</f>
        <v>126752.4131029292</v>
      </c>
      <c r="AL69" s="7">
        <f>求节点($N$26:$N$32,S$26:S$32,其他调用!BI69)*其他调用!BE69</f>
        <v>39620.520990042518</v>
      </c>
      <c r="AM69" s="21">
        <f t="shared" si="9"/>
        <v>239422</v>
      </c>
      <c r="AO69" s="21">
        <f t="shared" si="10"/>
        <v>511232</v>
      </c>
    </row>
    <row r="70" spans="22:41">
      <c r="V70" s="21">
        <f>其他调用!W70</f>
        <v>544</v>
      </c>
      <c r="W70" s="21">
        <f>其他调用!X70</f>
        <v>93.149045658279036</v>
      </c>
      <c r="X70" s="21">
        <f>求节点(将星点产出!$C$26:$C$34,将星点产出!E$26:E$34,其他调用!AD70)*其他调用!Y70</f>
        <v>0</v>
      </c>
      <c r="Y70" s="21">
        <f>求节点(将星点产出!$C$26:$C$34,将星点产出!F$26:F$34,其他调用!AE70)*其他调用!Z70</f>
        <v>0</v>
      </c>
      <c r="Z70" s="21">
        <f>求节点(将星点产出!$C$26:$C$34,将星点产出!G$26:G$34,其他调用!AF70)*其他调用!AA70</f>
        <v>0</v>
      </c>
      <c r="AA70" s="21">
        <f>求节点(将星点产出!$C$26:$C$34,将星点产出!H$26:H$34,其他调用!AG70)*其他调用!AB70</f>
        <v>0</v>
      </c>
      <c r="AB70" s="21">
        <f>求节点(将星点产出!$C$26:$C$34,将星点产出!I$26:I$34,其他调用!AH70)*其他调用!AC70</f>
        <v>97972.324255397383</v>
      </c>
      <c r="AC70" s="21">
        <f>求节点(将星点产出!$C$26:$C$34,将星点产出!F$26:F$34,其他调用!AM70)*其他调用!AI70</f>
        <v>0</v>
      </c>
      <c r="AD70" s="21">
        <f>求节点(将星点产出!$C$26:$C$34,将星点产出!G$26:G$34,其他调用!AN70)*其他调用!AJ70</f>
        <v>0</v>
      </c>
      <c r="AE70" s="21">
        <f>求节点(将星点产出!$C$26:$C$34,将星点产出!H$26:H$34,其他调用!AO70)*其他调用!AK70</f>
        <v>218770.89719010313</v>
      </c>
      <c r="AF70" s="21">
        <f>求节点(将星点产出!$C$26:$C$34,将星点产出!I$26:I$34,其他调用!AP70)*其他调用!AL70</f>
        <v>0</v>
      </c>
      <c r="AG70" s="21">
        <f t="shared" si="8"/>
        <v>316743</v>
      </c>
      <c r="AI70" s="7">
        <f>求节点($N$26:$N$32,P$26:P$32,其他调用!BF70)*其他调用!BB70</f>
        <v>1650</v>
      </c>
      <c r="AJ70" s="7">
        <f>求节点($N$26:$N$32,Q$26:Q$32,其他调用!BG70)*其他调用!BC70</f>
        <v>71400</v>
      </c>
      <c r="AK70" s="7">
        <f>求节点($N$26:$N$32,R$26:R$32,其他调用!BH70)*其他调用!BD70</f>
        <v>148376.5948022168</v>
      </c>
      <c r="AL70" s="7">
        <f>求节点($N$26:$N$32,S$26:S$32,其他调用!BI70)*其他调用!BE70</f>
        <v>48270.193669757558</v>
      </c>
      <c r="AM70" s="21">
        <f t="shared" si="9"/>
        <v>269696</v>
      </c>
      <c r="AO70" s="21">
        <f t="shared" si="10"/>
        <v>586439</v>
      </c>
    </row>
    <row r="71" spans="22:41">
      <c r="V71" s="21">
        <f>其他调用!W71</f>
        <v>697</v>
      </c>
      <c r="W71" s="21">
        <f>其他调用!X71</f>
        <v>96.770480813454071</v>
      </c>
      <c r="X71" s="21">
        <f>求节点(将星点产出!$C$26:$C$34,将星点产出!E$26:E$34,其他调用!AD71)*其他调用!Y71</f>
        <v>0</v>
      </c>
      <c r="Y71" s="21">
        <f>求节点(将星点产出!$C$26:$C$34,将星点产出!F$26:F$34,其他调用!AE71)*其他调用!Z71</f>
        <v>0</v>
      </c>
      <c r="Z71" s="21">
        <f>求节点(将星点产出!$C$26:$C$34,将星点产出!G$26:G$34,其他调用!AF71)*其他调用!AA71</f>
        <v>0</v>
      </c>
      <c r="AA71" s="21">
        <f>求节点(将星点产出!$C$26:$C$34,将星点产出!H$26:H$34,其他调用!AG71)*其他调用!AB71</f>
        <v>0</v>
      </c>
      <c r="AB71" s="21">
        <f>求节点(将星点产出!$C$26:$C$34,将星点产出!I$26:I$34,其他调用!AH71)*其他调用!AC71</f>
        <v>121107.74527393584</v>
      </c>
      <c r="AC71" s="21">
        <f>求节点(将星点产出!$C$26:$C$34,将星点产出!F$26:F$34,其他调用!AM71)*其他调用!AI71</f>
        <v>0</v>
      </c>
      <c r="AD71" s="21">
        <f>求节点(将星点产出!$C$26:$C$34,将星点产出!G$26:G$34,其他调用!AN71)*其他调用!AJ71</f>
        <v>0</v>
      </c>
      <c r="AE71" s="21">
        <f>求节点(将星点产出!$C$26:$C$34,将星点产出!H$26:H$34,其他调用!AO71)*其他调用!AK71</f>
        <v>251712.63239123963</v>
      </c>
      <c r="AF71" s="21">
        <f>求节点(将星点产出!$C$26:$C$34,将星点产出!I$26:I$34,其他调用!AP71)*其他调用!AL71</f>
        <v>0</v>
      </c>
      <c r="AG71" s="21">
        <f t="shared" si="8"/>
        <v>372820</v>
      </c>
      <c r="AI71" s="7">
        <f>求节点($N$26:$N$32,P$26:P$32,其他调用!BF71)*其他调用!BB71</f>
        <v>1650</v>
      </c>
      <c r="AJ71" s="7">
        <f>求节点($N$26:$N$32,Q$26:Q$32,其他调用!BG71)*其他调用!BC71</f>
        <v>71400</v>
      </c>
      <c r="AK71" s="7">
        <f>求节点($N$26:$N$32,R$26:R$32,其他调用!BH71)*其他调用!BD71</f>
        <v>180812.86735114816</v>
      </c>
      <c r="AL71" s="7">
        <f>求节点($N$26:$N$32,S$26:S$32,其他调用!BI71)*其他调用!BE71</f>
        <v>62679.660216377219</v>
      </c>
      <c r="AM71" s="21">
        <f t="shared" si="9"/>
        <v>316542</v>
      </c>
      <c r="AO71" s="21">
        <f t="shared" si="10"/>
        <v>689362</v>
      </c>
    </row>
    <row r="72" spans="22:41">
      <c r="V72" s="21">
        <f>其他调用!W72</f>
        <v>901</v>
      </c>
      <c r="W72" s="21">
        <f>其他调用!X72</f>
        <v>100.40175326279811</v>
      </c>
      <c r="X72" s="21">
        <f>求节点(将星点产出!$C$26:$C$34,将星点产出!E$26:E$34,其他调用!AD72)*其他调用!Y72</f>
        <v>0</v>
      </c>
      <c r="Y72" s="21">
        <f>求节点(将星点产出!$C$26:$C$34,将星点产出!F$26:F$34,其他调用!AE72)*其他调用!Z72</f>
        <v>0</v>
      </c>
      <c r="Z72" s="21">
        <f>求节点(将星点产出!$C$26:$C$34,将星点产出!G$26:G$34,其他调用!AF72)*其他调用!AA72</f>
        <v>0</v>
      </c>
      <c r="AA72" s="21">
        <f>求节点(将星点产出!$C$26:$C$34,将星点产出!H$26:H$34,其他调用!AG72)*其他调用!AB72</f>
        <v>0</v>
      </c>
      <c r="AB72" s="21">
        <f>求节点(将星点产出!$C$26:$C$34,将星点产出!I$26:I$34,其他调用!AH72)*其他调用!AC72</f>
        <v>131812.31952935984</v>
      </c>
      <c r="AC72" s="21">
        <f>求节点(将星点产出!$C$26:$C$34,将星点产出!F$26:F$34,其他调用!AM72)*其他调用!AI72</f>
        <v>0</v>
      </c>
      <c r="AD72" s="21">
        <f>求节点(将星点产出!$C$26:$C$34,将星点产出!G$26:G$34,其他调用!AN72)*其他调用!AJ72</f>
        <v>0</v>
      </c>
      <c r="AE72" s="21">
        <f>求节点(将星点产出!$C$26:$C$34,将星点产出!H$26:H$34,其他调用!AO72)*其他调用!AK72</f>
        <v>276000</v>
      </c>
      <c r="AF72" s="21">
        <f>求节点(将星点产出!$C$26:$C$34,将星点产出!I$26:I$34,其他调用!AP72)*其他调用!AL72</f>
        <v>0</v>
      </c>
      <c r="AG72" s="21">
        <f t="shared" si="8"/>
        <v>407812</v>
      </c>
      <c r="AI72" s="7">
        <f>求节点($N$26:$N$32,P$26:P$32,其他调用!BF72)*其他调用!BB72</f>
        <v>1650</v>
      </c>
      <c r="AJ72" s="7">
        <f>求节点($N$26:$N$32,Q$26:Q$32,其他调用!BG72)*其他调用!BC72</f>
        <v>71400</v>
      </c>
      <c r="AK72" s="7">
        <f>求节点($N$26:$N$32,R$26:R$32,其他调用!BH72)*其他调用!BD72</f>
        <v>222016.64788504824</v>
      </c>
      <c r="AL72" s="7">
        <f>求节点($N$26:$N$32,S$26:S$32,其他调用!BI72)*其他调用!BE72</f>
        <v>81515.674174731568</v>
      </c>
      <c r="AM72" s="21">
        <f t="shared" si="9"/>
        <v>376582</v>
      </c>
      <c r="AO72" s="21">
        <f t="shared" si="10"/>
        <v>784394</v>
      </c>
    </row>
    <row r="73" spans="22:41">
      <c r="V73" s="21">
        <f>其他调用!W73</f>
        <v>1156</v>
      </c>
      <c r="W73" s="21">
        <f>其他调用!X73</f>
        <v>104.06236366727887</v>
      </c>
      <c r="X73" s="21">
        <f>求节点(将星点产出!$C$26:$C$34,将星点产出!E$26:E$34,其他调用!AD73)*其他调用!Y73</f>
        <v>0</v>
      </c>
      <c r="Y73" s="21">
        <f>求节点(将星点产出!$C$26:$C$34,将星点产出!F$26:F$34,其他调用!AE73)*其他调用!Z73</f>
        <v>0</v>
      </c>
      <c r="Z73" s="21">
        <f>求节点(将星点产出!$C$26:$C$34,将星点产出!G$26:G$34,其他调用!AF73)*其他调用!AA73</f>
        <v>0</v>
      </c>
      <c r="AA73" s="21">
        <f>求节点(将星点产出!$C$26:$C$34,将星点产出!H$26:H$34,其他调用!AG73)*其他调用!AB73</f>
        <v>0</v>
      </c>
      <c r="AB73" s="21">
        <f>求节点(将星点产出!$C$26:$C$34,将星点产出!I$26:I$34,其他调用!AH73)*其他调用!AC73</f>
        <v>144766.48721947448</v>
      </c>
      <c r="AC73" s="21">
        <f>求节点(将星点产出!$C$26:$C$34,将星点产出!F$26:F$34,其他调用!AM73)*其他调用!AI73</f>
        <v>0</v>
      </c>
      <c r="AD73" s="21">
        <f>求节点(将星点产出!$C$26:$C$34,将星点产出!G$26:G$34,其他调用!AN73)*其他调用!AJ73</f>
        <v>0</v>
      </c>
      <c r="AE73" s="21">
        <f>求节点(将星点产出!$C$26:$C$34,将星点产出!H$26:H$34,其他调用!AO73)*其他调用!AK73</f>
        <v>276000</v>
      </c>
      <c r="AF73" s="21">
        <f>求节点(将星点产出!$C$26:$C$34,将星点产出!I$26:I$34,其他调用!AP73)*其他调用!AL73</f>
        <v>0</v>
      </c>
      <c r="AG73" s="21">
        <f t="shared" si="8"/>
        <v>420766</v>
      </c>
      <c r="AI73" s="7">
        <f>求节点($N$26:$N$32,P$26:P$32,其他调用!BF73)*其他调用!BB73</f>
        <v>1650</v>
      </c>
      <c r="AJ73" s="7">
        <f>求节点($N$26:$N$32,Q$26:Q$32,其他调用!BG73)*其他调用!BC73</f>
        <v>71400</v>
      </c>
      <c r="AK73" s="7">
        <f>求节点($N$26:$N$32,R$26:R$32,其他调用!BH73)*其他调用!BD73</f>
        <v>256000</v>
      </c>
      <c r="AL73" s="7">
        <f>求节点($N$26:$N$32,S$26:S$32,其他调用!BI73)*其他调用!BE73</f>
        <v>104912.22940992775</v>
      </c>
      <c r="AM73" s="21">
        <f t="shared" si="9"/>
        <v>433962</v>
      </c>
      <c r="AO73" s="21">
        <f t="shared" si="10"/>
        <v>854728</v>
      </c>
    </row>
    <row r="74" spans="22:41">
      <c r="V74" s="21">
        <f>其他调用!W74</f>
        <v>1462</v>
      </c>
      <c r="W74" s="21">
        <f>其他调用!X74</f>
        <v>107.42257994053838</v>
      </c>
      <c r="X74" s="21">
        <f>求节点(将星点产出!$C$26:$C$34,将星点产出!E$26:E$34,其他调用!AD74)*其他调用!Y74</f>
        <v>0</v>
      </c>
      <c r="Y74" s="21">
        <f>求节点(将星点产出!$C$26:$C$34,将星点产出!F$26:F$34,其他调用!AE74)*其他调用!Z74</f>
        <v>0</v>
      </c>
      <c r="Z74" s="21">
        <f>求节点(将星点产出!$C$26:$C$34,将星点产出!G$26:G$34,其他调用!AF74)*其他调用!AA74</f>
        <v>0</v>
      </c>
      <c r="AA74" s="21">
        <f>求节点(将星点产出!$C$26:$C$34,将星点产出!H$26:H$34,其他调用!AG74)*其他调用!AB74</f>
        <v>0</v>
      </c>
      <c r="AB74" s="21">
        <f>求节点(将星点产出!$C$26:$C$34,将星点产出!I$26:I$34,其他调用!AH74)*其他调用!AC74</f>
        <v>164971.77994403962</v>
      </c>
      <c r="AC74" s="21">
        <f>求节点(将星点产出!$C$26:$C$34,将星点产出!F$26:F$34,其他调用!AM74)*其他调用!AI74</f>
        <v>0</v>
      </c>
      <c r="AD74" s="21">
        <f>求节点(将星点产出!$C$26:$C$34,将星点产出!G$26:G$34,其他调用!AN74)*其他调用!AJ74</f>
        <v>0</v>
      </c>
      <c r="AE74" s="21">
        <f>求节点(将星点产出!$C$26:$C$34,将星点产出!H$26:H$34,其他调用!AO74)*其他调用!AK74</f>
        <v>276000</v>
      </c>
      <c r="AF74" s="21">
        <f>求节点(将星点产出!$C$26:$C$34,将星点产出!I$26:I$34,其他调用!AP74)*其他调用!AL74</f>
        <v>0</v>
      </c>
      <c r="AG74" s="21">
        <f t="shared" si="8"/>
        <v>440971</v>
      </c>
      <c r="AI74" s="7">
        <f>求节点($N$26:$N$32,P$26:P$32,其他调用!BF74)*其他调用!BB74</f>
        <v>1650</v>
      </c>
      <c r="AJ74" s="7">
        <f>求节点($N$26:$N$32,Q$26:Q$32,其他调用!BG74)*其他调用!BC74</f>
        <v>71400</v>
      </c>
      <c r="AK74" s="7">
        <f>求节点($N$26:$N$32,R$26:R$32,其他调用!BH74)*其他调用!BD74</f>
        <v>256000</v>
      </c>
      <c r="AL74" s="7">
        <f>求节点($N$26:$N$32,S$26:S$32,其他调用!BI74)*其他调用!BE74</f>
        <v>132864.26370760836</v>
      </c>
      <c r="AM74" s="21">
        <f t="shared" si="9"/>
        <v>461914</v>
      </c>
      <c r="AO74" s="21">
        <f t="shared" si="10"/>
        <v>902885</v>
      </c>
    </row>
    <row r="75" spans="22:41">
      <c r="V75" s="21">
        <f>其他调用!W75</f>
        <v>1870</v>
      </c>
      <c r="W75" s="21">
        <f>其他调用!X75</f>
        <v>111.00691759243479</v>
      </c>
      <c r="X75" s="21">
        <f>求节点(将星点产出!$C$26:$C$34,将星点产出!E$26:E$34,其他调用!AD75)*其他调用!Y75</f>
        <v>0</v>
      </c>
      <c r="Y75" s="21">
        <f>求节点(将星点产出!$C$26:$C$34,将星点产出!F$26:F$34,其他调用!AE75)*其他调用!Z75</f>
        <v>0</v>
      </c>
      <c r="Z75" s="21">
        <f>求节点(将星点产出!$C$26:$C$34,将星点产出!G$26:G$34,其他调用!AF75)*其他调用!AA75</f>
        <v>0</v>
      </c>
      <c r="AA75" s="21">
        <f>求节点(将星点产出!$C$26:$C$34,将星点产出!H$26:H$34,其他调用!AG75)*其他调用!AB75</f>
        <v>0</v>
      </c>
      <c r="AB75" s="21">
        <f>求节点(将星点产出!$C$26:$C$34,将星点产出!I$26:I$34,其他调用!AH75)*其他调用!AC75</f>
        <v>187500</v>
      </c>
      <c r="AC75" s="21">
        <f>求节点(将星点产出!$C$26:$C$34,将星点产出!F$26:F$34,其他调用!AM75)*其他调用!AI75</f>
        <v>0</v>
      </c>
      <c r="AD75" s="21">
        <f>求节点(将星点产出!$C$26:$C$34,将星点产出!G$26:G$34,其他调用!AN75)*其他调用!AJ75</f>
        <v>0</v>
      </c>
      <c r="AE75" s="21">
        <f>求节点(将星点产出!$C$26:$C$34,将星点产出!H$26:H$34,其他调用!AO75)*其他调用!AK75</f>
        <v>276000</v>
      </c>
      <c r="AF75" s="21">
        <f>求节点(将星点产出!$C$26:$C$34,将星点产出!I$26:I$34,其他调用!AP75)*其他调用!AL75</f>
        <v>0</v>
      </c>
      <c r="AG75" s="21">
        <f t="shared" si="8"/>
        <v>463500</v>
      </c>
      <c r="AI75" s="7">
        <f>求节点($N$26:$N$32,P$26:P$32,其他调用!BF75)*其他调用!BB75</f>
        <v>1650</v>
      </c>
      <c r="AJ75" s="7">
        <f>求节点($N$26:$N$32,Q$26:Q$32,其他调用!BG75)*其他调用!BC75</f>
        <v>71400</v>
      </c>
      <c r="AK75" s="7">
        <f>求节点($N$26:$N$32,R$26:R$32,其他调用!BH75)*其他调用!BD75</f>
        <v>256000</v>
      </c>
      <c r="AL75" s="7">
        <f>求节点($N$26:$N$32,S$26:S$32,其他调用!BI75)*其他调用!BE75</f>
        <v>168863.89105519222</v>
      </c>
      <c r="AM75" s="21">
        <f t="shared" si="9"/>
        <v>497913</v>
      </c>
      <c r="AO75" s="21">
        <f t="shared" si="10"/>
        <v>961413</v>
      </c>
    </row>
    <row r="76" spans="22:41">
      <c r="V76" s="21">
        <f>其他调用!W76</f>
        <v>2380</v>
      </c>
      <c r="W76" s="21">
        <f>其他调用!X76</f>
        <v>114.47614359759058</v>
      </c>
      <c r="X76" s="21">
        <f>求节点(将星点产出!$C$26:$C$34,将星点产出!E$26:E$34,其他调用!AD76)*其他调用!Y76</f>
        <v>0</v>
      </c>
      <c r="Y76" s="21">
        <f>求节点(将星点产出!$C$26:$C$34,将星点产出!F$26:F$34,其他调用!AE76)*其他调用!Z76</f>
        <v>0</v>
      </c>
      <c r="Z76" s="21">
        <f>求节点(将星点产出!$C$26:$C$34,将星点产出!G$26:G$34,其他调用!AF76)*其他调用!AA76</f>
        <v>0</v>
      </c>
      <c r="AA76" s="21">
        <f>求节点(将星点产出!$C$26:$C$34,将星点产出!H$26:H$34,其他调用!AG76)*其他调用!AB76</f>
        <v>0</v>
      </c>
      <c r="AB76" s="21">
        <f>求节点(将星点产出!$C$26:$C$34,将星点产出!I$26:I$34,其他调用!AH76)*其他调用!AC76</f>
        <v>187500</v>
      </c>
      <c r="AC76" s="21">
        <f>求节点(将星点产出!$C$26:$C$34,将星点产出!F$26:F$34,其他调用!AM76)*其他调用!AI76</f>
        <v>0</v>
      </c>
      <c r="AD76" s="21">
        <f>求节点(将星点产出!$C$26:$C$34,将星点产出!G$26:G$34,其他调用!AN76)*其他调用!AJ76</f>
        <v>0</v>
      </c>
      <c r="AE76" s="21">
        <f>求节点(将星点产出!$C$26:$C$34,将星点产出!H$26:H$34,其他调用!AO76)*其他调用!AK76</f>
        <v>276000</v>
      </c>
      <c r="AF76" s="21">
        <f>求节点(将星点产出!$C$26:$C$34,将星点产出!I$26:I$34,其他调用!AP76)*其他调用!AL76</f>
        <v>0</v>
      </c>
      <c r="AG76" s="21">
        <f t="shared" si="8"/>
        <v>463500</v>
      </c>
      <c r="AI76" s="7">
        <f>求节点($N$26:$N$32,P$26:P$32,其他调用!BF76)*其他调用!BB76</f>
        <v>1650</v>
      </c>
      <c r="AJ76" s="7">
        <f>求节点($N$26:$N$32,Q$26:Q$32,其他调用!BG76)*其他调用!BC76</f>
        <v>71400</v>
      </c>
      <c r="AK76" s="7">
        <f>求节点($N$26:$N$32,R$26:R$32,其他调用!BH76)*其他调用!BD76</f>
        <v>256000</v>
      </c>
      <c r="AL76" s="7">
        <f>求节点($N$26:$N$32,S$26:S$32,其他调用!BI76)*其他调用!BE76</f>
        <v>204800</v>
      </c>
      <c r="AM76" s="21">
        <f t="shared" si="9"/>
        <v>533850</v>
      </c>
      <c r="AO76" s="21">
        <f t="shared" si="10"/>
        <v>997350</v>
      </c>
    </row>
    <row r="77" spans="22:41">
      <c r="V77" s="21">
        <f>其他调用!W77</f>
        <v>3043</v>
      </c>
      <c r="W77" s="21">
        <f>其他调用!X77</f>
        <v>118.05724034557241</v>
      </c>
      <c r="X77" s="21">
        <f>求节点(将星点产出!$C$26:$C$34,将星点产出!E$26:E$34,其他调用!AD77)*其他调用!Y77</f>
        <v>0</v>
      </c>
      <c r="Y77" s="21">
        <f>求节点(将星点产出!$C$26:$C$34,将星点产出!F$26:F$34,其他调用!AE77)*其他调用!Z77</f>
        <v>0</v>
      </c>
      <c r="Z77" s="21">
        <f>求节点(将星点产出!$C$26:$C$34,将星点产出!G$26:G$34,其他调用!AF77)*其他调用!AA77</f>
        <v>0</v>
      </c>
      <c r="AA77" s="21">
        <f>求节点(将星点产出!$C$26:$C$34,将星点产出!H$26:H$34,其他调用!AG77)*其他调用!AB77</f>
        <v>0</v>
      </c>
      <c r="AB77" s="21">
        <f>求节点(将星点产出!$C$26:$C$34,将星点产出!I$26:I$34,其他调用!AH77)*其他调用!AC77</f>
        <v>187500</v>
      </c>
      <c r="AC77" s="21">
        <f>求节点(将星点产出!$C$26:$C$34,将星点产出!F$26:F$34,其他调用!AM77)*其他调用!AI77</f>
        <v>0</v>
      </c>
      <c r="AD77" s="21">
        <f>求节点(将星点产出!$C$26:$C$34,将星点产出!G$26:G$34,其他调用!AN77)*其他调用!AJ77</f>
        <v>0</v>
      </c>
      <c r="AE77" s="21">
        <f>求节点(将星点产出!$C$26:$C$34,将星点产出!H$26:H$34,其他调用!AO77)*其他调用!AK77</f>
        <v>276000</v>
      </c>
      <c r="AF77" s="21">
        <f>求节点(将星点产出!$C$26:$C$34,将星点产出!I$26:I$34,其他调用!AP77)*其他调用!AL77</f>
        <v>0</v>
      </c>
      <c r="AG77" s="21">
        <f t="shared" si="8"/>
        <v>463500</v>
      </c>
      <c r="AI77" s="7">
        <f>求节点($N$26:$N$32,P$26:P$32,其他调用!BF77)*其他调用!BB77</f>
        <v>1650</v>
      </c>
      <c r="AJ77" s="7">
        <f>求节点($N$26:$N$32,Q$26:Q$32,其他调用!BG77)*其他调用!BC77</f>
        <v>71400</v>
      </c>
      <c r="AK77" s="7">
        <f>求节点($N$26:$N$32,R$26:R$32,其他调用!BH77)*其他调用!BD77</f>
        <v>256000</v>
      </c>
      <c r="AL77" s="7">
        <f>求节点($N$26:$N$32,S$26:S$32,其他调用!BI77)*其他调用!BE77</f>
        <v>204800</v>
      </c>
      <c r="AM77" s="21">
        <f t="shared" si="9"/>
        <v>533850</v>
      </c>
      <c r="AO77" s="21">
        <f t="shared" si="10"/>
        <v>997350</v>
      </c>
    </row>
    <row r="78" spans="22:41">
      <c r="V78" s="21">
        <f>其他调用!W78</f>
        <v>3859</v>
      </c>
      <c r="W78" s="21">
        <f>其他调用!X78</f>
        <v>121.49411884885473</v>
      </c>
      <c r="X78" s="21">
        <f>求节点(将星点产出!$C$26:$C$34,将星点产出!E$26:E$34,其他调用!AD78)*其他调用!Y78</f>
        <v>0</v>
      </c>
      <c r="Y78" s="21">
        <f>求节点(将星点产出!$C$26:$C$34,将星点产出!F$26:F$34,其他调用!AE78)*其他调用!Z78</f>
        <v>0</v>
      </c>
      <c r="Z78" s="21">
        <f>求节点(将星点产出!$C$26:$C$34,将星点产出!G$26:G$34,其他调用!AF78)*其他调用!AA78</f>
        <v>0</v>
      </c>
      <c r="AA78" s="21">
        <f>求节点(将星点产出!$C$26:$C$34,将星点产出!H$26:H$34,其他调用!AG78)*其他调用!AB78</f>
        <v>0</v>
      </c>
      <c r="AB78" s="21">
        <f>求节点(将星点产出!$C$26:$C$34,将星点产出!I$26:I$34,其他调用!AH78)*其他调用!AC78</f>
        <v>187500</v>
      </c>
      <c r="AC78" s="21">
        <f>求节点(将星点产出!$C$26:$C$34,将星点产出!F$26:F$34,其他调用!AM78)*其他调用!AI78</f>
        <v>0</v>
      </c>
      <c r="AD78" s="21">
        <f>求节点(将星点产出!$C$26:$C$34,将星点产出!G$26:G$34,其他调用!AN78)*其他调用!AJ78</f>
        <v>0</v>
      </c>
      <c r="AE78" s="21">
        <f>求节点(将星点产出!$C$26:$C$34,将星点产出!H$26:H$34,其他调用!AO78)*其他调用!AK78</f>
        <v>276000</v>
      </c>
      <c r="AF78" s="21">
        <f>求节点(将星点产出!$C$26:$C$34,将星点产出!I$26:I$34,其他调用!AP78)*其他调用!AL78</f>
        <v>0</v>
      </c>
      <c r="AG78" s="21">
        <f t="shared" si="8"/>
        <v>463500</v>
      </c>
      <c r="AI78" s="7">
        <f>求节点($N$26:$N$32,P$26:P$32,其他调用!BF78)*其他调用!BB78</f>
        <v>1650</v>
      </c>
      <c r="AJ78" s="7">
        <f>求节点($N$26:$N$32,Q$26:Q$32,其他调用!BG78)*其他调用!BC78</f>
        <v>71400</v>
      </c>
      <c r="AK78" s="7">
        <f>求节点($N$26:$N$32,R$26:R$32,其他调用!BH78)*其他调用!BD78</f>
        <v>256000</v>
      </c>
      <c r="AL78" s="7">
        <f>求节点($N$26:$N$32,S$26:S$32,其他调用!BI78)*其他调用!BE78</f>
        <v>204800</v>
      </c>
      <c r="AM78" s="21">
        <f t="shared" si="9"/>
        <v>533850</v>
      </c>
      <c r="AO78" s="21">
        <f t="shared" si="10"/>
        <v>997350</v>
      </c>
    </row>
    <row r="79" spans="22:41">
      <c r="V79" s="21">
        <f>其他调用!W79</f>
        <v>4930</v>
      </c>
      <c r="W79" s="21">
        <f>其他调用!X79</f>
        <v>125.03100311549058</v>
      </c>
      <c r="X79" s="21">
        <f>求节点(将星点产出!$C$26:$C$34,将星点产出!E$26:E$34,其他调用!AD79)*其他调用!Y79</f>
        <v>0</v>
      </c>
      <c r="Y79" s="21">
        <f>求节点(将星点产出!$C$26:$C$34,将星点产出!F$26:F$34,其他调用!AE79)*其他调用!Z79</f>
        <v>0</v>
      </c>
      <c r="Z79" s="21">
        <f>求节点(将星点产出!$C$26:$C$34,将星点产出!G$26:G$34,其他调用!AF79)*其他调用!AA79</f>
        <v>0</v>
      </c>
      <c r="AA79" s="21">
        <f>求节点(将星点产出!$C$26:$C$34,将星点产出!H$26:H$34,其他调用!AG79)*其他调用!AB79</f>
        <v>0</v>
      </c>
      <c r="AB79" s="21">
        <f>求节点(将星点产出!$C$26:$C$34,将星点产出!I$26:I$34,其他调用!AH79)*其他调用!AC79</f>
        <v>187500</v>
      </c>
      <c r="AC79" s="21">
        <f>求节点(将星点产出!$C$26:$C$34,将星点产出!F$26:F$34,其他调用!AM79)*其他调用!AI79</f>
        <v>0</v>
      </c>
      <c r="AD79" s="21">
        <f>求节点(将星点产出!$C$26:$C$34,将星点产出!G$26:G$34,其他调用!AN79)*其他调用!AJ79</f>
        <v>0</v>
      </c>
      <c r="AE79" s="21">
        <f>求节点(将星点产出!$C$26:$C$34,将星点产出!H$26:H$34,其他调用!AO79)*其他调用!AK79</f>
        <v>276000</v>
      </c>
      <c r="AF79" s="21">
        <f>求节点(将星点产出!$C$26:$C$34,将星点产出!I$26:I$34,其他调用!AP79)*其他调用!AL79</f>
        <v>0</v>
      </c>
      <c r="AG79" s="21">
        <f t="shared" si="8"/>
        <v>463500</v>
      </c>
      <c r="AI79" s="7">
        <f>求节点($N$26:$N$32,P$26:P$32,其他调用!BF79)*其他调用!BB79</f>
        <v>1650</v>
      </c>
      <c r="AJ79" s="7">
        <f>求节点($N$26:$N$32,Q$26:Q$32,其他调用!BG79)*其他调用!BC79</f>
        <v>71400</v>
      </c>
      <c r="AK79" s="7">
        <f>求节点($N$26:$N$32,R$26:R$32,其他调用!BH79)*其他调用!BD79</f>
        <v>256000</v>
      </c>
      <c r="AL79" s="7">
        <f>求节点($N$26:$N$32,S$26:S$32,其他调用!BI79)*其他调用!BE79</f>
        <v>204800</v>
      </c>
      <c r="AM79" s="21">
        <f t="shared" si="9"/>
        <v>533850</v>
      </c>
      <c r="AO79" s="21">
        <f t="shared" si="10"/>
        <v>997350</v>
      </c>
    </row>
    <row r="80" spans="22:41">
      <c r="V80" s="21">
        <f>其他调用!W80</f>
        <v>6307</v>
      </c>
      <c r="W80" s="21">
        <f>其他调用!X80</f>
        <v>128.62542789463421</v>
      </c>
      <c r="X80" s="21">
        <f>求节点(将星点产出!$C$26:$C$34,将星点产出!E$26:E$34,其他调用!AD80)*其他调用!Y80</f>
        <v>0</v>
      </c>
      <c r="Y80" s="21">
        <f>求节点(将星点产出!$C$26:$C$34,将星点产出!F$26:F$34,其他调用!AE80)*其他调用!Z80</f>
        <v>0</v>
      </c>
      <c r="Z80" s="21">
        <f>求节点(将星点产出!$C$26:$C$34,将星点产出!G$26:G$34,其他调用!AF80)*其他调用!AA80</f>
        <v>0</v>
      </c>
      <c r="AA80" s="21">
        <f>求节点(将星点产出!$C$26:$C$34,将星点产出!H$26:H$34,其他调用!AG80)*其他调用!AB80</f>
        <v>0</v>
      </c>
      <c r="AB80" s="21">
        <f>求节点(将星点产出!$C$26:$C$34,将星点产出!I$26:I$34,其他调用!AH80)*其他调用!AC80</f>
        <v>187500</v>
      </c>
      <c r="AC80" s="21">
        <f>求节点(将星点产出!$C$26:$C$34,将星点产出!F$26:F$34,其他调用!AM80)*其他调用!AI80</f>
        <v>0</v>
      </c>
      <c r="AD80" s="21">
        <f>求节点(将星点产出!$C$26:$C$34,将星点产出!G$26:G$34,其他调用!AN80)*其他调用!AJ80</f>
        <v>0</v>
      </c>
      <c r="AE80" s="21">
        <f>求节点(将星点产出!$C$26:$C$34,将星点产出!H$26:H$34,其他调用!AO80)*其他调用!AK80</f>
        <v>276000</v>
      </c>
      <c r="AF80" s="21">
        <f>求节点(将星点产出!$C$26:$C$34,将星点产出!I$26:I$34,其他调用!AP80)*其他调用!AL80</f>
        <v>0</v>
      </c>
      <c r="AG80" s="21">
        <f t="shared" si="8"/>
        <v>463500</v>
      </c>
      <c r="AI80" s="7">
        <f>求节点($N$26:$N$32,P$26:P$32,其他调用!BF80)*其他调用!BB80</f>
        <v>1650</v>
      </c>
      <c r="AJ80" s="7">
        <f>求节点($N$26:$N$32,Q$26:Q$32,其他调用!BG80)*其他调用!BC80</f>
        <v>71400</v>
      </c>
      <c r="AK80" s="7">
        <f>求节点($N$26:$N$32,R$26:R$32,其他调用!BH80)*其他调用!BD80</f>
        <v>256000</v>
      </c>
      <c r="AL80" s="7">
        <f>求节点($N$26:$N$32,S$26:S$32,其他调用!BI80)*其他调用!BE80</f>
        <v>204800</v>
      </c>
      <c r="AM80" s="21">
        <f t="shared" si="9"/>
        <v>533850</v>
      </c>
      <c r="AO80" s="21">
        <f t="shared" si="10"/>
        <v>997350</v>
      </c>
    </row>
    <row r="81" spans="22:41">
      <c r="V81" s="21">
        <f>其他调用!W81</f>
        <v>8041</v>
      </c>
      <c r="W81" s="21">
        <f>其他调用!X81</f>
        <v>132.09902390525281</v>
      </c>
      <c r="X81" s="21">
        <f>求节点(将星点产出!$C$26:$C$34,将星点产出!E$26:E$34,其他调用!AD81)*其他调用!Y81</f>
        <v>0</v>
      </c>
      <c r="Y81" s="21">
        <f>求节点(将星点产出!$C$26:$C$34,将星点产出!F$26:F$34,其他调用!AE81)*其他调用!Z81</f>
        <v>0</v>
      </c>
      <c r="Z81" s="21">
        <f>求节点(将星点产出!$C$26:$C$34,将星点产出!G$26:G$34,其他调用!AF81)*其他调用!AA81</f>
        <v>0</v>
      </c>
      <c r="AA81" s="21">
        <f>求节点(将星点产出!$C$26:$C$34,将星点产出!H$26:H$34,其他调用!AG81)*其他调用!AB81</f>
        <v>0</v>
      </c>
      <c r="AB81" s="21">
        <f>求节点(将星点产出!$C$26:$C$34,将星点产出!I$26:I$34,其他调用!AH81)*其他调用!AC81</f>
        <v>187500</v>
      </c>
      <c r="AC81" s="21">
        <f>求节点(将星点产出!$C$26:$C$34,将星点产出!F$26:F$34,其他调用!AM81)*其他调用!AI81</f>
        <v>0</v>
      </c>
      <c r="AD81" s="21">
        <f>求节点(将星点产出!$C$26:$C$34,将星点产出!G$26:G$34,其他调用!AN81)*其他调用!AJ81</f>
        <v>0</v>
      </c>
      <c r="AE81" s="21">
        <f>求节点(将星点产出!$C$26:$C$34,将星点产出!H$26:H$34,其他调用!AO81)*其他调用!AK81</f>
        <v>276000</v>
      </c>
      <c r="AF81" s="21">
        <f>求节点(将星点产出!$C$26:$C$34,将星点产出!I$26:I$34,其他调用!AP81)*其他调用!AL81</f>
        <v>0</v>
      </c>
      <c r="AG81" s="21">
        <f t="shared" si="8"/>
        <v>463500</v>
      </c>
      <c r="AI81" s="7">
        <f>求节点($N$26:$N$32,P$26:P$32,其他调用!BF81)*其他调用!BB81</f>
        <v>1650</v>
      </c>
      <c r="AJ81" s="7">
        <f>求节点($N$26:$N$32,Q$26:Q$32,其他调用!BG81)*其他调用!BC81</f>
        <v>71400</v>
      </c>
      <c r="AK81" s="7">
        <f>求节点($N$26:$N$32,R$26:R$32,其他调用!BH81)*其他调用!BD81</f>
        <v>256000</v>
      </c>
      <c r="AL81" s="7">
        <f>求节点($N$26:$N$32,S$26:S$32,其他调用!BI81)*其他调用!BE81</f>
        <v>204800</v>
      </c>
      <c r="AM81" s="21">
        <f t="shared" si="9"/>
        <v>533850</v>
      </c>
      <c r="AO81" s="21">
        <f t="shared" si="10"/>
        <v>997350</v>
      </c>
    </row>
    <row r="82" spans="22:41">
      <c r="V82" s="21">
        <f>其他调用!W82</f>
        <v>10234</v>
      </c>
      <c r="W82" s="21">
        <f>其他调用!X82</f>
        <v>135.61521761503846</v>
      </c>
      <c r="X82" s="21">
        <f>求节点(将星点产出!$C$26:$C$34,将星点产出!E$26:E$34,其他调用!AD82)*其他调用!Y82</f>
        <v>0</v>
      </c>
      <c r="Y82" s="21">
        <f>求节点(将星点产出!$C$26:$C$34,将星点产出!F$26:F$34,其他调用!AE82)*其他调用!Z82</f>
        <v>0</v>
      </c>
      <c r="Z82" s="21">
        <f>求节点(将星点产出!$C$26:$C$34,将星点产出!G$26:G$34,其他调用!AF82)*其他调用!AA82</f>
        <v>0</v>
      </c>
      <c r="AA82" s="21">
        <f>求节点(将星点产出!$C$26:$C$34,将星点产出!H$26:H$34,其他调用!AG82)*其他调用!AB82</f>
        <v>0</v>
      </c>
      <c r="AB82" s="21">
        <f>求节点(将星点产出!$C$26:$C$34,将星点产出!I$26:I$34,其他调用!AH82)*其他调用!AC82</f>
        <v>187500</v>
      </c>
      <c r="AC82" s="21">
        <f>求节点(将星点产出!$C$26:$C$34,将星点产出!F$26:F$34,其他调用!AM82)*其他调用!AI82</f>
        <v>0</v>
      </c>
      <c r="AD82" s="21">
        <f>求节点(将星点产出!$C$26:$C$34,将星点产出!G$26:G$34,其他调用!AN82)*其他调用!AJ82</f>
        <v>0</v>
      </c>
      <c r="AE82" s="21">
        <f>求节点(将星点产出!$C$26:$C$34,将星点产出!H$26:H$34,其他调用!AO82)*其他调用!AK82</f>
        <v>276000</v>
      </c>
      <c r="AF82" s="21">
        <f>求节点(将星点产出!$C$26:$C$34,将星点产出!I$26:I$34,其他调用!AP82)*其他调用!AL82</f>
        <v>0</v>
      </c>
      <c r="AG82" s="21">
        <f t="shared" si="8"/>
        <v>463500</v>
      </c>
      <c r="AI82" s="7">
        <f>求节点($N$26:$N$32,P$26:P$32,其他调用!BF82)*其他调用!BB82</f>
        <v>1650</v>
      </c>
      <c r="AJ82" s="7">
        <f>求节点($N$26:$N$32,Q$26:Q$32,其他调用!BG82)*其他调用!BC82</f>
        <v>71400</v>
      </c>
      <c r="AK82" s="7">
        <f>求节点($N$26:$N$32,R$26:R$32,其他调用!BH82)*其他调用!BD82</f>
        <v>256000</v>
      </c>
      <c r="AL82" s="7">
        <f>求节点($N$26:$N$32,S$26:S$32,其他调用!BI82)*其他调用!BE82</f>
        <v>204800</v>
      </c>
      <c r="AM82" s="21">
        <f t="shared" si="9"/>
        <v>533850</v>
      </c>
      <c r="AO82" s="21">
        <f t="shared" si="10"/>
        <v>997350</v>
      </c>
    </row>
    <row r="83" spans="22:41">
      <c r="V83" s="21">
        <f>其他调用!W83</f>
        <v>13039</v>
      </c>
      <c r="W83" s="21">
        <f>其他调用!X83</f>
        <v>139.08794136138388</v>
      </c>
      <c r="X83" s="21">
        <f>求节点(将星点产出!$C$26:$C$34,将星点产出!E$26:E$34,其他调用!AD83)*其他调用!Y83</f>
        <v>0</v>
      </c>
      <c r="Y83" s="21">
        <f>求节点(将星点产出!$C$26:$C$34,将星点产出!F$26:F$34,其他调用!AE83)*其他调用!Z83</f>
        <v>0</v>
      </c>
      <c r="Z83" s="21">
        <f>求节点(将星点产出!$C$26:$C$34,将星点产出!G$26:G$34,其他调用!AF83)*其他调用!AA83</f>
        <v>0</v>
      </c>
      <c r="AA83" s="21">
        <f>求节点(将星点产出!$C$26:$C$34,将星点产出!H$26:H$34,其他调用!AG83)*其他调用!AB83</f>
        <v>0</v>
      </c>
      <c r="AB83" s="21">
        <f>求节点(将星点产出!$C$26:$C$34,将星点产出!I$26:I$34,其他调用!AH83)*其他调用!AC83</f>
        <v>187500</v>
      </c>
      <c r="AC83" s="21">
        <f>求节点(将星点产出!$C$26:$C$34,将星点产出!F$26:F$34,其他调用!AM83)*其他调用!AI83</f>
        <v>0</v>
      </c>
      <c r="AD83" s="21">
        <f>求节点(将星点产出!$C$26:$C$34,将星点产出!G$26:G$34,其他调用!AN83)*其他调用!AJ83</f>
        <v>0</v>
      </c>
      <c r="AE83" s="21">
        <f>求节点(将星点产出!$C$26:$C$34,将星点产出!H$26:H$34,其他调用!AO83)*其他调用!AK83</f>
        <v>276000</v>
      </c>
      <c r="AF83" s="21">
        <f>求节点(将星点产出!$C$26:$C$34,将星点产出!I$26:I$34,其他调用!AP83)*其他调用!AL83</f>
        <v>0</v>
      </c>
      <c r="AG83" s="21">
        <f t="shared" si="8"/>
        <v>463500</v>
      </c>
      <c r="AI83" s="7">
        <f>求节点($N$26:$N$32,P$26:P$32,其他调用!BF83)*其他调用!BB83</f>
        <v>1650</v>
      </c>
      <c r="AJ83" s="7">
        <f>求节点($N$26:$N$32,Q$26:Q$32,其他调用!BG83)*其他调用!BC83</f>
        <v>71400</v>
      </c>
      <c r="AK83" s="7">
        <f>求节点($N$26:$N$32,R$26:R$32,其他调用!BH83)*其他调用!BD83</f>
        <v>256000</v>
      </c>
      <c r="AL83" s="7">
        <f>求节点($N$26:$N$32,S$26:S$32,其他调用!BI83)*其他调用!BE83</f>
        <v>204800</v>
      </c>
      <c r="AM83" s="21">
        <f t="shared" si="9"/>
        <v>533850</v>
      </c>
      <c r="AO83" s="21">
        <f t="shared" si="10"/>
        <v>997350</v>
      </c>
    </row>
    <row r="84" spans="22:41">
      <c r="V84" s="21">
        <f>其他调用!W84</f>
        <v>16609</v>
      </c>
      <c r="W84" s="21">
        <f>其他调用!X84</f>
        <v>142.60670974426387</v>
      </c>
      <c r="X84" s="21">
        <f>求节点(将星点产出!$C$26:$C$34,将星点产出!E$26:E$34,其他调用!AD84)*其他调用!Y84</f>
        <v>0</v>
      </c>
      <c r="Y84" s="21">
        <f>求节点(将星点产出!$C$26:$C$34,将星点产出!F$26:F$34,其他调用!AE84)*其他调用!Z84</f>
        <v>0</v>
      </c>
      <c r="Z84" s="21">
        <f>求节点(将星点产出!$C$26:$C$34,将星点产出!G$26:G$34,其他调用!AF84)*其他调用!AA84</f>
        <v>0</v>
      </c>
      <c r="AA84" s="21">
        <f>求节点(将星点产出!$C$26:$C$34,将星点产出!H$26:H$34,其他调用!AG84)*其他调用!AB84</f>
        <v>0</v>
      </c>
      <c r="AB84" s="21">
        <f>求节点(将星点产出!$C$26:$C$34,将星点产出!I$26:I$34,其他调用!AH84)*其他调用!AC84</f>
        <v>187500</v>
      </c>
      <c r="AC84" s="21">
        <f>求节点(将星点产出!$C$26:$C$34,将星点产出!F$26:F$34,其他调用!AM84)*其他调用!AI84</f>
        <v>0</v>
      </c>
      <c r="AD84" s="21">
        <f>求节点(将星点产出!$C$26:$C$34,将星点产出!G$26:G$34,其他调用!AN84)*其他调用!AJ84</f>
        <v>0</v>
      </c>
      <c r="AE84" s="21">
        <f>求节点(将星点产出!$C$26:$C$34,将星点产出!H$26:H$34,其他调用!AO84)*其他调用!AK84</f>
        <v>276000</v>
      </c>
      <c r="AF84" s="21">
        <f>求节点(将星点产出!$C$26:$C$34,将星点产出!I$26:I$34,其他调用!AP84)*其他调用!AL84</f>
        <v>0</v>
      </c>
      <c r="AG84" s="21">
        <f t="shared" si="8"/>
        <v>463500</v>
      </c>
      <c r="AI84" s="7">
        <f>求节点($N$26:$N$32,P$26:P$32,其他调用!BF84)*其他调用!BB84</f>
        <v>1650</v>
      </c>
      <c r="AJ84" s="7">
        <f>求节点($N$26:$N$32,Q$26:Q$32,其他调用!BG84)*其他调用!BC84</f>
        <v>71400</v>
      </c>
      <c r="AK84" s="7">
        <f>求节点($N$26:$N$32,R$26:R$32,其他调用!BH84)*其他调用!BD84</f>
        <v>256000</v>
      </c>
      <c r="AL84" s="7">
        <f>求节点($N$26:$N$32,S$26:S$32,其他调用!BI84)*其他调用!BE84</f>
        <v>204800</v>
      </c>
      <c r="AM84" s="21">
        <f t="shared" si="9"/>
        <v>533850</v>
      </c>
      <c r="AO84" s="21">
        <f t="shared" si="10"/>
        <v>997350</v>
      </c>
    </row>
    <row r="85" spans="22:41">
      <c r="V85" s="21">
        <f>其他调用!W85</f>
        <v>21148</v>
      </c>
      <c r="W85" s="21">
        <f>其他调用!X85</f>
        <v>146.07830147206653</v>
      </c>
      <c r="X85" s="21">
        <f>求节点(将星点产出!$C$26:$C$34,将星点产出!E$26:E$34,其他调用!AD85)*其他调用!Y85</f>
        <v>0</v>
      </c>
      <c r="Y85" s="21">
        <f>求节点(将星点产出!$C$26:$C$34,将星点产出!F$26:F$34,其他调用!AE85)*其他调用!Z85</f>
        <v>0</v>
      </c>
      <c r="Z85" s="21">
        <f>求节点(将星点产出!$C$26:$C$34,将星点产出!G$26:G$34,其他调用!AF85)*其他调用!AA85</f>
        <v>0</v>
      </c>
      <c r="AA85" s="21">
        <f>求节点(将星点产出!$C$26:$C$34,将星点产出!H$26:H$34,其他调用!AG85)*其他调用!AB85</f>
        <v>0</v>
      </c>
      <c r="AB85" s="21">
        <f>求节点(将星点产出!$C$26:$C$34,将星点产出!I$26:I$34,其他调用!AH85)*其他调用!AC85</f>
        <v>187500</v>
      </c>
      <c r="AC85" s="21">
        <f>求节点(将星点产出!$C$26:$C$34,将星点产出!F$26:F$34,其他调用!AM85)*其他调用!AI85</f>
        <v>0</v>
      </c>
      <c r="AD85" s="21">
        <f>求节点(将星点产出!$C$26:$C$34,将星点产出!G$26:G$34,其他调用!AN85)*其他调用!AJ85</f>
        <v>0</v>
      </c>
      <c r="AE85" s="21">
        <f>求节点(将星点产出!$C$26:$C$34,将星点产出!H$26:H$34,其他调用!AO85)*其他调用!AK85</f>
        <v>276000</v>
      </c>
      <c r="AF85" s="21">
        <f>求节点(将星点产出!$C$26:$C$34,将星点产出!I$26:I$34,其他调用!AP85)*其他调用!AL85</f>
        <v>0</v>
      </c>
      <c r="AG85" s="21">
        <f t="shared" si="8"/>
        <v>463500</v>
      </c>
      <c r="AI85" s="7">
        <f>求节点($N$26:$N$32,P$26:P$32,其他调用!BF85)*其他调用!BB85</f>
        <v>1650</v>
      </c>
      <c r="AJ85" s="7">
        <f>求节点($N$26:$N$32,Q$26:Q$32,其他调用!BG85)*其他调用!BC85</f>
        <v>71400</v>
      </c>
      <c r="AK85" s="7">
        <f>求节点($N$26:$N$32,R$26:R$32,其他调用!BH85)*其他调用!BD85</f>
        <v>256000</v>
      </c>
      <c r="AL85" s="7">
        <f>求节点($N$26:$N$32,S$26:S$32,其他调用!BI85)*其他调用!BE85</f>
        <v>204800</v>
      </c>
      <c r="AM85" s="21">
        <f t="shared" si="9"/>
        <v>533850</v>
      </c>
      <c r="AO85" s="21">
        <f t="shared" si="10"/>
        <v>997350</v>
      </c>
    </row>
    <row r="86" spans="22:41">
      <c r="V86" s="21">
        <f>其他调用!W86</f>
        <v>26962</v>
      </c>
      <c r="W86" s="21">
        <f>其他调用!X86</f>
        <v>149.61701338734093</v>
      </c>
      <c r="X86" s="21">
        <f>求节点(将星点产出!$C$26:$C$34,将星点产出!E$26:E$34,其他调用!AD86)*其他调用!Y86</f>
        <v>0</v>
      </c>
      <c r="Y86" s="21">
        <f>求节点(将星点产出!$C$26:$C$34,将星点产出!F$26:F$34,其他调用!AE86)*其他调用!Z86</f>
        <v>0</v>
      </c>
      <c r="Z86" s="21">
        <f>求节点(将星点产出!$C$26:$C$34,将星点产出!G$26:G$34,其他调用!AF86)*其他调用!AA86</f>
        <v>0</v>
      </c>
      <c r="AA86" s="21">
        <f>求节点(将星点产出!$C$26:$C$34,将星点产出!H$26:H$34,其他调用!AG86)*其他调用!AB86</f>
        <v>0</v>
      </c>
      <c r="AB86" s="21">
        <f>求节点(将星点产出!$C$26:$C$34,将星点产出!I$26:I$34,其他调用!AH86)*其他调用!AC86</f>
        <v>187500</v>
      </c>
      <c r="AC86" s="21">
        <f>求节点(将星点产出!$C$26:$C$34,将星点产出!F$26:F$34,其他调用!AM86)*其他调用!AI86</f>
        <v>0</v>
      </c>
      <c r="AD86" s="21">
        <f>求节点(将星点产出!$C$26:$C$34,将星点产出!G$26:G$34,其他调用!AN86)*其他调用!AJ86</f>
        <v>0</v>
      </c>
      <c r="AE86" s="21">
        <f>求节点(将星点产出!$C$26:$C$34,将星点产出!H$26:H$34,其他调用!AO86)*其他调用!AK86</f>
        <v>276000</v>
      </c>
      <c r="AF86" s="21">
        <f>求节点(将星点产出!$C$26:$C$34,将星点产出!I$26:I$34,其他调用!AP86)*其他调用!AL86</f>
        <v>0</v>
      </c>
      <c r="AG86" s="21">
        <f t="shared" si="8"/>
        <v>463500</v>
      </c>
      <c r="AI86" s="7">
        <f>求节点($N$26:$N$32,P$26:P$32,其他调用!BF86)*其他调用!BB86</f>
        <v>1650</v>
      </c>
      <c r="AJ86" s="7">
        <f>求节点($N$26:$N$32,Q$26:Q$32,其他调用!BG86)*其他调用!BC86</f>
        <v>71400</v>
      </c>
      <c r="AK86" s="7">
        <f>求节点($N$26:$N$32,R$26:R$32,其他调用!BH86)*其他调用!BD86</f>
        <v>256000</v>
      </c>
      <c r="AL86" s="7">
        <f>求节点($N$26:$N$32,S$26:S$32,其他调用!BI86)*其他调用!BE86</f>
        <v>204800</v>
      </c>
      <c r="AM86" s="21">
        <f t="shared" si="9"/>
        <v>533850</v>
      </c>
      <c r="AO86" s="21">
        <f t="shared" si="10"/>
        <v>997350</v>
      </c>
    </row>
    <row r="87" spans="22:41">
      <c r="V87" s="21">
        <f>其他调用!W87</f>
        <v>34357</v>
      </c>
      <c r="W87" s="21">
        <f>其他调用!X87</f>
        <v>153.01012120353457</v>
      </c>
      <c r="X87" s="21">
        <f>求节点(将星点产出!$C$26:$C$34,将星点产出!E$26:E$34,其他调用!AD87)*其他调用!Y87</f>
        <v>0</v>
      </c>
      <c r="Y87" s="21">
        <f>求节点(将星点产出!$C$26:$C$34,将星点产出!F$26:F$34,其他调用!AE87)*其他调用!Z87</f>
        <v>0</v>
      </c>
      <c r="Z87" s="21">
        <f>求节点(将星点产出!$C$26:$C$34,将星点产出!G$26:G$34,其他调用!AF87)*其他调用!AA87</f>
        <v>0</v>
      </c>
      <c r="AA87" s="21">
        <f>求节点(将星点产出!$C$26:$C$34,将星点产出!H$26:H$34,其他调用!AG87)*其他调用!AB87</f>
        <v>0</v>
      </c>
      <c r="AB87" s="21">
        <f>求节点(将星点产出!$C$26:$C$34,将星点产出!I$26:I$34,其他调用!AH87)*其他调用!AC87</f>
        <v>187500</v>
      </c>
      <c r="AC87" s="21">
        <f>求节点(将星点产出!$C$26:$C$34,将星点产出!F$26:F$34,其他调用!AM87)*其他调用!AI87</f>
        <v>0</v>
      </c>
      <c r="AD87" s="21">
        <f>求节点(将星点产出!$C$26:$C$34,将星点产出!G$26:G$34,其他调用!AN87)*其他调用!AJ87</f>
        <v>0</v>
      </c>
      <c r="AE87" s="21">
        <f>求节点(将星点产出!$C$26:$C$34,将星点产出!H$26:H$34,其他调用!AO87)*其他调用!AK87</f>
        <v>276000</v>
      </c>
      <c r="AF87" s="21">
        <f>求节点(将星点产出!$C$26:$C$34,将星点产出!I$26:I$34,其他调用!AP87)*其他调用!AL87</f>
        <v>0</v>
      </c>
      <c r="AG87" s="21">
        <f t="shared" si="8"/>
        <v>463500</v>
      </c>
      <c r="AI87" s="7">
        <f>求节点($N$26:$N$32,P$26:P$32,其他调用!BF87)*其他调用!BB87</f>
        <v>1650</v>
      </c>
      <c r="AJ87" s="7">
        <f>求节点($N$26:$N$32,Q$26:Q$32,其他调用!BG87)*其他调用!BC87</f>
        <v>71400</v>
      </c>
      <c r="AK87" s="7">
        <f>求节点($N$26:$N$32,R$26:R$32,其他调用!BH87)*其他调用!BD87</f>
        <v>256000</v>
      </c>
      <c r="AL87" s="7">
        <f>求节点($N$26:$N$32,S$26:S$32,其他调用!BI87)*其他调用!BE87</f>
        <v>204800</v>
      </c>
      <c r="AM87" s="21">
        <f t="shared" si="9"/>
        <v>533850</v>
      </c>
      <c r="AO87" s="21">
        <f t="shared" si="10"/>
        <v>997350</v>
      </c>
    </row>
    <row r="88" spans="22:41">
      <c r="V88" s="21">
        <f>其他调用!W88</f>
        <v>43792</v>
      </c>
      <c r="W88" s="21">
        <f>其他调用!X88</f>
        <v>154.95970315183646</v>
      </c>
      <c r="X88" s="21">
        <f>求节点(将星点产出!$C$26:$C$34,将星点产出!E$26:E$34,其他调用!AD88)*其他调用!Y88</f>
        <v>0</v>
      </c>
      <c r="Y88" s="21">
        <f>求节点(将星点产出!$C$26:$C$34,将星点产出!F$26:F$34,其他调用!AE88)*其他调用!Z88</f>
        <v>0</v>
      </c>
      <c r="Z88" s="21">
        <f>求节点(将星点产出!$C$26:$C$34,将星点产出!G$26:G$34,其他调用!AF88)*其他调用!AA88</f>
        <v>0</v>
      </c>
      <c r="AA88" s="21">
        <f>求节点(将星点产出!$C$26:$C$34,将星点产出!H$26:H$34,其他调用!AG88)*其他调用!AB88</f>
        <v>0</v>
      </c>
      <c r="AB88" s="21">
        <f>求节点(将星点产出!$C$26:$C$34,将星点产出!I$26:I$34,其他调用!AH88)*其他调用!AC88</f>
        <v>187500</v>
      </c>
      <c r="AC88" s="21">
        <f>求节点(将星点产出!$C$26:$C$34,将星点产出!F$26:F$34,其他调用!AM88)*其他调用!AI88</f>
        <v>0</v>
      </c>
      <c r="AD88" s="21">
        <f>求节点(将星点产出!$C$26:$C$34,将星点产出!G$26:G$34,其他调用!AN88)*其他调用!AJ88</f>
        <v>0</v>
      </c>
      <c r="AE88" s="21">
        <f>求节点(将星点产出!$C$26:$C$34,将星点产出!H$26:H$34,其他调用!AO88)*其他调用!AK88</f>
        <v>276000</v>
      </c>
      <c r="AF88" s="21">
        <f>求节点(将星点产出!$C$26:$C$34,将星点产出!I$26:I$34,其他调用!AP88)*其他调用!AL88</f>
        <v>0</v>
      </c>
      <c r="AG88" s="21">
        <f t="shared" si="8"/>
        <v>463500</v>
      </c>
      <c r="AI88" s="7">
        <f>求节点($N$26:$N$32,P$26:P$32,其他调用!BF88)*其他调用!BB88</f>
        <v>1650</v>
      </c>
      <c r="AJ88" s="7">
        <f>求节点($N$26:$N$32,Q$26:Q$32,其他调用!BG88)*其他调用!BC88</f>
        <v>71400</v>
      </c>
      <c r="AK88" s="7">
        <f>求节点($N$26:$N$32,R$26:R$32,其他调用!BH88)*其他调用!BD88</f>
        <v>256000</v>
      </c>
      <c r="AL88" s="7">
        <f>求节点($N$26:$N$32,S$26:S$32,其他调用!BI88)*其他调用!BE88</f>
        <v>204800</v>
      </c>
      <c r="AM88" s="21">
        <f t="shared" si="9"/>
        <v>533850</v>
      </c>
      <c r="AO88" s="21">
        <f t="shared" si="10"/>
        <v>997350</v>
      </c>
    </row>
    <row r="89" spans="22:41">
      <c r="V89" s="21">
        <f>其他调用!W89</f>
        <v>55675</v>
      </c>
      <c r="W89" s="21">
        <f>其他调用!X89</f>
        <v>157.63974470288184</v>
      </c>
      <c r="X89" s="21">
        <f>求节点(将星点产出!$C$26:$C$34,将星点产出!E$26:E$34,其他调用!AD89)*其他调用!Y89</f>
        <v>0</v>
      </c>
      <c r="Y89" s="21">
        <f>求节点(将星点产出!$C$26:$C$34,将星点产出!F$26:F$34,其他调用!AE89)*其他调用!Z89</f>
        <v>0</v>
      </c>
      <c r="Z89" s="21">
        <f>求节点(将星点产出!$C$26:$C$34,将星点产出!G$26:G$34,其他调用!AF89)*其他调用!AA89</f>
        <v>0</v>
      </c>
      <c r="AA89" s="21">
        <f>求节点(将星点产出!$C$26:$C$34,将星点产出!H$26:H$34,其他调用!AG89)*其他调用!AB89</f>
        <v>0</v>
      </c>
      <c r="AB89" s="21">
        <f>求节点(将星点产出!$C$26:$C$34,将星点产出!I$26:I$34,其他调用!AH89)*其他调用!AC89</f>
        <v>187500</v>
      </c>
      <c r="AC89" s="21">
        <f>求节点(将星点产出!$C$26:$C$34,将星点产出!F$26:F$34,其他调用!AM89)*其他调用!AI89</f>
        <v>0</v>
      </c>
      <c r="AD89" s="21">
        <f>求节点(将星点产出!$C$26:$C$34,将星点产出!G$26:G$34,其他调用!AN89)*其他调用!AJ89</f>
        <v>0</v>
      </c>
      <c r="AE89" s="21">
        <f>求节点(将星点产出!$C$26:$C$34,将星点产出!H$26:H$34,其他调用!AO89)*其他调用!AK89</f>
        <v>276000</v>
      </c>
      <c r="AF89" s="21">
        <f>求节点(将星点产出!$C$26:$C$34,将星点产出!I$26:I$34,其他调用!AP89)*其他调用!AL89</f>
        <v>0</v>
      </c>
      <c r="AG89" s="21">
        <f t="shared" si="8"/>
        <v>463500</v>
      </c>
      <c r="AI89" s="7">
        <f>求节点($N$26:$N$32,P$26:P$32,其他调用!BF89)*其他调用!BB89</f>
        <v>1650</v>
      </c>
      <c r="AJ89" s="7">
        <f>求节点($N$26:$N$32,Q$26:Q$32,其他调用!BG89)*其他调用!BC89</f>
        <v>71400</v>
      </c>
      <c r="AK89" s="7">
        <f>求节点($N$26:$N$32,R$26:R$32,其他调用!BH89)*其他调用!BD89</f>
        <v>256000</v>
      </c>
      <c r="AL89" s="7">
        <f>求节点($N$26:$N$32,S$26:S$32,其他调用!BI89)*其他调用!BE89</f>
        <v>204800</v>
      </c>
      <c r="AM89" s="21">
        <f t="shared" si="9"/>
        <v>533850</v>
      </c>
      <c r="AO89" s="21">
        <f t="shared" si="10"/>
        <v>997350</v>
      </c>
    </row>
    <row r="90" spans="22:41">
      <c r="V90" s="23"/>
      <c r="W90" s="23"/>
      <c r="AI90" s="6"/>
      <c r="AJ90" s="6"/>
      <c r="AK90" s="6"/>
      <c r="AL90" s="6"/>
    </row>
    <row r="91" spans="22:41">
      <c r="V91" s="23"/>
      <c r="W91" s="23"/>
      <c r="AI91" s="6"/>
      <c r="AJ91" s="6"/>
      <c r="AK91" s="6"/>
      <c r="AL91" s="6"/>
    </row>
    <row r="92" spans="22:41">
      <c r="V92" s="23"/>
      <c r="W92" s="23"/>
      <c r="AI92" s="6"/>
      <c r="AJ92" s="6"/>
      <c r="AK92" s="6"/>
      <c r="AL92" s="6"/>
    </row>
    <row r="93" spans="22:41">
      <c r="V93" s="34" t="s">
        <v>47</v>
      </c>
      <c r="W93" s="34"/>
    </row>
    <row r="94" spans="22:41">
      <c r="V94" s="34"/>
      <c r="W94" s="34"/>
      <c r="X94" s="34" t="s">
        <v>97</v>
      </c>
      <c r="Y94" s="34"/>
      <c r="Z94" s="34"/>
      <c r="AA94" s="34"/>
      <c r="AB94" s="34"/>
      <c r="AC94" s="34" t="s">
        <v>132</v>
      </c>
      <c r="AD94" s="34"/>
      <c r="AE94" s="34"/>
      <c r="AF94" s="34"/>
      <c r="AG94" s="21"/>
      <c r="AI94" s="36" t="s">
        <v>134</v>
      </c>
      <c r="AJ94" s="37"/>
      <c r="AK94" s="37"/>
      <c r="AL94" s="38"/>
      <c r="AM94" s="21"/>
    </row>
    <row r="95" spans="22:41">
      <c r="V95" s="21" t="s">
        <v>103</v>
      </c>
      <c r="W95" s="21" t="s">
        <v>92</v>
      </c>
      <c r="X95" s="21" t="s">
        <v>104</v>
      </c>
      <c r="Y95" s="21" t="s">
        <v>14</v>
      </c>
      <c r="Z95" s="21" t="s">
        <v>15</v>
      </c>
      <c r="AA95" s="21" t="s">
        <v>13</v>
      </c>
      <c r="AB95" s="21" t="s">
        <v>102</v>
      </c>
      <c r="AC95" s="21" t="s">
        <v>14</v>
      </c>
      <c r="AD95" s="21" t="s">
        <v>15</v>
      </c>
      <c r="AE95" s="21" t="s">
        <v>13</v>
      </c>
      <c r="AF95" s="21" t="s">
        <v>102</v>
      </c>
      <c r="AG95" s="21" t="s">
        <v>133</v>
      </c>
      <c r="AI95" s="7" t="s">
        <v>14</v>
      </c>
      <c r="AJ95" s="7" t="s">
        <v>15</v>
      </c>
      <c r="AK95" s="7" t="s">
        <v>13</v>
      </c>
      <c r="AL95" s="7" t="s">
        <v>102</v>
      </c>
      <c r="AM95" s="21" t="s">
        <v>136</v>
      </c>
      <c r="AO95" s="21" t="s">
        <v>137</v>
      </c>
    </row>
    <row r="96" spans="22:41">
      <c r="V96" s="21">
        <f>其他调用!W96</f>
        <v>0.7</v>
      </c>
      <c r="W96" s="21">
        <f>其他调用!X96</f>
        <v>10.099965341977441</v>
      </c>
      <c r="X96" s="21">
        <f>求节点(将星点产出!$C$26:$C$34,将星点产出!E$26:E$34,其他调用!AD96)*其他调用!Y96</f>
        <v>0</v>
      </c>
      <c r="Y96" s="21">
        <f>求节点(将星点产出!$C$26:$C$34,将星点产出!F$26:F$34,其他调用!AE96)*其他调用!Z96</f>
        <v>0</v>
      </c>
      <c r="Z96" s="21">
        <f>求节点(将星点产出!$C$26:$C$34,将星点产出!G$26:G$34,其他调用!AF96)*其他调用!AA96</f>
        <v>976.14885207094676</v>
      </c>
      <c r="AA96" s="21">
        <f>求节点(将星点产出!$C$26:$C$34,将星点产出!H$26:H$34,其他调用!AG96)*其他调用!AB96</f>
        <v>3200</v>
      </c>
      <c r="AB96" s="21">
        <f>求节点(将星点产出!$C$26:$C$34,将星点产出!I$26:I$34,其他调用!AH96)*其他调用!AC96</f>
        <v>0</v>
      </c>
      <c r="AC96" s="21">
        <f>求节点(将星点产出!$C$26:$C$34,将星点产出!F$26:F$34,其他调用!AM96)*其他调用!AI96</f>
        <v>1600</v>
      </c>
      <c r="AD96" s="21">
        <f>求节点(将星点产出!$C$26:$C$34,将星点产出!G$26:G$34,其他调用!AN96)*其他调用!AJ96</f>
        <v>0</v>
      </c>
      <c r="AE96" s="21">
        <f>求节点(将星点产出!$C$26:$C$34,将星点产出!H$26:H$34,其他调用!AO96)*其他调用!AK96</f>
        <v>0</v>
      </c>
      <c r="AF96" s="21">
        <f>求节点(将星点产出!$C$26:$C$34,将星点产出!I$26:I$34,其他调用!AP96)*其他调用!AL96</f>
        <v>0</v>
      </c>
      <c r="AG96" s="21">
        <f>INT(SUM(X96:AF96))</f>
        <v>5776</v>
      </c>
      <c r="AI96" s="7">
        <f>求节点($N$26:$N$32,P$26:P$32,其他调用!BF96)*其他调用!BB96</f>
        <v>599.90910842377878</v>
      </c>
      <c r="AJ96" s="7">
        <f>求节点($N$26:$N$32,Q$26:Q$32,其他调用!BG96)*其他调用!BC96</f>
        <v>2000</v>
      </c>
      <c r="AK96" s="7">
        <f>求节点($N$26:$N$32,R$26:R$32,其他调用!BH96)*其他调用!BD96</f>
        <v>1800</v>
      </c>
      <c r="AL96" s="7">
        <f>求节点($N$26:$N$32,S$26:S$32,其他调用!BI96)*其他调用!BE96</f>
        <v>0</v>
      </c>
      <c r="AM96" s="21">
        <f>INT(SUM(AI96:AL96))</f>
        <v>4399</v>
      </c>
      <c r="AO96" s="21">
        <f>AG96+AM96</f>
        <v>10175</v>
      </c>
    </row>
    <row r="97" spans="22:41">
      <c r="V97" s="21">
        <f>其他调用!W97</f>
        <v>2.0999999999999996</v>
      </c>
      <c r="W97" s="21">
        <f>其他调用!X97</f>
        <v>19.800198258084681</v>
      </c>
      <c r="X97" s="21">
        <f>求节点(将星点产出!$C$26:$C$34,将星点产出!E$26:E$34,其他调用!AD97)*其他调用!Y97</f>
        <v>0</v>
      </c>
      <c r="Y97" s="21">
        <f>求节点(将星点产出!$C$26:$C$34,将星点产出!F$26:F$34,其他调用!AE97)*其他调用!Z97</f>
        <v>0</v>
      </c>
      <c r="Z97" s="21">
        <f>求节点(将星点产出!$C$26:$C$34,将星点产出!G$26:G$34,其他调用!AF97)*其他调用!AA97</f>
        <v>0</v>
      </c>
      <c r="AA97" s="21">
        <f>求节点(将星点产出!$C$26:$C$34,将星点产出!H$26:H$34,其他调用!AG97)*其他调用!AB97</f>
        <v>4800</v>
      </c>
      <c r="AB97" s="21">
        <f>求节点(将星点产出!$C$26:$C$34,将星点产出!I$26:I$34,其他调用!AH97)*其他调用!AC97</f>
        <v>0</v>
      </c>
      <c r="AC97" s="21">
        <f>求节点(将星点产出!$C$26:$C$34,将星点产出!F$26:F$34,其他调用!AM97)*其他调用!AI97</f>
        <v>2400</v>
      </c>
      <c r="AD97" s="21">
        <f>求节点(将星点产出!$C$26:$C$34,将星点产出!G$26:G$34,其他调用!AN97)*其他调用!AJ97</f>
        <v>0</v>
      </c>
      <c r="AE97" s="21">
        <f>求节点(将星点产出!$C$26:$C$34,将星点产出!H$26:H$34,其他调用!AO97)*其他调用!AK97</f>
        <v>0</v>
      </c>
      <c r="AF97" s="21">
        <f>求节点(将星点产出!$C$26:$C$34,将星点产出!I$26:I$34,其他调用!AP97)*其他调用!AL97</f>
        <v>0</v>
      </c>
      <c r="AG97" s="21">
        <f t="shared" ref="AG97:AG134" si="11">INT(SUM(X97:AF97))</f>
        <v>7200</v>
      </c>
      <c r="AI97" s="7">
        <f>求节点($N$26:$N$32,P$26:P$32,其他调用!BF97)*其他调用!BB97</f>
        <v>797.25468910996119</v>
      </c>
      <c r="AJ97" s="7">
        <f>求节点($N$26:$N$32,Q$26:Q$32,其他调用!BG97)*其他调用!BC97</f>
        <v>2800</v>
      </c>
      <c r="AK97" s="7">
        <f>求节点($N$26:$N$32,R$26:R$32,其他调用!BH97)*其他调用!BD97</f>
        <v>4500</v>
      </c>
      <c r="AL97" s="7">
        <f>求节点($N$26:$N$32,S$26:S$32,其他调用!BI97)*其他调用!BE97</f>
        <v>0</v>
      </c>
      <c r="AM97" s="21">
        <f t="shared" ref="AM97:AM134" si="12">INT(SUM(AI97:AL97))</f>
        <v>8097</v>
      </c>
      <c r="AO97" s="21">
        <f t="shared" ref="AO97:AO134" si="13">AG97+AM97</f>
        <v>15297</v>
      </c>
    </row>
    <row r="98" spans="22:41">
      <c r="V98" s="21">
        <f>其他调用!W98</f>
        <v>4.1999999999999993</v>
      </c>
      <c r="W98" s="21">
        <f>其他调用!X98</f>
        <v>27.769105021676069</v>
      </c>
      <c r="X98" s="21">
        <f>求节点(将星点产出!$C$26:$C$34,将星点产出!E$26:E$34,其他调用!AD98)*其他调用!Y98</f>
        <v>0</v>
      </c>
      <c r="Y98" s="21">
        <f>求节点(将星点产出!$C$26:$C$34,将星点产出!F$26:F$34,其他调用!AE98)*其他调用!Z98</f>
        <v>0</v>
      </c>
      <c r="Z98" s="21">
        <f>求节点(将星点产出!$C$26:$C$34,将星点产出!G$26:G$34,其他调用!AF98)*其他调用!AA98</f>
        <v>0</v>
      </c>
      <c r="AA98" s="21">
        <f>求节点(将星点产出!$C$26:$C$34,将星点产出!H$26:H$34,其他调用!AG98)*其他调用!AB98</f>
        <v>4800</v>
      </c>
      <c r="AB98" s="21">
        <f>求节点(将星点产出!$C$26:$C$34,将星点产出!I$26:I$34,其他调用!AH98)*其他调用!AC98</f>
        <v>0</v>
      </c>
      <c r="AC98" s="21">
        <f>求节点(将星点产出!$C$26:$C$34,将星点产出!F$26:F$34,其他调用!AM98)*其他调用!AI98</f>
        <v>2400</v>
      </c>
      <c r="AD98" s="21">
        <f>求节点(将星点产出!$C$26:$C$34,将星点产出!G$26:G$34,其他调用!AN98)*其他调用!AJ98</f>
        <v>3292.0456229972087</v>
      </c>
      <c r="AE98" s="21">
        <f>求节点(将星点产出!$C$26:$C$34,将星点产出!H$26:H$34,其他调用!AO98)*其他调用!AK98</f>
        <v>0</v>
      </c>
      <c r="AF98" s="21">
        <f>求节点(将星点产出!$C$26:$C$34,将星点产出!I$26:I$34,其他调用!AP98)*其他调用!AL98</f>
        <v>0</v>
      </c>
      <c r="AG98" s="21">
        <f t="shared" si="11"/>
        <v>10492</v>
      </c>
      <c r="AI98" s="7">
        <f>求节点($N$26:$N$32,P$26:P$32,其他调用!BF98)*其他调用!BB98</f>
        <v>1050.2916304168277</v>
      </c>
      <c r="AJ98" s="7">
        <f>求节点($N$26:$N$32,Q$26:Q$32,其他调用!BG98)*其他调用!BC98</f>
        <v>3420.7967575460207</v>
      </c>
      <c r="AK98" s="7">
        <f>求节点($N$26:$N$32,R$26:R$32,其他调用!BH98)*其他调用!BD98</f>
        <v>7200</v>
      </c>
      <c r="AL98" s="7">
        <f>求节点($N$26:$N$32,S$26:S$32,其他调用!BI98)*其他调用!BE98</f>
        <v>0</v>
      </c>
      <c r="AM98" s="21">
        <f t="shared" si="12"/>
        <v>11671</v>
      </c>
      <c r="AO98" s="21">
        <f t="shared" si="13"/>
        <v>22163</v>
      </c>
    </row>
    <row r="99" spans="22:41">
      <c r="V99" s="21">
        <f>其他调用!W99</f>
        <v>7</v>
      </c>
      <c r="W99" s="21">
        <f>其他调用!X99</f>
        <v>34.192155176139416</v>
      </c>
      <c r="X99" s="21">
        <f>求节点(将星点产出!$C$26:$C$34,将星点产出!E$26:E$34,其他调用!AD99)*其他调用!Y99</f>
        <v>0</v>
      </c>
      <c r="Y99" s="21">
        <f>求节点(将星点产出!$C$26:$C$34,将星点产出!F$26:F$34,其他调用!AE99)*其他调用!Z99</f>
        <v>0</v>
      </c>
      <c r="Z99" s="21">
        <f>求节点(将星点产出!$C$26:$C$34,将星点产出!G$26:G$34,其他调用!AF99)*其他调用!AA99</f>
        <v>0</v>
      </c>
      <c r="AA99" s="21">
        <f>求节点(将星点产出!$C$26:$C$34,将星点产出!H$26:H$34,其他调用!AG99)*其他调用!AB99</f>
        <v>5982.1958023633542</v>
      </c>
      <c r="AB99" s="21">
        <f>求节点(将星点产出!$C$26:$C$34,将星点产出!I$26:I$34,其他调用!AH99)*其他调用!AC99</f>
        <v>0</v>
      </c>
      <c r="AC99" s="21">
        <f>求节点(将星点产出!$C$26:$C$34,将星点产出!F$26:F$34,其他调用!AM99)*其他调用!AI99</f>
        <v>2400</v>
      </c>
      <c r="AD99" s="21">
        <f>求节点(将星点产出!$C$26:$C$34,将星点产出!G$26:G$34,其他调用!AN99)*其他调用!AJ99</f>
        <v>9522.7204778743853</v>
      </c>
      <c r="AE99" s="21">
        <f>求节点(将星点产出!$C$26:$C$34,将星点产出!H$26:H$34,其他调用!AO99)*其他调用!AK99</f>
        <v>1994.0652674544513</v>
      </c>
      <c r="AF99" s="21">
        <f>求节点(将星点产出!$C$26:$C$34,将星点产出!I$26:I$34,其他调用!AP99)*其他调用!AL99</f>
        <v>0</v>
      </c>
      <c r="AG99" s="21">
        <f t="shared" si="11"/>
        <v>19898</v>
      </c>
      <c r="AI99" s="7">
        <f>求节点($N$26:$N$32,P$26:P$32,其他调用!BF99)*其他调用!BB99</f>
        <v>1134.342966649147</v>
      </c>
      <c r="AJ99" s="7">
        <f>求节点($N$26:$N$32,Q$26:Q$32,其他调用!BG99)*其他调用!BC99</f>
        <v>4949.4850714690538</v>
      </c>
      <c r="AK99" s="7">
        <f>求节点($N$26:$N$32,R$26:R$32,其他调用!BH99)*其他调用!BD99</f>
        <v>11700</v>
      </c>
      <c r="AL99" s="7">
        <f>求节点($N$26:$N$32,S$26:S$32,其他调用!BI99)*其他调用!BE99</f>
        <v>0</v>
      </c>
      <c r="AM99" s="21">
        <f t="shared" si="12"/>
        <v>17783</v>
      </c>
      <c r="AO99" s="21">
        <f t="shared" si="13"/>
        <v>37681</v>
      </c>
    </row>
    <row r="100" spans="22:41">
      <c r="V100" s="21">
        <f>其他调用!W100</f>
        <v>10.5</v>
      </c>
      <c r="W100" s="21">
        <f>其他调用!X100</f>
        <v>39.631851677253941</v>
      </c>
      <c r="X100" s="21">
        <f>求节点(将星点产出!$C$26:$C$34,将星点产出!E$26:E$34,其他调用!AD100)*其他调用!Y100</f>
        <v>0</v>
      </c>
      <c r="Y100" s="21">
        <f>求节点(将星点产出!$C$26:$C$34,将星点产出!F$26:F$34,其他调用!AE100)*其他调用!Z100</f>
        <v>0</v>
      </c>
      <c r="Z100" s="21">
        <f>求节点(将星点产出!$C$26:$C$34,将星点产出!G$26:G$34,其他调用!AF100)*其他调用!AA100</f>
        <v>0</v>
      </c>
      <c r="AA100" s="21">
        <f>求节点(将星点产出!$C$26:$C$34,将星点产出!H$26:H$34,其他调用!AG100)*其他调用!AB100</f>
        <v>7865.1860664567575</v>
      </c>
      <c r="AB100" s="21">
        <f>求节点(将星点产出!$C$26:$C$34,将星点产出!I$26:I$34,其他调用!AH100)*其他调用!AC100</f>
        <v>0</v>
      </c>
      <c r="AC100" s="21">
        <f>求节点(将星点产出!$C$26:$C$34,将星点产出!F$26:F$34,其他调用!AM100)*其他调用!AI100</f>
        <v>2400</v>
      </c>
      <c r="AD100" s="21">
        <f>求节点(将星点产出!$C$26:$C$34,将星点产出!G$26:G$34,其他调用!AN100)*其他调用!AJ100</f>
        <v>16800</v>
      </c>
      <c r="AE100" s="21">
        <f>求节点(将星点产出!$C$26:$C$34,将星点产出!H$26:H$34,其他调用!AO100)*其他调用!AK100</f>
        <v>5243.4573776378384</v>
      </c>
      <c r="AF100" s="21">
        <f>求节点(将星点产出!$C$26:$C$34,将星点产出!I$26:I$34,其他调用!AP100)*其他调用!AL100</f>
        <v>0</v>
      </c>
      <c r="AG100" s="21">
        <f t="shared" si="11"/>
        <v>32308</v>
      </c>
      <c r="AI100" s="7">
        <f>求节点($N$26:$N$32,P$26:P$32,其他调用!BF100)*其他调用!BB100</f>
        <v>1208.6281390944191</v>
      </c>
      <c r="AJ100" s="7">
        <f>求节点($N$26:$N$32,Q$26:Q$32,其他调用!BG100)*其他调用!BC100</f>
        <v>6700.6713927814944</v>
      </c>
      <c r="AK100" s="7">
        <f>求节点($N$26:$N$32,R$26:R$32,其他调用!BH100)*其他调用!BD100</f>
        <v>16200</v>
      </c>
      <c r="AL100" s="7">
        <f>求节点($N$26:$N$32,S$26:S$32,其他调用!BI100)*其他调用!BE100</f>
        <v>0</v>
      </c>
      <c r="AM100" s="21">
        <f t="shared" si="12"/>
        <v>24109</v>
      </c>
      <c r="AO100" s="21">
        <f t="shared" si="13"/>
        <v>56417</v>
      </c>
    </row>
    <row r="101" spans="22:41">
      <c r="V101" s="21">
        <f>其他调用!W101</f>
        <v>14</v>
      </c>
      <c r="W101" s="21">
        <f>其他调用!X101</f>
        <v>43.484929789964411</v>
      </c>
      <c r="X101" s="21">
        <f>求节点(将星点产出!$C$26:$C$34,将星点产出!E$26:E$34,其他调用!AD101)*其他调用!Y101</f>
        <v>0</v>
      </c>
      <c r="Y101" s="21">
        <f>求节点(将星点产出!$C$26:$C$34,将星点产出!F$26:F$34,其他调用!AE101)*其他调用!Z101</f>
        <v>0</v>
      </c>
      <c r="Z101" s="21">
        <f>求节点(将星点产出!$C$26:$C$34,将星点产出!G$26:G$34,其他调用!AF101)*其他调用!AA101</f>
        <v>0</v>
      </c>
      <c r="AA101" s="21">
        <f>求节点(将星点产出!$C$26:$C$34,将星点产出!H$26:H$34,其他调用!AG101)*其他调用!AB101</f>
        <v>9697.7484349022307</v>
      </c>
      <c r="AB101" s="21">
        <f>求节点(将星点产出!$C$26:$C$34,将星点产出!I$26:I$34,其他调用!AH101)*其他调用!AC101</f>
        <v>0</v>
      </c>
      <c r="AC101" s="21">
        <f>求节点(将星点产出!$C$26:$C$34,将星点产出!F$26:F$34,其他调用!AM101)*其他调用!AI101</f>
        <v>2000</v>
      </c>
      <c r="AD101" s="21">
        <f>求节点(将星点产出!$C$26:$C$34,将星点产出!G$26:G$34,其他调用!AN101)*其他调用!AJ101</f>
        <v>22400</v>
      </c>
      <c r="AE101" s="21">
        <f>求节点(将星点产出!$C$26:$C$34,将星点产出!H$26:H$34,其他调用!AO101)*其他调用!AK101</f>
        <v>9697.7484349022307</v>
      </c>
      <c r="AF101" s="21">
        <f>求节点(将星点产出!$C$26:$C$34,将星点产出!I$26:I$34,其他调用!AP101)*其他调用!AL101</f>
        <v>0</v>
      </c>
      <c r="AG101" s="21">
        <f t="shared" si="11"/>
        <v>43795</v>
      </c>
      <c r="AI101" s="7">
        <f>求节点($N$26:$N$32,P$26:P$32,其他调用!BF101)*其他调用!BB101</f>
        <v>1249.6079176872672</v>
      </c>
      <c r="AJ101" s="7">
        <f>求节点($N$26:$N$32,Q$26:Q$32,其他调用!BG101)*其他调用!BC101</f>
        <v>8431.7137643759397</v>
      </c>
      <c r="AK101" s="7">
        <f>求节点($N$26:$N$32,R$26:R$32,其他调用!BH101)*其他调用!BD101</f>
        <v>18000</v>
      </c>
      <c r="AL101" s="7">
        <f>求节点($N$26:$N$32,S$26:S$32,其他调用!BI101)*其他调用!BE101</f>
        <v>0</v>
      </c>
      <c r="AM101" s="21">
        <f t="shared" si="12"/>
        <v>27681</v>
      </c>
      <c r="AO101" s="21">
        <f t="shared" si="13"/>
        <v>71476</v>
      </c>
    </row>
    <row r="102" spans="22:41">
      <c r="V102" s="21">
        <f>其他调用!W102</f>
        <v>21</v>
      </c>
      <c r="W102" s="21">
        <f>其他调用!X102</f>
        <v>49.18886033229559</v>
      </c>
      <c r="X102" s="21">
        <f>求节点(将星点产出!$C$26:$C$34,将星点产出!E$26:E$34,其他调用!AD102)*其他调用!Y102</f>
        <v>0</v>
      </c>
      <c r="Y102" s="21">
        <f>求节点(将星点产出!$C$26:$C$34,将星点产出!F$26:F$34,其他调用!AE102)*其他调用!Z102</f>
        <v>0</v>
      </c>
      <c r="Z102" s="21">
        <f>求节点(将星点产出!$C$26:$C$34,将星点产出!G$26:G$34,其他调用!AF102)*其他调用!AA102</f>
        <v>0</v>
      </c>
      <c r="AA102" s="21">
        <f>求节点(将星点产出!$C$26:$C$34,将星点产出!H$26:H$34,其他调用!AG102)*其他调用!AB102</f>
        <v>12855.307076507095</v>
      </c>
      <c r="AB102" s="21">
        <f>求节点(将星点产出!$C$26:$C$34,将星点产出!I$26:I$34,其他调用!AH102)*其他调用!AC102</f>
        <v>0</v>
      </c>
      <c r="AC102" s="21">
        <f>求节点(将星点产出!$C$26:$C$34,将星点产出!F$26:F$34,其他调用!AM102)*其他调用!AI102</f>
        <v>0</v>
      </c>
      <c r="AD102" s="21">
        <f>求节点(将星点产出!$C$26:$C$34,将星点产出!G$26:G$34,其他调用!AN102)*其他调用!AJ102</f>
        <v>28000</v>
      </c>
      <c r="AE102" s="21">
        <f>求节点(将星点产出!$C$26:$C$34,将星点产出!H$26:H$34,其他调用!AO102)*其他调用!AK102</f>
        <v>12855.307076507095</v>
      </c>
      <c r="AF102" s="21">
        <f>求节点(将星点产出!$C$26:$C$34,将星点产出!I$26:I$34,其他调用!AP102)*其他调用!AL102</f>
        <v>0</v>
      </c>
      <c r="AG102" s="21">
        <f t="shared" si="11"/>
        <v>53710</v>
      </c>
      <c r="AI102" s="7">
        <f>求节点($N$26:$N$32,P$26:P$32,其他调用!BF102)*其他调用!BB102</f>
        <v>1327.0233542508308</v>
      </c>
      <c r="AJ102" s="7">
        <f>求节点($N$26:$N$32,Q$26:Q$32,其他调用!BG102)*其他调用!BC102</f>
        <v>11362.232766030982</v>
      </c>
      <c r="AK102" s="7">
        <f>求节点($N$26:$N$32,R$26:R$32,其他调用!BH102)*其他调用!BD102</f>
        <v>22926.070696620478</v>
      </c>
      <c r="AL102" s="7">
        <f>求节点($N$26:$N$32,S$26:S$32,其他调用!BI102)*其他调用!BE102</f>
        <v>0</v>
      </c>
      <c r="AM102" s="21">
        <f t="shared" si="12"/>
        <v>35615</v>
      </c>
      <c r="AO102" s="21">
        <f t="shared" si="13"/>
        <v>89325</v>
      </c>
    </row>
    <row r="103" spans="22:41">
      <c r="V103" s="21">
        <f>其他调用!W103</f>
        <v>28</v>
      </c>
      <c r="W103" s="21">
        <f>其他调用!X103</f>
        <v>53.212684955585161</v>
      </c>
      <c r="X103" s="21">
        <f>求节点(将星点产出!$C$26:$C$34,将星点产出!E$26:E$34,其他调用!AD103)*其他调用!Y103</f>
        <v>0</v>
      </c>
      <c r="Y103" s="21">
        <f>求节点(将星点产出!$C$26:$C$34,将星点产出!F$26:F$34,其他调用!AE103)*其他调用!Z103</f>
        <v>0</v>
      </c>
      <c r="Z103" s="21">
        <f>求节点(将星点产出!$C$26:$C$34,将星点产出!G$26:G$34,其他调用!AF103)*其他调用!AA103</f>
        <v>0</v>
      </c>
      <c r="AA103" s="21">
        <f>求节点(将星点产出!$C$26:$C$34,将星点产出!H$26:H$34,其他调用!AG103)*其他调用!AB103</f>
        <v>13130.574607207072</v>
      </c>
      <c r="AB103" s="21">
        <f>求节点(将星点产出!$C$26:$C$34,将星点产出!I$26:I$34,其他调用!AH103)*其他调用!AC103</f>
        <v>2500</v>
      </c>
      <c r="AC103" s="21">
        <f>求节点(将星点产出!$C$26:$C$34,将星点产出!F$26:F$34,其他调用!AM103)*其他调用!AI103</f>
        <v>0</v>
      </c>
      <c r="AD103" s="21">
        <f>求节点(将星点产出!$C$26:$C$34,将星点产出!G$26:G$34,其他调用!AN103)*其他调用!AJ103</f>
        <v>33600</v>
      </c>
      <c r="AE103" s="21">
        <f>求节点(将星点产出!$C$26:$C$34,将星点产出!H$26:H$34,其他调用!AO103)*其他调用!AK103</f>
        <v>15756.689528648487</v>
      </c>
      <c r="AF103" s="21">
        <f>求节点(将星点产出!$C$26:$C$34,将星点产出!I$26:I$34,其他调用!AP103)*其他调用!AL103</f>
        <v>0</v>
      </c>
      <c r="AG103" s="21">
        <f t="shared" si="11"/>
        <v>64987</v>
      </c>
      <c r="AI103" s="7">
        <f>求节点($N$26:$N$32,P$26:P$32,其他调用!BF103)*其他调用!BB103</f>
        <v>1404.2548842807955</v>
      </c>
      <c r="AJ103" s="7">
        <f>求节点($N$26:$N$32,Q$26:Q$32,其他调用!BG103)*其他调用!BC103</f>
        <v>14042.033700260366</v>
      </c>
      <c r="AK103" s="7">
        <f>求节点($N$26:$N$32,R$26:R$32,其他调用!BH103)*其他调用!BD103</f>
        <v>29317.645595652048</v>
      </c>
      <c r="AL103" s="7">
        <f>求节点($N$26:$N$32,S$26:S$32,其他调用!BI103)*其他调用!BE103</f>
        <v>0</v>
      </c>
      <c r="AM103" s="21">
        <f t="shared" si="12"/>
        <v>44763</v>
      </c>
      <c r="AO103" s="21">
        <f t="shared" si="13"/>
        <v>109750</v>
      </c>
    </row>
    <row r="104" spans="22:41">
      <c r="V104" s="21">
        <f>其他调用!W104</f>
        <v>42</v>
      </c>
      <c r="W104" s="21">
        <f>其他调用!X104</f>
        <v>59.09095196730258</v>
      </c>
      <c r="X104" s="21">
        <f>求节点(将星点产出!$C$26:$C$34,将星点产出!E$26:E$34,其他调用!AD104)*其他调用!Y104</f>
        <v>0</v>
      </c>
      <c r="Y104" s="21">
        <f>求节点(将星点产出!$C$26:$C$34,将星点产出!F$26:F$34,其他调用!AE104)*其他调用!Z104</f>
        <v>0</v>
      </c>
      <c r="Z104" s="21">
        <f>求节点(将星点产出!$C$26:$C$34,将星点产出!G$26:G$34,其他调用!AF104)*其他调用!AA104</f>
        <v>0</v>
      </c>
      <c r="AA104" s="21">
        <f>求节点(将星点产出!$C$26:$C$34,将星点产出!H$26:H$34,其他调用!AG104)*其他调用!AB104</f>
        <v>13443.234984591678</v>
      </c>
      <c r="AB104" s="21">
        <f>求节点(将星点产出!$C$26:$C$34,将星点产出!I$26:I$34,其他调用!AH104)*其他调用!AC104</f>
        <v>5000</v>
      </c>
      <c r="AC104" s="21">
        <f>求节点(将星点产出!$C$26:$C$34,将星点产出!F$26:F$34,其他调用!AM104)*其他调用!AI104</f>
        <v>0</v>
      </c>
      <c r="AD104" s="21">
        <f>求节点(将星点产出!$C$26:$C$34,将星点产出!G$26:G$34,其他调用!AN104)*其他调用!AJ104</f>
        <v>39200</v>
      </c>
      <c r="AE104" s="21">
        <f>求节点(将星点产出!$C$26:$C$34,将星点产出!H$26:H$34,其他调用!AO104)*其他调用!AK104</f>
        <v>26886.469969183356</v>
      </c>
      <c r="AF104" s="21">
        <f>求节点(将星点产出!$C$26:$C$34,将星点产出!I$26:I$34,其他调用!AP104)*其他调用!AL104</f>
        <v>0</v>
      </c>
      <c r="AG104" s="21">
        <f t="shared" si="11"/>
        <v>84529</v>
      </c>
      <c r="AI104" s="7">
        <f>求节点($N$26:$N$32,P$26:P$32,其他调用!BF104)*其他调用!BB104</f>
        <v>1566.7294339517071</v>
      </c>
      <c r="AJ104" s="7">
        <f>求节点($N$26:$N$32,Q$26:Q$32,其他调用!BG104)*其他调用!BC104</f>
        <v>19841.761373410569</v>
      </c>
      <c r="AK104" s="7">
        <f>求节点($N$26:$N$32,R$26:R$32,其他调用!BH104)*其他调用!BD104</f>
        <v>40783.420053363938</v>
      </c>
      <c r="AL104" s="7">
        <f>求节点($N$26:$N$32,S$26:S$32,其他调用!BI104)*其他调用!BE104</f>
        <v>0</v>
      </c>
      <c r="AM104" s="21">
        <f t="shared" si="12"/>
        <v>62191</v>
      </c>
      <c r="AO104" s="21">
        <f t="shared" si="13"/>
        <v>146720</v>
      </c>
    </row>
    <row r="105" spans="22:41">
      <c r="V105" s="21">
        <f>其他调用!W105</f>
        <v>62.999999999999993</v>
      </c>
      <c r="W105" s="21">
        <f>其他调用!X105</f>
        <v>64.819145630244321</v>
      </c>
      <c r="X105" s="21">
        <f>求节点(将星点产出!$C$26:$C$34,将星点产出!E$26:E$34,其他调用!AD105)*其他调用!Y105</f>
        <v>0</v>
      </c>
      <c r="Y105" s="21">
        <f>求节点(将星点产出!$C$26:$C$34,将星点产出!F$26:F$34,其他调用!AE105)*其他调用!Z105</f>
        <v>0</v>
      </c>
      <c r="Z105" s="21">
        <f>求节点(将星点产出!$C$26:$C$34,将星点产出!G$26:G$34,其他调用!AF105)*其他调用!AA105</f>
        <v>0</v>
      </c>
      <c r="AA105" s="21">
        <f>求节点(将星点产出!$C$26:$C$34,将星点产出!H$26:H$34,其他调用!AG105)*其他调用!AB105</f>
        <v>11626.549903552259</v>
      </c>
      <c r="AB105" s="21">
        <f>求节点(将星点产出!$C$26:$C$34,将星点产出!I$26:I$34,其他调用!AH105)*其他调用!AC105</f>
        <v>14547.381791446191</v>
      </c>
      <c r="AC105" s="21">
        <f>求节点(将星点产出!$C$26:$C$34,将星点产出!F$26:F$34,其他调用!AM105)*其他调用!AI105</f>
        <v>0</v>
      </c>
      <c r="AD105" s="21">
        <f>求节点(将星点产出!$C$26:$C$34,将星点产出!G$26:G$34,其他调用!AN105)*其他调用!AJ105</f>
        <v>42000</v>
      </c>
      <c r="AE105" s="21">
        <f>求节点(将星点产出!$C$26:$C$34,将星点产出!H$26:H$34,其他调用!AO105)*其他调用!AK105</f>
        <v>34879.649710656777</v>
      </c>
      <c r="AF105" s="21">
        <f>求节点(将星点产出!$C$26:$C$34,将星点产出!I$26:I$34,其他调用!AP105)*其他调用!AL105</f>
        <v>0</v>
      </c>
      <c r="AG105" s="21">
        <f t="shared" si="11"/>
        <v>103053</v>
      </c>
      <c r="AI105" s="7">
        <f>求节点($N$26:$N$32,P$26:P$32,其他调用!BF105)*其他调用!BB105</f>
        <v>1650</v>
      </c>
      <c r="AJ105" s="7">
        <f>求节点($N$26:$N$32,Q$26:Q$32,其他调用!BG105)*其他调用!BC105</f>
        <v>29230.084394898913</v>
      </c>
      <c r="AK105" s="7">
        <f>求节点($N$26:$N$32,R$26:R$32,其他调用!BH105)*其他调用!BD105</f>
        <v>55235.301347618435</v>
      </c>
      <c r="AL105" s="7">
        <f>求节点($N$26:$N$32,S$26:S$32,其他调用!BI105)*其他调用!BE105</f>
        <v>1800</v>
      </c>
      <c r="AM105" s="21">
        <f t="shared" si="12"/>
        <v>87915</v>
      </c>
      <c r="AO105" s="21">
        <f t="shared" si="13"/>
        <v>190968</v>
      </c>
    </row>
    <row r="106" spans="22:41">
      <c r="V106" s="21">
        <f>其他调用!W106</f>
        <v>84</v>
      </c>
      <c r="W106" s="21">
        <f>其他调用!X106</f>
        <v>69.01697485309198</v>
      </c>
      <c r="X106" s="21">
        <f>求节点(将星点产出!$C$26:$C$34,将星点产出!E$26:E$34,其他调用!AD106)*其他调用!Y106</f>
        <v>0</v>
      </c>
      <c r="Y106" s="21">
        <f>求节点(将星点产出!$C$26:$C$34,将星点产出!F$26:F$34,其他调用!AE106)*其他调用!Z106</f>
        <v>0</v>
      </c>
      <c r="Z106" s="21">
        <f>求节点(将星点产出!$C$26:$C$34,将星点产出!G$26:G$34,其他调用!AF106)*其他调用!AA106</f>
        <v>0</v>
      </c>
      <c r="AA106" s="21">
        <f>求节点(将星点产出!$C$26:$C$34,将星点产出!H$26:H$34,其他调用!AG106)*其他调用!AB106</f>
        <v>8758.4119129598257</v>
      </c>
      <c r="AB106" s="21">
        <f>求节点(将星点产出!$C$26:$C$34,将星点产出!I$26:I$34,其他调用!AH106)*其他调用!AC106</f>
        <v>24339.830589145662</v>
      </c>
      <c r="AC106" s="21">
        <f>求节点(将星点产出!$C$26:$C$34,将星点产出!F$26:F$34,其他调用!AM106)*其他调用!AI106</f>
        <v>0</v>
      </c>
      <c r="AD106" s="21">
        <f>求节点(将星点产出!$C$26:$C$34,将星点产出!G$26:G$34,其他调用!AN106)*其他调用!AJ106</f>
        <v>22400</v>
      </c>
      <c r="AE106" s="21">
        <f>求节点(将星点产出!$C$26:$C$34,将星点产出!H$26:H$34,其他调用!AO106)*其他调用!AK106</f>
        <v>70067.295303678606</v>
      </c>
      <c r="AF106" s="21">
        <f>求节点(将星点产出!$C$26:$C$34,将星点产出!I$26:I$34,其他调用!AP106)*其他调用!AL106</f>
        <v>0</v>
      </c>
      <c r="AG106" s="21">
        <f t="shared" si="11"/>
        <v>125565</v>
      </c>
      <c r="AI106" s="7">
        <f>求节点($N$26:$N$32,P$26:P$32,其他调用!BF106)*其他调用!BB106</f>
        <v>1650</v>
      </c>
      <c r="AJ106" s="7">
        <f>求节点($N$26:$N$32,Q$26:Q$32,其他调用!BG106)*其他调用!BC106</f>
        <v>38618.291707638287</v>
      </c>
      <c r="AK106" s="7">
        <f>求节点($N$26:$N$32,R$26:R$32,其他调用!BH106)*其他调用!BD106</f>
        <v>68345.142587000111</v>
      </c>
      <c r="AL106" s="7">
        <f>求节点($N$26:$N$32,S$26:S$32,其他调用!BI106)*其他调用!BE106</f>
        <v>3600</v>
      </c>
      <c r="AM106" s="21">
        <f t="shared" si="12"/>
        <v>112213</v>
      </c>
      <c r="AO106" s="21">
        <f t="shared" si="13"/>
        <v>237778</v>
      </c>
    </row>
    <row r="107" spans="22:41">
      <c r="V107" s="21">
        <f>其他调用!W107</f>
        <v>105</v>
      </c>
      <c r="W107" s="21">
        <f>其他调用!X107</f>
        <v>72.23150684883845</v>
      </c>
      <c r="X107" s="21">
        <f>求节点(将星点产出!$C$26:$C$34,将星点产出!E$26:E$34,其他调用!AD107)*其他调用!Y107</f>
        <v>0</v>
      </c>
      <c r="Y107" s="21">
        <f>求节点(将星点产出!$C$26:$C$34,将星点产出!F$26:F$34,其他调用!AE107)*其他调用!Z107</f>
        <v>0</v>
      </c>
      <c r="Z107" s="21">
        <f>求节点(将星点产出!$C$26:$C$34,将星点产出!G$26:G$34,其他调用!AF107)*其他调用!AA107</f>
        <v>0</v>
      </c>
      <c r="AA107" s="21">
        <f>求节点(将星点产出!$C$26:$C$34,将星点产出!H$26:H$34,其他调用!AG107)*其他调用!AB107</f>
        <v>5330.5527901641954</v>
      </c>
      <c r="AB107" s="21">
        <f>求节点(将星点产出!$C$26:$C$34,将星点产出!I$26:I$34,其他调用!AH107)*其他调用!AC107</f>
        <v>32834.134848553833</v>
      </c>
      <c r="AC107" s="21">
        <f>求节点(将星点产出!$C$26:$C$34,将星点产出!F$26:F$34,其他调用!AM107)*其他调用!AI107</f>
        <v>0</v>
      </c>
      <c r="AD107" s="21">
        <f>求节点(将星点产出!$C$26:$C$34,将星点产出!G$26:G$34,其他调用!AN107)*其他调用!AJ107</f>
        <v>16800</v>
      </c>
      <c r="AE107" s="21">
        <f>求节点(将星点产出!$C$26:$C$34,将星点产出!H$26:H$34,其他调用!AO107)*其他调用!AK107</f>
        <v>95949.950222955522</v>
      </c>
      <c r="AF107" s="21">
        <f>求节点(将星点产出!$C$26:$C$34,将星点产出!I$26:I$34,其他调用!AP107)*其他调用!AL107</f>
        <v>0</v>
      </c>
      <c r="AG107" s="21">
        <f t="shared" si="11"/>
        <v>150914</v>
      </c>
      <c r="AI107" s="7">
        <f>求节点($N$26:$N$32,P$26:P$32,其他调用!BF107)*其他调用!BB107</f>
        <v>1650</v>
      </c>
      <c r="AJ107" s="7">
        <f>求节点($N$26:$N$32,Q$26:Q$32,其他调用!BG107)*其他调用!BC107</f>
        <v>47046.662812561335</v>
      </c>
      <c r="AK107" s="7">
        <f>求节点($N$26:$N$32,R$26:R$32,其他调用!BH107)*其他调用!BD107</f>
        <v>78015.3409191471</v>
      </c>
      <c r="AL107" s="7">
        <f>求节点($N$26:$N$32,S$26:S$32,其他调用!BI107)*其他调用!BE107</f>
        <v>9000</v>
      </c>
      <c r="AM107" s="21">
        <f t="shared" si="12"/>
        <v>135712</v>
      </c>
      <c r="AO107" s="21">
        <f t="shared" si="13"/>
        <v>286626</v>
      </c>
    </row>
    <row r="108" spans="22:41">
      <c r="V108" s="21">
        <f>其他调用!W108</f>
        <v>125.99999999999999</v>
      </c>
      <c r="W108" s="21">
        <f>其他调用!X108</f>
        <v>74.840792411391348</v>
      </c>
      <c r="X108" s="21">
        <f>求节点(将星点产出!$C$26:$C$34,将星点产出!E$26:E$34,其他调用!AD108)*其他调用!Y108</f>
        <v>0</v>
      </c>
      <c r="Y108" s="21">
        <f>求节点(将星点产出!$C$26:$C$34,将星点产出!F$26:F$34,其他调用!AE108)*其他调用!Z108</f>
        <v>0</v>
      </c>
      <c r="Z108" s="21">
        <f>求节点(将星点产出!$C$26:$C$34,将星点产出!G$26:G$34,其他调用!AF108)*其他调用!AA108</f>
        <v>0</v>
      </c>
      <c r="AA108" s="21">
        <f>求节点(将星点产出!$C$26:$C$34,将星点产出!H$26:H$34,其他调用!AG108)*其他调用!AB108</f>
        <v>3122.14872487712</v>
      </c>
      <c r="AB108" s="21">
        <f>求节点(将星点产出!$C$26:$C$34,将星点产出!I$26:I$34,其他调用!AH108)*其他调用!AC108</f>
        <v>40634.475581134466</v>
      </c>
      <c r="AC108" s="21">
        <f>求节点(将星点产出!$C$26:$C$34,将星点产出!F$26:F$34,其他调用!AM108)*其他调用!AI108</f>
        <v>0</v>
      </c>
      <c r="AD108" s="21">
        <f>求节点(将星点产出!$C$26:$C$34,将星点产出!G$26:G$34,其他调用!AN108)*其他调用!AJ108</f>
        <v>11200</v>
      </c>
      <c r="AE108" s="21">
        <f>求节点(将星点产出!$C$26:$C$34,将星点产出!H$26:H$34,其他调用!AO108)*其他调用!AK108</f>
        <v>124885.94899508479</v>
      </c>
      <c r="AF108" s="21">
        <f>求节点(将星点产出!$C$26:$C$34,将星点产出!I$26:I$34,其他调用!AP108)*其他调用!AL108</f>
        <v>0</v>
      </c>
      <c r="AG108" s="21">
        <f t="shared" si="11"/>
        <v>179842</v>
      </c>
      <c r="AI108" s="7">
        <f>求节点($N$26:$N$32,P$26:P$32,其他调用!BF108)*其他调用!BB108</f>
        <v>1650</v>
      </c>
      <c r="AJ108" s="7">
        <f>求节点($N$26:$N$32,Q$26:Q$32,其他调用!BG108)*其他调用!BC108</f>
        <v>55090.89115860968</v>
      </c>
      <c r="AK108" s="7">
        <f>求节点($N$26:$N$32,R$26:R$32,其他调用!BH108)*其他调用!BD108</f>
        <v>87244.797307218279</v>
      </c>
      <c r="AL108" s="7">
        <f>求节点($N$26:$N$32,S$26:S$32,其他调用!BI108)*其他调用!BE108</f>
        <v>14400</v>
      </c>
      <c r="AM108" s="21">
        <f t="shared" si="12"/>
        <v>158385</v>
      </c>
      <c r="AO108" s="21">
        <f t="shared" si="13"/>
        <v>338227</v>
      </c>
    </row>
    <row r="109" spans="22:41">
      <c r="V109" s="21">
        <f>其他调用!W109</f>
        <v>154</v>
      </c>
      <c r="W109" s="21">
        <f>其他调用!X109</f>
        <v>77.697893604818219</v>
      </c>
      <c r="X109" s="21">
        <f>求节点(将星点产出!$C$26:$C$34,将星点产出!E$26:E$34,其他调用!AD109)*其他调用!Y109</f>
        <v>0</v>
      </c>
      <c r="Y109" s="21">
        <f>求节点(将星点产出!$C$26:$C$34,将星点产出!F$26:F$34,其他调用!AE109)*其他调用!Z109</f>
        <v>0</v>
      </c>
      <c r="Z109" s="21">
        <f>求节点(将星点产出!$C$26:$C$34,将星点产出!G$26:G$34,其他调用!AF109)*其他调用!AA109</f>
        <v>0</v>
      </c>
      <c r="AA109" s="21">
        <f>求节点(将星点产出!$C$26:$C$34,将星点产出!H$26:H$34,其他调用!AG109)*其他调用!AB109</f>
        <v>0</v>
      </c>
      <c r="AB109" s="21">
        <f>求节点(将星点产出!$C$26:$C$34,将星点产出!I$26:I$34,其他调用!AH109)*其他调用!AC109</f>
        <v>50007.03384618026</v>
      </c>
      <c r="AC109" s="21">
        <f>求节点(将星点产出!$C$26:$C$34,将星点产出!F$26:F$34,其他调用!AM109)*其他调用!AI109</f>
        <v>0</v>
      </c>
      <c r="AD109" s="21">
        <f>求节点(将星点产出!$C$26:$C$34,将星点产出!G$26:G$34,其他调用!AN109)*其他调用!AJ109</f>
        <v>11200</v>
      </c>
      <c r="AE109" s="21">
        <f>求节点(将星点产出!$C$26:$C$34,将星点产出!H$26:H$34,其他调用!AO109)*其他调用!AK109</f>
        <v>141725.48738598492</v>
      </c>
      <c r="AF109" s="21">
        <f>求节点(将星点产出!$C$26:$C$34,将星点产出!I$26:I$34,其他调用!AP109)*其他调用!AL109</f>
        <v>0</v>
      </c>
      <c r="AG109" s="21">
        <f t="shared" si="11"/>
        <v>202932</v>
      </c>
      <c r="AI109" s="7">
        <f>求节点($N$26:$N$32,P$26:P$32,其他调用!BF109)*其他调用!BB109</f>
        <v>1650</v>
      </c>
      <c r="AJ109" s="7">
        <f>求节点($N$26:$N$32,Q$26:Q$32,其他调用!BG109)*其他调用!BC109</f>
        <v>65816.528953340821</v>
      </c>
      <c r="AK109" s="7">
        <f>求节点($N$26:$N$32,R$26:R$32,其他调用!BH109)*其他调用!BD109</f>
        <v>99550.739157979871</v>
      </c>
      <c r="AL109" s="7">
        <f>求节点($N$26:$N$32,S$26:S$32,其他调用!BI109)*其他调用!BE109</f>
        <v>20292.972142793944</v>
      </c>
      <c r="AM109" s="21">
        <f t="shared" si="12"/>
        <v>187310</v>
      </c>
      <c r="AO109" s="21">
        <f t="shared" si="13"/>
        <v>390242</v>
      </c>
    </row>
    <row r="110" spans="22:41">
      <c r="V110" s="21">
        <f>其他调用!W110</f>
        <v>182</v>
      </c>
      <c r="W110" s="21">
        <f>其他调用!X110</f>
        <v>80.134867890916794</v>
      </c>
      <c r="X110" s="21">
        <f>求节点(将星点产出!$C$26:$C$34,将星点产出!E$26:E$34,其他调用!AD110)*其他调用!Y110</f>
        <v>0</v>
      </c>
      <c r="Y110" s="21">
        <f>求节点(将星点产出!$C$26:$C$34,将星点产出!F$26:F$34,其他调用!AE110)*其他调用!Z110</f>
        <v>0</v>
      </c>
      <c r="Z110" s="21">
        <f>求节点(将星点产出!$C$26:$C$34,将星点产出!G$26:G$34,其他调用!AF110)*其他调用!AA110</f>
        <v>0</v>
      </c>
      <c r="AA110" s="21">
        <f>求节点(将星点产出!$C$26:$C$34,将星点产出!H$26:H$34,其他调用!AG110)*其他调用!AB110</f>
        <v>0</v>
      </c>
      <c r="AB110" s="21">
        <f>求节点(将星点产出!$C$26:$C$34,将星点产出!I$26:I$34,其他调用!AH110)*其他调用!AC110</f>
        <v>58451.839826631192</v>
      </c>
      <c r="AC110" s="21">
        <f>求节点(将星点产出!$C$26:$C$34,将星点产出!F$26:F$34,其他调用!AM110)*其他调用!AI110</f>
        <v>0</v>
      </c>
      <c r="AD110" s="21">
        <f>求节点(将星点产出!$C$26:$C$34,将星点产出!G$26:G$34,其他调用!AN110)*其他调用!AJ110</f>
        <v>11200</v>
      </c>
      <c r="AE110" s="21">
        <f>求节点(将星点产出!$C$26:$C$34,将星点产出!H$26:H$34,其他调用!AO110)*其他调用!AK110</f>
        <v>146351.69426058084</v>
      </c>
      <c r="AF110" s="21">
        <f>求节点(将星点产出!$C$26:$C$34,将星点产出!I$26:I$34,其他调用!AP110)*其他调用!AL110</f>
        <v>0</v>
      </c>
      <c r="AG110" s="21">
        <f t="shared" si="11"/>
        <v>216003</v>
      </c>
      <c r="AI110" s="7">
        <f>求节点($N$26:$N$32,P$26:P$32,其他调用!BF110)*其他调用!BB110</f>
        <v>1650</v>
      </c>
      <c r="AJ110" s="7">
        <f>求节点($N$26:$N$32,Q$26:Q$32,其他调用!BG110)*其他调用!BC110</f>
        <v>71400</v>
      </c>
      <c r="AK110" s="7">
        <f>求节点($N$26:$N$32,R$26:R$32,其他调用!BH110)*其他调用!BD110</f>
        <v>111815.59794403767</v>
      </c>
      <c r="AL110" s="7">
        <f>求节点($N$26:$N$32,S$26:S$32,其他调用!BI110)*其他调用!BE110</f>
        <v>26600.61380419512</v>
      </c>
      <c r="AM110" s="21">
        <f t="shared" si="12"/>
        <v>211466</v>
      </c>
      <c r="AO110" s="21">
        <f t="shared" si="13"/>
        <v>427469</v>
      </c>
    </row>
    <row r="111" spans="22:41">
      <c r="V111" s="21">
        <f>其他调用!W111</f>
        <v>210</v>
      </c>
      <c r="W111" s="21">
        <f>其他调用!X111</f>
        <v>82.238672852681816</v>
      </c>
      <c r="X111" s="21">
        <f>求节点(将星点产出!$C$26:$C$34,将星点产出!E$26:E$34,其他调用!AD111)*其他调用!Y111</f>
        <v>0</v>
      </c>
      <c r="Y111" s="21">
        <f>求节点(将星点产出!$C$26:$C$34,将星点产出!F$26:F$34,其他调用!AE111)*其他调用!Z111</f>
        <v>0</v>
      </c>
      <c r="Z111" s="21">
        <f>求节点(将星点产出!$C$26:$C$34,将星点产出!G$26:G$34,其他调用!AF111)*其他调用!AA111</f>
        <v>0</v>
      </c>
      <c r="AA111" s="21">
        <f>求节点(将星点产出!$C$26:$C$34,将星点产出!H$26:H$34,其他调用!AG111)*其他调用!AB111</f>
        <v>0</v>
      </c>
      <c r="AB111" s="21">
        <f>求节点(将星点产出!$C$26:$C$34,将星点产出!I$26:I$34,其他调用!AH111)*其他调用!AC111</f>
        <v>65660.558113754654</v>
      </c>
      <c r="AC111" s="21">
        <f>求节点(将星点产出!$C$26:$C$34,将星点产出!F$26:F$34,其他调用!AM111)*其他调用!AI111</f>
        <v>0</v>
      </c>
      <c r="AD111" s="21">
        <f>求节点(将星点产出!$C$26:$C$34,将星点产出!G$26:G$34,其他调用!AN111)*其他调用!AJ111</f>
        <v>11200</v>
      </c>
      <c r="AE111" s="21">
        <f>求节点(将星点产出!$C$26:$C$34,将星点产出!H$26:H$34,其他调用!AO111)*其他调用!AK111</f>
        <v>150839.32877033282</v>
      </c>
      <c r="AF111" s="21">
        <f>求节点(将星点产出!$C$26:$C$34,将星点产出!I$26:I$34,其他调用!AP111)*其他调用!AL111</f>
        <v>0</v>
      </c>
      <c r="AG111" s="21">
        <f t="shared" si="11"/>
        <v>227699</v>
      </c>
      <c r="AI111" s="7">
        <f>求节点($N$26:$N$32,P$26:P$32,其他调用!BF111)*其他调用!BB111</f>
        <v>1650</v>
      </c>
      <c r="AJ111" s="7">
        <f>求节点($N$26:$N$32,Q$26:Q$32,其他调用!BG111)*其他调用!BC111</f>
        <v>71400</v>
      </c>
      <c r="AK111" s="7">
        <f>求节点($N$26:$N$32,R$26:R$32,其他调用!BH111)*其他调用!BD111</f>
        <v>123546.37688894742</v>
      </c>
      <c r="AL111" s="7">
        <f>求节点($N$26:$N$32,S$26:S$32,其他调用!BI111)*其他调用!BE111</f>
        <v>31781.677870115633</v>
      </c>
      <c r="AM111" s="21">
        <f t="shared" si="12"/>
        <v>228378</v>
      </c>
      <c r="AO111" s="21">
        <f t="shared" si="13"/>
        <v>456077</v>
      </c>
    </row>
    <row r="112" spans="22:41">
      <c r="V112" s="21">
        <f>其他调用!W112</f>
        <v>237.99999999999997</v>
      </c>
      <c r="W112" s="21">
        <f>其他调用!X112</f>
        <v>84.043767921022209</v>
      </c>
      <c r="X112" s="21">
        <f>求节点(将星点产出!$C$26:$C$34,将星点产出!E$26:E$34,其他调用!AD112)*其他调用!Y112</f>
        <v>0</v>
      </c>
      <c r="Y112" s="21">
        <f>求节点(将星点产出!$C$26:$C$34,将星点产出!F$26:F$34,其他调用!AE112)*其他调用!Z112</f>
        <v>0</v>
      </c>
      <c r="Z112" s="21">
        <f>求节点(将星点产出!$C$26:$C$34,将星点产出!G$26:G$34,其他调用!AF112)*其他调用!AA112</f>
        <v>0</v>
      </c>
      <c r="AA112" s="21">
        <f>求节点(将星点产出!$C$26:$C$34,将星点产出!H$26:H$34,其他调用!AG112)*其他调用!AB112</f>
        <v>0</v>
      </c>
      <c r="AB112" s="21">
        <f>求节点(将星点产出!$C$26:$C$34,将星点产出!I$26:I$34,其他调用!AH112)*其他调用!AC112</f>
        <v>72554.905181000329</v>
      </c>
      <c r="AC112" s="21">
        <f>求节点(将星点产出!$C$26:$C$34,将星点产出!F$26:F$34,其他调用!AM112)*其他调用!AI112</f>
        <v>0</v>
      </c>
      <c r="AD112" s="21">
        <f>求节点(将星点产出!$C$26:$C$34,将星点产出!G$26:G$34,其他调用!AN112)*其他调用!AJ112</f>
        <v>5600</v>
      </c>
      <c r="AE112" s="21">
        <f>求节点(将星点产出!$C$26:$C$34,将星点产出!H$26:H$34,其他调用!AO112)*其他调用!AK112</f>
        <v>170704.26664880014</v>
      </c>
      <c r="AF112" s="21">
        <f>求节点(将星点产出!$C$26:$C$34,将星点产出!I$26:I$34,其他调用!AP112)*其他调用!AL112</f>
        <v>0</v>
      </c>
      <c r="AG112" s="21">
        <f t="shared" si="11"/>
        <v>248859</v>
      </c>
      <c r="AI112" s="7">
        <f>求节点($N$26:$N$32,P$26:P$32,其他调用!BF112)*其他调用!BB112</f>
        <v>1650</v>
      </c>
      <c r="AJ112" s="7">
        <f>求节点($N$26:$N$32,Q$26:Q$32,其他调用!BG112)*其他调用!BC112</f>
        <v>71400</v>
      </c>
      <c r="AK112" s="7">
        <f>求节点($N$26:$N$32,R$26:R$32,其他调用!BH112)*其他调用!BD112</f>
        <v>135277.15583385702</v>
      </c>
      <c r="AL112" s="7">
        <f>求节点($N$26:$N$32,S$26:S$32,其他调用!BI112)*其他调用!BE112</f>
        <v>36473.989448079505</v>
      </c>
      <c r="AM112" s="21">
        <f t="shared" si="12"/>
        <v>244801</v>
      </c>
      <c r="AO112" s="21">
        <f t="shared" si="13"/>
        <v>493660</v>
      </c>
    </row>
    <row r="113" spans="22:41">
      <c r="V113" s="21">
        <f>其他调用!W113</f>
        <v>280</v>
      </c>
      <c r="W113" s="21">
        <f>其他调用!X113</f>
        <v>86.385105215793828</v>
      </c>
      <c r="X113" s="21">
        <f>求节点(将星点产出!$C$26:$C$34,将星点产出!E$26:E$34,其他调用!AD113)*其他调用!Y113</f>
        <v>0</v>
      </c>
      <c r="Y113" s="21">
        <f>求节点(将星点产出!$C$26:$C$34,将星点产出!F$26:F$34,其他调用!AE113)*其他调用!Z113</f>
        <v>0</v>
      </c>
      <c r="Z113" s="21">
        <f>求节点(将星点产出!$C$26:$C$34,将星点产出!G$26:G$34,其他调用!AF113)*其他调用!AA113</f>
        <v>0</v>
      </c>
      <c r="AA113" s="21">
        <f>求节点(将星点产出!$C$26:$C$34,将星点产出!H$26:H$34,其他调用!AG113)*其他调用!AB113</f>
        <v>0</v>
      </c>
      <c r="AB113" s="21">
        <f>求节点(将星点产出!$C$26:$C$34,将星点产出!I$26:I$34,其他调用!AH113)*其他调用!AC113</f>
        <v>83007.213815560855</v>
      </c>
      <c r="AC113" s="21">
        <f>求节点(将星点产出!$C$26:$C$34,将星点产出!F$26:F$34,其他调用!AM113)*其他调用!AI113</f>
        <v>0</v>
      </c>
      <c r="AD113" s="21">
        <f>求节点(将星点产出!$C$26:$C$34,将星点产出!G$26:G$34,其他调用!AN113)*其他调用!AJ113</f>
        <v>0</v>
      </c>
      <c r="AE113" s="21">
        <f>求节点(将星点产出!$C$26:$C$34,将星点产出!H$26:H$34,其他调用!AO113)*其他调用!AK113</f>
        <v>202532.23474772583</v>
      </c>
      <c r="AF113" s="21">
        <f>求节点(将星点产出!$C$26:$C$34,将星点产出!I$26:I$34,其他调用!AP113)*其他调用!AL113</f>
        <v>0</v>
      </c>
      <c r="AG113" s="21">
        <f t="shared" si="11"/>
        <v>285539</v>
      </c>
      <c r="AI113" s="7">
        <f>求节点($N$26:$N$32,P$26:P$32,其他调用!BF113)*其他调用!BB113</f>
        <v>1650</v>
      </c>
      <c r="AJ113" s="7">
        <f>求节点($N$26:$N$32,Q$26:Q$32,其他调用!BG113)*其他调用!BC113</f>
        <v>71400</v>
      </c>
      <c r="AK113" s="7">
        <f>求节点($N$26:$N$32,R$26:R$32,其他调用!BH113)*其他调用!BD113</f>
        <v>152873.32425122167</v>
      </c>
      <c r="AL113" s="7">
        <f>求节点($N$26:$N$32,S$26:S$32,其他调用!BI113)*其他调用!BE113</f>
        <v>43512.45681502534</v>
      </c>
      <c r="AM113" s="21">
        <f t="shared" si="12"/>
        <v>269435</v>
      </c>
      <c r="AO113" s="21">
        <f t="shared" si="13"/>
        <v>554974</v>
      </c>
    </row>
    <row r="114" spans="22:41">
      <c r="V114" s="21">
        <f>其他调用!W114</f>
        <v>364</v>
      </c>
      <c r="W114" s="21">
        <f>其他调用!X114</f>
        <v>90.406191748048585</v>
      </c>
      <c r="X114" s="21">
        <f>求节点(将星点产出!$C$26:$C$34,将星点产出!E$26:E$34,其他调用!AD114)*其他调用!Y114</f>
        <v>0</v>
      </c>
      <c r="Y114" s="21">
        <f>求节点(将星点产出!$C$26:$C$34,将星点产出!F$26:F$34,其他调用!AE114)*其他调用!Z114</f>
        <v>0</v>
      </c>
      <c r="Z114" s="21">
        <f>求节点(将星点产出!$C$26:$C$34,将星点产出!G$26:G$34,其他调用!AF114)*其他调用!AA114</f>
        <v>0</v>
      </c>
      <c r="AA114" s="21">
        <f>求节点(将星点产出!$C$26:$C$34,将星点产出!H$26:H$34,其他调用!AG114)*其他调用!AB114</f>
        <v>0</v>
      </c>
      <c r="AB114" s="21">
        <f>求节点(将星点产出!$C$26:$C$34,将星点产出!I$26:I$34,其他调用!AH114)*其他调用!AC114</f>
        <v>112480.95066402278</v>
      </c>
      <c r="AC114" s="21">
        <f>求节点(将星点产出!$C$26:$C$34,将星点产出!F$26:F$34,其他调用!AM114)*其他调用!AI114</f>
        <v>0</v>
      </c>
      <c r="AD114" s="21">
        <f>求节点(将星点产出!$C$26:$C$34,将星点产出!G$26:G$34,其他调用!AN114)*其他调用!AJ114</f>
        <v>0</v>
      </c>
      <c r="AE114" s="21">
        <f>求节点(将星点产出!$C$26:$C$34,将星点产出!H$26:H$34,其他调用!AO114)*其他调用!AK114</f>
        <v>235198.85346513818</v>
      </c>
      <c r="AF114" s="21">
        <f>求节点(将星点产出!$C$26:$C$34,将星点产出!I$26:I$34,其他调用!AP114)*其他调用!AL114</f>
        <v>0</v>
      </c>
      <c r="AG114" s="21">
        <f t="shared" si="11"/>
        <v>347679</v>
      </c>
      <c r="AI114" s="7">
        <f>求节点($N$26:$N$32,P$26:P$32,其他调用!BF114)*其他调用!BB114</f>
        <v>1650</v>
      </c>
      <c r="AJ114" s="7">
        <f>求节点($N$26:$N$32,Q$26:Q$32,其他调用!BG114)*其他调用!BC114</f>
        <v>71400</v>
      </c>
      <c r="AK114" s="7">
        <f>求节点($N$26:$N$32,R$26:R$32,其他调用!BH114)*其他调用!BD114</f>
        <v>187943.96213167929</v>
      </c>
      <c r="AL114" s="7">
        <f>求节点($N$26:$N$32,S$26:S$32,其他调用!BI114)*其他调用!BE114</f>
        <v>58446.527962523942</v>
      </c>
      <c r="AM114" s="21">
        <f t="shared" si="12"/>
        <v>319440</v>
      </c>
      <c r="AO114" s="21">
        <f t="shared" si="13"/>
        <v>667119</v>
      </c>
    </row>
    <row r="115" spans="22:41">
      <c r="V115" s="21">
        <f>其他调用!W115</f>
        <v>448</v>
      </c>
      <c r="W115" s="21">
        <f>其他调用!X115</f>
        <v>93.471491811086082</v>
      </c>
      <c r="X115" s="21">
        <f>求节点(将星点产出!$C$26:$C$34,将星点产出!E$26:E$34,其他调用!AD115)*其他调用!Y115</f>
        <v>0</v>
      </c>
      <c r="Y115" s="21">
        <f>求节点(将星点产出!$C$26:$C$34,将星点产出!F$26:F$34,其他调用!AE115)*其他调用!Z115</f>
        <v>0</v>
      </c>
      <c r="Z115" s="21">
        <f>求节点(将星点产出!$C$26:$C$34,将星点产出!G$26:G$34,其他调用!AF115)*其他调用!AA115</f>
        <v>0</v>
      </c>
      <c r="AA115" s="21">
        <f>求节点(将星点产出!$C$26:$C$34,将星点产出!H$26:H$34,其他调用!AG115)*其他调用!AB115</f>
        <v>0</v>
      </c>
      <c r="AB115" s="21">
        <f>求节点(将星点产出!$C$26:$C$34,将星点产出!I$26:I$34,其他调用!AH115)*其他调用!AC115</f>
        <v>125189.94119852029</v>
      </c>
      <c r="AC115" s="21">
        <f>求节点(将星点产出!$C$26:$C$34,将星点产出!F$26:F$34,其他调用!AM115)*其他调用!AI115</f>
        <v>0</v>
      </c>
      <c r="AD115" s="21">
        <f>求节点(将星点产出!$C$26:$C$34,将星点产出!G$26:G$34,其他调用!AN115)*其他调用!AJ115</f>
        <v>0</v>
      </c>
      <c r="AE115" s="21">
        <f>求节点(将星点产出!$C$26:$C$34,将星点产出!H$26:H$34,其他调用!AO115)*其他调用!AK115</f>
        <v>261043.24128126426</v>
      </c>
      <c r="AF115" s="21">
        <f>求节点(将星点产出!$C$26:$C$34,将星点产出!I$26:I$34,其他调用!AP115)*其他调用!AL115</f>
        <v>0</v>
      </c>
      <c r="AG115" s="21">
        <f t="shared" si="11"/>
        <v>386233</v>
      </c>
      <c r="AI115" s="7">
        <f>求节点($N$26:$N$32,P$26:P$32,其他调用!BF115)*其他调用!BB115</f>
        <v>1650</v>
      </c>
      <c r="AJ115" s="7">
        <f>求节点($N$26:$N$32,Q$26:Q$32,其他调用!BG115)*其他调用!BC115</f>
        <v>71400</v>
      </c>
      <c r="AK115" s="7">
        <f>求节点($N$26:$N$32,R$26:R$32,其他调用!BH115)*其他调用!BD115</f>
        <v>221828.12100688534</v>
      </c>
      <c r="AL115" s="7">
        <f>求节点($N$26:$N$32,S$26:S$32,其他调用!BI115)*其他调用!BE115</f>
        <v>73936.429162618064</v>
      </c>
      <c r="AM115" s="21">
        <f t="shared" si="12"/>
        <v>368814</v>
      </c>
      <c r="AO115" s="21">
        <f t="shared" si="13"/>
        <v>755047</v>
      </c>
    </row>
    <row r="116" spans="22:41">
      <c r="V116" s="21">
        <f>其他调用!W116</f>
        <v>574</v>
      </c>
      <c r="W116" s="21">
        <f>其他调用!X116</f>
        <v>97.107381566993553</v>
      </c>
      <c r="X116" s="21">
        <f>求节点(将星点产出!$C$26:$C$34,将星点产出!E$26:E$34,其他调用!AD116)*其他调用!Y116</f>
        <v>0</v>
      </c>
      <c r="Y116" s="21">
        <f>求节点(将星点产出!$C$26:$C$34,将星点产出!F$26:F$34,其他调用!AE116)*其他调用!Z116</f>
        <v>0</v>
      </c>
      <c r="Z116" s="21">
        <f>求节点(将星点产出!$C$26:$C$34,将星点产出!G$26:G$34,其他调用!AF116)*其他调用!AA116</f>
        <v>0</v>
      </c>
      <c r="AA116" s="21">
        <f>求节点(将星点产出!$C$26:$C$34,将星点产出!H$26:H$34,其他调用!AG116)*其他调用!AB116</f>
        <v>0</v>
      </c>
      <c r="AB116" s="21">
        <f>求节点(将星点产出!$C$26:$C$34,将星点产出!I$26:I$34,其他调用!AH116)*其他调用!AC116</f>
        <v>137418.66930324977</v>
      </c>
      <c r="AC116" s="21">
        <f>求节点(将星点产出!$C$26:$C$34,将星点产出!F$26:F$34,其他调用!AM116)*其他调用!AI116</f>
        <v>0</v>
      </c>
      <c r="AD116" s="21">
        <f>求节点(将星点产出!$C$26:$C$34,将星点产出!G$26:G$34,其他调用!AN116)*其他调用!AJ116</f>
        <v>0</v>
      </c>
      <c r="AE116" s="21">
        <f>求节点(将星点产出!$C$26:$C$34,将星点产出!H$26:H$34,其他调用!AO116)*其他调用!AK116</f>
        <v>276000</v>
      </c>
      <c r="AF116" s="21">
        <f>求节点(将星点产出!$C$26:$C$34,将星点产出!I$26:I$34,其他调用!AP116)*其他调用!AL116</f>
        <v>0</v>
      </c>
      <c r="AG116" s="21">
        <f t="shared" si="11"/>
        <v>413418</v>
      </c>
      <c r="AI116" s="7">
        <f>求节点($N$26:$N$32,P$26:P$32,其他调用!BF116)*其他调用!BB116</f>
        <v>1650</v>
      </c>
      <c r="AJ116" s="7">
        <f>求节点($N$26:$N$32,Q$26:Q$32,其他调用!BG116)*其他调用!BC116</f>
        <v>71400</v>
      </c>
      <c r="AK116" s="7">
        <f>求节点($N$26:$N$32,R$26:R$32,其他调用!BH116)*其他调用!BD116</f>
        <v>256000</v>
      </c>
      <c r="AL116" s="7">
        <f>求节点($N$26:$N$32,S$26:S$32,其他调用!BI116)*其他调用!BE116</f>
        <v>97132.397843377199</v>
      </c>
      <c r="AM116" s="21">
        <f t="shared" si="12"/>
        <v>426182</v>
      </c>
      <c r="AO116" s="21">
        <f t="shared" si="13"/>
        <v>839600</v>
      </c>
    </row>
    <row r="117" spans="22:41">
      <c r="V117" s="21">
        <f>其他调用!W117</f>
        <v>742</v>
      </c>
      <c r="W117" s="21">
        <f>其他调用!X117</f>
        <v>100.71243145193914</v>
      </c>
      <c r="X117" s="21">
        <f>求节点(将星点产出!$C$26:$C$34,将星点产出!E$26:E$34,其他调用!AD117)*其他调用!Y117</f>
        <v>0</v>
      </c>
      <c r="Y117" s="21">
        <f>求节点(将星点产出!$C$26:$C$34,将星点产出!F$26:F$34,其他调用!AE117)*其他调用!Z117</f>
        <v>0</v>
      </c>
      <c r="Z117" s="21">
        <f>求节点(将星点产出!$C$26:$C$34,将星点产出!G$26:G$34,其他调用!AF117)*其他调用!AA117</f>
        <v>0</v>
      </c>
      <c r="AA117" s="21">
        <f>求节点(将星点产出!$C$26:$C$34,将星点产出!H$26:H$34,其他调用!AG117)*其他调用!AB117</f>
        <v>0</v>
      </c>
      <c r="AB117" s="21">
        <f>求节点(将星点产出!$C$26:$C$34,将星点产出!I$26:I$34,其他调用!AH117)*其他调用!AC117</f>
        <v>153837.31738247763</v>
      </c>
      <c r="AC117" s="21">
        <f>求节点(将星点产出!$C$26:$C$34,将星点产出!F$26:F$34,其他调用!AM117)*其他调用!AI117</f>
        <v>0</v>
      </c>
      <c r="AD117" s="21">
        <f>求节点(将星点产出!$C$26:$C$34,将星点产出!G$26:G$34,其他调用!AN117)*其他调用!AJ117</f>
        <v>0</v>
      </c>
      <c r="AE117" s="21">
        <f>求节点(将星点产出!$C$26:$C$34,将星点产出!H$26:H$34,其他调用!AO117)*其他调用!AK117</f>
        <v>276000</v>
      </c>
      <c r="AF117" s="21">
        <f>求节点(将星点产出!$C$26:$C$34,将星点产出!I$26:I$34,其他调用!AP117)*其他调用!AL117</f>
        <v>0</v>
      </c>
      <c r="AG117" s="21">
        <f t="shared" si="11"/>
        <v>429837</v>
      </c>
      <c r="AI117" s="7">
        <f>求节点($N$26:$N$32,P$26:P$32,其他调用!BF117)*其他调用!BB117</f>
        <v>1650</v>
      </c>
      <c r="AJ117" s="7">
        <f>求节点($N$26:$N$32,Q$26:Q$32,其他调用!BG117)*其他调用!BC117</f>
        <v>71400</v>
      </c>
      <c r="AK117" s="7">
        <f>求节点($N$26:$N$32,R$26:R$32,其他调用!BH117)*其他调用!BD117</f>
        <v>256000</v>
      </c>
      <c r="AL117" s="7">
        <f>求节点($N$26:$N$32,S$26:S$32,其他调用!BI117)*其他调用!BE117</f>
        <v>127913.64548184747</v>
      </c>
      <c r="AM117" s="21">
        <f t="shared" si="12"/>
        <v>456963</v>
      </c>
      <c r="AO117" s="21">
        <f t="shared" si="13"/>
        <v>886800</v>
      </c>
    </row>
    <row r="118" spans="22:41">
      <c r="V118" s="21">
        <f>其他调用!W118</f>
        <v>951.99999999999989</v>
      </c>
      <c r="W118" s="21">
        <f>其他调用!X118</f>
        <v>104.39233713204413</v>
      </c>
      <c r="X118" s="21">
        <f>求节点(将星点产出!$C$26:$C$34,将星点产出!E$26:E$34,其他调用!AD118)*其他调用!Y118</f>
        <v>0</v>
      </c>
      <c r="Y118" s="21">
        <f>求节点(将星点产出!$C$26:$C$34,将星点产出!F$26:F$34,其他调用!AE118)*其他调用!Z118</f>
        <v>0</v>
      </c>
      <c r="Z118" s="21">
        <f>求节点(将星点产出!$C$26:$C$34,将星点产出!G$26:G$34,其他调用!AF118)*其他调用!AA118</f>
        <v>0</v>
      </c>
      <c r="AA118" s="21">
        <f>求节点(将星点产出!$C$26:$C$34,将星点产出!H$26:H$34,其他调用!AG118)*其他调用!AB118</f>
        <v>0</v>
      </c>
      <c r="AB118" s="21">
        <f>求节点(将星点产出!$C$26:$C$34,将星点产出!I$26:I$34,其他调用!AH118)*其他调用!AC118</f>
        <v>183750.29654492834</v>
      </c>
      <c r="AC118" s="21">
        <f>求节点(将星点产出!$C$26:$C$34,将星点产出!F$26:F$34,其他调用!AM118)*其他调用!AI118</f>
        <v>0</v>
      </c>
      <c r="AD118" s="21">
        <f>求节点(将星点产出!$C$26:$C$34,将星点产出!G$26:G$34,其他调用!AN118)*其他调用!AJ118</f>
        <v>0</v>
      </c>
      <c r="AE118" s="21">
        <f>求节点(将星点产出!$C$26:$C$34,将星点产出!H$26:H$34,其他调用!AO118)*其他调用!AK118</f>
        <v>276000</v>
      </c>
      <c r="AF118" s="21">
        <f>求节点(将星点产出!$C$26:$C$34,将星点产出!I$26:I$34,其他调用!AP118)*其他调用!AL118</f>
        <v>0</v>
      </c>
      <c r="AG118" s="21">
        <f t="shared" si="11"/>
        <v>459750</v>
      </c>
      <c r="AI118" s="7">
        <f>求节点($N$26:$N$32,P$26:P$32,其他调用!BF118)*其他调用!BB118</f>
        <v>1650</v>
      </c>
      <c r="AJ118" s="7">
        <f>求节点($N$26:$N$32,Q$26:Q$32,其他调用!BG118)*其他调用!BC118</f>
        <v>71400</v>
      </c>
      <c r="AK118" s="7">
        <f>求节点($N$26:$N$32,R$26:R$32,其他调用!BH118)*其他调用!BD118</f>
        <v>256000</v>
      </c>
      <c r="AL118" s="7">
        <f>求节点($N$26:$N$32,S$26:S$32,其他调用!BI118)*其他调用!BE118</f>
        <v>165402.47582676893</v>
      </c>
      <c r="AM118" s="21">
        <f t="shared" si="12"/>
        <v>494452</v>
      </c>
      <c r="AO118" s="21">
        <f t="shared" si="13"/>
        <v>954202</v>
      </c>
    </row>
    <row r="119" spans="22:41">
      <c r="V119" s="21">
        <f>其他调用!W119</f>
        <v>1204</v>
      </c>
      <c r="W119" s="21">
        <f>其他调用!X119</f>
        <v>107.81562240612369</v>
      </c>
      <c r="X119" s="21">
        <f>求节点(将星点产出!$C$26:$C$34,将星点产出!E$26:E$34,其他调用!AD119)*其他调用!Y119</f>
        <v>0</v>
      </c>
      <c r="Y119" s="21">
        <f>求节点(将星点产出!$C$26:$C$34,将星点产出!F$26:F$34,其他调用!AE119)*其他调用!Z119</f>
        <v>0</v>
      </c>
      <c r="Z119" s="21">
        <f>求节点(将星点产出!$C$26:$C$34,将星点产出!G$26:G$34,其他调用!AF119)*其他调用!AA119</f>
        <v>0</v>
      </c>
      <c r="AA119" s="21">
        <f>求节点(将星点产出!$C$26:$C$34,将星点产出!H$26:H$34,其他调用!AG119)*其他调用!AB119</f>
        <v>0</v>
      </c>
      <c r="AB119" s="21">
        <f>求节点(将星点产出!$C$26:$C$34,将星点产出!I$26:I$34,其他调用!AH119)*其他调用!AC119</f>
        <v>187500</v>
      </c>
      <c r="AC119" s="21">
        <f>求节点(将星点产出!$C$26:$C$34,将星点产出!F$26:F$34,其他调用!AM119)*其他调用!AI119</f>
        <v>0</v>
      </c>
      <c r="AD119" s="21">
        <f>求节点(将星点产出!$C$26:$C$34,将星点产出!G$26:G$34,其他调用!AN119)*其他调用!AJ119</f>
        <v>0</v>
      </c>
      <c r="AE119" s="21">
        <f>求节点(将星点产出!$C$26:$C$34,将星点产出!H$26:H$34,其他调用!AO119)*其他调用!AK119</f>
        <v>276000</v>
      </c>
      <c r="AF119" s="21">
        <f>求节点(将星点产出!$C$26:$C$34,将星点产出!I$26:I$34,其他调用!AP119)*其他调用!AL119</f>
        <v>0</v>
      </c>
      <c r="AG119" s="21">
        <f t="shared" si="11"/>
        <v>463500</v>
      </c>
      <c r="AI119" s="7">
        <f>求节点($N$26:$N$32,P$26:P$32,其他调用!BF119)*其他调用!BB119</f>
        <v>1650</v>
      </c>
      <c r="AJ119" s="7">
        <f>求节点($N$26:$N$32,Q$26:Q$32,其他调用!BG119)*其他调用!BC119</f>
        <v>71400</v>
      </c>
      <c r="AK119" s="7">
        <f>求节点($N$26:$N$32,R$26:R$32,其他调用!BH119)*其他调用!BD119</f>
        <v>256000</v>
      </c>
      <c r="AL119" s="7">
        <f>求节点($N$26:$N$32,S$26:S$32,其他调用!BI119)*其他调用!BE119</f>
        <v>204800</v>
      </c>
      <c r="AM119" s="21">
        <f t="shared" si="12"/>
        <v>533850</v>
      </c>
      <c r="AO119" s="21">
        <f t="shared" si="13"/>
        <v>997350</v>
      </c>
    </row>
    <row r="120" spans="22:41">
      <c r="V120" s="21">
        <f>其他调用!W120</f>
        <v>1540</v>
      </c>
      <c r="W120" s="21">
        <f>其他调用!X120</f>
        <v>111.36292001894914</v>
      </c>
      <c r="X120" s="21">
        <f>求节点(将星点产出!$C$26:$C$34,将星点产出!E$26:E$34,其他调用!AD120)*其他调用!Y120</f>
        <v>0</v>
      </c>
      <c r="Y120" s="21">
        <f>求节点(将星点产出!$C$26:$C$34,将星点产出!F$26:F$34,其他调用!AE120)*其他调用!Z120</f>
        <v>0</v>
      </c>
      <c r="Z120" s="21">
        <f>求节点(将星点产出!$C$26:$C$34,将星点产出!G$26:G$34,其他调用!AF120)*其他调用!AA120</f>
        <v>0</v>
      </c>
      <c r="AA120" s="21">
        <f>求节点(将星点产出!$C$26:$C$34,将星点产出!H$26:H$34,其他调用!AG120)*其他调用!AB120</f>
        <v>0</v>
      </c>
      <c r="AB120" s="21">
        <f>求节点(将星点产出!$C$26:$C$34,将星点产出!I$26:I$34,其他调用!AH120)*其他调用!AC120</f>
        <v>187500</v>
      </c>
      <c r="AC120" s="21">
        <f>求节点(将星点产出!$C$26:$C$34,将星点产出!F$26:F$34,其他调用!AM120)*其他调用!AI120</f>
        <v>0</v>
      </c>
      <c r="AD120" s="21">
        <f>求节点(将星点产出!$C$26:$C$34,将星点产出!G$26:G$34,其他调用!AN120)*其他调用!AJ120</f>
        <v>0</v>
      </c>
      <c r="AE120" s="21">
        <f>求节点(将星点产出!$C$26:$C$34,将星点产出!H$26:H$34,其他调用!AO120)*其他调用!AK120</f>
        <v>276000</v>
      </c>
      <c r="AF120" s="21">
        <f>求节点(将星点产出!$C$26:$C$34,将星点产出!I$26:I$34,其他调用!AP120)*其他调用!AL120</f>
        <v>0</v>
      </c>
      <c r="AG120" s="21">
        <f t="shared" si="11"/>
        <v>463500</v>
      </c>
      <c r="AI120" s="7">
        <f>求节点($N$26:$N$32,P$26:P$32,其他调用!BF120)*其他调用!BB120</f>
        <v>1650</v>
      </c>
      <c r="AJ120" s="7">
        <f>求节点($N$26:$N$32,Q$26:Q$32,其他调用!BG120)*其他调用!BC120</f>
        <v>71400</v>
      </c>
      <c r="AK120" s="7">
        <f>求节点($N$26:$N$32,R$26:R$32,其他调用!BH120)*其他调用!BD120</f>
        <v>256000</v>
      </c>
      <c r="AL120" s="7">
        <f>求节点($N$26:$N$32,S$26:S$32,其他调用!BI120)*其他调用!BE120</f>
        <v>204800</v>
      </c>
      <c r="AM120" s="21">
        <f t="shared" si="12"/>
        <v>533850</v>
      </c>
      <c r="AO120" s="21">
        <f t="shared" si="13"/>
        <v>997350</v>
      </c>
    </row>
    <row r="121" spans="22:41">
      <c r="V121" s="21">
        <f>其他调用!W121</f>
        <v>1959.9999999999998</v>
      </c>
      <c r="W121" s="21">
        <f>其他调用!X121</f>
        <v>114.91934497223426</v>
      </c>
      <c r="X121" s="21">
        <f>求节点(将星点产出!$C$26:$C$34,将星点产出!E$26:E$34,其他调用!AD121)*其他调用!Y121</f>
        <v>0</v>
      </c>
      <c r="Y121" s="21">
        <f>求节点(将星点产出!$C$26:$C$34,将星点产出!F$26:F$34,其他调用!AE121)*其他调用!Z121</f>
        <v>0</v>
      </c>
      <c r="Z121" s="21">
        <f>求节点(将星点产出!$C$26:$C$34,将星点产出!G$26:G$34,其他调用!AF121)*其他调用!AA121</f>
        <v>0</v>
      </c>
      <c r="AA121" s="21">
        <f>求节点(将星点产出!$C$26:$C$34,将星点产出!H$26:H$34,其他调用!AG121)*其他调用!AB121</f>
        <v>0</v>
      </c>
      <c r="AB121" s="21">
        <f>求节点(将星点产出!$C$26:$C$34,将星点产出!I$26:I$34,其他调用!AH121)*其他调用!AC121</f>
        <v>187500</v>
      </c>
      <c r="AC121" s="21">
        <f>求节点(将星点产出!$C$26:$C$34,将星点产出!F$26:F$34,其他调用!AM121)*其他调用!AI121</f>
        <v>0</v>
      </c>
      <c r="AD121" s="21">
        <f>求节点(将星点产出!$C$26:$C$34,将星点产出!G$26:G$34,其他调用!AN121)*其他调用!AJ121</f>
        <v>0</v>
      </c>
      <c r="AE121" s="21">
        <f>求节点(将星点产出!$C$26:$C$34,将星点产出!H$26:H$34,其他调用!AO121)*其他调用!AK121</f>
        <v>276000</v>
      </c>
      <c r="AF121" s="21">
        <f>求节点(将星点产出!$C$26:$C$34,将星点产出!I$26:I$34,其他调用!AP121)*其他调用!AL121</f>
        <v>0</v>
      </c>
      <c r="AG121" s="21">
        <f t="shared" si="11"/>
        <v>463500</v>
      </c>
      <c r="AI121" s="7">
        <f>求节点($N$26:$N$32,P$26:P$32,其他调用!BF121)*其他调用!BB121</f>
        <v>1650</v>
      </c>
      <c r="AJ121" s="7">
        <f>求节点($N$26:$N$32,Q$26:Q$32,其他调用!BG121)*其他调用!BC121</f>
        <v>71400</v>
      </c>
      <c r="AK121" s="7">
        <f>求节点($N$26:$N$32,R$26:R$32,其他调用!BH121)*其他调用!BD121</f>
        <v>256000</v>
      </c>
      <c r="AL121" s="7">
        <f>求节点($N$26:$N$32,S$26:S$32,其他调用!BI121)*其他调用!BE121</f>
        <v>204800</v>
      </c>
      <c r="AM121" s="21">
        <f t="shared" si="12"/>
        <v>533850</v>
      </c>
      <c r="AO121" s="21">
        <f t="shared" si="13"/>
        <v>997350</v>
      </c>
    </row>
    <row r="122" spans="22:41">
      <c r="V122" s="21">
        <f>其他调用!W122</f>
        <v>2506</v>
      </c>
      <c r="W122" s="21">
        <f>其他调用!X122</f>
        <v>118.44741987029688</v>
      </c>
      <c r="X122" s="21">
        <f>求节点(将星点产出!$C$26:$C$34,将星点产出!E$26:E$34,其他调用!AD122)*其他调用!Y122</f>
        <v>0</v>
      </c>
      <c r="Y122" s="21">
        <f>求节点(将星点产出!$C$26:$C$34,将星点产出!F$26:F$34,其他调用!AE122)*其他调用!Z122</f>
        <v>0</v>
      </c>
      <c r="Z122" s="21">
        <f>求节点(将星点产出!$C$26:$C$34,将星点产出!G$26:G$34,其他调用!AF122)*其他调用!AA122</f>
        <v>0</v>
      </c>
      <c r="AA122" s="21">
        <f>求节点(将星点产出!$C$26:$C$34,将星点产出!H$26:H$34,其他调用!AG122)*其他调用!AB122</f>
        <v>0</v>
      </c>
      <c r="AB122" s="21">
        <f>求节点(将星点产出!$C$26:$C$34,将星点产出!I$26:I$34,其他调用!AH122)*其他调用!AC122</f>
        <v>187500</v>
      </c>
      <c r="AC122" s="21">
        <f>求节点(将星点产出!$C$26:$C$34,将星点产出!F$26:F$34,其他调用!AM122)*其他调用!AI122</f>
        <v>0</v>
      </c>
      <c r="AD122" s="21">
        <f>求节点(将星点产出!$C$26:$C$34,将星点产出!G$26:G$34,其他调用!AN122)*其他调用!AJ122</f>
        <v>0</v>
      </c>
      <c r="AE122" s="21">
        <f>求节点(将星点产出!$C$26:$C$34,将星点产出!H$26:H$34,其他调用!AO122)*其他调用!AK122</f>
        <v>276000</v>
      </c>
      <c r="AF122" s="21">
        <f>求节点(将星点产出!$C$26:$C$34,将星点产出!I$26:I$34,其他调用!AP122)*其他调用!AL122</f>
        <v>0</v>
      </c>
      <c r="AG122" s="21">
        <f t="shared" si="11"/>
        <v>463500</v>
      </c>
      <c r="AI122" s="7">
        <f>求节点($N$26:$N$32,P$26:P$32,其他调用!BF122)*其他调用!BB122</f>
        <v>1650</v>
      </c>
      <c r="AJ122" s="7">
        <f>求节点($N$26:$N$32,Q$26:Q$32,其他调用!BG122)*其他调用!BC122</f>
        <v>71400</v>
      </c>
      <c r="AK122" s="7">
        <f>求节点($N$26:$N$32,R$26:R$32,其他调用!BH122)*其他调用!BD122</f>
        <v>256000</v>
      </c>
      <c r="AL122" s="7">
        <f>求节点($N$26:$N$32,S$26:S$32,其他调用!BI122)*其他调用!BE122</f>
        <v>204800</v>
      </c>
      <c r="AM122" s="21">
        <f t="shared" si="12"/>
        <v>533850</v>
      </c>
      <c r="AO122" s="21">
        <f t="shared" si="13"/>
        <v>997350</v>
      </c>
    </row>
    <row r="123" spans="22:41">
      <c r="V123" s="21">
        <f>其他调用!W123</f>
        <v>3178</v>
      </c>
      <c r="W123" s="21">
        <f>其他调用!X123</f>
        <v>121.97211685892326</v>
      </c>
      <c r="X123" s="21">
        <f>求节点(将星点产出!$C$26:$C$34,将星点产出!E$26:E$34,其他调用!AD123)*其他调用!Y123</f>
        <v>0</v>
      </c>
      <c r="Y123" s="21">
        <f>求节点(将星点产出!$C$26:$C$34,将星点产出!F$26:F$34,其他调用!AE123)*其他调用!Z123</f>
        <v>0</v>
      </c>
      <c r="Z123" s="21">
        <f>求节点(将星点产出!$C$26:$C$34,将星点产出!G$26:G$34,其他调用!AF123)*其他调用!AA123</f>
        <v>0</v>
      </c>
      <c r="AA123" s="21">
        <f>求节点(将星点产出!$C$26:$C$34,将星点产出!H$26:H$34,其他调用!AG123)*其他调用!AB123</f>
        <v>0</v>
      </c>
      <c r="AB123" s="21">
        <f>求节点(将星点产出!$C$26:$C$34,将星点产出!I$26:I$34,其他调用!AH123)*其他调用!AC123</f>
        <v>187500</v>
      </c>
      <c r="AC123" s="21">
        <f>求节点(将星点产出!$C$26:$C$34,将星点产出!F$26:F$34,其他调用!AM123)*其他调用!AI123</f>
        <v>0</v>
      </c>
      <c r="AD123" s="21">
        <f>求节点(将星点产出!$C$26:$C$34,将星点产出!G$26:G$34,其他调用!AN123)*其他调用!AJ123</f>
        <v>0</v>
      </c>
      <c r="AE123" s="21">
        <f>求节点(将星点产出!$C$26:$C$34,将星点产出!H$26:H$34,其他调用!AO123)*其他调用!AK123</f>
        <v>276000</v>
      </c>
      <c r="AF123" s="21">
        <f>求节点(将星点产出!$C$26:$C$34,将星点产出!I$26:I$34,其他调用!AP123)*其他调用!AL123</f>
        <v>0</v>
      </c>
      <c r="AG123" s="21">
        <f t="shared" si="11"/>
        <v>463500</v>
      </c>
      <c r="AI123" s="7">
        <f>求节点($N$26:$N$32,P$26:P$32,其他调用!BF123)*其他调用!BB123</f>
        <v>1650</v>
      </c>
      <c r="AJ123" s="7">
        <f>求节点($N$26:$N$32,Q$26:Q$32,其他调用!BG123)*其他调用!BC123</f>
        <v>71400</v>
      </c>
      <c r="AK123" s="7">
        <f>求节点($N$26:$N$32,R$26:R$32,其他调用!BH123)*其他调用!BD123</f>
        <v>256000</v>
      </c>
      <c r="AL123" s="7">
        <f>求节点($N$26:$N$32,S$26:S$32,其他调用!BI123)*其他调用!BE123</f>
        <v>204800</v>
      </c>
      <c r="AM123" s="21">
        <f t="shared" si="12"/>
        <v>533850</v>
      </c>
      <c r="AO123" s="21">
        <f t="shared" si="13"/>
        <v>997350</v>
      </c>
    </row>
    <row r="124" spans="22:41">
      <c r="V124" s="21">
        <f>其他调用!W124</f>
        <v>4059.9999999999995</v>
      </c>
      <c r="W124" s="21">
        <f>其他调用!X124</f>
        <v>125.41953077529134</v>
      </c>
      <c r="X124" s="21">
        <f>求节点(将星点产出!$C$26:$C$34,将星点产出!E$26:E$34,其他调用!AD124)*其他调用!Y124</f>
        <v>0</v>
      </c>
      <c r="Y124" s="21">
        <f>求节点(将星点产出!$C$26:$C$34,将星点产出!F$26:F$34,其他调用!AE124)*其他调用!Z124</f>
        <v>0</v>
      </c>
      <c r="Z124" s="21">
        <f>求节点(将星点产出!$C$26:$C$34,将星点产出!G$26:G$34,其他调用!AF124)*其他调用!AA124</f>
        <v>0</v>
      </c>
      <c r="AA124" s="21">
        <f>求节点(将星点产出!$C$26:$C$34,将星点产出!H$26:H$34,其他调用!AG124)*其他调用!AB124</f>
        <v>0</v>
      </c>
      <c r="AB124" s="21">
        <f>求节点(将星点产出!$C$26:$C$34,将星点产出!I$26:I$34,其他调用!AH124)*其他调用!AC124</f>
        <v>187500</v>
      </c>
      <c r="AC124" s="21">
        <f>求节点(将星点产出!$C$26:$C$34,将星点产出!F$26:F$34,其他调用!AM124)*其他调用!AI124</f>
        <v>0</v>
      </c>
      <c r="AD124" s="21">
        <f>求节点(将星点产出!$C$26:$C$34,将星点产出!G$26:G$34,其他调用!AN124)*其他调用!AJ124</f>
        <v>0</v>
      </c>
      <c r="AE124" s="21">
        <f>求节点(将星点产出!$C$26:$C$34,将星点产出!H$26:H$34,其他调用!AO124)*其他调用!AK124</f>
        <v>276000</v>
      </c>
      <c r="AF124" s="21">
        <f>求节点(将星点产出!$C$26:$C$34,将星点产出!I$26:I$34,其他调用!AP124)*其他调用!AL124</f>
        <v>0</v>
      </c>
      <c r="AG124" s="21">
        <f t="shared" si="11"/>
        <v>463500</v>
      </c>
      <c r="AI124" s="7">
        <f>求节点($N$26:$N$32,P$26:P$32,其他调用!BF124)*其他调用!BB124</f>
        <v>1650</v>
      </c>
      <c r="AJ124" s="7">
        <f>求节点($N$26:$N$32,Q$26:Q$32,其他调用!BG124)*其他调用!BC124</f>
        <v>71400</v>
      </c>
      <c r="AK124" s="7">
        <f>求节点($N$26:$N$32,R$26:R$32,其他调用!BH124)*其他调用!BD124</f>
        <v>256000</v>
      </c>
      <c r="AL124" s="7">
        <f>求节点($N$26:$N$32,S$26:S$32,其他调用!BI124)*其他调用!BE124</f>
        <v>204800</v>
      </c>
      <c r="AM124" s="21">
        <f t="shared" si="12"/>
        <v>533850</v>
      </c>
      <c r="AO124" s="21">
        <f t="shared" si="13"/>
        <v>997350</v>
      </c>
    </row>
    <row r="125" spans="22:41">
      <c r="V125" s="21">
        <f>其他调用!W125</f>
        <v>5194</v>
      </c>
      <c r="W125" s="21">
        <f>其他调用!X125</f>
        <v>129.09045404756728</v>
      </c>
      <c r="X125" s="21">
        <f>求节点(将星点产出!$C$26:$C$34,将星点产出!E$26:E$34,其他调用!AD125)*其他调用!Y125</f>
        <v>0</v>
      </c>
      <c r="Y125" s="21">
        <f>求节点(将星点产出!$C$26:$C$34,将星点产出!F$26:F$34,其他调用!AE125)*其他调用!Z125</f>
        <v>0</v>
      </c>
      <c r="Z125" s="21">
        <f>求节点(将星点产出!$C$26:$C$34,将星点产出!G$26:G$34,其他调用!AF125)*其他调用!AA125</f>
        <v>0</v>
      </c>
      <c r="AA125" s="21">
        <f>求节点(将星点产出!$C$26:$C$34,将星点产出!H$26:H$34,其他调用!AG125)*其他调用!AB125</f>
        <v>0</v>
      </c>
      <c r="AB125" s="21">
        <f>求节点(将星点产出!$C$26:$C$34,将星点产出!I$26:I$34,其他调用!AH125)*其他调用!AC125</f>
        <v>187500</v>
      </c>
      <c r="AC125" s="21">
        <f>求节点(将星点产出!$C$26:$C$34,将星点产出!F$26:F$34,其他调用!AM125)*其他调用!AI125</f>
        <v>0</v>
      </c>
      <c r="AD125" s="21">
        <f>求节点(将星点产出!$C$26:$C$34,将星点产出!G$26:G$34,其他调用!AN125)*其他调用!AJ125</f>
        <v>0</v>
      </c>
      <c r="AE125" s="21">
        <f>求节点(将星点产出!$C$26:$C$34,将星点产出!H$26:H$34,其他调用!AO125)*其他调用!AK125</f>
        <v>276000</v>
      </c>
      <c r="AF125" s="21">
        <f>求节点(将星点产出!$C$26:$C$34,将星点产出!I$26:I$34,其他调用!AP125)*其他调用!AL125</f>
        <v>0</v>
      </c>
      <c r="AG125" s="21">
        <f t="shared" si="11"/>
        <v>463500</v>
      </c>
      <c r="AI125" s="7">
        <f>求节点($N$26:$N$32,P$26:P$32,其他调用!BF125)*其他调用!BB125</f>
        <v>1650</v>
      </c>
      <c r="AJ125" s="7">
        <f>求节点($N$26:$N$32,Q$26:Q$32,其他调用!BG125)*其他调用!BC125</f>
        <v>71400</v>
      </c>
      <c r="AK125" s="7">
        <f>求节点($N$26:$N$32,R$26:R$32,其他调用!BH125)*其他调用!BD125</f>
        <v>256000</v>
      </c>
      <c r="AL125" s="7">
        <f>求节点($N$26:$N$32,S$26:S$32,其他调用!BI125)*其他调用!BE125</f>
        <v>204800</v>
      </c>
      <c r="AM125" s="21">
        <f t="shared" si="12"/>
        <v>533850</v>
      </c>
      <c r="AO125" s="21">
        <f t="shared" si="13"/>
        <v>997350</v>
      </c>
    </row>
    <row r="126" spans="22:41">
      <c r="V126" s="21">
        <f>其他调用!W126</f>
        <v>6622</v>
      </c>
      <c r="W126" s="21">
        <f>其他调用!X126</f>
        <v>132.53488795708068</v>
      </c>
      <c r="X126" s="21">
        <f>求节点(将星点产出!$C$26:$C$34,将星点产出!E$26:E$34,其他调用!AD126)*其他调用!Y126</f>
        <v>0</v>
      </c>
      <c r="Y126" s="21">
        <f>求节点(将星点产出!$C$26:$C$34,将星点产出!F$26:F$34,其他调用!AE126)*其他调用!Z126</f>
        <v>0</v>
      </c>
      <c r="Z126" s="21">
        <f>求节点(将星点产出!$C$26:$C$34,将星点产出!G$26:G$34,其他调用!AF126)*其他调用!AA126</f>
        <v>0</v>
      </c>
      <c r="AA126" s="21">
        <f>求节点(将星点产出!$C$26:$C$34,将星点产出!H$26:H$34,其他调用!AG126)*其他调用!AB126</f>
        <v>0</v>
      </c>
      <c r="AB126" s="21">
        <f>求节点(将星点产出!$C$26:$C$34,将星点产出!I$26:I$34,其他调用!AH126)*其他调用!AC126</f>
        <v>187500</v>
      </c>
      <c r="AC126" s="21">
        <f>求节点(将星点产出!$C$26:$C$34,将星点产出!F$26:F$34,其他调用!AM126)*其他调用!AI126</f>
        <v>0</v>
      </c>
      <c r="AD126" s="21">
        <f>求节点(将星点产出!$C$26:$C$34,将星点产出!G$26:G$34,其他调用!AN126)*其他调用!AJ126</f>
        <v>0</v>
      </c>
      <c r="AE126" s="21">
        <f>求节点(将星点产出!$C$26:$C$34,将星点产出!H$26:H$34,其他调用!AO126)*其他调用!AK126</f>
        <v>276000</v>
      </c>
      <c r="AF126" s="21">
        <f>求节点(将星点产出!$C$26:$C$34,将星点产出!I$26:I$34,其他调用!AP126)*其他调用!AL126</f>
        <v>0</v>
      </c>
      <c r="AG126" s="21">
        <f t="shared" si="11"/>
        <v>463500</v>
      </c>
      <c r="AI126" s="7">
        <f>求节点($N$26:$N$32,P$26:P$32,其他调用!BF126)*其他调用!BB126</f>
        <v>1650</v>
      </c>
      <c r="AJ126" s="7">
        <f>求节点($N$26:$N$32,Q$26:Q$32,其他调用!BG126)*其他调用!BC126</f>
        <v>71400</v>
      </c>
      <c r="AK126" s="7">
        <f>求节点($N$26:$N$32,R$26:R$32,其他调用!BH126)*其他调用!BD126</f>
        <v>256000</v>
      </c>
      <c r="AL126" s="7">
        <f>求节点($N$26:$N$32,S$26:S$32,其他调用!BI126)*其他调用!BE126</f>
        <v>204800</v>
      </c>
      <c r="AM126" s="21">
        <f t="shared" si="12"/>
        <v>533850</v>
      </c>
      <c r="AO126" s="21">
        <f t="shared" si="13"/>
        <v>997350</v>
      </c>
    </row>
    <row r="127" spans="22:41">
      <c r="V127" s="21">
        <f>其他调用!W127</f>
        <v>8428</v>
      </c>
      <c r="W127" s="21">
        <f>其他调用!X127</f>
        <v>136.07141427598387</v>
      </c>
      <c r="X127" s="21">
        <f>求节点(将星点产出!$C$26:$C$34,将星点产出!E$26:E$34,其他调用!AD127)*其他调用!Y127</f>
        <v>0</v>
      </c>
      <c r="Y127" s="21">
        <f>求节点(将星点产出!$C$26:$C$34,将星点产出!F$26:F$34,其他调用!AE127)*其他调用!Z127</f>
        <v>0</v>
      </c>
      <c r="Z127" s="21">
        <f>求节点(将星点产出!$C$26:$C$34,将星点产出!G$26:G$34,其他调用!AF127)*其他调用!AA127</f>
        <v>0</v>
      </c>
      <c r="AA127" s="21">
        <f>求节点(将星点产出!$C$26:$C$34,将星点产出!H$26:H$34,其他调用!AG127)*其他调用!AB127</f>
        <v>0</v>
      </c>
      <c r="AB127" s="21">
        <f>求节点(将星点产出!$C$26:$C$34,将星点产出!I$26:I$34,其他调用!AH127)*其他调用!AC127</f>
        <v>187500</v>
      </c>
      <c r="AC127" s="21">
        <f>求节点(将星点产出!$C$26:$C$34,将星点产出!F$26:F$34,其他调用!AM127)*其他调用!AI127</f>
        <v>0</v>
      </c>
      <c r="AD127" s="21">
        <f>求节点(将星点产出!$C$26:$C$34,将星点产出!G$26:G$34,其他调用!AN127)*其他调用!AJ127</f>
        <v>0</v>
      </c>
      <c r="AE127" s="21">
        <f>求节点(将星点产出!$C$26:$C$34,将星点产出!H$26:H$34,其他调用!AO127)*其他调用!AK127</f>
        <v>276000</v>
      </c>
      <c r="AF127" s="21">
        <f>求节点(将星点产出!$C$26:$C$34,将星点产出!I$26:I$34,其他调用!AP127)*其他调用!AL127</f>
        <v>0</v>
      </c>
      <c r="AG127" s="21">
        <f t="shared" si="11"/>
        <v>463500</v>
      </c>
      <c r="AI127" s="7">
        <f>求节点($N$26:$N$32,P$26:P$32,其他调用!BF127)*其他调用!BB127</f>
        <v>1650</v>
      </c>
      <c r="AJ127" s="7">
        <f>求节点($N$26:$N$32,Q$26:Q$32,其他调用!BG127)*其他调用!BC127</f>
        <v>71400</v>
      </c>
      <c r="AK127" s="7">
        <f>求节点($N$26:$N$32,R$26:R$32,其他调用!BH127)*其他调用!BD127</f>
        <v>256000</v>
      </c>
      <c r="AL127" s="7">
        <f>求节点($N$26:$N$32,S$26:S$32,其他调用!BI127)*其他调用!BE127</f>
        <v>204800</v>
      </c>
      <c r="AM127" s="21">
        <f t="shared" si="12"/>
        <v>533850</v>
      </c>
      <c r="AO127" s="21">
        <f t="shared" si="13"/>
        <v>997350</v>
      </c>
    </row>
    <row r="128" spans="22:41">
      <c r="V128" s="21">
        <f>其他调用!W128</f>
        <v>10738</v>
      </c>
      <c r="W128" s="21">
        <f>其他调用!X128</f>
        <v>139.56936219880694</v>
      </c>
      <c r="X128" s="21">
        <f>求节点(将星点产出!$C$26:$C$34,将星点产出!E$26:E$34,其他调用!AD128)*其他调用!Y128</f>
        <v>0</v>
      </c>
      <c r="Y128" s="21">
        <f>求节点(将星点产出!$C$26:$C$34,将星点产出!F$26:F$34,其他调用!AE128)*其他调用!Z128</f>
        <v>0</v>
      </c>
      <c r="Z128" s="21">
        <f>求节点(将星点产出!$C$26:$C$34,将星点产出!G$26:G$34,其他调用!AF128)*其他调用!AA128</f>
        <v>0</v>
      </c>
      <c r="AA128" s="21">
        <f>求节点(将星点产出!$C$26:$C$34,将星点产出!H$26:H$34,其他调用!AG128)*其他调用!AB128</f>
        <v>0</v>
      </c>
      <c r="AB128" s="21">
        <f>求节点(将星点产出!$C$26:$C$34,将星点产出!I$26:I$34,其他调用!AH128)*其他调用!AC128</f>
        <v>187500</v>
      </c>
      <c r="AC128" s="21">
        <f>求节点(将星点产出!$C$26:$C$34,将星点产出!F$26:F$34,其他调用!AM128)*其他调用!AI128</f>
        <v>0</v>
      </c>
      <c r="AD128" s="21">
        <f>求节点(将星点产出!$C$26:$C$34,将星点产出!G$26:G$34,其他调用!AN128)*其他调用!AJ128</f>
        <v>0</v>
      </c>
      <c r="AE128" s="21">
        <f>求节点(将星点产出!$C$26:$C$34,将星点产出!H$26:H$34,其他调用!AO128)*其他调用!AK128</f>
        <v>276000</v>
      </c>
      <c r="AF128" s="21">
        <f>求节点(将星点产出!$C$26:$C$34,将星点产出!I$26:I$34,其他调用!AP128)*其他调用!AL128</f>
        <v>0</v>
      </c>
      <c r="AG128" s="21">
        <f t="shared" si="11"/>
        <v>463500</v>
      </c>
      <c r="AI128" s="7">
        <f>求节点($N$26:$N$32,P$26:P$32,其他调用!BF128)*其他调用!BB128</f>
        <v>1650</v>
      </c>
      <c r="AJ128" s="7">
        <f>求节点($N$26:$N$32,Q$26:Q$32,其他调用!BG128)*其他调用!BC128</f>
        <v>71400</v>
      </c>
      <c r="AK128" s="7">
        <f>求节点($N$26:$N$32,R$26:R$32,其他调用!BH128)*其他调用!BD128</f>
        <v>256000</v>
      </c>
      <c r="AL128" s="7">
        <f>求节点($N$26:$N$32,S$26:S$32,其他调用!BI128)*其他调用!BE128</f>
        <v>204800</v>
      </c>
      <c r="AM128" s="21">
        <f t="shared" si="12"/>
        <v>533850</v>
      </c>
      <c r="AO128" s="21">
        <f t="shared" si="13"/>
        <v>997350</v>
      </c>
    </row>
    <row r="129" spans="22:41">
      <c r="V129" s="21">
        <f>其他调用!W129</f>
        <v>13678</v>
      </c>
      <c r="W129" s="21">
        <f>其他调用!X129</f>
        <v>143.08413721822018</v>
      </c>
      <c r="X129" s="21">
        <f>求节点(将星点产出!$C$26:$C$34,将星点产出!E$26:E$34,其他调用!AD129)*其他调用!Y129</f>
        <v>0</v>
      </c>
      <c r="Y129" s="21">
        <f>求节点(将星点产出!$C$26:$C$34,将星点产出!F$26:F$34,其他调用!AE129)*其他调用!Z129</f>
        <v>0</v>
      </c>
      <c r="Z129" s="21">
        <f>求节点(将星点产出!$C$26:$C$34,将星点产出!G$26:G$34,其他调用!AF129)*其他调用!AA129</f>
        <v>0</v>
      </c>
      <c r="AA129" s="21">
        <f>求节点(将星点产出!$C$26:$C$34,将星点产出!H$26:H$34,其他调用!AG129)*其他调用!AB129</f>
        <v>0</v>
      </c>
      <c r="AB129" s="21">
        <f>求节点(将星点产出!$C$26:$C$34,将星点产出!I$26:I$34,其他调用!AH129)*其他调用!AC129</f>
        <v>187500</v>
      </c>
      <c r="AC129" s="21">
        <f>求节点(将星点产出!$C$26:$C$34,将星点产出!F$26:F$34,其他调用!AM129)*其他调用!AI129</f>
        <v>0</v>
      </c>
      <c r="AD129" s="21">
        <f>求节点(将星点产出!$C$26:$C$34,将星点产出!G$26:G$34,其他调用!AN129)*其他调用!AJ129</f>
        <v>0</v>
      </c>
      <c r="AE129" s="21">
        <f>求节点(将星点产出!$C$26:$C$34,将星点产出!H$26:H$34,其他调用!AO129)*其他调用!AK129</f>
        <v>276000</v>
      </c>
      <c r="AF129" s="21">
        <f>求节点(将星点产出!$C$26:$C$34,将星点产出!I$26:I$34,其他调用!AP129)*其他调用!AL129</f>
        <v>0</v>
      </c>
      <c r="AG129" s="21">
        <f t="shared" si="11"/>
        <v>463500</v>
      </c>
      <c r="AI129" s="7">
        <f>求节点($N$26:$N$32,P$26:P$32,其他调用!BF129)*其他调用!BB129</f>
        <v>1650</v>
      </c>
      <c r="AJ129" s="7">
        <f>求节点($N$26:$N$32,Q$26:Q$32,其他调用!BG129)*其他调用!BC129</f>
        <v>71400</v>
      </c>
      <c r="AK129" s="7">
        <f>求节点($N$26:$N$32,R$26:R$32,其他调用!BH129)*其他调用!BD129</f>
        <v>256000</v>
      </c>
      <c r="AL129" s="7">
        <f>求节点($N$26:$N$32,S$26:S$32,其他调用!BI129)*其他调用!BE129</f>
        <v>204800</v>
      </c>
      <c r="AM129" s="21">
        <f t="shared" si="12"/>
        <v>533850</v>
      </c>
      <c r="AO129" s="21">
        <f t="shared" si="13"/>
        <v>997350</v>
      </c>
    </row>
    <row r="130" spans="22:41">
      <c r="V130" s="21">
        <f>其他调用!W130</f>
        <v>17416</v>
      </c>
      <c r="W130" s="21">
        <f>其他调用!X130</f>
        <v>146.62302564097175</v>
      </c>
      <c r="X130" s="21">
        <f>求节点(将星点产出!$C$26:$C$34,将星点产出!E$26:E$34,其他调用!AD130)*其他调用!Y130</f>
        <v>0</v>
      </c>
      <c r="Y130" s="21">
        <f>求节点(将星点产出!$C$26:$C$34,将星点产出!F$26:F$34,其他调用!AE130)*其他调用!Z130</f>
        <v>0</v>
      </c>
      <c r="Z130" s="21">
        <f>求节点(将星点产出!$C$26:$C$34,将星点产出!G$26:G$34,其他调用!AF130)*其他调用!AA130</f>
        <v>0</v>
      </c>
      <c r="AA130" s="21">
        <f>求节点(将星点产出!$C$26:$C$34,将星点产出!H$26:H$34,其他调用!AG130)*其他调用!AB130</f>
        <v>0</v>
      </c>
      <c r="AB130" s="21">
        <f>求节点(将星点产出!$C$26:$C$34,将星点产出!I$26:I$34,其他调用!AH130)*其他调用!AC130</f>
        <v>187500</v>
      </c>
      <c r="AC130" s="21">
        <f>求节点(将星点产出!$C$26:$C$34,将星点产出!F$26:F$34,其他调用!AM130)*其他调用!AI130</f>
        <v>0</v>
      </c>
      <c r="AD130" s="21">
        <f>求节点(将星点产出!$C$26:$C$34,将星点产出!G$26:G$34,其他调用!AN130)*其他调用!AJ130</f>
        <v>0</v>
      </c>
      <c r="AE130" s="21">
        <f>求节点(将星点产出!$C$26:$C$34,将星点产出!H$26:H$34,其他调用!AO130)*其他调用!AK130</f>
        <v>276000</v>
      </c>
      <c r="AF130" s="21">
        <f>求节点(将星点产出!$C$26:$C$34,将星点产出!I$26:I$34,其他调用!AP130)*其他调用!AL130</f>
        <v>0</v>
      </c>
      <c r="AG130" s="21">
        <f t="shared" si="11"/>
        <v>463500</v>
      </c>
      <c r="AI130" s="7">
        <f>求节点($N$26:$N$32,P$26:P$32,其他调用!BF130)*其他调用!BB130</f>
        <v>1650</v>
      </c>
      <c r="AJ130" s="7">
        <f>求节点($N$26:$N$32,Q$26:Q$32,其他调用!BG130)*其他调用!BC130</f>
        <v>71400</v>
      </c>
      <c r="AK130" s="7">
        <f>求节点($N$26:$N$32,R$26:R$32,其他调用!BH130)*其他调用!BD130</f>
        <v>256000</v>
      </c>
      <c r="AL130" s="7">
        <f>求节点($N$26:$N$32,S$26:S$32,其他调用!BI130)*其他调用!BE130</f>
        <v>204800</v>
      </c>
      <c r="AM130" s="21">
        <f t="shared" si="12"/>
        <v>533850</v>
      </c>
      <c r="AO130" s="21">
        <f t="shared" si="13"/>
        <v>997350</v>
      </c>
    </row>
    <row r="131" spans="22:41">
      <c r="V131" s="21">
        <f>其他调用!W131</f>
        <v>22204</v>
      </c>
      <c r="W131" s="21">
        <f>其他调用!X131</f>
        <v>150.12999034316616</v>
      </c>
      <c r="X131" s="21">
        <f>求节点(将星点产出!$C$26:$C$34,将星点产出!E$26:E$34,其他调用!AD131)*其他调用!Y131</f>
        <v>0</v>
      </c>
      <c r="Y131" s="21">
        <f>求节点(将星点产出!$C$26:$C$34,将星点产出!F$26:F$34,其他调用!AE131)*其他调用!Z131</f>
        <v>0</v>
      </c>
      <c r="Z131" s="21">
        <f>求节点(将星点产出!$C$26:$C$34,将星点产出!G$26:G$34,其他调用!AF131)*其他调用!AA131</f>
        <v>0</v>
      </c>
      <c r="AA131" s="21">
        <f>求节点(将星点产出!$C$26:$C$34,将星点产出!H$26:H$34,其他调用!AG131)*其他调用!AB131</f>
        <v>0</v>
      </c>
      <c r="AB131" s="21">
        <f>求节点(将星点产出!$C$26:$C$34,将星点产出!I$26:I$34,其他调用!AH131)*其他调用!AC131</f>
        <v>187500</v>
      </c>
      <c r="AC131" s="21">
        <f>求节点(将星点产出!$C$26:$C$34,将星点产出!F$26:F$34,其他调用!AM131)*其他调用!AI131</f>
        <v>0</v>
      </c>
      <c r="AD131" s="21">
        <f>求节点(将星点产出!$C$26:$C$34,将星点产出!G$26:G$34,其他调用!AN131)*其他调用!AJ131</f>
        <v>0</v>
      </c>
      <c r="AE131" s="21">
        <f>求节点(将星点产出!$C$26:$C$34,将星点产出!H$26:H$34,其他调用!AO131)*其他调用!AK131</f>
        <v>276000</v>
      </c>
      <c r="AF131" s="21">
        <f>求节点(将星点产出!$C$26:$C$34,将星点产出!I$26:I$34,其他调用!AP131)*其他调用!AL131</f>
        <v>0</v>
      </c>
      <c r="AG131" s="21">
        <f t="shared" si="11"/>
        <v>463500</v>
      </c>
      <c r="AI131" s="7">
        <f>求节点($N$26:$N$32,P$26:P$32,其他调用!BF131)*其他调用!BB131</f>
        <v>1650</v>
      </c>
      <c r="AJ131" s="7">
        <f>求节点($N$26:$N$32,Q$26:Q$32,其他调用!BG131)*其他调用!BC131</f>
        <v>71400</v>
      </c>
      <c r="AK131" s="7">
        <f>求节点($N$26:$N$32,R$26:R$32,其他调用!BH131)*其他调用!BD131</f>
        <v>256000</v>
      </c>
      <c r="AL131" s="7">
        <f>求节点($N$26:$N$32,S$26:S$32,其他调用!BI131)*其他调用!BE131</f>
        <v>204800</v>
      </c>
      <c r="AM131" s="21">
        <f t="shared" si="12"/>
        <v>533850</v>
      </c>
      <c r="AO131" s="21">
        <f t="shared" si="13"/>
        <v>997350</v>
      </c>
    </row>
    <row r="132" spans="22:41">
      <c r="V132" s="21">
        <f>其他调用!W132</f>
        <v>28294</v>
      </c>
      <c r="W132" s="21">
        <f>其他调用!X132</f>
        <v>153.11600330857166</v>
      </c>
      <c r="X132" s="21">
        <f>求节点(将星点产出!$C$26:$C$34,将星点产出!E$26:E$34,其他调用!AD132)*其他调用!Y132</f>
        <v>0</v>
      </c>
      <c r="Y132" s="21">
        <f>求节点(将星点产出!$C$26:$C$34,将星点产出!F$26:F$34,其他调用!AE132)*其他调用!Z132</f>
        <v>0</v>
      </c>
      <c r="Z132" s="21">
        <f>求节点(将星点产出!$C$26:$C$34,将星点产出!G$26:G$34,其他调用!AF132)*其他调用!AA132</f>
        <v>0</v>
      </c>
      <c r="AA132" s="21">
        <f>求节点(将星点产出!$C$26:$C$34,将星点产出!H$26:H$34,其他调用!AG132)*其他调用!AB132</f>
        <v>0</v>
      </c>
      <c r="AB132" s="21">
        <f>求节点(将星点产出!$C$26:$C$34,将星点产出!I$26:I$34,其他调用!AH132)*其他调用!AC132</f>
        <v>187500</v>
      </c>
      <c r="AC132" s="21">
        <f>求节点(将星点产出!$C$26:$C$34,将星点产出!F$26:F$34,其他调用!AM132)*其他调用!AI132</f>
        <v>0</v>
      </c>
      <c r="AD132" s="21">
        <f>求节点(将星点产出!$C$26:$C$34,将星点产出!G$26:G$34,其他调用!AN132)*其他调用!AJ132</f>
        <v>0</v>
      </c>
      <c r="AE132" s="21">
        <f>求节点(将星点产出!$C$26:$C$34,将星点产出!H$26:H$34,其他调用!AO132)*其他调用!AK132</f>
        <v>276000</v>
      </c>
      <c r="AF132" s="21">
        <f>求节点(将星点产出!$C$26:$C$34,将星点产出!I$26:I$34,其他调用!AP132)*其他调用!AL132</f>
        <v>0</v>
      </c>
      <c r="AG132" s="21">
        <f t="shared" si="11"/>
        <v>463500</v>
      </c>
      <c r="AI132" s="7">
        <f>求节点($N$26:$N$32,P$26:P$32,其他调用!BF132)*其他调用!BB132</f>
        <v>1650</v>
      </c>
      <c r="AJ132" s="7">
        <f>求节点($N$26:$N$32,Q$26:Q$32,其他调用!BG132)*其他调用!BC132</f>
        <v>71400</v>
      </c>
      <c r="AK132" s="7">
        <f>求节点($N$26:$N$32,R$26:R$32,其他调用!BH132)*其他调用!BD132</f>
        <v>256000</v>
      </c>
      <c r="AL132" s="7">
        <f>求节点($N$26:$N$32,S$26:S$32,其他调用!BI132)*其他调用!BE132</f>
        <v>204800</v>
      </c>
      <c r="AM132" s="21">
        <f t="shared" si="12"/>
        <v>533850</v>
      </c>
      <c r="AO132" s="21">
        <f t="shared" si="13"/>
        <v>997350</v>
      </c>
    </row>
    <row r="133" spans="22:41">
      <c r="V133" s="21">
        <f>其他调用!W133</f>
        <v>36064</v>
      </c>
      <c r="W133" s="21">
        <f>其他调用!X133</f>
        <v>154.20294442048996</v>
      </c>
      <c r="X133" s="21">
        <f>求节点(将星点产出!$C$26:$C$34,将星点产出!E$26:E$34,其他调用!AD133)*其他调用!Y133</f>
        <v>0</v>
      </c>
      <c r="Y133" s="21">
        <f>求节点(将星点产出!$C$26:$C$34,将星点产出!F$26:F$34,其他调用!AE133)*其他调用!Z133</f>
        <v>0</v>
      </c>
      <c r="Z133" s="21">
        <f>求节点(将星点产出!$C$26:$C$34,将星点产出!G$26:G$34,其他调用!AF133)*其他调用!AA133</f>
        <v>0</v>
      </c>
      <c r="AA133" s="21">
        <f>求节点(将星点产出!$C$26:$C$34,将星点产出!H$26:H$34,其他调用!AG133)*其他调用!AB133</f>
        <v>0</v>
      </c>
      <c r="AB133" s="21">
        <f>求节点(将星点产出!$C$26:$C$34,将星点产出!I$26:I$34,其他调用!AH133)*其他调用!AC133</f>
        <v>187500</v>
      </c>
      <c r="AC133" s="21">
        <f>求节点(将星点产出!$C$26:$C$34,将星点产出!F$26:F$34,其他调用!AM133)*其他调用!AI133</f>
        <v>0</v>
      </c>
      <c r="AD133" s="21">
        <f>求节点(将星点产出!$C$26:$C$34,将星点产出!G$26:G$34,其他调用!AN133)*其他调用!AJ133</f>
        <v>0</v>
      </c>
      <c r="AE133" s="21">
        <f>求节点(将星点产出!$C$26:$C$34,将星点产出!H$26:H$34,其他调用!AO133)*其他调用!AK133</f>
        <v>276000</v>
      </c>
      <c r="AF133" s="21">
        <f>求节点(将星点产出!$C$26:$C$34,将星点产出!I$26:I$34,其他调用!AP133)*其他调用!AL133</f>
        <v>0</v>
      </c>
      <c r="AG133" s="21">
        <f t="shared" si="11"/>
        <v>463500</v>
      </c>
      <c r="AI133" s="7">
        <f>求节点($N$26:$N$32,P$26:P$32,其他调用!BF133)*其他调用!BB133</f>
        <v>1650</v>
      </c>
      <c r="AJ133" s="7">
        <f>求节点($N$26:$N$32,Q$26:Q$32,其他调用!BG133)*其他调用!BC133</f>
        <v>71400</v>
      </c>
      <c r="AK133" s="7">
        <f>求节点($N$26:$N$32,R$26:R$32,其他调用!BH133)*其他调用!BD133</f>
        <v>256000</v>
      </c>
      <c r="AL133" s="7">
        <f>求节点($N$26:$N$32,S$26:S$32,其他调用!BI133)*其他调用!BE133</f>
        <v>204800</v>
      </c>
      <c r="AM133" s="21">
        <f t="shared" si="12"/>
        <v>533850</v>
      </c>
      <c r="AO133" s="21">
        <f t="shared" si="13"/>
        <v>997350</v>
      </c>
    </row>
    <row r="134" spans="22:41">
      <c r="V134" s="21">
        <f>其他调用!W134</f>
        <v>45850</v>
      </c>
      <c r="W134" s="21">
        <f>其他调用!X134</f>
        <v>155.2512378743358</v>
      </c>
      <c r="X134" s="21">
        <f>求节点(将星点产出!$C$26:$C$34,将星点产出!E$26:E$34,其他调用!AD134)*其他调用!Y134</f>
        <v>0</v>
      </c>
      <c r="Y134" s="21">
        <f>求节点(将星点产出!$C$26:$C$34,将星点产出!F$26:F$34,其他调用!AE134)*其他调用!Z134</f>
        <v>0</v>
      </c>
      <c r="Z134" s="21">
        <f>求节点(将星点产出!$C$26:$C$34,将星点产出!G$26:G$34,其他调用!AF134)*其他调用!AA134</f>
        <v>0</v>
      </c>
      <c r="AA134" s="21">
        <f>求节点(将星点产出!$C$26:$C$34,将星点产出!H$26:H$34,其他调用!AG134)*其他调用!AB134</f>
        <v>0</v>
      </c>
      <c r="AB134" s="21">
        <f>求节点(将星点产出!$C$26:$C$34,将星点产出!I$26:I$34,其他调用!AH134)*其他调用!AC134</f>
        <v>187500</v>
      </c>
      <c r="AC134" s="21">
        <f>求节点(将星点产出!$C$26:$C$34,将星点产出!F$26:F$34,其他调用!AM134)*其他调用!AI134</f>
        <v>0</v>
      </c>
      <c r="AD134" s="21">
        <f>求节点(将星点产出!$C$26:$C$34,将星点产出!G$26:G$34,其他调用!AN134)*其他调用!AJ134</f>
        <v>0</v>
      </c>
      <c r="AE134" s="21">
        <f>求节点(将星点产出!$C$26:$C$34,将星点产出!H$26:H$34,其他调用!AO134)*其他调用!AK134</f>
        <v>276000</v>
      </c>
      <c r="AF134" s="21">
        <f>求节点(将星点产出!$C$26:$C$34,将星点产出!I$26:I$34,其他调用!AP134)*其他调用!AL134</f>
        <v>0</v>
      </c>
      <c r="AG134" s="21">
        <f t="shared" si="11"/>
        <v>463500</v>
      </c>
      <c r="AI134" s="7">
        <f>求节点($N$26:$N$32,P$26:P$32,其他调用!BF134)*其他调用!BB134</f>
        <v>1650</v>
      </c>
      <c r="AJ134" s="7">
        <f>求节点($N$26:$N$32,Q$26:Q$32,其他调用!BG134)*其他调用!BC134</f>
        <v>71400</v>
      </c>
      <c r="AK134" s="7">
        <f>求节点($N$26:$N$32,R$26:R$32,其他调用!BH134)*其他调用!BD134</f>
        <v>256000</v>
      </c>
      <c r="AL134" s="7">
        <f>求节点($N$26:$N$32,S$26:S$32,其他调用!BI134)*其他调用!BE134</f>
        <v>204800</v>
      </c>
      <c r="AM134" s="21">
        <f t="shared" si="12"/>
        <v>533850</v>
      </c>
      <c r="AO134" s="21">
        <f t="shared" si="13"/>
        <v>997350</v>
      </c>
    </row>
    <row r="135" spans="22:41">
      <c r="V135" s="23"/>
      <c r="W135" s="23"/>
      <c r="AI135" s="6"/>
      <c r="AJ135" s="6"/>
      <c r="AK135" s="6"/>
      <c r="AL135" s="6"/>
    </row>
    <row r="136" spans="22:41">
      <c r="V136" s="23"/>
      <c r="W136" s="23"/>
      <c r="AI136" s="6"/>
      <c r="AJ136" s="6"/>
      <c r="AK136" s="6"/>
      <c r="AL136" s="6"/>
    </row>
    <row r="137" spans="22:41">
      <c r="V137" s="23"/>
      <c r="W137" s="23"/>
      <c r="AI137" s="6"/>
      <c r="AJ137" s="6"/>
      <c r="AK137" s="6"/>
      <c r="AL137" s="6"/>
    </row>
    <row r="138" spans="22:41">
      <c r="V138" s="34" t="s">
        <v>48</v>
      </c>
      <c r="W138" s="34"/>
    </row>
    <row r="139" spans="22:41">
      <c r="V139" s="34"/>
      <c r="W139" s="34"/>
      <c r="X139" s="34" t="s">
        <v>97</v>
      </c>
      <c r="Y139" s="34"/>
      <c r="Z139" s="34"/>
      <c r="AA139" s="34"/>
      <c r="AB139" s="34"/>
      <c r="AC139" s="34" t="s">
        <v>132</v>
      </c>
      <c r="AD139" s="34"/>
      <c r="AE139" s="34"/>
      <c r="AF139" s="34"/>
      <c r="AG139" s="21"/>
      <c r="AI139" s="36" t="s">
        <v>134</v>
      </c>
      <c r="AJ139" s="37"/>
      <c r="AK139" s="37"/>
      <c r="AL139" s="38"/>
      <c r="AM139" s="21"/>
    </row>
    <row r="140" spans="22:41">
      <c r="V140" s="21" t="s">
        <v>103</v>
      </c>
      <c r="W140" s="21" t="s">
        <v>92</v>
      </c>
      <c r="X140" s="21" t="s">
        <v>104</v>
      </c>
      <c r="Y140" s="21" t="s">
        <v>14</v>
      </c>
      <c r="Z140" s="21" t="s">
        <v>15</v>
      </c>
      <c r="AA140" s="21" t="s">
        <v>13</v>
      </c>
      <c r="AB140" s="21" t="s">
        <v>102</v>
      </c>
      <c r="AC140" s="21" t="s">
        <v>14</v>
      </c>
      <c r="AD140" s="21" t="s">
        <v>15</v>
      </c>
      <c r="AE140" s="21" t="s">
        <v>13</v>
      </c>
      <c r="AF140" s="21" t="s">
        <v>102</v>
      </c>
      <c r="AG140" s="21" t="s">
        <v>133</v>
      </c>
      <c r="AI140" s="7" t="s">
        <v>14</v>
      </c>
      <c r="AJ140" s="7" t="s">
        <v>15</v>
      </c>
      <c r="AK140" s="7" t="s">
        <v>13</v>
      </c>
      <c r="AL140" s="7" t="s">
        <v>102</v>
      </c>
      <c r="AM140" s="21" t="s">
        <v>136</v>
      </c>
      <c r="AO140" s="21" t="s">
        <v>137</v>
      </c>
    </row>
    <row r="141" spans="22:41">
      <c r="V141" s="21">
        <f>其他调用!W141</f>
        <v>0.5</v>
      </c>
      <c r="W141" s="21">
        <f>其他调用!X141</f>
        <v>10.00263241450434</v>
      </c>
      <c r="X141" s="21">
        <f>求节点(将星点产出!$C$26:$C$34,将星点产出!E$26:E$34,其他调用!AD141)*其他调用!Y141</f>
        <v>0</v>
      </c>
      <c r="Y141" s="21">
        <f>求节点(将星点产出!$C$26:$C$34,将星点产出!F$26:F$34,其他调用!AE141)*其他调用!Z141</f>
        <v>0</v>
      </c>
      <c r="Z141" s="21">
        <f>求节点(将星点产出!$C$26:$C$34,将星点产出!G$26:G$34,其他调用!AF141)*其他调用!AA141</f>
        <v>0</v>
      </c>
      <c r="AA141" s="21">
        <f>求节点(将星点产出!$C$26:$C$34,将星点产出!H$26:H$34,其他调用!AG141)*其他调用!AB141</f>
        <v>4800</v>
      </c>
      <c r="AB141" s="21">
        <f>求节点(将星点产出!$C$26:$C$34,将星点产出!I$26:I$34,其他调用!AH141)*其他调用!AC141</f>
        <v>0</v>
      </c>
      <c r="AC141" s="21">
        <f>求节点(将星点产出!$C$26:$C$34,将星点产出!F$26:F$34,其他调用!AM141)*其他调用!AI141</f>
        <v>2000</v>
      </c>
      <c r="AD141" s="21">
        <f>求节点(将星点产出!$C$26:$C$34,将星点产出!G$26:G$34,其他调用!AN141)*其他调用!AJ141</f>
        <v>1587.424549027872</v>
      </c>
      <c r="AE141" s="21">
        <f>求节点(将星点产出!$C$26:$C$34,将星点产出!H$26:H$34,其他调用!AO141)*其他调用!AK141</f>
        <v>0</v>
      </c>
      <c r="AF141" s="21">
        <f>求节点(将星点产出!$C$26:$C$34,将星点产出!I$26:I$34,其他调用!AP141)*其他调用!AL141</f>
        <v>0</v>
      </c>
      <c r="AG141" s="21">
        <f>INT(SUM(X141:AF141))</f>
        <v>8387</v>
      </c>
      <c r="AI141" s="7">
        <f>求节点($N$26:$N$32,P$26:P$32,其他调用!BF141)*其他调用!BB141</f>
        <v>715.86419595248162</v>
      </c>
      <c r="AJ141" s="7">
        <f>求节点($N$26:$N$32,Q$26:Q$32,其他调用!BG141)*其他调用!BC141</f>
        <v>2800</v>
      </c>
      <c r="AK141" s="7">
        <f>求节点($N$26:$N$32,R$26:R$32,其他调用!BH141)*其他调用!BD141</f>
        <v>3600</v>
      </c>
      <c r="AL141" s="7">
        <f>求节点($N$26:$N$32,S$26:S$32,其他调用!BI141)*其他调用!BE141</f>
        <v>0</v>
      </c>
      <c r="AM141" s="21">
        <f>INT(SUM(AI141:AL141))</f>
        <v>7115</v>
      </c>
      <c r="AO141" s="21">
        <f>AG141+AM141</f>
        <v>15502</v>
      </c>
    </row>
    <row r="142" spans="22:41">
      <c r="V142" s="21">
        <f>其他调用!W142</f>
        <v>1.5</v>
      </c>
      <c r="W142" s="21">
        <f>其他调用!X142</f>
        <v>19.43005414991557</v>
      </c>
      <c r="X142" s="21">
        <f>求节点(将星点产出!$C$26:$C$34,将星点产出!E$26:E$34,其他调用!AD142)*其他调用!Y142</f>
        <v>0</v>
      </c>
      <c r="Y142" s="21">
        <f>求节点(将星点产出!$C$26:$C$34,将星点产出!F$26:F$34,其他调用!AE142)*其他调用!Z142</f>
        <v>0</v>
      </c>
      <c r="Z142" s="21">
        <f>求节点(将星点产出!$C$26:$C$34,将星点产出!G$26:G$34,其他调用!AF142)*其他调用!AA142</f>
        <v>0</v>
      </c>
      <c r="AA142" s="21">
        <f>求节点(将星点产出!$C$26:$C$34,将星点产出!H$26:H$34,其他调用!AG142)*其他调用!AB142</f>
        <v>4800</v>
      </c>
      <c r="AB142" s="21">
        <f>求节点(将星点产出!$C$26:$C$34,将星点产出!I$26:I$34,其他调用!AH142)*其他调用!AC142</f>
        <v>0</v>
      </c>
      <c r="AC142" s="21">
        <f>求节点(将星点产出!$C$26:$C$34,将星点产出!F$26:F$34,其他调用!AM142)*其他调用!AI142</f>
        <v>2400</v>
      </c>
      <c r="AD142" s="21">
        <f>求节点(将星点产出!$C$26:$C$34,将星点产出!G$26:G$34,其他调用!AN142)*其他调用!AJ142</f>
        <v>7237.6909908790094</v>
      </c>
      <c r="AE142" s="21">
        <f>求节点(将星点产出!$C$26:$C$34,将星点产出!H$26:H$34,其他调用!AO142)*其他调用!AK142</f>
        <v>0</v>
      </c>
      <c r="AF142" s="21">
        <f>求节点(将星点产出!$C$26:$C$34,将星点产出!I$26:I$34,其他调用!AP142)*其他调用!AL142</f>
        <v>0</v>
      </c>
      <c r="AG142" s="21">
        <f t="shared" ref="AG142:AG179" si="14">INT(SUM(X142:AF142))</f>
        <v>14437</v>
      </c>
      <c r="AI142" s="7">
        <f>求节点($N$26:$N$32,P$26:P$32,其他调用!BF142)*其他调用!BB142</f>
        <v>1069.2939317286325</v>
      </c>
      <c r="AJ142" s="7">
        <f>求节点($N$26:$N$32,Q$26:Q$32,其他调用!BG142)*其他调用!BC142</f>
        <v>3764.8039364666229</v>
      </c>
      <c r="AK142" s="7">
        <f>求节点($N$26:$N$32,R$26:R$32,其他调用!BH142)*其他调用!BD142</f>
        <v>8100</v>
      </c>
      <c r="AL142" s="7">
        <f>求节点($N$26:$N$32,S$26:S$32,其他调用!BI142)*其他调用!BE142</f>
        <v>0</v>
      </c>
      <c r="AM142" s="21">
        <f t="shared" ref="AM142:AM179" si="15">INT(SUM(AI142:AL142))</f>
        <v>12934</v>
      </c>
      <c r="AO142" s="21">
        <f t="shared" ref="AO142:AO179" si="16">AG142+AM142</f>
        <v>27371</v>
      </c>
    </row>
    <row r="143" spans="22:41">
      <c r="V143" s="21">
        <f>其他调用!W143</f>
        <v>3</v>
      </c>
      <c r="W143" s="21">
        <f>其他调用!X143</f>
        <v>27.324610510337703</v>
      </c>
      <c r="X143" s="21">
        <f>求节点(将星点产出!$C$26:$C$34,将星点产出!E$26:E$34,其他调用!AD143)*其他调用!Y143</f>
        <v>0</v>
      </c>
      <c r="Y143" s="21">
        <f>求节点(将星点产出!$C$26:$C$34,将星点产出!F$26:F$34,其他调用!AE143)*其他调用!Z143</f>
        <v>0</v>
      </c>
      <c r="Z143" s="21">
        <f>求节点(将星点产出!$C$26:$C$34,将星点产出!G$26:G$34,其他调用!AF143)*其他调用!AA143</f>
        <v>0</v>
      </c>
      <c r="AA143" s="21">
        <f>求节点(将星点产出!$C$26:$C$34,将星点产出!H$26:H$34,其他调用!AG143)*其他调用!AB143</f>
        <v>6745.0186796229682</v>
      </c>
      <c r="AB143" s="21">
        <f>求节点(将星点产出!$C$26:$C$34,将星点产出!I$26:I$34,其他调用!AH143)*其他调用!AC143</f>
        <v>0</v>
      </c>
      <c r="AC143" s="21">
        <f>求节点(将星点产出!$C$26:$C$34,将星点产出!F$26:F$34,其他调用!AM143)*其他调用!AI143</f>
        <v>2400</v>
      </c>
      <c r="AD143" s="21">
        <f>求节点(将星点产出!$C$26:$C$34,将星点产出!G$26:G$34,其他调用!AN143)*其他调用!AJ143</f>
        <v>16410.166293658178</v>
      </c>
      <c r="AE143" s="21">
        <f>求节点(将星点产出!$C$26:$C$34,将星点产出!H$26:H$34,其他调用!AO143)*其他调用!AK143</f>
        <v>0</v>
      </c>
      <c r="AF143" s="21">
        <f>求节点(将星点产出!$C$26:$C$34,将星点产出!I$26:I$34,其他调用!AP143)*其他调用!AL143</f>
        <v>0</v>
      </c>
      <c r="AG143" s="21">
        <f t="shared" si="14"/>
        <v>25555</v>
      </c>
      <c r="AI143" s="7">
        <f>求节点($N$26:$N$32,P$26:P$32,其他调用!BF143)*其他调用!BB143</f>
        <v>1178.3794329858079</v>
      </c>
      <c r="AJ143" s="7">
        <f>求节点($N$26:$N$32,Q$26:Q$32,其他调用!BG143)*其他调用!BC143</f>
        <v>5879.5656104761092</v>
      </c>
      <c r="AK143" s="7">
        <f>求节点($N$26:$N$32,R$26:R$32,其他调用!BH143)*其他调用!BD143</f>
        <v>13500</v>
      </c>
      <c r="AL143" s="7">
        <f>求节点($N$26:$N$32,S$26:S$32,其他调用!BI143)*其他调用!BE143</f>
        <v>0</v>
      </c>
      <c r="AM143" s="21">
        <f t="shared" si="15"/>
        <v>20557</v>
      </c>
      <c r="AO143" s="21">
        <f t="shared" si="16"/>
        <v>46112</v>
      </c>
    </row>
    <row r="144" spans="22:41">
      <c r="V144" s="21">
        <f>其他调用!W144</f>
        <v>5</v>
      </c>
      <c r="W144" s="21">
        <f>其他调用!X144</f>
        <v>33.672145166817529</v>
      </c>
      <c r="X144" s="21">
        <f>求节点(将星点产出!$C$26:$C$34,将星点产出!E$26:E$34,其他调用!AD144)*其他调用!Y144</f>
        <v>0</v>
      </c>
      <c r="Y144" s="21">
        <f>求节点(将星点产出!$C$26:$C$34,将星点产出!F$26:F$34,其他调用!AE144)*其他调用!Z144</f>
        <v>0</v>
      </c>
      <c r="Z144" s="21">
        <f>求节点(将星点产出!$C$26:$C$34,将星点产出!G$26:G$34,其他调用!AF144)*其他调用!AA144</f>
        <v>0</v>
      </c>
      <c r="AA144" s="21">
        <f>求节点(将星点产出!$C$26:$C$34,将星点产出!H$26:H$34,其他调用!AG144)*其他调用!AB144</f>
        <v>10066.297605958802</v>
      </c>
      <c r="AB144" s="21">
        <f>求节点(将星点产出!$C$26:$C$34,将星点产出!I$26:I$34,其他调用!AH144)*其他调用!AC144</f>
        <v>0</v>
      </c>
      <c r="AC144" s="21">
        <f>求节点(将星点产出!$C$26:$C$34,将星点产出!F$26:F$34,其他调用!AM144)*其他调用!AI144</f>
        <v>2400</v>
      </c>
      <c r="AD144" s="21">
        <f>求节点(将星点产出!$C$26:$C$34,将星点产出!G$26:G$34,其他调用!AN144)*其他调用!AJ144</f>
        <v>22400</v>
      </c>
      <c r="AE144" s="21">
        <f>求节点(将星点产出!$C$26:$C$34,将星点产出!H$26:H$34,其他调用!AO144)*其他调用!AK144</f>
        <v>0</v>
      </c>
      <c r="AF144" s="21">
        <f>求节点(将星点产出!$C$26:$C$34,将星点产出!I$26:I$34,其他调用!AP144)*其他调用!AL144</f>
        <v>0</v>
      </c>
      <c r="AG144" s="21">
        <f t="shared" si="14"/>
        <v>34866</v>
      </c>
      <c r="AI144" s="7">
        <f>求节点($N$26:$N$32,P$26:P$32,其他调用!BF144)*其他调用!BB144</f>
        <v>1261.9133839976871</v>
      </c>
      <c r="AJ144" s="7">
        <f>求节点($N$26:$N$32,Q$26:Q$32,其他调用!BG144)*其他调用!BC144</f>
        <v>8951.5136343850681</v>
      </c>
      <c r="AK144" s="7">
        <f>求节点($N$26:$N$32,R$26:R$32,其他调用!BH144)*其他调用!BD144</f>
        <v>18000</v>
      </c>
      <c r="AL144" s="7">
        <f>求节点($N$26:$N$32,S$26:S$32,其他调用!BI144)*其他调用!BE144</f>
        <v>0</v>
      </c>
      <c r="AM144" s="21">
        <f t="shared" si="15"/>
        <v>28213</v>
      </c>
      <c r="AO144" s="21">
        <f t="shared" si="16"/>
        <v>63079</v>
      </c>
    </row>
    <row r="145" spans="22:41">
      <c r="V145" s="21">
        <f>其他调用!W145</f>
        <v>7.5</v>
      </c>
      <c r="W145" s="21">
        <f>其他调用!X145</f>
        <v>39.138098927718012</v>
      </c>
      <c r="X145" s="21">
        <f>求节点(将星点产出!$C$26:$C$34,将星点产出!E$26:E$34,其他调用!AD145)*其他调用!Y145</f>
        <v>0</v>
      </c>
      <c r="Y145" s="21">
        <f>求节点(将星点产出!$C$26:$C$34,将星点产出!F$26:F$34,其他调用!AE145)*其他调用!Z145</f>
        <v>0</v>
      </c>
      <c r="Z145" s="21">
        <f>求节点(将星点产出!$C$26:$C$34,将星点产出!G$26:G$34,其他调用!AF145)*其他调用!AA145</f>
        <v>0</v>
      </c>
      <c r="AA145" s="21">
        <f>求节点(将星点产出!$C$26:$C$34,将星点产出!H$26:H$34,其他调用!AG145)*其他调用!AB145</f>
        <v>13958.220608709404</v>
      </c>
      <c r="AB145" s="21">
        <f>求节点(将星点产出!$C$26:$C$34,将星点产出!I$26:I$34,其他调用!AH145)*其他调用!AC145</f>
        <v>0</v>
      </c>
      <c r="AC145" s="21">
        <f>求节点(将星点产出!$C$26:$C$34,将星点产出!F$26:F$34,其他调用!AM145)*其他调用!AI145</f>
        <v>0</v>
      </c>
      <c r="AD145" s="21">
        <f>求节点(将星点产出!$C$26:$C$34,将星点产出!G$26:G$34,其他调用!AN145)*其他调用!AJ145</f>
        <v>28000</v>
      </c>
      <c r="AE145" s="21">
        <f>求节点(将星点产出!$C$26:$C$34,将星点产出!H$26:H$34,其他调用!AO145)*其他调用!AK145</f>
        <v>13958.220608709404</v>
      </c>
      <c r="AF145" s="21">
        <f>求节点(将星点产出!$C$26:$C$34,将星点产出!I$26:I$34,其他调用!AP145)*其他调用!AL145</f>
        <v>0</v>
      </c>
      <c r="AG145" s="21">
        <f t="shared" si="14"/>
        <v>55916</v>
      </c>
      <c r="AI145" s="7">
        <f>求节点($N$26:$N$32,P$26:P$32,其他调用!BF145)*其他调用!BB145</f>
        <v>1350.3571872686327</v>
      </c>
      <c r="AJ145" s="7">
        <f>求节点($N$26:$N$32,Q$26:Q$32,其他调用!BG145)*其他调用!BC145</f>
        <v>12171.87654100213</v>
      </c>
      <c r="AK145" s="7">
        <f>求节点($N$26:$N$32,R$26:R$32,其他调用!BH145)*其他调用!BD145</f>
        <v>24857.146532576502</v>
      </c>
      <c r="AL145" s="7">
        <f>求节点($N$26:$N$32,S$26:S$32,其他调用!BI145)*其他调用!BE145</f>
        <v>0</v>
      </c>
      <c r="AM145" s="21">
        <f t="shared" si="15"/>
        <v>38379</v>
      </c>
      <c r="AO145" s="21">
        <f t="shared" si="16"/>
        <v>94295</v>
      </c>
    </row>
    <row r="146" spans="22:41">
      <c r="V146" s="21">
        <f>其他调用!W146</f>
        <v>10</v>
      </c>
      <c r="W146" s="21">
        <f>其他调用!X146</f>
        <v>42.970748198558951</v>
      </c>
      <c r="X146" s="21">
        <f>求节点(将星点产出!$C$26:$C$34,将星点产出!E$26:E$34,其他调用!AD146)*其他调用!Y146</f>
        <v>0</v>
      </c>
      <c r="Y146" s="21">
        <f>求节点(将星点产出!$C$26:$C$34,将星点产出!F$26:F$34,其他调用!AE146)*其他调用!Z146</f>
        <v>0</v>
      </c>
      <c r="Z146" s="21">
        <f>求节点(将星点产出!$C$26:$C$34,将星点产出!G$26:G$34,其他调用!AF146)*其他调用!AA146</f>
        <v>0</v>
      </c>
      <c r="AA146" s="21">
        <f>求节点(将星点产出!$C$26:$C$34,将星点产出!H$26:H$34,其他调用!AG146)*其他调用!AB146</f>
        <v>17315.838667015494</v>
      </c>
      <c r="AB146" s="21">
        <f>求节点(将星点产出!$C$26:$C$34,将星点产出!I$26:I$34,其他调用!AH146)*其他调用!AC146</f>
        <v>0</v>
      </c>
      <c r="AC146" s="21">
        <f>求节点(将星点产出!$C$26:$C$34,将星点产出!F$26:F$34,其他调用!AM146)*其他调用!AI146</f>
        <v>0</v>
      </c>
      <c r="AD146" s="21">
        <f>求节点(将星点产出!$C$26:$C$34,将星点产出!G$26:G$34,其他调用!AN146)*其他调用!AJ146</f>
        <v>30800</v>
      </c>
      <c r="AE146" s="21">
        <f>求节点(将星点产出!$C$26:$C$34,将星点产出!H$26:H$34,其他调用!AO146)*其他调用!AK146</f>
        <v>20201.811778184743</v>
      </c>
      <c r="AF146" s="21">
        <f>求节点(将星点产出!$C$26:$C$34,将星点产出!I$26:I$34,其他调用!AP146)*其他调用!AL146</f>
        <v>0</v>
      </c>
      <c r="AG146" s="21">
        <f t="shared" si="14"/>
        <v>68317</v>
      </c>
      <c r="AI146" s="7">
        <f>求节点($N$26:$N$32,P$26:P$32,其他调用!BF146)*其他调用!BB146</f>
        <v>1428.9578660994425</v>
      </c>
      <c r="AJ146" s="7">
        <f>求节点($N$26:$N$32,Q$26:Q$32,其他调用!BG146)*其他调用!BC146</f>
        <v>14899.184578019449</v>
      </c>
      <c r="AK146" s="7">
        <f>求节点($N$26:$N$32,R$26:R$32,其他调用!BH146)*其他调用!BD146</f>
        <v>31362.030297884892</v>
      </c>
      <c r="AL146" s="7">
        <f>求节点($N$26:$N$32,S$26:S$32,其他调用!BI146)*其他调用!BE146</f>
        <v>0</v>
      </c>
      <c r="AM146" s="21">
        <f t="shared" si="15"/>
        <v>47690</v>
      </c>
      <c r="AO146" s="21">
        <f t="shared" si="16"/>
        <v>116007</v>
      </c>
    </row>
    <row r="147" spans="22:41">
      <c r="V147" s="21">
        <f>其他调用!W147</f>
        <v>15</v>
      </c>
      <c r="W147" s="21">
        <f>其他调用!X147</f>
        <v>48.731413734867289</v>
      </c>
      <c r="X147" s="21">
        <f>求节点(将星点产出!$C$26:$C$34,将星点产出!E$26:E$34,其他调用!AD147)*其他调用!Y147</f>
        <v>0</v>
      </c>
      <c r="Y147" s="21">
        <f>求节点(将星点产出!$C$26:$C$34,将星点产出!F$26:F$34,其他调用!AE147)*其他调用!Z147</f>
        <v>0</v>
      </c>
      <c r="Z147" s="21">
        <f>求节点(将星点产出!$C$26:$C$34,将星点产出!G$26:G$34,其他调用!AF147)*其他调用!AA147</f>
        <v>0</v>
      </c>
      <c r="AA147" s="21">
        <f>求节点(将星点产出!$C$26:$C$34,将星点产出!H$26:H$34,其他调用!AG147)*其他调用!AB147</f>
        <v>22265.11553916071</v>
      </c>
      <c r="AB147" s="21">
        <f>求节点(将星点产出!$C$26:$C$34,将星点产出!I$26:I$34,其他调用!AH147)*其他调用!AC147</f>
        <v>0</v>
      </c>
      <c r="AC147" s="21">
        <f>求节点(将星点产出!$C$26:$C$34,将星点产出!F$26:F$34,其他调用!AM147)*其他调用!AI147</f>
        <v>0</v>
      </c>
      <c r="AD147" s="21">
        <f>求节点(将星点产出!$C$26:$C$34,将星点产出!G$26:G$34,其他调用!AN147)*其他调用!AJ147</f>
        <v>39200</v>
      </c>
      <c r="AE147" s="21">
        <f>求节点(将星点产出!$C$26:$C$34,将星点产出!H$26:H$34,其他调用!AO147)*其他调用!AK147</f>
        <v>29686.820718880947</v>
      </c>
      <c r="AF147" s="21">
        <f>求节点(将星点产出!$C$26:$C$34,将星点产出!I$26:I$34,其他调用!AP147)*其他调用!AL147</f>
        <v>0</v>
      </c>
      <c r="AG147" s="21">
        <f t="shared" si="14"/>
        <v>91151</v>
      </c>
      <c r="AI147" s="7">
        <f>求节点($N$26:$N$32,P$26:P$32,其他调用!BF147)*其他调用!BB147</f>
        <v>1583.0455597001719</v>
      </c>
      <c r="AJ147" s="7">
        <f>求节点($N$26:$N$32,Q$26:Q$32,其他调用!BG147)*其他调用!BC147</f>
        <v>20506.170777258769</v>
      </c>
      <c r="AK147" s="7">
        <f>求节点($N$26:$N$32,R$26:R$32,其他调用!BH147)*其他调用!BD147</f>
        <v>42310.97855541337</v>
      </c>
      <c r="AL147" s="7">
        <f>求节点($N$26:$N$32,S$26:S$32,其他调用!BI147)*其他调用!BE147</f>
        <v>0</v>
      </c>
      <c r="AM147" s="21">
        <f t="shared" si="15"/>
        <v>64400</v>
      </c>
      <c r="AO147" s="21">
        <f t="shared" si="16"/>
        <v>155551</v>
      </c>
    </row>
    <row r="148" spans="22:41">
      <c r="V148" s="21">
        <f>其他调用!W148</f>
        <v>20</v>
      </c>
      <c r="W148" s="21">
        <f>其他调用!X148</f>
        <v>52.769987980532711</v>
      </c>
      <c r="X148" s="21">
        <f>求节点(将星点产出!$C$26:$C$34,将星点产出!E$26:E$34,其他调用!AD148)*其他调用!Y148</f>
        <v>0</v>
      </c>
      <c r="Y148" s="21">
        <f>求节点(将星点产出!$C$26:$C$34,将星点产出!F$26:F$34,其他调用!AE148)*其他调用!Z148</f>
        <v>0</v>
      </c>
      <c r="Z148" s="21">
        <f>求节点(将星点产出!$C$26:$C$34,将星点产出!G$26:G$34,其他调用!AF148)*其他调用!AA148</f>
        <v>0</v>
      </c>
      <c r="AA148" s="21">
        <f>求节点(将星点产出!$C$26:$C$34,将星点产出!H$26:H$34,其他调用!AG148)*其他调用!AB148</f>
        <v>21676.112994992363</v>
      </c>
      <c r="AB148" s="21">
        <f>求节点(将星点产出!$C$26:$C$34,将星点产出!I$26:I$34,其他调用!AH148)*其他调用!AC148</f>
        <v>2500</v>
      </c>
      <c r="AC148" s="21">
        <f>求节点(将星点产出!$C$26:$C$34,将星点产出!F$26:F$34,其他调用!AM148)*其他调用!AI148</f>
        <v>0</v>
      </c>
      <c r="AD148" s="21">
        <f>求节点(将星点产出!$C$26:$C$34,将星点产出!G$26:G$34,其他调用!AN148)*其他调用!AJ148</f>
        <v>42000</v>
      </c>
      <c r="AE148" s="21">
        <f>求节点(将星点产出!$C$26:$C$34,将星点产出!H$26:H$34,其他调用!AO148)*其他调用!AK148</f>
        <v>39017.003390986254</v>
      </c>
      <c r="AF148" s="21">
        <f>求节点(将星点产出!$C$26:$C$34,将星点产出!I$26:I$34,其他调用!AP148)*其他调用!AL148</f>
        <v>0</v>
      </c>
      <c r="AG148" s="21">
        <f t="shared" si="14"/>
        <v>105193</v>
      </c>
      <c r="AI148" s="7">
        <f>求节点($N$26:$N$32,P$26:P$32,其他调用!BF148)*其他调用!BB148</f>
        <v>1650</v>
      </c>
      <c r="AJ148" s="7">
        <f>求节点($N$26:$N$32,Q$26:Q$32,其他调用!BG148)*其他调用!BC148</f>
        <v>25954.769304899819</v>
      </c>
      <c r="AK148" s="7">
        <f>求节点($N$26:$N$32,R$26:R$32,其他调用!BH148)*其他调用!BD148</f>
        <v>51427.587856564387</v>
      </c>
      <c r="AL148" s="7">
        <f>求节点($N$26:$N$32,S$26:S$32,其他调用!BI148)*其他调用!BE148</f>
        <v>0</v>
      </c>
      <c r="AM148" s="21">
        <f t="shared" si="15"/>
        <v>79032</v>
      </c>
      <c r="AO148" s="21">
        <f t="shared" si="16"/>
        <v>184225</v>
      </c>
    </row>
    <row r="149" spans="22:41">
      <c r="V149" s="21">
        <f>其他调用!W149</f>
        <v>30</v>
      </c>
      <c r="W149" s="21">
        <f>其他调用!X149</f>
        <v>58.701446767877648</v>
      </c>
      <c r="X149" s="21">
        <f>求节点(将星点产出!$C$26:$C$34,将星点产出!E$26:E$34,其他调用!AD149)*其他调用!Y149</f>
        <v>0</v>
      </c>
      <c r="Y149" s="21">
        <f>求节点(将星点产出!$C$26:$C$34,将星点产出!F$26:F$34,其他调用!AE149)*其他调用!Z149</f>
        <v>0</v>
      </c>
      <c r="Z149" s="21">
        <f>求节点(将星点产出!$C$26:$C$34,将星点产出!G$26:G$34,其他调用!AF149)*其他调用!AA149</f>
        <v>0</v>
      </c>
      <c r="AA149" s="21">
        <f>求节点(将星点产出!$C$26:$C$34,将星点产出!H$26:H$34,其他调用!AG149)*其他调用!AB149</f>
        <v>25376.890836019018</v>
      </c>
      <c r="AB149" s="21">
        <f>求节点(将星点产出!$C$26:$C$34,将星点产出!I$26:I$34,其他调用!AH149)*其他调用!AC149</f>
        <v>6832.4950469062815</v>
      </c>
      <c r="AC149" s="21">
        <f>求节点(将星点产出!$C$26:$C$34,将星点产出!F$26:F$34,其他调用!AM149)*其他调用!AI149</f>
        <v>0</v>
      </c>
      <c r="AD149" s="21">
        <f>求节点(将星点产出!$C$26:$C$34,将星点产出!G$26:G$34,其他调用!AN149)*其他调用!AJ149</f>
        <v>22400</v>
      </c>
      <c r="AE149" s="21">
        <f>求节点(将星点产出!$C$26:$C$34,将星点产出!H$26:H$34,其他调用!AO149)*其他调用!AK149</f>
        <v>101507.56334407607</v>
      </c>
      <c r="AF149" s="21">
        <f>求节点(将星点产出!$C$26:$C$34,将星点产出!I$26:I$34,其他调用!AP149)*其他调用!AL149</f>
        <v>0</v>
      </c>
      <c r="AG149" s="21">
        <f t="shared" si="14"/>
        <v>156116</v>
      </c>
      <c r="AI149" s="7">
        <f>求节点($N$26:$N$32,P$26:P$32,其他调用!BF149)*其他调用!BB149</f>
        <v>1650</v>
      </c>
      <c r="AJ149" s="7">
        <f>求节点($N$26:$N$32,Q$26:Q$32,其他调用!BG149)*其他调用!BC149</f>
        <v>36880.272079471884</v>
      </c>
      <c r="AK149" s="7">
        <f>求节点($N$26:$N$32,R$26:R$32,其他调用!BH149)*其他调用!BD149</f>
        <v>69687.93653731604</v>
      </c>
      <c r="AL149" s="7">
        <f>求节点($N$26:$N$32,S$26:S$32,其他调用!BI149)*其他调用!BE149</f>
        <v>0</v>
      </c>
      <c r="AM149" s="21">
        <f t="shared" si="15"/>
        <v>108218</v>
      </c>
      <c r="AO149" s="21">
        <f t="shared" si="16"/>
        <v>264334</v>
      </c>
    </row>
    <row r="150" spans="22:41">
      <c r="V150" s="21">
        <f>其他调用!W150</f>
        <v>45</v>
      </c>
      <c r="W150" s="21">
        <f>其他调用!X150</f>
        <v>64.399012521055653</v>
      </c>
      <c r="X150" s="21">
        <f>求节点(将星点产出!$C$26:$C$34,将星点产出!E$26:E$34,其他调用!AD150)*其他调用!Y150</f>
        <v>0</v>
      </c>
      <c r="Y150" s="21">
        <f>求节点(将星点产出!$C$26:$C$34,将星点产出!F$26:F$34,其他调用!AE150)*其他调用!Z150</f>
        <v>0</v>
      </c>
      <c r="Z150" s="21">
        <f>求节点(将星点产出!$C$26:$C$34,将星点产出!G$26:G$34,其他调用!AF150)*其他调用!AA150</f>
        <v>0</v>
      </c>
      <c r="AA150" s="21">
        <f>求节点(将星点产出!$C$26:$C$34,将星点产出!H$26:H$34,其他调用!AG150)*其他调用!AB150</f>
        <v>21709.448581813966</v>
      </c>
      <c r="AB150" s="21">
        <f>求节点(将星点产出!$C$26:$C$34,将星点产出!I$26:I$34,其他调用!AH150)*其他调用!AC150</f>
        <v>22700.862011433419</v>
      </c>
      <c r="AC150" s="21">
        <f>求节点(将星点产出!$C$26:$C$34,将星点产出!F$26:F$34,其他调用!AM150)*其他调用!AI150</f>
        <v>0</v>
      </c>
      <c r="AD150" s="21">
        <f>求节点(将星点产出!$C$26:$C$34,将星点产出!G$26:G$34,其他调用!AN150)*其他调用!AJ150</f>
        <v>11200</v>
      </c>
      <c r="AE150" s="21">
        <f>求节点(将星点产出!$C$26:$C$34,将星点产出!H$26:H$34,其他调用!AO150)*其他调用!AK150</f>
        <v>144729.65721209312</v>
      </c>
      <c r="AF150" s="21">
        <f>求节点(将星点产出!$C$26:$C$34,将星点产出!I$26:I$34,其他调用!AP150)*其他调用!AL150</f>
        <v>0</v>
      </c>
      <c r="AG150" s="21">
        <f t="shared" si="14"/>
        <v>200339</v>
      </c>
      <c r="AI150" s="7">
        <f>求节点($N$26:$N$32,P$26:P$32,其他调用!BF150)*其他调用!BB150</f>
        <v>1650</v>
      </c>
      <c r="AJ150" s="7">
        <f>求节点($N$26:$N$32,Q$26:Q$32,其他调用!BG150)*其他调用!BC150</f>
        <v>54193.868002273834</v>
      </c>
      <c r="AK150" s="7">
        <f>求节点($N$26:$N$32,R$26:R$32,其他调用!BH150)*其他调用!BD150</f>
        <v>100146.93270342861</v>
      </c>
      <c r="AL150" s="7">
        <f>求节点($N$26:$N$32,S$26:S$32,其他调用!BI150)*其他调用!BE150</f>
        <v>3600</v>
      </c>
      <c r="AM150" s="21">
        <f t="shared" si="15"/>
        <v>159590</v>
      </c>
      <c r="AO150" s="21">
        <f t="shared" si="16"/>
        <v>359929</v>
      </c>
    </row>
    <row r="151" spans="22:41">
      <c r="V151" s="21">
        <f>其他调用!W151</f>
        <v>60</v>
      </c>
      <c r="W151" s="21">
        <f>其他调用!X151</f>
        <v>68.627579426319684</v>
      </c>
      <c r="X151" s="21">
        <f>求节点(将星点产出!$C$26:$C$34,将星点产出!E$26:E$34,其他调用!AD151)*其他调用!Y151</f>
        <v>0</v>
      </c>
      <c r="Y151" s="21">
        <f>求节点(将星点产出!$C$26:$C$34,将星点产出!F$26:F$34,其他调用!AE151)*其他调用!Z151</f>
        <v>0</v>
      </c>
      <c r="Z151" s="21">
        <f>求节点(将星点产出!$C$26:$C$34,将星点产出!G$26:G$34,其他调用!AF151)*其他调用!AA151</f>
        <v>0</v>
      </c>
      <c r="AA151" s="21">
        <f>求节点(将星点产出!$C$26:$C$34,将星点产出!H$26:H$34,其他调用!AG151)*其他调用!AB151</f>
        <v>15198.264234027649</v>
      </c>
      <c r="AB151" s="21">
        <f>求节点(将星点产出!$C$26:$C$34,将星点产出!I$26:I$34,其他调用!AH151)*其他调用!AC151</f>
        <v>37400.127516195229</v>
      </c>
      <c r="AC151" s="21">
        <f>求节点(将星点产出!$C$26:$C$34,将星点产出!F$26:F$34,其他调用!AM151)*其他调用!AI151</f>
        <v>0</v>
      </c>
      <c r="AD151" s="21">
        <f>求节点(将星点产出!$C$26:$C$34,将星点产出!G$26:G$34,其他调用!AN151)*其他调用!AJ151</f>
        <v>11200</v>
      </c>
      <c r="AE151" s="21">
        <f>求节点(将星点产出!$C$26:$C$34,将星点产出!H$26:H$34,其他调用!AO151)*其他调用!AK151</f>
        <v>151982.64234027648</v>
      </c>
      <c r="AF151" s="21">
        <f>求节点(将星点产出!$C$26:$C$34,将星点产出!I$26:I$34,其他调用!AP151)*其他调用!AL151</f>
        <v>0</v>
      </c>
      <c r="AG151" s="21">
        <f t="shared" si="14"/>
        <v>215781</v>
      </c>
      <c r="AI151" s="7">
        <f>求节点($N$26:$N$32,P$26:P$32,其他调用!BF151)*其他调用!BB151</f>
        <v>1650</v>
      </c>
      <c r="AJ151" s="7">
        <f>求节点($N$26:$N$32,Q$26:Q$32,其他调用!BG151)*其他调用!BC151</f>
        <v>71400</v>
      </c>
      <c r="AK151" s="7">
        <f>求节点($N$26:$N$32,R$26:R$32,其他调用!BH151)*其他调用!BD151</f>
        <v>126676.31799792287</v>
      </c>
      <c r="AL151" s="7">
        <f>求节点($N$26:$N$32,S$26:S$32,其他调用!BI151)*其他调用!BE151</f>
        <v>5400</v>
      </c>
      <c r="AM151" s="21">
        <f t="shared" si="15"/>
        <v>205126</v>
      </c>
      <c r="AO151" s="21">
        <f t="shared" si="16"/>
        <v>420907</v>
      </c>
    </row>
    <row r="152" spans="22:41">
      <c r="V152" s="21">
        <f>其他调用!W152</f>
        <v>75</v>
      </c>
      <c r="W152" s="21">
        <f>其他调用!X152</f>
        <v>71.882008108111634</v>
      </c>
      <c r="X152" s="21">
        <f>求节点(将星点产出!$C$26:$C$34,将星点产出!E$26:E$34,其他调用!AD152)*其他调用!Y152</f>
        <v>0</v>
      </c>
      <c r="Y152" s="21">
        <f>求节点(将星点产出!$C$26:$C$34,将星点产出!F$26:F$34,其他调用!AE152)*其他调用!Z152</f>
        <v>0</v>
      </c>
      <c r="Z152" s="21">
        <f>求节点(将星点产出!$C$26:$C$34,将星点产出!G$26:G$34,其他调用!AF152)*其他调用!AA152</f>
        <v>0</v>
      </c>
      <c r="AA152" s="21">
        <f>求节点(将星点产出!$C$26:$C$34,将星点产出!H$26:H$34,其他调用!AG152)*其他调用!AB152</f>
        <v>8146.8502475904634</v>
      </c>
      <c r="AB152" s="21">
        <f>求节点(将星点产出!$C$26:$C$34,将星点产出!I$26:I$34,其他调用!AH152)*其他调用!AC152</f>
        <v>51441.274197329476</v>
      </c>
      <c r="AC152" s="21">
        <f>求节点(将星点产出!$C$26:$C$34,将星点产出!F$26:F$34,其他调用!AM152)*其他调用!AI152</f>
        <v>0</v>
      </c>
      <c r="AD152" s="21">
        <f>求节点(将星点产出!$C$26:$C$34,将星点产出!G$26:G$34,其他调用!AN152)*其他调用!AJ152</f>
        <v>5600</v>
      </c>
      <c r="AE152" s="21">
        <f>求节点(将星点产出!$C$26:$C$34,将星点产出!H$26:H$34,其他调用!AO152)*其他调用!AK152</f>
        <v>162937.00495180927</v>
      </c>
      <c r="AF152" s="21">
        <f>求节点(将星点产出!$C$26:$C$34,将星点产出!I$26:I$34,其他调用!AP152)*其他调用!AL152</f>
        <v>0</v>
      </c>
      <c r="AG152" s="21">
        <f t="shared" si="14"/>
        <v>228125</v>
      </c>
      <c r="AI152" s="7">
        <f>求节点($N$26:$N$32,P$26:P$32,其他调用!BF152)*其他调用!BB152</f>
        <v>1650</v>
      </c>
      <c r="AJ152" s="7">
        <f>求节点($N$26:$N$32,Q$26:Q$32,其他调用!BG152)*其他调用!BC152</f>
        <v>71400</v>
      </c>
      <c r="AK152" s="7">
        <f>求节点($N$26:$N$32,R$26:R$32,其他调用!BH152)*其他调用!BD152</f>
        <v>146573.35696879364</v>
      </c>
      <c r="AL152" s="7">
        <f>求节点($N$26:$N$32,S$26:S$32,其他调用!BI152)*其他调用!BE152</f>
        <v>9018.5133785428734</v>
      </c>
      <c r="AM152" s="21">
        <f t="shared" si="15"/>
        <v>228641</v>
      </c>
      <c r="AO152" s="21">
        <f t="shared" si="16"/>
        <v>456766</v>
      </c>
    </row>
    <row r="153" spans="22:41">
      <c r="V153" s="21">
        <f>其他调用!W153</f>
        <v>90</v>
      </c>
      <c r="W153" s="21">
        <f>其他调用!X153</f>
        <v>74.493385467679886</v>
      </c>
      <c r="X153" s="21">
        <f>求节点(将星点产出!$C$26:$C$34,将星点产出!E$26:E$34,其他调用!AD153)*其他调用!Y153</f>
        <v>0</v>
      </c>
      <c r="Y153" s="21">
        <f>求节点(将星点产出!$C$26:$C$34,将星点产出!F$26:F$34,其他调用!AE153)*其他调用!Z153</f>
        <v>0</v>
      </c>
      <c r="Z153" s="21">
        <f>求节点(将星点产出!$C$26:$C$34,将星点产出!G$26:G$34,其他调用!AF153)*其他调用!AA153</f>
        <v>0</v>
      </c>
      <c r="AA153" s="21">
        <f>求节点(将星点产出!$C$26:$C$34,将星点产出!H$26:H$34,其他调用!AG153)*其他调用!AB153</f>
        <v>4458.3717333440054</v>
      </c>
      <c r="AB153" s="21">
        <f>求节点(将星点产出!$C$26:$C$34,将星点产出!I$26:I$34,其他调用!AH153)*其他调用!AC153</f>
        <v>63947.827848955298</v>
      </c>
      <c r="AC153" s="21">
        <f>求节点(将星点产出!$C$26:$C$34,将星点产出!F$26:F$34,其他调用!AM153)*其他调用!AI153</f>
        <v>0</v>
      </c>
      <c r="AD153" s="21">
        <f>求节点(将星点产出!$C$26:$C$34,将星点产出!G$26:G$34,其他调用!AN153)*其他调用!AJ153</f>
        <v>0</v>
      </c>
      <c r="AE153" s="21">
        <f>求节点(将星点产出!$C$26:$C$34,将星点产出!H$26:H$34,其他调用!AO153)*其他调用!AK153</f>
        <v>214001.84320051226</v>
      </c>
      <c r="AF153" s="21">
        <f>求节点(将星点产出!$C$26:$C$34,将星点产出!I$26:I$34,其他调用!AP153)*其他调用!AL153</f>
        <v>0</v>
      </c>
      <c r="AG153" s="21">
        <f t="shared" si="14"/>
        <v>282408</v>
      </c>
      <c r="AI153" s="7">
        <f>求节点($N$26:$N$32,P$26:P$32,其他调用!BF153)*其他调用!BB153</f>
        <v>1650</v>
      </c>
      <c r="AJ153" s="7">
        <f>求节点($N$26:$N$32,Q$26:Q$32,其他调用!BG153)*其他调用!BC153</f>
        <v>71400</v>
      </c>
      <c r="AK153" s="7">
        <f>求节点($N$26:$N$32,R$26:R$32,其他调用!BH153)*其他调用!BD153</f>
        <v>166342.3019201773</v>
      </c>
      <c r="AL153" s="7">
        <f>求节点($N$26:$N$32,S$26:S$32,其他调用!BI153)*其他调用!BE153</f>
        <v>17627.445457551934</v>
      </c>
      <c r="AM153" s="21">
        <f t="shared" si="15"/>
        <v>257019</v>
      </c>
      <c r="AO153" s="21">
        <f t="shared" si="16"/>
        <v>539427</v>
      </c>
    </row>
    <row r="154" spans="22:41">
      <c r="V154" s="21">
        <f>其他调用!W154</f>
        <v>110</v>
      </c>
      <c r="W154" s="21">
        <f>其他调用!X154</f>
        <v>77.332919927503724</v>
      </c>
      <c r="X154" s="21">
        <f>求节点(将星点产出!$C$26:$C$34,将星点产出!E$26:E$34,其他调用!AD154)*其他调用!Y154</f>
        <v>0</v>
      </c>
      <c r="Y154" s="21">
        <f>求节点(将星点产出!$C$26:$C$34,将星点产出!F$26:F$34,其他调用!AE154)*其他调用!Z154</f>
        <v>0</v>
      </c>
      <c r="Z154" s="21">
        <f>求节点(将星点产出!$C$26:$C$34,将星点产出!G$26:G$34,其他调用!AF154)*其他调用!AA154</f>
        <v>0</v>
      </c>
      <c r="AA154" s="21">
        <f>求节点(将星点产出!$C$26:$C$34,将星点产出!H$26:H$34,其他调用!AG154)*其他调用!AB154</f>
        <v>0</v>
      </c>
      <c r="AB154" s="21">
        <f>求节点(将星点产出!$C$26:$C$34,将星点产出!I$26:I$34,其他调用!AH154)*其他调用!AC154</f>
        <v>78790.98838814054</v>
      </c>
      <c r="AC154" s="21">
        <f>求节点(将星点产出!$C$26:$C$34,将星点产出!F$26:F$34,其他调用!AM154)*其他调用!AI154</f>
        <v>0</v>
      </c>
      <c r="AD154" s="21">
        <f>求节点(将星点产出!$C$26:$C$34,将星点产出!G$26:G$34,其他调用!AN154)*其他调用!AJ154</f>
        <v>0</v>
      </c>
      <c r="AE154" s="21">
        <f>求节点(将星点产出!$C$26:$C$34,将星点产出!H$26:H$34,其他调用!AO154)*其他调用!AK154</f>
        <v>235165.82888174336</v>
      </c>
      <c r="AF154" s="21">
        <f>求节点(将星点产出!$C$26:$C$34,将星点产出!I$26:I$34,其他调用!AP154)*其他调用!AL154</f>
        <v>0</v>
      </c>
      <c r="AG154" s="21">
        <f t="shared" si="14"/>
        <v>313956</v>
      </c>
      <c r="AI154" s="7">
        <f>求节点($N$26:$N$32,P$26:P$32,其他调用!BF154)*其他调用!BB154</f>
        <v>1650</v>
      </c>
      <c r="AJ154" s="7">
        <f>求节点($N$26:$N$32,Q$26:Q$32,其他调用!BG154)*其他调用!BC154</f>
        <v>71400</v>
      </c>
      <c r="AK154" s="7">
        <f>求节点($N$26:$N$32,R$26:R$32,其他调用!BH154)*其他调用!BD154</f>
        <v>191384.21421544117</v>
      </c>
      <c r="AL154" s="7">
        <f>求节点($N$26:$N$32,S$26:S$32,其他调用!BI154)*其他调用!BE154</f>
        <v>28764.856115627619</v>
      </c>
      <c r="AM154" s="21">
        <f t="shared" si="15"/>
        <v>293199</v>
      </c>
      <c r="AO154" s="21">
        <f t="shared" si="16"/>
        <v>607155</v>
      </c>
    </row>
    <row r="155" spans="22:41">
      <c r="V155" s="21">
        <f>其他调用!W155</f>
        <v>130</v>
      </c>
      <c r="W155" s="21">
        <f>其他调用!X155</f>
        <v>79.813360188853366</v>
      </c>
      <c r="X155" s="21">
        <f>求节点(将星点产出!$C$26:$C$34,将星点产出!E$26:E$34,其他调用!AD155)*其他调用!Y155</f>
        <v>0</v>
      </c>
      <c r="Y155" s="21">
        <f>求节点(将星点产出!$C$26:$C$34,将星点产出!F$26:F$34,其他调用!AE155)*其他调用!Z155</f>
        <v>0</v>
      </c>
      <c r="Z155" s="21">
        <f>求节点(将星点产出!$C$26:$C$34,将星点产出!G$26:G$34,其他调用!AF155)*其他调用!AA155</f>
        <v>0</v>
      </c>
      <c r="AA155" s="21">
        <f>求节点(将星点产出!$C$26:$C$34,将星点产出!H$26:H$34,其他调用!AG155)*其他调用!AB155</f>
        <v>0</v>
      </c>
      <c r="AB155" s="21">
        <f>求节点(将星点产出!$C$26:$C$34,将星点产出!I$26:I$34,其他调用!AH155)*其他调用!AC155</f>
        <v>96698.137008240534</v>
      </c>
      <c r="AC155" s="21">
        <f>求节点(将星点产出!$C$26:$C$34,将星点产出!F$26:F$34,其他调用!AM155)*其他调用!AI155</f>
        <v>0</v>
      </c>
      <c r="AD155" s="21">
        <f>求节点(将星点产出!$C$26:$C$34,将星点产出!G$26:G$34,其他调用!AN155)*其他调用!AJ155</f>
        <v>0</v>
      </c>
      <c r="AE155" s="21">
        <f>求节点(将星点产出!$C$26:$C$34,将星点产出!H$26:H$34,其他调用!AO155)*其他调用!AK155</f>
        <v>252008.68624552598</v>
      </c>
      <c r="AF155" s="21">
        <f>求节点(将星点产出!$C$26:$C$34,将星点产出!I$26:I$34,其他调用!AP155)*其他调用!AL155</f>
        <v>0</v>
      </c>
      <c r="AG155" s="21">
        <f t="shared" si="14"/>
        <v>348706</v>
      </c>
      <c r="AI155" s="7">
        <f>求节点($N$26:$N$32,P$26:P$32,其他调用!BF155)*其他调用!BB155</f>
        <v>1650</v>
      </c>
      <c r="AJ155" s="7">
        <f>求节点($N$26:$N$32,Q$26:Q$32,其他调用!BG155)*其他调用!BC155</f>
        <v>71400</v>
      </c>
      <c r="AK155" s="7">
        <f>求节点($N$26:$N$32,R$26:R$32,其他调用!BH155)*其他调用!BD155</f>
        <v>216298.03249121801</v>
      </c>
      <c r="AL155" s="7">
        <f>求节点($N$26:$N$32,S$26:S$32,其他调用!BI155)*其他调用!BE155</f>
        <v>42278.83519808745</v>
      </c>
      <c r="AM155" s="21">
        <f t="shared" si="15"/>
        <v>331626</v>
      </c>
      <c r="AO155" s="21">
        <f t="shared" si="16"/>
        <v>680332</v>
      </c>
    </row>
    <row r="156" spans="22:41">
      <c r="V156" s="21">
        <f>其他调用!W156</f>
        <v>150</v>
      </c>
      <c r="W156" s="21">
        <f>其他调用!X156</f>
        <v>81.919202803497143</v>
      </c>
      <c r="X156" s="21">
        <f>求节点(将星点产出!$C$26:$C$34,将星点产出!E$26:E$34,其他调用!AD156)*其他调用!Y156</f>
        <v>0</v>
      </c>
      <c r="Y156" s="21">
        <f>求节点(将星点产出!$C$26:$C$34,将星点产出!F$26:F$34,其他调用!AE156)*其他调用!Z156</f>
        <v>0</v>
      </c>
      <c r="Z156" s="21">
        <f>求节点(将星点产出!$C$26:$C$34,将星点产出!G$26:G$34,其他调用!AF156)*其他调用!AA156</f>
        <v>0</v>
      </c>
      <c r="AA156" s="21">
        <f>求节点(将星点产出!$C$26:$C$34,将星点产出!H$26:H$34,其他调用!AG156)*其他调用!AB156</f>
        <v>0</v>
      </c>
      <c r="AB156" s="21">
        <f>求节点(将星点产出!$C$26:$C$34,将星点产出!I$26:I$34,其他调用!AH156)*其他调用!AC156</f>
        <v>116617.03712476449</v>
      </c>
      <c r="AC156" s="21">
        <f>求节点(将星点产出!$C$26:$C$34,将星点产出!F$26:F$34,其他调用!AM156)*其他调用!AI156</f>
        <v>0</v>
      </c>
      <c r="AD156" s="21">
        <f>求节点(将星点产出!$C$26:$C$34,将星点产出!G$26:G$34,其他调用!AN156)*其他调用!AJ156</f>
        <v>0</v>
      </c>
      <c r="AE156" s="21">
        <f>求节点(将星点产出!$C$26:$C$34,将星点产出!H$26:H$34,其他调用!AO156)*其他调用!AK156</f>
        <v>268971.0503340842</v>
      </c>
      <c r="AF156" s="21">
        <f>求节点(将星点产出!$C$26:$C$34,将星点产出!I$26:I$34,其他调用!AP156)*其他调用!AL156</f>
        <v>0</v>
      </c>
      <c r="AG156" s="21">
        <f t="shared" si="14"/>
        <v>385588</v>
      </c>
      <c r="AI156" s="7">
        <f>求节点($N$26:$N$32,P$26:P$32,其他调用!BF156)*其他调用!BB156</f>
        <v>1650</v>
      </c>
      <c r="AJ156" s="7">
        <f>求节点($N$26:$N$32,Q$26:Q$32,其他调用!BG156)*其他调用!BC156</f>
        <v>71400</v>
      </c>
      <c r="AK156" s="7">
        <f>求节点($N$26:$N$32,R$26:R$32,其他调用!BH156)*其他调用!BD156</f>
        <v>241211.85076699487</v>
      </c>
      <c r="AL156" s="7">
        <f>求节点($N$26:$N$32,S$26:S$32,其他调用!BI156)*其他调用!BE156</f>
        <v>66708.252139017815</v>
      </c>
      <c r="AM156" s="21">
        <f t="shared" si="15"/>
        <v>380970</v>
      </c>
      <c r="AO156" s="21">
        <f t="shared" si="16"/>
        <v>766558</v>
      </c>
    </row>
    <row r="157" spans="22:41">
      <c r="V157" s="21">
        <f>其他调用!W157</f>
        <v>170</v>
      </c>
      <c r="W157" s="21">
        <f>其他调用!X157</f>
        <v>83.738783536778797</v>
      </c>
      <c r="X157" s="21">
        <f>求节点(将星点产出!$C$26:$C$34,将星点产出!E$26:E$34,其他调用!AD157)*其他调用!Y157</f>
        <v>0</v>
      </c>
      <c r="Y157" s="21">
        <f>求节点(将星点产出!$C$26:$C$34,将星点产出!F$26:F$34,其他调用!AE157)*其他调用!Z157</f>
        <v>0</v>
      </c>
      <c r="Z157" s="21">
        <f>求节点(将星点产出!$C$26:$C$34,将星点产出!G$26:G$34,其他调用!AF157)*其他调用!AA157</f>
        <v>0</v>
      </c>
      <c r="AA157" s="21">
        <f>求节点(将星点产出!$C$26:$C$34,将星点产出!H$26:H$34,其他调用!AG157)*其他调用!AB157</f>
        <v>0</v>
      </c>
      <c r="AB157" s="21">
        <f>求节点(将星点产出!$C$26:$C$34,将星点产出!I$26:I$34,其他调用!AH157)*其他调用!AC157</f>
        <v>123753.15001602963</v>
      </c>
      <c r="AC157" s="21">
        <f>求节点(将星点产出!$C$26:$C$34,将星点产出!F$26:F$34,其他调用!AM157)*其他调用!AI157</f>
        <v>0</v>
      </c>
      <c r="AD157" s="21">
        <f>求节点(将星点产出!$C$26:$C$34,将星点产出!G$26:G$34,其他调用!AN157)*其他调用!AJ157</f>
        <v>0</v>
      </c>
      <c r="AE157" s="21">
        <f>求节点(将星点产出!$C$26:$C$34,将星点产出!H$26:H$34,其他调用!AO157)*其他调用!AK157</f>
        <v>276000</v>
      </c>
      <c r="AF157" s="21">
        <f>求节点(将星点产出!$C$26:$C$34,将星点产出!I$26:I$34,其他调用!AP157)*其他调用!AL157</f>
        <v>0</v>
      </c>
      <c r="AG157" s="21">
        <f t="shared" si="14"/>
        <v>399753</v>
      </c>
      <c r="AI157" s="7">
        <f>求节点($N$26:$N$32,P$26:P$32,其他调用!BF157)*其他调用!BB157</f>
        <v>1650</v>
      </c>
      <c r="AJ157" s="7">
        <f>求节点($N$26:$N$32,Q$26:Q$32,其他调用!BG157)*其他调用!BC157</f>
        <v>71400</v>
      </c>
      <c r="AK157" s="7">
        <f>求节点($N$26:$N$32,R$26:R$32,其他调用!BH157)*其他调用!BD157</f>
        <v>256000</v>
      </c>
      <c r="AL157" s="7">
        <f>求节点($N$26:$N$32,S$26:S$32,其他调用!BI157)*其他调用!BE157</f>
        <v>88356.74774062245</v>
      </c>
      <c r="AM157" s="21">
        <f t="shared" si="15"/>
        <v>417406</v>
      </c>
      <c r="AO157" s="21">
        <f t="shared" si="16"/>
        <v>817159</v>
      </c>
    </row>
    <row r="158" spans="22:41">
      <c r="V158" s="21">
        <f>其他调用!W158</f>
        <v>200</v>
      </c>
      <c r="W158" s="21">
        <f>其他调用!X158</f>
        <v>86.045919706798657</v>
      </c>
      <c r="X158" s="21">
        <f>求节点(将星点产出!$C$26:$C$34,将星点产出!E$26:E$34,其他调用!AD158)*其他调用!Y158</f>
        <v>0</v>
      </c>
      <c r="Y158" s="21">
        <f>求节点(将星点产出!$C$26:$C$34,将星点产出!F$26:F$34,其他调用!AE158)*其他调用!Z158</f>
        <v>0</v>
      </c>
      <c r="Z158" s="21">
        <f>求节点(将星点产出!$C$26:$C$34,将星点产出!G$26:G$34,其他调用!AF158)*其他调用!AA158</f>
        <v>0</v>
      </c>
      <c r="AA158" s="21">
        <f>求节点(将星点产出!$C$26:$C$34,将星点产出!H$26:H$34,其他调用!AG158)*其他调用!AB158</f>
        <v>0</v>
      </c>
      <c r="AB158" s="21">
        <f>求节点(将星点产出!$C$26:$C$34,将星点产出!I$26:I$34,其他调用!AH158)*其他调用!AC158</f>
        <v>132302.48108021796</v>
      </c>
      <c r="AC158" s="21">
        <f>求节点(将星点产出!$C$26:$C$34,将星点产出!F$26:F$34,其他调用!AM158)*其他调用!AI158</f>
        <v>0</v>
      </c>
      <c r="AD158" s="21">
        <f>求节点(将星点产出!$C$26:$C$34,将星点产出!G$26:G$34,其他调用!AN158)*其他调用!AJ158</f>
        <v>0</v>
      </c>
      <c r="AE158" s="21">
        <f>求节点(将星点产出!$C$26:$C$34,将星点产出!H$26:H$34,其他调用!AO158)*其他调用!AK158</f>
        <v>276000</v>
      </c>
      <c r="AF158" s="21">
        <f>求节点(将星点产出!$C$26:$C$34,将星点产出!I$26:I$34,其他调用!AP158)*其他调用!AL158</f>
        <v>0</v>
      </c>
      <c r="AG158" s="21">
        <f t="shared" si="14"/>
        <v>408302</v>
      </c>
      <c r="AI158" s="7">
        <f>求节点($N$26:$N$32,P$26:P$32,其他调用!BF158)*其他调用!BB158</f>
        <v>1650</v>
      </c>
      <c r="AJ158" s="7">
        <f>求节点($N$26:$N$32,Q$26:Q$32,其他调用!BG158)*其他调用!BC158</f>
        <v>71400</v>
      </c>
      <c r="AK158" s="7">
        <f>求节点($N$26:$N$32,R$26:R$32,其他调用!BH158)*其他调用!BD158</f>
        <v>256000</v>
      </c>
      <c r="AL158" s="7">
        <f>求节点($N$26:$N$32,S$26:S$32,其他调用!BI158)*其他调用!BE158</f>
        <v>131343.85525578086</v>
      </c>
      <c r="AM158" s="21">
        <f t="shared" si="15"/>
        <v>460393</v>
      </c>
      <c r="AO158" s="21">
        <f t="shared" si="16"/>
        <v>868695</v>
      </c>
    </row>
    <row r="159" spans="22:41">
      <c r="V159" s="21">
        <f>其他调用!W159</f>
        <v>260</v>
      </c>
      <c r="W159" s="21">
        <f>其他调用!X159</f>
        <v>90.288435080379244</v>
      </c>
      <c r="X159" s="21">
        <f>求节点(将星点产出!$C$26:$C$34,将星点产出!E$26:E$34,其他调用!AD159)*其他调用!Y159</f>
        <v>0</v>
      </c>
      <c r="Y159" s="21">
        <f>求节点(将星点产出!$C$26:$C$34,将星点产出!F$26:F$34,其他调用!AE159)*其他调用!Z159</f>
        <v>0</v>
      </c>
      <c r="Z159" s="21">
        <f>求节点(将星点产出!$C$26:$C$34,将星点产出!G$26:G$34,其他调用!AF159)*其他调用!AA159</f>
        <v>0</v>
      </c>
      <c r="AA159" s="21">
        <f>求节点(将星点产出!$C$26:$C$34,将星点产出!H$26:H$34,其他调用!AG159)*其他调用!AB159</f>
        <v>0</v>
      </c>
      <c r="AB159" s="21">
        <f>求节点(将星点产出!$C$26:$C$34,将星点产出!I$26:I$34,其他调用!AH159)*其他调用!AC159</f>
        <v>148570.91871156855</v>
      </c>
      <c r="AC159" s="21">
        <f>求节点(将星点产出!$C$26:$C$34,将星点产出!F$26:F$34,其他调用!AM159)*其他调用!AI159</f>
        <v>0</v>
      </c>
      <c r="AD159" s="21">
        <f>求节点(将星点产出!$C$26:$C$34,将星点产出!G$26:G$34,其他调用!AN159)*其他调用!AJ159</f>
        <v>0</v>
      </c>
      <c r="AE159" s="21">
        <f>求节点(将星点产出!$C$26:$C$34,将星点产出!H$26:H$34,其他调用!AO159)*其他调用!AK159</f>
        <v>276000</v>
      </c>
      <c r="AF159" s="21">
        <f>求节点(将星点产出!$C$26:$C$34,将星点产出!I$26:I$34,其他调用!AP159)*其他调用!AL159</f>
        <v>0</v>
      </c>
      <c r="AG159" s="21">
        <f t="shared" si="14"/>
        <v>424570</v>
      </c>
      <c r="AI159" s="7">
        <f>求节点($N$26:$N$32,P$26:P$32,其他调用!BF159)*其他调用!BB159</f>
        <v>1650</v>
      </c>
      <c r="AJ159" s="7">
        <f>求节点($N$26:$N$32,Q$26:Q$32,其他调用!BG159)*其他调用!BC159</f>
        <v>71400</v>
      </c>
      <c r="AK159" s="7">
        <f>求节点($N$26:$N$32,R$26:R$32,其他调用!BH159)*其他调用!BD159</f>
        <v>256000</v>
      </c>
      <c r="AL159" s="7">
        <f>求节点($N$26:$N$32,S$26:S$32,其他调用!BI159)*其他调用!BE159</f>
        <v>242220.65000239728</v>
      </c>
      <c r="AM159" s="21">
        <f t="shared" si="15"/>
        <v>571270</v>
      </c>
      <c r="AO159" s="21">
        <f t="shared" si="16"/>
        <v>995840</v>
      </c>
    </row>
    <row r="160" spans="22:41">
      <c r="V160" s="21">
        <f>其他调用!W160</f>
        <v>320</v>
      </c>
      <c r="W160" s="21">
        <f>其他调用!X160</f>
        <v>93.400072017025948</v>
      </c>
      <c r="X160" s="21">
        <f>求节点(将星点产出!$C$26:$C$34,将星点产出!E$26:E$34,其他调用!AD160)*其他调用!Y160</f>
        <v>0</v>
      </c>
      <c r="Y160" s="21">
        <f>求节点(将星点产出!$C$26:$C$34,将星点产出!F$26:F$34,其他调用!AE160)*其他调用!Z160</f>
        <v>0</v>
      </c>
      <c r="Z160" s="21">
        <f>求节点(将星点产出!$C$26:$C$34,将星点产出!G$26:G$34,其他调用!AF160)*其他调用!AA160</f>
        <v>0</v>
      </c>
      <c r="AA160" s="21">
        <f>求节点(将星点产出!$C$26:$C$34,将星点产出!H$26:H$34,其他调用!AG160)*其他调用!AB160</f>
        <v>0</v>
      </c>
      <c r="AB160" s="21">
        <f>求节点(将星点产出!$C$26:$C$34,将星点产出!I$26:I$34,其他调用!AH160)*其他调用!AC160</f>
        <v>172891.71517350909</v>
      </c>
      <c r="AC160" s="21">
        <f>求节点(将星点产出!$C$26:$C$34,将星点产出!F$26:F$34,其他调用!AM160)*其他调用!AI160</f>
        <v>0</v>
      </c>
      <c r="AD160" s="21">
        <f>求节点(将星点产出!$C$26:$C$34,将星点产出!G$26:G$34,其他调用!AN160)*其他调用!AJ160</f>
        <v>0</v>
      </c>
      <c r="AE160" s="21">
        <f>求节点(将星点产出!$C$26:$C$34,将星点产出!H$26:H$34,其他调用!AO160)*其他调用!AK160</f>
        <v>276000</v>
      </c>
      <c r="AF160" s="21">
        <f>求节点(将星点产出!$C$26:$C$34,将星点产出!I$26:I$34,其他调用!AP160)*其他调用!AL160</f>
        <v>0</v>
      </c>
      <c r="AG160" s="21">
        <f t="shared" si="14"/>
        <v>448891</v>
      </c>
      <c r="AI160" s="7">
        <f>求节点($N$26:$N$32,P$26:P$32,其他调用!BF160)*其他调用!BB160</f>
        <v>1650</v>
      </c>
      <c r="AJ160" s="7">
        <f>求节点($N$26:$N$32,Q$26:Q$32,其他调用!BG160)*其他调用!BC160</f>
        <v>71400</v>
      </c>
      <c r="AK160" s="7">
        <f>求节点($N$26:$N$32,R$26:R$32,其他调用!BH160)*其他调用!BD160</f>
        <v>256000</v>
      </c>
      <c r="AL160" s="7">
        <f>求节点($N$26:$N$32,S$26:S$32,其他调用!BI160)*其他调用!BE160</f>
        <v>386645.19957969198</v>
      </c>
      <c r="AM160" s="21">
        <f t="shared" si="15"/>
        <v>715695</v>
      </c>
      <c r="AO160" s="21">
        <f t="shared" si="16"/>
        <v>1164586</v>
      </c>
    </row>
    <row r="161" spans="22:41">
      <c r="V161" s="21">
        <f>其他调用!W161</f>
        <v>410</v>
      </c>
      <c r="W161" s="21">
        <f>其他调用!X161</f>
        <v>97.006001686863456</v>
      </c>
      <c r="X161" s="21">
        <f>求节点(将星点产出!$C$26:$C$34,将星点产出!E$26:E$34,其他调用!AD161)*其他调用!Y161</f>
        <v>0</v>
      </c>
      <c r="Y161" s="21">
        <f>求节点(将星点产出!$C$26:$C$34,将星点产出!F$26:F$34,其他调用!AE161)*其他调用!Z161</f>
        <v>0</v>
      </c>
      <c r="Z161" s="21">
        <f>求节点(将星点产出!$C$26:$C$34,将星点产出!G$26:G$34,其他调用!AF161)*其他调用!AA161</f>
        <v>0</v>
      </c>
      <c r="AA161" s="21">
        <f>求节点(将星点产出!$C$26:$C$34,将星点产出!H$26:H$34,其他调用!AG161)*其他调用!AB161</f>
        <v>0</v>
      </c>
      <c r="AB161" s="21">
        <f>求节点(将星点产出!$C$26:$C$34,将星点产出!I$26:I$34,其他调用!AH161)*其他调用!AC161</f>
        <v>187500</v>
      </c>
      <c r="AC161" s="21">
        <f>求节点(将星点产出!$C$26:$C$34,将星点产出!F$26:F$34,其他调用!AM161)*其他调用!AI161</f>
        <v>0</v>
      </c>
      <c r="AD161" s="21">
        <f>求节点(将星点产出!$C$26:$C$34,将星点产出!G$26:G$34,其他调用!AN161)*其他调用!AJ161</f>
        <v>0</v>
      </c>
      <c r="AE161" s="21">
        <f>求节点(将星点产出!$C$26:$C$34,将星点产出!H$26:H$34,其他调用!AO161)*其他调用!AK161</f>
        <v>276000</v>
      </c>
      <c r="AF161" s="21">
        <f>求节点(将星点产出!$C$26:$C$34,将星点产出!I$26:I$34,其他调用!AP161)*其他调用!AL161</f>
        <v>0</v>
      </c>
      <c r="AG161" s="21">
        <f t="shared" si="14"/>
        <v>463500</v>
      </c>
      <c r="AI161" s="7">
        <f>求节点($N$26:$N$32,P$26:P$32,其他调用!BF161)*其他调用!BB161</f>
        <v>1650</v>
      </c>
      <c r="AJ161" s="7">
        <f>求节点($N$26:$N$32,Q$26:Q$32,其他调用!BG161)*其他调用!BC161</f>
        <v>71400</v>
      </c>
      <c r="AK161" s="7">
        <f>求节点($N$26:$N$32,R$26:R$32,其他调用!BH161)*其他调用!BD161</f>
        <v>256000</v>
      </c>
      <c r="AL161" s="7">
        <f>求节点($N$26:$N$32,S$26:S$32,其他调用!BI161)*其他调用!BE161</f>
        <v>511427.9395420244</v>
      </c>
      <c r="AM161" s="21">
        <f t="shared" si="15"/>
        <v>840477</v>
      </c>
      <c r="AO161" s="21">
        <f t="shared" si="16"/>
        <v>1303977</v>
      </c>
    </row>
    <row r="162" spans="22:41">
      <c r="V162" s="21">
        <f>其他调用!W162</f>
        <v>530</v>
      </c>
      <c r="W162" s="21">
        <f>其他调用!X162</f>
        <v>100.64473135315967</v>
      </c>
      <c r="X162" s="21">
        <f>求节点(将星点产出!$C$26:$C$34,将星点产出!E$26:E$34,其他调用!AD162)*其他调用!Y162</f>
        <v>0</v>
      </c>
      <c r="Y162" s="21">
        <f>求节点(将星点产出!$C$26:$C$34,将星点产出!F$26:F$34,其他调用!AE162)*其他调用!Z162</f>
        <v>0</v>
      </c>
      <c r="Z162" s="21">
        <f>求节点(将星点产出!$C$26:$C$34,将星点产出!G$26:G$34,其他调用!AF162)*其他调用!AA162</f>
        <v>0</v>
      </c>
      <c r="AA162" s="21">
        <f>求节点(将星点产出!$C$26:$C$34,将星点产出!H$26:H$34,其他调用!AG162)*其他调用!AB162</f>
        <v>0</v>
      </c>
      <c r="AB162" s="21">
        <f>求节点(将星点产出!$C$26:$C$34,将星点产出!I$26:I$34,其他调用!AH162)*其他调用!AC162</f>
        <v>187500</v>
      </c>
      <c r="AC162" s="21">
        <f>求节点(将星点产出!$C$26:$C$34,将星点产出!F$26:F$34,其他调用!AM162)*其他调用!AI162</f>
        <v>0</v>
      </c>
      <c r="AD162" s="21">
        <f>求节点(将星点产出!$C$26:$C$34,将星点产出!G$26:G$34,其他调用!AN162)*其他调用!AJ162</f>
        <v>0</v>
      </c>
      <c r="AE162" s="21">
        <f>求节点(将星点产出!$C$26:$C$34,将星点产出!H$26:H$34,其他调用!AO162)*其他调用!AK162</f>
        <v>276000</v>
      </c>
      <c r="AF162" s="21">
        <f>求节点(将星点产出!$C$26:$C$34,将星点产出!I$26:I$34,其他调用!AP162)*其他调用!AL162</f>
        <v>0</v>
      </c>
      <c r="AG162" s="21">
        <f t="shared" si="14"/>
        <v>463500</v>
      </c>
      <c r="AI162" s="7">
        <f>求节点($N$26:$N$32,P$26:P$32,其他调用!BF162)*其他调用!BB162</f>
        <v>1650</v>
      </c>
      <c r="AJ162" s="7">
        <f>求节点($N$26:$N$32,Q$26:Q$32,其他调用!BG162)*其他调用!BC162</f>
        <v>71400</v>
      </c>
      <c r="AK162" s="7">
        <f>求节点($N$26:$N$32,R$26:R$32,其他调用!BH162)*其他调用!BD162</f>
        <v>256000</v>
      </c>
      <c r="AL162" s="7">
        <f>求节点($N$26:$N$32,S$26:S$32,其他调用!BI162)*其他调用!BE162</f>
        <v>512000</v>
      </c>
      <c r="AM162" s="21">
        <f t="shared" si="15"/>
        <v>841050</v>
      </c>
      <c r="AO162" s="21">
        <f t="shared" si="16"/>
        <v>1304550</v>
      </c>
    </row>
    <row r="163" spans="22:41">
      <c r="V163" s="21">
        <f>其他调用!W163</f>
        <v>680</v>
      </c>
      <c r="W163" s="21">
        <f>其他调用!X163</f>
        <v>104.30731379164318</v>
      </c>
      <c r="X163" s="21">
        <f>求节点(将星点产出!$C$26:$C$34,将星点产出!E$26:E$34,其他调用!AD163)*其他调用!Y163</f>
        <v>0</v>
      </c>
      <c r="Y163" s="21">
        <f>求节点(将星点产出!$C$26:$C$34,将星点产出!F$26:F$34,其他调用!AE163)*其他调用!Z163</f>
        <v>0</v>
      </c>
      <c r="Z163" s="21">
        <f>求节点(将星点产出!$C$26:$C$34,将星点产出!G$26:G$34,其他调用!AF163)*其他调用!AA163</f>
        <v>0</v>
      </c>
      <c r="AA163" s="21">
        <f>求节点(将星点产出!$C$26:$C$34,将星点产出!H$26:H$34,其他调用!AG163)*其他调用!AB163</f>
        <v>0</v>
      </c>
      <c r="AB163" s="21">
        <f>求节点(将星点产出!$C$26:$C$34,将星点产出!I$26:I$34,其他调用!AH163)*其他调用!AC163</f>
        <v>187500</v>
      </c>
      <c r="AC163" s="21">
        <f>求节点(将星点产出!$C$26:$C$34,将星点产出!F$26:F$34,其他调用!AM163)*其他调用!AI163</f>
        <v>0</v>
      </c>
      <c r="AD163" s="21">
        <f>求节点(将星点产出!$C$26:$C$34,将星点产出!G$26:G$34,其他调用!AN163)*其他调用!AJ163</f>
        <v>0</v>
      </c>
      <c r="AE163" s="21">
        <f>求节点(将星点产出!$C$26:$C$34,将星点产出!H$26:H$34,其他调用!AO163)*其他调用!AK163</f>
        <v>276000</v>
      </c>
      <c r="AF163" s="21">
        <f>求节点(将星点产出!$C$26:$C$34,将星点产出!I$26:I$34,其他调用!AP163)*其他调用!AL163</f>
        <v>0</v>
      </c>
      <c r="AG163" s="21">
        <f t="shared" si="14"/>
        <v>463500</v>
      </c>
      <c r="AI163" s="7">
        <f>求节点($N$26:$N$32,P$26:P$32,其他调用!BF163)*其他调用!BB163</f>
        <v>1650</v>
      </c>
      <c r="AJ163" s="7">
        <f>求节点($N$26:$N$32,Q$26:Q$32,其他调用!BG163)*其他调用!BC163</f>
        <v>71400</v>
      </c>
      <c r="AK163" s="7">
        <f>求节点($N$26:$N$32,R$26:R$32,其他调用!BH163)*其他调用!BD163</f>
        <v>256000</v>
      </c>
      <c r="AL163" s="7">
        <f>求节点($N$26:$N$32,S$26:S$32,其他调用!BI163)*其他调用!BE163</f>
        <v>512000</v>
      </c>
      <c r="AM163" s="21">
        <f t="shared" si="15"/>
        <v>841050</v>
      </c>
      <c r="AO163" s="21">
        <f t="shared" si="16"/>
        <v>1304550</v>
      </c>
    </row>
    <row r="164" spans="22:41">
      <c r="V164" s="21">
        <f>其他调用!W164</f>
        <v>860</v>
      </c>
      <c r="W164" s="21">
        <f>其他调用!X164</f>
        <v>107.78950972208385</v>
      </c>
      <c r="X164" s="21">
        <f>求节点(将星点产出!$C$26:$C$34,将星点产出!E$26:E$34,其他调用!AD164)*其他调用!Y164</f>
        <v>0</v>
      </c>
      <c r="Y164" s="21">
        <f>求节点(将星点产出!$C$26:$C$34,将星点产出!F$26:F$34,其他调用!AE164)*其他调用!Z164</f>
        <v>0</v>
      </c>
      <c r="Z164" s="21">
        <f>求节点(将星点产出!$C$26:$C$34,将星点产出!G$26:G$34,其他调用!AF164)*其他调用!AA164</f>
        <v>0</v>
      </c>
      <c r="AA164" s="21">
        <f>求节点(将星点产出!$C$26:$C$34,将星点产出!H$26:H$34,其他调用!AG164)*其他调用!AB164</f>
        <v>0</v>
      </c>
      <c r="AB164" s="21">
        <f>求节点(将星点产出!$C$26:$C$34,将星点产出!I$26:I$34,其他调用!AH164)*其他调用!AC164</f>
        <v>187500</v>
      </c>
      <c r="AC164" s="21">
        <f>求节点(将星点产出!$C$26:$C$34,将星点产出!F$26:F$34,其他调用!AM164)*其他调用!AI164</f>
        <v>0</v>
      </c>
      <c r="AD164" s="21">
        <f>求节点(将星点产出!$C$26:$C$34,将星点产出!G$26:G$34,其他调用!AN164)*其他调用!AJ164</f>
        <v>0</v>
      </c>
      <c r="AE164" s="21">
        <f>求节点(将星点产出!$C$26:$C$34,将星点产出!H$26:H$34,其他调用!AO164)*其他调用!AK164</f>
        <v>276000</v>
      </c>
      <c r="AF164" s="21">
        <f>求节点(将星点产出!$C$26:$C$34,将星点产出!I$26:I$34,其他调用!AP164)*其他调用!AL164</f>
        <v>0</v>
      </c>
      <c r="AG164" s="21">
        <f t="shared" si="14"/>
        <v>463500</v>
      </c>
      <c r="AI164" s="7">
        <f>求节点($N$26:$N$32,P$26:P$32,其他调用!BF164)*其他调用!BB164</f>
        <v>1650</v>
      </c>
      <c r="AJ164" s="7">
        <f>求节点($N$26:$N$32,Q$26:Q$32,其他调用!BG164)*其他调用!BC164</f>
        <v>71400</v>
      </c>
      <c r="AK164" s="7">
        <f>求节点($N$26:$N$32,R$26:R$32,其他调用!BH164)*其他调用!BD164</f>
        <v>256000</v>
      </c>
      <c r="AL164" s="7">
        <f>求节点($N$26:$N$32,S$26:S$32,其他调用!BI164)*其他调用!BE164</f>
        <v>512000</v>
      </c>
      <c r="AM164" s="21">
        <f t="shared" si="15"/>
        <v>841050</v>
      </c>
      <c r="AO164" s="21">
        <f t="shared" si="16"/>
        <v>1304550</v>
      </c>
    </row>
    <row r="165" spans="22:41">
      <c r="V165" s="21">
        <f>其他调用!W165</f>
        <v>1100</v>
      </c>
      <c r="W165" s="21">
        <f>其他调用!X165</f>
        <v>111.29737083030383</v>
      </c>
      <c r="X165" s="21">
        <f>求节点(将星点产出!$C$26:$C$34,将星点产出!E$26:E$34,其他调用!AD165)*其他调用!Y165</f>
        <v>0</v>
      </c>
      <c r="Y165" s="21">
        <f>求节点(将星点产出!$C$26:$C$34,将星点产出!F$26:F$34,其他调用!AE165)*其他调用!Z165</f>
        <v>0</v>
      </c>
      <c r="Z165" s="21">
        <f>求节点(将星点产出!$C$26:$C$34,将星点产出!G$26:G$34,其他调用!AF165)*其他调用!AA165</f>
        <v>0</v>
      </c>
      <c r="AA165" s="21">
        <f>求节点(将星点产出!$C$26:$C$34,将星点产出!H$26:H$34,其他调用!AG165)*其他调用!AB165</f>
        <v>0</v>
      </c>
      <c r="AB165" s="21">
        <f>求节点(将星点产出!$C$26:$C$34,将星点产出!I$26:I$34,其他调用!AH165)*其他调用!AC165</f>
        <v>187500</v>
      </c>
      <c r="AC165" s="21">
        <f>求节点(将星点产出!$C$26:$C$34,将星点产出!F$26:F$34,其他调用!AM165)*其他调用!AI165</f>
        <v>0</v>
      </c>
      <c r="AD165" s="21">
        <f>求节点(将星点产出!$C$26:$C$34,将星点产出!G$26:G$34,其他调用!AN165)*其他调用!AJ165</f>
        <v>0</v>
      </c>
      <c r="AE165" s="21">
        <f>求节点(将星点产出!$C$26:$C$34,将星点产出!H$26:H$34,其他调用!AO165)*其他调用!AK165</f>
        <v>276000</v>
      </c>
      <c r="AF165" s="21">
        <f>求节点(将星点产出!$C$26:$C$34,将星点产出!I$26:I$34,其他调用!AP165)*其他调用!AL165</f>
        <v>0</v>
      </c>
      <c r="AG165" s="21">
        <f t="shared" si="14"/>
        <v>463500</v>
      </c>
      <c r="AI165" s="7">
        <f>求节点($N$26:$N$32,P$26:P$32,其他调用!BF165)*其他调用!BB165</f>
        <v>1650</v>
      </c>
      <c r="AJ165" s="7">
        <f>求节点($N$26:$N$32,Q$26:Q$32,其他调用!BG165)*其他调用!BC165</f>
        <v>71400</v>
      </c>
      <c r="AK165" s="7">
        <f>求节点($N$26:$N$32,R$26:R$32,其他调用!BH165)*其他调用!BD165</f>
        <v>256000</v>
      </c>
      <c r="AL165" s="7">
        <f>求节点($N$26:$N$32,S$26:S$32,其他调用!BI165)*其他调用!BE165</f>
        <v>512000</v>
      </c>
      <c r="AM165" s="21">
        <f t="shared" si="15"/>
        <v>841050</v>
      </c>
      <c r="AO165" s="21">
        <f t="shared" si="16"/>
        <v>1304550</v>
      </c>
    </row>
    <row r="166" spans="22:41">
      <c r="V166" s="21">
        <f>其他调用!W166</f>
        <v>1400</v>
      </c>
      <c r="W166" s="21">
        <f>其他调用!X166</f>
        <v>114.91888401282834</v>
      </c>
      <c r="X166" s="21">
        <f>求节点(将星点产出!$C$26:$C$34,将星点产出!E$26:E$34,其他调用!AD166)*其他调用!Y166</f>
        <v>0</v>
      </c>
      <c r="Y166" s="21">
        <f>求节点(将星点产出!$C$26:$C$34,将星点产出!F$26:F$34,其他调用!AE166)*其他调用!Z166</f>
        <v>0</v>
      </c>
      <c r="Z166" s="21">
        <f>求节点(将星点产出!$C$26:$C$34,将星点产出!G$26:G$34,其他调用!AF166)*其他调用!AA166</f>
        <v>0</v>
      </c>
      <c r="AA166" s="21">
        <f>求节点(将星点产出!$C$26:$C$34,将星点产出!H$26:H$34,其他调用!AG166)*其他调用!AB166</f>
        <v>0</v>
      </c>
      <c r="AB166" s="21">
        <f>求节点(将星点产出!$C$26:$C$34,将星点产出!I$26:I$34,其他调用!AH166)*其他调用!AC166</f>
        <v>187500</v>
      </c>
      <c r="AC166" s="21">
        <f>求节点(将星点产出!$C$26:$C$34,将星点产出!F$26:F$34,其他调用!AM166)*其他调用!AI166</f>
        <v>0</v>
      </c>
      <c r="AD166" s="21">
        <f>求节点(将星点产出!$C$26:$C$34,将星点产出!G$26:G$34,其他调用!AN166)*其他调用!AJ166</f>
        <v>0</v>
      </c>
      <c r="AE166" s="21">
        <f>求节点(将星点产出!$C$26:$C$34,将星点产出!H$26:H$34,其他调用!AO166)*其他调用!AK166</f>
        <v>276000</v>
      </c>
      <c r="AF166" s="21">
        <f>求节点(将星点产出!$C$26:$C$34,将星点产出!I$26:I$34,其他调用!AP166)*其他调用!AL166</f>
        <v>0</v>
      </c>
      <c r="AG166" s="21">
        <f t="shared" si="14"/>
        <v>463500</v>
      </c>
      <c r="AI166" s="7">
        <f>求节点($N$26:$N$32,P$26:P$32,其他调用!BF166)*其他调用!BB166</f>
        <v>1650</v>
      </c>
      <c r="AJ166" s="7">
        <f>求节点($N$26:$N$32,Q$26:Q$32,其他调用!BG166)*其他调用!BC166</f>
        <v>71400</v>
      </c>
      <c r="AK166" s="7">
        <f>求节点($N$26:$N$32,R$26:R$32,其他调用!BH166)*其他调用!BD166</f>
        <v>256000</v>
      </c>
      <c r="AL166" s="7">
        <f>求节点($N$26:$N$32,S$26:S$32,其他调用!BI166)*其他调用!BE166</f>
        <v>512000</v>
      </c>
      <c r="AM166" s="21">
        <f t="shared" si="15"/>
        <v>841050</v>
      </c>
      <c r="AO166" s="21">
        <f t="shared" si="16"/>
        <v>1304550</v>
      </c>
    </row>
    <row r="167" spans="22:41">
      <c r="V167" s="21">
        <f>其他调用!W167</f>
        <v>1790</v>
      </c>
      <c r="W167" s="21">
        <f>其他调用!X167</f>
        <v>118.4172728380062</v>
      </c>
      <c r="X167" s="21">
        <f>求节点(将星点产出!$C$26:$C$34,将星点产出!E$26:E$34,其他调用!AD167)*其他调用!Y167</f>
        <v>0</v>
      </c>
      <c r="Y167" s="21">
        <f>求节点(将星点产出!$C$26:$C$34,将星点产出!F$26:F$34,其他调用!AE167)*其他调用!Z167</f>
        <v>0</v>
      </c>
      <c r="Z167" s="21">
        <f>求节点(将星点产出!$C$26:$C$34,将星点产出!G$26:G$34,其他调用!AF167)*其他调用!AA167</f>
        <v>0</v>
      </c>
      <c r="AA167" s="21">
        <f>求节点(将星点产出!$C$26:$C$34,将星点产出!H$26:H$34,其他调用!AG167)*其他调用!AB167</f>
        <v>0</v>
      </c>
      <c r="AB167" s="21">
        <f>求节点(将星点产出!$C$26:$C$34,将星点产出!I$26:I$34,其他调用!AH167)*其他调用!AC167</f>
        <v>187500</v>
      </c>
      <c r="AC167" s="21">
        <f>求节点(将星点产出!$C$26:$C$34,将星点产出!F$26:F$34,其他调用!AM167)*其他调用!AI167</f>
        <v>0</v>
      </c>
      <c r="AD167" s="21">
        <f>求节点(将星点产出!$C$26:$C$34,将星点产出!G$26:G$34,其他调用!AN167)*其他调用!AJ167</f>
        <v>0</v>
      </c>
      <c r="AE167" s="21">
        <f>求节点(将星点产出!$C$26:$C$34,将星点产出!H$26:H$34,其他调用!AO167)*其他调用!AK167</f>
        <v>276000</v>
      </c>
      <c r="AF167" s="21">
        <f>求节点(将星点产出!$C$26:$C$34,将星点产出!I$26:I$34,其他调用!AP167)*其他调用!AL167</f>
        <v>0</v>
      </c>
      <c r="AG167" s="21">
        <f t="shared" si="14"/>
        <v>463500</v>
      </c>
      <c r="AI167" s="7">
        <f>求节点($N$26:$N$32,P$26:P$32,其他调用!BF167)*其他调用!BB167</f>
        <v>1650</v>
      </c>
      <c r="AJ167" s="7">
        <f>求节点($N$26:$N$32,Q$26:Q$32,其他调用!BG167)*其他调用!BC167</f>
        <v>71400</v>
      </c>
      <c r="AK167" s="7">
        <f>求节点($N$26:$N$32,R$26:R$32,其他调用!BH167)*其他调用!BD167</f>
        <v>256000</v>
      </c>
      <c r="AL167" s="7">
        <f>求节点($N$26:$N$32,S$26:S$32,其他调用!BI167)*其他调用!BE167</f>
        <v>512000</v>
      </c>
      <c r="AM167" s="21">
        <f t="shared" si="15"/>
        <v>841050</v>
      </c>
      <c r="AO167" s="21">
        <f t="shared" si="16"/>
        <v>1304550</v>
      </c>
    </row>
    <row r="168" spans="22:41">
      <c r="V168" s="21">
        <f>其他调用!W168</f>
        <v>2270</v>
      </c>
      <c r="W168" s="21">
        <f>其他调用!X168</f>
        <v>121.99245722798884</v>
      </c>
      <c r="X168" s="21">
        <f>求节点(将星点产出!$C$26:$C$34,将星点产出!E$26:E$34,其他调用!AD168)*其他调用!Y168</f>
        <v>0</v>
      </c>
      <c r="Y168" s="21">
        <f>求节点(将星点产出!$C$26:$C$34,将星点产出!F$26:F$34,其他调用!AE168)*其他调用!Z168</f>
        <v>0</v>
      </c>
      <c r="Z168" s="21">
        <f>求节点(将星点产出!$C$26:$C$34,将星点产出!G$26:G$34,其他调用!AF168)*其他调用!AA168</f>
        <v>0</v>
      </c>
      <c r="AA168" s="21">
        <f>求节点(将星点产出!$C$26:$C$34,将星点产出!H$26:H$34,其他调用!AG168)*其他调用!AB168</f>
        <v>0</v>
      </c>
      <c r="AB168" s="21">
        <f>求节点(将星点产出!$C$26:$C$34,将星点产出!I$26:I$34,其他调用!AH168)*其他调用!AC168</f>
        <v>187500</v>
      </c>
      <c r="AC168" s="21">
        <f>求节点(将星点产出!$C$26:$C$34,将星点产出!F$26:F$34,其他调用!AM168)*其他调用!AI168</f>
        <v>0</v>
      </c>
      <c r="AD168" s="21">
        <f>求节点(将星点产出!$C$26:$C$34,将星点产出!G$26:G$34,其他调用!AN168)*其他调用!AJ168</f>
        <v>0</v>
      </c>
      <c r="AE168" s="21">
        <f>求节点(将星点产出!$C$26:$C$34,将星点产出!H$26:H$34,其他调用!AO168)*其他调用!AK168</f>
        <v>276000</v>
      </c>
      <c r="AF168" s="21">
        <f>求节点(将星点产出!$C$26:$C$34,将星点产出!I$26:I$34,其他调用!AP168)*其他调用!AL168</f>
        <v>0</v>
      </c>
      <c r="AG168" s="21">
        <f t="shared" si="14"/>
        <v>463500</v>
      </c>
      <c r="AI168" s="7">
        <f>求节点($N$26:$N$32,P$26:P$32,其他调用!BF168)*其他调用!BB168</f>
        <v>1650</v>
      </c>
      <c r="AJ168" s="7">
        <f>求节点($N$26:$N$32,Q$26:Q$32,其他调用!BG168)*其他调用!BC168</f>
        <v>71400</v>
      </c>
      <c r="AK168" s="7">
        <f>求节点($N$26:$N$32,R$26:R$32,其他调用!BH168)*其他调用!BD168</f>
        <v>256000</v>
      </c>
      <c r="AL168" s="7">
        <f>求节点($N$26:$N$32,S$26:S$32,其他调用!BI168)*其他调用!BE168</f>
        <v>512000</v>
      </c>
      <c r="AM168" s="21">
        <f t="shared" si="15"/>
        <v>841050</v>
      </c>
      <c r="AO168" s="21">
        <f t="shared" si="16"/>
        <v>1304550</v>
      </c>
    </row>
    <row r="169" spans="22:41">
      <c r="V169" s="21">
        <f>其他调用!W169</f>
        <v>2900</v>
      </c>
      <c r="W169" s="21">
        <f>其他调用!X169</f>
        <v>125.43876546297123</v>
      </c>
      <c r="X169" s="21">
        <f>求节点(将星点产出!$C$26:$C$34,将星点产出!E$26:E$34,其他调用!AD169)*其他调用!Y169</f>
        <v>0</v>
      </c>
      <c r="Y169" s="21">
        <f>求节点(将星点产出!$C$26:$C$34,将星点产出!F$26:F$34,其他调用!AE169)*其他调用!Z169</f>
        <v>0</v>
      </c>
      <c r="Z169" s="21">
        <f>求节点(将星点产出!$C$26:$C$34,将星点产出!G$26:G$34,其他调用!AF169)*其他调用!AA169</f>
        <v>0</v>
      </c>
      <c r="AA169" s="21">
        <f>求节点(将星点产出!$C$26:$C$34,将星点产出!H$26:H$34,其他调用!AG169)*其他调用!AB169</f>
        <v>0</v>
      </c>
      <c r="AB169" s="21">
        <f>求节点(将星点产出!$C$26:$C$34,将星点产出!I$26:I$34,其他调用!AH169)*其他调用!AC169</f>
        <v>187500</v>
      </c>
      <c r="AC169" s="21">
        <f>求节点(将星点产出!$C$26:$C$34,将星点产出!F$26:F$34,其他调用!AM169)*其他调用!AI169</f>
        <v>0</v>
      </c>
      <c r="AD169" s="21">
        <f>求节点(将星点产出!$C$26:$C$34,将星点产出!G$26:G$34,其他调用!AN169)*其他调用!AJ169</f>
        <v>0</v>
      </c>
      <c r="AE169" s="21">
        <f>求节点(将星点产出!$C$26:$C$34,将星点产出!H$26:H$34,其他调用!AO169)*其他调用!AK169</f>
        <v>276000</v>
      </c>
      <c r="AF169" s="21">
        <f>求节点(将星点产出!$C$26:$C$34,将星点产出!I$26:I$34,其他调用!AP169)*其他调用!AL169</f>
        <v>0</v>
      </c>
      <c r="AG169" s="21">
        <f t="shared" si="14"/>
        <v>463500</v>
      </c>
      <c r="AI169" s="7">
        <f>求节点($N$26:$N$32,P$26:P$32,其他调用!BF169)*其他调用!BB169</f>
        <v>1650</v>
      </c>
      <c r="AJ169" s="7">
        <f>求节点($N$26:$N$32,Q$26:Q$32,其他调用!BG169)*其他调用!BC169</f>
        <v>71400</v>
      </c>
      <c r="AK169" s="7">
        <f>求节点($N$26:$N$32,R$26:R$32,其他调用!BH169)*其他调用!BD169</f>
        <v>256000</v>
      </c>
      <c r="AL169" s="7">
        <f>求节点($N$26:$N$32,S$26:S$32,其他调用!BI169)*其他调用!BE169</f>
        <v>512000</v>
      </c>
      <c r="AM169" s="21">
        <f t="shared" si="15"/>
        <v>841050</v>
      </c>
      <c r="AO169" s="21">
        <f t="shared" si="16"/>
        <v>1304550</v>
      </c>
    </row>
    <row r="170" spans="22:41">
      <c r="V170" s="21">
        <f>其他调用!W170</f>
        <v>3710</v>
      </c>
      <c r="W170" s="21">
        <f>其他调用!X170</f>
        <v>129.12105302323599</v>
      </c>
      <c r="X170" s="21">
        <f>求节点(将星点产出!$C$26:$C$34,将星点产出!E$26:E$34,其他调用!AD170)*其他调用!Y170</f>
        <v>0</v>
      </c>
      <c r="Y170" s="21">
        <f>求节点(将星点产出!$C$26:$C$34,将星点产出!F$26:F$34,其他调用!AE170)*其他调用!Z170</f>
        <v>0</v>
      </c>
      <c r="Z170" s="21">
        <f>求节点(将星点产出!$C$26:$C$34,将星点产出!G$26:G$34,其他调用!AF170)*其他调用!AA170</f>
        <v>0</v>
      </c>
      <c r="AA170" s="21">
        <f>求节点(将星点产出!$C$26:$C$34,将星点产出!H$26:H$34,其他调用!AG170)*其他调用!AB170</f>
        <v>0</v>
      </c>
      <c r="AB170" s="21">
        <f>求节点(将星点产出!$C$26:$C$34,将星点产出!I$26:I$34,其他调用!AH170)*其他调用!AC170</f>
        <v>187500</v>
      </c>
      <c r="AC170" s="21">
        <f>求节点(将星点产出!$C$26:$C$34,将星点产出!F$26:F$34,其他调用!AM170)*其他调用!AI170</f>
        <v>0</v>
      </c>
      <c r="AD170" s="21">
        <f>求节点(将星点产出!$C$26:$C$34,将星点产出!G$26:G$34,其他调用!AN170)*其他调用!AJ170</f>
        <v>0</v>
      </c>
      <c r="AE170" s="21">
        <f>求节点(将星点产出!$C$26:$C$34,将星点产出!H$26:H$34,其他调用!AO170)*其他调用!AK170</f>
        <v>276000</v>
      </c>
      <c r="AF170" s="21">
        <f>求节点(将星点产出!$C$26:$C$34,将星点产出!I$26:I$34,其他调用!AP170)*其他调用!AL170</f>
        <v>0</v>
      </c>
      <c r="AG170" s="21">
        <f t="shared" si="14"/>
        <v>463500</v>
      </c>
      <c r="AI170" s="7">
        <f>求节点($N$26:$N$32,P$26:P$32,其他调用!BF170)*其他调用!BB170</f>
        <v>1650</v>
      </c>
      <c r="AJ170" s="7">
        <f>求节点($N$26:$N$32,Q$26:Q$32,其他调用!BG170)*其他调用!BC170</f>
        <v>71400</v>
      </c>
      <c r="AK170" s="7">
        <f>求节点($N$26:$N$32,R$26:R$32,其他调用!BH170)*其他调用!BD170</f>
        <v>256000</v>
      </c>
      <c r="AL170" s="7">
        <f>求节点($N$26:$N$32,S$26:S$32,其他调用!BI170)*其他调用!BE170</f>
        <v>512000</v>
      </c>
      <c r="AM170" s="21">
        <f t="shared" si="15"/>
        <v>841050</v>
      </c>
      <c r="AO170" s="21">
        <f t="shared" si="16"/>
        <v>1304550</v>
      </c>
    </row>
    <row r="171" spans="22:41">
      <c r="V171" s="21">
        <f>其他调用!W171</f>
        <v>4730</v>
      </c>
      <c r="W171" s="21">
        <f>其他调用!X171</f>
        <v>132.61179169042359</v>
      </c>
      <c r="X171" s="21">
        <f>求节点(将星点产出!$C$26:$C$34,将星点产出!E$26:E$34,其他调用!AD171)*其他调用!Y171</f>
        <v>0</v>
      </c>
      <c r="Y171" s="21">
        <f>求节点(将星点产出!$C$26:$C$34,将星点产出!F$26:F$34,其他调用!AE171)*其他调用!Z171</f>
        <v>0</v>
      </c>
      <c r="Z171" s="21">
        <f>求节点(将星点产出!$C$26:$C$34,将星点产出!G$26:G$34,其他调用!AF171)*其他调用!AA171</f>
        <v>0</v>
      </c>
      <c r="AA171" s="21">
        <f>求节点(将星点产出!$C$26:$C$34,将星点产出!H$26:H$34,其他调用!AG171)*其他调用!AB171</f>
        <v>0</v>
      </c>
      <c r="AB171" s="21">
        <f>求节点(将星点产出!$C$26:$C$34,将星点产出!I$26:I$34,其他调用!AH171)*其他调用!AC171</f>
        <v>187500</v>
      </c>
      <c r="AC171" s="21">
        <f>求节点(将星点产出!$C$26:$C$34,将星点产出!F$26:F$34,其他调用!AM171)*其他调用!AI171</f>
        <v>0</v>
      </c>
      <c r="AD171" s="21">
        <f>求节点(将星点产出!$C$26:$C$34,将星点产出!G$26:G$34,其他调用!AN171)*其他调用!AJ171</f>
        <v>0</v>
      </c>
      <c r="AE171" s="21">
        <f>求节点(将星点产出!$C$26:$C$34,将星点产出!H$26:H$34,其他调用!AO171)*其他调用!AK171</f>
        <v>276000</v>
      </c>
      <c r="AF171" s="21">
        <f>求节点(将星点产出!$C$26:$C$34,将星点产出!I$26:I$34,其他调用!AP171)*其他调用!AL171</f>
        <v>0</v>
      </c>
      <c r="AG171" s="21">
        <f t="shared" si="14"/>
        <v>463500</v>
      </c>
      <c r="AI171" s="7">
        <f>求节点($N$26:$N$32,P$26:P$32,其他调用!BF171)*其他调用!BB171</f>
        <v>1650</v>
      </c>
      <c r="AJ171" s="7">
        <f>求节点($N$26:$N$32,Q$26:Q$32,其他调用!BG171)*其他调用!BC171</f>
        <v>71400</v>
      </c>
      <c r="AK171" s="7">
        <f>求节点($N$26:$N$32,R$26:R$32,其他调用!BH171)*其他调用!BD171</f>
        <v>256000</v>
      </c>
      <c r="AL171" s="7">
        <f>求节点($N$26:$N$32,S$26:S$32,其他调用!BI171)*其他调用!BE171</f>
        <v>512000</v>
      </c>
      <c r="AM171" s="21">
        <f t="shared" si="15"/>
        <v>841050</v>
      </c>
      <c r="AO171" s="21">
        <f t="shared" si="16"/>
        <v>1304550</v>
      </c>
    </row>
    <row r="172" spans="22:41">
      <c r="V172" s="21">
        <f>其他调用!W172</f>
        <v>6020</v>
      </c>
      <c r="W172" s="21">
        <f>其他调用!X172</f>
        <v>136.12035534953262</v>
      </c>
      <c r="X172" s="21">
        <f>求节点(将星点产出!$C$26:$C$34,将星点产出!E$26:E$34,其他调用!AD172)*其他调用!Y172</f>
        <v>0</v>
      </c>
      <c r="Y172" s="21">
        <f>求节点(将星点产出!$C$26:$C$34,将星点产出!F$26:F$34,其他调用!AE172)*其他调用!Z172</f>
        <v>0</v>
      </c>
      <c r="Z172" s="21">
        <f>求节点(将星点产出!$C$26:$C$34,将星点产出!G$26:G$34,其他调用!AF172)*其他调用!AA172</f>
        <v>0</v>
      </c>
      <c r="AA172" s="21">
        <f>求节点(将星点产出!$C$26:$C$34,将星点产出!H$26:H$34,其他调用!AG172)*其他调用!AB172</f>
        <v>0</v>
      </c>
      <c r="AB172" s="21">
        <f>求节点(将星点产出!$C$26:$C$34,将星点产出!I$26:I$34,其他调用!AH172)*其他调用!AC172</f>
        <v>187500</v>
      </c>
      <c r="AC172" s="21">
        <f>求节点(将星点产出!$C$26:$C$34,将星点产出!F$26:F$34,其他调用!AM172)*其他调用!AI172</f>
        <v>0</v>
      </c>
      <c r="AD172" s="21">
        <f>求节点(将星点产出!$C$26:$C$34,将星点产出!G$26:G$34,其他调用!AN172)*其他调用!AJ172</f>
        <v>0</v>
      </c>
      <c r="AE172" s="21">
        <f>求节点(将星点产出!$C$26:$C$34,将星点产出!H$26:H$34,其他调用!AO172)*其他调用!AK172</f>
        <v>276000</v>
      </c>
      <c r="AF172" s="21">
        <f>求节点(将星点产出!$C$26:$C$34,将星点产出!I$26:I$34,其他调用!AP172)*其他调用!AL172</f>
        <v>0</v>
      </c>
      <c r="AG172" s="21">
        <f t="shared" si="14"/>
        <v>463500</v>
      </c>
      <c r="AI172" s="7">
        <f>求节点($N$26:$N$32,P$26:P$32,其他调用!BF172)*其他调用!BB172</f>
        <v>1650</v>
      </c>
      <c r="AJ172" s="7">
        <f>求节点($N$26:$N$32,Q$26:Q$32,其他调用!BG172)*其他调用!BC172</f>
        <v>71400</v>
      </c>
      <c r="AK172" s="7">
        <f>求节点($N$26:$N$32,R$26:R$32,其他调用!BH172)*其他调用!BD172</f>
        <v>256000</v>
      </c>
      <c r="AL172" s="7">
        <f>求节点($N$26:$N$32,S$26:S$32,其他调用!BI172)*其他调用!BE172</f>
        <v>512000</v>
      </c>
      <c r="AM172" s="21">
        <f t="shared" si="15"/>
        <v>841050</v>
      </c>
      <c r="AO172" s="21">
        <f t="shared" si="16"/>
        <v>1304550</v>
      </c>
    </row>
    <row r="173" spans="22:41">
      <c r="V173" s="21">
        <f>其他调用!W173</f>
        <v>7670</v>
      </c>
      <c r="W173" s="21">
        <f>其他调用!X173</f>
        <v>139.6793621861803</v>
      </c>
      <c r="X173" s="21">
        <f>求节点(将星点产出!$C$26:$C$34,将星点产出!E$26:E$34,其他调用!AD173)*其他调用!Y173</f>
        <v>0</v>
      </c>
      <c r="Y173" s="21">
        <f>求节点(将星点产出!$C$26:$C$34,将星点产出!F$26:F$34,其他调用!AE173)*其他调用!Z173</f>
        <v>0</v>
      </c>
      <c r="Z173" s="21">
        <f>求节点(将星点产出!$C$26:$C$34,将星点产出!G$26:G$34,其他调用!AF173)*其他调用!AA173</f>
        <v>0</v>
      </c>
      <c r="AA173" s="21">
        <f>求节点(将星点产出!$C$26:$C$34,将星点产出!H$26:H$34,其他调用!AG173)*其他调用!AB173</f>
        <v>0</v>
      </c>
      <c r="AB173" s="21">
        <f>求节点(将星点产出!$C$26:$C$34,将星点产出!I$26:I$34,其他调用!AH173)*其他调用!AC173</f>
        <v>187500</v>
      </c>
      <c r="AC173" s="21">
        <f>求节点(将星点产出!$C$26:$C$34,将星点产出!F$26:F$34,其他调用!AM173)*其他调用!AI173</f>
        <v>0</v>
      </c>
      <c r="AD173" s="21">
        <f>求节点(将星点产出!$C$26:$C$34,将星点产出!G$26:G$34,其他调用!AN173)*其他调用!AJ173</f>
        <v>0</v>
      </c>
      <c r="AE173" s="21">
        <f>求节点(将星点产出!$C$26:$C$34,将星点产出!H$26:H$34,其他调用!AO173)*其他调用!AK173</f>
        <v>276000</v>
      </c>
      <c r="AF173" s="21">
        <f>求节点(将星点产出!$C$26:$C$34,将星点产出!I$26:I$34,其他调用!AP173)*其他调用!AL173</f>
        <v>0</v>
      </c>
      <c r="AG173" s="21">
        <f t="shared" si="14"/>
        <v>463500</v>
      </c>
      <c r="AI173" s="7">
        <f>求节点($N$26:$N$32,P$26:P$32,其他调用!BF173)*其他调用!BB173</f>
        <v>1650</v>
      </c>
      <c r="AJ173" s="7">
        <f>求节点($N$26:$N$32,Q$26:Q$32,其他调用!BG173)*其他调用!BC173</f>
        <v>71400</v>
      </c>
      <c r="AK173" s="7">
        <f>求节点($N$26:$N$32,R$26:R$32,其他调用!BH173)*其他调用!BD173</f>
        <v>256000</v>
      </c>
      <c r="AL173" s="7">
        <f>求节点($N$26:$N$32,S$26:S$32,其他调用!BI173)*其他调用!BE173</f>
        <v>512000</v>
      </c>
      <c r="AM173" s="21">
        <f t="shared" si="15"/>
        <v>841050</v>
      </c>
      <c r="AO173" s="21">
        <f t="shared" si="16"/>
        <v>1304550</v>
      </c>
    </row>
    <row r="174" spans="22:41">
      <c r="V174" s="21">
        <f>其他调用!W174</f>
        <v>9770</v>
      </c>
      <c r="W174" s="21">
        <f>其他调用!X174</f>
        <v>143.14123736077869</v>
      </c>
      <c r="X174" s="21">
        <f>求节点(将星点产出!$C$26:$C$34,将星点产出!E$26:E$34,其他调用!AD174)*其他调用!Y174</f>
        <v>0</v>
      </c>
      <c r="Y174" s="21">
        <f>求节点(将星点产出!$C$26:$C$34,将星点产出!F$26:F$34,其他调用!AE174)*其他调用!Z174</f>
        <v>0</v>
      </c>
      <c r="Z174" s="21">
        <f>求节点(将星点产出!$C$26:$C$34,将星点产出!G$26:G$34,其他调用!AF174)*其他调用!AA174</f>
        <v>0</v>
      </c>
      <c r="AA174" s="21">
        <f>求节点(将星点产出!$C$26:$C$34,将星点产出!H$26:H$34,其他调用!AG174)*其他调用!AB174</f>
        <v>0</v>
      </c>
      <c r="AB174" s="21">
        <f>求节点(将星点产出!$C$26:$C$34,将星点产出!I$26:I$34,其他调用!AH174)*其他调用!AC174</f>
        <v>187500</v>
      </c>
      <c r="AC174" s="21">
        <f>求节点(将星点产出!$C$26:$C$34,将星点产出!F$26:F$34,其他调用!AM174)*其他调用!AI174</f>
        <v>0</v>
      </c>
      <c r="AD174" s="21">
        <f>求节点(将星点产出!$C$26:$C$34,将星点产出!G$26:G$34,其他调用!AN174)*其他调用!AJ174</f>
        <v>0</v>
      </c>
      <c r="AE174" s="21">
        <f>求节点(将星点产出!$C$26:$C$34,将星点产出!H$26:H$34,其他调用!AO174)*其他调用!AK174</f>
        <v>276000</v>
      </c>
      <c r="AF174" s="21">
        <f>求节点(将星点产出!$C$26:$C$34,将星点产出!I$26:I$34,其他调用!AP174)*其他调用!AL174</f>
        <v>0</v>
      </c>
      <c r="AG174" s="21">
        <f t="shared" si="14"/>
        <v>463500</v>
      </c>
      <c r="AI174" s="7">
        <f>求节点($N$26:$N$32,P$26:P$32,其他调用!BF174)*其他调用!BB174</f>
        <v>1650</v>
      </c>
      <c r="AJ174" s="7">
        <f>求节点($N$26:$N$32,Q$26:Q$32,其他调用!BG174)*其他调用!BC174</f>
        <v>71400</v>
      </c>
      <c r="AK174" s="7">
        <f>求节点($N$26:$N$32,R$26:R$32,其他调用!BH174)*其他调用!BD174</f>
        <v>256000</v>
      </c>
      <c r="AL174" s="7">
        <f>求节点($N$26:$N$32,S$26:S$32,其他调用!BI174)*其他调用!BE174</f>
        <v>512000</v>
      </c>
      <c r="AM174" s="21">
        <f t="shared" si="15"/>
        <v>841050</v>
      </c>
      <c r="AO174" s="21">
        <f t="shared" si="16"/>
        <v>1304550</v>
      </c>
    </row>
    <row r="175" spans="22:41">
      <c r="V175" s="21">
        <f>其他调用!W175</f>
        <v>12440</v>
      </c>
      <c r="W175" s="21">
        <f>其他调用!X175</f>
        <v>146.75578521325724</v>
      </c>
      <c r="X175" s="21">
        <f>求节点(将星点产出!$C$26:$C$34,将星点产出!E$26:E$34,其他调用!AD175)*其他调用!Y175</f>
        <v>0</v>
      </c>
      <c r="Y175" s="21">
        <f>求节点(将星点产出!$C$26:$C$34,将星点产出!F$26:F$34,其他调用!AE175)*其他调用!Z175</f>
        <v>0</v>
      </c>
      <c r="Z175" s="21">
        <f>求节点(将星点产出!$C$26:$C$34,将星点产出!G$26:G$34,其他调用!AF175)*其他调用!AA175</f>
        <v>0</v>
      </c>
      <c r="AA175" s="21">
        <f>求节点(将星点产出!$C$26:$C$34,将星点产出!H$26:H$34,其他调用!AG175)*其他调用!AB175</f>
        <v>0</v>
      </c>
      <c r="AB175" s="21">
        <f>求节点(将星点产出!$C$26:$C$34,将星点产出!I$26:I$34,其他调用!AH175)*其他调用!AC175</f>
        <v>187500</v>
      </c>
      <c r="AC175" s="21">
        <f>求节点(将星点产出!$C$26:$C$34,将星点产出!F$26:F$34,其他调用!AM175)*其他调用!AI175</f>
        <v>0</v>
      </c>
      <c r="AD175" s="21">
        <f>求节点(将星点产出!$C$26:$C$34,将星点产出!G$26:G$34,其他调用!AN175)*其他调用!AJ175</f>
        <v>0</v>
      </c>
      <c r="AE175" s="21">
        <f>求节点(将星点产出!$C$26:$C$34,将星点产出!H$26:H$34,其他调用!AO175)*其他调用!AK175</f>
        <v>276000</v>
      </c>
      <c r="AF175" s="21">
        <f>求节点(将星点产出!$C$26:$C$34,将星点产出!I$26:I$34,其他调用!AP175)*其他调用!AL175</f>
        <v>0</v>
      </c>
      <c r="AG175" s="21">
        <f t="shared" si="14"/>
        <v>463500</v>
      </c>
      <c r="AI175" s="7">
        <f>求节点($N$26:$N$32,P$26:P$32,其他调用!BF175)*其他调用!BB175</f>
        <v>1650</v>
      </c>
      <c r="AJ175" s="7">
        <f>求节点($N$26:$N$32,Q$26:Q$32,其他调用!BG175)*其他调用!BC175</f>
        <v>71400</v>
      </c>
      <c r="AK175" s="7">
        <f>求节点($N$26:$N$32,R$26:R$32,其他调用!BH175)*其他调用!BD175</f>
        <v>256000</v>
      </c>
      <c r="AL175" s="7">
        <f>求节点($N$26:$N$32,S$26:S$32,其他调用!BI175)*其他调用!BE175</f>
        <v>512000</v>
      </c>
      <c r="AM175" s="21">
        <f t="shared" si="15"/>
        <v>841050</v>
      </c>
      <c r="AO175" s="21">
        <f t="shared" si="16"/>
        <v>1304550</v>
      </c>
    </row>
    <row r="176" spans="22:41">
      <c r="V176" s="21">
        <f>其他调用!W176</f>
        <v>15860</v>
      </c>
      <c r="W176" s="21">
        <f>其他调用!X176</f>
        <v>150.21349802228445</v>
      </c>
      <c r="X176" s="21">
        <f>求节点(将星点产出!$C$26:$C$34,将星点产出!E$26:E$34,其他调用!AD176)*其他调用!Y176</f>
        <v>0</v>
      </c>
      <c r="Y176" s="21">
        <f>求节点(将星点产出!$C$26:$C$34,将星点产出!F$26:F$34,其他调用!AE176)*其他调用!Z176</f>
        <v>0</v>
      </c>
      <c r="Z176" s="21">
        <f>求节点(将星点产出!$C$26:$C$34,将星点产出!G$26:G$34,其他调用!AF176)*其他调用!AA176</f>
        <v>0</v>
      </c>
      <c r="AA176" s="21">
        <f>求节点(将星点产出!$C$26:$C$34,将星点产出!H$26:H$34,其他调用!AG176)*其他调用!AB176</f>
        <v>0</v>
      </c>
      <c r="AB176" s="21">
        <f>求节点(将星点产出!$C$26:$C$34,将星点产出!I$26:I$34,其他调用!AH176)*其他调用!AC176</f>
        <v>187500</v>
      </c>
      <c r="AC176" s="21">
        <f>求节点(将星点产出!$C$26:$C$34,将星点产出!F$26:F$34,其他调用!AM176)*其他调用!AI176</f>
        <v>0</v>
      </c>
      <c r="AD176" s="21">
        <f>求节点(将星点产出!$C$26:$C$34,将星点产出!G$26:G$34,其他调用!AN176)*其他调用!AJ176</f>
        <v>0</v>
      </c>
      <c r="AE176" s="21">
        <f>求节点(将星点产出!$C$26:$C$34,将星点产出!H$26:H$34,其他调用!AO176)*其他调用!AK176</f>
        <v>276000</v>
      </c>
      <c r="AF176" s="21">
        <f>求节点(将星点产出!$C$26:$C$34,将星点产出!I$26:I$34,其他调用!AP176)*其他调用!AL176</f>
        <v>0</v>
      </c>
      <c r="AG176" s="21">
        <f t="shared" si="14"/>
        <v>463500</v>
      </c>
      <c r="AI176" s="7">
        <f>求节点($N$26:$N$32,P$26:P$32,其他调用!BF176)*其他调用!BB176</f>
        <v>1650</v>
      </c>
      <c r="AJ176" s="7">
        <f>求节点($N$26:$N$32,Q$26:Q$32,其他调用!BG176)*其他调用!BC176</f>
        <v>71400</v>
      </c>
      <c r="AK176" s="7">
        <f>求节点($N$26:$N$32,R$26:R$32,其他调用!BH176)*其他调用!BD176</f>
        <v>256000</v>
      </c>
      <c r="AL176" s="7">
        <f>求节点($N$26:$N$32,S$26:S$32,其他调用!BI176)*其他调用!BE176</f>
        <v>512000</v>
      </c>
      <c r="AM176" s="21">
        <f t="shared" si="15"/>
        <v>841050</v>
      </c>
      <c r="AO176" s="21">
        <f t="shared" si="16"/>
        <v>1304550</v>
      </c>
    </row>
    <row r="177" spans="22:41">
      <c r="V177" s="21">
        <f>其他调用!W177</f>
        <v>20210</v>
      </c>
      <c r="W177" s="21">
        <f>其他调用!X177</f>
        <v>152.32856849044819</v>
      </c>
      <c r="X177" s="21">
        <f>求节点(将星点产出!$C$26:$C$34,将星点产出!E$26:E$34,其他调用!AD177)*其他调用!Y177</f>
        <v>0</v>
      </c>
      <c r="Y177" s="21">
        <f>求节点(将星点产出!$C$26:$C$34,将星点产出!F$26:F$34,其他调用!AE177)*其他调用!Z177</f>
        <v>0</v>
      </c>
      <c r="Z177" s="21">
        <f>求节点(将星点产出!$C$26:$C$34,将星点产出!G$26:G$34,其他调用!AF177)*其他调用!AA177</f>
        <v>0</v>
      </c>
      <c r="AA177" s="21">
        <f>求节点(将星点产出!$C$26:$C$34,将星点产出!H$26:H$34,其他调用!AG177)*其他调用!AB177</f>
        <v>0</v>
      </c>
      <c r="AB177" s="21">
        <f>求节点(将星点产出!$C$26:$C$34,将星点产出!I$26:I$34,其他调用!AH177)*其他调用!AC177</f>
        <v>187500</v>
      </c>
      <c r="AC177" s="21">
        <f>求节点(将星点产出!$C$26:$C$34,将星点产出!F$26:F$34,其他调用!AM177)*其他调用!AI177</f>
        <v>0</v>
      </c>
      <c r="AD177" s="21">
        <f>求节点(将星点产出!$C$26:$C$34,将星点产出!G$26:G$34,其他调用!AN177)*其他调用!AJ177</f>
        <v>0</v>
      </c>
      <c r="AE177" s="21">
        <f>求节点(将星点产出!$C$26:$C$34,将星点产出!H$26:H$34,其他调用!AO177)*其他调用!AK177</f>
        <v>276000</v>
      </c>
      <c r="AF177" s="21">
        <f>求节点(将星点产出!$C$26:$C$34,将星点产出!I$26:I$34,其他调用!AP177)*其他调用!AL177</f>
        <v>0</v>
      </c>
      <c r="AG177" s="21">
        <f t="shared" si="14"/>
        <v>463500</v>
      </c>
      <c r="AI177" s="7">
        <f>求节点($N$26:$N$32,P$26:P$32,其他调用!BF177)*其他调用!BB177</f>
        <v>1650</v>
      </c>
      <c r="AJ177" s="7">
        <f>求节点($N$26:$N$32,Q$26:Q$32,其他调用!BG177)*其他调用!BC177</f>
        <v>71400</v>
      </c>
      <c r="AK177" s="7">
        <f>求节点($N$26:$N$32,R$26:R$32,其他调用!BH177)*其他调用!BD177</f>
        <v>256000</v>
      </c>
      <c r="AL177" s="7">
        <f>求节点($N$26:$N$32,S$26:S$32,其他调用!BI177)*其他调用!BE177</f>
        <v>512000</v>
      </c>
      <c r="AM177" s="21">
        <f t="shared" si="15"/>
        <v>841050</v>
      </c>
      <c r="AO177" s="21">
        <f t="shared" si="16"/>
        <v>1304550</v>
      </c>
    </row>
    <row r="178" spans="22:41">
      <c r="V178" s="21">
        <f>其他调用!W178</f>
        <v>25760</v>
      </c>
      <c r="W178" s="21">
        <f>其他调用!X178</f>
        <v>153.15627769682186</v>
      </c>
      <c r="X178" s="21">
        <f>求节点(将星点产出!$C$26:$C$34,将星点产出!E$26:E$34,其他调用!AD178)*其他调用!Y178</f>
        <v>0</v>
      </c>
      <c r="Y178" s="21">
        <f>求节点(将星点产出!$C$26:$C$34,将星点产出!F$26:F$34,其他调用!AE178)*其他调用!Z178</f>
        <v>0</v>
      </c>
      <c r="Z178" s="21">
        <f>求节点(将星点产出!$C$26:$C$34,将星点产出!G$26:G$34,其他调用!AF178)*其他调用!AA178</f>
        <v>0</v>
      </c>
      <c r="AA178" s="21">
        <f>求节点(将星点产出!$C$26:$C$34,将星点产出!H$26:H$34,其他调用!AG178)*其他调用!AB178</f>
        <v>0</v>
      </c>
      <c r="AB178" s="21">
        <f>求节点(将星点产出!$C$26:$C$34,将星点产出!I$26:I$34,其他调用!AH178)*其他调用!AC178</f>
        <v>187500</v>
      </c>
      <c r="AC178" s="21">
        <f>求节点(将星点产出!$C$26:$C$34,将星点产出!F$26:F$34,其他调用!AM178)*其他调用!AI178</f>
        <v>0</v>
      </c>
      <c r="AD178" s="21">
        <f>求节点(将星点产出!$C$26:$C$34,将星点产出!G$26:G$34,其他调用!AN178)*其他调用!AJ178</f>
        <v>0</v>
      </c>
      <c r="AE178" s="21">
        <f>求节点(将星点产出!$C$26:$C$34,将星点产出!H$26:H$34,其他调用!AO178)*其他调用!AK178</f>
        <v>276000</v>
      </c>
      <c r="AF178" s="21">
        <f>求节点(将星点产出!$C$26:$C$34,将星点产出!I$26:I$34,其他调用!AP178)*其他调用!AL178</f>
        <v>0</v>
      </c>
      <c r="AG178" s="21">
        <f t="shared" si="14"/>
        <v>463500</v>
      </c>
      <c r="AI178" s="7">
        <f>求节点($N$26:$N$32,P$26:P$32,其他调用!BF178)*其他调用!BB178</f>
        <v>1650</v>
      </c>
      <c r="AJ178" s="7">
        <f>求节点($N$26:$N$32,Q$26:Q$32,其他调用!BG178)*其他调用!BC178</f>
        <v>71400</v>
      </c>
      <c r="AK178" s="7">
        <f>求节点($N$26:$N$32,R$26:R$32,其他调用!BH178)*其他调用!BD178</f>
        <v>256000</v>
      </c>
      <c r="AL178" s="7">
        <f>求节点($N$26:$N$32,S$26:S$32,其他调用!BI178)*其他调用!BE178</f>
        <v>512000</v>
      </c>
      <c r="AM178" s="21">
        <f t="shared" si="15"/>
        <v>841050</v>
      </c>
      <c r="AO178" s="21">
        <f t="shared" si="16"/>
        <v>1304550</v>
      </c>
    </row>
    <row r="179" spans="22:41">
      <c r="V179" s="21">
        <f>其他调用!W179</f>
        <v>32750</v>
      </c>
      <c r="W179" s="21">
        <f>其他调用!X179</f>
        <v>153.85863088955028</v>
      </c>
      <c r="X179" s="21">
        <f>求节点(将星点产出!$C$26:$C$34,将星点产出!E$26:E$34,其他调用!AD179)*其他调用!Y179</f>
        <v>0</v>
      </c>
      <c r="Y179" s="21">
        <f>求节点(将星点产出!$C$26:$C$34,将星点产出!F$26:F$34,其他调用!AE179)*其他调用!Z179</f>
        <v>0</v>
      </c>
      <c r="Z179" s="21">
        <f>求节点(将星点产出!$C$26:$C$34,将星点产出!G$26:G$34,其他调用!AF179)*其他调用!AA179</f>
        <v>0</v>
      </c>
      <c r="AA179" s="21">
        <f>求节点(将星点产出!$C$26:$C$34,将星点产出!H$26:H$34,其他调用!AG179)*其他调用!AB179</f>
        <v>0</v>
      </c>
      <c r="AB179" s="21">
        <f>求节点(将星点产出!$C$26:$C$34,将星点产出!I$26:I$34,其他调用!AH179)*其他调用!AC179</f>
        <v>187500</v>
      </c>
      <c r="AC179" s="21">
        <f>求节点(将星点产出!$C$26:$C$34,将星点产出!F$26:F$34,其他调用!AM179)*其他调用!AI179</f>
        <v>0</v>
      </c>
      <c r="AD179" s="21">
        <f>求节点(将星点产出!$C$26:$C$34,将星点产出!G$26:G$34,其他调用!AN179)*其他调用!AJ179</f>
        <v>0</v>
      </c>
      <c r="AE179" s="21">
        <f>求节点(将星点产出!$C$26:$C$34,将星点产出!H$26:H$34,其他调用!AO179)*其他调用!AK179</f>
        <v>276000</v>
      </c>
      <c r="AF179" s="21">
        <f>求节点(将星点产出!$C$26:$C$34,将星点产出!I$26:I$34,其他调用!AP179)*其他调用!AL179</f>
        <v>0</v>
      </c>
      <c r="AG179" s="21">
        <f t="shared" si="14"/>
        <v>463500</v>
      </c>
      <c r="AI179" s="7">
        <f>求节点($N$26:$N$32,P$26:P$32,其他调用!BF179)*其他调用!BB179</f>
        <v>1650</v>
      </c>
      <c r="AJ179" s="7">
        <f>求节点($N$26:$N$32,Q$26:Q$32,其他调用!BG179)*其他调用!BC179</f>
        <v>71400</v>
      </c>
      <c r="AK179" s="7">
        <f>求节点($N$26:$N$32,R$26:R$32,其他调用!BH179)*其他调用!BD179</f>
        <v>256000</v>
      </c>
      <c r="AL179" s="7">
        <f>求节点($N$26:$N$32,S$26:S$32,其他调用!BI179)*其他调用!BE179</f>
        <v>512000</v>
      </c>
      <c r="AM179" s="21">
        <f t="shared" si="15"/>
        <v>841050</v>
      </c>
      <c r="AO179" s="21">
        <f t="shared" si="16"/>
        <v>1304550</v>
      </c>
    </row>
    <row r="180" spans="22:41">
      <c r="V180" s="23"/>
      <c r="W180" s="23"/>
      <c r="AI180" s="6"/>
      <c r="AJ180" s="6"/>
      <c r="AK180" s="6"/>
      <c r="AL180" s="6"/>
    </row>
    <row r="181" spans="22:41">
      <c r="V181" s="23"/>
      <c r="W181" s="23"/>
      <c r="AI181" s="6"/>
      <c r="AJ181" s="6"/>
      <c r="AK181" s="6"/>
      <c r="AL181" s="6"/>
    </row>
    <row r="182" spans="22:41">
      <c r="V182" s="23"/>
      <c r="W182" s="23"/>
      <c r="AI182" s="6"/>
      <c r="AJ182" s="6"/>
      <c r="AK182" s="6"/>
      <c r="AL182" s="6"/>
    </row>
    <row r="183" spans="22:41">
      <c r="V183" s="34" t="s">
        <v>49</v>
      </c>
      <c r="W183" s="34"/>
    </row>
    <row r="184" spans="22:41">
      <c r="V184" s="34"/>
      <c r="W184" s="34"/>
      <c r="X184" s="34" t="s">
        <v>97</v>
      </c>
      <c r="Y184" s="34"/>
      <c r="Z184" s="34"/>
      <c r="AA184" s="34"/>
      <c r="AB184" s="34"/>
      <c r="AC184" s="34" t="s">
        <v>132</v>
      </c>
      <c r="AD184" s="34"/>
      <c r="AE184" s="34"/>
      <c r="AF184" s="34"/>
      <c r="AG184" s="21"/>
      <c r="AI184" s="36" t="s">
        <v>134</v>
      </c>
      <c r="AJ184" s="37"/>
      <c r="AK184" s="37"/>
      <c r="AL184" s="38"/>
      <c r="AM184" s="21"/>
    </row>
    <row r="185" spans="22:41">
      <c r="V185" s="21" t="s">
        <v>103</v>
      </c>
      <c r="W185" s="21" t="s">
        <v>92</v>
      </c>
      <c r="X185" s="21" t="s">
        <v>104</v>
      </c>
      <c r="Y185" s="21" t="s">
        <v>14</v>
      </c>
      <c r="Z185" s="21" t="s">
        <v>15</v>
      </c>
      <c r="AA185" s="21" t="s">
        <v>13</v>
      </c>
      <c r="AB185" s="21" t="s">
        <v>102</v>
      </c>
      <c r="AC185" s="21" t="s">
        <v>14</v>
      </c>
      <c r="AD185" s="21" t="s">
        <v>15</v>
      </c>
      <c r="AE185" s="21" t="s">
        <v>13</v>
      </c>
      <c r="AF185" s="21" t="s">
        <v>102</v>
      </c>
      <c r="AG185" s="21" t="s">
        <v>133</v>
      </c>
      <c r="AI185" s="7" t="s">
        <v>14</v>
      </c>
      <c r="AJ185" s="7" t="s">
        <v>15</v>
      </c>
      <c r="AK185" s="7" t="s">
        <v>13</v>
      </c>
      <c r="AL185" s="7" t="s">
        <v>102</v>
      </c>
      <c r="AM185" s="21" t="s">
        <v>136</v>
      </c>
      <c r="AO185" s="21" t="s">
        <v>137</v>
      </c>
    </row>
    <row r="186" spans="22:41">
      <c r="V186" s="21">
        <f>其他调用!W186</f>
        <v>0.27500000000000002</v>
      </c>
      <c r="W186" s="21">
        <f>其他调用!X186</f>
        <v>10.040470049930473</v>
      </c>
      <c r="X186" s="21">
        <f>求节点(将星点产出!$C$26:$C$34,将星点产出!E$26:E$34,其他调用!AD186)*其他调用!Y186</f>
        <v>0</v>
      </c>
      <c r="Y186" s="21">
        <f>求节点(将星点产出!$C$26:$C$34,将星点产出!F$26:F$34,其他调用!AE186)*其他调用!Z186</f>
        <v>0</v>
      </c>
      <c r="Z186" s="21">
        <f>求节点(将星点产出!$C$26:$C$34,将星点产出!G$26:G$34,其他调用!AF186)*其他调用!AA186</f>
        <v>0</v>
      </c>
      <c r="AA186" s="21">
        <f>求节点(将星点产出!$C$26:$C$34,将星点产出!H$26:H$34,其他调用!AG186)*其他调用!AB186</f>
        <v>4800</v>
      </c>
      <c r="AB186" s="21">
        <f>求节点(将星点产出!$C$26:$C$34,将星点产出!I$26:I$34,其他调用!AH186)*其他调用!AC186</f>
        <v>0</v>
      </c>
      <c r="AC186" s="21">
        <f>求节点(将星点产出!$C$26:$C$34,将星点产出!F$26:F$34,其他调用!AM186)*其他调用!AI186</f>
        <v>2000</v>
      </c>
      <c r="AD186" s="21">
        <f>求节点(将星点产出!$C$26:$C$34,将星点产出!G$26:G$34,其他调用!AN186)*其他调用!AJ186</f>
        <v>902.38850420593144</v>
      </c>
      <c r="AE186" s="21">
        <f>求节点(将星点产出!$C$26:$C$34,将星点产出!H$26:H$34,其他调用!AO186)*其他调用!AK186</f>
        <v>0</v>
      </c>
      <c r="AF186" s="21">
        <f>求节点(将星点产出!$C$26:$C$34,将星点产出!I$26:I$34,其他调用!AP186)*其他调用!AL186</f>
        <v>0</v>
      </c>
      <c r="AG186" s="21">
        <f>INT(SUM(X186:AF186))</f>
        <v>7702</v>
      </c>
      <c r="AI186" s="7">
        <f>求节点($N$26:$N$32,P$26:P$32,其他调用!BF186)*其他调用!BB186</f>
        <v>789.18938491438303</v>
      </c>
      <c r="AJ186" s="7">
        <f>求节点($N$26:$N$32,Q$26:Q$32,其他调用!BG186)*其他调用!BC186</f>
        <v>2800</v>
      </c>
      <c r="AK186" s="7">
        <f>求节点($N$26:$N$32,R$26:R$32,其他调用!BH186)*其他调用!BD186</f>
        <v>4500</v>
      </c>
      <c r="AL186" s="7">
        <f>求节点($N$26:$N$32,S$26:S$32,其他调用!BI186)*其他调用!BE186</f>
        <v>0</v>
      </c>
      <c r="AM186" s="21">
        <f>INT(SUM(AI186:AL186))</f>
        <v>8089</v>
      </c>
      <c r="AO186" s="21">
        <f>AG186+AM186</f>
        <v>15791</v>
      </c>
    </row>
    <row r="187" spans="22:41">
      <c r="V187" s="21">
        <f>其他调用!W187</f>
        <v>0.82500000000000007</v>
      </c>
      <c r="W187" s="21">
        <f>其他调用!X187</f>
        <v>19.288856680060892</v>
      </c>
      <c r="X187" s="21">
        <f>求节点(将星点产出!$C$26:$C$34,将星点产出!E$26:E$34,其他调用!AD187)*其他调用!Y187</f>
        <v>0</v>
      </c>
      <c r="Y187" s="21">
        <f>求节点(将星点产出!$C$26:$C$34,将星点产出!F$26:F$34,其他调用!AE187)*其他调用!Z187</f>
        <v>0</v>
      </c>
      <c r="Z187" s="21">
        <f>求节点(将星点产出!$C$26:$C$34,将星点产出!G$26:G$34,其他调用!AF187)*其他调用!AA187</f>
        <v>0</v>
      </c>
      <c r="AA187" s="21">
        <f>求节点(将星点产出!$C$26:$C$34,将星点产出!H$26:H$34,其他调用!AG187)*其他调用!AB187</f>
        <v>4800</v>
      </c>
      <c r="AB187" s="21">
        <f>求节点(将星点产出!$C$26:$C$34,将星点产出!I$26:I$34,其他调用!AH187)*其他调用!AC187</f>
        <v>0</v>
      </c>
      <c r="AC187" s="21">
        <f>求节点(将星点产出!$C$26:$C$34,将星点产出!F$26:F$34,其他调用!AM187)*其他调用!AI187</f>
        <v>2400</v>
      </c>
      <c r="AD187" s="21">
        <f>求节点(将星点产出!$C$26:$C$34,将星点产出!G$26:G$34,其他调用!AN187)*其他调用!AJ187</f>
        <v>5151.1061130505304</v>
      </c>
      <c r="AE187" s="21">
        <f>求节点(将星点产出!$C$26:$C$34,将星点产出!H$26:H$34,其他调用!AO187)*其他调用!AK187</f>
        <v>0</v>
      </c>
      <c r="AF187" s="21">
        <f>求节点(将星点产出!$C$26:$C$34,将星点产出!I$26:I$34,其他调用!AP187)*其他调用!AL187</f>
        <v>0</v>
      </c>
      <c r="AG187" s="21">
        <f t="shared" ref="AG187:AG224" si="17">INT(SUM(X187:AF187))</f>
        <v>12351</v>
      </c>
      <c r="AI187" s="7">
        <f>求节点($N$26:$N$32,P$26:P$32,其他调用!BF187)*其他调用!BB187</f>
        <v>1154.3920386857872</v>
      </c>
      <c r="AJ187" s="7">
        <f>求节点($N$26:$N$32,Q$26:Q$32,其他调用!BG187)*其他调用!BC187</f>
        <v>5372.935299829127</v>
      </c>
      <c r="AK187" s="7">
        <f>求节点($N$26:$N$32,R$26:R$32,其他调用!BH187)*其他调用!BD187</f>
        <v>12600</v>
      </c>
      <c r="AL187" s="7">
        <f>求节点($N$26:$N$32,S$26:S$32,其他调用!BI187)*其他调用!BE187</f>
        <v>0</v>
      </c>
      <c r="AM187" s="21">
        <f t="shared" ref="AM187:AM224" si="18">INT(SUM(AI187:AL187))</f>
        <v>19127</v>
      </c>
      <c r="AO187" s="21">
        <f t="shared" ref="AO187:AO224" si="19">AG187+AM187</f>
        <v>31478</v>
      </c>
    </row>
    <row r="188" spans="22:41">
      <c r="V188" s="21">
        <f>其他调用!W188</f>
        <v>1.6500000000000001</v>
      </c>
      <c r="W188" s="21">
        <f>其他调用!X188</f>
        <v>27.144641112884834</v>
      </c>
      <c r="X188" s="21">
        <f>求节点(将星点产出!$C$26:$C$34,将星点产出!E$26:E$34,其他调用!AD188)*其他调用!Y188</f>
        <v>0</v>
      </c>
      <c r="Y188" s="21">
        <f>求节点(将星点产出!$C$26:$C$34,将星点产出!F$26:F$34,其他调用!AE188)*其他调用!Z188</f>
        <v>0</v>
      </c>
      <c r="Z188" s="21">
        <f>求节点(将星点产出!$C$26:$C$34,将星点产出!G$26:G$34,其他调用!AF188)*其他调用!AA188</f>
        <v>0</v>
      </c>
      <c r="AA188" s="21">
        <f>求节点(将星点产出!$C$26:$C$34,将星点产出!H$26:H$34,其他调用!AG188)*其他调用!AB188</f>
        <v>7338.2061428552897</v>
      </c>
      <c r="AB188" s="21">
        <f>求节点(将星点产出!$C$26:$C$34,将星点产出!I$26:I$34,其他调用!AH188)*其他调用!AC188</f>
        <v>0</v>
      </c>
      <c r="AC188" s="21">
        <f>求节点(将星点产出!$C$26:$C$34,将星点产出!F$26:F$34,其他调用!AM188)*其他调用!AI188</f>
        <v>2400</v>
      </c>
      <c r="AD188" s="21">
        <f>求节点(将星点产出!$C$26:$C$34,将星点产出!G$26:G$34,其他调用!AN188)*其他调用!AJ188</f>
        <v>11200</v>
      </c>
      <c r="AE188" s="21">
        <f>求节点(将星点产出!$C$26:$C$34,将星点产出!H$26:H$34,其他调用!AO188)*其他调用!AK188</f>
        <v>0</v>
      </c>
      <c r="AF188" s="21">
        <f>求节点(将星点产出!$C$26:$C$34,将星点产出!I$26:I$34,其他调用!AP188)*其他调用!AL188</f>
        <v>0</v>
      </c>
      <c r="AG188" s="21">
        <f t="shared" si="17"/>
        <v>20938</v>
      </c>
      <c r="AI188" s="7">
        <f>求节点($N$26:$N$32,P$26:P$32,其他调用!BF188)*其他调用!BB188</f>
        <v>1258.2780085512638</v>
      </c>
      <c r="AJ188" s="7">
        <f>求节点($N$26:$N$32,Q$26:Q$32,其他调用!BG188)*其他调用!BC188</f>
        <v>8797.9503612171866</v>
      </c>
      <c r="AK188" s="7">
        <f>求节点($N$26:$N$32,R$26:R$32,其他调用!BH188)*其他调用!BD188</f>
        <v>18000</v>
      </c>
      <c r="AL188" s="7">
        <f>求节点($N$26:$N$32,S$26:S$32,其他调用!BI188)*其他调用!BE188</f>
        <v>0</v>
      </c>
      <c r="AM188" s="21">
        <f t="shared" si="18"/>
        <v>28056</v>
      </c>
      <c r="AO188" s="21">
        <f t="shared" si="19"/>
        <v>48994</v>
      </c>
    </row>
    <row r="189" spans="22:41">
      <c r="V189" s="21">
        <f>其他调用!W189</f>
        <v>2.75</v>
      </c>
      <c r="W189" s="21">
        <f>其他调用!X189</f>
        <v>33.399598377161809</v>
      </c>
      <c r="X189" s="21">
        <f>求节点(将星点产出!$C$26:$C$34,将星点产出!E$26:E$34,其他调用!AD189)*其他调用!Y189</f>
        <v>0</v>
      </c>
      <c r="Y189" s="21">
        <f>求节点(将星点产出!$C$26:$C$34,将星点产出!F$26:F$34,其他调用!AE189)*其他调用!Z189</f>
        <v>0</v>
      </c>
      <c r="Z189" s="21">
        <f>求节点(将星点产出!$C$26:$C$34,将星点产出!G$26:G$34,其他调用!AF189)*其他调用!AA189</f>
        <v>0</v>
      </c>
      <c r="AA189" s="21">
        <f>求节点(将星点产出!$C$26:$C$34,将星点产出!H$26:H$34,其他调用!AG189)*其他调用!AB189</f>
        <v>10711.27753972235</v>
      </c>
      <c r="AB189" s="21">
        <f>求节点(将星点产出!$C$26:$C$34,将星点产出!I$26:I$34,其他调用!AH189)*其他调用!AC189</f>
        <v>0</v>
      </c>
      <c r="AC189" s="21">
        <f>求节点(将星点产出!$C$26:$C$34,将星点产出!F$26:F$34,其他调用!AM189)*其他调用!AI189</f>
        <v>2400</v>
      </c>
      <c r="AD189" s="21">
        <f>求节点(将星点产出!$C$26:$C$34,将星点产出!G$26:G$34,其他调用!AN189)*其他调用!AJ189</f>
        <v>16800</v>
      </c>
      <c r="AE189" s="21">
        <f>求节点(将星点产出!$C$26:$C$34,将星点产出!H$26:H$34,其他调用!AO189)*其他调用!AK189</f>
        <v>0</v>
      </c>
      <c r="AF189" s="21">
        <f>求节点(将星点产出!$C$26:$C$34,将星点产出!I$26:I$34,其他调用!AP189)*其他调用!AL189</f>
        <v>0</v>
      </c>
      <c r="AG189" s="21">
        <f t="shared" si="17"/>
        <v>29911</v>
      </c>
      <c r="AI189" s="7">
        <f>求节点($N$26:$N$32,P$26:P$32,其他调用!BF189)*其他调用!BB189</f>
        <v>1349.833573088493</v>
      </c>
      <c r="AJ189" s="7">
        <f>求节点($N$26:$N$32,Q$26:Q$32,其他调用!BG189)*其他调用!BC189</f>
        <v>12153.708031734346</v>
      </c>
      <c r="AK189" s="7">
        <f>求节点($N$26:$N$32,R$26:R$32,其他调用!BH189)*其他调用!BD189</f>
        <v>24813.812945254598</v>
      </c>
      <c r="AL189" s="7">
        <f>求节点($N$26:$N$32,S$26:S$32,其他调用!BI189)*其他调用!BE189</f>
        <v>0</v>
      </c>
      <c r="AM189" s="21">
        <f t="shared" si="18"/>
        <v>38317</v>
      </c>
      <c r="AO189" s="21">
        <f t="shared" si="19"/>
        <v>68228</v>
      </c>
    </row>
    <row r="190" spans="22:41">
      <c r="V190" s="21">
        <f>其他调用!W190</f>
        <v>4.125</v>
      </c>
      <c r="W190" s="21">
        <f>其他调用!X190</f>
        <v>38.848984787984186</v>
      </c>
      <c r="X190" s="21">
        <f>求节点(将星点产出!$C$26:$C$34,将星点产出!E$26:E$34,其他调用!AD190)*其他调用!Y190</f>
        <v>0</v>
      </c>
      <c r="Y190" s="21">
        <f>求节点(将星点产出!$C$26:$C$34,将星点产出!F$26:F$34,其他调用!AE190)*其他调用!Z190</f>
        <v>0</v>
      </c>
      <c r="Z190" s="21">
        <f>求节点(将星点产出!$C$26:$C$34,将星点产出!G$26:G$34,其他调用!AF190)*其他调用!AA190</f>
        <v>0</v>
      </c>
      <c r="AA190" s="21">
        <f>求节点(将星点产出!$C$26:$C$34,将星点产出!H$26:H$34,其他调用!AG190)*其他调用!AB190</f>
        <v>14853.844221309944</v>
      </c>
      <c r="AB190" s="21">
        <f>求节点(将星点产出!$C$26:$C$34,将星点产出!I$26:I$34,其他调用!AH190)*其他调用!AC190</f>
        <v>0</v>
      </c>
      <c r="AC190" s="21">
        <f>求节点(将星点产出!$C$26:$C$34,将星点产出!F$26:F$34,其他调用!AM190)*其他调用!AI190</f>
        <v>0</v>
      </c>
      <c r="AD190" s="21">
        <f>求节点(将星点产出!$C$26:$C$34,将星点产出!G$26:G$34,其他调用!AN190)*其他调用!AJ190</f>
        <v>22400</v>
      </c>
      <c r="AE190" s="21">
        <f>求节点(将星点产出!$C$26:$C$34,将星点产出!H$26:H$34,其他调用!AO190)*其他调用!AK190</f>
        <v>29707.688442619889</v>
      </c>
      <c r="AF190" s="21">
        <f>求节点(将星点产出!$C$26:$C$34,将星点产出!I$26:I$34,其他调用!AP190)*其他调用!AL190</f>
        <v>0</v>
      </c>
      <c r="AG190" s="21">
        <f t="shared" si="17"/>
        <v>66961</v>
      </c>
      <c r="AI190" s="7">
        <f>求节点($N$26:$N$32,P$26:P$32,其他调用!BF190)*其他调用!BB190</f>
        <v>1464.2780287600294</v>
      </c>
      <c r="AJ190" s="7">
        <f>求节点($N$26:$N$32,Q$26:Q$32,其他调用!BG190)*其他调用!BC190</f>
        <v>16124.733325509644</v>
      </c>
      <c r="AK190" s="7">
        <f>求节点($N$26:$N$32,R$26:R$32,其他调用!BH190)*其他调用!BD190</f>
        <v>34285.078242209325</v>
      </c>
      <c r="AL190" s="7">
        <f>求节点($N$26:$N$32,S$26:S$32,其他调用!BI190)*其他调用!BE190</f>
        <v>0</v>
      </c>
      <c r="AM190" s="21">
        <f t="shared" si="18"/>
        <v>51874</v>
      </c>
      <c r="AO190" s="21">
        <f t="shared" si="19"/>
        <v>118835</v>
      </c>
    </row>
    <row r="191" spans="22:41">
      <c r="V191" s="21">
        <f>其他调用!W191</f>
        <v>5.5</v>
      </c>
      <c r="W191" s="21">
        <f>其他调用!X191</f>
        <v>42.643360270022924</v>
      </c>
      <c r="X191" s="21">
        <f>求节点(将星点产出!$C$26:$C$34,将星点产出!E$26:E$34,其他调用!AD191)*其他调用!Y191</f>
        <v>0</v>
      </c>
      <c r="Y191" s="21">
        <f>求节点(将星点产出!$C$26:$C$34,将星点产出!F$26:F$34,其他调用!AE191)*其他调用!Z191</f>
        <v>0</v>
      </c>
      <c r="Z191" s="21">
        <f>求节点(将星点产出!$C$26:$C$34,将星点产出!G$26:G$34,其他调用!AF191)*其他调用!AA191</f>
        <v>0</v>
      </c>
      <c r="AA191" s="21">
        <f>求节点(将星点产出!$C$26:$C$34,将星点产出!H$26:H$34,其他调用!AG191)*其他调用!AB191</f>
        <v>18950.581723378615</v>
      </c>
      <c r="AB191" s="21">
        <f>求节点(将星点产出!$C$26:$C$34,将星点产出!I$26:I$34,其他调用!AH191)*其他调用!AC191</f>
        <v>0</v>
      </c>
      <c r="AC191" s="21">
        <f>求节点(将星点产出!$C$26:$C$34,将星点产出!F$26:F$34,其他调用!AM191)*其他调用!AI191</f>
        <v>0</v>
      </c>
      <c r="AD191" s="21">
        <f>求节点(将星点产出!$C$26:$C$34,将星点产出!G$26:G$34,其他调用!AN191)*其他调用!AJ191</f>
        <v>22400</v>
      </c>
      <c r="AE191" s="21">
        <f>求节点(将星点产出!$C$26:$C$34,将星点产出!H$26:H$34,其他调用!AO191)*其他调用!AK191</f>
        <v>50534.884595676303</v>
      </c>
      <c r="AF191" s="21">
        <f>求节点(将星点产出!$C$26:$C$34,将星点产出!I$26:I$34,其他调用!AP191)*其他调用!AL191</f>
        <v>0</v>
      </c>
      <c r="AG191" s="21">
        <f t="shared" si="17"/>
        <v>91885</v>
      </c>
      <c r="AI191" s="7">
        <f>求节点($N$26:$N$32,P$26:P$32,其他调用!BF191)*其他调用!BB191</f>
        <v>1578.722484431566</v>
      </c>
      <c r="AJ191" s="7">
        <f>求节点($N$26:$N$32,Q$26:Q$32,其他调用!BG191)*其他调用!BC191</f>
        <v>20339.8628170333</v>
      </c>
      <c r="AK191" s="7">
        <f>求节点($N$26:$N$32,R$26:R$32,其他调用!BH191)*其他调用!BD191</f>
        <v>42032.711641572052</v>
      </c>
      <c r="AL191" s="7">
        <f>求节点($N$26:$N$32,S$26:S$32,其他调用!BI191)*其他调用!BE191</f>
        <v>0</v>
      </c>
      <c r="AM191" s="21">
        <f t="shared" si="18"/>
        <v>63951</v>
      </c>
      <c r="AO191" s="21">
        <f t="shared" si="19"/>
        <v>155836</v>
      </c>
    </row>
    <row r="192" spans="22:41">
      <c r="V192" s="21">
        <f>其他调用!W192</f>
        <v>8.25</v>
      </c>
      <c r="W192" s="21">
        <f>其他调用!X192</f>
        <v>48.493134765265182</v>
      </c>
      <c r="X192" s="21">
        <f>求节点(将星点产出!$C$26:$C$34,将星点产出!E$26:E$34,其他调用!AD192)*其他调用!Y192</f>
        <v>0</v>
      </c>
      <c r="Y192" s="21">
        <f>求节点(将星点产出!$C$26:$C$34,将星点产出!F$26:F$34,其他调用!AE192)*其他调用!Z192</f>
        <v>0</v>
      </c>
      <c r="Z192" s="21">
        <f>求节点(将星点产出!$C$26:$C$34,将星点产出!G$26:G$34,其他调用!AF192)*其他调用!AA192</f>
        <v>0</v>
      </c>
      <c r="AA192" s="21">
        <f>求节点(将星点产出!$C$26:$C$34,将星点产出!H$26:H$34,其他调用!AG192)*其他调用!AB192</f>
        <v>24785.011121035641</v>
      </c>
      <c r="AB192" s="21">
        <f>求节点(将星点产出!$C$26:$C$34,将星点产出!I$26:I$34,其他调用!AH192)*其他调用!AC192</f>
        <v>0</v>
      </c>
      <c r="AC192" s="21">
        <f>求节点(将星点产出!$C$26:$C$34,将星点产出!F$26:F$34,其他调用!AM192)*其他调用!AI192</f>
        <v>0</v>
      </c>
      <c r="AD192" s="21">
        <f>求节点(将星点产出!$C$26:$C$34,将星点产出!G$26:G$34,其他调用!AN192)*其他调用!AJ192</f>
        <v>11200</v>
      </c>
      <c r="AE192" s="21">
        <f>求节点(将星点产出!$C$26:$C$34,将星点产出!H$26:H$34,其他调用!AO192)*其他调用!AK192</f>
        <v>82616.703736785479</v>
      </c>
      <c r="AF192" s="21">
        <f>求节点(将星点产出!$C$26:$C$34,将星点产出!I$26:I$34,其他调用!AP192)*其他调用!AL192</f>
        <v>0</v>
      </c>
      <c r="AG192" s="21">
        <f t="shared" si="17"/>
        <v>118601</v>
      </c>
      <c r="AI192" s="7">
        <f>求节点($N$26:$N$32,P$26:P$32,其他调用!BF192)*其他调用!BB192</f>
        <v>1650</v>
      </c>
      <c r="AJ192" s="7">
        <f>求节点($N$26:$N$32,Q$26:Q$32,其他调用!BG192)*其他调用!BC192</f>
        <v>28754.90995585535</v>
      </c>
      <c r="AK192" s="7">
        <f>求节点($N$26:$N$32,R$26:R$32,其他调用!BH192)*其他调用!BD192</f>
        <v>56112.790514372355</v>
      </c>
      <c r="AL192" s="7">
        <f>求节点($N$26:$N$32,S$26:S$32,其他调用!BI192)*其他调用!BE192</f>
        <v>0</v>
      </c>
      <c r="AM192" s="21">
        <f t="shared" si="18"/>
        <v>86517</v>
      </c>
      <c r="AO192" s="21">
        <f t="shared" si="19"/>
        <v>205118</v>
      </c>
    </row>
    <row r="193" spans="22:41">
      <c r="V193" s="21">
        <f>其他调用!W193</f>
        <v>11</v>
      </c>
      <c r="W193" s="21">
        <f>其他调用!X193</f>
        <v>52.559419343629337</v>
      </c>
      <c r="X193" s="21">
        <f>求节点(将星点产出!$C$26:$C$34,将星点产出!E$26:E$34,其他调用!AD193)*其他调用!Y193</f>
        <v>0</v>
      </c>
      <c r="Y193" s="21">
        <f>求节点(将星点产出!$C$26:$C$34,将星点产出!F$26:F$34,其他调用!AE193)*其他调用!Z193</f>
        <v>0</v>
      </c>
      <c r="Z193" s="21">
        <f>求节点(将星点产出!$C$26:$C$34,将星点产出!G$26:G$34,其他调用!AF193)*其他调用!AA193</f>
        <v>0</v>
      </c>
      <c r="AA193" s="21">
        <f>求节点(将星点产出!$C$26:$C$34,将星点产出!H$26:H$34,其他调用!AG193)*其他调用!AB193</f>
        <v>28753.423130860763</v>
      </c>
      <c r="AB193" s="21">
        <f>求节点(将星点产出!$C$26:$C$34,将星点产出!I$26:I$34,其他调用!AH193)*其他调用!AC193</f>
        <v>2500</v>
      </c>
      <c r="AC193" s="21">
        <f>求节点(将星点产出!$C$26:$C$34,将星点产出!F$26:F$34,其他调用!AM193)*其他调用!AI193</f>
        <v>0</v>
      </c>
      <c r="AD193" s="21">
        <f>求节点(将星点产出!$C$26:$C$34,将星点产出!G$26:G$34,其他调用!AN193)*其他调用!AJ193</f>
        <v>5600</v>
      </c>
      <c r="AE193" s="21">
        <f>求节点(将星点产出!$C$26:$C$34,将星点产出!H$26:H$34,其他调用!AO193)*其他调用!AK193</f>
        <v>126515.06177578737</v>
      </c>
      <c r="AF193" s="21">
        <f>求节点(将星点产出!$C$26:$C$34,将星点产出!I$26:I$34,其他调用!AP193)*其他调用!AL193</f>
        <v>0</v>
      </c>
      <c r="AG193" s="21">
        <f t="shared" si="17"/>
        <v>163368</v>
      </c>
      <c r="AI193" s="7">
        <f>求节点($N$26:$N$32,P$26:P$32,其他调用!BF193)*其他调用!BB193</f>
        <v>1650</v>
      </c>
      <c r="AJ193" s="7">
        <f>求节点($N$26:$N$32,Q$26:Q$32,其他调用!BG193)*其他调用!BC193</f>
        <v>36701.633314348728</v>
      </c>
      <c r="AK193" s="7">
        <f>求节点($N$26:$N$32,R$26:R$32,其他调用!BH193)*其他调用!BD193</f>
        <v>70182.021501200958</v>
      </c>
      <c r="AL193" s="7">
        <f>求节点($N$26:$N$32,S$26:S$32,其他调用!BI193)*其他调用!BE193</f>
        <v>0</v>
      </c>
      <c r="AM193" s="21">
        <f t="shared" si="18"/>
        <v>108533</v>
      </c>
      <c r="AO193" s="21">
        <f t="shared" si="19"/>
        <v>271901</v>
      </c>
    </row>
    <row r="194" spans="22:41">
      <c r="V194" s="21">
        <f>其他调用!W194</f>
        <v>16.5</v>
      </c>
      <c r="W194" s="21">
        <f>其他调用!X194</f>
        <v>58.560986008166232</v>
      </c>
      <c r="X194" s="21">
        <f>求节点(将星点产出!$C$26:$C$34,将星点产出!E$26:E$34,其他调用!AD194)*其他调用!Y194</f>
        <v>0</v>
      </c>
      <c r="Y194" s="21">
        <f>求节点(将星点产出!$C$26:$C$34,将星点产出!F$26:F$34,其他调用!AE194)*其他调用!Z194</f>
        <v>0</v>
      </c>
      <c r="Z194" s="21">
        <f>求节点(将星点产出!$C$26:$C$34,将星点产出!G$26:G$34,其他调用!AF194)*其他调用!AA194</f>
        <v>0</v>
      </c>
      <c r="AA194" s="21">
        <f>求节点(将星点产出!$C$26:$C$34,将星点产出!H$26:H$34,其他调用!AG194)*其他调用!AB194</f>
        <v>29258.658671380523</v>
      </c>
      <c r="AB194" s="21">
        <f>求节点(将星点产出!$C$26:$C$34,将星点产出!I$26:I$34,其他调用!AH194)*其他调用!AC194</f>
        <v>7938.1781747051082</v>
      </c>
      <c r="AC194" s="21">
        <f>求节点(将星点产出!$C$26:$C$34,将星点产出!F$26:F$34,其他调用!AM194)*其他调用!AI194</f>
        <v>0</v>
      </c>
      <c r="AD194" s="21">
        <f>求节点(将星点产出!$C$26:$C$34,将星点产出!G$26:G$34,其他调用!AN194)*其他调用!AJ194</f>
        <v>0</v>
      </c>
      <c r="AE194" s="21">
        <f>求节点(将星点产出!$C$26:$C$34,将星点产出!H$26:H$34,其他调用!AO194)*其他调用!AK194</f>
        <v>175551.95202828315</v>
      </c>
      <c r="AF194" s="21">
        <f>求节点(将星点产出!$C$26:$C$34,将星点产出!I$26:I$34,其他调用!AP194)*其他调用!AL194</f>
        <v>0</v>
      </c>
      <c r="AG194" s="21">
        <f t="shared" si="17"/>
        <v>212748</v>
      </c>
      <c r="AI194" s="7">
        <f>求节点($N$26:$N$32,P$26:P$32,其他调用!BF194)*其他调用!BB194</f>
        <v>1650</v>
      </c>
      <c r="AJ194" s="7">
        <f>求节点($N$26:$N$32,Q$26:Q$32,其他调用!BG194)*其他调用!BC194</f>
        <v>51778.408709578944</v>
      </c>
      <c r="AK194" s="7">
        <f>求节点($N$26:$N$32,R$26:R$32,其他调用!BH194)*其他调用!BD194</f>
        <v>97859.095795369183</v>
      </c>
      <c r="AL194" s="7">
        <f>求节点($N$26:$N$32,S$26:S$32,其他调用!BI194)*其他调用!BE194</f>
        <v>0</v>
      </c>
      <c r="AM194" s="21">
        <f t="shared" si="18"/>
        <v>151287</v>
      </c>
      <c r="AO194" s="21">
        <f t="shared" si="19"/>
        <v>364035</v>
      </c>
    </row>
    <row r="195" spans="22:41">
      <c r="V195" s="21">
        <f>其他调用!W195</f>
        <v>24.750000000000004</v>
      </c>
      <c r="W195" s="21">
        <f>其他调用!X195</f>
        <v>64.247064283227857</v>
      </c>
      <c r="X195" s="21">
        <f>求节点(将星点产出!$C$26:$C$34,将星点产出!E$26:E$34,其他调用!AD195)*其他调用!Y195</f>
        <v>0</v>
      </c>
      <c r="Y195" s="21">
        <f>求节点(将星点产出!$C$26:$C$34,将星点产出!F$26:F$34,其他调用!AE195)*其他调用!Z195</f>
        <v>0</v>
      </c>
      <c r="Z195" s="21">
        <f>求节点(将星点产出!$C$26:$C$34,将星点产出!G$26:G$34,其他调用!AF195)*其他调用!AA195</f>
        <v>0</v>
      </c>
      <c r="AA195" s="21">
        <f>求节点(将星点产出!$C$26:$C$34,将星点产出!H$26:H$34,其他调用!AG195)*其他调用!AB195</f>
        <v>23221.42993051279</v>
      </c>
      <c r="AB195" s="21">
        <f>求节点(将星点产出!$C$26:$C$34,将星点产出!I$26:I$34,其他调用!AH195)*其他调用!AC195</f>
        <v>23745.562626500978</v>
      </c>
      <c r="AC195" s="21">
        <f>求节点(将星点产出!$C$26:$C$34,将星点产出!F$26:F$34,其他调用!AM195)*其他调用!AI195</f>
        <v>0</v>
      </c>
      <c r="AD195" s="21">
        <f>求节点(将星点产出!$C$26:$C$34,将星点产出!G$26:G$34,其他调用!AN195)*其他调用!AJ195</f>
        <v>0</v>
      </c>
      <c r="AE195" s="21">
        <f>求节点(将星点产出!$C$26:$C$34,将星点产出!H$26:H$34,其他调用!AO195)*其他调用!AK195</f>
        <v>185771.43944410232</v>
      </c>
      <c r="AF195" s="21">
        <f>求节点(将星点产出!$C$26:$C$34,将星点产出!I$26:I$34,其他调用!AP195)*其他调用!AL195</f>
        <v>0</v>
      </c>
      <c r="AG195" s="21">
        <f t="shared" si="17"/>
        <v>232738</v>
      </c>
      <c r="AI195" s="7">
        <f>求节点($N$26:$N$32,P$26:P$32,其他调用!BF195)*其他调用!BB195</f>
        <v>1650</v>
      </c>
      <c r="AJ195" s="7">
        <f>求节点($N$26:$N$32,Q$26:Q$32,其他调用!BG195)*其他调用!BC195</f>
        <v>71400</v>
      </c>
      <c r="AK195" s="7">
        <f>求节点($N$26:$N$32,R$26:R$32,其他调用!BH195)*其他调用!BD195</f>
        <v>135058.7733913858</v>
      </c>
      <c r="AL195" s="7">
        <f>求节点($N$26:$N$32,S$26:S$32,其他调用!BI195)*其他调用!BE195</f>
        <v>0</v>
      </c>
      <c r="AM195" s="21">
        <f t="shared" si="18"/>
        <v>208108</v>
      </c>
      <c r="AO195" s="21">
        <f t="shared" si="19"/>
        <v>440846</v>
      </c>
    </row>
    <row r="196" spans="22:41">
      <c r="V196" s="21">
        <f>其他调用!W196</f>
        <v>33</v>
      </c>
      <c r="W196" s="21">
        <f>其他调用!X196</f>
        <v>68.518369035696878</v>
      </c>
      <c r="X196" s="21">
        <f>求节点(将星点产出!$C$26:$C$34,将星点产出!E$26:E$34,其他调用!AD196)*其他调用!Y196</f>
        <v>0</v>
      </c>
      <c r="Y196" s="21">
        <f>求节点(将星点产出!$C$26:$C$34,将星点产出!F$26:F$34,其他调用!AE196)*其他调用!Z196</f>
        <v>0</v>
      </c>
      <c r="Z196" s="21">
        <f>求节点(将星点产出!$C$26:$C$34,将星点产出!G$26:G$34,其他调用!AF196)*其他调用!AA196</f>
        <v>0</v>
      </c>
      <c r="AA196" s="21">
        <f>求节点(将星点产出!$C$26:$C$34,将星点产出!H$26:H$34,其他调用!AG196)*其他调用!AB196</f>
        <v>17254.185280053243</v>
      </c>
      <c r="AB196" s="21">
        <f>求节点(将星点产出!$C$26:$C$34,将星点产出!I$26:I$34,其他调用!AH196)*其他调用!AC196</f>
        <v>38892.753128720185</v>
      </c>
      <c r="AC196" s="21">
        <f>求节点(将星点产出!$C$26:$C$34,将星点产出!F$26:F$34,其他调用!AM196)*其他调用!AI196</f>
        <v>0</v>
      </c>
      <c r="AD196" s="21">
        <f>求节点(将星点产出!$C$26:$C$34,将星点产出!G$26:G$34,其他调用!AN196)*其他调用!AJ196</f>
        <v>0</v>
      </c>
      <c r="AE196" s="21">
        <f>求节点(将星点产出!$C$26:$C$34,将星点产出!H$26:H$34,其他调用!AO196)*其他调用!AK196</f>
        <v>207050.22336063892</v>
      </c>
      <c r="AF196" s="21">
        <f>求节点(将星点产出!$C$26:$C$34,将星点产出!I$26:I$34,其他调用!AP196)*其他调用!AL196</f>
        <v>0</v>
      </c>
      <c r="AG196" s="21">
        <f t="shared" si="17"/>
        <v>263197</v>
      </c>
      <c r="AI196" s="7">
        <f>求节点($N$26:$N$32,P$26:P$32,其他调用!BF196)*其他调用!BB196</f>
        <v>1650</v>
      </c>
      <c r="AJ196" s="7">
        <f>求节点($N$26:$N$32,Q$26:Q$32,其他调用!BG196)*其他调用!BC196</f>
        <v>71400</v>
      </c>
      <c r="AK196" s="7">
        <f>求节点($N$26:$N$32,R$26:R$32,其他调用!BH196)*其他调用!BD196</f>
        <v>168158.99612344263</v>
      </c>
      <c r="AL196" s="7">
        <f>求节点($N$26:$N$32,S$26:S$32,其他调用!BI196)*其他调用!BE196</f>
        <v>1800</v>
      </c>
      <c r="AM196" s="21">
        <f t="shared" si="18"/>
        <v>243008</v>
      </c>
      <c r="AO196" s="21">
        <f t="shared" si="19"/>
        <v>506205</v>
      </c>
    </row>
    <row r="197" spans="22:41">
      <c r="V197" s="21">
        <f>其他调用!W197</f>
        <v>41.25</v>
      </c>
      <c r="W197" s="21">
        <f>其他调用!X197</f>
        <v>71.7664716439551</v>
      </c>
      <c r="X197" s="21">
        <f>求节点(将星点产出!$C$26:$C$34,将星点产出!E$26:E$34,其他调用!AD197)*其他调用!Y197</f>
        <v>0</v>
      </c>
      <c r="Y197" s="21">
        <f>求节点(将星点产出!$C$26:$C$34,将星点产出!F$26:F$34,其他调用!AE197)*其他调用!Z197</f>
        <v>0</v>
      </c>
      <c r="Z197" s="21">
        <f>求节点(将星点产出!$C$26:$C$34,将星点产出!G$26:G$34,其他调用!AF197)*其他调用!AA197</f>
        <v>0</v>
      </c>
      <c r="AA197" s="21">
        <f>求节点(将星点产出!$C$26:$C$34,将星点产出!H$26:H$34,其他调用!AG197)*其他调用!AB197</f>
        <v>9606.2428586279457</v>
      </c>
      <c r="AB197" s="21">
        <f>求节点(将星点产出!$C$26:$C$34,将星点产出!I$26:I$34,其他调用!AH197)*其他调用!AC197</f>
        <v>53726.795505181726</v>
      </c>
      <c r="AC197" s="21">
        <f>求节点(将星点产出!$C$26:$C$34,将星点产出!F$26:F$34,其他调用!AM197)*其他调用!AI197</f>
        <v>0</v>
      </c>
      <c r="AD197" s="21">
        <f>求节点(将星点产出!$C$26:$C$34,将星点产出!G$26:G$34,其他调用!AN197)*其他调用!AJ197</f>
        <v>0</v>
      </c>
      <c r="AE197" s="21">
        <f>求节点(将星点产出!$C$26:$C$34,将星点产出!H$26:H$34,其他调用!AO197)*其他调用!AK197</f>
        <v>230549.8286070707</v>
      </c>
      <c r="AF197" s="21">
        <f>求节点(将星点产出!$C$26:$C$34,将星点产出!I$26:I$34,其他调用!AP197)*其他调用!AL197</f>
        <v>0</v>
      </c>
      <c r="AG197" s="21">
        <f t="shared" si="17"/>
        <v>293882</v>
      </c>
      <c r="AI197" s="7">
        <f>求节点($N$26:$N$32,P$26:P$32,其他调用!BF197)*其他调用!BB197</f>
        <v>1650</v>
      </c>
      <c r="AJ197" s="7">
        <f>求节点($N$26:$N$32,Q$26:Q$32,其他调用!BG197)*其他调用!BC197</f>
        <v>71400</v>
      </c>
      <c r="AK197" s="7">
        <f>求节点($N$26:$N$32,R$26:R$32,其他调用!BH197)*其他调用!BD197</f>
        <v>193972.05173024759</v>
      </c>
      <c r="AL197" s="7">
        <f>求节点($N$26:$N$32,S$26:S$32,其他调用!BI197)*其他调用!BE197</f>
        <v>2880.4878086825402</v>
      </c>
      <c r="AM197" s="21">
        <f t="shared" si="18"/>
        <v>269902</v>
      </c>
      <c r="AO197" s="21">
        <f t="shared" si="19"/>
        <v>563784</v>
      </c>
    </row>
    <row r="198" spans="22:41">
      <c r="V198" s="21">
        <f>其他调用!W198</f>
        <v>49.500000000000007</v>
      </c>
      <c r="W198" s="21">
        <f>其他调用!X198</f>
        <v>74.370993278111257</v>
      </c>
      <c r="X198" s="21">
        <f>求节点(将星点产出!$C$26:$C$34,将星点产出!E$26:E$34,其他调用!AD198)*其他调用!Y198</f>
        <v>0</v>
      </c>
      <c r="Y198" s="21">
        <f>求节点(将星点产出!$C$26:$C$34,将星点产出!F$26:F$34,其他调用!AE198)*其他调用!Z198</f>
        <v>0</v>
      </c>
      <c r="Z198" s="21">
        <f>求节点(将星点产出!$C$26:$C$34,将星点产出!G$26:G$34,其他调用!AF198)*其他调用!AA198</f>
        <v>0</v>
      </c>
      <c r="AA198" s="21">
        <f>求节点(将星点产出!$C$26:$C$34,将星点产出!H$26:H$34,其他调用!AG198)*其他调用!AB198</f>
        <v>5179.1539533478744</v>
      </c>
      <c r="AB198" s="21">
        <f>求节点(将星点产出!$C$26:$C$34,将星点产出!I$26:I$34,其他调用!AH198)*其他调用!AC198</f>
        <v>67245.919155494092</v>
      </c>
      <c r="AC198" s="21">
        <f>求节点(将星点产出!$C$26:$C$34,将星点产出!F$26:F$34,其他调用!AM198)*其他调用!AI198</f>
        <v>0</v>
      </c>
      <c r="AD198" s="21">
        <f>求节点(将星点产出!$C$26:$C$34,将星点产出!G$26:G$34,其他调用!AN198)*其他调用!AJ198</f>
        <v>0</v>
      </c>
      <c r="AE198" s="21">
        <f>求节点(将星点产出!$C$26:$C$34,将星点产出!H$26:H$34,其他调用!AO198)*其他调用!AK198</f>
        <v>248599.38976069796</v>
      </c>
      <c r="AF198" s="21">
        <f>求节点(将星点产出!$C$26:$C$34,将星点产出!I$26:I$34,其他调用!AP198)*其他调用!AL198</f>
        <v>0</v>
      </c>
      <c r="AG198" s="21">
        <f t="shared" si="17"/>
        <v>321024</v>
      </c>
      <c r="AI198" s="7">
        <f>求节点($N$26:$N$32,P$26:P$32,其他调用!BF198)*其他调用!BB198</f>
        <v>1650</v>
      </c>
      <c r="AJ198" s="7">
        <f>求节点($N$26:$N$32,Q$26:Q$32,其他调用!BG198)*其他调用!BC198</f>
        <v>71400</v>
      </c>
      <c r="AK198" s="7">
        <f>求节点($N$26:$N$32,R$26:R$32,其他调用!BH198)*其他调用!BD198</f>
        <v>219785.10733705253</v>
      </c>
      <c r="AL198" s="7">
        <f>求节点($N$26:$N$32,S$26:S$32,其他调用!BI198)*其他调用!BE198</f>
        <v>8662.0643741866643</v>
      </c>
      <c r="AM198" s="21">
        <f t="shared" si="18"/>
        <v>301497</v>
      </c>
      <c r="AO198" s="21">
        <f t="shared" si="19"/>
        <v>622521</v>
      </c>
    </row>
    <row r="199" spans="22:41">
      <c r="V199" s="21">
        <f>其他调用!W199</f>
        <v>60.500000000000007</v>
      </c>
      <c r="W199" s="21">
        <f>其他调用!X199</f>
        <v>77.234275947206214</v>
      </c>
      <c r="X199" s="21">
        <f>求节点(将星点产出!$C$26:$C$34,将星点产出!E$26:E$34,其他调用!AD199)*其他调用!Y199</f>
        <v>0</v>
      </c>
      <c r="Y199" s="21">
        <f>求节点(将星点产出!$C$26:$C$34,将星点产出!F$26:F$34,其他调用!AE199)*其他调用!Z199</f>
        <v>0</v>
      </c>
      <c r="Z199" s="21">
        <f>求节点(将星点产出!$C$26:$C$34,将星点产出!G$26:G$34,其他调用!AF199)*其他调用!AA199</f>
        <v>0</v>
      </c>
      <c r="AA199" s="21">
        <f>求节点(将星点产出!$C$26:$C$34,将星点产出!H$26:H$34,其他调用!AG199)*其他调用!AB199</f>
        <v>0</v>
      </c>
      <c r="AB199" s="21">
        <f>求节点(将星点产出!$C$26:$C$34,将星点产出!I$26:I$34,其他调用!AH199)*其他调用!AC199</f>
        <v>85076.949473650922</v>
      </c>
      <c r="AC199" s="21">
        <f>求节点(将星点产出!$C$26:$C$34,将星点产出!F$26:F$34,其他调用!AM199)*其他调用!AI199</f>
        <v>0</v>
      </c>
      <c r="AD199" s="21">
        <f>求节点(将星点产出!$C$26:$C$34,将星点产出!G$26:G$34,其他调用!AN199)*其他调用!AJ199</f>
        <v>0</v>
      </c>
      <c r="AE199" s="21">
        <f>求节点(将星点产出!$C$26:$C$34,将星点产出!H$26:H$34,其他调用!AO199)*其他调用!AK199</f>
        <v>271623.35027595167</v>
      </c>
      <c r="AF199" s="21">
        <f>求节点(将星点产出!$C$26:$C$34,将星点产出!I$26:I$34,其他调用!AP199)*其他调用!AL199</f>
        <v>0</v>
      </c>
      <c r="AG199" s="21">
        <f t="shared" si="17"/>
        <v>356700</v>
      </c>
      <c r="AI199" s="7">
        <f>求节点($N$26:$N$32,P$26:P$32,其他调用!BF199)*其他调用!BB199</f>
        <v>1650</v>
      </c>
      <c r="AJ199" s="7">
        <f>求节点($N$26:$N$32,Q$26:Q$32,其他调用!BG199)*其他调用!BC199</f>
        <v>71400</v>
      </c>
      <c r="AK199" s="7">
        <f>求节点($N$26:$N$32,R$26:R$32,其他调用!BH199)*其他调用!BD199</f>
        <v>254202.5148127923</v>
      </c>
      <c r="AL199" s="7">
        <f>求节点($N$26:$N$32,S$26:S$32,其他调用!BI199)*其他调用!BE199</f>
        <v>18155.707682640976</v>
      </c>
      <c r="AM199" s="21">
        <f t="shared" si="18"/>
        <v>345408</v>
      </c>
      <c r="AO199" s="21">
        <f t="shared" si="19"/>
        <v>702108</v>
      </c>
    </row>
    <row r="200" spans="22:41">
      <c r="V200" s="21">
        <f>其他调用!W200</f>
        <v>71.5</v>
      </c>
      <c r="W200" s="21">
        <f>其他调用!X200</f>
        <v>79.725666247801229</v>
      </c>
      <c r="X200" s="21">
        <f>求节点(将星点产出!$C$26:$C$34,将星点产出!E$26:E$34,其他调用!AD200)*其他调用!Y200</f>
        <v>0</v>
      </c>
      <c r="Y200" s="21">
        <f>求节点(将星点产出!$C$26:$C$34,将星点产出!F$26:F$34,其他调用!AE200)*其他调用!Z200</f>
        <v>0</v>
      </c>
      <c r="Z200" s="21">
        <f>求节点(将星点产出!$C$26:$C$34,将星点产出!G$26:G$34,其他调用!AF200)*其他调用!AA200</f>
        <v>0</v>
      </c>
      <c r="AA200" s="21">
        <f>求节点(将星点产出!$C$26:$C$34,将星点产出!H$26:H$34,其他调用!AG200)*其他调用!AB200</f>
        <v>0</v>
      </c>
      <c r="AB200" s="21">
        <f>求节点(将星点产出!$C$26:$C$34,将星点产出!I$26:I$34,其他调用!AH200)*其他调用!AC200</f>
        <v>107989.96279799628</v>
      </c>
      <c r="AC200" s="21">
        <f>求节点(将星点产出!$C$26:$C$34,将星点产出!F$26:F$34,其他调用!AM200)*其他调用!AI200</f>
        <v>0</v>
      </c>
      <c r="AD200" s="21">
        <f>求节点(将星点产出!$C$26:$C$34,将星点产出!G$26:G$34,其他调用!AN200)*其他调用!AJ200</f>
        <v>0</v>
      </c>
      <c r="AE200" s="21">
        <f>求节点(将星点产出!$C$26:$C$34,将星点产出!H$26:H$34,其他调用!AO200)*其他调用!AK200</f>
        <v>276000</v>
      </c>
      <c r="AF200" s="21">
        <f>求节点(将星点产出!$C$26:$C$34,将星点产出!I$26:I$34,其他调用!AP200)*其他调用!AL200</f>
        <v>0</v>
      </c>
      <c r="AG200" s="21">
        <f t="shared" si="17"/>
        <v>383989</v>
      </c>
      <c r="AI200" s="7">
        <f>求节点($N$26:$N$32,P$26:P$32,其他调用!BF200)*其他调用!BB200</f>
        <v>1650</v>
      </c>
      <c r="AJ200" s="7">
        <f>求节点($N$26:$N$32,Q$26:Q$32,其他调用!BG200)*其他调用!BC200</f>
        <v>71400</v>
      </c>
      <c r="AK200" s="7">
        <f>求节点($N$26:$N$32,R$26:R$32,其他调用!BH200)*其他调用!BD200</f>
        <v>256000</v>
      </c>
      <c r="AL200" s="7">
        <f>求节点($N$26:$N$32,S$26:S$32,其他调用!BI200)*其他调用!BE200</f>
        <v>23906.6500617165</v>
      </c>
      <c r="AM200" s="21">
        <f t="shared" si="18"/>
        <v>352956</v>
      </c>
      <c r="AO200" s="21">
        <f t="shared" si="19"/>
        <v>736945</v>
      </c>
    </row>
    <row r="201" spans="22:41">
      <c r="V201" s="21">
        <f>其他调用!W201</f>
        <v>82.5</v>
      </c>
      <c r="W201" s="21">
        <f>其他调用!X201</f>
        <v>81.863982387630472</v>
      </c>
      <c r="X201" s="21">
        <f>求节点(将星点产出!$C$26:$C$34,将星点产出!E$26:E$34,其他调用!AD201)*其他调用!Y201</f>
        <v>0</v>
      </c>
      <c r="Y201" s="21">
        <f>求节点(将星点产出!$C$26:$C$34,将星点产出!F$26:F$34,其他调用!AE201)*其他调用!Z201</f>
        <v>0</v>
      </c>
      <c r="Z201" s="21">
        <f>求节点(将星点产出!$C$26:$C$34,将星点产出!G$26:G$34,其他调用!AF201)*其他调用!AA201</f>
        <v>0</v>
      </c>
      <c r="AA201" s="21">
        <f>求节点(将星点产出!$C$26:$C$34,将星点产出!H$26:H$34,其他调用!AG201)*其他调用!AB201</f>
        <v>0</v>
      </c>
      <c r="AB201" s="21">
        <f>求节点(将星点产出!$C$26:$C$34,将星点产出!I$26:I$34,其他调用!AH201)*其他调用!AC201</f>
        <v>122330.80384211536</v>
      </c>
      <c r="AC201" s="21">
        <f>求节点(将星点产出!$C$26:$C$34,将星点产出!F$26:F$34,其他调用!AM201)*其他调用!AI201</f>
        <v>0</v>
      </c>
      <c r="AD201" s="21">
        <f>求节点(将星点产出!$C$26:$C$34,将星点产出!G$26:G$34,其他调用!AN201)*其他调用!AJ201</f>
        <v>0</v>
      </c>
      <c r="AE201" s="21">
        <f>求节点(将星点产出!$C$26:$C$34,将星点产出!H$26:H$34,其他调用!AO201)*其他调用!AK201</f>
        <v>276000</v>
      </c>
      <c r="AF201" s="21">
        <f>求节点(将星点产出!$C$26:$C$34,将星点产出!I$26:I$34,其他调用!AP201)*其他调用!AL201</f>
        <v>0</v>
      </c>
      <c r="AG201" s="21">
        <f t="shared" si="17"/>
        <v>398330</v>
      </c>
      <c r="AI201" s="7">
        <f>求节点($N$26:$N$32,P$26:P$32,其他调用!BF201)*其他调用!BB201</f>
        <v>1650</v>
      </c>
      <c r="AJ201" s="7">
        <f>求节点($N$26:$N$32,Q$26:Q$32,其他调用!BG201)*其他调用!BC201</f>
        <v>71400</v>
      </c>
      <c r="AK201" s="7">
        <f>求节点($N$26:$N$32,R$26:R$32,其他调用!BH201)*其他调用!BD201</f>
        <v>256000</v>
      </c>
      <c r="AL201" s="7">
        <f>求节点($N$26:$N$32,S$26:S$32,其他调用!BI201)*其他调用!BE201</f>
        <v>39742.369410076848</v>
      </c>
      <c r="AM201" s="21">
        <f t="shared" si="18"/>
        <v>368792</v>
      </c>
      <c r="AO201" s="21">
        <f t="shared" si="19"/>
        <v>767122</v>
      </c>
    </row>
    <row r="202" spans="22:41">
      <c r="V202" s="21">
        <f>其他调用!W202</f>
        <v>93.500000000000014</v>
      </c>
      <c r="W202" s="21">
        <f>其他调用!X202</f>
        <v>83.667042947574714</v>
      </c>
      <c r="X202" s="21">
        <f>求节点(将星点产出!$C$26:$C$34,将星点产出!E$26:E$34,其他调用!AD202)*其他调用!Y202</f>
        <v>0</v>
      </c>
      <c r="Y202" s="21">
        <f>求节点(将星点产出!$C$26:$C$34,将星点产出!F$26:F$34,其他调用!AE202)*其他调用!Z202</f>
        <v>0</v>
      </c>
      <c r="Z202" s="21">
        <f>求节点(将星点产出!$C$26:$C$34,将星点产出!G$26:G$34,其他调用!AF202)*其他调用!AA202</f>
        <v>0</v>
      </c>
      <c r="AA202" s="21">
        <f>求节点(将星点产出!$C$26:$C$34,将星点产出!H$26:H$34,其他调用!AG202)*其他调用!AB202</f>
        <v>0</v>
      </c>
      <c r="AB202" s="21">
        <f>求节点(将星点产出!$C$26:$C$34,将星点产出!I$26:I$34,其他调用!AH202)*其他调用!AC202</f>
        <v>128999.51339421983</v>
      </c>
      <c r="AC202" s="21">
        <f>求节点(将星点产出!$C$26:$C$34,将星点产出!F$26:F$34,其他调用!AM202)*其他调用!AI202</f>
        <v>0</v>
      </c>
      <c r="AD202" s="21">
        <f>求节点(将星点产出!$C$26:$C$34,将星点产出!G$26:G$34,其他调用!AN202)*其他调用!AJ202</f>
        <v>0</v>
      </c>
      <c r="AE202" s="21">
        <f>求节点(将星点产出!$C$26:$C$34,将星点产出!H$26:H$34,其他调用!AO202)*其他调用!AK202</f>
        <v>276000</v>
      </c>
      <c r="AF202" s="21">
        <f>求节点(将星点产出!$C$26:$C$34,将星点产出!I$26:I$34,其他调用!AP202)*其他调用!AL202</f>
        <v>0</v>
      </c>
      <c r="AG202" s="21">
        <f t="shared" si="17"/>
        <v>404999</v>
      </c>
      <c r="AI202" s="7">
        <f>求节点($N$26:$N$32,P$26:P$32,其他调用!BF202)*其他调用!BB202</f>
        <v>1650</v>
      </c>
      <c r="AJ202" s="7">
        <f>求节点($N$26:$N$32,Q$26:Q$32,其他调用!BG202)*其他调用!BC202</f>
        <v>71400</v>
      </c>
      <c r="AK202" s="7">
        <f>求节点($N$26:$N$32,R$26:R$32,其他调用!BH202)*其他调用!BD202</f>
        <v>256000</v>
      </c>
      <c r="AL202" s="7">
        <f>求节点($N$26:$N$32,S$26:S$32,其他调用!BI202)*其他调用!BE202</f>
        <v>59415.835015063654</v>
      </c>
      <c r="AM202" s="21">
        <f t="shared" si="18"/>
        <v>388465</v>
      </c>
      <c r="AO202" s="21">
        <f t="shared" si="19"/>
        <v>793464</v>
      </c>
    </row>
    <row r="203" spans="22:41">
      <c r="V203" s="21">
        <f>其他调用!W203</f>
        <v>110.00000000000001</v>
      </c>
      <c r="W203" s="21">
        <f>其他调用!X203</f>
        <v>86.154780808490059</v>
      </c>
      <c r="X203" s="21">
        <f>求节点(将星点产出!$C$26:$C$34,将星点产出!E$26:E$34,其他调用!AD203)*其他调用!Y203</f>
        <v>0</v>
      </c>
      <c r="Y203" s="21">
        <f>求节点(将星点产出!$C$26:$C$34,将星点产出!F$26:F$34,其他调用!AE203)*其他调用!Z203</f>
        <v>0</v>
      </c>
      <c r="Z203" s="21">
        <f>求节点(将星点产出!$C$26:$C$34,将星点产出!G$26:G$34,其他调用!AF203)*其他调用!AA203</f>
        <v>0</v>
      </c>
      <c r="AA203" s="21">
        <f>求节点(将星点产出!$C$26:$C$34,将星点产出!H$26:H$34,其他调用!AG203)*其他调用!AB203</f>
        <v>0</v>
      </c>
      <c r="AB203" s="21">
        <f>求节点(将星点产出!$C$26:$C$34,将星点产出!I$26:I$34,其他调用!AH203)*其他调用!AC203</f>
        <v>138702.64165594059</v>
      </c>
      <c r="AC203" s="21">
        <f>求节点(将星点产出!$C$26:$C$34,将星点产出!F$26:F$34,其他调用!AM203)*其他调用!AI203</f>
        <v>0</v>
      </c>
      <c r="AD203" s="21">
        <f>求节点(将星点产出!$C$26:$C$34,将星点产出!G$26:G$34,其他调用!AN203)*其他调用!AJ203</f>
        <v>0</v>
      </c>
      <c r="AE203" s="21">
        <f>求节点(将星点产出!$C$26:$C$34,将星点产出!H$26:H$34,其他调用!AO203)*其他调用!AK203</f>
        <v>276000</v>
      </c>
      <c r="AF203" s="21">
        <f>求节点(将星点产出!$C$26:$C$34,将星点产出!I$26:I$34,其他调用!AP203)*其他调用!AL203</f>
        <v>0</v>
      </c>
      <c r="AG203" s="21">
        <f t="shared" si="17"/>
        <v>414702</v>
      </c>
      <c r="AI203" s="7">
        <f>求节点($N$26:$N$32,P$26:P$32,其他调用!BF203)*其他调用!BB203</f>
        <v>1650</v>
      </c>
      <c r="AJ203" s="7">
        <f>求节点($N$26:$N$32,Q$26:Q$32,其他调用!BG203)*其他调用!BC203</f>
        <v>71400</v>
      </c>
      <c r="AK203" s="7">
        <f>求节点($N$26:$N$32,R$26:R$32,其他调用!BH203)*其他调用!BD203</f>
        <v>256000</v>
      </c>
      <c r="AL203" s="7">
        <f>求节点($N$26:$N$32,S$26:S$32,其他调用!BI203)*其他调用!BE203</f>
        <v>88504.889532975954</v>
      </c>
      <c r="AM203" s="21">
        <f t="shared" si="18"/>
        <v>417554</v>
      </c>
      <c r="AO203" s="21">
        <f t="shared" si="19"/>
        <v>832256</v>
      </c>
    </row>
    <row r="204" spans="22:41">
      <c r="V204" s="21">
        <f>其他调用!W204</f>
        <v>143</v>
      </c>
      <c r="W204" s="21">
        <f>其他调用!X204</f>
        <v>90.480184629206022</v>
      </c>
      <c r="X204" s="21">
        <f>求节点(将星点产出!$C$26:$C$34,将星点产出!E$26:E$34,其他调用!AD204)*其他调用!Y204</f>
        <v>0</v>
      </c>
      <c r="Y204" s="21">
        <f>求节点(将星点产出!$C$26:$C$34,将星点产出!F$26:F$34,其他调用!AE204)*其他调用!Z204</f>
        <v>0</v>
      </c>
      <c r="Z204" s="21">
        <f>求节点(将星点产出!$C$26:$C$34,将星点产出!G$26:G$34,其他调用!AF204)*其他调用!AA204</f>
        <v>0</v>
      </c>
      <c r="AA204" s="21">
        <f>求节点(将星点产出!$C$26:$C$34,将星点产出!H$26:H$34,其他调用!AG204)*其他调用!AB204</f>
        <v>0</v>
      </c>
      <c r="AB204" s="21">
        <f>求节点(将星点产出!$C$26:$C$34,将星点产出!I$26:I$34,其他调用!AH204)*其他调用!AC204</f>
        <v>160965.33751860293</v>
      </c>
      <c r="AC204" s="21">
        <f>求节点(将星点产出!$C$26:$C$34,将星点产出!F$26:F$34,其他调用!AM204)*其他调用!AI204</f>
        <v>0</v>
      </c>
      <c r="AD204" s="21">
        <f>求节点(将星点产出!$C$26:$C$34,将星点产出!G$26:G$34,其他调用!AN204)*其他调用!AJ204</f>
        <v>0</v>
      </c>
      <c r="AE204" s="21">
        <f>求节点(将星点产出!$C$26:$C$34,将星点产出!H$26:H$34,其他调用!AO204)*其他调用!AK204</f>
        <v>276000</v>
      </c>
      <c r="AF204" s="21">
        <f>求节点(将星点产出!$C$26:$C$34,将星点产出!I$26:I$34,其他调用!AP204)*其他调用!AL204</f>
        <v>0</v>
      </c>
      <c r="AG204" s="21">
        <f t="shared" si="17"/>
        <v>436965</v>
      </c>
      <c r="AI204" s="7">
        <f>求节点($N$26:$N$32,P$26:P$32,其他调用!BF204)*其他调用!BB204</f>
        <v>1650</v>
      </c>
      <c r="AJ204" s="7">
        <f>求节点($N$26:$N$32,Q$26:Q$32,其他调用!BG204)*其他调用!BC204</f>
        <v>71400</v>
      </c>
      <c r="AK204" s="7">
        <f>求节点($N$26:$N$32,R$26:R$32,其他调用!BH204)*其他调用!BD204</f>
        <v>256000</v>
      </c>
      <c r="AL204" s="7">
        <f>求节点($N$26:$N$32,S$26:S$32,其他调用!BI204)*其他调用!BE204</f>
        <v>163867.0763090715</v>
      </c>
      <c r="AM204" s="21">
        <f t="shared" si="18"/>
        <v>492917</v>
      </c>
      <c r="AO204" s="21">
        <f t="shared" si="19"/>
        <v>929882</v>
      </c>
    </row>
    <row r="205" spans="22:41">
      <c r="V205" s="21">
        <f>其他调用!W205</f>
        <v>176</v>
      </c>
      <c r="W205" s="21">
        <f>其他调用!X205</f>
        <v>93.6774218048877</v>
      </c>
      <c r="X205" s="21">
        <f>求节点(将星点产出!$C$26:$C$34,将星点产出!E$26:E$34,其他调用!AD205)*其他调用!Y205</f>
        <v>0</v>
      </c>
      <c r="Y205" s="21">
        <f>求节点(将星点产出!$C$26:$C$34,将星点产出!F$26:F$34,其他调用!AE205)*其他调用!Z205</f>
        <v>0</v>
      </c>
      <c r="Z205" s="21">
        <f>求节点(将星点产出!$C$26:$C$34,将星点产出!G$26:G$34,其他调用!AF205)*其他调用!AA205</f>
        <v>0</v>
      </c>
      <c r="AA205" s="21">
        <f>求节点(将星点产出!$C$26:$C$34,将星点产出!H$26:H$34,其他调用!AG205)*其他调用!AB205</f>
        <v>0</v>
      </c>
      <c r="AB205" s="21">
        <f>求节点(将星点产出!$C$26:$C$34,将星点产出!I$26:I$34,其他调用!AH205)*其他调用!AC205</f>
        <v>187500</v>
      </c>
      <c r="AC205" s="21">
        <f>求节点(将星点产出!$C$26:$C$34,将星点产出!F$26:F$34,其他调用!AM205)*其他调用!AI205</f>
        <v>0</v>
      </c>
      <c r="AD205" s="21">
        <f>求节点(将星点产出!$C$26:$C$34,将星点产出!G$26:G$34,其他调用!AN205)*其他调用!AJ205</f>
        <v>0</v>
      </c>
      <c r="AE205" s="21">
        <f>求节点(将星点产出!$C$26:$C$34,将星点产出!H$26:H$34,其他调用!AO205)*其他调用!AK205</f>
        <v>276000</v>
      </c>
      <c r="AF205" s="21">
        <f>求节点(将星点产出!$C$26:$C$34,将星点产出!I$26:I$34,其他调用!AP205)*其他调用!AL205</f>
        <v>0</v>
      </c>
      <c r="AG205" s="21">
        <f t="shared" si="17"/>
        <v>463500</v>
      </c>
      <c r="AI205" s="7">
        <f>求节点($N$26:$N$32,P$26:P$32,其他调用!BF205)*其他调用!BB205</f>
        <v>1650</v>
      </c>
      <c r="AJ205" s="7">
        <f>求节点($N$26:$N$32,Q$26:Q$32,其他调用!BG205)*其他调用!BC205</f>
        <v>71400</v>
      </c>
      <c r="AK205" s="7">
        <f>求节点($N$26:$N$32,R$26:R$32,其他调用!BH205)*其他调用!BD205</f>
        <v>256000</v>
      </c>
      <c r="AL205" s="7">
        <f>求节点($N$26:$N$32,S$26:S$32,其他调用!BI205)*其他调用!BE205</f>
        <v>256000</v>
      </c>
      <c r="AM205" s="21">
        <f t="shared" si="18"/>
        <v>585050</v>
      </c>
      <c r="AO205" s="21">
        <f t="shared" si="19"/>
        <v>1048550</v>
      </c>
    </row>
    <row r="206" spans="22:41">
      <c r="V206" s="21">
        <f>其他调用!W206</f>
        <v>225.50000000000003</v>
      </c>
      <c r="W206" s="21">
        <f>其他调用!X206</f>
        <v>97.125654465362558</v>
      </c>
      <c r="X206" s="21">
        <f>求节点(将星点产出!$C$26:$C$34,将星点产出!E$26:E$34,其他调用!AD206)*其他调用!Y206</f>
        <v>0</v>
      </c>
      <c r="Y206" s="21">
        <f>求节点(将星点产出!$C$26:$C$34,将星点产出!F$26:F$34,其他调用!AE206)*其他调用!Z206</f>
        <v>0</v>
      </c>
      <c r="Z206" s="21">
        <f>求节点(将星点产出!$C$26:$C$34,将星点产出!G$26:G$34,其他调用!AF206)*其他调用!AA206</f>
        <v>0</v>
      </c>
      <c r="AA206" s="21">
        <f>求节点(将星点产出!$C$26:$C$34,将星点产出!H$26:H$34,其他调用!AG206)*其他调用!AB206</f>
        <v>0</v>
      </c>
      <c r="AB206" s="21">
        <f>求节点(将星点产出!$C$26:$C$34,将星点产出!I$26:I$34,其他调用!AH206)*其他调用!AC206</f>
        <v>187500</v>
      </c>
      <c r="AC206" s="21">
        <f>求节点(将星点产出!$C$26:$C$34,将星点产出!F$26:F$34,其他调用!AM206)*其他调用!AI206</f>
        <v>0</v>
      </c>
      <c r="AD206" s="21">
        <f>求节点(将星点产出!$C$26:$C$34,将星点产出!G$26:G$34,其他调用!AN206)*其他调用!AJ206</f>
        <v>0</v>
      </c>
      <c r="AE206" s="21">
        <f>求节点(将星点产出!$C$26:$C$34,将星点产出!H$26:H$34,其他调用!AO206)*其他调用!AK206</f>
        <v>276000</v>
      </c>
      <c r="AF206" s="21">
        <f>求节点(将星点产出!$C$26:$C$34,将星点产出!I$26:I$34,其他调用!AP206)*其他调用!AL206</f>
        <v>0</v>
      </c>
      <c r="AG206" s="21">
        <f t="shared" si="17"/>
        <v>463500</v>
      </c>
      <c r="AI206" s="7">
        <f>求节点($N$26:$N$32,P$26:P$32,其他调用!BF206)*其他调用!BB206</f>
        <v>1650</v>
      </c>
      <c r="AJ206" s="7">
        <f>求节点($N$26:$N$32,Q$26:Q$32,其他调用!BG206)*其他调用!BC206</f>
        <v>71400</v>
      </c>
      <c r="AK206" s="7">
        <f>求节点($N$26:$N$32,R$26:R$32,其他调用!BH206)*其他调用!BD206</f>
        <v>256000</v>
      </c>
      <c r="AL206" s="7">
        <f>求节点($N$26:$N$32,S$26:S$32,其他调用!BI206)*其他调用!BE206</f>
        <v>358400</v>
      </c>
      <c r="AM206" s="21">
        <f t="shared" si="18"/>
        <v>687450</v>
      </c>
      <c r="AO206" s="21">
        <f t="shared" si="19"/>
        <v>1150950</v>
      </c>
    </row>
    <row r="207" spans="22:41">
      <c r="V207" s="21">
        <f>其他调用!W207</f>
        <v>291.5</v>
      </c>
      <c r="W207" s="21">
        <f>其他调用!X207</f>
        <v>100.89689545435591</v>
      </c>
      <c r="X207" s="21">
        <f>求节点(将星点产出!$C$26:$C$34,将星点产出!E$26:E$34,其他调用!AD207)*其他调用!Y207</f>
        <v>0</v>
      </c>
      <c r="Y207" s="21">
        <f>求节点(将星点产出!$C$26:$C$34,将星点产出!F$26:F$34,其他调用!AE207)*其他调用!Z207</f>
        <v>0</v>
      </c>
      <c r="Z207" s="21">
        <f>求节点(将星点产出!$C$26:$C$34,将星点产出!G$26:G$34,其他调用!AF207)*其他调用!AA207</f>
        <v>0</v>
      </c>
      <c r="AA207" s="21">
        <f>求节点(将星点产出!$C$26:$C$34,将星点产出!H$26:H$34,其他调用!AG207)*其他调用!AB207</f>
        <v>0</v>
      </c>
      <c r="AB207" s="21">
        <f>求节点(将星点产出!$C$26:$C$34,将星点产出!I$26:I$34,其他调用!AH207)*其他调用!AC207</f>
        <v>187500</v>
      </c>
      <c r="AC207" s="21">
        <f>求节点(将星点产出!$C$26:$C$34,将星点产出!F$26:F$34,其他调用!AM207)*其他调用!AI207</f>
        <v>0</v>
      </c>
      <c r="AD207" s="21">
        <f>求节点(将星点产出!$C$26:$C$34,将星点产出!G$26:G$34,其他调用!AN207)*其他调用!AJ207</f>
        <v>0</v>
      </c>
      <c r="AE207" s="21">
        <f>求节点(将星点产出!$C$26:$C$34,将星点产出!H$26:H$34,其他调用!AO207)*其他调用!AK207</f>
        <v>276000</v>
      </c>
      <c r="AF207" s="21">
        <f>求节点(将星点产出!$C$26:$C$34,将星点产出!I$26:I$34,其他调用!AP207)*其他调用!AL207</f>
        <v>0</v>
      </c>
      <c r="AG207" s="21">
        <f t="shared" si="17"/>
        <v>463500</v>
      </c>
      <c r="AI207" s="7">
        <f>求节点($N$26:$N$32,P$26:P$32,其他调用!BF207)*其他调用!BB207</f>
        <v>1650</v>
      </c>
      <c r="AJ207" s="7">
        <f>求节点($N$26:$N$32,Q$26:Q$32,其他调用!BG207)*其他调用!BC207</f>
        <v>71400</v>
      </c>
      <c r="AK207" s="7">
        <f>求节点($N$26:$N$32,R$26:R$32,其他调用!BH207)*其他调用!BD207</f>
        <v>256000</v>
      </c>
      <c r="AL207" s="7">
        <f>求节点($N$26:$N$32,S$26:S$32,其他调用!BI207)*其他调用!BE207</f>
        <v>460800</v>
      </c>
      <c r="AM207" s="21">
        <f t="shared" si="18"/>
        <v>789850</v>
      </c>
      <c r="AO207" s="21">
        <f t="shared" si="19"/>
        <v>1253350</v>
      </c>
    </row>
    <row r="208" spans="22:41">
      <c r="V208" s="21">
        <f>其他调用!W208</f>
        <v>374.00000000000006</v>
      </c>
      <c r="W208" s="21">
        <f>其他调用!X208</f>
        <v>104.52148587104635</v>
      </c>
      <c r="X208" s="21">
        <f>求节点(将星点产出!$C$26:$C$34,将星点产出!E$26:E$34,其他调用!AD208)*其他调用!Y208</f>
        <v>0</v>
      </c>
      <c r="Y208" s="21">
        <f>求节点(将星点产出!$C$26:$C$34,将星点产出!F$26:F$34,其他调用!AE208)*其他调用!Z208</f>
        <v>0</v>
      </c>
      <c r="Z208" s="21">
        <f>求节点(将星点产出!$C$26:$C$34,将星点产出!G$26:G$34,其他调用!AF208)*其他调用!AA208</f>
        <v>0</v>
      </c>
      <c r="AA208" s="21">
        <f>求节点(将星点产出!$C$26:$C$34,将星点产出!H$26:H$34,其他调用!AG208)*其他调用!AB208</f>
        <v>0</v>
      </c>
      <c r="AB208" s="21">
        <f>求节点(将星点产出!$C$26:$C$34,将星点产出!I$26:I$34,其他调用!AH208)*其他调用!AC208</f>
        <v>187500</v>
      </c>
      <c r="AC208" s="21">
        <f>求节点(将星点产出!$C$26:$C$34,将星点产出!F$26:F$34,其他调用!AM208)*其他调用!AI208</f>
        <v>0</v>
      </c>
      <c r="AD208" s="21">
        <f>求节点(将星点产出!$C$26:$C$34,将星点产出!G$26:G$34,其他调用!AN208)*其他调用!AJ208</f>
        <v>0</v>
      </c>
      <c r="AE208" s="21">
        <f>求节点(将星点产出!$C$26:$C$34,将星点产出!H$26:H$34,其他调用!AO208)*其他调用!AK208</f>
        <v>276000</v>
      </c>
      <c r="AF208" s="21">
        <f>求节点(将星点产出!$C$26:$C$34,将星点产出!I$26:I$34,其他调用!AP208)*其他调用!AL208</f>
        <v>0</v>
      </c>
      <c r="AG208" s="21">
        <f t="shared" si="17"/>
        <v>463500</v>
      </c>
      <c r="AI208" s="7">
        <f>求节点($N$26:$N$32,P$26:P$32,其他调用!BF208)*其他调用!BB208</f>
        <v>1650</v>
      </c>
      <c r="AJ208" s="7">
        <f>求节点($N$26:$N$32,Q$26:Q$32,其他调用!BG208)*其他调用!BC208</f>
        <v>71400</v>
      </c>
      <c r="AK208" s="7">
        <f>求节点($N$26:$N$32,R$26:R$32,其他调用!BH208)*其他调用!BD208</f>
        <v>256000</v>
      </c>
      <c r="AL208" s="7">
        <f>求节点($N$26:$N$32,S$26:S$32,其他调用!BI208)*其他调用!BE208</f>
        <v>512000</v>
      </c>
      <c r="AM208" s="21">
        <f t="shared" si="18"/>
        <v>841050</v>
      </c>
      <c r="AO208" s="21">
        <f t="shared" si="19"/>
        <v>1304550</v>
      </c>
    </row>
    <row r="209" spans="22:41">
      <c r="V209" s="21">
        <f>其他调用!W209</f>
        <v>473.00000000000006</v>
      </c>
      <c r="W209" s="21">
        <f>其他调用!X209</f>
        <v>108.05586950728798</v>
      </c>
      <c r="X209" s="21">
        <f>求节点(将星点产出!$C$26:$C$34,将星点产出!E$26:E$34,其他调用!AD209)*其他调用!Y209</f>
        <v>0</v>
      </c>
      <c r="Y209" s="21">
        <f>求节点(将星点产出!$C$26:$C$34,将星点产出!F$26:F$34,其他调用!AE209)*其他调用!Z209</f>
        <v>0</v>
      </c>
      <c r="Z209" s="21">
        <f>求节点(将星点产出!$C$26:$C$34,将星点产出!G$26:G$34,其他调用!AF209)*其他调用!AA209</f>
        <v>0</v>
      </c>
      <c r="AA209" s="21">
        <f>求节点(将星点产出!$C$26:$C$34,将星点产出!H$26:H$34,其他调用!AG209)*其他调用!AB209</f>
        <v>0</v>
      </c>
      <c r="AB209" s="21">
        <f>求节点(将星点产出!$C$26:$C$34,将星点产出!I$26:I$34,其他调用!AH209)*其他调用!AC209</f>
        <v>187500</v>
      </c>
      <c r="AC209" s="21">
        <f>求节点(将星点产出!$C$26:$C$34,将星点产出!F$26:F$34,其他调用!AM209)*其他调用!AI209</f>
        <v>0</v>
      </c>
      <c r="AD209" s="21">
        <f>求节点(将星点产出!$C$26:$C$34,将星点产出!G$26:G$34,其他调用!AN209)*其他调用!AJ209</f>
        <v>0</v>
      </c>
      <c r="AE209" s="21">
        <f>求节点(将星点产出!$C$26:$C$34,将星点产出!H$26:H$34,其他调用!AO209)*其他调用!AK209</f>
        <v>276000</v>
      </c>
      <c r="AF209" s="21">
        <f>求节点(将星点产出!$C$26:$C$34,将星点产出!I$26:I$34,其他调用!AP209)*其他调用!AL209</f>
        <v>0</v>
      </c>
      <c r="AG209" s="21">
        <f t="shared" si="17"/>
        <v>463500</v>
      </c>
      <c r="AI209" s="7">
        <f>求节点($N$26:$N$32,P$26:P$32,其他调用!BF209)*其他调用!BB209</f>
        <v>1650</v>
      </c>
      <c r="AJ209" s="7">
        <f>求节点($N$26:$N$32,Q$26:Q$32,其他调用!BG209)*其他调用!BC209</f>
        <v>71400</v>
      </c>
      <c r="AK209" s="7">
        <f>求节点($N$26:$N$32,R$26:R$32,其他调用!BH209)*其他调用!BD209</f>
        <v>256000</v>
      </c>
      <c r="AL209" s="7">
        <f>求节点($N$26:$N$32,S$26:S$32,其他调用!BI209)*其他调用!BE209</f>
        <v>512000</v>
      </c>
      <c r="AM209" s="21">
        <f t="shared" si="18"/>
        <v>841050</v>
      </c>
      <c r="AO209" s="21">
        <f t="shared" si="19"/>
        <v>1304550</v>
      </c>
    </row>
    <row r="210" spans="22:41">
      <c r="V210" s="21">
        <f>其他调用!W210</f>
        <v>605</v>
      </c>
      <c r="W210" s="21">
        <f>其他调用!X210</f>
        <v>111.54601176466306</v>
      </c>
      <c r="X210" s="21">
        <f>求节点(将星点产出!$C$26:$C$34,将星点产出!E$26:E$34,其他调用!AD210)*其他调用!Y210</f>
        <v>0</v>
      </c>
      <c r="Y210" s="21">
        <f>求节点(将星点产出!$C$26:$C$34,将星点产出!F$26:F$34,其他调用!AE210)*其他调用!Z210</f>
        <v>0</v>
      </c>
      <c r="Z210" s="21">
        <f>求节点(将星点产出!$C$26:$C$34,将星点产出!G$26:G$34,其他调用!AF210)*其他调用!AA210</f>
        <v>0</v>
      </c>
      <c r="AA210" s="21">
        <f>求节点(将星点产出!$C$26:$C$34,将星点产出!H$26:H$34,其他调用!AG210)*其他调用!AB210</f>
        <v>0</v>
      </c>
      <c r="AB210" s="21">
        <f>求节点(将星点产出!$C$26:$C$34,将星点产出!I$26:I$34,其他调用!AH210)*其他调用!AC210</f>
        <v>187500</v>
      </c>
      <c r="AC210" s="21">
        <f>求节点(将星点产出!$C$26:$C$34,将星点产出!F$26:F$34,其他调用!AM210)*其他调用!AI210</f>
        <v>0</v>
      </c>
      <c r="AD210" s="21">
        <f>求节点(将星点产出!$C$26:$C$34,将星点产出!G$26:G$34,其他调用!AN210)*其他调用!AJ210</f>
        <v>0</v>
      </c>
      <c r="AE210" s="21">
        <f>求节点(将星点产出!$C$26:$C$34,将星点产出!H$26:H$34,其他调用!AO210)*其他调用!AK210</f>
        <v>276000</v>
      </c>
      <c r="AF210" s="21">
        <f>求节点(将星点产出!$C$26:$C$34,将星点产出!I$26:I$34,其他调用!AP210)*其他调用!AL210</f>
        <v>0</v>
      </c>
      <c r="AG210" s="21">
        <f t="shared" si="17"/>
        <v>463500</v>
      </c>
      <c r="AI210" s="7">
        <f>求节点($N$26:$N$32,P$26:P$32,其他调用!BF210)*其他调用!BB210</f>
        <v>1650</v>
      </c>
      <c r="AJ210" s="7">
        <f>求节点($N$26:$N$32,Q$26:Q$32,其他调用!BG210)*其他调用!BC210</f>
        <v>71400</v>
      </c>
      <c r="AK210" s="7">
        <f>求节点($N$26:$N$32,R$26:R$32,其他调用!BH210)*其他调用!BD210</f>
        <v>256000</v>
      </c>
      <c r="AL210" s="7">
        <f>求节点($N$26:$N$32,S$26:S$32,其他调用!BI210)*其他调用!BE210</f>
        <v>512000</v>
      </c>
      <c r="AM210" s="21">
        <f t="shared" si="18"/>
        <v>841050</v>
      </c>
      <c r="AO210" s="21">
        <f t="shared" si="19"/>
        <v>1304550</v>
      </c>
    </row>
    <row r="211" spans="22:41">
      <c r="V211" s="21">
        <f>其他调用!W211</f>
        <v>770.00000000000011</v>
      </c>
      <c r="W211" s="21">
        <f>其他调用!X211</f>
        <v>115.20444967370992</v>
      </c>
      <c r="X211" s="21">
        <f>求节点(将星点产出!$C$26:$C$34,将星点产出!E$26:E$34,其他调用!AD211)*其他调用!Y211</f>
        <v>0</v>
      </c>
      <c r="Y211" s="21">
        <f>求节点(将星点产出!$C$26:$C$34,将星点产出!F$26:F$34,其他调用!AE211)*其他调用!Z211</f>
        <v>0</v>
      </c>
      <c r="Z211" s="21">
        <f>求节点(将星点产出!$C$26:$C$34,将星点产出!G$26:G$34,其他调用!AF211)*其他调用!AA211</f>
        <v>0</v>
      </c>
      <c r="AA211" s="21">
        <f>求节点(将星点产出!$C$26:$C$34,将星点产出!H$26:H$34,其他调用!AG211)*其他调用!AB211</f>
        <v>0</v>
      </c>
      <c r="AB211" s="21">
        <f>求节点(将星点产出!$C$26:$C$34,将星点产出!I$26:I$34,其他调用!AH211)*其他调用!AC211</f>
        <v>187500</v>
      </c>
      <c r="AC211" s="21">
        <f>求节点(将星点产出!$C$26:$C$34,将星点产出!F$26:F$34,其他调用!AM211)*其他调用!AI211</f>
        <v>0</v>
      </c>
      <c r="AD211" s="21">
        <f>求节点(将星点产出!$C$26:$C$34,将星点产出!G$26:G$34,其他调用!AN211)*其他调用!AJ211</f>
        <v>0</v>
      </c>
      <c r="AE211" s="21">
        <f>求节点(将星点产出!$C$26:$C$34,将星点产出!H$26:H$34,其他调用!AO211)*其他调用!AK211</f>
        <v>276000</v>
      </c>
      <c r="AF211" s="21">
        <f>求节点(将星点产出!$C$26:$C$34,将星点产出!I$26:I$34,其他调用!AP211)*其他调用!AL211</f>
        <v>0</v>
      </c>
      <c r="AG211" s="21">
        <f t="shared" si="17"/>
        <v>463500</v>
      </c>
      <c r="AI211" s="7">
        <f>求节点($N$26:$N$32,P$26:P$32,其他调用!BF211)*其他调用!BB211</f>
        <v>1650</v>
      </c>
      <c r="AJ211" s="7">
        <f>求节点($N$26:$N$32,Q$26:Q$32,其他调用!BG211)*其他调用!BC211</f>
        <v>71400</v>
      </c>
      <c r="AK211" s="7">
        <f>求节点($N$26:$N$32,R$26:R$32,其他调用!BH211)*其他调用!BD211</f>
        <v>256000</v>
      </c>
      <c r="AL211" s="7">
        <f>求节点($N$26:$N$32,S$26:S$32,其他调用!BI211)*其他调用!BE211</f>
        <v>512000</v>
      </c>
      <c r="AM211" s="21">
        <f t="shared" si="18"/>
        <v>841050</v>
      </c>
      <c r="AO211" s="21">
        <f t="shared" si="19"/>
        <v>1304550</v>
      </c>
    </row>
    <row r="212" spans="22:41">
      <c r="V212" s="21">
        <f>其他调用!W212</f>
        <v>984.50000000000011</v>
      </c>
      <c r="W212" s="21">
        <f>其他调用!X212</f>
        <v>118.75432507225094</v>
      </c>
      <c r="X212" s="21">
        <f>求节点(将星点产出!$C$26:$C$34,将星点产出!E$26:E$34,其他调用!AD212)*其他调用!Y212</f>
        <v>0</v>
      </c>
      <c r="Y212" s="21">
        <f>求节点(将星点产出!$C$26:$C$34,将星点产出!F$26:F$34,其他调用!AE212)*其他调用!Z212</f>
        <v>0</v>
      </c>
      <c r="Z212" s="21">
        <f>求节点(将星点产出!$C$26:$C$34,将星点产出!G$26:G$34,其他调用!AF212)*其他调用!AA212</f>
        <v>0</v>
      </c>
      <c r="AA212" s="21">
        <f>求节点(将星点产出!$C$26:$C$34,将星点产出!H$26:H$34,其他调用!AG212)*其他调用!AB212</f>
        <v>0</v>
      </c>
      <c r="AB212" s="21">
        <f>求节点(将星点产出!$C$26:$C$34,将星点产出!I$26:I$34,其他调用!AH212)*其他调用!AC212</f>
        <v>187500</v>
      </c>
      <c r="AC212" s="21">
        <f>求节点(将星点产出!$C$26:$C$34,将星点产出!F$26:F$34,其他调用!AM212)*其他调用!AI212</f>
        <v>0</v>
      </c>
      <c r="AD212" s="21">
        <f>求节点(将星点产出!$C$26:$C$34,将星点产出!G$26:G$34,其他调用!AN212)*其他调用!AJ212</f>
        <v>0</v>
      </c>
      <c r="AE212" s="21">
        <f>求节点(将星点产出!$C$26:$C$34,将星点产出!H$26:H$34,其他调用!AO212)*其他调用!AK212</f>
        <v>276000</v>
      </c>
      <c r="AF212" s="21">
        <f>求节点(将星点产出!$C$26:$C$34,将星点产出!I$26:I$34,其他调用!AP212)*其他调用!AL212</f>
        <v>0</v>
      </c>
      <c r="AG212" s="21">
        <f t="shared" si="17"/>
        <v>463500</v>
      </c>
      <c r="AI212" s="7">
        <f>求节点($N$26:$N$32,P$26:P$32,其他调用!BF212)*其他调用!BB212</f>
        <v>1650</v>
      </c>
      <c r="AJ212" s="7">
        <f>求节点($N$26:$N$32,Q$26:Q$32,其他调用!BG212)*其他调用!BC212</f>
        <v>71400</v>
      </c>
      <c r="AK212" s="7">
        <f>求节点($N$26:$N$32,R$26:R$32,其他调用!BH212)*其他调用!BD212</f>
        <v>256000</v>
      </c>
      <c r="AL212" s="7">
        <f>求节点($N$26:$N$32,S$26:S$32,其他调用!BI212)*其他调用!BE212</f>
        <v>512000</v>
      </c>
      <c r="AM212" s="21">
        <f t="shared" si="18"/>
        <v>841050</v>
      </c>
      <c r="AO212" s="21">
        <f t="shared" si="19"/>
        <v>1304550</v>
      </c>
    </row>
    <row r="213" spans="22:41">
      <c r="V213" s="21">
        <f>其他调用!W213</f>
        <v>1248.5</v>
      </c>
      <c r="W213" s="21">
        <f>其他调用!X213</f>
        <v>122.26514676047371</v>
      </c>
      <c r="X213" s="21">
        <f>求节点(将星点产出!$C$26:$C$34,将星点产出!E$26:E$34,其他调用!AD213)*其他调用!Y213</f>
        <v>0</v>
      </c>
      <c r="Y213" s="21">
        <f>求节点(将星点产出!$C$26:$C$34,将星点产出!F$26:F$34,其他调用!AE213)*其他调用!Z213</f>
        <v>0</v>
      </c>
      <c r="Z213" s="21">
        <f>求节点(将星点产出!$C$26:$C$34,将星点产出!G$26:G$34,其他调用!AF213)*其他调用!AA213</f>
        <v>0</v>
      </c>
      <c r="AA213" s="21">
        <f>求节点(将星点产出!$C$26:$C$34,将星点产出!H$26:H$34,其他调用!AG213)*其他调用!AB213</f>
        <v>0</v>
      </c>
      <c r="AB213" s="21">
        <f>求节点(将星点产出!$C$26:$C$34,将星点产出!I$26:I$34,其他调用!AH213)*其他调用!AC213</f>
        <v>187500</v>
      </c>
      <c r="AC213" s="21">
        <f>求节点(将星点产出!$C$26:$C$34,将星点产出!F$26:F$34,其他调用!AM213)*其他调用!AI213</f>
        <v>0</v>
      </c>
      <c r="AD213" s="21">
        <f>求节点(将星点产出!$C$26:$C$34,将星点产出!G$26:G$34,其他调用!AN213)*其他调用!AJ213</f>
        <v>0</v>
      </c>
      <c r="AE213" s="21">
        <f>求节点(将星点产出!$C$26:$C$34,将星点产出!H$26:H$34,其他调用!AO213)*其他调用!AK213</f>
        <v>276000</v>
      </c>
      <c r="AF213" s="21">
        <f>求节点(将星点产出!$C$26:$C$34,将星点产出!I$26:I$34,其他调用!AP213)*其他调用!AL213</f>
        <v>0</v>
      </c>
      <c r="AG213" s="21">
        <f t="shared" si="17"/>
        <v>463500</v>
      </c>
      <c r="AI213" s="7">
        <f>求节点($N$26:$N$32,P$26:P$32,其他调用!BF213)*其他调用!BB213</f>
        <v>1650</v>
      </c>
      <c r="AJ213" s="7">
        <f>求节点($N$26:$N$32,Q$26:Q$32,其他调用!BG213)*其他调用!BC213</f>
        <v>71400</v>
      </c>
      <c r="AK213" s="7">
        <f>求节点($N$26:$N$32,R$26:R$32,其他调用!BH213)*其他调用!BD213</f>
        <v>256000</v>
      </c>
      <c r="AL213" s="7">
        <f>求节点($N$26:$N$32,S$26:S$32,其他调用!BI213)*其他调用!BE213</f>
        <v>512000</v>
      </c>
      <c r="AM213" s="21">
        <f t="shared" si="18"/>
        <v>841050</v>
      </c>
      <c r="AO213" s="21">
        <f t="shared" si="19"/>
        <v>1304550</v>
      </c>
    </row>
    <row r="214" spans="22:41">
      <c r="V214" s="21">
        <f>其他调用!W214</f>
        <v>1595.0000000000002</v>
      </c>
      <c r="W214" s="21">
        <f>其他调用!X214</f>
        <v>125.84855083483956</v>
      </c>
      <c r="X214" s="21">
        <f>求节点(将星点产出!$C$26:$C$34,将星点产出!E$26:E$34,其他调用!AD214)*其他调用!Y214</f>
        <v>0</v>
      </c>
      <c r="Y214" s="21">
        <f>求节点(将星点产出!$C$26:$C$34,将星点产出!F$26:F$34,其他调用!AE214)*其他调用!Z214</f>
        <v>0</v>
      </c>
      <c r="Z214" s="21">
        <f>求节点(将星点产出!$C$26:$C$34,将星点产出!G$26:G$34,其他调用!AF214)*其他调用!AA214</f>
        <v>0</v>
      </c>
      <c r="AA214" s="21">
        <f>求节点(将星点产出!$C$26:$C$34,将星点产出!H$26:H$34,其他调用!AG214)*其他调用!AB214</f>
        <v>0</v>
      </c>
      <c r="AB214" s="21">
        <f>求节点(将星点产出!$C$26:$C$34,将星点产出!I$26:I$34,其他调用!AH214)*其他调用!AC214</f>
        <v>187500</v>
      </c>
      <c r="AC214" s="21">
        <f>求节点(将星点产出!$C$26:$C$34,将星点产出!F$26:F$34,其他调用!AM214)*其他调用!AI214</f>
        <v>0</v>
      </c>
      <c r="AD214" s="21">
        <f>求节点(将星点产出!$C$26:$C$34,将星点产出!G$26:G$34,其他调用!AN214)*其他调用!AJ214</f>
        <v>0</v>
      </c>
      <c r="AE214" s="21">
        <f>求节点(将星点产出!$C$26:$C$34,将星点产出!H$26:H$34,其他调用!AO214)*其他调用!AK214</f>
        <v>276000</v>
      </c>
      <c r="AF214" s="21">
        <f>求节点(将星点产出!$C$26:$C$34,将星点产出!I$26:I$34,其他调用!AP214)*其他调用!AL214</f>
        <v>0</v>
      </c>
      <c r="AG214" s="21">
        <f t="shared" si="17"/>
        <v>463500</v>
      </c>
      <c r="AI214" s="7">
        <f>求节点($N$26:$N$32,P$26:P$32,其他调用!BF214)*其他调用!BB214</f>
        <v>1650</v>
      </c>
      <c r="AJ214" s="7">
        <f>求节点($N$26:$N$32,Q$26:Q$32,其他调用!BG214)*其他调用!BC214</f>
        <v>71400</v>
      </c>
      <c r="AK214" s="7">
        <f>求节点($N$26:$N$32,R$26:R$32,其他调用!BH214)*其他调用!BD214</f>
        <v>256000</v>
      </c>
      <c r="AL214" s="7">
        <f>求节点($N$26:$N$32,S$26:S$32,其他调用!BI214)*其他调用!BE214</f>
        <v>512000</v>
      </c>
      <c r="AM214" s="21">
        <f t="shared" si="18"/>
        <v>841050</v>
      </c>
      <c r="AO214" s="21">
        <f t="shared" si="19"/>
        <v>1304550</v>
      </c>
    </row>
    <row r="215" spans="22:41">
      <c r="V215" s="21">
        <f>其他调用!W215</f>
        <v>2040.5000000000002</v>
      </c>
      <c r="W215" s="21">
        <f>其他调用!X215</f>
        <v>129.43528964176323</v>
      </c>
      <c r="X215" s="21">
        <f>求节点(将星点产出!$C$26:$C$34,将星点产出!E$26:E$34,其他调用!AD215)*其他调用!Y215</f>
        <v>0</v>
      </c>
      <c r="Y215" s="21">
        <f>求节点(将星点产出!$C$26:$C$34,将星点产出!F$26:F$34,其他调用!AE215)*其他调用!Z215</f>
        <v>0</v>
      </c>
      <c r="Z215" s="21">
        <f>求节点(将星点产出!$C$26:$C$34,将星点产出!G$26:G$34,其他调用!AF215)*其他调用!AA215</f>
        <v>0</v>
      </c>
      <c r="AA215" s="21">
        <f>求节点(将星点产出!$C$26:$C$34,将星点产出!H$26:H$34,其他调用!AG215)*其他调用!AB215</f>
        <v>0</v>
      </c>
      <c r="AB215" s="21">
        <f>求节点(将星点产出!$C$26:$C$34,将星点产出!I$26:I$34,其他调用!AH215)*其他调用!AC215</f>
        <v>187500</v>
      </c>
      <c r="AC215" s="21">
        <f>求节点(将星点产出!$C$26:$C$34,将星点产出!F$26:F$34,其他调用!AM215)*其他调用!AI215</f>
        <v>0</v>
      </c>
      <c r="AD215" s="21">
        <f>求节点(将星点产出!$C$26:$C$34,将星点产出!G$26:G$34,其他调用!AN215)*其他调用!AJ215</f>
        <v>0</v>
      </c>
      <c r="AE215" s="21">
        <f>求节点(将星点产出!$C$26:$C$34,将星点产出!H$26:H$34,其他调用!AO215)*其他调用!AK215</f>
        <v>276000</v>
      </c>
      <c r="AF215" s="21">
        <f>求节点(将星点产出!$C$26:$C$34,将星点产出!I$26:I$34,其他调用!AP215)*其他调用!AL215</f>
        <v>0</v>
      </c>
      <c r="AG215" s="21">
        <f t="shared" si="17"/>
        <v>463500</v>
      </c>
      <c r="AI215" s="7">
        <f>求节点($N$26:$N$32,P$26:P$32,其他调用!BF215)*其他调用!BB215</f>
        <v>1650</v>
      </c>
      <c r="AJ215" s="7">
        <f>求节点($N$26:$N$32,Q$26:Q$32,其他调用!BG215)*其他调用!BC215</f>
        <v>71400</v>
      </c>
      <c r="AK215" s="7">
        <f>求节点($N$26:$N$32,R$26:R$32,其他调用!BH215)*其他调用!BD215</f>
        <v>256000</v>
      </c>
      <c r="AL215" s="7">
        <f>求节点($N$26:$N$32,S$26:S$32,其他调用!BI215)*其他调用!BE215</f>
        <v>512000</v>
      </c>
      <c r="AM215" s="21">
        <f t="shared" si="18"/>
        <v>841050</v>
      </c>
      <c r="AO215" s="21">
        <f t="shared" si="19"/>
        <v>1304550</v>
      </c>
    </row>
    <row r="216" spans="22:41">
      <c r="V216" s="21">
        <f>其他调用!W216</f>
        <v>2601.5</v>
      </c>
      <c r="W216" s="21">
        <f>其他调用!X216</f>
        <v>133.03192104200832</v>
      </c>
      <c r="X216" s="21">
        <f>求节点(将星点产出!$C$26:$C$34,将星点产出!E$26:E$34,其他调用!AD216)*其他调用!Y216</f>
        <v>0</v>
      </c>
      <c r="Y216" s="21">
        <f>求节点(将星点产出!$C$26:$C$34,将星点产出!F$26:F$34,其他调用!AE216)*其他调用!Z216</f>
        <v>0</v>
      </c>
      <c r="Z216" s="21">
        <f>求节点(将星点产出!$C$26:$C$34,将星点产出!G$26:G$34,其他调用!AF216)*其他调用!AA216</f>
        <v>0</v>
      </c>
      <c r="AA216" s="21">
        <f>求节点(将星点产出!$C$26:$C$34,将星点产出!H$26:H$34,其他调用!AG216)*其他调用!AB216</f>
        <v>0</v>
      </c>
      <c r="AB216" s="21">
        <f>求节点(将星点产出!$C$26:$C$34,将星点产出!I$26:I$34,其他调用!AH216)*其他调用!AC216</f>
        <v>187500</v>
      </c>
      <c r="AC216" s="21">
        <f>求节点(将星点产出!$C$26:$C$34,将星点产出!F$26:F$34,其他调用!AM216)*其他调用!AI216</f>
        <v>0</v>
      </c>
      <c r="AD216" s="21">
        <f>求节点(将星点产出!$C$26:$C$34,将星点产出!G$26:G$34,其他调用!AN216)*其他调用!AJ216</f>
        <v>0</v>
      </c>
      <c r="AE216" s="21">
        <f>求节点(将星点产出!$C$26:$C$34,将星点产出!H$26:H$34,其他调用!AO216)*其他调用!AK216</f>
        <v>276000</v>
      </c>
      <c r="AF216" s="21">
        <f>求节点(将星点产出!$C$26:$C$34,将星点产出!I$26:I$34,其他调用!AP216)*其他调用!AL216</f>
        <v>0</v>
      </c>
      <c r="AG216" s="21">
        <f t="shared" si="17"/>
        <v>463500</v>
      </c>
      <c r="AI216" s="7">
        <f>求节点($N$26:$N$32,P$26:P$32,其他调用!BF216)*其他调用!BB216</f>
        <v>1650</v>
      </c>
      <c r="AJ216" s="7">
        <f>求节点($N$26:$N$32,Q$26:Q$32,其他调用!BG216)*其他调用!BC216</f>
        <v>71400</v>
      </c>
      <c r="AK216" s="7">
        <f>求节点($N$26:$N$32,R$26:R$32,其他调用!BH216)*其他调用!BD216</f>
        <v>256000</v>
      </c>
      <c r="AL216" s="7">
        <f>求节点($N$26:$N$32,S$26:S$32,其他调用!BI216)*其他调用!BE216</f>
        <v>512000</v>
      </c>
      <c r="AM216" s="21">
        <f t="shared" si="18"/>
        <v>841050</v>
      </c>
      <c r="AO216" s="21">
        <f t="shared" si="19"/>
        <v>1304550</v>
      </c>
    </row>
    <row r="217" spans="22:41">
      <c r="V217" s="21">
        <f>其他调用!W217</f>
        <v>3311.0000000000005</v>
      </c>
      <c r="W217" s="21">
        <f>其他调用!X217</f>
        <v>136.45508882162355</v>
      </c>
      <c r="X217" s="21">
        <f>求节点(将星点产出!$C$26:$C$34,将星点产出!E$26:E$34,其他调用!AD217)*其他调用!Y217</f>
        <v>0</v>
      </c>
      <c r="Y217" s="21">
        <f>求节点(将星点产出!$C$26:$C$34,将星点产出!F$26:F$34,其他调用!AE217)*其他调用!Z217</f>
        <v>0</v>
      </c>
      <c r="Z217" s="21">
        <f>求节点(将星点产出!$C$26:$C$34,将星点产出!G$26:G$34,其他调用!AF217)*其他调用!AA217</f>
        <v>0</v>
      </c>
      <c r="AA217" s="21">
        <f>求节点(将星点产出!$C$26:$C$34,将星点产出!H$26:H$34,其他调用!AG217)*其他调用!AB217</f>
        <v>0</v>
      </c>
      <c r="AB217" s="21">
        <f>求节点(将星点产出!$C$26:$C$34,将星点产出!I$26:I$34,其他调用!AH217)*其他调用!AC217</f>
        <v>187500</v>
      </c>
      <c r="AC217" s="21">
        <f>求节点(将星点产出!$C$26:$C$34,将星点产出!F$26:F$34,其他调用!AM217)*其他调用!AI217</f>
        <v>0</v>
      </c>
      <c r="AD217" s="21">
        <f>求节点(将星点产出!$C$26:$C$34,将星点产出!G$26:G$34,其他调用!AN217)*其他调用!AJ217</f>
        <v>0</v>
      </c>
      <c r="AE217" s="21">
        <f>求节点(将星点产出!$C$26:$C$34,将星点产出!H$26:H$34,其他调用!AO217)*其他调用!AK217</f>
        <v>276000</v>
      </c>
      <c r="AF217" s="21">
        <f>求节点(将星点产出!$C$26:$C$34,将星点产出!I$26:I$34,其他调用!AP217)*其他调用!AL217</f>
        <v>0</v>
      </c>
      <c r="AG217" s="21">
        <f t="shared" si="17"/>
        <v>463500</v>
      </c>
      <c r="AI217" s="7">
        <f>求节点($N$26:$N$32,P$26:P$32,其他调用!BF217)*其他调用!BB217</f>
        <v>1650</v>
      </c>
      <c r="AJ217" s="7">
        <f>求节点($N$26:$N$32,Q$26:Q$32,其他调用!BG217)*其他调用!BC217</f>
        <v>71400</v>
      </c>
      <c r="AK217" s="7">
        <f>求节点($N$26:$N$32,R$26:R$32,其他调用!BH217)*其他调用!BD217</f>
        <v>256000</v>
      </c>
      <c r="AL217" s="7">
        <f>求节点($N$26:$N$32,S$26:S$32,其他调用!BI217)*其他调用!BE217</f>
        <v>512000</v>
      </c>
      <c r="AM217" s="21">
        <f t="shared" si="18"/>
        <v>841050</v>
      </c>
      <c r="AO217" s="21">
        <f t="shared" si="19"/>
        <v>1304550</v>
      </c>
    </row>
    <row r="218" spans="22:41">
      <c r="V218" s="21">
        <f>其他调用!W218</f>
        <v>4218.5</v>
      </c>
      <c r="W218" s="21">
        <f>其他调用!X218</f>
        <v>140.08772492574531</v>
      </c>
      <c r="X218" s="21">
        <f>求节点(将星点产出!$C$26:$C$34,将星点产出!E$26:E$34,其他调用!AD218)*其他调用!Y218</f>
        <v>0</v>
      </c>
      <c r="Y218" s="21">
        <f>求节点(将星点产出!$C$26:$C$34,将星点产出!F$26:F$34,其他调用!AE218)*其他调用!Z218</f>
        <v>0</v>
      </c>
      <c r="Z218" s="21">
        <f>求节点(将星点产出!$C$26:$C$34,将星点产出!G$26:G$34,其他调用!AF218)*其他调用!AA218</f>
        <v>0</v>
      </c>
      <c r="AA218" s="21">
        <f>求节点(将星点产出!$C$26:$C$34,将星点产出!H$26:H$34,其他调用!AG218)*其他调用!AB218</f>
        <v>0</v>
      </c>
      <c r="AB218" s="21">
        <f>求节点(将星点产出!$C$26:$C$34,将星点产出!I$26:I$34,其他调用!AH218)*其他调用!AC218</f>
        <v>187500</v>
      </c>
      <c r="AC218" s="21">
        <f>求节点(将星点产出!$C$26:$C$34,将星点产出!F$26:F$34,其他调用!AM218)*其他调用!AI218</f>
        <v>0</v>
      </c>
      <c r="AD218" s="21">
        <f>求节点(将星点产出!$C$26:$C$34,将星点产出!G$26:G$34,其他调用!AN218)*其他调用!AJ218</f>
        <v>0</v>
      </c>
      <c r="AE218" s="21">
        <f>求节点(将星点产出!$C$26:$C$34,将星点产出!H$26:H$34,其他调用!AO218)*其他调用!AK218</f>
        <v>276000</v>
      </c>
      <c r="AF218" s="21">
        <f>求节点(将星点产出!$C$26:$C$34,将星点产出!I$26:I$34,其他调用!AP218)*其他调用!AL218</f>
        <v>0</v>
      </c>
      <c r="AG218" s="21">
        <f t="shared" si="17"/>
        <v>463500</v>
      </c>
      <c r="AI218" s="7">
        <f>求节点($N$26:$N$32,P$26:P$32,其他调用!BF218)*其他调用!BB218</f>
        <v>1650</v>
      </c>
      <c r="AJ218" s="7">
        <f>求节点($N$26:$N$32,Q$26:Q$32,其他调用!BG218)*其他调用!BC218</f>
        <v>71400</v>
      </c>
      <c r="AK218" s="7">
        <f>求节点($N$26:$N$32,R$26:R$32,其他调用!BH218)*其他调用!BD218</f>
        <v>256000</v>
      </c>
      <c r="AL218" s="7">
        <f>求节点($N$26:$N$32,S$26:S$32,其他调用!BI218)*其他调用!BE218</f>
        <v>512000</v>
      </c>
      <c r="AM218" s="21">
        <f t="shared" si="18"/>
        <v>841050</v>
      </c>
      <c r="AO218" s="21">
        <f t="shared" si="19"/>
        <v>1304550</v>
      </c>
    </row>
    <row r="219" spans="22:41">
      <c r="V219" s="21">
        <f>其他调用!W219</f>
        <v>5373.5</v>
      </c>
      <c r="W219" s="21">
        <f>其他调用!X219</f>
        <v>143.51956656528549</v>
      </c>
      <c r="X219" s="21">
        <f>求节点(将星点产出!$C$26:$C$34,将星点产出!E$26:E$34,其他调用!AD219)*其他调用!Y219</f>
        <v>0</v>
      </c>
      <c r="Y219" s="21">
        <f>求节点(将星点产出!$C$26:$C$34,将星点产出!F$26:F$34,其他调用!AE219)*其他调用!Z219</f>
        <v>0</v>
      </c>
      <c r="Z219" s="21">
        <f>求节点(将星点产出!$C$26:$C$34,将星点产出!G$26:G$34,其他调用!AF219)*其他调用!AA219</f>
        <v>0</v>
      </c>
      <c r="AA219" s="21">
        <f>求节点(将星点产出!$C$26:$C$34,将星点产出!H$26:H$34,其他调用!AG219)*其他调用!AB219</f>
        <v>0</v>
      </c>
      <c r="AB219" s="21">
        <f>求节点(将星点产出!$C$26:$C$34,将星点产出!I$26:I$34,其他调用!AH219)*其他调用!AC219</f>
        <v>187500</v>
      </c>
      <c r="AC219" s="21">
        <f>求节点(将星点产出!$C$26:$C$34,将星点产出!F$26:F$34,其他调用!AM219)*其他调用!AI219</f>
        <v>0</v>
      </c>
      <c r="AD219" s="21">
        <f>求节点(将星点产出!$C$26:$C$34,将星点产出!G$26:G$34,其他调用!AN219)*其他调用!AJ219</f>
        <v>0</v>
      </c>
      <c r="AE219" s="21">
        <f>求节点(将星点产出!$C$26:$C$34,将星点产出!H$26:H$34,其他调用!AO219)*其他调用!AK219</f>
        <v>276000</v>
      </c>
      <c r="AF219" s="21">
        <f>求节点(将星点产出!$C$26:$C$34,将星点产出!I$26:I$34,其他调用!AP219)*其他调用!AL219</f>
        <v>0</v>
      </c>
      <c r="AG219" s="21">
        <f t="shared" si="17"/>
        <v>463500</v>
      </c>
      <c r="AI219" s="7">
        <f>求节点($N$26:$N$32,P$26:P$32,其他调用!BF219)*其他调用!BB219</f>
        <v>1650</v>
      </c>
      <c r="AJ219" s="7">
        <f>求节点($N$26:$N$32,Q$26:Q$32,其他调用!BG219)*其他调用!BC219</f>
        <v>71400</v>
      </c>
      <c r="AK219" s="7">
        <f>求节点($N$26:$N$32,R$26:R$32,其他调用!BH219)*其他调用!BD219</f>
        <v>256000</v>
      </c>
      <c r="AL219" s="7">
        <f>求节点($N$26:$N$32,S$26:S$32,其他调用!BI219)*其他调用!BE219</f>
        <v>512000</v>
      </c>
      <c r="AM219" s="21">
        <f t="shared" si="18"/>
        <v>841050</v>
      </c>
      <c r="AO219" s="21">
        <f t="shared" si="19"/>
        <v>1304550</v>
      </c>
    </row>
    <row r="220" spans="22:41">
      <c r="V220" s="21">
        <f>其他调用!W220</f>
        <v>6842.0000000000009</v>
      </c>
      <c r="W220" s="21">
        <f>其他调用!X220</f>
        <v>147.17868266109423</v>
      </c>
      <c r="X220" s="21">
        <f>求节点(将星点产出!$C$26:$C$34,将星点产出!E$26:E$34,其他调用!AD220)*其他调用!Y220</f>
        <v>0</v>
      </c>
      <c r="Y220" s="21">
        <f>求节点(将星点产出!$C$26:$C$34,将星点产出!F$26:F$34,其他调用!AE220)*其他调用!Z220</f>
        <v>0</v>
      </c>
      <c r="Z220" s="21">
        <f>求节点(将星点产出!$C$26:$C$34,将星点产出!G$26:G$34,其他调用!AF220)*其他调用!AA220</f>
        <v>0</v>
      </c>
      <c r="AA220" s="21">
        <f>求节点(将星点产出!$C$26:$C$34,将星点产出!H$26:H$34,其他调用!AG220)*其他调用!AB220</f>
        <v>0</v>
      </c>
      <c r="AB220" s="21">
        <f>求节点(将星点产出!$C$26:$C$34,将星点产出!I$26:I$34,其他调用!AH220)*其他调用!AC220</f>
        <v>187500</v>
      </c>
      <c r="AC220" s="21">
        <f>求节点(将星点产出!$C$26:$C$34,将星点产出!F$26:F$34,其他调用!AM220)*其他调用!AI220</f>
        <v>0</v>
      </c>
      <c r="AD220" s="21">
        <f>求节点(将星点产出!$C$26:$C$34,将星点产出!G$26:G$34,其他调用!AN220)*其他调用!AJ220</f>
        <v>0</v>
      </c>
      <c r="AE220" s="21">
        <f>求节点(将星点产出!$C$26:$C$34,将星点产出!H$26:H$34,其他调用!AO220)*其他调用!AK220</f>
        <v>276000</v>
      </c>
      <c r="AF220" s="21">
        <f>求节点(将星点产出!$C$26:$C$34,将星点产出!I$26:I$34,其他调用!AP220)*其他调用!AL220</f>
        <v>0</v>
      </c>
      <c r="AG220" s="21">
        <f t="shared" si="17"/>
        <v>463500</v>
      </c>
      <c r="AI220" s="7">
        <f>求节点($N$26:$N$32,P$26:P$32,其他调用!BF220)*其他调用!BB220</f>
        <v>1650</v>
      </c>
      <c r="AJ220" s="7">
        <f>求节点($N$26:$N$32,Q$26:Q$32,其他调用!BG220)*其他调用!BC220</f>
        <v>71400</v>
      </c>
      <c r="AK220" s="7">
        <f>求节点($N$26:$N$32,R$26:R$32,其他调用!BH220)*其他调用!BD220</f>
        <v>256000</v>
      </c>
      <c r="AL220" s="7">
        <f>求节点($N$26:$N$32,S$26:S$32,其他调用!BI220)*其他调用!BE220</f>
        <v>512000</v>
      </c>
      <c r="AM220" s="21">
        <f t="shared" si="18"/>
        <v>841050</v>
      </c>
      <c r="AO220" s="21">
        <f t="shared" si="19"/>
        <v>1304550</v>
      </c>
    </row>
    <row r="221" spans="22:41">
      <c r="V221" s="21">
        <f>其他调用!W221</f>
        <v>8723</v>
      </c>
      <c r="W221" s="21">
        <f>其他调用!X221</f>
        <v>150.49637054967232</v>
      </c>
      <c r="X221" s="21">
        <f>求节点(将星点产出!$C$26:$C$34,将星点产出!E$26:E$34,其他调用!AD221)*其他调用!Y221</f>
        <v>0</v>
      </c>
      <c r="Y221" s="21">
        <f>求节点(将星点产出!$C$26:$C$34,将星点产出!F$26:F$34,其他调用!AE221)*其他调用!Z221</f>
        <v>0</v>
      </c>
      <c r="Z221" s="21">
        <f>求节点(将星点产出!$C$26:$C$34,将星点产出!G$26:G$34,其他调用!AF221)*其他调用!AA221</f>
        <v>0</v>
      </c>
      <c r="AA221" s="21">
        <f>求节点(将星点产出!$C$26:$C$34,将星点产出!H$26:H$34,其他调用!AG221)*其他调用!AB221</f>
        <v>0</v>
      </c>
      <c r="AB221" s="21">
        <f>求节点(将星点产出!$C$26:$C$34,将星点产出!I$26:I$34,其他调用!AH221)*其他调用!AC221</f>
        <v>187500</v>
      </c>
      <c r="AC221" s="21">
        <f>求节点(将星点产出!$C$26:$C$34,将星点产出!F$26:F$34,其他调用!AM221)*其他调用!AI221</f>
        <v>0</v>
      </c>
      <c r="AD221" s="21">
        <f>求节点(将星点产出!$C$26:$C$34,将星点产出!G$26:G$34,其他调用!AN221)*其他调用!AJ221</f>
        <v>0</v>
      </c>
      <c r="AE221" s="21">
        <f>求节点(将星点产出!$C$26:$C$34,将星点产出!H$26:H$34,其他调用!AO221)*其他调用!AK221</f>
        <v>276000</v>
      </c>
      <c r="AF221" s="21">
        <f>求节点(将星点产出!$C$26:$C$34,将星点产出!I$26:I$34,其他调用!AP221)*其他调用!AL221</f>
        <v>0</v>
      </c>
      <c r="AG221" s="21">
        <f t="shared" si="17"/>
        <v>463500</v>
      </c>
      <c r="AI221" s="7">
        <f>求节点($N$26:$N$32,P$26:P$32,其他调用!BF221)*其他调用!BB221</f>
        <v>1650</v>
      </c>
      <c r="AJ221" s="7">
        <f>求节点($N$26:$N$32,Q$26:Q$32,其他调用!BG221)*其他调用!BC221</f>
        <v>71400</v>
      </c>
      <c r="AK221" s="7">
        <f>求节点($N$26:$N$32,R$26:R$32,其他调用!BH221)*其他调用!BD221</f>
        <v>256000</v>
      </c>
      <c r="AL221" s="7">
        <f>求节点($N$26:$N$32,S$26:S$32,其他调用!BI221)*其他调用!BE221</f>
        <v>512000</v>
      </c>
      <c r="AM221" s="21">
        <f t="shared" si="18"/>
        <v>841050</v>
      </c>
      <c r="AO221" s="21">
        <f t="shared" si="19"/>
        <v>1304550</v>
      </c>
    </row>
    <row r="222" spans="22:41">
      <c r="V222" s="21">
        <f>其他调用!W222</f>
        <v>11115.5</v>
      </c>
      <c r="W222" s="21">
        <f>其他调用!X222</f>
        <v>151.40240982411487</v>
      </c>
      <c r="X222" s="21">
        <f>求节点(将星点产出!$C$26:$C$34,将星点产出!E$26:E$34,其他调用!AD222)*其他调用!Y222</f>
        <v>0</v>
      </c>
      <c r="Y222" s="21">
        <f>求节点(将星点产出!$C$26:$C$34,将星点产出!F$26:F$34,其他调用!AE222)*其他调用!Z222</f>
        <v>0</v>
      </c>
      <c r="Z222" s="21">
        <f>求节点(将星点产出!$C$26:$C$34,将星点产出!G$26:G$34,其他调用!AF222)*其他调用!AA222</f>
        <v>0</v>
      </c>
      <c r="AA222" s="21">
        <f>求节点(将星点产出!$C$26:$C$34,将星点产出!H$26:H$34,其他调用!AG222)*其他调用!AB222</f>
        <v>0</v>
      </c>
      <c r="AB222" s="21">
        <f>求节点(将星点产出!$C$26:$C$34,将星点产出!I$26:I$34,其他调用!AH222)*其他调用!AC222</f>
        <v>187500</v>
      </c>
      <c r="AC222" s="21">
        <f>求节点(将星点产出!$C$26:$C$34,将星点产出!F$26:F$34,其他调用!AM222)*其他调用!AI222</f>
        <v>0</v>
      </c>
      <c r="AD222" s="21">
        <f>求节点(将星点产出!$C$26:$C$34,将星点产出!G$26:G$34,其他调用!AN222)*其他调用!AJ222</f>
        <v>0</v>
      </c>
      <c r="AE222" s="21">
        <f>求节点(将星点产出!$C$26:$C$34,将星点产出!H$26:H$34,其他调用!AO222)*其他调用!AK222</f>
        <v>276000</v>
      </c>
      <c r="AF222" s="21">
        <f>求节点(将星点产出!$C$26:$C$34,将星点产出!I$26:I$34,其他调用!AP222)*其他调用!AL222</f>
        <v>0</v>
      </c>
      <c r="AG222" s="21">
        <f t="shared" si="17"/>
        <v>463500</v>
      </c>
      <c r="AI222" s="7">
        <f>求节点($N$26:$N$32,P$26:P$32,其他调用!BF222)*其他调用!BB222</f>
        <v>1650</v>
      </c>
      <c r="AJ222" s="7">
        <f>求节点($N$26:$N$32,Q$26:Q$32,其他调用!BG222)*其他调用!BC222</f>
        <v>71400</v>
      </c>
      <c r="AK222" s="7">
        <f>求节点($N$26:$N$32,R$26:R$32,其他调用!BH222)*其他调用!BD222</f>
        <v>256000</v>
      </c>
      <c r="AL222" s="7">
        <f>求节点($N$26:$N$32,S$26:S$32,其他调用!BI222)*其他调用!BE222</f>
        <v>512000</v>
      </c>
      <c r="AM222" s="21">
        <f t="shared" si="18"/>
        <v>841050</v>
      </c>
      <c r="AO222" s="21">
        <f t="shared" si="19"/>
        <v>1304550</v>
      </c>
    </row>
    <row r="223" spans="22:41">
      <c r="V223" s="21">
        <f>其他调用!W223</f>
        <v>14168.000000000002</v>
      </c>
      <c r="W223" s="21">
        <f>其他调用!X223</f>
        <v>152.00526961196863</v>
      </c>
      <c r="X223" s="21">
        <f>求节点(将星点产出!$C$26:$C$34,将星点产出!E$26:E$34,其他调用!AD223)*其他调用!Y223</f>
        <v>0</v>
      </c>
      <c r="Y223" s="21">
        <f>求节点(将星点产出!$C$26:$C$34,将星点产出!F$26:F$34,其他调用!AE223)*其他调用!Z223</f>
        <v>0</v>
      </c>
      <c r="Z223" s="21">
        <f>求节点(将星点产出!$C$26:$C$34,将星点产出!G$26:G$34,其他调用!AF223)*其他调用!AA223</f>
        <v>0</v>
      </c>
      <c r="AA223" s="21">
        <f>求节点(将星点产出!$C$26:$C$34,将星点产出!H$26:H$34,其他调用!AG223)*其他调用!AB223</f>
        <v>0</v>
      </c>
      <c r="AB223" s="21">
        <f>求节点(将星点产出!$C$26:$C$34,将星点产出!I$26:I$34,其他调用!AH223)*其他调用!AC223</f>
        <v>187500</v>
      </c>
      <c r="AC223" s="21">
        <f>求节点(将星点产出!$C$26:$C$34,将星点产出!F$26:F$34,其他调用!AM223)*其他调用!AI223</f>
        <v>0</v>
      </c>
      <c r="AD223" s="21">
        <f>求节点(将星点产出!$C$26:$C$34,将星点产出!G$26:G$34,其他调用!AN223)*其他调用!AJ223</f>
        <v>0</v>
      </c>
      <c r="AE223" s="21">
        <f>求节点(将星点产出!$C$26:$C$34,将星点产出!H$26:H$34,其他调用!AO223)*其他调用!AK223</f>
        <v>276000</v>
      </c>
      <c r="AF223" s="21">
        <f>求节点(将星点产出!$C$26:$C$34,将星点产出!I$26:I$34,其他调用!AP223)*其他调用!AL223</f>
        <v>0</v>
      </c>
      <c r="AG223" s="21">
        <f t="shared" si="17"/>
        <v>463500</v>
      </c>
      <c r="AI223" s="7">
        <f>求节点($N$26:$N$32,P$26:P$32,其他调用!BF223)*其他调用!BB223</f>
        <v>1650</v>
      </c>
      <c r="AJ223" s="7">
        <f>求节点($N$26:$N$32,Q$26:Q$32,其他调用!BG223)*其他调用!BC223</f>
        <v>71400</v>
      </c>
      <c r="AK223" s="7">
        <f>求节点($N$26:$N$32,R$26:R$32,其他调用!BH223)*其他调用!BD223</f>
        <v>256000</v>
      </c>
      <c r="AL223" s="7">
        <f>求节点($N$26:$N$32,S$26:S$32,其他调用!BI223)*其他调用!BE223</f>
        <v>512000</v>
      </c>
      <c r="AM223" s="21">
        <f t="shared" si="18"/>
        <v>841050</v>
      </c>
      <c r="AO223" s="21">
        <f t="shared" si="19"/>
        <v>1304550</v>
      </c>
    </row>
    <row r="224" spans="22:41">
      <c r="V224" s="21">
        <f>其他调用!W224</f>
        <v>18012.5</v>
      </c>
      <c r="W224" s="21">
        <f>其他调用!X224</f>
        <v>152.38629594951036</v>
      </c>
      <c r="X224" s="21">
        <f>求节点(将星点产出!$C$26:$C$34,将星点产出!E$26:E$34,其他调用!AD224)*其他调用!Y224</f>
        <v>0</v>
      </c>
      <c r="Y224" s="21">
        <f>求节点(将星点产出!$C$26:$C$34,将星点产出!F$26:F$34,其他调用!AE224)*其他调用!Z224</f>
        <v>0</v>
      </c>
      <c r="Z224" s="21">
        <f>求节点(将星点产出!$C$26:$C$34,将星点产出!G$26:G$34,其他调用!AF224)*其他调用!AA224</f>
        <v>0</v>
      </c>
      <c r="AA224" s="21">
        <f>求节点(将星点产出!$C$26:$C$34,将星点产出!H$26:H$34,其他调用!AG224)*其他调用!AB224</f>
        <v>0</v>
      </c>
      <c r="AB224" s="21">
        <f>求节点(将星点产出!$C$26:$C$34,将星点产出!I$26:I$34,其他调用!AH224)*其他调用!AC224</f>
        <v>187500</v>
      </c>
      <c r="AC224" s="21">
        <f>求节点(将星点产出!$C$26:$C$34,将星点产出!F$26:F$34,其他调用!AM224)*其他调用!AI224</f>
        <v>0</v>
      </c>
      <c r="AD224" s="21">
        <f>求节点(将星点产出!$C$26:$C$34,将星点产出!G$26:G$34,其他调用!AN224)*其他调用!AJ224</f>
        <v>0</v>
      </c>
      <c r="AE224" s="21">
        <f>求节点(将星点产出!$C$26:$C$34,将星点产出!H$26:H$34,其他调用!AO224)*其他调用!AK224</f>
        <v>276000</v>
      </c>
      <c r="AF224" s="21">
        <f>求节点(将星点产出!$C$26:$C$34,将星点产出!I$26:I$34,其他调用!AP224)*其他调用!AL224</f>
        <v>0</v>
      </c>
      <c r="AG224" s="21">
        <f t="shared" si="17"/>
        <v>463500</v>
      </c>
      <c r="AI224" s="7">
        <f>求节点($N$26:$N$32,P$26:P$32,其他调用!BF224)*其他调用!BB224</f>
        <v>1650</v>
      </c>
      <c r="AJ224" s="7">
        <f>求节点($N$26:$N$32,Q$26:Q$32,其他调用!BG224)*其他调用!BC224</f>
        <v>71400</v>
      </c>
      <c r="AK224" s="7">
        <f>求节点($N$26:$N$32,R$26:R$32,其他调用!BH224)*其他调用!BD224</f>
        <v>256000</v>
      </c>
      <c r="AL224" s="7">
        <f>求节点($N$26:$N$32,S$26:S$32,其他调用!BI224)*其他调用!BE224</f>
        <v>512000</v>
      </c>
      <c r="AM224" s="21">
        <f t="shared" si="18"/>
        <v>841050</v>
      </c>
      <c r="AO224" s="21">
        <f t="shared" si="19"/>
        <v>1304550</v>
      </c>
    </row>
  </sheetData>
  <mergeCells count="24">
    <mergeCell ref="X184:AB184"/>
    <mergeCell ref="AI4:AL4"/>
    <mergeCell ref="AI49:AL49"/>
    <mergeCell ref="AI94:AL94"/>
    <mergeCell ref="AI139:AL139"/>
    <mergeCell ref="AI184:AL184"/>
    <mergeCell ref="AC4:AF4"/>
    <mergeCell ref="AC49:AF49"/>
    <mergeCell ref="AC94:AF94"/>
    <mergeCell ref="AC139:AF139"/>
    <mergeCell ref="AC184:AF184"/>
    <mergeCell ref="X4:AB4"/>
    <mergeCell ref="V3:W4"/>
    <mergeCell ref="X49:AB49"/>
    <mergeCell ref="X94:AB94"/>
    <mergeCell ref="X139:AB139"/>
    <mergeCell ref="V48:W49"/>
    <mergeCell ref="V93:W94"/>
    <mergeCell ref="V138:W139"/>
    <mergeCell ref="V183:W184"/>
    <mergeCell ref="B12:B21"/>
    <mergeCell ref="M12:M19"/>
    <mergeCell ref="B25:B34"/>
    <mergeCell ref="M25:M32"/>
  </mergeCells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123D-B0A3-4E7D-A92D-3A6DD3461D7B}">
  <dimension ref="B3:EQ164"/>
  <sheetViews>
    <sheetView tabSelected="1" workbookViewId="0">
      <selection activeCell="J22" sqref="J22"/>
    </sheetView>
  </sheetViews>
  <sheetFormatPr defaultRowHeight="13.5"/>
  <cols>
    <col min="5" max="6" width="12.125" customWidth="1"/>
    <col min="9" max="9" width="26.75" style="29" customWidth="1"/>
    <col min="10" max="12" width="15.375" style="29" customWidth="1"/>
    <col min="14" max="14" width="28.125" style="30" customWidth="1"/>
    <col min="15" max="15" width="19.875" customWidth="1"/>
    <col min="16" max="16" width="13.125" customWidth="1"/>
    <col min="18" max="76" width="9" customWidth="1"/>
  </cols>
  <sheetData>
    <row r="3" spans="2:147">
      <c r="B3" t="s">
        <v>158</v>
      </c>
      <c r="N3" s="30" t="s">
        <v>159</v>
      </c>
      <c r="Q3" s="30" t="s">
        <v>157</v>
      </c>
      <c r="R3" s="45" t="s">
        <v>95</v>
      </c>
      <c r="S3" s="45"/>
      <c r="T3" s="45"/>
      <c r="U3" s="45" t="s">
        <v>108</v>
      </c>
      <c r="V3" s="45"/>
      <c r="W3" s="45"/>
      <c r="X3" s="45" t="s">
        <v>109</v>
      </c>
      <c r="Y3" s="45"/>
      <c r="Z3" s="45"/>
      <c r="AA3" s="45" t="s">
        <v>110</v>
      </c>
      <c r="AB3" s="45"/>
      <c r="AC3" s="45"/>
      <c r="AD3" s="45" t="s">
        <v>111</v>
      </c>
      <c r="AE3" s="45"/>
      <c r="AF3" s="45"/>
      <c r="AG3" s="45" t="s">
        <v>186</v>
      </c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 t="s">
        <v>187</v>
      </c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 t="s">
        <v>188</v>
      </c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 t="s">
        <v>189</v>
      </c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 t="s">
        <v>190</v>
      </c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  <c r="EC3" s="45"/>
      <c r="ED3" s="45"/>
      <c r="EE3" s="45"/>
      <c r="EF3" s="45"/>
      <c r="EG3" s="45"/>
      <c r="EH3" s="45"/>
      <c r="EI3" s="45"/>
      <c r="EJ3" s="45"/>
      <c r="EK3" s="45"/>
      <c r="EL3" s="45"/>
      <c r="EM3" s="46"/>
      <c r="EN3" s="47"/>
      <c r="EO3" s="47"/>
      <c r="EP3" s="47"/>
      <c r="EQ3" s="48"/>
    </row>
    <row r="4" spans="2:147">
      <c r="B4" s="26" t="s">
        <v>139</v>
      </c>
      <c r="C4" s="26" t="s">
        <v>140</v>
      </c>
      <c r="D4" s="26" t="s">
        <v>242</v>
      </c>
      <c r="E4" s="26" t="s">
        <v>138</v>
      </c>
      <c r="F4" s="26" t="s">
        <v>241</v>
      </c>
      <c r="G4" s="26" t="s">
        <v>141</v>
      </c>
      <c r="H4" s="26" t="s">
        <v>154</v>
      </c>
      <c r="I4" s="27" t="s">
        <v>152</v>
      </c>
      <c r="J4" s="27" t="s">
        <v>184</v>
      </c>
      <c r="K4" s="27" t="s">
        <v>239</v>
      </c>
      <c r="L4" s="27" t="s">
        <v>240</v>
      </c>
      <c r="N4" s="27" t="s">
        <v>153</v>
      </c>
      <c r="O4" s="27" t="s">
        <v>191</v>
      </c>
      <c r="P4" s="29"/>
      <c r="Q4" s="26" t="s">
        <v>93</v>
      </c>
      <c r="R4" s="26" t="s">
        <v>156</v>
      </c>
      <c r="S4" s="26" t="s">
        <v>155</v>
      </c>
      <c r="T4" s="26" t="s">
        <v>154</v>
      </c>
      <c r="U4" s="26" t="s">
        <v>156</v>
      </c>
      <c r="V4" s="26" t="s">
        <v>155</v>
      </c>
      <c r="W4" s="26" t="s">
        <v>154</v>
      </c>
      <c r="X4" s="26" t="s">
        <v>156</v>
      </c>
      <c r="Y4" s="26" t="s">
        <v>155</v>
      </c>
      <c r="Z4" s="26" t="s">
        <v>154</v>
      </c>
      <c r="AA4" s="26" t="s">
        <v>156</v>
      </c>
      <c r="AB4" s="26" t="s">
        <v>155</v>
      </c>
      <c r="AC4" s="26" t="s">
        <v>154</v>
      </c>
      <c r="AD4" s="26" t="s">
        <v>156</v>
      </c>
      <c r="AE4" s="26" t="s">
        <v>155</v>
      </c>
      <c r="AF4" s="26" t="s">
        <v>154</v>
      </c>
      <c r="AG4" s="26" t="s">
        <v>160</v>
      </c>
      <c r="AH4" s="26" t="s">
        <v>162</v>
      </c>
      <c r="AI4" s="26" t="s">
        <v>164</v>
      </c>
      <c r="AJ4" s="26" t="s">
        <v>166</v>
      </c>
      <c r="AK4" s="26" t="s">
        <v>142</v>
      </c>
      <c r="AL4" s="26" t="s">
        <v>143</v>
      </c>
      <c r="AM4" s="26" t="s">
        <v>168</v>
      </c>
      <c r="AN4" s="26" t="s">
        <v>170</v>
      </c>
      <c r="AO4" s="26" t="s">
        <v>172</v>
      </c>
      <c r="AP4" s="26" t="s">
        <v>174</v>
      </c>
      <c r="AQ4" s="26" t="s">
        <v>144</v>
      </c>
      <c r="AR4" s="26" t="s">
        <v>176</v>
      </c>
      <c r="AS4" s="26" t="s">
        <v>178</v>
      </c>
      <c r="AT4" s="26" t="s">
        <v>180</v>
      </c>
      <c r="AU4" s="26" t="s">
        <v>182</v>
      </c>
      <c r="AV4" s="26" t="s">
        <v>145</v>
      </c>
      <c r="AW4" s="26" t="s">
        <v>146</v>
      </c>
      <c r="AX4" s="26" t="s">
        <v>147</v>
      </c>
      <c r="AY4" s="26" t="s">
        <v>148</v>
      </c>
      <c r="AZ4" s="26" t="s">
        <v>149</v>
      </c>
      <c r="BA4" s="26" t="s">
        <v>150</v>
      </c>
      <c r="BB4" s="26" t="s">
        <v>151</v>
      </c>
      <c r="BC4" s="26" t="s">
        <v>160</v>
      </c>
      <c r="BD4" s="26" t="s">
        <v>162</v>
      </c>
      <c r="BE4" s="26" t="s">
        <v>164</v>
      </c>
      <c r="BF4" s="26" t="s">
        <v>166</v>
      </c>
      <c r="BG4" s="26" t="s">
        <v>142</v>
      </c>
      <c r="BH4" s="26" t="s">
        <v>143</v>
      </c>
      <c r="BI4" s="26" t="s">
        <v>168</v>
      </c>
      <c r="BJ4" s="26" t="s">
        <v>170</v>
      </c>
      <c r="BK4" s="26" t="s">
        <v>172</v>
      </c>
      <c r="BL4" s="26" t="s">
        <v>174</v>
      </c>
      <c r="BM4" s="26" t="s">
        <v>144</v>
      </c>
      <c r="BN4" s="26" t="s">
        <v>176</v>
      </c>
      <c r="BO4" s="26" t="s">
        <v>178</v>
      </c>
      <c r="BP4" s="26" t="s">
        <v>180</v>
      </c>
      <c r="BQ4" s="26" t="s">
        <v>182</v>
      </c>
      <c r="BR4" s="26" t="s">
        <v>145</v>
      </c>
      <c r="BS4" s="26" t="s">
        <v>146</v>
      </c>
      <c r="BT4" s="26" t="s">
        <v>147</v>
      </c>
      <c r="BU4" s="26" t="s">
        <v>148</v>
      </c>
      <c r="BV4" s="26" t="s">
        <v>149</v>
      </c>
      <c r="BW4" s="26" t="s">
        <v>150</v>
      </c>
      <c r="BX4" s="26" t="s">
        <v>151</v>
      </c>
      <c r="BY4" s="26" t="s">
        <v>160</v>
      </c>
      <c r="BZ4" s="26" t="s">
        <v>162</v>
      </c>
      <c r="CA4" s="26" t="s">
        <v>164</v>
      </c>
      <c r="CB4" s="26" t="s">
        <v>166</v>
      </c>
      <c r="CC4" s="26" t="s">
        <v>142</v>
      </c>
      <c r="CD4" s="26" t="s">
        <v>143</v>
      </c>
      <c r="CE4" s="26" t="s">
        <v>168</v>
      </c>
      <c r="CF4" s="26" t="s">
        <v>170</v>
      </c>
      <c r="CG4" s="26" t="s">
        <v>172</v>
      </c>
      <c r="CH4" s="26" t="s">
        <v>174</v>
      </c>
      <c r="CI4" s="26" t="s">
        <v>144</v>
      </c>
      <c r="CJ4" s="26" t="s">
        <v>176</v>
      </c>
      <c r="CK4" s="26" t="s">
        <v>178</v>
      </c>
      <c r="CL4" s="26" t="s">
        <v>180</v>
      </c>
      <c r="CM4" s="26" t="s">
        <v>182</v>
      </c>
      <c r="CN4" s="26" t="s">
        <v>145</v>
      </c>
      <c r="CO4" s="26" t="s">
        <v>146</v>
      </c>
      <c r="CP4" s="26" t="s">
        <v>147</v>
      </c>
      <c r="CQ4" s="26" t="s">
        <v>148</v>
      </c>
      <c r="CR4" s="26" t="s">
        <v>149</v>
      </c>
      <c r="CS4" s="26" t="s">
        <v>150</v>
      </c>
      <c r="CT4" s="26" t="s">
        <v>151</v>
      </c>
      <c r="CU4" s="26" t="s">
        <v>160</v>
      </c>
      <c r="CV4" s="26" t="s">
        <v>162</v>
      </c>
      <c r="CW4" s="26" t="s">
        <v>164</v>
      </c>
      <c r="CX4" s="26" t="s">
        <v>166</v>
      </c>
      <c r="CY4" s="26" t="s">
        <v>142</v>
      </c>
      <c r="CZ4" s="26" t="s">
        <v>143</v>
      </c>
      <c r="DA4" s="26" t="s">
        <v>168</v>
      </c>
      <c r="DB4" s="26" t="s">
        <v>170</v>
      </c>
      <c r="DC4" s="26" t="s">
        <v>172</v>
      </c>
      <c r="DD4" s="26" t="s">
        <v>174</v>
      </c>
      <c r="DE4" s="26" t="s">
        <v>144</v>
      </c>
      <c r="DF4" s="26" t="s">
        <v>176</v>
      </c>
      <c r="DG4" s="26" t="s">
        <v>178</v>
      </c>
      <c r="DH4" s="26" t="s">
        <v>180</v>
      </c>
      <c r="DI4" s="26" t="s">
        <v>182</v>
      </c>
      <c r="DJ4" s="26" t="s">
        <v>145</v>
      </c>
      <c r="DK4" s="26" t="s">
        <v>146</v>
      </c>
      <c r="DL4" s="26" t="s">
        <v>147</v>
      </c>
      <c r="DM4" s="26" t="s">
        <v>148</v>
      </c>
      <c r="DN4" s="26" t="s">
        <v>149</v>
      </c>
      <c r="DO4" s="26" t="s">
        <v>150</v>
      </c>
      <c r="DP4" s="26" t="s">
        <v>151</v>
      </c>
      <c r="DQ4" s="26" t="s">
        <v>160</v>
      </c>
      <c r="DR4" s="26" t="s">
        <v>162</v>
      </c>
      <c r="DS4" s="26" t="s">
        <v>164</v>
      </c>
      <c r="DT4" s="26" t="s">
        <v>166</v>
      </c>
      <c r="DU4" s="26" t="s">
        <v>142</v>
      </c>
      <c r="DV4" s="26" t="s">
        <v>143</v>
      </c>
      <c r="DW4" s="26" t="s">
        <v>168</v>
      </c>
      <c r="DX4" s="26" t="s">
        <v>170</v>
      </c>
      <c r="DY4" s="26" t="s">
        <v>172</v>
      </c>
      <c r="DZ4" s="26" t="s">
        <v>174</v>
      </c>
      <c r="EA4" s="26" t="s">
        <v>144</v>
      </c>
      <c r="EB4" s="26" t="s">
        <v>176</v>
      </c>
      <c r="EC4" s="26" t="s">
        <v>178</v>
      </c>
      <c r="ED4" s="26" t="s">
        <v>180</v>
      </c>
      <c r="EE4" s="26" t="s">
        <v>182</v>
      </c>
      <c r="EF4" s="26" t="s">
        <v>145</v>
      </c>
      <c r="EG4" s="26" t="s">
        <v>146</v>
      </c>
      <c r="EH4" s="26" t="s">
        <v>147</v>
      </c>
      <c r="EI4" s="26" t="s">
        <v>148</v>
      </c>
      <c r="EJ4" s="26" t="s">
        <v>149</v>
      </c>
      <c r="EK4" s="26" t="s">
        <v>150</v>
      </c>
      <c r="EL4" s="26" t="s">
        <v>151</v>
      </c>
      <c r="EM4" s="26" t="s">
        <v>244</v>
      </c>
      <c r="EN4" s="26" t="s">
        <v>243</v>
      </c>
      <c r="EO4" s="26" t="s">
        <v>245</v>
      </c>
      <c r="EP4" s="26" t="s">
        <v>246</v>
      </c>
      <c r="EQ4" s="26" t="s">
        <v>247</v>
      </c>
    </row>
    <row r="5" spans="2:147">
      <c r="B5" s="27">
        <v>1</v>
      </c>
      <c r="C5" s="27">
        <v>1</v>
      </c>
      <c r="D5" s="27">
        <v>0</v>
      </c>
      <c r="E5" s="27">
        <v>500</v>
      </c>
      <c r="F5" s="27">
        <f>INT(E5/500)*500</f>
        <v>500</v>
      </c>
      <c r="G5" s="27">
        <f>SUM(F$5:F5)</f>
        <v>500</v>
      </c>
      <c r="H5" s="27">
        <v>1</v>
      </c>
      <c r="I5" s="27" t="s">
        <v>167</v>
      </c>
      <c r="J5" s="27">
        <v>0.3</v>
      </c>
      <c r="K5" s="27">
        <f>INDEX(其他调用!$BO$5:$BO$61,MATCH(星阵点亮!I5,其他调用!$BM$5:$BM$61,0))*J5</f>
        <v>2722.2793847523758</v>
      </c>
      <c r="L5" s="28">
        <f>INT((MAX(K$5:K$35)-MIN(K$5:K$35))/H$35*(H5-1)+MIN(K$5:K$35))</f>
        <v>2722</v>
      </c>
      <c r="N5" s="27" t="s">
        <v>167</v>
      </c>
      <c r="O5" s="27">
        <f t="shared" ref="O5:O26" si="0">SUMIF($I$5:$I$76,N5,$J$5:$J$76)</f>
        <v>1.5</v>
      </c>
      <c r="Q5" s="26">
        <v>1</v>
      </c>
      <c r="R5" s="26">
        <f>总纲!D5</f>
        <v>7.1773462536293131E-2</v>
      </c>
      <c r="S5" s="26">
        <f>求节点(将星点产出!$W$6:$W$44,将星点产出!$AO$6:$AO$44,星阵点亮!$Q5)</f>
        <v>639.09999999999945</v>
      </c>
      <c r="T5" s="26">
        <f>INDEX($H$5:$H$76,MATCH(S5,$G$5:$G$76,1))</f>
        <v>1</v>
      </c>
      <c r="U5" s="26">
        <f>总纲!E5</f>
        <v>5.9787294292732177E-2</v>
      </c>
      <c r="V5" s="26">
        <f>求节点(将星点产出!$W$51:$W$89,将星点产出!$AO$51:$AO$89,星阵点亮!$Q5)</f>
        <v>786.00333241497083</v>
      </c>
      <c r="W5" s="26">
        <f>INDEX($H$5:$H$76,MATCH(V5,$G$5:$G$76,1))</f>
        <v>1</v>
      </c>
      <c r="X5" s="26">
        <f>总纲!F5</f>
        <v>4.677476553490223E-2</v>
      </c>
      <c r="Y5" s="26">
        <f>求节点(将星点产出!$W$96:$W$134,将星点产出!$AO$96:$AO$134,星阵点亮!$Q5)</f>
        <v>1007.4291995548447</v>
      </c>
      <c r="Z5" s="26">
        <f>INDEX($H$5:$H$76,MATCH(Y5,$G$5:$G$76,1))</f>
        <v>1</v>
      </c>
      <c r="AA5" s="26">
        <f>总纲!G5</f>
        <v>3.2585151991477081E-2</v>
      </c>
      <c r="AB5" s="26">
        <f>求节点(将星点产出!$W$141:$W$179,将星点产出!$AO$141:$AO$179,星阵点亮!$Q5)</f>
        <v>1549.7920304980216</v>
      </c>
      <c r="AC5" s="26">
        <f>INDEX($H$5:$H$76,MATCH(AB5,$G$5:$G$76,1))</f>
        <v>2</v>
      </c>
      <c r="AD5" s="26">
        <f>总纲!H5</f>
        <v>1.7039020006115988E-2</v>
      </c>
      <c r="AE5" s="26">
        <f>求节点(将星点产出!$W$186:$W$224,将星点产出!$AO$186:$AO$224,星阵点亮!$Q5)</f>
        <v>1572.7351330637503</v>
      </c>
      <c r="AF5" s="26">
        <f>INDEX($H$5:$H$76,MATCH(AE5,$G$5:$G$76,1))</f>
        <v>2</v>
      </c>
      <c r="AG5" s="26">
        <f t="shared" ref="AG5:AP14" si="1">SUMIFS($J$5:$J$76,$I$5:$I$76,AG$4,$H$5:$H$76,"&lt;="&amp;$T5)</f>
        <v>0</v>
      </c>
      <c r="AH5" s="26">
        <f t="shared" si="1"/>
        <v>0</v>
      </c>
      <c r="AI5" s="26">
        <f t="shared" si="1"/>
        <v>0</v>
      </c>
      <c r="AJ5" s="26">
        <f t="shared" si="1"/>
        <v>0.3</v>
      </c>
      <c r="AK5" s="26">
        <f t="shared" si="1"/>
        <v>0</v>
      </c>
      <c r="AL5" s="26">
        <f t="shared" si="1"/>
        <v>0</v>
      </c>
      <c r="AM5" s="26">
        <f t="shared" si="1"/>
        <v>0</v>
      </c>
      <c r="AN5" s="26">
        <f t="shared" si="1"/>
        <v>0</v>
      </c>
      <c r="AO5" s="26">
        <f t="shared" si="1"/>
        <v>0</v>
      </c>
      <c r="AP5" s="26">
        <f t="shared" si="1"/>
        <v>0</v>
      </c>
      <c r="AQ5" s="26">
        <f t="shared" ref="AQ5:BB14" si="2">SUMIFS($J$5:$J$76,$I$5:$I$76,AQ$4,$H$5:$H$76,"&lt;="&amp;$T5)</f>
        <v>0</v>
      </c>
      <c r="AR5" s="26">
        <f t="shared" si="2"/>
        <v>0</v>
      </c>
      <c r="AS5" s="26">
        <f t="shared" si="2"/>
        <v>0</v>
      </c>
      <c r="AT5" s="26">
        <f t="shared" si="2"/>
        <v>0</v>
      </c>
      <c r="AU5" s="26">
        <f t="shared" si="2"/>
        <v>0</v>
      </c>
      <c r="AV5" s="26">
        <f t="shared" si="2"/>
        <v>0</v>
      </c>
      <c r="AW5" s="26">
        <f t="shared" si="2"/>
        <v>0</v>
      </c>
      <c r="AX5" s="26">
        <f t="shared" si="2"/>
        <v>0</v>
      </c>
      <c r="AY5" s="26">
        <f t="shared" si="2"/>
        <v>0</v>
      </c>
      <c r="AZ5" s="26">
        <f t="shared" si="2"/>
        <v>0</v>
      </c>
      <c r="BA5" s="26">
        <f t="shared" si="2"/>
        <v>0</v>
      </c>
      <c r="BB5" s="26">
        <f t="shared" si="2"/>
        <v>0</v>
      </c>
      <c r="BC5" s="26">
        <f t="shared" ref="BC5:BL14" si="3">SUMIFS($J$5:$J$76,$I$5:$I$76,BC$4,$H$5:$H$76,"&lt;="&amp;$W5)</f>
        <v>0</v>
      </c>
      <c r="BD5" s="26">
        <f t="shared" si="3"/>
        <v>0</v>
      </c>
      <c r="BE5" s="26">
        <f t="shared" si="3"/>
        <v>0</v>
      </c>
      <c r="BF5" s="26">
        <f t="shared" si="3"/>
        <v>0.3</v>
      </c>
      <c r="BG5" s="26">
        <f t="shared" si="3"/>
        <v>0</v>
      </c>
      <c r="BH5" s="26">
        <f t="shared" si="3"/>
        <v>0</v>
      </c>
      <c r="BI5" s="26">
        <f t="shared" si="3"/>
        <v>0</v>
      </c>
      <c r="BJ5" s="26">
        <f t="shared" si="3"/>
        <v>0</v>
      </c>
      <c r="BK5" s="26">
        <f t="shared" si="3"/>
        <v>0</v>
      </c>
      <c r="BL5" s="26">
        <f t="shared" si="3"/>
        <v>0</v>
      </c>
      <c r="BM5" s="26">
        <f t="shared" ref="BM5:BX14" si="4">SUMIFS($J$5:$J$76,$I$5:$I$76,BM$4,$H$5:$H$76,"&lt;="&amp;$W5)</f>
        <v>0</v>
      </c>
      <c r="BN5" s="26">
        <f t="shared" si="4"/>
        <v>0</v>
      </c>
      <c r="BO5" s="26">
        <f t="shared" si="4"/>
        <v>0</v>
      </c>
      <c r="BP5" s="26">
        <f t="shared" si="4"/>
        <v>0</v>
      </c>
      <c r="BQ5" s="26">
        <f t="shared" si="4"/>
        <v>0</v>
      </c>
      <c r="BR5" s="26">
        <f t="shared" si="4"/>
        <v>0</v>
      </c>
      <c r="BS5" s="26">
        <f t="shared" si="4"/>
        <v>0</v>
      </c>
      <c r="BT5" s="26">
        <f t="shared" si="4"/>
        <v>0</v>
      </c>
      <c r="BU5" s="26">
        <f t="shared" si="4"/>
        <v>0</v>
      </c>
      <c r="BV5" s="26">
        <f t="shared" si="4"/>
        <v>0</v>
      </c>
      <c r="BW5" s="26">
        <f t="shared" si="4"/>
        <v>0</v>
      </c>
      <c r="BX5" s="26">
        <f t="shared" si="4"/>
        <v>0</v>
      </c>
      <c r="BY5" s="26">
        <f t="shared" ref="BY5:CH14" si="5">SUMIFS($J$5:$J$76,$I$5:$I$76,BY$4,$H$5:$H$76,"&lt;="&amp;$Z5)</f>
        <v>0</v>
      </c>
      <c r="BZ5" s="26">
        <f t="shared" si="5"/>
        <v>0</v>
      </c>
      <c r="CA5" s="26">
        <f t="shared" si="5"/>
        <v>0</v>
      </c>
      <c r="CB5" s="26">
        <f t="shared" si="5"/>
        <v>0.3</v>
      </c>
      <c r="CC5" s="26">
        <f t="shared" si="5"/>
        <v>0</v>
      </c>
      <c r="CD5" s="26">
        <f t="shared" si="5"/>
        <v>0</v>
      </c>
      <c r="CE5" s="26">
        <f t="shared" si="5"/>
        <v>0</v>
      </c>
      <c r="CF5" s="26">
        <f t="shared" si="5"/>
        <v>0</v>
      </c>
      <c r="CG5" s="26">
        <f t="shared" si="5"/>
        <v>0</v>
      </c>
      <c r="CH5" s="26">
        <f t="shared" si="5"/>
        <v>0</v>
      </c>
      <c r="CI5" s="26">
        <f t="shared" ref="CI5:CT14" si="6">SUMIFS($J$5:$J$76,$I$5:$I$76,CI$4,$H$5:$H$76,"&lt;="&amp;$Z5)</f>
        <v>0</v>
      </c>
      <c r="CJ5" s="26">
        <f t="shared" si="6"/>
        <v>0</v>
      </c>
      <c r="CK5" s="26">
        <f t="shared" si="6"/>
        <v>0</v>
      </c>
      <c r="CL5" s="26">
        <f t="shared" si="6"/>
        <v>0</v>
      </c>
      <c r="CM5" s="26">
        <f t="shared" si="6"/>
        <v>0</v>
      </c>
      <c r="CN5" s="26">
        <f t="shared" si="6"/>
        <v>0</v>
      </c>
      <c r="CO5" s="26">
        <f t="shared" si="6"/>
        <v>0</v>
      </c>
      <c r="CP5" s="26">
        <f t="shared" si="6"/>
        <v>0</v>
      </c>
      <c r="CQ5" s="26">
        <f t="shared" si="6"/>
        <v>0</v>
      </c>
      <c r="CR5" s="26">
        <f t="shared" si="6"/>
        <v>0</v>
      </c>
      <c r="CS5" s="26">
        <f t="shared" si="6"/>
        <v>0</v>
      </c>
      <c r="CT5" s="26">
        <f t="shared" si="6"/>
        <v>0</v>
      </c>
      <c r="CU5" s="26">
        <f t="shared" ref="CU5:DD14" si="7">SUMIFS($J$5:$J$76,$I$5:$I$76,CU$4,$H$5:$H$76,"&lt;="&amp;$AC5)</f>
        <v>0.3</v>
      </c>
      <c r="CV5" s="26">
        <f t="shared" si="7"/>
        <v>0</v>
      </c>
      <c r="CW5" s="26">
        <f t="shared" si="7"/>
        <v>0</v>
      </c>
      <c r="CX5" s="26">
        <f t="shared" si="7"/>
        <v>0.3</v>
      </c>
      <c r="CY5" s="26">
        <f t="shared" si="7"/>
        <v>0</v>
      </c>
      <c r="CZ5" s="26">
        <f t="shared" si="7"/>
        <v>0</v>
      </c>
      <c r="DA5" s="26">
        <f t="shared" si="7"/>
        <v>0</v>
      </c>
      <c r="DB5" s="26">
        <f t="shared" si="7"/>
        <v>0</v>
      </c>
      <c r="DC5" s="26">
        <f t="shared" si="7"/>
        <v>0</v>
      </c>
      <c r="DD5" s="26">
        <f t="shared" si="7"/>
        <v>0</v>
      </c>
      <c r="DE5" s="26">
        <f t="shared" ref="DE5:DP14" si="8">SUMIFS($J$5:$J$76,$I$5:$I$76,DE$4,$H$5:$H$76,"&lt;="&amp;$AC5)</f>
        <v>0</v>
      </c>
      <c r="DF5" s="26">
        <f t="shared" si="8"/>
        <v>0</v>
      </c>
      <c r="DG5" s="26">
        <f t="shared" si="8"/>
        <v>0</v>
      </c>
      <c r="DH5" s="26">
        <f t="shared" si="8"/>
        <v>0</v>
      </c>
      <c r="DI5" s="26">
        <f t="shared" si="8"/>
        <v>0</v>
      </c>
      <c r="DJ5" s="26">
        <f t="shared" si="8"/>
        <v>0</v>
      </c>
      <c r="DK5" s="26">
        <f t="shared" si="8"/>
        <v>0</v>
      </c>
      <c r="DL5" s="26">
        <f t="shared" si="8"/>
        <v>0</v>
      </c>
      <c r="DM5" s="26">
        <f t="shared" si="8"/>
        <v>0</v>
      </c>
      <c r="DN5" s="26">
        <f t="shared" si="8"/>
        <v>0</v>
      </c>
      <c r="DO5" s="26">
        <f t="shared" si="8"/>
        <v>0</v>
      </c>
      <c r="DP5" s="26">
        <f t="shared" si="8"/>
        <v>0</v>
      </c>
      <c r="DQ5" s="26">
        <f t="shared" ref="DQ5:DZ14" si="9">SUMIFS($J$5:$J$76,$I$5:$I$76,DQ$4,$H$5:$H$76,"&lt;="&amp;$AF5)</f>
        <v>0.3</v>
      </c>
      <c r="DR5" s="26">
        <f t="shared" si="9"/>
        <v>0</v>
      </c>
      <c r="DS5" s="26">
        <f t="shared" si="9"/>
        <v>0</v>
      </c>
      <c r="DT5" s="26">
        <f t="shared" si="9"/>
        <v>0.3</v>
      </c>
      <c r="DU5" s="26">
        <f t="shared" si="9"/>
        <v>0</v>
      </c>
      <c r="DV5" s="26">
        <f t="shared" si="9"/>
        <v>0</v>
      </c>
      <c r="DW5" s="26">
        <f t="shared" si="9"/>
        <v>0</v>
      </c>
      <c r="DX5" s="26">
        <f t="shared" si="9"/>
        <v>0</v>
      </c>
      <c r="DY5" s="26">
        <f t="shared" si="9"/>
        <v>0</v>
      </c>
      <c r="DZ5" s="26">
        <f t="shared" si="9"/>
        <v>0</v>
      </c>
      <c r="EA5" s="26">
        <f t="shared" ref="EA5:EL14" si="10">SUMIFS($J$5:$J$76,$I$5:$I$76,EA$4,$H$5:$H$76,"&lt;="&amp;$AF5)</f>
        <v>0</v>
      </c>
      <c r="EB5" s="26">
        <f t="shared" si="10"/>
        <v>0</v>
      </c>
      <c r="EC5" s="26">
        <f t="shared" si="10"/>
        <v>0</v>
      </c>
      <c r="ED5" s="26">
        <f t="shared" si="10"/>
        <v>0</v>
      </c>
      <c r="EE5" s="26">
        <f t="shared" si="10"/>
        <v>0</v>
      </c>
      <c r="EF5" s="26">
        <f t="shared" si="10"/>
        <v>0</v>
      </c>
      <c r="EG5" s="26">
        <f t="shared" si="10"/>
        <v>0</v>
      </c>
      <c r="EH5" s="26">
        <f t="shared" si="10"/>
        <v>0</v>
      </c>
      <c r="EI5" s="26">
        <f t="shared" si="10"/>
        <v>0</v>
      </c>
      <c r="EJ5" s="26">
        <f t="shared" si="10"/>
        <v>0</v>
      </c>
      <c r="EK5" s="26">
        <f t="shared" si="10"/>
        <v>0</v>
      </c>
      <c r="EL5" s="26">
        <f t="shared" si="10"/>
        <v>0</v>
      </c>
      <c r="EM5" s="26">
        <f>SUMIFS($L$5:$L$76,$H$5:$H$76,"&lt;="&amp;T5)</f>
        <v>2722</v>
      </c>
      <c r="EN5" s="26">
        <f>SUMIFS($L$5:$L$76,$H$5:$H$76,"&lt;="&amp;W5)</f>
        <v>2722</v>
      </c>
      <c r="EO5" s="26">
        <f>SUMIFS($L$5:$L$76,$H$5:$H$76,"&lt;="&amp;Z5)</f>
        <v>2722</v>
      </c>
      <c r="EP5" s="26">
        <f>SUMIFS($L$5:$L$76,$H$5:$H$76,"&lt;="&amp;AC5)</f>
        <v>5574</v>
      </c>
      <c r="EQ5" s="26">
        <f>SUMIFS($L$5:$L$76,$H$5:$H$76,"&lt;="&amp;AF5)</f>
        <v>5574</v>
      </c>
    </row>
    <row r="6" spans="2:147">
      <c r="B6" s="27">
        <v>1</v>
      </c>
      <c r="C6" s="27">
        <v>2</v>
      </c>
      <c r="D6" s="27">
        <v>500</v>
      </c>
      <c r="E6" s="27">
        <f>E5+D6</f>
        <v>1000</v>
      </c>
      <c r="F6" s="27">
        <f t="shared" ref="F6:F69" si="11">INT(E6/500)*500</f>
        <v>1000</v>
      </c>
      <c r="G6" s="27">
        <f>SUM(F$5:F6)</f>
        <v>1500</v>
      </c>
      <c r="H6" s="27">
        <f>H5+1</f>
        <v>2</v>
      </c>
      <c r="I6" s="27" t="s">
        <v>161</v>
      </c>
      <c r="J6" s="27">
        <v>0.3</v>
      </c>
      <c r="K6" s="27">
        <f>INDEX(其他调用!$BO$5:$BO$61,MATCH(星阵点亮!I6,其他调用!$BM$5:$BM$61,0))*J6</f>
        <v>2722.2793847523758</v>
      </c>
      <c r="L6" s="28">
        <f t="shared" ref="L6:L35" si="12">INT((MAX(K$5:K$35)-MIN(K$5:K$35))/H$35*(H6-1)+MIN(K$5:K$35))</f>
        <v>2852</v>
      </c>
      <c r="N6" s="27" t="s">
        <v>161</v>
      </c>
      <c r="O6" s="27">
        <f t="shared" si="0"/>
        <v>1.5</v>
      </c>
      <c r="Q6" s="26">
        <v>2</v>
      </c>
      <c r="R6" s="26">
        <f>总纲!D6</f>
        <v>0.1486983549970351</v>
      </c>
      <c r="S6" s="26">
        <f>求节点(将星点产出!$W$6:$W$44,将星点产出!$AO$6:$AO$44,星阵点亮!$Q6)</f>
        <v>1278.1999999999998</v>
      </c>
      <c r="T6" s="26">
        <f t="shared" ref="T6:T69" si="13">INDEX($H$5:$H$76,MATCH(S6,$G$5:$G$76,1))</f>
        <v>1</v>
      </c>
      <c r="U6" s="26">
        <f>总纲!E6</f>
        <v>0.12505531655250651</v>
      </c>
      <c r="V6" s="26">
        <f>求节点(将星点产出!$W$51:$W$89,将星点产出!$AO$51:$AO$89,星阵点亮!$Q6)</f>
        <v>1572.0066648299417</v>
      </c>
      <c r="W6" s="26">
        <f t="shared" ref="W6:W69" si="14">INDEX($H$5:$H$76,MATCH(V6,$G$5:$G$76,1))</f>
        <v>2</v>
      </c>
      <c r="X6" s="26">
        <f>总纲!F6</f>
        <v>9.883979656652922E-2</v>
      </c>
      <c r="Y6" s="26">
        <f>求节点(将星点产出!$W$96:$W$134,将星点产出!$AO$96:$AO$134,星阵点亮!$Q6)</f>
        <v>2014.8583991096884</v>
      </c>
      <c r="Z6" s="26">
        <f t="shared" ref="Z6:Z69" si="15">INDEX($H$5:$H$76,MATCH(Y6,$G$5:$G$76,1))</f>
        <v>2</v>
      </c>
      <c r="AA6" s="26">
        <f>总纲!G6</f>
        <v>6.9828747506607683E-2</v>
      </c>
      <c r="AB6" s="26">
        <f>求节点(将星点产出!$W$141:$W$179,将星点产出!$AO$141:$AO$179,星阵点亮!$Q6)</f>
        <v>3099.5840609960414</v>
      </c>
      <c r="AC6" s="26">
        <f t="shared" ref="AC6:AC69" si="16">INDEX($H$5:$H$76,MATCH(AB6,$G$5:$G$76,1))</f>
        <v>3</v>
      </c>
      <c r="AD6" s="26">
        <f>总纲!H6</f>
        <v>3.7085369736260552E-2</v>
      </c>
      <c r="AE6" s="26">
        <f>求节点(将星点产出!$W$186:$W$224,将星点产出!$AO$186:$AO$224,星阵点亮!$Q6)</f>
        <v>3145.4702661275005</v>
      </c>
      <c r="AF6" s="26">
        <f t="shared" ref="AF6:AF69" si="17">INDEX($H$5:$H$76,MATCH(AE6,$G$5:$G$76,1))</f>
        <v>3</v>
      </c>
      <c r="AG6" s="26">
        <f t="shared" si="1"/>
        <v>0</v>
      </c>
      <c r="AH6" s="26">
        <f t="shared" si="1"/>
        <v>0</v>
      </c>
      <c r="AI6" s="26">
        <f t="shared" si="1"/>
        <v>0</v>
      </c>
      <c r="AJ6" s="26">
        <f t="shared" si="1"/>
        <v>0.3</v>
      </c>
      <c r="AK6" s="26">
        <f t="shared" si="1"/>
        <v>0</v>
      </c>
      <c r="AL6" s="26">
        <f t="shared" si="1"/>
        <v>0</v>
      </c>
      <c r="AM6" s="26">
        <f t="shared" si="1"/>
        <v>0</v>
      </c>
      <c r="AN6" s="26">
        <f t="shared" si="1"/>
        <v>0</v>
      </c>
      <c r="AO6" s="26">
        <f t="shared" si="1"/>
        <v>0</v>
      </c>
      <c r="AP6" s="26">
        <f t="shared" si="1"/>
        <v>0</v>
      </c>
      <c r="AQ6" s="26">
        <f t="shared" si="2"/>
        <v>0</v>
      </c>
      <c r="AR6" s="26">
        <f t="shared" si="2"/>
        <v>0</v>
      </c>
      <c r="AS6" s="26">
        <f t="shared" si="2"/>
        <v>0</v>
      </c>
      <c r="AT6" s="26">
        <f t="shared" si="2"/>
        <v>0</v>
      </c>
      <c r="AU6" s="26">
        <f t="shared" si="2"/>
        <v>0</v>
      </c>
      <c r="AV6" s="26">
        <f t="shared" si="2"/>
        <v>0</v>
      </c>
      <c r="AW6" s="26">
        <f t="shared" si="2"/>
        <v>0</v>
      </c>
      <c r="AX6" s="26">
        <f t="shared" si="2"/>
        <v>0</v>
      </c>
      <c r="AY6" s="26">
        <f t="shared" si="2"/>
        <v>0</v>
      </c>
      <c r="AZ6" s="26">
        <f t="shared" si="2"/>
        <v>0</v>
      </c>
      <c r="BA6" s="26">
        <f t="shared" si="2"/>
        <v>0</v>
      </c>
      <c r="BB6" s="26">
        <f t="shared" si="2"/>
        <v>0</v>
      </c>
      <c r="BC6" s="26">
        <f t="shared" si="3"/>
        <v>0.3</v>
      </c>
      <c r="BD6" s="26">
        <f t="shared" si="3"/>
        <v>0</v>
      </c>
      <c r="BE6" s="26">
        <f t="shared" si="3"/>
        <v>0</v>
      </c>
      <c r="BF6" s="26">
        <f t="shared" si="3"/>
        <v>0.3</v>
      </c>
      <c r="BG6" s="26">
        <f t="shared" si="3"/>
        <v>0</v>
      </c>
      <c r="BH6" s="26">
        <f t="shared" si="3"/>
        <v>0</v>
      </c>
      <c r="BI6" s="26">
        <f t="shared" si="3"/>
        <v>0</v>
      </c>
      <c r="BJ6" s="26">
        <f t="shared" si="3"/>
        <v>0</v>
      </c>
      <c r="BK6" s="26">
        <f t="shared" si="3"/>
        <v>0</v>
      </c>
      <c r="BL6" s="26">
        <f t="shared" si="3"/>
        <v>0</v>
      </c>
      <c r="BM6" s="26">
        <f t="shared" si="4"/>
        <v>0</v>
      </c>
      <c r="BN6" s="26">
        <f t="shared" si="4"/>
        <v>0</v>
      </c>
      <c r="BO6" s="26">
        <f t="shared" si="4"/>
        <v>0</v>
      </c>
      <c r="BP6" s="26">
        <f t="shared" si="4"/>
        <v>0</v>
      </c>
      <c r="BQ6" s="26">
        <f t="shared" si="4"/>
        <v>0</v>
      </c>
      <c r="BR6" s="26">
        <f t="shared" si="4"/>
        <v>0</v>
      </c>
      <c r="BS6" s="26">
        <f t="shared" si="4"/>
        <v>0</v>
      </c>
      <c r="BT6" s="26">
        <f t="shared" si="4"/>
        <v>0</v>
      </c>
      <c r="BU6" s="26">
        <f t="shared" si="4"/>
        <v>0</v>
      </c>
      <c r="BV6" s="26">
        <f t="shared" si="4"/>
        <v>0</v>
      </c>
      <c r="BW6" s="26">
        <f t="shared" si="4"/>
        <v>0</v>
      </c>
      <c r="BX6" s="26">
        <f t="shared" si="4"/>
        <v>0</v>
      </c>
      <c r="BY6" s="26">
        <f t="shared" si="5"/>
        <v>0.3</v>
      </c>
      <c r="BZ6" s="26">
        <f t="shared" si="5"/>
        <v>0</v>
      </c>
      <c r="CA6" s="26">
        <f t="shared" si="5"/>
        <v>0</v>
      </c>
      <c r="CB6" s="26">
        <f t="shared" si="5"/>
        <v>0.3</v>
      </c>
      <c r="CC6" s="26">
        <f t="shared" si="5"/>
        <v>0</v>
      </c>
      <c r="CD6" s="26">
        <f t="shared" si="5"/>
        <v>0</v>
      </c>
      <c r="CE6" s="26">
        <f t="shared" si="5"/>
        <v>0</v>
      </c>
      <c r="CF6" s="26">
        <f t="shared" si="5"/>
        <v>0</v>
      </c>
      <c r="CG6" s="26">
        <f t="shared" si="5"/>
        <v>0</v>
      </c>
      <c r="CH6" s="26">
        <f t="shared" si="5"/>
        <v>0</v>
      </c>
      <c r="CI6" s="26">
        <f t="shared" si="6"/>
        <v>0</v>
      </c>
      <c r="CJ6" s="26">
        <f t="shared" si="6"/>
        <v>0</v>
      </c>
      <c r="CK6" s="26">
        <f t="shared" si="6"/>
        <v>0</v>
      </c>
      <c r="CL6" s="26">
        <f t="shared" si="6"/>
        <v>0</v>
      </c>
      <c r="CM6" s="26">
        <f t="shared" si="6"/>
        <v>0</v>
      </c>
      <c r="CN6" s="26">
        <f t="shared" si="6"/>
        <v>0</v>
      </c>
      <c r="CO6" s="26">
        <f t="shared" si="6"/>
        <v>0</v>
      </c>
      <c r="CP6" s="26">
        <f t="shared" si="6"/>
        <v>0</v>
      </c>
      <c r="CQ6" s="26">
        <f t="shared" si="6"/>
        <v>0</v>
      </c>
      <c r="CR6" s="26">
        <f t="shared" si="6"/>
        <v>0</v>
      </c>
      <c r="CS6" s="26">
        <f t="shared" si="6"/>
        <v>0</v>
      </c>
      <c r="CT6" s="26">
        <f t="shared" si="6"/>
        <v>0</v>
      </c>
      <c r="CU6" s="26">
        <f t="shared" si="7"/>
        <v>0.3</v>
      </c>
      <c r="CV6" s="26">
        <f t="shared" si="7"/>
        <v>0.3</v>
      </c>
      <c r="CW6" s="26">
        <f t="shared" si="7"/>
        <v>0</v>
      </c>
      <c r="CX6" s="26">
        <f t="shared" si="7"/>
        <v>0.3</v>
      </c>
      <c r="CY6" s="26">
        <f t="shared" si="7"/>
        <v>0</v>
      </c>
      <c r="CZ6" s="26">
        <f t="shared" si="7"/>
        <v>0</v>
      </c>
      <c r="DA6" s="26">
        <f t="shared" si="7"/>
        <v>0</v>
      </c>
      <c r="DB6" s="26">
        <f t="shared" si="7"/>
        <v>0</v>
      </c>
      <c r="DC6" s="26">
        <f t="shared" si="7"/>
        <v>0</v>
      </c>
      <c r="DD6" s="26">
        <f t="shared" si="7"/>
        <v>0</v>
      </c>
      <c r="DE6" s="26">
        <f t="shared" si="8"/>
        <v>0</v>
      </c>
      <c r="DF6" s="26">
        <f t="shared" si="8"/>
        <v>0</v>
      </c>
      <c r="DG6" s="26">
        <f t="shared" si="8"/>
        <v>0</v>
      </c>
      <c r="DH6" s="26">
        <f t="shared" si="8"/>
        <v>0</v>
      </c>
      <c r="DI6" s="26">
        <f t="shared" si="8"/>
        <v>0</v>
      </c>
      <c r="DJ6" s="26">
        <f t="shared" si="8"/>
        <v>0</v>
      </c>
      <c r="DK6" s="26">
        <f t="shared" si="8"/>
        <v>0</v>
      </c>
      <c r="DL6" s="26">
        <f t="shared" si="8"/>
        <v>0</v>
      </c>
      <c r="DM6" s="26">
        <f t="shared" si="8"/>
        <v>0</v>
      </c>
      <c r="DN6" s="26">
        <f t="shared" si="8"/>
        <v>0</v>
      </c>
      <c r="DO6" s="26">
        <f t="shared" si="8"/>
        <v>0</v>
      </c>
      <c r="DP6" s="26">
        <f t="shared" si="8"/>
        <v>0</v>
      </c>
      <c r="DQ6" s="26">
        <f t="shared" si="9"/>
        <v>0.3</v>
      </c>
      <c r="DR6" s="26">
        <f t="shared" si="9"/>
        <v>0.3</v>
      </c>
      <c r="DS6" s="26">
        <f t="shared" si="9"/>
        <v>0</v>
      </c>
      <c r="DT6" s="26">
        <f t="shared" si="9"/>
        <v>0.3</v>
      </c>
      <c r="DU6" s="26">
        <f t="shared" si="9"/>
        <v>0</v>
      </c>
      <c r="DV6" s="26">
        <f t="shared" si="9"/>
        <v>0</v>
      </c>
      <c r="DW6" s="26">
        <f t="shared" si="9"/>
        <v>0</v>
      </c>
      <c r="DX6" s="26">
        <f t="shared" si="9"/>
        <v>0</v>
      </c>
      <c r="DY6" s="26">
        <f t="shared" si="9"/>
        <v>0</v>
      </c>
      <c r="DZ6" s="26">
        <f t="shared" si="9"/>
        <v>0</v>
      </c>
      <c r="EA6" s="26">
        <f t="shared" si="10"/>
        <v>0</v>
      </c>
      <c r="EB6" s="26">
        <f t="shared" si="10"/>
        <v>0</v>
      </c>
      <c r="EC6" s="26">
        <f t="shared" si="10"/>
        <v>0</v>
      </c>
      <c r="ED6" s="26">
        <f t="shared" si="10"/>
        <v>0</v>
      </c>
      <c r="EE6" s="26">
        <f t="shared" si="10"/>
        <v>0</v>
      </c>
      <c r="EF6" s="26">
        <f t="shared" si="10"/>
        <v>0</v>
      </c>
      <c r="EG6" s="26">
        <f t="shared" si="10"/>
        <v>0</v>
      </c>
      <c r="EH6" s="26">
        <f t="shared" si="10"/>
        <v>0</v>
      </c>
      <c r="EI6" s="26">
        <f t="shared" si="10"/>
        <v>0</v>
      </c>
      <c r="EJ6" s="26">
        <f t="shared" si="10"/>
        <v>0</v>
      </c>
      <c r="EK6" s="26">
        <f t="shared" si="10"/>
        <v>0</v>
      </c>
      <c r="EL6" s="26">
        <f t="shared" si="10"/>
        <v>0</v>
      </c>
      <c r="EM6" s="26">
        <f t="shared" ref="EM6:EM69" si="18">SUMIFS($L$5:$L$76,$H$5:$H$76,"&lt;="&amp;T6)</f>
        <v>2722</v>
      </c>
      <c r="EN6" s="26">
        <f t="shared" ref="EN6:EN69" si="19">SUMIFS($L$5:$L$76,$H$5:$H$76,"&lt;="&amp;W6)</f>
        <v>5574</v>
      </c>
      <c r="EO6" s="26">
        <f t="shared" ref="EO6:EO69" si="20">SUMIFS($L$5:$L$76,$H$5:$H$76,"&lt;="&amp;Z6)</f>
        <v>5574</v>
      </c>
      <c r="EP6" s="26">
        <f t="shared" ref="EP6:EP69" si="21">SUMIFS($L$5:$L$76,$H$5:$H$76,"&lt;="&amp;AC6)</f>
        <v>8556</v>
      </c>
      <c r="EQ6" s="26">
        <f t="shared" ref="EQ6:EQ69" si="22">SUMIFS($L$5:$L$76,$H$5:$H$76,"&lt;="&amp;AF6)</f>
        <v>8556</v>
      </c>
    </row>
    <row r="7" spans="2:147">
      <c r="B7" s="27">
        <v>1</v>
      </c>
      <c r="C7" s="27">
        <v>3</v>
      </c>
      <c r="D7" s="27">
        <v>500</v>
      </c>
      <c r="E7" s="27">
        <f t="shared" ref="E7:E70" si="23">E6+D7</f>
        <v>1500</v>
      </c>
      <c r="F7" s="27">
        <f t="shared" si="11"/>
        <v>1500</v>
      </c>
      <c r="G7" s="27">
        <f>SUM(F$5:F7)</f>
        <v>3000</v>
      </c>
      <c r="H7" s="27">
        <f t="shared" ref="H7:H70" si="24">H6+1</f>
        <v>3</v>
      </c>
      <c r="I7" s="27" t="s">
        <v>163</v>
      </c>
      <c r="J7" s="27">
        <v>0.3</v>
      </c>
      <c r="K7" s="27">
        <f>INDEX(其他调用!$BO$5:$BO$61,MATCH(星阵点亮!I7,其他调用!$BM$5:$BM$61,0))*J7</f>
        <v>2722.2793847523758</v>
      </c>
      <c r="L7" s="28">
        <f t="shared" si="12"/>
        <v>2982</v>
      </c>
      <c r="N7" s="27" t="s">
        <v>163</v>
      </c>
      <c r="O7" s="27">
        <f t="shared" si="0"/>
        <v>1.5</v>
      </c>
      <c r="Q7" s="26">
        <v>3</v>
      </c>
      <c r="R7" s="26">
        <f>总纲!D7</f>
        <v>0.23114441334491631</v>
      </c>
      <c r="S7" s="26">
        <f>求节点(将星点产出!$W$6:$W$44,将星点产出!$AO$6:$AO$44,星阵点亮!$Q7)</f>
        <v>1917.3000000000002</v>
      </c>
      <c r="T7" s="26">
        <f t="shared" si="13"/>
        <v>2</v>
      </c>
      <c r="U7" s="26">
        <f>总纲!E7</f>
        <v>0.19582554698581309</v>
      </c>
      <c r="V7" s="26">
        <f>求节点(将星点产出!$W$51:$W$89,将星点产出!$AO$51:$AO$89,星阵点亮!$Q7)</f>
        <v>2358.0099972449125</v>
      </c>
      <c r="W7" s="26">
        <f t="shared" si="14"/>
        <v>2</v>
      </c>
      <c r="X7" s="26">
        <f>总纲!F7</f>
        <v>0.15616116565582547</v>
      </c>
      <c r="Y7" s="26">
        <f>求节点(将星点产出!$W$96:$W$134,将星点产出!$AO$96:$AO$134,星阵点亮!$Q7)</f>
        <v>3022.2875986645322</v>
      </c>
      <c r="Z7" s="26">
        <f t="shared" si="15"/>
        <v>3</v>
      </c>
      <c r="AA7" s="26">
        <f>总纲!G7</f>
        <v>0.11120357726023924</v>
      </c>
      <c r="AB7" s="26">
        <f>求节点(将星点产出!$W$141:$W$179,将星点产出!$AO$141:$AO$179,星阵点亮!$Q7)</f>
        <v>4649.3760914940631</v>
      </c>
      <c r="AC7" s="26">
        <f t="shared" si="16"/>
        <v>3</v>
      </c>
      <c r="AD7" s="26">
        <f>总纲!H7</f>
        <v>5.9380999788309005E-2</v>
      </c>
      <c r="AE7" s="26">
        <f>求节点(将星点产出!$W$186:$W$224,将星点产出!$AO$186:$AO$224,星阵点亮!$Q7)</f>
        <v>4718.2053991912508</v>
      </c>
      <c r="AF7" s="26">
        <f t="shared" si="17"/>
        <v>3</v>
      </c>
      <c r="AG7" s="26">
        <f t="shared" si="1"/>
        <v>0.3</v>
      </c>
      <c r="AH7" s="26">
        <f t="shared" si="1"/>
        <v>0</v>
      </c>
      <c r="AI7" s="26">
        <f t="shared" si="1"/>
        <v>0</v>
      </c>
      <c r="AJ7" s="26">
        <f t="shared" si="1"/>
        <v>0.3</v>
      </c>
      <c r="AK7" s="26">
        <f t="shared" si="1"/>
        <v>0</v>
      </c>
      <c r="AL7" s="26">
        <f t="shared" si="1"/>
        <v>0</v>
      </c>
      <c r="AM7" s="26">
        <f t="shared" si="1"/>
        <v>0</v>
      </c>
      <c r="AN7" s="26">
        <f t="shared" si="1"/>
        <v>0</v>
      </c>
      <c r="AO7" s="26">
        <f t="shared" si="1"/>
        <v>0</v>
      </c>
      <c r="AP7" s="26">
        <f t="shared" si="1"/>
        <v>0</v>
      </c>
      <c r="AQ7" s="26">
        <f t="shared" si="2"/>
        <v>0</v>
      </c>
      <c r="AR7" s="26">
        <f t="shared" si="2"/>
        <v>0</v>
      </c>
      <c r="AS7" s="26">
        <f t="shared" si="2"/>
        <v>0</v>
      </c>
      <c r="AT7" s="26">
        <f t="shared" si="2"/>
        <v>0</v>
      </c>
      <c r="AU7" s="26">
        <f t="shared" si="2"/>
        <v>0</v>
      </c>
      <c r="AV7" s="26">
        <f t="shared" si="2"/>
        <v>0</v>
      </c>
      <c r="AW7" s="26">
        <f t="shared" si="2"/>
        <v>0</v>
      </c>
      <c r="AX7" s="26">
        <f t="shared" si="2"/>
        <v>0</v>
      </c>
      <c r="AY7" s="26">
        <f t="shared" si="2"/>
        <v>0</v>
      </c>
      <c r="AZ7" s="26">
        <f t="shared" si="2"/>
        <v>0</v>
      </c>
      <c r="BA7" s="26">
        <f t="shared" si="2"/>
        <v>0</v>
      </c>
      <c r="BB7" s="26">
        <f t="shared" si="2"/>
        <v>0</v>
      </c>
      <c r="BC7" s="26">
        <f t="shared" si="3"/>
        <v>0.3</v>
      </c>
      <c r="BD7" s="26">
        <f t="shared" si="3"/>
        <v>0</v>
      </c>
      <c r="BE7" s="26">
        <f t="shared" si="3"/>
        <v>0</v>
      </c>
      <c r="BF7" s="26">
        <f t="shared" si="3"/>
        <v>0.3</v>
      </c>
      <c r="BG7" s="26">
        <f t="shared" si="3"/>
        <v>0</v>
      </c>
      <c r="BH7" s="26">
        <f t="shared" si="3"/>
        <v>0</v>
      </c>
      <c r="BI7" s="26">
        <f t="shared" si="3"/>
        <v>0</v>
      </c>
      <c r="BJ7" s="26">
        <f t="shared" si="3"/>
        <v>0</v>
      </c>
      <c r="BK7" s="26">
        <f t="shared" si="3"/>
        <v>0</v>
      </c>
      <c r="BL7" s="26">
        <f t="shared" si="3"/>
        <v>0</v>
      </c>
      <c r="BM7" s="26">
        <f t="shared" si="4"/>
        <v>0</v>
      </c>
      <c r="BN7" s="26">
        <f t="shared" si="4"/>
        <v>0</v>
      </c>
      <c r="BO7" s="26">
        <f t="shared" si="4"/>
        <v>0</v>
      </c>
      <c r="BP7" s="26">
        <f t="shared" si="4"/>
        <v>0</v>
      </c>
      <c r="BQ7" s="26">
        <f t="shared" si="4"/>
        <v>0</v>
      </c>
      <c r="BR7" s="26">
        <f t="shared" si="4"/>
        <v>0</v>
      </c>
      <c r="BS7" s="26">
        <f t="shared" si="4"/>
        <v>0</v>
      </c>
      <c r="BT7" s="26">
        <f t="shared" si="4"/>
        <v>0</v>
      </c>
      <c r="BU7" s="26">
        <f t="shared" si="4"/>
        <v>0</v>
      </c>
      <c r="BV7" s="26">
        <f t="shared" si="4"/>
        <v>0</v>
      </c>
      <c r="BW7" s="26">
        <f t="shared" si="4"/>
        <v>0</v>
      </c>
      <c r="BX7" s="26">
        <f t="shared" si="4"/>
        <v>0</v>
      </c>
      <c r="BY7" s="26">
        <f t="shared" si="5"/>
        <v>0.3</v>
      </c>
      <c r="BZ7" s="26">
        <f t="shared" si="5"/>
        <v>0.3</v>
      </c>
      <c r="CA7" s="26">
        <f t="shared" si="5"/>
        <v>0</v>
      </c>
      <c r="CB7" s="26">
        <f t="shared" si="5"/>
        <v>0.3</v>
      </c>
      <c r="CC7" s="26">
        <f t="shared" si="5"/>
        <v>0</v>
      </c>
      <c r="CD7" s="26">
        <f t="shared" si="5"/>
        <v>0</v>
      </c>
      <c r="CE7" s="26">
        <f t="shared" si="5"/>
        <v>0</v>
      </c>
      <c r="CF7" s="26">
        <f t="shared" si="5"/>
        <v>0</v>
      </c>
      <c r="CG7" s="26">
        <f t="shared" si="5"/>
        <v>0</v>
      </c>
      <c r="CH7" s="26">
        <f t="shared" si="5"/>
        <v>0</v>
      </c>
      <c r="CI7" s="26">
        <f t="shared" si="6"/>
        <v>0</v>
      </c>
      <c r="CJ7" s="26">
        <f t="shared" si="6"/>
        <v>0</v>
      </c>
      <c r="CK7" s="26">
        <f t="shared" si="6"/>
        <v>0</v>
      </c>
      <c r="CL7" s="26">
        <f t="shared" si="6"/>
        <v>0</v>
      </c>
      <c r="CM7" s="26">
        <f t="shared" si="6"/>
        <v>0</v>
      </c>
      <c r="CN7" s="26">
        <f t="shared" si="6"/>
        <v>0</v>
      </c>
      <c r="CO7" s="26">
        <f t="shared" si="6"/>
        <v>0</v>
      </c>
      <c r="CP7" s="26">
        <f t="shared" si="6"/>
        <v>0</v>
      </c>
      <c r="CQ7" s="26">
        <f t="shared" si="6"/>
        <v>0</v>
      </c>
      <c r="CR7" s="26">
        <f t="shared" si="6"/>
        <v>0</v>
      </c>
      <c r="CS7" s="26">
        <f t="shared" si="6"/>
        <v>0</v>
      </c>
      <c r="CT7" s="26">
        <f t="shared" si="6"/>
        <v>0</v>
      </c>
      <c r="CU7" s="26">
        <f t="shared" si="7"/>
        <v>0.3</v>
      </c>
      <c r="CV7" s="26">
        <f t="shared" si="7"/>
        <v>0.3</v>
      </c>
      <c r="CW7" s="26">
        <f t="shared" si="7"/>
        <v>0</v>
      </c>
      <c r="CX7" s="26">
        <f t="shared" si="7"/>
        <v>0.3</v>
      </c>
      <c r="CY7" s="26">
        <f t="shared" si="7"/>
        <v>0</v>
      </c>
      <c r="CZ7" s="26">
        <f t="shared" si="7"/>
        <v>0</v>
      </c>
      <c r="DA7" s="26">
        <f t="shared" si="7"/>
        <v>0</v>
      </c>
      <c r="DB7" s="26">
        <f t="shared" si="7"/>
        <v>0</v>
      </c>
      <c r="DC7" s="26">
        <f t="shared" si="7"/>
        <v>0</v>
      </c>
      <c r="DD7" s="26">
        <f t="shared" si="7"/>
        <v>0</v>
      </c>
      <c r="DE7" s="26">
        <f t="shared" si="8"/>
        <v>0</v>
      </c>
      <c r="DF7" s="26">
        <f t="shared" si="8"/>
        <v>0</v>
      </c>
      <c r="DG7" s="26">
        <f t="shared" si="8"/>
        <v>0</v>
      </c>
      <c r="DH7" s="26">
        <f t="shared" si="8"/>
        <v>0</v>
      </c>
      <c r="DI7" s="26">
        <f t="shared" si="8"/>
        <v>0</v>
      </c>
      <c r="DJ7" s="26">
        <f t="shared" si="8"/>
        <v>0</v>
      </c>
      <c r="DK7" s="26">
        <f t="shared" si="8"/>
        <v>0</v>
      </c>
      <c r="DL7" s="26">
        <f t="shared" si="8"/>
        <v>0</v>
      </c>
      <c r="DM7" s="26">
        <f t="shared" si="8"/>
        <v>0</v>
      </c>
      <c r="DN7" s="26">
        <f t="shared" si="8"/>
        <v>0</v>
      </c>
      <c r="DO7" s="26">
        <f t="shared" si="8"/>
        <v>0</v>
      </c>
      <c r="DP7" s="26">
        <f t="shared" si="8"/>
        <v>0</v>
      </c>
      <c r="DQ7" s="26">
        <f t="shared" si="9"/>
        <v>0.3</v>
      </c>
      <c r="DR7" s="26">
        <f t="shared" si="9"/>
        <v>0.3</v>
      </c>
      <c r="DS7" s="26">
        <f t="shared" si="9"/>
        <v>0</v>
      </c>
      <c r="DT7" s="26">
        <f t="shared" si="9"/>
        <v>0.3</v>
      </c>
      <c r="DU7" s="26">
        <f t="shared" si="9"/>
        <v>0</v>
      </c>
      <c r="DV7" s="26">
        <f t="shared" si="9"/>
        <v>0</v>
      </c>
      <c r="DW7" s="26">
        <f t="shared" si="9"/>
        <v>0</v>
      </c>
      <c r="DX7" s="26">
        <f t="shared" si="9"/>
        <v>0</v>
      </c>
      <c r="DY7" s="26">
        <f t="shared" si="9"/>
        <v>0</v>
      </c>
      <c r="DZ7" s="26">
        <f t="shared" si="9"/>
        <v>0</v>
      </c>
      <c r="EA7" s="26">
        <f t="shared" si="10"/>
        <v>0</v>
      </c>
      <c r="EB7" s="26">
        <f t="shared" si="10"/>
        <v>0</v>
      </c>
      <c r="EC7" s="26">
        <f t="shared" si="10"/>
        <v>0</v>
      </c>
      <c r="ED7" s="26">
        <f t="shared" si="10"/>
        <v>0</v>
      </c>
      <c r="EE7" s="26">
        <f t="shared" si="10"/>
        <v>0</v>
      </c>
      <c r="EF7" s="26">
        <f t="shared" si="10"/>
        <v>0</v>
      </c>
      <c r="EG7" s="26">
        <f t="shared" si="10"/>
        <v>0</v>
      </c>
      <c r="EH7" s="26">
        <f t="shared" si="10"/>
        <v>0</v>
      </c>
      <c r="EI7" s="26">
        <f t="shared" si="10"/>
        <v>0</v>
      </c>
      <c r="EJ7" s="26">
        <f t="shared" si="10"/>
        <v>0</v>
      </c>
      <c r="EK7" s="26">
        <f t="shared" si="10"/>
        <v>0</v>
      </c>
      <c r="EL7" s="26">
        <f t="shared" si="10"/>
        <v>0</v>
      </c>
      <c r="EM7" s="26">
        <f t="shared" si="18"/>
        <v>5574</v>
      </c>
      <c r="EN7" s="26">
        <f t="shared" si="19"/>
        <v>5574</v>
      </c>
      <c r="EO7" s="26">
        <f t="shared" si="20"/>
        <v>8556</v>
      </c>
      <c r="EP7" s="26">
        <f t="shared" si="21"/>
        <v>8556</v>
      </c>
      <c r="EQ7" s="26">
        <f t="shared" si="22"/>
        <v>8556</v>
      </c>
    </row>
    <row r="8" spans="2:147">
      <c r="B8" s="27">
        <v>1</v>
      </c>
      <c r="C8" s="27">
        <v>4</v>
      </c>
      <c r="D8" s="27">
        <v>500</v>
      </c>
      <c r="E8" s="27">
        <f t="shared" si="23"/>
        <v>2000</v>
      </c>
      <c r="F8" s="27">
        <f t="shared" si="11"/>
        <v>2000</v>
      </c>
      <c r="G8" s="27">
        <f>SUM(F$5:F8)</f>
        <v>5000</v>
      </c>
      <c r="H8" s="27">
        <f t="shared" si="24"/>
        <v>4</v>
      </c>
      <c r="I8" s="27" t="s">
        <v>167</v>
      </c>
      <c r="J8" s="27">
        <v>0.3</v>
      </c>
      <c r="K8" s="27">
        <f>INDEX(其他调用!$BO$5:$BO$61,MATCH(星阵点亮!I8,其他调用!$BM$5:$BM$61,0))*J8</f>
        <v>2722.2793847523758</v>
      </c>
      <c r="L8" s="28">
        <f t="shared" si="12"/>
        <v>3113</v>
      </c>
      <c r="N8" s="27" t="s">
        <v>165</v>
      </c>
      <c r="O8" s="27">
        <f t="shared" si="0"/>
        <v>1.5</v>
      </c>
      <c r="Q8" s="26">
        <v>4</v>
      </c>
      <c r="R8" s="26">
        <f>总纲!D8</f>
        <v>0.3195079107728942</v>
      </c>
      <c r="S8" s="26">
        <f>求节点(将星点产出!$W$6:$W$44,将星点产出!$AO$6:$AO$44,星阵点亮!$Q8)</f>
        <v>2556.3999999999996</v>
      </c>
      <c r="T8" s="26">
        <f t="shared" si="13"/>
        <v>2</v>
      </c>
      <c r="U8" s="26">
        <f>总纲!E8</f>
        <v>0.2719651336498875</v>
      </c>
      <c r="V8" s="26">
        <f>求节点(将星点产出!$W$51:$W$89,将星点产出!$AO$51:$AO$89,星阵点亮!$Q8)</f>
        <v>3144.0133296598833</v>
      </c>
      <c r="W8" s="26">
        <f t="shared" si="14"/>
        <v>3</v>
      </c>
      <c r="X8" s="26">
        <f>总纲!F8</f>
        <v>0.21816000147573214</v>
      </c>
      <c r="Y8" s="26">
        <f>求节点(将星点产出!$W$96:$W$134,将星点产出!$AO$96:$AO$134,星阵点亮!$Q8)</f>
        <v>4029.716798219376</v>
      </c>
      <c r="Z8" s="26">
        <f t="shared" si="15"/>
        <v>3</v>
      </c>
      <c r="AA8" s="26">
        <f>总纲!G8</f>
        <v>0.15607961441255883</v>
      </c>
      <c r="AB8" s="26">
        <f>求节点(将星点产出!$W$141:$W$179,将星点产出!$AO$141:$AO$179,星阵点亮!$Q8)</f>
        <v>6199.1681219920829</v>
      </c>
      <c r="AC8" s="26">
        <f t="shared" si="16"/>
        <v>4</v>
      </c>
      <c r="AD8" s="26">
        <f>总纲!H8</f>
        <v>8.4062531324348461E-2</v>
      </c>
      <c r="AE8" s="26">
        <f>求节点(将星点产出!$W$186:$W$224,将星点产出!$AO$186:$AO$224,星阵点亮!$Q8)</f>
        <v>6290.940532255001</v>
      </c>
      <c r="AF8" s="26">
        <f t="shared" si="17"/>
        <v>4</v>
      </c>
      <c r="AG8" s="26">
        <f t="shared" si="1"/>
        <v>0.3</v>
      </c>
      <c r="AH8" s="26">
        <f t="shared" si="1"/>
        <v>0</v>
      </c>
      <c r="AI8" s="26">
        <f t="shared" si="1"/>
        <v>0</v>
      </c>
      <c r="AJ8" s="26">
        <f t="shared" si="1"/>
        <v>0.3</v>
      </c>
      <c r="AK8" s="26">
        <f t="shared" si="1"/>
        <v>0</v>
      </c>
      <c r="AL8" s="26">
        <f t="shared" si="1"/>
        <v>0</v>
      </c>
      <c r="AM8" s="26">
        <f t="shared" si="1"/>
        <v>0</v>
      </c>
      <c r="AN8" s="26">
        <f t="shared" si="1"/>
        <v>0</v>
      </c>
      <c r="AO8" s="26">
        <f t="shared" si="1"/>
        <v>0</v>
      </c>
      <c r="AP8" s="26">
        <f t="shared" si="1"/>
        <v>0</v>
      </c>
      <c r="AQ8" s="26">
        <f t="shared" si="2"/>
        <v>0</v>
      </c>
      <c r="AR8" s="26">
        <f t="shared" si="2"/>
        <v>0</v>
      </c>
      <c r="AS8" s="26">
        <f t="shared" si="2"/>
        <v>0</v>
      </c>
      <c r="AT8" s="26">
        <f t="shared" si="2"/>
        <v>0</v>
      </c>
      <c r="AU8" s="26">
        <f t="shared" si="2"/>
        <v>0</v>
      </c>
      <c r="AV8" s="26">
        <f t="shared" si="2"/>
        <v>0</v>
      </c>
      <c r="AW8" s="26">
        <f t="shared" si="2"/>
        <v>0</v>
      </c>
      <c r="AX8" s="26">
        <f t="shared" si="2"/>
        <v>0</v>
      </c>
      <c r="AY8" s="26">
        <f t="shared" si="2"/>
        <v>0</v>
      </c>
      <c r="AZ8" s="26">
        <f t="shared" si="2"/>
        <v>0</v>
      </c>
      <c r="BA8" s="26">
        <f t="shared" si="2"/>
        <v>0</v>
      </c>
      <c r="BB8" s="26">
        <f t="shared" si="2"/>
        <v>0</v>
      </c>
      <c r="BC8" s="26">
        <f t="shared" si="3"/>
        <v>0.3</v>
      </c>
      <c r="BD8" s="26">
        <f t="shared" si="3"/>
        <v>0.3</v>
      </c>
      <c r="BE8" s="26">
        <f t="shared" si="3"/>
        <v>0</v>
      </c>
      <c r="BF8" s="26">
        <f t="shared" si="3"/>
        <v>0.3</v>
      </c>
      <c r="BG8" s="26">
        <f t="shared" si="3"/>
        <v>0</v>
      </c>
      <c r="BH8" s="26">
        <f t="shared" si="3"/>
        <v>0</v>
      </c>
      <c r="BI8" s="26">
        <f t="shared" si="3"/>
        <v>0</v>
      </c>
      <c r="BJ8" s="26">
        <f t="shared" si="3"/>
        <v>0</v>
      </c>
      <c r="BK8" s="26">
        <f t="shared" si="3"/>
        <v>0</v>
      </c>
      <c r="BL8" s="26">
        <f t="shared" si="3"/>
        <v>0</v>
      </c>
      <c r="BM8" s="26">
        <f t="shared" si="4"/>
        <v>0</v>
      </c>
      <c r="BN8" s="26">
        <f t="shared" si="4"/>
        <v>0</v>
      </c>
      <c r="BO8" s="26">
        <f t="shared" si="4"/>
        <v>0</v>
      </c>
      <c r="BP8" s="26">
        <f t="shared" si="4"/>
        <v>0</v>
      </c>
      <c r="BQ8" s="26">
        <f t="shared" si="4"/>
        <v>0</v>
      </c>
      <c r="BR8" s="26">
        <f t="shared" si="4"/>
        <v>0</v>
      </c>
      <c r="BS8" s="26">
        <f t="shared" si="4"/>
        <v>0</v>
      </c>
      <c r="BT8" s="26">
        <f t="shared" si="4"/>
        <v>0</v>
      </c>
      <c r="BU8" s="26">
        <f t="shared" si="4"/>
        <v>0</v>
      </c>
      <c r="BV8" s="26">
        <f t="shared" si="4"/>
        <v>0</v>
      </c>
      <c r="BW8" s="26">
        <f t="shared" si="4"/>
        <v>0</v>
      </c>
      <c r="BX8" s="26">
        <f t="shared" si="4"/>
        <v>0</v>
      </c>
      <c r="BY8" s="26">
        <f t="shared" si="5"/>
        <v>0.3</v>
      </c>
      <c r="BZ8" s="26">
        <f t="shared" si="5"/>
        <v>0.3</v>
      </c>
      <c r="CA8" s="26">
        <f t="shared" si="5"/>
        <v>0</v>
      </c>
      <c r="CB8" s="26">
        <f t="shared" si="5"/>
        <v>0.3</v>
      </c>
      <c r="CC8" s="26">
        <f t="shared" si="5"/>
        <v>0</v>
      </c>
      <c r="CD8" s="26">
        <f t="shared" si="5"/>
        <v>0</v>
      </c>
      <c r="CE8" s="26">
        <f t="shared" si="5"/>
        <v>0</v>
      </c>
      <c r="CF8" s="26">
        <f t="shared" si="5"/>
        <v>0</v>
      </c>
      <c r="CG8" s="26">
        <f t="shared" si="5"/>
        <v>0</v>
      </c>
      <c r="CH8" s="26">
        <f t="shared" si="5"/>
        <v>0</v>
      </c>
      <c r="CI8" s="26">
        <f t="shared" si="6"/>
        <v>0</v>
      </c>
      <c r="CJ8" s="26">
        <f t="shared" si="6"/>
        <v>0</v>
      </c>
      <c r="CK8" s="26">
        <f t="shared" si="6"/>
        <v>0</v>
      </c>
      <c r="CL8" s="26">
        <f t="shared" si="6"/>
        <v>0</v>
      </c>
      <c r="CM8" s="26">
        <f t="shared" si="6"/>
        <v>0</v>
      </c>
      <c r="CN8" s="26">
        <f t="shared" si="6"/>
        <v>0</v>
      </c>
      <c r="CO8" s="26">
        <f t="shared" si="6"/>
        <v>0</v>
      </c>
      <c r="CP8" s="26">
        <f t="shared" si="6"/>
        <v>0</v>
      </c>
      <c r="CQ8" s="26">
        <f t="shared" si="6"/>
        <v>0</v>
      </c>
      <c r="CR8" s="26">
        <f t="shared" si="6"/>
        <v>0</v>
      </c>
      <c r="CS8" s="26">
        <f t="shared" si="6"/>
        <v>0</v>
      </c>
      <c r="CT8" s="26">
        <f t="shared" si="6"/>
        <v>0</v>
      </c>
      <c r="CU8" s="26">
        <f t="shared" si="7"/>
        <v>0.3</v>
      </c>
      <c r="CV8" s="26">
        <f t="shared" si="7"/>
        <v>0.3</v>
      </c>
      <c r="CW8" s="26">
        <f t="shared" si="7"/>
        <v>0</v>
      </c>
      <c r="CX8" s="26">
        <f t="shared" si="7"/>
        <v>0.6</v>
      </c>
      <c r="CY8" s="26">
        <f t="shared" si="7"/>
        <v>0</v>
      </c>
      <c r="CZ8" s="26">
        <f t="shared" si="7"/>
        <v>0</v>
      </c>
      <c r="DA8" s="26">
        <f t="shared" si="7"/>
        <v>0</v>
      </c>
      <c r="DB8" s="26">
        <f t="shared" si="7"/>
        <v>0</v>
      </c>
      <c r="DC8" s="26">
        <f t="shared" si="7"/>
        <v>0</v>
      </c>
      <c r="DD8" s="26">
        <f t="shared" si="7"/>
        <v>0</v>
      </c>
      <c r="DE8" s="26">
        <f t="shared" si="8"/>
        <v>0</v>
      </c>
      <c r="DF8" s="26">
        <f t="shared" si="8"/>
        <v>0</v>
      </c>
      <c r="DG8" s="26">
        <f t="shared" si="8"/>
        <v>0</v>
      </c>
      <c r="DH8" s="26">
        <f t="shared" si="8"/>
        <v>0</v>
      </c>
      <c r="DI8" s="26">
        <f t="shared" si="8"/>
        <v>0</v>
      </c>
      <c r="DJ8" s="26">
        <f t="shared" si="8"/>
        <v>0</v>
      </c>
      <c r="DK8" s="26">
        <f t="shared" si="8"/>
        <v>0</v>
      </c>
      <c r="DL8" s="26">
        <f t="shared" si="8"/>
        <v>0</v>
      </c>
      <c r="DM8" s="26">
        <f t="shared" si="8"/>
        <v>0</v>
      </c>
      <c r="DN8" s="26">
        <f t="shared" si="8"/>
        <v>0</v>
      </c>
      <c r="DO8" s="26">
        <f t="shared" si="8"/>
        <v>0</v>
      </c>
      <c r="DP8" s="26">
        <f t="shared" si="8"/>
        <v>0</v>
      </c>
      <c r="DQ8" s="26">
        <f t="shared" si="9"/>
        <v>0.3</v>
      </c>
      <c r="DR8" s="26">
        <f t="shared" si="9"/>
        <v>0.3</v>
      </c>
      <c r="DS8" s="26">
        <f t="shared" si="9"/>
        <v>0</v>
      </c>
      <c r="DT8" s="26">
        <f t="shared" si="9"/>
        <v>0.6</v>
      </c>
      <c r="DU8" s="26">
        <f t="shared" si="9"/>
        <v>0</v>
      </c>
      <c r="DV8" s="26">
        <f t="shared" si="9"/>
        <v>0</v>
      </c>
      <c r="DW8" s="26">
        <f t="shared" si="9"/>
        <v>0</v>
      </c>
      <c r="DX8" s="26">
        <f t="shared" si="9"/>
        <v>0</v>
      </c>
      <c r="DY8" s="26">
        <f t="shared" si="9"/>
        <v>0</v>
      </c>
      <c r="DZ8" s="26">
        <f t="shared" si="9"/>
        <v>0</v>
      </c>
      <c r="EA8" s="26">
        <f t="shared" si="10"/>
        <v>0</v>
      </c>
      <c r="EB8" s="26">
        <f t="shared" si="10"/>
        <v>0</v>
      </c>
      <c r="EC8" s="26">
        <f t="shared" si="10"/>
        <v>0</v>
      </c>
      <c r="ED8" s="26">
        <f t="shared" si="10"/>
        <v>0</v>
      </c>
      <c r="EE8" s="26">
        <f t="shared" si="10"/>
        <v>0</v>
      </c>
      <c r="EF8" s="26">
        <f t="shared" si="10"/>
        <v>0</v>
      </c>
      <c r="EG8" s="26">
        <f t="shared" si="10"/>
        <v>0</v>
      </c>
      <c r="EH8" s="26">
        <f t="shared" si="10"/>
        <v>0</v>
      </c>
      <c r="EI8" s="26">
        <f t="shared" si="10"/>
        <v>0</v>
      </c>
      <c r="EJ8" s="26">
        <f t="shared" si="10"/>
        <v>0</v>
      </c>
      <c r="EK8" s="26">
        <f t="shared" si="10"/>
        <v>0</v>
      </c>
      <c r="EL8" s="26">
        <f t="shared" si="10"/>
        <v>0</v>
      </c>
      <c r="EM8" s="26">
        <f t="shared" si="18"/>
        <v>5574</v>
      </c>
      <c r="EN8" s="26">
        <f t="shared" si="19"/>
        <v>8556</v>
      </c>
      <c r="EO8" s="26">
        <f t="shared" si="20"/>
        <v>8556</v>
      </c>
      <c r="EP8" s="26">
        <f t="shared" si="21"/>
        <v>11669</v>
      </c>
      <c r="EQ8" s="26">
        <f t="shared" si="22"/>
        <v>11669</v>
      </c>
    </row>
    <row r="9" spans="2:147">
      <c r="B9" s="27">
        <v>1</v>
      </c>
      <c r="C9" s="27">
        <v>5</v>
      </c>
      <c r="D9" s="27">
        <v>500</v>
      </c>
      <c r="E9" s="27">
        <f t="shared" si="23"/>
        <v>2500</v>
      </c>
      <c r="F9" s="27">
        <f t="shared" si="11"/>
        <v>2500</v>
      </c>
      <c r="G9" s="27">
        <f>SUM(F$5:F9)</f>
        <v>7500</v>
      </c>
      <c r="H9" s="27">
        <f t="shared" si="24"/>
        <v>5</v>
      </c>
      <c r="I9" s="27" t="s">
        <v>161</v>
      </c>
      <c r="J9" s="27">
        <v>0.3</v>
      </c>
      <c r="K9" s="27">
        <f>INDEX(其他调用!$BO$5:$BO$61,MATCH(星阵点亮!I9,其他调用!$BM$5:$BM$61,0))*J9</f>
        <v>2722.2793847523758</v>
      </c>
      <c r="L9" s="28">
        <f t="shared" si="12"/>
        <v>3243</v>
      </c>
      <c r="N9" s="27" t="s">
        <v>142</v>
      </c>
      <c r="O9" s="27">
        <f t="shared" si="0"/>
        <v>1.5</v>
      </c>
      <c r="Q9" s="26">
        <v>5</v>
      </c>
      <c r="R9" s="26">
        <f>总纲!D9</f>
        <v>0.41421356237309515</v>
      </c>
      <c r="S9" s="26">
        <f>求节点(将星点产出!$W$6:$W$44,将星点产出!$AO$6:$AO$44,星阵点亮!$Q9)</f>
        <v>3195.5</v>
      </c>
      <c r="T9" s="26">
        <f t="shared" si="13"/>
        <v>3</v>
      </c>
      <c r="U9" s="26">
        <f>总纲!E9</f>
        <v>0.35241289886702937</v>
      </c>
      <c r="V9" s="26">
        <f>求节点(将星点产出!$W$51:$W$89,将星点产出!$AO$51:$AO$89,星阵点亮!$Q9)</f>
        <v>3930.0166620748537</v>
      </c>
      <c r="W9" s="26">
        <f t="shared" si="14"/>
        <v>3</v>
      </c>
      <c r="X9" s="26">
        <f>总纲!F9</f>
        <v>0.28315639123824782</v>
      </c>
      <c r="Y9" s="26">
        <f>求节点(将星点产出!$W$96:$W$134,将星点产出!$AO$96:$AO$134,星阵点亮!$Q9)</f>
        <v>5037.1459977742206</v>
      </c>
      <c r="Z9" s="26">
        <f t="shared" si="15"/>
        <v>4</v>
      </c>
      <c r="AA9" s="26">
        <f>总纲!G9</f>
        <v>0.20296464556281663</v>
      </c>
      <c r="AB9" s="26">
        <f>求节点(将星点产出!$W$141:$W$179,将星点产出!$AO$141:$AO$179,星阵点亮!$Q9)</f>
        <v>7748.9601524901036</v>
      </c>
      <c r="AC9" s="26">
        <f t="shared" si="16"/>
        <v>5</v>
      </c>
      <c r="AD9" s="26">
        <f>总纲!H9</f>
        <v>0.10951806589144637</v>
      </c>
      <c r="AE9" s="26">
        <f>求节点(将星点产出!$W$186:$W$224,将星点产出!$AO$186:$AO$224,星阵点亮!$Q9)</f>
        <v>7863.6756653187504</v>
      </c>
      <c r="AF9" s="26">
        <f t="shared" si="17"/>
        <v>5</v>
      </c>
      <c r="AG9" s="26">
        <f t="shared" si="1"/>
        <v>0.3</v>
      </c>
      <c r="AH9" s="26">
        <f t="shared" si="1"/>
        <v>0.3</v>
      </c>
      <c r="AI9" s="26">
        <f t="shared" si="1"/>
        <v>0</v>
      </c>
      <c r="AJ9" s="26">
        <f t="shared" si="1"/>
        <v>0.3</v>
      </c>
      <c r="AK9" s="26">
        <f t="shared" si="1"/>
        <v>0</v>
      </c>
      <c r="AL9" s="26">
        <f t="shared" si="1"/>
        <v>0</v>
      </c>
      <c r="AM9" s="26">
        <f t="shared" si="1"/>
        <v>0</v>
      </c>
      <c r="AN9" s="26">
        <f t="shared" si="1"/>
        <v>0</v>
      </c>
      <c r="AO9" s="26">
        <f t="shared" si="1"/>
        <v>0</v>
      </c>
      <c r="AP9" s="26">
        <f t="shared" si="1"/>
        <v>0</v>
      </c>
      <c r="AQ9" s="26">
        <f t="shared" si="2"/>
        <v>0</v>
      </c>
      <c r="AR9" s="26">
        <f t="shared" si="2"/>
        <v>0</v>
      </c>
      <c r="AS9" s="26">
        <f t="shared" si="2"/>
        <v>0</v>
      </c>
      <c r="AT9" s="26">
        <f t="shared" si="2"/>
        <v>0</v>
      </c>
      <c r="AU9" s="26">
        <f t="shared" si="2"/>
        <v>0</v>
      </c>
      <c r="AV9" s="26">
        <f t="shared" si="2"/>
        <v>0</v>
      </c>
      <c r="AW9" s="26">
        <f t="shared" si="2"/>
        <v>0</v>
      </c>
      <c r="AX9" s="26">
        <f t="shared" si="2"/>
        <v>0</v>
      </c>
      <c r="AY9" s="26">
        <f t="shared" si="2"/>
        <v>0</v>
      </c>
      <c r="AZ9" s="26">
        <f t="shared" si="2"/>
        <v>0</v>
      </c>
      <c r="BA9" s="26">
        <f t="shared" si="2"/>
        <v>0</v>
      </c>
      <c r="BB9" s="26">
        <f t="shared" si="2"/>
        <v>0</v>
      </c>
      <c r="BC9" s="26">
        <f t="shared" si="3"/>
        <v>0.3</v>
      </c>
      <c r="BD9" s="26">
        <f t="shared" si="3"/>
        <v>0.3</v>
      </c>
      <c r="BE9" s="26">
        <f t="shared" si="3"/>
        <v>0</v>
      </c>
      <c r="BF9" s="26">
        <f t="shared" si="3"/>
        <v>0.3</v>
      </c>
      <c r="BG9" s="26">
        <f t="shared" si="3"/>
        <v>0</v>
      </c>
      <c r="BH9" s="26">
        <f t="shared" si="3"/>
        <v>0</v>
      </c>
      <c r="BI9" s="26">
        <f t="shared" si="3"/>
        <v>0</v>
      </c>
      <c r="BJ9" s="26">
        <f t="shared" si="3"/>
        <v>0</v>
      </c>
      <c r="BK9" s="26">
        <f t="shared" si="3"/>
        <v>0</v>
      </c>
      <c r="BL9" s="26">
        <f t="shared" si="3"/>
        <v>0</v>
      </c>
      <c r="BM9" s="26">
        <f t="shared" si="4"/>
        <v>0</v>
      </c>
      <c r="BN9" s="26">
        <f t="shared" si="4"/>
        <v>0</v>
      </c>
      <c r="BO9" s="26">
        <f t="shared" si="4"/>
        <v>0</v>
      </c>
      <c r="BP9" s="26">
        <f t="shared" si="4"/>
        <v>0</v>
      </c>
      <c r="BQ9" s="26">
        <f t="shared" si="4"/>
        <v>0</v>
      </c>
      <c r="BR9" s="26">
        <f t="shared" si="4"/>
        <v>0</v>
      </c>
      <c r="BS9" s="26">
        <f t="shared" si="4"/>
        <v>0</v>
      </c>
      <c r="BT9" s="26">
        <f t="shared" si="4"/>
        <v>0</v>
      </c>
      <c r="BU9" s="26">
        <f t="shared" si="4"/>
        <v>0</v>
      </c>
      <c r="BV9" s="26">
        <f t="shared" si="4"/>
        <v>0</v>
      </c>
      <c r="BW9" s="26">
        <f t="shared" si="4"/>
        <v>0</v>
      </c>
      <c r="BX9" s="26">
        <f t="shared" si="4"/>
        <v>0</v>
      </c>
      <c r="BY9" s="26">
        <f t="shared" si="5"/>
        <v>0.3</v>
      </c>
      <c r="BZ9" s="26">
        <f t="shared" si="5"/>
        <v>0.3</v>
      </c>
      <c r="CA9" s="26">
        <f t="shared" si="5"/>
        <v>0</v>
      </c>
      <c r="CB9" s="26">
        <f t="shared" si="5"/>
        <v>0.6</v>
      </c>
      <c r="CC9" s="26">
        <f t="shared" si="5"/>
        <v>0</v>
      </c>
      <c r="CD9" s="26">
        <f t="shared" si="5"/>
        <v>0</v>
      </c>
      <c r="CE9" s="26">
        <f t="shared" si="5"/>
        <v>0</v>
      </c>
      <c r="CF9" s="26">
        <f t="shared" si="5"/>
        <v>0</v>
      </c>
      <c r="CG9" s="26">
        <f t="shared" si="5"/>
        <v>0</v>
      </c>
      <c r="CH9" s="26">
        <f t="shared" si="5"/>
        <v>0</v>
      </c>
      <c r="CI9" s="26">
        <f t="shared" si="6"/>
        <v>0</v>
      </c>
      <c r="CJ9" s="26">
        <f t="shared" si="6"/>
        <v>0</v>
      </c>
      <c r="CK9" s="26">
        <f t="shared" si="6"/>
        <v>0</v>
      </c>
      <c r="CL9" s="26">
        <f t="shared" si="6"/>
        <v>0</v>
      </c>
      <c r="CM9" s="26">
        <f t="shared" si="6"/>
        <v>0</v>
      </c>
      <c r="CN9" s="26">
        <f t="shared" si="6"/>
        <v>0</v>
      </c>
      <c r="CO9" s="26">
        <f t="shared" si="6"/>
        <v>0</v>
      </c>
      <c r="CP9" s="26">
        <f t="shared" si="6"/>
        <v>0</v>
      </c>
      <c r="CQ9" s="26">
        <f t="shared" si="6"/>
        <v>0</v>
      </c>
      <c r="CR9" s="26">
        <f t="shared" si="6"/>
        <v>0</v>
      </c>
      <c r="CS9" s="26">
        <f t="shared" si="6"/>
        <v>0</v>
      </c>
      <c r="CT9" s="26">
        <f t="shared" si="6"/>
        <v>0</v>
      </c>
      <c r="CU9" s="26">
        <f t="shared" si="7"/>
        <v>0.6</v>
      </c>
      <c r="CV9" s="26">
        <f t="shared" si="7"/>
        <v>0.3</v>
      </c>
      <c r="CW9" s="26">
        <f t="shared" si="7"/>
        <v>0</v>
      </c>
      <c r="CX9" s="26">
        <f t="shared" si="7"/>
        <v>0.6</v>
      </c>
      <c r="CY9" s="26">
        <f t="shared" si="7"/>
        <v>0</v>
      </c>
      <c r="CZ9" s="26">
        <f t="shared" si="7"/>
        <v>0</v>
      </c>
      <c r="DA9" s="26">
        <f t="shared" si="7"/>
        <v>0</v>
      </c>
      <c r="DB9" s="26">
        <f t="shared" si="7"/>
        <v>0</v>
      </c>
      <c r="DC9" s="26">
        <f t="shared" si="7"/>
        <v>0</v>
      </c>
      <c r="DD9" s="26">
        <f t="shared" si="7"/>
        <v>0</v>
      </c>
      <c r="DE9" s="26">
        <f t="shared" si="8"/>
        <v>0</v>
      </c>
      <c r="DF9" s="26">
        <f t="shared" si="8"/>
        <v>0</v>
      </c>
      <c r="DG9" s="26">
        <f t="shared" si="8"/>
        <v>0</v>
      </c>
      <c r="DH9" s="26">
        <f t="shared" si="8"/>
        <v>0</v>
      </c>
      <c r="DI9" s="26">
        <f t="shared" si="8"/>
        <v>0</v>
      </c>
      <c r="DJ9" s="26">
        <f t="shared" si="8"/>
        <v>0</v>
      </c>
      <c r="DK9" s="26">
        <f t="shared" si="8"/>
        <v>0</v>
      </c>
      <c r="DL9" s="26">
        <f t="shared" si="8"/>
        <v>0</v>
      </c>
      <c r="DM9" s="26">
        <f t="shared" si="8"/>
        <v>0</v>
      </c>
      <c r="DN9" s="26">
        <f t="shared" si="8"/>
        <v>0</v>
      </c>
      <c r="DO9" s="26">
        <f t="shared" si="8"/>
        <v>0</v>
      </c>
      <c r="DP9" s="26">
        <f t="shared" si="8"/>
        <v>0</v>
      </c>
      <c r="DQ9" s="26">
        <f t="shared" si="9"/>
        <v>0.6</v>
      </c>
      <c r="DR9" s="26">
        <f t="shared" si="9"/>
        <v>0.3</v>
      </c>
      <c r="DS9" s="26">
        <f t="shared" si="9"/>
        <v>0</v>
      </c>
      <c r="DT9" s="26">
        <f t="shared" si="9"/>
        <v>0.6</v>
      </c>
      <c r="DU9" s="26">
        <f t="shared" si="9"/>
        <v>0</v>
      </c>
      <c r="DV9" s="26">
        <f t="shared" si="9"/>
        <v>0</v>
      </c>
      <c r="DW9" s="26">
        <f t="shared" si="9"/>
        <v>0</v>
      </c>
      <c r="DX9" s="26">
        <f t="shared" si="9"/>
        <v>0</v>
      </c>
      <c r="DY9" s="26">
        <f t="shared" si="9"/>
        <v>0</v>
      </c>
      <c r="DZ9" s="26">
        <f t="shared" si="9"/>
        <v>0</v>
      </c>
      <c r="EA9" s="26">
        <f t="shared" si="10"/>
        <v>0</v>
      </c>
      <c r="EB9" s="26">
        <f t="shared" si="10"/>
        <v>0</v>
      </c>
      <c r="EC9" s="26">
        <f t="shared" si="10"/>
        <v>0</v>
      </c>
      <c r="ED9" s="26">
        <f t="shared" si="10"/>
        <v>0</v>
      </c>
      <c r="EE9" s="26">
        <f t="shared" si="10"/>
        <v>0</v>
      </c>
      <c r="EF9" s="26">
        <f t="shared" si="10"/>
        <v>0</v>
      </c>
      <c r="EG9" s="26">
        <f t="shared" si="10"/>
        <v>0</v>
      </c>
      <c r="EH9" s="26">
        <f t="shared" si="10"/>
        <v>0</v>
      </c>
      <c r="EI9" s="26">
        <f t="shared" si="10"/>
        <v>0</v>
      </c>
      <c r="EJ9" s="26">
        <f t="shared" si="10"/>
        <v>0</v>
      </c>
      <c r="EK9" s="26">
        <f t="shared" si="10"/>
        <v>0</v>
      </c>
      <c r="EL9" s="26">
        <f t="shared" si="10"/>
        <v>0</v>
      </c>
      <c r="EM9" s="26">
        <f t="shared" si="18"/>
        <v>8556</v>
      </c>
      <c r="EN9" s="26">
        <f t="shared" si="19"/>
        <v>8556</v>
      </c>
      <c r="EO9" s="26">
        <f t="shared" si="20"/>
        <v>11669</v>
      </c>
      <c r="EP9" s="26">
        <f t="shared" si="21"/>
        <v>14912</v>
      </c>
      <c r="EQ9" s="26">
        <f t="shared" si="22"/>
        <v>14912</v>
      </c>
    </row>
    <row r="10" spans="2:147">
      <c r="B10" s="27">
        <v>1</v>
      </c>
      <c r="C10" s="27">
        <v>6</v>
      </c>
      <c r="D10" s="27">
        <v>500</v>
      </c>
      <c r="E10" s="27">
        <f t="shared" si="23"/>
        <v>3000</v>
      </c>
      <c r="F10" s="27">
        <f t="shared" si="11"/>
        <v>3000</v>
      </c>
      <c r="G10" s="27">
        <f>SUM(F$5:F10)</f>
        <v>10500</v>
      </c>
      <c r="H10" s="27">
        <f t="shared" si="24"/>
        <v>6</v>
      </c>
      <c r="I10" s="27" t="s">
        <v>163</v>
      </c>
      <c r="J10" s="27">
        <v>0.3</v>
      </c>
      <c r="K10" s="27">
        <f>INDEX(其他调用!$BO$5:$BO$61,MATCH(星阵点亮!I10,其他调用!$BM$5:$BM$61,0))*J10</f>
        <v>2722.2793847523758</v>
      </c>
      <c r="L10" s="28">
        <f t="shared" si="12"/>
        <v>3374</v>
      </c>
      <c r="N10" s="27" t="s">
        <v>143</v>
      </c>
      <c r="O10" s="27">
        <f t="shared" si="0"/>
        <v>0.1</v>
      </c>
      <c r="Q10" s="26">
        <v>6</v>
      </c>
      <c r="R10" s="26">
        <f>总纲!D10</f>
        <v>0.51571656651039799</v>
      </c>
      <c r="S10" s="26">
        <f>求节点(将星点产出!$W$6:$W$44,将星点产出!$AO$6:$AO$44,星阵点亮!$Q10)</f>
        <v>3834.6</v>
      </c>
      <c r="T10" s="26">
        <f t="shared" si="13"/>
        <v>3</v>
      </c>
      <c r="U10" s="26">
        <f>总纲!E10</f>
        <v>0.43939051466685908</v>
      </c>
      <c r="V10" s="26">
        <f>求节点(将星点产出!$W$51:$W$89,将星点产出!$AO$51:$AO$89,星阵点亮!$Q10)</f>
        <v>4716.019994489825</v>
      </c>
      <c r="W10" s="26">
        <f t="shared" si="14"/>
        <v>3</v>
      </c>
      <c r="X10" s="26">
        <f>总纲!F10</f>
        <v>0.35336899137292471</v>
      </c>
      <c r="Y10" s="26">
        <f>求节点(将星点产出!$W$96:$W$134,将星点产出!$AO$96:$AO$134,星阵点亮!$Q10)</f>
        <v>6044.5751973290644</v>
      </c>
      <c r="Z10" s="26">
        <f t="shared" si="15"/>
        <v>4</v>
      </c>
      <c r="AA10" s="26">
        <f>总纲!G10</f>
        <v>0.25440298225957936</v>
      </c>
      <c r="AB10" s="26">
        <f>求节点(将星点产出!$W$141:$W$179,将星点产出!$AO$141:$AO$179,星阵点亮!$Q10)</f>
        <v>9298.7521829881243</v>
      </c>
      <c r="AC10" s="26">
        <f t="shared" si="16"/>
        <v>5</v>
      </c>
      <c r="AD10" s="26">
        <f>总纲!H10</f>
        <v>0.13836675479473978</v>
      </c>
      <c r="AE10" s="26">
        <f>求节点(将星点产出!$W$186:$W$224,将星点产出!$AO$186:$AO$224,星阵点亮!$Q10)</f>
        <v>9436.4107983825015</v>
      </c>
      <c r="AF10" s="26">
        <f t="shared" si="17"/>
        <v>5</v>
      </c>
      <c r="AG10" s="26">
        <f t="shared" si="1"/>
        <v>0.3</v>
      </c>
      <c r="AH10" s="26">
        <f t="shared" si="1"/>
        <v>0.3</v>
      </c>
      <c r="AI10" s="26">
        <f t="shared" si="1"/>
        <v>0</v>
      </c>
      <c r="AJ10" s="26">
        <f t="shared" si="1"/>
        <v>0.3</v>
      </c>
      <c r="AK10" s="26">
        <f t="shared" si="1"/>
        <v>0</v>
      </c>
      <c r="AL10" s="26">
        <f t="shared" si="1"/>
        <v>0</v>
      </c>
      <c r="AM10" s="26">
        <f t="shared" si="1"/>
        <v>0</v>
      </c>
      <c r="AN10" s="26">
        <f t="shared" si="1"/>
        <v>0</v>
      </c>
      <c r="AO10" s="26">
        <f t="shared" si="1"/>
        <v>0</v>
      </c>
      <c r="AP10" s="26">
        <f t="shared" si="1"/>
        <v>0</v>
      </c>
      <c r="AQ10" s="26">
        <f t="shared" si="2"/>
        <v>0</v>
      </c>
      <c r="AR10" s="26">
        <f t="shared" si="2"/>
        <v>0</v>
      </c>
      <c r="AS10" s="26">
        <f t="shared" si="2"/>
        <v>0</v>
      </c>
      <c r="AT10" s="26">
        <f t="shared" si="2"/>
        <v>0</v>
      </c>
      <c r="AU10" s="26">
        <f t="shared" si="2"/>
        <v>0</v>
      </c>
      <c r="AV10" s="26">
        <f t="shared" si="2"/>
        <v>0</v>
      </c>
      <c r="AW10" s="26">
        <f t="shared" si="2"/>
        <v>0</v>
      </c>
      <c r="AX10" s="26">
        <f t="shared" si="2"/>
        <v>0</v>
      </c>
      <c r="AY10" s="26">
        <f t="shared" si="2"/>
        <v>0</v>
      </c>
      <c r="AZ10" s="26">
        <f t="shared" si="2"/>
        <v>0</v>
      </c>
      <c r="BA10" s="26">
        <f t="shared" si="2"/>
        <v>0</v>
      </c>
      <c r="BB10" s="26">
        <f t="shared" si="2"/>
        <v>0</v>
      </c>
      <c r="BC10" s="26">
        <f t="shared" si="3"/>
        <v>0.3</v>
      </c>
      <c r="BD10" s="26">
        <f t="shared" si="3"/>
        <v>0.3</v>
      </c>
      <c r="BE10" s="26">
        <f t="shared" si="3"/>
        <v>0</v>
      </c>
      <c r="BF10" s="26">
        <f t="shared" si="3"/>
        <v>0.3</v>
      </c>
      <c r="BG10" s="26">
        <f t="shared" si="3"/>
        <v>0</v>
      </c>
      <c r="BH10" s="26">
        <f t="shared" si="3"/>
        <v>0</v>
      </c>
      <c r="BI10" s="26">
        <f t="shared" si="3"/>
        <v>0</v>
      </c>
      <c r="BJ10" s="26">
        <f t="shared" si="3"/>
        <v>0</v>
      </c>
      <c r="BK10" s="26">
        <f t="shared" si="3"/>
        <v>0</v>
      </c>
      <c r="BL10" s="26">
        <f t="shared" si="3"/>
        <v>0</v>
      </c>
      <c r="BM10" s="26">
        <f t="shared" si="4"/>
        <v>0</v>
      </c>
      <c r="BN10" s="26">
        <f t="shared" si="4"/>
        <v>0</v>
      </c>
      <c r="BO10" s="26">
        <f t="shared" si="4"/>
        <v>0</v>
      </c>
      <c r="BP10" s="26">
        <f t="shared" si="4"/>
        <v>0</v>
      </c>
      <c r="BQ10" s="26">
        <f t="shared" si="4"/>
        <v>0</v>
      </c>
      <c r="BR10" s="26">
        <f t="shared" si="4"/>
        <v>0</v>
      </c>
      <c r="BS10" s="26">
        <f t="shared" si="4"/>
        <v>0</v>
      </c>
      <c r="BT10" s="26">
        <f t="shared" si="4"/>
        <v>0</v>
      </c>
      <c r="BU10" s="26">
        <f t="shared" si="4"/>
        <v>0</v>
      </c>
      <c r="BV10" s="26">
        <f t="shared" si="4"/>
        <v>0</v>
      </c>
      <c r="BW10" s="26">
        <f t="shared" si="4"/>
        <v>0</v>
      </c>
      <c r="BX10" s="26">
        <f t="shared" si="4"/>
        <v>0</v>
      </c>
      <c r="BY10" s="26">
        <f t="shared" si="5"/>
        <v>0.3</v>
      </c>
      <c r="BZ10" s="26">
        <f t="shared" si="5"/>
        <v>0.3</v>
      </c>
      <c r="CA10" s="26">
        <f t="shared" si="5"/>
        <v>0</v>
      </c>
      <c r="CB10" s="26">
        <f t="shared" si="5"/>
        <v>0.6</v>
      </c>
      <c r="CC10" s="26">
        <f t="shared" si="5"/>
        <v>0</v>
      </c>
      <c r="CD10" s="26">
        <f t="shared" si="5"/>
        <v>0</v>
      </c>
      <c r="CE10" s="26">
        <f t="shared" si="5"/>
        <v>0</v>
      </c>
      <c r="CF10" s="26">
        <f t="shared" si="5"/>
        <v>0</v>
      </c>
      <c r="CG10" s="26">
        <f t="shared" si="5"/>
        <v>0</v>
      </c>
      <c r="CH10" s="26">
        <f t="shared" si="5"/>
        <v>0</v>
      </c>
      <c r="CI10" s="26">
        <f t="shared" si="6"/>
        <v>0</v>
      </c>
      <c r="CJ10" s="26">
        <f t="shared" si="6"/>
        <v>0</v>
      </c>
      <c r="CK10" s="26">
        <f t="shared" si="6"/>
        <v>0</v>
      </c>
      <c r="CL10" s="26">
        <f t="shared" si="6"/>
        <v>0</v>
      </c>
      <c r="CM10" s="26">
        <f t="shared" si="6"/>
        <v>0</v>
      </c>
      <c r="CN10" s="26">
        <f t="shared" si="6"/>
        <v>0</v>
      </c>
      <c r="CO10" s="26">
        <f t="shared" si="6"/>
        <v>0</v>
      </c>
      <c r="CP10" s="26">
        <f t="shared" si="6"/>
        <v>0</v>
      </c>
      <c r="CQ10" s="26">
        <f t="shared" si="6"/>
        <v>0</v>
      </c>
      <c r="CR10" s="26">
        <f t="shared" si="6"/>
        <v>0</v>
      </c>
      <c r="CS10" s="26">
        <f t="shared" si="6"/>
        <v>0</v>
      </c>
      <c r="CT10" s="26">
        <f t="shared" si="6"/>
        <v>0</v>
      </c>
      <c r="CU10" s="26">
        <f t="shared" si="7"/>
        <v>0.6</v>
      </c>
      <c r="CV10" s="26">
        <f t="shared" si="7"/>
        <v>0.3</v>
      </c>
      <c r="CW10" s="26">
        <f t="shared" si="7"/>
        <v>0</v>
      </c>
      <c r="CX10" s="26">
        <f t="shared" si="7"/>
        <v>0.6</v>
      </c>
      <c r="CY10" s="26">
        <f t="shared" si="7"/>
        <v>0</v>
      </c>
      <c r="CZ10" s="26">
        <f t="shared" si="7"/>
        <v>0</v>
      </c>
      <c r="DA10" s="26">
        <f t="shared" si="7"/>
        <v>0</v>
      </c>
      <c r="DB10" s="26">
        <f t="shared" si="7"/>
        <v>0</v>
      </c>
      <c r="DC10" s="26">
        <f t="shared" si="7"/>
        <v>0</v>
      </c>
      <c r="DD10" s="26">
        <f t="shared" si="7"/>
        <v>0</v>
      </c>
      <c r="DE10" s="26">
        <f t="shared" si="8"/>
        <v>0</v>
      </c>
      <c r="DF10" s="26">
        <f t="shared" si="8"/>
        <v>0</v>
      </c>
      <c r="DG10" s="26">
        <f t="shared" si="8"/>
        <v>0</v>
      </c>
      <c r="DH10" s="26">
        <f t="shared" si="8"/>
        <v>0</v>
      </c>
      <c r="DI10" s="26">
        <f t="shared" si="8"/>
        <v>0</v>
      </c>
      <c r="DJ10" s="26">
        <f t="shared" si="8"/>
        <v>0</v>
      </c>
      <c r="DK10" s="26">
        <f t="shared" si="8"/>
        <v>0</v>
      </c>
      <c r="DL10" s="26">
        <f t="shared" si="8"/>
        <v>0</v>
      </c>
      <c r="DM10" s="26">
        <f t="shared" si="8"/>
        <v>0</v>
      </c>
      <c r="DN10" s="26">
        <f t="shared" si="8"/>
        <v>0</v>
      </c>
      <c r="DO10" s="26">
        <f t="shared" si="8"/>
        <v>0</v>
      </c>
      <c r="DP10" s="26">
        <f t="shared" si="8"/>
        <v>0</v>
      </c>
      <c r="DQ10" s="26">
        <f t="shared" si="9"/>
        <v>0.6</v>
      </c>
      <c r="DR10" s="26">
        <f t="shared" si="9"/>
        <v>0.3</v>
      </c>
      <c r="DS10" s="26">
        <f t="shared" si="9"/>
        <v>0</v>
      </c>
      <c r="DT10" s="26">
        <f t="shared" si="9"/>
        <v>0.6</v>
      </c>
      <c r="DU10" s="26">
        <f t="shared" si="9"/>
        <v>0</v>
      </c>
      <c r="DV10" s="26">
        <f t="shared" si="9"/>
        <v>0</v>
      </c>
      <c r="DW10" s="26">
        <f t="shared" si="9"/>
        <v>0</v>
      </c>
      <c r="DX10" s="26">
        <f t="shared" si="9"/>
        <v>0</v>
      </c>
      <c r="DY10" s="26">
        <f t="shared" si="9"/>
        <v>0</v>
      </c>
      <c r="DZ10" s="26">
        <f t="shared" si="9"/>
        <v>0</v>
      </c>
      <c r="EA10" s="26">
        <f t="shared" si="10"/>
        <v>0</v>
      </c>
      <c r="EB10" s="26">
        <f t="shared" si="10"/>
        <v>0</v>
      </c>
      <c r="EC10" s="26">
        <f t="shared" si="10"/>
        <v>0</v>
      </c>
      <c r="ED10" s="26">
        <f t="shared" si="10"/>
        <v>0</v>
      </c>
      <c r="EE10" s="26">
        <f t="shared" si="10"/>
        <v>0</v>
      </c>
      <c r="EF10" s="26">
        <f t="shared" si="10"/>
        <v>0</v>
      </c>
      <c r="EG10" s="26">
        <f t="shared" si="10"/>
        <v>0</v>
      </c>
      <c r="EH10" s="26">
        <f t="shared" si="10"/>
        <v>0</v>
      </c>
      <c r="EI10" s="26">
        <f t="shared" si="10"/>
        <v>0</v>
      </c>
      <c r="EJ10" s="26">
        <f t="shared" si="10"/>
        <v>0</v>
      </c>
      <c r="EK10" s="26">
        <f t="shared" si="10"/>
        <v>0</v>
      </c>
      <c r="EL10" s="26">
        <f t="shared" si="10"/>
        <v>0</v>
      </c>
      <c r="EM10" s="26">
        <f t="shared" si="18"/>
        <v>8556</v>
      </c>
      <c r="EN10" s="26">
        <f t="shared" si="19"/>
        <v>8556</v>
      </c>
      <c r="EO10" s="26">
        <f t="shared" si="20"/>
        <v>11669</v>
      </c>
      <c r="EP10" s="26">
        <f t="shared" si="21"/>
        <v>14912</v>
      </c>
      <c r="EQ10" s="26">
        <f t="shared" si="22"/>
        <v>14912</v>
      </c>
    </row>
    <row r="11" spans="2:147">
      <c r="B11" s="27">
        <v>2</v>
      </c>
      <c r="C11" s="27">
        <v>1</v>
      </c>
      <c r="D11" s="27">
        <v>500</v>
      </c>
      <c r="E11" s="27">
        <f t="shared" si="23"/>
        <v>3500</v>
      </c>
      <c r="F11" s="27">
        <f t="shared" si="11"/>
        <v>3500</v>
      </c>
      <c r="G11" s="27">
        <f>SUM(F$5:F11)</f>
        <v>14000</v>
      </c>
      <c r="H11" s="27">
        <f t="shared" si="24"/>
        <v>7</v>
      </c>
      <c r="I11" s="27" t="s">
        <v>175</v>
      </c>
      <c r="J11" s="27">
        <v>0.3</v>
      </c>
      <c r="K11" s="27">
        <f>INDEX(其他调用!$BO$5:$BO$61,MATCH(星阵点亮!I11,其他调用!$BM$5:$BM$61,0))*J11</f>
        <v>5072.2591360215765</v>
      </c>
      <c r="L11" s="28">
        <f t="shared" si="12"/>
        <v>3504</v>
      </c>
      <c r="N11" s="27" t="s">
        <v>175</v>
      </c>
      <c r="O11" s="27">
        <f t="shared" si="0"/>
        <v>1</v>
      </c>
      <c r="Q11" s="26">
        <v>7</v>
      </c>
      <c r="R11" s="26">
        <f>总纲!D11</f>
        <v>0.62450479271247095</v>
      </c>
      <c r="S11" s="26">
        <f>求节点(将星点产出!$W$6:$W$44,将星点产出!$AO$6:$AO$44,星阵点亮!$Q11)</f>
        <v>4473.7</v>
      </c>
      <c r="T11" s="26">
        <f t="shared" si="13"/>
        <v>3</v>
      </c>
      <c r="U11" s="26">
        <f>总纲!E11</f>
        <v>0.53413894920697635</v>
      </c>
      <c r="V11" s="26">
        <f>求节点(将星点产出!$W$51:$W$89,将星点产出!$AO$51:$AO$89,星阵点亮!$Q11)</f>
        <v>5502.0233269047949</v>
      </c>
      <c r="W11" s="26">
        <f t="shared" si="14"/>
        <v>4</v>
      </c>
      <c r="X11" s="26">
        <f>总纲!F11</f>
        <v>0.43072095553379119</v>
      </c>
      <c r="Y11" s="26">
        <f>求节点(将星点产出!$W$96:$W$134,将星点产出!$AO$96:$AO$134,星阵点亮!$Q11)</f>
        <v>7052.0043968839082</v>
      </c>
      <c r="Z11" s="26">
        <f t="shared" si="15"/>
        <v>4</v>
      </c>
      <c r="AA11" s="26">
        <f>总纲!G11</f>
        <v>0.30950457526830061</v>
      </c>
      <c r="AB11" s="26">
        <f>求节点(将星点产出!$W$141:$W$179,将星点产出!$AO$141:$AO$179,星阵点亮!$Q11)</f>
        <v>10848.544213486144</v>
      </c>
      <c r="AC11" s="26">
        <f t="shared" si="16"/>
        <v>6</v>
      </c>
      <c r="AD11" s="26">
        <f>总纲!H11</f>
        <v>0.16699258157131475</v>
      </c>
      <c r="AE11" s="26">
        <f>求节点(将星点产出!$W$186:$W$224,将星点产出!$AO$186:$AO$224,星阵点亮!$Q11)</f>
        <v>11009.145931446252</v>
      </c>
      <c r="AF11" s="26">
        <f t="shared" si="17"/>
        <v>6</v>
      </c>
      <c r="AG11" s="26">
        <f t="shared" si="1"/>
        <v>0.3</v>
      </c>
      <c r="AH11" s="26">
        <f t="shared" si="1"/>
        <v>0.3</v>
      </c>
      <c r="AI11" s="26">
        <f t="shared" si="1"/>
        <v>0</v>
      </c>
      <c r="AJ11" s="26">
        <f t="shared" si="1"/>
        <v>0.3</v>
      </c>
      <c r="AK11" s="26">
        <f t="shared" si="1"/>
        <v>0</v>
      </c>
      <c r="AL11" s="26">
        <f t="shared" si="1"/>
        <v>0</v>
      </c>
      <c r="AM11" s="26">
        <f t="shared" si="1"/>
        <v>0</v>
      </c>
      <c r="AN11" s="26">
        <f t="shared" si="1"/>
        <v>0</v>
      </c>
      <c r="AO11" s="26">
        <f t="shared" si="1"/>
        <v>0</v>
      </c>
      <c r="AP11" s="26">
        <f t="shared" si="1"/>
        <v>0</v>
      </c>
      <c r="AQ11" s="26">
        <f t="shared" si="2"/>
        <v>0</v>
      </c>
      <c r="AR11" s="26">
        <f t="shared" si="2"/>
        <v>0</v>
      </c>
      <c r="AS11" s="26">
        <f t="shared" si="2"/>
        <v>0</v>
      </c>
      <c r="AT11" s="26">
        <f t="shared" si="2"/>
        <v>0</v>
      </c>
      <c r="AU11" s="26">
        <f t="shared" si="2"/>
        <v>0</v>
      </c>
      <c r="AV11" s="26">
        <f t="shared" si="2"/>
        <v>0</v>
      </c>
      <c r="AW11" s="26">
        <f t="shared" si="2"/>
        <v>0</v>
      </c>
      <c r="AX11" s="26">
        <f t="shared" si="2"/>
        <v>0</v>
      </c>
      <c r="AY11" s="26">
        <f t="shared" si="2"/>
        <v>0</v>
      </c>
      <c r="AZ11" s="26">
        <f t="shared" si="2"/>
        <v>0</v>
      </c>
      <c r="BA11" s="26">
        <f t="shared" si="2"/>
        <v>0</v>
      </c>
      <c r="BB11" s="26">
        <f t="shared" si="2"/>
        <v>0</v>
      </c>
      <c r="BC11" s="26">
        <f t="shared" si="3"/>
        <v>0.3</v>
      </c>
      <c r="BD11" s="26">
        <f t="shared" si="3"/>
        <v>0.3</v>
      </c>
      <c r="BE11" s="26">
        <f t="shared" si="3"/>
        <v>0</v>
      </c>
      <c r="BF11" s="26">
        <f t="shared" si="3"/>
        <v>0.6</v>
      </c>
      <c r="BG11" s="26">
        <f t="shared" si="3"/>
        <v>0</v>
      </c>
      <c r="BH11" s="26">
        <f t="shared" si="3"/>
        <v>0</v>
      </c>
      <c r="BI11" s="26">
        <f t="shared" si="3"/>
        <v>0</v>
      </c>
      <c r="BJ11" s="26">
        <f t="shared" si="3"/>
        <v>0</v>
      </c>
      <c r="BK11" s="26">
        <f t="shared" si="3"/>
        <v>0</v>
      </c>
      <c r="BL11" s="26">
        <f t="shared" si="3"/>
        <v>0</v>
      </c>
      <c r="BM11" s="26">
        <f t="shared" si="4"/>
        <v>0</v>
      </c>
      <c r="BN11" s="26">
        <f t="shared" si="4"/>
        <v>0</v>
      </c>
      <c r="BO11" s="26">
        <f t="shared" si="4"/>
        <v>0</v>
      </c>
      <c r="BP11" s="26">
        <f t="shared" si="4"/>
        <v>0</v>
      </c>
      <c r="BQ11" s="26">
        <f t="shared" si="4"/>
        <v>0</v>
      </c>
      <c r="BR11" s="26">
        <f t="shared" si="4"/>
        <v>0</v>
      </c>
      <c r="BS11" s="26">
        <f t="shared" si="4"/>
        <v>0</v>
      </c>
      <c r="BT11" s="26">
        <f t="shared" si="4"/>
        <v>0</v>
      </c>
      <c r="BU11" s="26">
        <f t="shared" si="4"/>
        <v>0</v>
      </c>
      <c r="BV11" s="26">
        <f t="shared" si="4"/>
        <v>0</v>
      </c>
      <c r="BW11" s="26">
        <f t="shared" si="4"/>
        <v>0</v>
      </c>
      <c r="BX11" s="26">
        <f t="shared" si="4"/>
        <v>0</v>
      </c>
      <c r="BY11" s="26">
        <f t="shared" si="5"/>
        <v>0.3</v>
      </c>
      <c r="BZ11" s="26">
        <f t="shared" si="5"/>
        <v>0.3</v>
      </c>
      <c r="CA11" s="26">
        <f t="shared" si="5"/>
        <v>0</v>
      </c>
      <c r="CB11" s="26">
        <f t="shared" si="5"/>
        <v>0.6</v>
      </c>
      <c r="CC11" s="26">
        <f t="shared" si="5"/>
        <v>0</v>
      </c>
      <c r="CD11" s="26">
        <f t="shared" si="5"/>
        <v>0</v>
      </c>
      <c r="CE11" s="26">
        <f t="shared" si="5"/>
        <v>0</v>
      </c>
      <c r="CF11" s="26">
        <f t="shared" si="5"/>
        <v>0</v>
      </c>
      <c r="CG11" s="26">
        <f t="shared" si="5"/>
        <v>0</v>
      </c>
      <c r="CH11" s="26">
        <f t="shared" si="5"/>
        <v>0</v>
      </c>
      <c r="CI11" s="26">
        <f t="shared" si="6"/>
        <v>0</v>
      </c>
      <c r="CJ11" s="26">
        <f t="shared" si="6"/>
        <v>0</v>
      </c>
      <c r="CK11" s="26">
        <f t="shared" si="6"/>
        <v>0</v>
      </c>
      <c r="CL11" s="26">
        <f t="shared" si="6"/>
        <v>0</v>
      </c>
      <c r="CM11" s="26">
        <f t="shared" si="6"/>
        <v>0</v>
      </c>
      <c r="CN11" s="26">
        <f t="shared" si="6"/>
        <v>0</v>
      </c>
      <c r="CO11" s="26">
        <f t="shared" si="6"/>
        <v>0</v>
      </c>
      <c r="CP11" s="26">
        <f t="shared" si="6"/>
        <v>0</v>
      </c>
      <c r="CQ11" s="26">
        <f t="shared" si="6"/>
        <v>0</v>
      </c>
      <c r="CR11" s="26">
        <f t="shared" si="6"/>
        <v>0</v>
      </c>
      <c r="CS11" s="26">
        <f t="shared" si="6"/>
        <v>0</v>
      </c>
      <c r="CT11" s="26">
        <f t="shared" si="6"/>
        <v>0</v>
      </c>
      <c r="CU11" s="26">
        <f t="shared" si="7"/>
        <v>0.6</v>
      </c>
      <c r="CV11" s="26">
        <f t="shared" si="7"/>
        <v>0.6</v>
      </c>
      <c r="CW11" s="26">
        <f t="shared" si="7"/>
        <v>0</v>
      </c>
      <c r="CX11" s="26">
        <f t="shared" si="7"/>
        <v>0.6</v>
      </c>
      <c r="CY11" s="26">
        <f t="shared" si="7"/>
        <v>0</v>
      </c>
      <c r="CZ11" s="26">
        <f t="shared" si="7"/>
        <v>0</v>
      </c>
      <c r="DA11" s="26">
        <f t="shared" si="7"/>
        <v>0</v>
      </c>
      <c r="DB11" s="26">
        <f t="shared" si="7"/>
        <v>0</v>
      </c>
      <c r="DC11" s="26">
        <f t="shared" si="7"/>
        <v>0</v>
      </c>
      <c r="DD11" s="26">
        <f t="shared" si="7"/>
        <v>0</v>
      </c>
      <c r="DE11" s="26">
        <f t="shared" si="8"/>
        <v>0</v>
      </c>
      <c r="DF11" s="26">
        <f t="shared" si="8"/>
        <v>0</v>
      </c>
      <c r="DG11" s="26">
        <f t="shared" si="8"/>
        <v>0</v>
      </c>
      <c r="DH11" s="26">
        <f t="shared" si="8"/>
        <v>0</v>
      </c>
      <c r="DI11" s="26">
        <f t="shared" si="8"/>
        <v>0</v>
      </c>
      <c r="DJ11" s="26">
        <f t="shared" si="8"/>
        <v>0</v>
      </c>
      <c r="DK11" s="26">
        <f t="shared" si="8"/>
        <v>0</v>
      </c>
      <c r="DL11" s="26">
        <f t="shared" si="8"/>
        <v>0</v>
      </c>
      <c r="DM11" s="26">
        <f t="shared" si="8"/>
        <v>0</v>
      </c>
      <c r="DN11" s="26">
        <f t="shared" si="8"/>
        <v>0</v>
      </c>
      <c r="DO11" s="26">
        <f t="shared" si="8"/>
        <v>0</v>
      </c>
      <c r="DP11" s="26">
        <f t="shared" si="8"/>
        <v>0</v>
      </c>
      <c r="DQ11" s="26">
        <f t="shared" si="9"/>
        <v>0.6</v>
      </c>
      <c r="DR11" s="26">
        <f t="shared" si="9"/>
        <v>0.6</v>
      </c>
      <c r="DS11" s="26">
        <f t="shared" si="9"/>
        <v>0</v>
      </c>
      <c r="DT11" s="26">
        <f t="shared" si="9"/>
        <v>0.6</v>
      </c>
      <c r="DU11" s="26">
        <f t="shared" si="9"/>
        <v>0</v>
      </c>
      <c r="DV11" s="26">
        <f t="shared" si="9"/>
        <v>0</v>
      </c>
      <c r="DW11" s="26">
        <f t="shared" si="9"/>
        <v>0</v>
      </c>
      <c r="DX11" s="26">
        <f t="shared" si="9"/>
        <v>0</v>
      </c>
      <c r="DY11" s="26">
        <f t="shared" si="9"/>
        <v>0</v>
      </c>
      <c r="DZ11" s="26">
        <f t="shared" si="9"/>
        <v>0</v>
      </c>
      <c r="EA11" s="26">
        <f t="shared" si="10"/>
        <v>0</v>
      </c>
      <c r="EB11" s="26">
        <f t="shared" si="10"/>
        <v>0</v>
      </c>
      <c r="EC11" s="26">
        <f t="shared" si="10"/>
        <v>0</v>
      </c>
      <c r="ED11" s="26">
        <f t="shared" si="10"/>
        <v>0</v>
      </c>
      <c r="EE11" s="26">
        <f t="shared" si="10"/>
        <v>0</v>
      </c>
      <c r="EF11" s="26">
        <f t="shared" si="10"/>
        <v>0</v>
      </c>
      <c r="EG11" s="26">
        <f t="shared" si="10"/>
        <v>0</v>
      </c>
      <c r="EH11" s="26">
        <f t="shared" si="10"/>
        <v>0</v>
      </c>
      <c r="EI11" s="26">
        <f t="shared" si="10"/>
        <v>0</v>
      </c>
      <c r="EJ11" s="26">
        <f t="shared" si="10"/>
        <v>0</v>
      </c>
      <c r="EK11" s="26">
        <f t="shared" si="10"/>
        <v>0</v>
      </c>
      <c r="EL11" s="26">
        <f t="shared" si="10"/>
        <v>0</v>
      </c>
      <c r="EM11" s="26">
        <f t="shared" si="18"/>
        <v>8556</v>
      </c>
      <c r="EN11" s="26">
        <f t="shared" si="19"/>
        <v>11669</v>
      </c>
      <c r="EO11" s="26">
        <f t="shared" si="20"/>
        <v>11669</v>
      </c>
      <c r="EP11" s="26">
        <f t="shared" si="21"/>
        <v>18286</v>
      </c>
      <c r="EQ11" s="26">
        <f t="shared" si="22"/>
        <v>18286</v>
      </c>
    </row>
    <row r="12" spans="2:147">
      <c r="B12" s="27">
        <v>2</v>
      </c>
      <c r="C12" s="27">
        <v>2</v>
      </c>
      <c r="D12" s="27">
        <v>500</v>
      </c>
      <c r="E12" s="27">
        <f t="shared" si="23"/>
        <v>4000</v>
      </c>
      <c r="F12" s="27">
        <f t="shared" si="11"/>
        <v>4000</v>
      </c>
      <c r="G12" s="27">
        <f>SUM(F$5:F12)</f>
        <v>18000</v>
      </c>
      <c r="H12" s="27">
        <f t="shared" si="24"/>
        <v>8</v>
      </c>
      <c r="I12" s="27" t="s">
        <v>169</v>
      </c>
      <c r="J12" s="27">
        <v>0.3</v>
      </c>
      <c r="K12" s="27">
        <f>INDEX(其他调用!$BO$5:$BO$61,MATCH(星阵点亮!I12,其他调用!$BM$5:$BM$61,0))*J12</f>
        <v>5072.2591360215765</v>
      </c>
      <c r="L12" s="28">
        <f t="shared" si="12"/>
        <v>3634</v>
      </c>
      <c r="N12" s="27" t="s">
        <v>169</v>
      </c>
      <c r="O12" s="27">
        <f t="shared" si="0"/>
        <v>1</v>
      </c>
      <c r="Q12" s="26">
        <v>8</v>
      </c>
      <c r="R12" s="26">
        <f>总纲!D12</f>
        <v>0.74110112659224825</v>
      </c>
      <c r="S12" s="26">
        <f>求节点(将星点产出!$W$6:$W$44,将星点产出!$AO$6:$AO$44,星阵点亮!$Q12)</f>
        <v>5112.8</v>
      </c>
      <c r="T12" s="26">
        <f t="shared" si="13"/>
        <v>4</v>
      </c>
      <c r="U12" s="26">
        <f>总纲!E12</f>
        <v>0.63089938906798093</v>
      </c>
      <c r="V12" s="26">
        <f>求节点(将星点产出!$W$51:$W$89,将星点产出!$AO$51:$AO$89,星阵点亮!$Q12)</f>
        <v>6288.0266593197666</v>
      </c>
      <c r="W12" s="26">
        <f t="shared" si="14"/>
        <v>4</v>
      </c>
      <c r="X12" s="26">
        <f>总纲!F12</f>
        <v>0.50550507844857251</v>
      </c>
      <c r="Y12" s="26">
        <f>求节点(将星点产出!$W$96:$W$134,将星点产出!$AO$96:$AO$134,星阵点亮!$Q12)</f>
        <v>8059.4335964387519</v>
      </c>
      <c r="Z12" s="26">
        <f t="shared" si="15"/>
        <v>5</v>
      </c>
      <c r="AA12" s="26">
        <f>总纲!G12</f>
        <v>0.36195379022765406</v>
      </c>
      <c r="AB12" s="26">
        <f>求节点(将星点产出!$W$141:$W$179,将星点产出!$AO$141:$AO$179,星阵点亮!$Q12)</f>
        <v>12398.336243984166</v>
      </c>
      <c r="AC12" s="26">
        <f t="shared" si="16"/>
        <v>6</v>
      </c>
      <c r="AD12" s="26">
        <f>总纲!H12</f>
        <v>0.19579891764567198</v>
      </c>
      <c r="AE12" s="26">
        <f>求节点(将星点产出!$W$186:$W$224,将星点产出!$AO$186:$AO$224,星阵点亮!$Q12)</f>
        <v>12581.88106451</v>
      </c>
      <c r="AF12" s="26">
        <f t="shared" si="17"/>
        <v>6</v>
      </c>
      <c r="AG12" s="26">
        <f t="shared" si="1"/>
        <v>0.3</v>
      </c>
      <c r="AH12" s="26">
        <f t="shared" si="1"/>
        <v>0.3</v>
      </c>
      <c r="AI12" s="26">
        <f t="shared" si="1"/>
        <v>0</v>
      </c>
      <c r="AJ12" s="26">
        <f t="shared" si="1"/>
        <v>0.6</v>
      </c>
      <c r="AK12" s="26">
        <f t="shared" si="1"/>
        <v>0</v>
      </c>
      <c r="AL12" s="26">
        <f t="shared" si="1"/>
        <v>0</v>
      </c>
      <c r="AM12" s="26">
        <f t="shared" si="1"/>
        <v>0</v>
      </c>
      <c r="AN12" s="26">
        <f t="shared" si="1"/>
        <v>0</v>
      </c>
      <c r="AO12" s="26">
        <f t="shared" si="1"/>
        <v>0</v>
      </c>
      <c r="AP12" s="26">
        <f t="shared" si="1"/>
        <v>0</v>
      </c>
      <c r="AQ12" s="26">
        <f t="shared" si="2"/>
        <v>0</v>
      </c>
      <c r="AR12" s="26">
        <f t="shared" si="2"/>
        <v>0</v>
      </c>
      <c r="AS12" s="26">
        <f t="shared" si="2"/>
        <v>0</v>
      </c>
      <c r="AT12" s="26">
        <f t="shared" si="2"/>
        <v>0</v>
      </c>
      <c r="AU12" s="26">
        <f t="shared" si="2"/>
        <v>0</v>
      </c>
      <c r="AV12" s="26">
        <f t="shared" si="2"/>
        <v>0</v>
      </c>
      <c r="AW12" s="26">
        <f t="shared" si="2"/>
        <v>0</v>
      </c>
      <c r="AX12" s="26">
        <f t="shared" si="2"/>
        <v>0</v>
      </c>
      <c r="AY12" s="26">
        <f t="shared" si="2"/>
        <v>0</v>
      </c>
      <c r="AZ12" s="26">
        <f t="shared" si="2"/>
        <v>0</v>
      </c>
      <c r="BA12" s="26">
        <f t="shared" si="2"/>
        <v>0</v>
      </c>
      <c r="BB12" s="26">
        <f t="shared" si="2"/>
        <v>0</v>
      </c>
      <c r="BC12" s="26">
        <f t="shared" si="3"/>
        <v>0.3</v>
      </c>
      <c r="BD12" s="26">
        <f t="shared" si="3"/>
        <v>0.3</v>
      </c>
      <c r="BE12" s="26">
        <f t="shared" si="3"/>
        <v>0</v>
      </c>
      <c r="BF12" s="26">
        <f t="shared" si="3"/>
        <v>0.6</v>
      </c>
      <c r="BG12" s="26">
        <f t="shared" si="3"/>
        <v>0</v>
      </c>
      <c r="BH12" s="26">
        <f t="shared" si="3"/>
        <v>0</v>
      </c>
      <c r="BI12" s="26">
        <f t="shared" si="3"/>
        <v>0</v>
      </c>
      <c r="BJ12" s="26">
        <f t="shared" si="3"/>
        <v>0</v>
      </c>
      <c r="BK12" s="26">
        <f t="shared" si="3"/>
        <v>0</v>
      </c>
      <c r="BL12" s="26">
        <f t="shared" si="3"/>
        <v>0</v>
      </c>
      <c r="BM12" s="26">
        <f t="shared" si="4"/>
        <v>0</v>
      </c>
      <c r="BN12" s="26">
        <f t="shared" si="4"/>
        <v>0</v>
      </c>
      <c r="BO12" s="26">
        <f t="shared" si="4"/>
        <v>0</v>
      </c>
      <c r="BP12" s="26">
        <f t="shared" si="4"/>
        <v>0</v>
      </c>
      <c r="BQ12" s="26">
        <f t="shared" si="4"/>
        <v>0</v>
      </c>
      <c r="BR12" s="26">
        <f t="shared" si="4"/>
        <v>0</v>
      </c>
      <c r="BS12" s="26">
        <f t="shared" si="4"/>
        <v>0</v>
      </c>
      <c r="BT12" s="26">
        <f t="shared" si="4"/>
        <v>0</v>
      </c>
      <c r="BU12" s="26">
        <f t="shared" si="4"/>
        <v>0</v>
      </c>
      <c r="BV12" s="26">
        <f t="shared" si="4"/>
        <v>0</v>
      </c>
      <c r="BW12" s="26">
        <f t="shared" si="4"/>
        <v>0</v>
      </c>
      <c r="BX12" s="26">
        <f t="shared" si="4"/>
        <v>0</v>
      </c>
      <c r="BY12" s="26">
        <f t="shared" si="5"/>
        <v>0.6</v>
      </c>
      <c r="BZ12" s="26">
        <f t="shared" si="5"/>
        <v>0.3</v>
      </c>
      <c r="CA12" s="26">
        <f t="shared" si="5"/>
        <v>0</v>
      </c>
      <c r="CB12" s="26">
        <f t="shared" si="5"/>
        <v>0.6</v>
      </c>
      <c r="CC12" s="26">
        <f t="shared" si="5"/>
        <v>0</v>
      </c>
      <c r="CD12" s="26">
        <f t="shared" si="5"/>
        <v>0</v>
      </c>
      <c r="CE12" s="26">
        <f t="shared" si="5"/>
        <v>0</v>
      </c>
      <c r="CF12" s="26">
        <f t="shared" si="5"/>
        <v>0</v>
      </c>
      <c r="CG12" s="26">
        <f t="shared" si="5"/>
        <v>0</v>
      </c>
      <c r="CH12" s="26">
        <f t="shared" si="5"/>
        <v>0</v>
      </c>
      <c r="CI12" s="26">
        <f t="shared" si="6"/>
        <v>0</v>
      </c>
      <c r="CJ12" s="26">
        <f t="shared" si="6"/>
        <v>0</v>
      </c>
      <c r="CK12" s="26">
        <f t="shared" si="6"/>
        <v>0</v>
      </c>
      <c r="CL12" s="26">
        <f t="shared" si="6"/>
        <v>0</v>
      </c>
      <c r="CM12" s="26">
        <f t="shared" si="6"/>
        <v>0</v>
      </c>
      <c r="CN12" s="26">
        <f t="shared" si="6"/>
        <v>0</v>
      </c>
      <c r="CO12" s="26">
        <f t="shared" si="6"/>
        <v>0</v>
      </c>
      <c r="CP12" s="26">
        <f t="shared" si="6"/>
        <v>0</v>
      </c>
      <c r="CQ12" s="26">
        <f t="shared" si="6"/>
        <v>0</v>
      </c>
      <c r="CR12" s="26">
        <f t="shared" si="6"/>
        <v>0</v>
      </c>
      <c r="CS12" s="26">
        <f t="shared" si="6"/>
        <v>0</v>
      </c>
      <c r="CT12" s="26">
        <f t="shared" si="6"/>
        <v>0</v>
      </c>
      <c r="CU12" s="26">
        <f t="shared" si="7"/>
        <v>0.6</v>
      </c>
      <c r="CV12" s="26">
        <f t="shared" si="7"/>
        <v>0.6</v>
      </c>
      <c r="CW12" s="26">
        <f t="shared" si="7"/>
        <v>0</v>
      </c>
      <c r="CX12" s="26">
        <f t="shared" si="7"/>
        <v>0.6</v>
      </c>
      <c r="CY12" s="26">
        <f t="shared" si="7"/>
        <v>0</v>
      </c>
      <c r="CZ12" s="26">
        <f t="shared" si="7"/>
        <v>0</v>
      </c>
      <c r="DA12" s="26">
        <f t="shared" si="7"/>
        <v>0</v>
      </c>
      <c r="DB12" s="26">
        <f t="shared" si="7"/>
        <v>0</v>
      </c>
      <c r="DC12" s="26">
        <f t="shared" si="7"/>
        <v>0</v>
      </c>
      <c r="DD12" s="26">
        <f t="shared" si="7"/>
        <v>0</v>
      </c>
      <c r="DE12" s="26">
        <f t="shared" si="8"/>
        <v>0</v>
      </c>
      <c r="DF12" s="26">
        <f t="shared" si="8"/>
        <v>0</v>
      </c>
      <c r="DG12" s="26">
        <f t="shared" si="8"/>
        <v>0</v>
      </c>
      <c r="DH12" s="26">
        <f t="shared" si="8"/>
        <v>0</v>
      </c>
      <c r="DI12" s="26">
        <f t="shared" si="8"/>
        <v>0</v>
      </c>
      <c r="DJ12" s="26">
        <f t="shared" si="8"/>
        <v>0</v>
      </c>
      <c r="DK12" s="26">
        <f t="shared" si="8"/>
        <v>0</v>
      </c>
      <c r="DL12" s="26">
        <f t="shared" si="8"/>
        <v>0</v>
      </c>
      <c r="DM12" s="26">
        <f t="shared" si="8"/>
        <v>0</v>
      </c>
      <c r="DN12" s="26">
        <f t="shared" si="8"/>
        <v>0</v>
      </c>
      <c r="DO12" s="26">
        <f t="shared" si="8"/>
        <v>0</v>
      </c>
      <c r="DP12" s="26">
        <f t="shared" si="8"/>
        <v>0</v>
      </c>
      <c r="DQ12" s="26">
        <f t="shared" si="9"/>
        <v>0.6</v>
      </c>
      <c r="DR12" s="26">
        <f t="shared" si="9"/>
        <v>0.6</v>
      </c>
      <c r="DS12" s="26">
        <f t="shared" si="9"/>
        <v>0</v>
      </c>
      <c r="DT12" s="26">
        <f t="shared" si="9"/>
        <v>0.6</v>
      </c>
      <c r="DU12" s="26">
        <f t="shared" si="9"/>
        <v>0</v>
      </c>
      <c r="DV12" s="26">
        <f t="shared" si="9"/>
        <v>0</v>
      </c>
      <c r="DW12" s="26">
        <f t="shared" si="9"/>
        <v>0</v>
      </c>
      <c r="DX12" s="26">
        <f t="shared" si="9"/>
        <v>0</v>
      </c>
      <c r="DY12" s="26">
        <f t="shared" si="9"/>
        <v>0</v>
      </c>
      <c r="DZ12" s="26">
        <f t="shared" si="9"/>
        <v>0</v>
      </c>
      <c r="EA12" s="26">
        <f t="shared" si="10"/>
        <v>0</v>
      </c>
      <c r="EB12" s="26">
        <f t="shared" si="10"/>
        <v>0</v>
      </c>
      <c r="EC12" s="26">
        <f t="shared" si="10"/>
        <v>0</v>
      </c>
      <c r="ED12" s="26">
        <f t="shared" si="10"/>
        <v>0</v>
      </c>
      <c r="EE12" s="26">
        <f t="shared" si="10"/>
        <v>0</v>
      </c>
      <c r="EF12" s="26">
        <f t="shared" si="10"/>
        <v>0</v>
      </c>
      <c r="EG12" s="26">
        <f t="shared" si="10"/>
        <v>0</v>
      </c>
      <c r="EH12" s="26">
        <f t="shared" si="10"/>
        <v>0</v>
      </c>
      <c r="EI12" s="26">
        <f t="shared" si="10"/>
        <v>0</v>
      </c>
      <c r="EJ12" s="26">
        <f t="shared" si="10"/>
        <v>0</v>
      </c>
      <c r="EK12" s="26">
        <f t="shared" si="10"/>
        <v>0</v>
      </c>
      <c r="EL12" s="26">
        <f t="shared" si="10"/>
        <v>0</v>
      </c>
      <c r="EM12" s="26">
        <f t="shared" si="18"/>
        <v>11669</v>
      </c>
      <c r="EN12" s="26">
        <f t="shared" si="19"/>
        <v>11669</v>
      </c>
      <c r="EO12" s="26">
        <f t="shared" si="20"/>
        <v>14912</v>
      </c>
      <c r="EP12" s="26">
        <f t="shared" si="21"/>
        <v>18286</v>
      </c>
      <c r="EQ12" s="26">
        <f t="shared" si="22"/>
        <v>18286</v>
      </c>
    </row>
    <row r="13" spans="2:147">
      <c r="B13" s="27">
        <v>2</v>
      </c>
      <c r="C13" s="27">
        <v>3</v>
      </c>
      <c r="D13" s="27">
        <v>500</v>
      </c>
      <c r="E13" s="27">
        <f t="shared" si="23"/>
        <v>4500</v>
      </c>
      <c r="F13" s="27">
        <f t="shared" si="11"/>
        <v>4500</v>
      </c>
      <c r="G13" s="27">
        <f>SUM(F$5:F13)</f>
        <v>22500</v>
      </c>
      <c r="H13" s="27">
        <f t="shared" si="24"/>
        <v>9</v>
      </c>
      <c r="I13" s="27" t="s">
        <v>175</v>
      </c>
      <c r="J13" s="27">
        <v>0.3</v>
      </c>
      <c r="K13" s="27">
        <f>INDEX(其他调用!$BO$5:$BO$61,MATCH(星阵点亮!I13,其他调用!$BM$5:$BM$61,0))*J13</f>
        <v>5072.2591360215765</v>
      </c>
      <c r="L13" s="28">
        <f t="shared" si="12"/>
        <v>3765</v>
      </c>
      <c r="N13" s="27" t="s">
        <v>171</v>
      </c>
      <c r="O13" s="27">
        <f t="shared" si="0"/>
        <v>1</v>
      </c>
      <c r="Q13" s="26">
        <v>9</v>
      </c>
      <c r="R13" s="26">
        <f>总纲!D13</f>
        <v>0.86606598307361482</v>
      </c>
      <c r="S13" s="26">
        <f>求节点(将星点产出!$W$6:$W$44,将星点产出!$AO$6:$AO$44,星阵点亮!$Q13)</f>
        <v>5751.9</v>
      </c>
      <c r="T13" s="26">
        <f t="shared" si="13"/>
        <v>4</v>
      </c>
      <c r="U13" s="26">
        <f>总纲!E13</f>
        <v>0.73702215159564621</v>
      </c>
      <c r="V13" s="26">
        <f>求节点(将星点产出!$W$51:$W$89,将星点产出!$AO$51:$AO$89,星阵点亮!$Q13)</f>
        <v>7074.0299917347365</v>
      </c>
      <c r="W13" s="26">
        <f t="shared" si="14"/>
        <v>4</v>
      </c>
      <c r="X13" s="26">
        <f>总纲!F13</f>
        <v>0.59282216541388932</v>
      </c>
      <c r="Y13" s="26">
        <f>求节点(将星点产出!$W$96:$W$134,将星点产出!$AO$96:$AO$134,星阵点亮!$Q13)</f>
        <v>9066.8627959935966</v>
      </c>
      <c r="Z13" s="26">
        <f t="shared" si="15"/>
        <v>5</v>
      </c>
      <c r="AA13" s="26">
        <f>总纲!G13</f>
        <v>0.42766338244175101</v>
      </c>
      <c r="AB13" s="26">
        <f>求节点(将星点产出!$W$141:$W$179,将星点产出!$AO$141:$AO$179,星阵点亮!$Q13)</f>
        <v>13948.128274482186</v>
      </c>
      <c r="AC13" s="26">
        <f t="shared" si="16"/>
        <v>6</v>
      </c>
      <c r="AD13" s="26">
        <f>总纲!H13</f>
        <v>0.23193247026711403</v>
      </c>
      <c r="AE13" s="26">
        <f>求节点(将星点产出!$W$186:$W$224,将星点产出!$AO$186:$AO$224,星阵点亮!$Q13)</f>
        <v>14154.61619757375</v>
      </c>
      <c r="AF13" s="26">
        <f t="shared" si="17"/>
        <v>7</v>
      </c>
      <c r="AG13" s="26">
        <f t="shared" si="1"/>
        <v>0.3</v>
      </c>
      <c r="AH13" s="26">
        <f t="shared" si="1"/>
        <v>0.3</v>
      </c>
      <c r="AI13" s="26">
        <f t="shared" si="1"/>
        <v>0</v>
      </c>
      <c r="AJ13" s="26">
        <f t="shared" si="1"/>
        <v>0.6</v>
      </c>
      <c r="AK13" s="26">
        <f t="shared" si="1"/>
        <v>0</v>
      </c>
      <c r="AL13" s="26">
        <f t="shared" si="1"/>
        <v>0</v>
      </c>
      <c r="AM13" s="26">
        <f t="shared" si="1"/>
        <v>0</v>
      </c>
      <c r="AN13" s="26">
        <f t="shared" si="1"/>
        <v>0</v>
      </c>
      <c r="AO13" s="26">
        <f t="shared" si="1"/>
        <v>0</v>
      </c>
      <c r="AP13" s="26">
        <f t="shared" si="1"/>
        <v>0</v>
      </c>
      <c r="AQ13" s="26">
        <f t="shared" si="2"/>
        <v>0</v>
      </c>
      <c r="AR13" s="26">
        <f t="shared" si="2"/>
        <v>0</v>
      </c>
      <c r="AS13" s="26">
        <f t="shared" si="2"/>
        <v>0</v>
      </c>
      <c r="AT13" s="26">
        <f t="shared" si="2"/>
        <v>0</v>
      </c>
      <c r="AU13" s="26">
        <f t="shared" si="2"/>
        <v>0</v>
      </c>
      <c r="AV13" s="26">
        <f t="shared" si="2"/>
        <v>0</v>
      </c>
      <c r="AW13" s="26">
        <f t="shared" si="2"/>
        <v>0</v>
      </c>
      <c r="AX13" s="26">
        <f t="shared" si="2"/>
        <v>0</v>
      </c>
      <c r="AY13" s="26">
        <f t="shared" si="2"/>
        <v>0</v>
      </c>
      <c r="AZ13" s="26">
        <f t="shared" si="2"/>
        <v>0</v>
      </c>
      <c r="BA13" s="26">
        <f t="shared" si="2"/>
        <v>0</v>
      </c>
      <c r="BB13" s="26">
        <f t="shared" si="2"/>
        <v>0</v>
      </c>
      <c r="BC13" s="26">
        <f t="shared" si="3"/>
        <v>0.3</v>
      </c>
      <c r="BD13" s="26">
        <f t="shared" si="3"/>
        <v>0.3</v>
      </c>
      <c r="BE13" s="26">
        <f t="shared" si="3"/>
        <v>0</v>
      </c>
      <c r="BF13" s="26">
        <f t="shared" si="3"/>
        <v>0.6</v>
      </c>
      <c r="BG13" s="26">
        <f t="shared" si="3"/>
        <v>0</v>
      </c>
      <c r="BH13" s="26">
        <f t="shared" si="3"/>
        <v>0</v>
      </c>
      <c r="BI13" s="26">
        <f t="shared" si="3"/>
        <v>0</v>
      </c>
      <c r="BJ13" s="26">
        <f t="shared" si="3"/>
        <v>0</v>
      </c>
      <c r="BK13" s="26">
        <f t="shared" si="3"/>
        <v>0</v>
      </c>
      <c r="BL13" s="26">
        <f t="shared" si="3"/>
        <v>0</v>
      </c>
      <c r="BM13" s="26">
        <f t="shared" si="4"/>
        <v>0</v>
      </c>
      <c r="BN13" s="26">
        <f t="shared" si="4"/>
        <v>0</v>
      </c>
      <c r="BO13" s="26">
        <f t="shared" si="4"/>
        <v>0</v>
      </c>
      <c r="BP13" s="26">
        <f t="shared" si="4"/>
        <v>0</v>
      </c>
      <c r="BQ13" s="26">
        <f t="shared" si="4"/>
        <v>0</v>
      </c>
      <c r="BR13" s="26">
        <f t="shared" si="4"/>
        <v>0</v>
      </c>
      <c r="BS13" s="26">
        <f t="shared" si="4"/>
        <v>0</v>
      </c>
      <c r="BT13" s="26">
        <f t="shared" si="4"/>
        <v>0</v>
      </c>
      <c r="BU13" s="26">
        <f t="shared" si="4"/>
        <v>0</v>
      </c>
      <c r="BV13" s="26">
        <f t="shared" si="4"/>
        <v>0</v>
      </c>
      <c r="BW13" s="26">
        <f t="shared" si="4"/>
        <v>0</v>
      </c>
      <c r="BX13" s="26">
        <f t="shared" si="4"/>
        <v>0</v>
      </c>
      <c r="BY13" s="26">
        <f t="shared" si="5"/>
        <v>0.6</v>
      </c>
      <c r="BZ13" s="26">
        <f t="shared" si="5"/>
        <v>0.3</v>
      </c>
      <c r="CA13" s="26">
        <f t="shared" si="5"/>
        <v>0</v>
      </c>
      <c r="CB13" s="26">
        <f t="shared" si="5"/>
        <v>0.6</v>
      </c>
      <c r="CC13" s="26">
        <f t="shared" si="5"/>
        <v>0</v>
      </c>
      <c r="CD13" s="26">
        <f t="shared" si="5"/>
        <v>0</v>
      </c>
      <c r="CE13" s="26">
        <f t="shared" si="5"/>
        <v>0</v>
      </c>
      <c r="CF13" s="26">
        <f t="shared" si="5"/>
        <v>0</v>
      </c>
      <c r="CG13" s="26">
        <f t="shared" si="5"/>
        <v>0</v>
      </c>
      <c r="CH13" s="26">
        <f t="shared" si="5"/>
        <v>0</v>
      </c>
      <c r="CI13" s="26">
        <f t="shared" si="6"/>
        <v>0</v>
      </c>
      <c r="CJ13" s="26">
        <f t="shared" si="6"/>
        <v>0</v>
      </c>
      <c r="CK13" s="26">
        <f t="shared" si="6"/>
        <v>0</v>
      </c>
      <c r="CL13" s="26">
        <f t="shared" si="6"/>
        <v>0</v>
      </c>
      <c r="CM13" s="26">
        <f t="shared" si="6"/>
        <v>0</v>
      </c>
      <c r="CN13" s="26">
        <f t="shared" si="6"/>
        <v>0</v>
      </c>
      <c r="CO13" s="26">
        <f t="shared" si="6"/>
        <v>0</v>
      </c>
      <c r="CP13" s="26">
        <f t="shared" si="6"/>
        <v>0</v>
      </c>
      <c r="CQ13" s="26">
        <f t="shared" si="6"/>
        <v>0</v>
      </c>
      <c r="CR13" s="26">
        <f t="shared" si="6"/>
        <v>0</v>
      </c>
      <c r="CS13" s="26">
        <f t="shared" si="6"/>
        <v>0</v>
      </c>
      <c r="CT13" s="26">
        <f t="shared" si="6"/>
        <v>0</v>
      </c>
      <c r="CU13" s="26">
        <f t="shared" si="7"/>
        <v>0.6</v>
      </c>
      <c r="CV13" s="26">
        <f t="shared" si="7"/>
        <v>0.6</v>
      </c>
      <c r="CW13" s="26">
        <f t="shared" si="7"/>
        <v>0</v>
      </c>
      <c r="CX13" s="26">
        <f t="shared" si="7"/>
        <v>0.6</v>
      </c>
      <c r="CY13" s="26">
        <f t="shared" si="7"/>
        <v>0</v>
      </c>
      <c r="CZ13" s="26">
        <f t="shared" si="7"/>
        <v>0</v>
      </c>
      <c r="DA13" s="26">
        <f t="shared" si="7"/>
        <v>0</v>
      </c>
      <c r="DB13" s="26">
        <f t="shared" si="7"/>
        <v>0</v>
      </c>
      <c r="DC13" s="26">
        <f t="shared" si="7"/>
        <v>0</v>
      </c>
      <c r="DD13" s="26">
        <f t="shared" si="7"/>
        <v>0</v>
      </c>
      <c r="DE13" s="26">
        <f t="shared" si="8"/>
        <v>0</v>
      </c>
      <c r="DF13" s="26">
        <f t="shared" si="8"/>
        <v>0</v>
      </c>
      <c r="DG13" s="26">
        <f t="shared" si="8"/>
        <v>0</v>
      </c>
      <c r="DH13" s="26">
        <f t="shared" si="8"/>
        <v>0</v>
      </c>
      <c r="DI13" s="26">
        <f t="shared" si="8"/>
        <v>0</v>
      </c>
      <c r="DJ13" s="26">
        <f t="shared" si="8"/>
        <v>0</v>
      </c>
      <c r="DK13" s="26">
        <f t="shared" si="8"/>
        <v>0</v>
      </c>
      <c r="DL13" s="26">
        <f t="shared" si="8"/>
        <v>0</v>
      </c>
      <c r="DM13" s="26">
        <f t="shared" si="8"/>
        <v>0</v>
      </c>
      <c r="DN13" s="26">
        <f t="shared" si="8"/>
        <v>0</v>
      </c>
      <c r="DO13" s="26">
        <f t="shared" si="8"/>
        <v>0</v>
      </c>
      <c r="DP13" s="26">
        <f t="shared" si="8"/>
        <v>0</v>
      </c>
      <c r="DQ13" s="26">
        <f t="shared" si="9"/>
        <v>0.6</v>
      </c>
      <c r="DR13" s="26">
        <f t="shared" si="9"/>
        <v>0.6</v>
      </c>
      <c r="DS13" s="26">
        <f t="shared" si="9"/>
        <v>0</v>
      </c>
      <c r="DT13" s="26">
        <f t="shared" si="9"/>
        <v>0.6</v>
      </c>
      <c r="DU13" s="26">
        <f t="shared" si="9"/>
        <v>0</v>
      </c>
      <c r="DV13" s="26">
        <f t="shared" si="9"/>
        <v>0</v>
      </c>
      <c r="DW13" s="26">
        <f t="shared" si="9"/>
        <v>0</v>
      </c>
      <c r="DX13" s="26">
        <f t="shared" si="9"/>
        <v>0</v>
      </c>
      <c r="DY13" s="26">
        <f t="shared" si="9"/>
        <v>0</v>
      </c>
      <c r="DZ13" s="26">
        <f t="shared" si="9"/>
        <v>0.3</v>
      </c>
      <c r="EA13" s="26">
        <f t="shared" si="10"/>
        <v>0</v>
      </c>
      <c r="EB13" s="26">
        <f t="shared" si="10"/>
        <v>0</v>
      </c>
      <c r="EC13" s="26">
        <f t="shared" si="10"/>
        <v>0</v>
      </c>
      <c r="ED13" s="26">
        <f t="shared" si="10"/>
        <v>0</v>
      </c>
      <c r="EE13" s="26">
        <f t="shared" si="10"/>
        <v>0</v>
      </c>
      <c r="EF13" s="26">
        <f t="shared" si="10"/>
        <v>0</v>
      </c>
      <c r="EG13" s="26">
        <f t="shared" si="10"/>
        <v>0</v>
      </c>
      <c r="EH13" s="26">
        <f t="shared" si="10"/>
        <v>0</v>
      </c>
      <c r="EI13" s="26">
        <f t="shared" si="10"/>
        <v>0</v>
      </c>
      <c r="EJ13" s="26">
        <f t="shared" si="10"/>
        <v>0</v>
      </c>
      <c r="EK13" s="26">
        <f t="shared" si="10"/>
        <v>0</v>
      </c>
      <c r="EL13" s="26">
        <f t="shared" si="10"/>
        <v>0</v>
      </c>
      <c r="EM13" s="26">
        <f t="shared" si="18"/>
        <v>11669</v>
      </c>
      <c r="EN13" s="26">
        <f t="shared" si="19"/>
        <v>11669</v>
      </c>
      <c r="EO13" s="26">
        <f t="shared" si="20"/>
        <v>14912</v>
      </c>
      <c r="EP13" s="26">
        <f t="shared" si="21"/>
        <v>18286</v>
      </c>
      <c r="EQ13" s="26">
        <f t="shared" si="22"/>
        <v>21790</v>
      </c>
    </row>
    <row r="14" spans="2:147">
      <c r="B14" s="27">
        <v>2</v>
      </c>
      <c r="C14" s="27">
        <v>4</v>
      </c>
      <c r="D14" s="27">
        <v>500</v>
      </c>
      <c r="E14" s="27">
        <f t="shared" si="23"/>
        <v>5000</v>
      </c>
      <c r="F14" s="27">
        <f t="shared" si="11"/>
        <v>5000</v>
      </c>
      <c r="G14" s="27">
        <f>SUM(F$5:F14)</f>
        <v>27500</v>
      </c>
      <c r="H14" s="27">
        <f t="shared" si="24"/>
        <v>10</v>
      </c>
      <c r="I14" s="27" t="s">
        <v>169</v>
      </c>
      <c r="J14" s="27">
        <v>0.3</v>
      </c>
      <c r="K14" s="27">
        <f>INDEX(其他调用!$BO$5:$BO$61,MATCH(星阵点亮!I14,其他调用!$BM$5:$BM$61,0))*J14</f>
        <v>5072.2591360215765</v>
      </c>
      <c r="L14" s="28">
        <f t="shared" si="12"/>
        <v>3895</v>
      </c>
      <c r="N14" s="27" t="s">
        <v>173</v>
      </c>
      <c r="O14" s="27">
        <f t="shared" si="0"/>
        <v>1</v>
      </c>
      <c r="Q14" s="26">
        <v>10</v>
      </c>
      <c r="R14" s="26">
        <f>总纲!D14</f>
        <v>1</v>
      </c>
      <c r="S14" s="26">
        <f>求节点(将星点产出!$W$6:$W$44,将星点产出!$AO$6:$AO$44,星阵点亮!$Q14)</f>
        <v>6391</v>
      </c>
      <c r="T14" s="26">
        <f t="shared" si="13"/>
        <v>4</v>
      </c>
      <c r="U14" s="26">
        <f>总纲!E14</f>
        <v>0.8548</v>
      </c>
      <c r="V14" s="26">
        <f>求节点(将星点产出!$W$51:$W$89,将星点产出!$AO$51:$AO$89,星阵点亮!$Q14)</f>
        <v>7854.9147140294126</v>
      </c>
      <c r="W14" s="26">
        <f t="shared" si="14"/>
        <v>5</v>
      </c>
      <c r="X14" s="26">
        <f>总纲!F14</f>
        <v>0.6895</v>
      </c>
      <c r="Y14" s="26">
        <f>求节点(将星点产出!$W$96:$W$134,将星点产出!$AO$96:$AO$134,星阵点亮!$Q14)</f>
        <v>10074.291995548439</v>
      </c>
      <c r="Z14" s="26">
        <f t="shared" si="15"/>
        <v>5</v>
      </c>
      <c r="AA14" s="26">
        <f>总纲!G14</f>
        <v>0.49980000000000002</v>
      </c>
      <c r="AB14" s="26">
        <f>求节点(将星点产出!$W$141:$W$179,将星点产出!$AO$141:$AO$179,星阵点亮!$Q14)</f>
        <v>15497.920304980205</v>
      </c>
      <c r="AC14" s="26">
        <f t="shared" si="16"/>
        <v>7</v>
      </c>
      <c r="AD14" s="26">
        <f>总纲!H14</f>
        <v>0.2732</v>
      </c>
      <c r="AE14" s="26">
        <f>求节点(将星点产出!$W$186:$W$224,将星点产出!$AO$186:$AO$224,星阵点亮!$Q14)</f>
        <v>15727.351330637501</v>
      </c>
      <c r="AF14" s="26">
        <f t="shared" si="17"/>
        <v>7</v>
      </c>
      <c r="AG14" s="26">
        <f t="shared" si="1"/>
        <v>0.3</v>
      </c>
      <c r="AH14" s="26">
        <f t="shared" si="1"/>
        <v>0.3</v>
      </c>
      <c r="AI14" s="26">
        <f t="shared" si="1"/>
        <v>0</v>
      </c>
      <c r="AJ14" s="26">
        <f t="shared" si="1"/>
        <v>0.6</v>
      </c>
      <c r="AK14" s="26">
        <f t="shared" si="1"/>
        <v>0</v>
      </c>
      <c r="AL14" s="26">
        <f t="shared" si="1"/>
        <v>0</v>
      </c>
      <c r="AM14" s="26">
        <f t="shared" si="1"/>
        <v>0</v>
      </c>
      <c r="AN14" s="26">
        <f t="shared" si="1"/>
        <v>0</v>
      </c>
      <c r="AO14" s="26">
        <f t="shared" si="1"/>
        <v>0</v>
      </c>
      <c r="AP14" s="26">
        <f t="shared" si="1"/>
        <v>0</v>
      </c>
      <c r="AQ14" s="26">
        <f t="shared" si="2"/>
        <v>0</v>
      </c>
      <c r="AR14" s="26">
        <f t="shared" si="2"/>
        <v>0</v>
      </c>
      <c r="AS14" s="26">
        <f t="shared" si="2"/>
        <v>0</v>
      </c>
      <c r="AT14" s="26">
        <f t="shared" si="2"/>
        <v>0</v>
      </c>
      <c r="AU14" s="26">
        <f t="shared" si="2"/>
        <v>0</v>
      </c>
      <c r="AV14" s="26">
        <f t="shared" si="2"/>
        <v>0</v>
      </c>
      <c r="AW14" s="26">
        <f t="shared" si="2"/>
        <v>0</v>
      </c>
      <c r="AX14" s="26">
        <f t="shared" si="2"/>
        <v>0</v>
      </c>
      <c r="AY14" s="26">
        <f t="shared" si="2"/>
        <v>0</v>
      </c>
      <c r="AZ14" s="26">
        <f t="shared" si="2"/>
        <v>0</v>
      </c>
      <c r="BA14" s="26">
        <f t="shared" si="2"/>
        <v>0</v>
      </c>
      <c r="BB14" s="26">
        <f t="shared" si="2"/>
        <v>0</v>
      </c>
      <c r="BC14" s="26">
        <f t="shared" si="3"/>
        <v>0.6</v>
      </c>
      <c r="BD14" s="26">
        <f t="shared" si="3"/>
        <v>0.3</v>
      </c>
      <c r="BE14" s="26">
        <f t="shared" si="3"/>
        <v>0</v>
      </c>
      <c r="BF14" s="26">
        <f t="shared" si="3"/>
        <v>0.6</v>
      </c>
      <c r="BG14" s="26">
        <f t="shared" si="3"/>
        <v>0</v>
      </c>
      <c r="BH14" s="26">
        <f t="shared" si="3"/>
        <v>0</v>
      </c>
      <c r="BI14" s="26">
        <f t="shared" si="3"/>
        <v>0</v>
      </c>
      <c r="BJ14" s="26">
        <f t="shared" si="3"/>
        <v>0</v>
      </c>
      <c r="BK14" s="26">
        <f t="shared" si="3"/>
        <v>0</v>
      </c>
      <c r="BL14" s="26">
        <f t="shared" si="3"/>
        <v>0</v>
      </c>
      <c r="BM14" s="26">
        <f t="shared" si="4"/>
        <v>0</v>
      </c>
      <c r="BN14" s="26">
        <f t="shared" si="4"/>
        <v>0</v>
      </c>
      <c r="BO14" s="26">
        <f t="shared" si="4"/>
        <v>0</v>
      </c>
      <c r="BP14" s="26">
        <f t="shared" si="4"/>
        <v>0</v>
      </c>
      <c r="BQ14" s="26">
        <f t="shared" si="4"/>
        <v>0</v>
      </c>
      <c r="BR14" s="26">
        <f t="shared" si="4"/>
        <v>0</v>
      </c>
      <c r="BS14" s="26">
        <f t="shared" si="4"/>
        <v>0</v>
      </c>
      <c r="BT14" s="26">
        <f t="shared" si="4"/>
        <v>0</v>
      </c>
      <c r="BU14" s="26">
        <f t="shared" si="4"/>
        <v>0</v>
      </c>
      <c r="BV14" s="26">
        <f t="shared" si="4"/>
        <v>0</v>
      </c>
      <c r="BW14" s="26">
        <f t="shared" si="4"/>
        <v>0</v>
      </c>
      <c r="BX14" s="26">
        <f t="shared" si="4"/>
        <v>0</v>
      </c>
      <c r="BY14" s="26">
        <f t="shared" si="5"/>
        <v>0.6</v>
      </c>
      <c r="BZ14" s="26">
        <f t="shared" si="5"/>
        <v>0.3</v>
      </c>
      <c r="CA14" s="26">
        <f t="shared" si="5"/>
        <v>0</v>
      </c>
      <c r="CB14" s="26">
        <f t="shared" si="5"/>
        <v>0.6</v>
      </c>
      <c r="CC14" s="26">
        <f t="shared" si="5"/>
        <v>0</v>
      </c>
      <c r="CD14" s="26">
        <f t="shared" si="5"/>
        <v>0</v>
      </c>
      <c r="CE14" s="26">
        <f t="shared" si="5"/>
        <v>0</v>
      </c>
      <c r="CF14" s="26">
        <f t="shared" si="5"/>
        <v>0</v>
      </c>
      <c r="CG14" s="26">
        <f t="shared" si="5"/>
        <v>0</v>
      </c>
      <c r="CH14" s="26">
        <f t="shared" si="5"/>
        <v>0</v>
      </c>
      <c r="CI14" s="26">
        <f t="shared" si="6"/>
        <v>0</v>
      </c>
      <c r="CJ14" s="26">
        <f t="shared" si="6"/>
        <v>0</v>
      </c>
      <c r="CK14" s="26">
        <f t="shared" si="6"/>
        <v>0</v>
      </c>
      <c r="CL14" s="26">
        <f t="shared" si="6"/>
        <v>0</v>
      </c>
      <c r="CM14" s="26">
        <f t="shared" si="6"/>
        <v>0</v>
      </c>
      <c r="CN14" s="26">
        <f t="shared" si="6"/>
        <v>0</v>
      </c>
      <c r="CO14" s="26">
        <f t="shared" si="6"/>
        <v>0</v>
      </c>
      <c r="CP14" s="26">
        <f t="shared" si="6"/>
        <v>0</v>
      </c>
      <c r="CQ14" s="26">
        <f t="shared" si="6"/>
        <v>0</v>
      </c>
      <c r="CR14" s="26">
        <f t="shared" si="6"/>
        <v>0</v>
      </c>
      <c r="CS14" s="26">
        <f t="shared" si="6"/>
        <v>0</v>
      </c>
      <c r="CT14" s="26">
        <f t="shared" si="6"/>
        <v>0</v>
      </c>
      <c r="CU14" s="26">
        <f t="shared" si="7"/>
        <v>0.6</v>
      </c>
      <c r="CV14" s="26">
        <f t="shared" si="7"/>
        <v>0.6</v>
      </c>
      <c r="CW14" s="26">
        <f t="shared" si="7"/>
        <v>0</v>
      </c>
      <c r="CX14" s="26">
        <f t="shared" si="7"/>
        <v>0.6</v>
      </c>
      <c r="CY14" s="26">
        <f t="shared" si="7"/>
        <v>0</v>
      </c>
      <c r="CZ14" s="26">
        <f t="shared" si="7"/>
        <v>0</v>
      </c>
      <c r="DA14" s="26">
        <f t="shared" si="7"/>
        <v>0</v>
      </c>
      <c r="DB14" s="26">
        <f t="shared" si="7"/>
        <v>0</v>
      </c>
      <c r="DC14" s="26">
        <f t="shared" si="7"/>
        <v>0</v>
      </c>
      <c r="DD14" s="26">
        <f t="shared" si="7"/>
        <v>0.3</v>
      </c>
      <c r="DE14" s="26">
        <f t="shared" si="8"/>
        <v>0</v>
      </c>
      <c r="DF14" s="26">
        <f t="shared" si="8"/>
        <v>0</v>
      </c>
      <c r="DG14" s="26">
        <f t="shared" si="8"/>
        <v>0</v>
      </c>
      <c r="DH14" s="26">
        <f t="shared" si="8"/>
        <v>0</v>
      </c>
      <c r="DI14" s="26">
        <f t="shared" si="8"/>
        <v>0</v>
      </c>
      <c r="DJ14" s="26">
        <f t="shared" si="8"/>
        <v>0</v>
      </c>
      <c r="DK14" s="26">
        <f t="shared" si="8"/>
        <v>0</v>
      </c>
      <c r="DL14" s="26">
        <f t="shared" si="8"/>
        <v>0</v>
      </c>
      <c r="DM14" s="26">
        <f t="shared" si="8"/>
        <v>0</v>
      </c>
      <c r="DN14" s="26">
        <f t="shared" si="8"/>
        <v>0</v>
      </c>
      <c r="DO14" s="26">
        <f t="shared" si="8"/>
        <v>0</v>
      </c>
      <c r="DP14" s="26">
        <f t="shared" si="8"/>
        <v>0</v>
      </c>
      <c r="DQ14" s="26">
        <f t="shared" si="9"/>
        <v>0.6</v>
      </c>
      <c r="DR14" s="26">
        <f t="shared" si="9"/>
        <v>0.6</v>
      </c>
      <c r="DS14" s="26">
        <f t="shared" si="9"/>
        <v>0</v>
      </c>
      <c r="DT14" s="26">
        <f t="shared" si="9"/>
        <v>0.6</v>
      </c>
      <c r="DU14" s="26">
        <f t="shared" si="9"/>
        <v>0</v>
      </c>
      <c r="DV14" s="26">
        <f t="shared" si="9"/>
        <v>0</v>
      </c>
      <c r="DW14" s="26">
        <f t="shared" si="9"/>
        <v>0</v>
      </c>
      <c r="DX14" s="26">
        <f t="shared" si="9"/>
        <v>0</v>
      </c>
      <c r="DY14" s="26">
        <f t="shared" si="9"/>
        <v>0</v>
      </c>
      <c r="DZ14" s="26">
        <f t="shared" si="9"/>
        <v>0.3</v>
      </c>
      <c r="EA14" s="26">
        <f t="shared" si="10"/>
        <v>0</v>
      </c>
      <c r="EB14" s="26">
        <f t="shared" si="10"/>
        <v>0</v>
      </c>
      <c r="EC14" s="26">
        <f t="shared" si="10"/>
        <v>0</v>
      </c>
      <c r="ED14" s="26">
        <f t="shared" si="10"/>
        <v>0</v>
      </c>
      <c r="EE14" s="26">
        <f t="shared" si="10"/>
        <v>0</v>
      </c>
      <c r="EF14" s="26">
        <f t="shared" si="10"/>
        <v>0</v>
      </c>
      <c r="EG14" s="26">
        <f t="shared" si="10"/>
        <v>0</v>
      </c>
      <c r="EH14" s="26">
        <f t="shared" si="10"/>
        <v>0</v>
      </c>
      <c r="EI14" s="26">
        <f t="shared" si="10"/>
        <v>0</v>
      </c>
      <c r="EJ14" s="26">
        <f t="shared" si="10"/>
        <v>0</v>
      </c>
      <c r="EK14" s="26">
        <f t="shared" si="10"/>
        <v>0</v>
      </c>
      <c r="EL14" s="26">
        <f t="shared" si="10"/>
        <v>0</v>
      </c>
      <c r="EM14" s="26">
        <f t="shared" si="18"/>
        <v>11669</v>
      </c>
      <c r="EN14" s="26">
        <f t="shared" si="19"/>
        <v>14912</v>
      </c>
      <c r="EO14" s="26">
        <f t="shared" si="20"/>
        <v>14912</v>
      </c>
      <c r="EP14" s="26">
        <f t="shared" si="21"/>
        <v>21790</v>
      </c>
      <c r="EQ14" s="26">
        <f t="shared" si="22"/>
        <v>21790</v>
      </c>
    </row>
    <row r="15" spans="2:147">
      <c r="B15" s="27">
        <v>2</v>
      </c>
      <c r="C15" s="27">
        <v>5</v>
      </c>
      <c r="D15" s="27">
        <v>500</v>
      </c>
      <c r="E15" s="27">
        <f t="shared" si="23"/>
        <v>5500</v>
      </c>
      <c r="F15" s="27">
        <f t="shared" si="11"/>
        <v>5500</v>
      </c>
      <c r="G15" s="27">
        <f>SUM(F$5:F15)</f>
        <v>33000</v>
      </c>
      <c r="H15" s="27">
        <f t="shared" si="24"/>
        <v>11</v>
      </c>
      <c r="I15" s="27" t="s">
        <v>175</v>
      </c>
      <c r="J15" s="27">
        <v>0.4</v>
      </c>
      <c r="K15" s="27">
        <f>INDEX(其他调用!$BO$5:$BO$61,MATCH(星阵点亮!I15,其他调用!$BM$5:$BM$61,0))*J15</f>
        <v>6763.0121813621026</v>
      </c>
      <c r="L15" s="28">
        <f t="shared" si="12"/>
        <v>4025</v>
      </c>
      <c r="N15" s="27" t="s">
        <v>144</v>
      </c>
      <c r="O15" s="27">
        <f t="shared" si="0"/>
        <v>1</v>
      </c>
      <c r="Q15" s="26">
        <v>11</v>
      </c>
      <c r="R15" s="26">
        <f>总纲!D15</f>
        <v>1.1435469250725863</v>
      </c>
      <c r="S15" s="26">
        <f>求节点(将星点产出!$W$6:$W$44,将星点产出!$AO$6:$AO$44,星阵点亮!$Q15)</f>
        <v>7088.6</v>
      </c>
      <c r="T15" s="26">
        <f t="shared" si="13"/>
        <v>4</v>
      </c>
      <c r="U15" s="26">
        <f>总纲!E15</f>
        <v>0.98036277886472811</v>
      </c>
      <c r="V15" s="26">
        <f>求节点(将星点产出!$W$51:$W$89,将星点产出!$AO$51:$AO$89,星阵点亮!$Q15)</f>
        <v>8515.3224450299767</v>
      </c>
      <c r="W15" s="26">
        <f t="shared" si="14"/>
        <v>5</v>
      </c>
      <c r="X15" s="26">
        <f>总纲!F15</f>
        <v>0.79453640354043287</v>
      </c>
      <c r="Y15" s="26">
        <f>求节点(将星点产出!$W$96:$W$134,将星点产出!$AO$96:$AO$134,星阵点亮!$Q15)</f>
        <v>10650.24400272252</v>
      </c>
      <c r="Z15" s="26">
        <f t="shared" si="15"/>
        <v>6</v>
      </c>
      <c r="AA15" s="26">
        <f>总纲!G15</f>
        <v>0.57577587677404707</v>
      </c>
      <c r="AB15" s="26">
        <f>求节点(将星点产出!$W$141:$W$179,将星点产出!$AO$141:$AO$179,星阵点亮!$Q15)</f>
        <v>16757.672675359699</v>
      </c>
      <c r="AC15" s="26">
        <f t="shared" si="16"/>
        <v>7</v>
      </c>
      <c r="AD15" s="26">
        <f>总纲!H15</f>
        <v>0.31767733578516444</v>
      </c>
      <c r="AE15" s="26">
        <f>求节点(将星点产出!$W$186:$W$224,将星点产出!$AO$186:$AO$224,星阵点亮!$Q15)</f>
        <v>17418.542935726986</v>
      </c>
      <c r="AF15" s="26">
        <f t="shared" si="17"/>
        <v>7</v>
      </c>
      <c r="AG15" s="26">
        <f t="shared" ref="AG15:AP24" si="25">SUMIFS($J$5:$J$76,$I$5:$I$76,AG$4,$H$5:$H$76,"&lt;="&amp;$T15)</f>
        <v>0.3</v>
      </c>
      <c r="AH15" s="26">
        <f t="shared" si="25"/>
        <v>0.3</v>
      </c>
      <c r="AI15" s="26">
        <f t="shared" si="25"/>
        <v>0</v>
      </c>
      <c r="AJ15" s="26">
        <f t="shared" si="25"/>
        <v>0.6</v>
      </c>
      <c r="AK15" s="26">
        <f t="shared" si="25"/>
        <v>0</v>
      </c>
      <c r="AL15" s="26">
        <f t="shared" si="25"/>
        <v>0</v>
      </c>
      <c r="AM15" s="26">
        <f t="shared" si="25"/>
        <v>0</v>
      </c>
      <c r="AN15" s="26">
        <f t="shared" si="25"/>
        <v>0</v>
      </c>
      <c r="AO15" s="26">
        <f t="shared" si="25"/>
        <v>0</v>
      </c>
      <c r="AP15" s="26">
        <f t="shared" si="25"/>
        <v>0</v>
      </c>
      <c r="AQ15" s="26">
        <f t="shared" ref="AQ15:BB24" si="26">SUMIFS($J$5:$J$76,$I$5:$I$76,AQ$4,$H$5:$H$76,"&lt;="&amp;$T15)</f>
        <v>0</v>
      </c>
      <c r="AR15" s="26">
        <f t="shared" si="26"/>
        <v>0</v>
      </c>
      <c r="AS15" s="26">
        <f t="shared" si="26"/>
        <v>0</v>
      </c>
      <c r="AT15" s="26">
        <f t="shared" si="26"/>
        <v>0</v>
      </c>
      <c r="AU15" s="26">
        <f t="shared" si="26"/>
        <v>0</v>
      </c>
      <c r="AV15" s="26">
        <f t="shared" si="26"/>
        <v>0</v>
      </c>
      <c r="AW15" s="26">
        <f t="shared" si="26"/>
        <v>0</v>
      </c>
      <c r="AX15" s="26">
        <f t="shared" si="26"/>
        <v>0</v>
      </c>
      <c r="AY15" s="26">
        <f t="shared" si="26"/>
        <v>0</v>
      </c>
      <c r="AZ15" s="26">
        <f t="shared" si="26"/>
        <v>0</v>
      </c>
      <c r="BA15" s="26">
        <f t="shared" si="26"/>
        <v>0</v>
      </c>
      <c r="BB15" s="26">
        <f t="shared" si="26"/>
        <v>0</v>
      </c>
      <c r="BC15" s="26">
        <f t="shared" ref="BC15:BL24" si="27">SUMIFS($J$5:$J$76,$I$5:$I$76,BC$4,$H$5:$H$76,"&lt;="&amp;$W15)</f>
        <v>0.6</v>
      </c>
      <c r="BD15" s="26">
        <f t="shared" si="27"/>
        <v>0.3</v>
      </c>
      <c r="BE15" s="26">
        <f t="shared" si="27"/>
        <v>0</v>
      </c>
      <c r="BF15" s="26">
        <f t="shared" si="27"/>
        <v>0.6</v>
      </c>
      <c r="BG15" s="26">
        <f t="shared" si="27"/>
        <v>0</v>
      </c>
      <c r="BH15" s="26">
        <f t="shared" si="27"/>
        <v>0</v>
      </c>
      <c r="BI15" s="26">
        <f t="shared" si="27"/>
        <v>0</v>
      </c>
      <c r="BJ15" s="26">
        <f t="shared" si="27"/>
        <v>0</v>
      </c>
      <c r="BK15" s="26">
        <f t="shared" si="27"/>
        <v>0</v>
      </c>
      <c r="BL15" s="26">
        <f t="shared" si="27"/>
        <v>0</v>
      </c>
      <c r="BM15" s="26">
        <f t="shared" ref="BM15:BX24" si="28">SUMIFS($J$5:$J$76,$I$5:$I$76,BM$4,$H$5:$H$76,"&lt;="&amp;$W15)</f>
        <v>0</v>
      </c>
      <c r="BN15" s="26">
        <f t="shared" si="28"/>
        <v>0</v>
      </c>
      <c r="BO15" s="26">
        <f t="shared" si="28"/>
        <v>0</v>
      </c>
      <c r="BP15" s="26">
        <f t="shared" si="28"/>
        <v>0</v>
      </c>
      <c r="BQ15" s="26">
        <f t="shared" si="28"/>
        <v>0</v>
      </c>
      <c r="BR15" s="26">
        <f t="shared" si="28"/>
        <v>0</v>
      </c>
      <c r="BS15" s="26">
        <f t="shared" si="28"/>
        <v>0</v>
      </c>
      <c r="BT15" s="26">
        <f t="shared" si="28"/>
        <v>0</v>
      </c>
      <c r="BU15" s="26">
        <f t="shared" si="28"/>
        <v>0</v>
      </c>
      <c r="BV15" s="26">
        <f t="shared" si="28"/>
        <v>0</v>
      </c>
      <c r="BW15" s="26">
        <f t="shared" si="28"/>
        <v>0</v>
      </c>
      <c r="BX15" s="26">
        <f t="shared" si="28"/>
        <v>0</v>
      </c>
      <c r="BY15" s="26">
        <f t="shared" ref="BY15:CH24" si="29">SUMIFS($J$5:$J$76,$I$5:$I$76,BY$4,$H$5:$H$76,"&lt;="&amp;$Z15)</f>
        <v>0.6</v>
      </c>
      <c r="BZ15" s="26">
        <f t="shared" si="29"/>
        <v>0.6</v>
      </c>
      <c r="CA15" s="26">
        <f t="shared" si="29"/>
        <v>0</v>
      </c>
      <c r="CB15" s="26">
        <f t="shared" si="29"/>
        <v>0.6</v>
      </c>
      <c r="CC15" s="26">
        <f t="shared" si="29"/>
        <v>0</v>
      </c>
      <c r="CD15" s="26">
        <f t="shared" si="29"/>
        <v>0</v>
      </c>
      <c r="CE15" s="26">
        <f t="shared" si="29"/>
        <v>0</v>
      </c>
      <c r="CF15" s="26">
        <f t="shared" si="29"/>
        <v>0</v>
      </c>
      <c r="CG15" s="26">
        <f t="shared" si="29"/>
        <v>0</v>
      </c>
      <c r="CH15" s="26">
        <f t="shared" si="29"/>
        <v>0</v>
      </c>
      <c r="CI15" s="26">
        <f t="shared" ref="CI15:CT24" si="30">SUMIFS($J$5:$J$76,$I$5:$I$76,CI$4,$H$5:$H$76,"&lt;="&amp;$Z15)</f>
        <v>0</v>
      </c>
      <c r="CJ15" s="26">
        <f t="shared" si="30"/>
        <v>0</v>
      </c>
      <c r="CK15" s="26">
        <f t="shared" si="30"/>
        <v>0</v>
      </c>
      <c r="CL15" s="26">
        <f t="shared" si="30"/>
        <v>0</v>
      </c>
      <c r="CM15" s="26">
        <f t="shared" si="30"/>
        <v>0</v>
      </c>
      <c r="CN15" s="26">
        <f t="shared" si="30"/>
        <v>0</v>
      </c>
      <c r="CO15" s="26">
        <f t="shared" si="30"/>
        <v>0</v>
      </c>
      <c r="CP15" s="26">
        <f t="shared" si="30"/>
        <v>0</v>
      </c>
      <c r="CQ15" s="26">
        <f t="shared" si="30"/>
        <v>0</v>
      </c>
      <c r="CR15" s="26">
        <f t="shared" si="30"/>
        <v>0</v>
      </c>
      <c r="CS15" s="26">
        <f t="shared" si="30"/>
        <v>0</v>
      </c>
      <c r="CT15" s="26">
        <f t="shared" si="30"/>
        <v>0</v>
      </c>
      <c r="CU15" s="26">
        <f t="shared" ref="CU15:DD24" si="31">SUMIFS($J$5:$J$76,$I$5:$I$76,CU$4,$H$5:$H$76,"&lt;="&amp;$AC15)</f>
        <v>0.6</v>
      </c>
      <c r="CV15" s="26">
        <f t="shared" si="31"/>
        <v>0.6</v>
      </c>
      <c r="CW15" s="26">
        <f t="shared" si="31"/>
        <v>0</v>
      </c>
      <c r="CX15" s="26">
        <f t="shared" si="31"/>
        <v>0.6</v>
      </c>
      <c r="CY15" s="26">
        <f t="shared" si="31"/>
        <v>0</v>
      </c>
      <c r="CZ15" s="26">
        <f t="shared" si="31"/>
        <v>0</v>
      </c>
      <c r="DA15" s="26">
        <f t="shared" si="31"/>
        <v>0</v>
      </c>
      <c r="DB15" s="26">
        <f t="shared" si="31"/>
        <v>0</v>
      </c>
      <c r="DC15" s="26">
        <f t="shared" si="31"/>
        <v>0</v>
      </c>
      <c r="DD15" s="26">
        <f t="shared" si="31"/>
        <v>0.3</v>
      </c>
      <c r="DE15" s="26">
        <f t="shared" ref="DE15:DP24" si="32">SUMIFS($J$5:$J$76,$I$5:$I$76,DE$4,$H$5:$H$76,"&lt;="&amp;$AC15)</f>
        <v>0</v>
      </c>
      <c r="DF15" s="26">
        <f t="shared" si="32"/>
        <v>0</v>
      </c>
      <c r="DG15" s="26">
        <f t="shared" si="32"/>
        <v>0</v>
      </c>
      <c r="DH15" s="26">
        <f t="shared" si="32"/>
        <v>0</v>
      </c>
      <c r="DI15" s="26">
        <f t="shared" si="32"/>
        <v>0</v>
      </c>
      <c r="DJ15" s="26">
        <f t="shared" si="32"/>
        <v>0</v>
      </c>
      <c r="DK15" s="26">
        <f t="shared" si="32"/>
        <v>0</v>
      </c>
      <c r="DL15" s="26">
        <f t="shared" si="32"/>
        <v>0</v>
      </c>
      <c r="DM15" s="26">
        <f t="shared" si="32"/>
        <v>0</v>
      </c>
      <c r="DN15" s="26">
        <f t="shared" si="32"/>
        <v>0</v>
      </c>
      <c r="DO15" s="26">
        <f t="shared" si="32"/>
        <v>0</v>
      </c>
      <c r="DP15" s="26">
        <f t="shared" si="32"/>
        <v>0</v>
      </c>
      <c r="DQ15" s="26">
        <f t="shared" ref="DQ15:DZ24" si="33">SUMIFS($J$5:$J$76,$I$5:$I$76,DQ$4,$H$5:$H$76,"&lt;="&amp;$AF15)</f>
        <v>0.6</v>
      </c>
      <c r="DR15" s="26">
        <f t="shared" si="33"/>
        <v>0.6</v>
      </c>
      <c r="DS15" s="26">
        <f t="shared" si="33"/>
        <v>0</v>
      </c>
      <c r="DT15" s="26">
        <f t="shared" si="33"/>
        <v>0.6</v>
      </c>
      <c r="DU15" s="26">
        <f t="shared" si="33"/>
        <v>0</v>
      </c>
      <c r="DV15" s="26">
        <f t="shared" si="33"/>
        <v>0</v>
      </c>
      <c r="DW15" s="26">
        <f t="shared" si="33"/>
        <v>0</v>
      </c>
      <c r="DX15" s="26">
        <f t="shared" si="33"/>
        <v>0</v>
      </c>
      <c r="DY15" s="26">
        <f t="shared" si="33"/>
        <v>0</v>
      </c>
      <c r="DZ15" s="26">
        <f t="shared" si="33"/>
        <v>0.3</v>
      </c>
      <c r="EA15" s="26">
        <f t="shared" ref="EA15:EL24" si="34">SUMIFS($J$5:$J$76,$I$5:$I$76,EA$4,$H$5:$H$76,"&lt;="&amp;$AF15)</f>
        <v>0</v>
      </c>
      <c r="EB15" s="26">
        <f t="shared" si="34"/>
        <v>0</v>
      </c>
      <c r="EC15" s="26">
        <f t="shared" si="34"/>
        <v>0</v>
      </c>
      <c r="ED15" s="26">
        <f t="shared" si="34"/>
        <v>0</v>
      </c>
      <c r="EE15" s="26">
        <f t="shared" si="34"/>
        <v>0</v>
      </c>
      <c r="EF15" s="26">
        <f t="shared" si="34"/>
        <v>0</v>
      </c>
      <c r="EG15" s="26">
        <f t="shared" si="34"/>
        <v>0</v>
      </c>
      <c r="EH15" s="26">
        <f t="shared" si="34"/>
        <v>0</v>
      </c>
      <c r="EI15" s="26">
        <f t="shared" si="34"/>
        <v>0</v>
      </c>
      <c r="EJ15" s="26">
        <f t="shared" si="34"/>
        <v>0</v>
      </c>
      <c r="EK15" s="26">
        <f t="shared" si="34"/>
        <v>0</v>
      </c>
      <c r="EL15" s="26">
        <f t="shared" si="34"/>
        <v>0</v>
      </c>
      <c r="EM15" s="26">
        <f t="shared" si="18"/>
        <v>11669</v>
      </c>
      <c r="EN15" s="26">
        <f t="shared" si="19"/>
        <v>14912</v>
      </c>
      <c r="EO15" s="26">
        <f t="shared" si="20"/>
        <v>18286</v>
      </c>
      <c r="EP15" s="26">
        <f t="shared" si="21"/>
        <v>21790</v>
      </c>
      <c r="EQ15" s="26">
        <f t="shared" si="22"/>
        <v>21790</v>
      </c>
    </row>
    <row r="16" spans="2:147">
      <c r="B16" s="27">
        <v>2</v>
      </c>
      <c r="C16" s="27">
        <v>6</v>
      </c>
      <c r="D16" s="27">
        <v>500</v>
      </c>
      <c r="E16" s="27">
        <f t="shared" si="23"/>
        <v>6000</v>
      </c>
      <c r="F16" s="27">
        <f t="shared" si="11"/>
        <v>6000</v>
      </c>
      <c r="G16" s="27">
        <f>SUM(F$5:F16)</f>
        <v>39000</v>
      </c>
      <c r="H16" s="27">
        <f t="shared" si="24"/>
        <v>12</v>
      </c>
      <c r="I16" s="27" t="s">
        <v>169</v>
      </c>
      <c r="J16" s="27">
        <v>0.4</v>
      </c>
      <c r="K16" s="27">
        <f>INDEX(其他调用!$BO$5:$BO$61,MATCH(星阵点亮!I16,其他调用!$BM$5:$BM$61,0))*J16</f>
        <v>6763.0121813621026</v>
      </c>
      <c r="L16" s="28">
        <f t="shared" si="12"/>
        <v>4156</v>
      </c>
      <c r="N16" s="27" t="s">
        <v>177</v>
      </c>
      <c r="O16" s="27">
        <f t="shared" si="0"/>
        <v>0.2</v>
      </c>
      <c r="Q16" s="26">
        <v>12</v>
      </c>
      <c r="R16" s="26">
        <f>总纲!D16</f>
        <v>1.2973967099940702</v>
      </c>
      <c r="S16" s="26">
        <f>求节点(将星点产出!$W$6:$W$44,将星点产出!$AO$6:$AO$44,星阵点亮!$Q16)</f>
        <v>7786.2</v>
      </c>
      <c r="T16" s="26">
        <f t="shared" si="13"/>
        <v>5</v>
      </c>
      <c r="U16" s="26">
        <f>总纲!E16</f>
        <v>1.1126474184909145</v>
      </c>
      <c r="V16" s="26">
        <f>求节点(将星点产出!$W$51:$W$89,将星点产出!$AO$51:$AO$89,星阵点亮!$Q16)</f>
        <v>9175.7301760305418</v>
      </c>
      <c r="W16" s="26">
        <f t="shared" si="14"/>
        <v>5</v>
      </c>
      <c r="X16" s="26">
        <f>总纲!F16</f>
        <v>0.9058423829178599</v>
      </c>
      <c r="Y16" s="26">
        <f>求节点(将星点产出!$W$96:$W$134,将星点产出!$AO$96:$AO$134,星阵点亮!$Q16)</f>
        <v>11178.272560830121</v>
      </c>
      <c r="Z16" s="26">
        <f t="shared" si="15"/>
        <v>6</v>
      </c>
      <c r="AA16" s="26">
        <f>总纲!G16</f>
        <v>0.66219128078097333</v>
      </c>
      <c r="AB16" s="26">
        <f>求节点(将星点产出!$W$141:$W$179,将星点产出!$AO$141:$AO$179,星阵点亮!$Q16)</f>
        <v>18016.659525965704</v>
      </c>
      <c r="AC16" s="26">
        <f t="shared" si="16"/>
        <v>8</v>
      </c>
      <c r="AD16" s="26">
        <f>总纲!H16</f>
        <v>0.36560639287632896</v>
      </c>
      <c r="AE16" s="26">
        <f>求节点(将星点产出!$W$186:$W$224,将星点产出!$AO$186:$AO$224,星阵点亮!$Q16)</f>
        <v>19114.730673909682</v>
      </c>
      <c r="AF16" s="26">
        <f t="shared" si="17"/>
        <v>8</v>
      </c>
      <c r="AG16" s="26">
        <f t="shared" si="25"/>
        <v>0.6</v>
      </c>
      <c r="AH16" s="26">
        <f t="shared" si="25"/>
        <v>0.3</v>
      </c>
      <c r="AI16" s="26">
        <f t="shared" si="25"/>
        <v>0</v>
      </c>
      <c r="AJ16" s="26">
        <f t="shared" si="25"/>
        <v>0.6</v>
      </c>
      <c r="AK16" s="26">
        <f t="shared" si="25"/>
        <v>0</v>
      </c>
      <c r="AL16" s="26">
        <f t="shared" si="25"/>
        <v>0</v>
      </c>
      <c r="AM16" s="26">
        <f t="shared" si="25"/>
        <v>0</v>
      </c>
      <c r="AN16" s="26">
        <f t="shared" si="25"/>
        <v>0</v>
      </c>
      <c r="AO16" s="26">
        <f t="shared" si="25"/>
        <v>0</v>
      </c>
      <c r="AP16" s="26">
        <f t="shared" si="25"/>
        <v>0</v>
      </c>
      <c r="AQ16" s="26">
        <f t="shared" si="26"/>
        <v>0</v>
      </c>
      <c r="AR16" s="26">
        <f t="shared" si="26"/>
        <v>0</v>
      </c>
      <c r="AS16" s="26">
        <f t="shared" si="26"/>
        <v>0</v>
      </c>
      <c r="AT16" s="26">
        <f t="shared" si="26"/>
        <v>0</v>
      </c>
      <c r="AU16" s="26">
        <f t="shared" si="26"/>
        <v>0</v>
      </c>
      <c r="AV16" s="26">
        <f t="shared" si="26"/>
        <v>0</v>
      </c>
      <c r="AW16" s="26">
        <f t="shared" si="26"/>
        <v>0</v>
      </c>
      <c r="AX16" s="26">
        <f t="shared" si="26"/>
        <v>0</v>
      </c>
      <c r="AY16" s="26">
        <f t="shared" si="26"/>
        <v>0</v>
      </c>
      <c r="AZ16" s="26">
        <f t="shared" si="26"/>
        <v>0</v>
      </c>
      <c r="BA16" s="26">
        <f t="shared" si="26"/>
        <v>0</v>
      </c>
      <c r="BB16" s="26">
        <f t="shared" si="26"/>
        <v>0</v>
      </c>
      <c r="BC16" s="26">
        <f t="shared" si="27"/>
        <v>0.6</v>
      </c>
      <c r="BD16" s="26">
        <f t="shared" si="27"/>
        <v>0.3</v>
      </c>
      <c r="BE16" s="26">
        <f t="shared" si="27"/>
        <v>0</v>
      </c>
      <c r="BF16" s="26">
        <f t="shared" si="27"/>
        <v>0.6</v>
      </c>
      <c r="BG16" s="26">
        <f t="shared" si="27"/>
        <v>0</v>
      </c>
      <c r="BH16" s="26">
        <f t="shared" si="27"/>
        <v>0</v>
      </c>
      <c r="BI16" s="26">
        <f t="shared" si="27"/>
        <v>0</v>
      </c>
      <c r="BJ16" s="26">
        <f t="shared" si="27"/>
        <v>0</v>
      </c>
      <c r="BK16" s="26">
        <f t="shared" si="27"/>
        <v>0</v>
      </c>
      <c r="BL16" s="26">
        <f t="shared" si="27"/>
        <v>0</v>
      </c>
      <c r="BM16" s="26">
        <f t="shared" si="28"/>
        <v>0</v>
      </c>
      <c r="BN16" s="26">
        <f t="shared" si="28"/>
        <v>0</v>
      </c>
      <c r="BO16" s="26">
        <f t="shared" si="28"/>
        <v>0</v>
      </c>
      <c r="BP16" s="26">
        <f t="shared" si="28"/>
        <v>0</v>
      </c>
      <c r="BQ16" s="26">
        <f t="shared" si="28"/>
        <v>0</v>
      </c>
      <c r="BR16" s="26">
        <f t="shared" si="28"/>
        <v>0</v>
      </c>
      <c r="BS16" s="26">
        <f t="shared" si="28"/>
        <v>0</v>
      </c>
      <c r="BT16" s="26">
        <f t="shared" si="28"/>
        <v>0</v>
      </c>
      <c r="BU16" s="26">
        <f t="shared" si="28"/>
        <v>0</v>
      </c>
      <c r="BV16" s="26">
        <f t="shared" si="28"/>
        <v>0</v>
      </c>
      <c r="BW16" s="26">
        <f t="shared" si="28"/>
        <v>0</v>
      </c>
      <c r="BX16" s="26">
        <f t="shared" si="28"/>
        <v>0</v>
      </c>
      <c r="BY16" s="26">
        <f t="shared" si="29"/>
        <v>0.6</v>
      </c>
      <c r="BZ16" s="26">
        <f t="shared" si="29"/>
        <v>0.6</v>
      </c>
      <c r="CA16" s="26">
        <f t="shared" si="29"/>
        <v>0</v>
      </c>
      <c r="CB16" s="26">
        <f t="shared" si="29"/>
        <v>0.6</v>
      </c>
      <c r="CC16" s="26">
        <f t="shared" si="29"/>
        <v>0</v>
      </c>
      <c r="CD16" s="26">
        <f t="shared" si="29"/>
        <v>0</v>
      </c>
      <c r="CE16" s="26">
        <f t="shared" si="29"/>
        <v>0</v>
      </c>
      <c r="CF16" s="26">
        <f t="shared" si="29"/>
        <v>0</v>
      </c>
      <c r="CG16" s="26">
        <f t="shared" si="29"/>
        <v>0</v>
      </c>
      <c r="CH16" s="26">
        <f t="shared" si="29"/>
        <v>0</v>
      </c>
      <c r="CI16" s="26">
        <f t="shared" si="30"/>
        <v>0</v>
      </c>
      <c r="CJ16" s="26">
        <f t="shared" si="30"/>
        <v>0</v>
      </c>
      <c r="CK16" s="26">
        <f t="shared" si="30"/>
        <v>0</v>
      </c>
      <c r="CL16" s="26">
        <f t="shared" si="30"/>
        <v>0</v>
      </c>
      <c r="CM16" s="26">
        <f t="shared" si="30"/>
        <v>0</v>
      </c>
      <c r="CN16" s="26">
        <f t="shared" si="30"/>
        <v>0</v>
      </c>
      <c r="CO16" s="26">
        <f t="shared" si="30"/>
        <v>0</v>
      </c>
      <c r="CP16" s="26">
        <f t="shared" si="30"/>
        <v>0</v>
      </c>
      <c r="CQ16" s="26">
        <f t="shared" si="30"/>
        <v>0</v>
      </c>
      <c r="CR16" s="26">
        <f t="shared" si="30"/>
        <v>0</v>
      </c>
      <c r="CS16" s="26">
        <f t="shared" si="30"/>
        <v>0</v>
      </c>
      <c r="CT16" s="26">
        <f t="shared" si="30"/>
        <v>0</v>
      </c>
      <c r="CU16" s="26">
        <f t="shared" si="31"/>
        <v>0.6</v>
      </c>
      <c r="CV16" s="26">
        <f t="shared" si="31"/>
        <v>0.6</v>
      </c>
      <c r="CW16" s="26">
        <f t="shared" si="31"/>
        <v>0</v>
      </c>
      <c r="CX16" s="26">
        <f t="shared" si="31"/>
        <v>0.6</v>
      </c>
      <c r="CY16" s="26">
        <f t="shared" si="31"/>
        <v>0</v>
      </c>
      <c r="CZ16" s="26">
        <f t="shared" si="31"/>
        <v>0</v>
      </c>
      <c r="DA16" s="26">
        <f t="shared" si="31"/>
        <v>0.3</v>
      </c>
      <c r="DB16" s="26">
        <f t="shared" si="31"/>
        <v>0</v>
      </c>
      <c r="DC16" s="26">
        <f t="shared" si="31"/>
        <v>0</v>
      </c>
      <c r="DD16" s="26">
        <f t="shared" si="31"/>
        <v>0.3</v>
      </c>
      <c r="DE16" s="26">
        <f t="shared" si="32"/>
        <v>0</v>
      </c>
      <c r="DF16" s="26">
        <f t="shared" si="32"/>
        <v>0</v>
      </c>
      <c r="DG16" s="26">
        <f t="shared" si="32"/>
        <v>0</v>
      </c>
      <c r="DH16" s="26">
        <f t="shared" si="32"/>
        <v>0</v>
      </c>
      <c r="DI16" s="26">
        <f t="shared" si="32"/>
        <v>0</v>
      </c>
      <c r="DJ16" s="26">
        <f t="shared" si="32"/>
        <v>0</v>
      </c>
      <c r="DK16" s="26">
        <f t="shared" si="32"/>
        <v>0</v>
      </c>
      <c r="DL16" s="26">
        <f t="shared" si="32"/>
        <v>0</v>
      </c>
      <c r="DM16" s="26">
        <f t="shared" si="32"/>
        <v>0</v>
      </c>
      <c r="DN16" s="26">
        <f t="shared" si="32"/>
        <v>0</v>
      </c>
      <c r="DO16" s="26">
        <f t="shared" si="32"/>
        <v>0</v>
      </c>
      <c r="DP16" s="26">
        <f t="shared" si="32"/>
        <v>0</v>
      </c>
      <c r="DQ16" s="26">
        <f t="shared" si="33"/>
        <v>0.6</v>
      </c>
      <c r="DR16" s="26">
        <f t="shared" si="33"/>
        <v>0.6</v>
      </c>
      <c r="DS16" s="26">
        <f t="shared" si="33"/>
        <v>0</v>
      </c>
      <c r="DT16" s="26">
        <f t="shared" si="33"/>
        <v>0.6</v>
      </c>
      <c r="DU16" s="26">
        <f t="shared" si="33"/>
        <v>0</v>
      </c>
      <c r="DV16" s="26">
        <f t="shared" si="33"/>
        <v>0</v>
      </c>
      <c r="DW16" s="26">
        <f t="shared" si="33"/>
        <v>0.3</v>
      </c>
      <c r="DX16" s="26">
        <f t="shared" si="33"/>
        <v>0</v>
      </c>
      <c r="DY16" s="26">
        <f t="shared" si="33"/>
        <v>0</v>
      </c>
      <c r="DZ16" s="26">
        <f t="shared" si="33"/>
        <v>0.3</v>
      </c>
      <c r="EA16" s="26">
        <f t="shared" si="34"/>
        <v>0</v>
      </c>
      <c r="EB16" s="26">
        <f t="shared" si="34"/>
        <v>0</v>
      </c>
      <c r="EC16" s="26">
        <f t="shared" si="34"/>
        <v>0</v>
      </c>
      <c r="ED16" s="26">
        <f t="shared" si="34"/>
        <v>0</v>
      </c>
      <c r="EE16" s="26">
        <f t="shared" si="34"/>
        <v>0</v>
      </c>
      <c r="EF16" s="26">
        <f t="shared" si="34"/>
        <v>0</v>
      </c>
      <c r="EG16" s="26">
        <f t="shared" si="34"/>
        <v>0</v>
      </c>
      <c r="EH16" s="26">
        <f t="shared" si="34"/>
        <v>0</v>
      </c>
      <c r="EI16" s="26">
        <f t="shared" si="34"/>
        <v>0</v>
      </c>
      <c r="EJ16" s="26">
        <f t="shared" si="34"/>
        <v>0</v>
      </c>
      <c r="EK16" s="26">
        <f t="shared" si="34"/>
        <v>0</v>
      </c>
      <c r="EL16" s="26">
        <f t="shared" si="34"/>
        <v>0</v>
      </c>
      <c r="EM16" s="26">
        <f t="shared" si="18"/>
        <v>14912</v>
      </c>
      <c r="EN16" s="26">
        <f t="shared" si="19"/>
        <v>14912</v>
      </c>
      <c r="EO16" s="26">
        <f t="shared" si="20"/>
        <v>18286</v>
      </c>
      <c r="EP16" s="26">
        <f t="shared" si="21"/>
        <v>25424</v>
      </c>
      <c r="EQ16" s="26">
        <f t="shared" si="22"/>
        <v>25424</v>
      </c>
    </row>
    <row r="17" spans="2:147">
      <c r="B17" s="27">
        <v>3</v>
      </c>
      <c r="C17" s="27">
        <v>1</v>
      </c>
      <c r="D17" s="27">
        <v>500</v>
      </c>
      <c r="E17" s="27">
        <f t="shared" si="23"/>
        <v>6500</v>
      </c>
      <c r="F17" s="27">
        <f t="shared" si="11"/>
        <v>6500</v>
      </c>
      <c r="G17" s="27">
        <f>SUM(F$5:F17)</f>
        <v>45500</v>
      </c>
      <c r="H17" s="27">
        <f t="shared" si="24"/>
        <v>13</v>
      </c>
      <c r="I17" s="27" t="s">
        <v>165</v>
      </c>
      <c r="J17" s="27">
        <v>0.3</v>
      </c>
      <c r="K17" s="27">
        <f>INDEX(其他调用!$BO$5:$BO$61,MATCH(星阵点亮!I17,其他调用!$BM$5:$BM$61,0))*J17</f>
        <v>2722.2793847523758</v>
      </c>
      <c r="L17" s="28">
        <f t="shared" si="12"/>
        <v>4286</v>
      </c>
      <c r="N17" s="27" t="s">
        <v>179</v>
      </c>
      <c r="O17" s="27">
        <f t="shared" si="0"/>
        <v>0.2</v>
      </c>
      <c r="Q17" s="26">
        <v>13</v>
      </c>
      <c r="R17" s="26">
        <f>总纲!D17</f>
        <v>1.4622888266898326</v>
      </c>
      <c r="S17" s="26">
        <f>求节点(将星点产出!$W$6:$W$44,将星点产出!$AO$6:$AO$44,星阵点亮!$Q17)</f>
        <v>8483.7999999999993</v>
      </c>
      <c r="T17" s="26">
        <f t="shared" si="13"/>
        <v>5</v>
      </c>
      <c r="U17" s="26">
        <f>总纲!E17</f>
        <v>1.2628326307293396</v>
      </c>
      <c r="V17" s="26">
        <f>求节点(将星点产出!$W$51:$W$89,将星点产出!$AO$51:$AO$89,星阵点亮!$Q17)</f>
        <v>9836.1379070311068</v>
      </c>
      <c r="W17" s="26">
        <f t="shared" si="14"/>
        <v>5</v>
      </c>
      <c r="X17" s="26">
        <f>总纲!F17</f>
        <v>1.0294513339896421</v>
      </c>
      <c r="Y17" s="26">
        <f>求节点(将星点产出!$W$96:$W$134,将星点产出!$AO$96:$AO$134,星阵点亮!$Q17)</f>
        <v>11706.301118937723</v>
      </c>
      <c r="Z17" s="26">
        <f t="shared" si="15"/>
        <v>6</v>
      </c>
      <c r="AA17" s="26">
        <f>总纲!G17</f>
        <v>0.75556463675063656</v>
      </c>
      <c r="AB17" s="26">
        <f>求节点(将星点产出!$W$141:$W$179,将星点产出!$AO$141:$AO$179,星阵点亮!$Q17)</f>
        <v>19275.646376571713</v>
      </c>
      <c r="AC17" s="26">
        <f t="shared" si="16"/>
        <v>8</v>
      </c>
      <c r="AD17" s="26">
        <f>总纲!H17</f>
        <v>0.41865329108129906</v>
      </c>
      <c r="AE17" s="26">
        <f>求节点(将星点产出!$W$186:$W$224,将星点产出!$AO$186:$AO$224,星阵点亮!$Q17)</f>
        <v>20810.918412092378</v>
      </c>
      <c r="AF17" s="26">
        <f t="shared" si="17"/>
        <v>8</v>
      </c>
      <c r="AG17" s="26">
        <f t="shared" si="25"/>
        <v>0.6</v>
      </c>
      <c r="AH17" s="26">
        <f t="shared" si="25"/>
        <v>0.3</v>
      </c>
      <c r="AI17" s="26">
        <f t="shared" si="25"/>
        <v>0</v>
      </c>
      <c r="AJ17" s="26">
        <f t="shared" si="25"/>
        <v>0.6</v>
      </c>
      <c r="AK17" s="26">
        <f t="shared" si="25"/>
        <v>0</v>
      </c>
      <c r="AL17" s="26">
        <f t="shared" si="25"/>
        <v>0</v>
      </c>
      <c r="AM17" s="26">
        <f t="shared" si="25"/>
        <v>0</v>
      </c>
      <c r="AN17" s="26">
        <f t="shared" si="25"/>
        <v>0</v>
      </c>
      <c r="AO17" s="26">
        <f t="shared" si="25"/>
        <v>0</v>
      </c>
      <c r="AP17" s="26">
        <f t="shared" si="25"/>
        <v>0</v>
      </c>
      <c r="AQ17" s="26">
        <f t="shared" si="26"/>
        <v>0</v>
      </c>
      <c r="AR17" s="26">
        <f t="shared" si="26"/>
        <v>0</v>
      </c>
      <c r="AS17" s="26">
        <f t="shared" si="26"/>
        <v>0</v>
      </c>
      <c r="AT17" s="26">
        <f t="shared" si="26"/>
        <v>0</v>
      </c>
      <c r="AU17" s="26">
        <f t="shared" si="26"/>
        <v>0</v>
      </c>
      <c r="AV17" s="26">
        <f t="shared" si="26"/>
        <v>0</v>
      </c>
      <c r="AW17" s="26">
        <f t="shared" si="26"/>
        <v>0</v>
      </c>
      <c r="AX17" s="26">
        <f t="shared" si="26"/>
        <v>0</v>
      </c>
      <c r="AY17" s="26">
        <f t="shared" si="26"/>
        <v>0</v>
      </c>
      <c r="AZ17" s="26">
        <f t="shared" si="26"/>
        <v>0</v>
      </c>
      <c r="BA17" s="26">
        <f t="shared" si="26"/>
        <v>0</v>
      </c>
      <c r="BB17" s="26">
        <f t="shared" si="26"/>
        <v>0</v>
      </c>
      <c r="BC17" s="26">
        <f t="shared" si="27"/>
        <v>0.6</v>
      </c>
      <c r="BD17" s="26">
        <f t="shared" si="27"/>
        <v>0.3</v>
      </c>
      <c r="BE17" s="26">
        <f t="shared" si="27"/>
        <v>0</v>
      </c>
      <c r="BF17" s="26">
        <f t="shared" si="27"/>
        <v>0.6</v>
      </c>
      <c r="BG17" s="26">
        <f t="shared" si="27"/>
        <v>0</v>
      </c>
      <c r="BH17" s="26">
        <f t="shared" si="27"/>
        <v>0</v>
      </c>
      <c r="BI17" s="26">
        <f t="shared" si="27"/>
        <v>0</v>
      </c>
      <c r="BJ17" s="26">
        <f t="shared" si="27"/>
        <v>0</v>
      </c>
      <c r="BK17" s="26">
        <f t="shared" si="27"/>
        <v>0</v>
      </c>
      <c r="BL17" s="26">
        <f t="shared" si="27"/>
        <v>0</v>
      </c>
      <c r="BM17" s="26">
        <f t="shared" si="28"/>
        <v>0</v>
      </c>
      <c r="BN17" s="26">
        <f t="shared" si="28"/>
        <v>0</v>
      </c>
      <c r="BO17" s="26">
        <f t="shared" si="28"/>
        <v>0</v>
      </c>
      <c r="BP17" s="26">
        <f t="shared" si="28"/>
        <v>0</v>
      </c>
      <c r="BQ17" s="26">
        <f t="shared" si="28"/>
        <v>0</v>
      </c>
      <c r="BR17" s="26">
        <f t="shared" si="28"/>
        <v>0</v>
      </c>
      <c r="BS17" s="26">
        <f t="shared" si="28"/>
        <v>0</v>
      </c>
      <c r="BT17" s="26">
        <f t="shared" si="28"/>
        <v>0</v>
      </c>
      <c r="BU17" s="26">
        <f t="shared" si="28"/>
        <v>0</v>
      </c>
      <c r="BV17" s="26">
        <f t="shared" si="28"/>
        <v>0</v>
      </c>
      <c r="BW17" s="26">
        <f t="shared" si="28"/>
        <v>0</v>
      </c>
      <c r="BX17" s="26">
        <f t="shared" si="28"/>
        <v>0</v>
      </c>
      <c r="BY17" s="26">
        <f t="shared" si="29"/>
        <v>0.6</v>
      </c>
      <c r="BZ17" s="26">
        <f t="shared" si="29"/>
        <v>0.6</v>
      </c>
      <c r="CA17" s="26">
        <f t="shared" si="29"/>
        <v>0</v>
      </c>
      <c r="CB17" s="26">
        <f t="shared" si="29"/>
        <v>0.6</v>
      </c>
      <c r="CC17" s="26">
        <f t="shared" si="29"/>
        <v>0</v>
      </c>
      <c r="CD17" s="26">
        <f t="shared" si="29"/>
        <v>0</v>
      </c>
      <c r="CE17" s="26">
        <f t="shared" si="29"/>
        <v>0</v>
      </c>
      <c r="CF17" s="26">
        <f t="shared" si="29"/>
        <v>0</v>
      </c>
      <c r="CG17" s="26">
        <f t="shared" si="29"/>
        <v>0</v>
      </c>
      <c r="CH17" s="26">
        <f t="shared" si="29"/>
        <v>0</v>
      </c>
      <c r="CI17" s="26">
        <f t="shared" si="30"/>
        <v>0</v>
      </c>
      <c r="CJ17" s="26">
        <f t="shared" si="30"/>
        <v>0</v>
      </c>
      <c r="CK17" s="26">
        <f t="shared" si="30"/>
        <v>0</v>
      </c>
      <c r="CL17" s="26">
        <f t="shared" si="30"/>
        <v>0</v>
      </c>
      <c r="CM17" s="26">
        <f t="shared" si="30"/>
        <v>0</v>
      </c>
      <c r="CN17" s="26">
        <f t="shared" si="30"/>
        <v>0</v>
      </c>
      <c r="CO17" s="26">
        <f t="shared" si="30"/>
        <v>0</v>
      </c>
      <c r="CP17" s="26">
        <f t="shared" si="30"/>
        <v>0</v>
      </c>
      <c r="CQ17" s="26">
        <f t="shared" si="30"/>
        <v>0</v>
      </c>
      <c r="CR17" s="26">
        <f t="shared" si="30"/>
        <v>0</v>
      </c>
      <c r="CS17" s="26">
        <f t="shared" si="30"/>
        <v>0</v>
      </c>
      <c r="CT17" s="26">
        <f t="shared" si="30"/>
        <v>0</v>
      </c>
      <c r="CU17" s="26">
        <f t="shared" si="31"/>
        <v>0.6</v>
      </c>
      <c r="CV17" s="26">
        <f t="shared" si="31"/>
        <v>0.6</v>
      </c>
      <c r="CW17" s="26">
        <f t="shared" si="31"/>
        <v>0</v>
      </c>
      <c r="CX17" s="26">
        <f t="shared" si="31"/>
        <v>0.6</v>
      </c>
      <c r="CY17" s="26">
        <f t="shared" si="31"/>
        <v>0</v>
      </c>
      <c r="CZ17" s="26">
        <f t="shared" si="31"/>
        <v>0</v>
      </c>
      <c r="DA17" s="26">
        <f t="shared" si="31"/>
        <v>0.3</v>
      </c>
      <c r="DB17" s="26">
        <f t="shared" si="31"/>
        <v>0</v>
      </c>
      <c r="DC17" s="26">
        <f t="shared" si="31"/>
        <v>0</v>
      </c>
      <c r="DD17" s="26">
        <f t="shared" si="31"/>
        <v>0.3</v>
      </c>
      <c r="DE17" s="26">
        <f t="shared" si="32"/>
        <v>0</v>
      </c>
      <c r="DF17" s="26">
        <f t="shared" si="32"/>
        <v>0</v>
      </c>
      <c r="DG17" s="26">
        <f t="shared" si="32"/>
        <v>0</v>
      </c>
      <c r="DH17" s="26">
        <f t="shared" si="32"/>
        <v>0</v>
      </c>
      <c r="DI17" s="26">
        <f t="shared" si="32"/>
        <v>0</v>
      </c>
      <c r="DJ17" s="26">
        <f t="shared" si="32"/>
        <v>0</v>
      </c>
      <c r="DK17" s="26">
        <f t="shared" si="32"/>
        <v>0</v>
      </c>
      <c r="DL17" s="26">
        <f t="shared" si="32"/>
        <v>0</v>
      </c>
      <c r="DM17" s="26">
        <f t="shared" si="32"/>
        <v>0</v>
      </c>
      <c r="DN17" s="26">
        <f t="shared" si="32"/>
        <v>0</v>
      </c>
      <c r="DO17" s="26">
        <f t="shared" si="32"/>
        <v>0</v>
      </c>
      <c r="DP17" s="26">
        <f t="shared" si="32"/>
        <v>0</v>
      </c>
      <c r="DQ17" s="26">
        <f t="shared" si="33"/>
        <v>0.6</v>
      </c>
      <c r="DR17" s="26">
        <f t="shared" si="33"/>
        <v>0.6</v>
      </c>
      <c r="DS17" s="26">
        <f t="shared" si="33"/>
        <v>0</v>
      </c>
      <c r="DT17" s="26">
        <f t="shared" si="33"/>
        <v>0.6</v>
      </c>
      <c r="DU17" s="26">
        <f t="shared" si="33"/>
        <v>0</v>
      </c>
      <c r="DV17" s="26">
        <f t="shared" si="33"/>
        <v>0</v>
      </c>
      <c r="DW17" s="26">
        <f t="shared" si="33"/>
        <v>0.3</v>
      </c>
      <c r="DX17" s="26">
        <f t="shared" si="33"/>
        <v>0</v>
      </c>
      <c r="DY17" s="26">
        <f t="shared" si="33"/>
        <v>0</v>
      </c>
      <c r="DZ17" s="26">
        <f t="shared" si="33"/>
        <v>0.3</v>
      </c>
      <c r="EA17" s="26">
        <f t="shared" si="34"/>
        <v>0</v>
      </c>
      <c r="EB17" s="26">
        <f t="shared" si="34"/>
        <v>0</v>
      </c>
      <c r="EC17" s="26">
        <f t="shared" si="34"/>
        <v>0</v>
      </c>
      <c r="ED17" s="26">
        <f t="shared" si="34"/>
        <v>0</v>
      </c>
      <c r="EE17" s="26">
        <f t="shared" si="34"/>
        <v>0</v>
      </c>
      <c r="EF17" s="26">
        <f t="shared" si="34"/>
        <v>0</v>
      </c>
      <c r="EG17" s="26">
        <f t="shared" si="34"/>
        <v>0</v>
      </c>
      <c r="EH17" s="26">
        <f t="shared" si="34"/>
        <v>0</v>
      </c>
      <c r="EI17" s="26">
        <f t="shared" si="34"/>
        <v>0</v>
      </c>
      <c r="EJ17" s="26">
        <f t="shared" si="34"/>
        <v>0</v>
      </c>
      <c r="EK17" s="26">
        <f t="shared" si="34"/>
        <v>0</v>
      </c>
      <c r="EL17" s="26">
        <f t="shared" si="34"/>
        <v>0</v>
      </c>
      <c r="EM17" s="26">
        <f t="shared" si="18"/>
        <v>14912</v>
      </c>
      <c r="EN17" s="26">
        <f t="shared" si="19"/>
        <v>14912</v>
      </c>
      <c r="EO17" s="26">
        <f t="shared" si="20"/>
        <v>18286</v>
      </c>
      <c r="EP17" s="26">
        <f t="shared" si="21"/>
        <v>25424</v>
      </c>
      <c r="EQ17" s="26">
        <f t="shared" si="22"/>
        <v>25424</v>
      </c>
    </row>
    <row r="18" spans="2:147">
      <c r="B18" s="27">
        <v>3</v>
      </c>
      <c r="C18" s="27">
        <v>2</v>
      </c>
      <c r="D18" s="27">
        <v>500</v>
      </c>
      <c r="E18" s="27">
        <f t="shared" si="23"/>
        <v>7000</v>
      </c>
      <c r="F18" s="27">
        <f t="shared" si="11"/>
        <v>7000</v>
      </c>
      <c r="G18" s="27">
        <f>SUM(F$5:F18)</f>
        <v>52500</v>
      </c>
      <c r="H18" s="27">
        <f t="shared" si="24"/>
        <v>14</v>
      </c>
      <c r="I18" s="27" t="s">
        <v>167</v>
      </c>
      <c r="J18" s="27">
        <v>0.4</v>
      </c>
      <c r="K18" s="27">
        <f>INDEX(其他调用!$BO$5:$BO$61,MATCH(星阵点亮!I18,其他调用!$BM$5:$BM$61,0))*J18</f>
        <v>3629.7058463365015</v>
      </c>
      <c r="L18" s="28">
        <f t="shared" si="12"/>
        <v>4416</v>
      </c>
      <c r="N18" s="27" t="s">
        <v>181</v>
      </c>
      <c r="O18" s="27">
        <f t="shared" si="0"/>
        <v>0.2</v>
      </c>
      <c r="Q18" s="26">
        <v>14</v>
      </c>
      <c r="R18" s="26">
        <f>总纲!D18</f>
        <v>1.6390158215457884</v>
      </c>
      <c r="S18" s="26">
        <f>求节点(将星点产出!$W$6:$W$44,将星点产出!$AO$6:$AO$44,星阵点亮!$Q18)</f>
        <v>9181.4</v>
      </c>
      <c r="T18" s="26">
        <f t="shared" si="13"/>
        <v>5</v>
      </c>
      <c r="U18" s="26">
        <f>总纲!E18</f>
        <v>1.4136511460832426</v>
      </c>
      <c r="V18" s="26">
        <f>求节点(将星点产出!$W$51:$W$89,将星点产出!$AO$51:$AO$89,星阵点亮!$Q18)</f>
        <v>10496.545638031672</v>
      </c>
      <c r="W18" s="26">
        <f t="shared" si="14"/>
        <v>5</v>
      </c>
      <c r="X18" s="26">
        <f>总纲!F18</f>
        <v>1.1545227446968533</v>
      </c>
      <c r="Y18" s="26">
        <f>求节点(将星点产出!$W$96:$W$134,将星点产出!$AO$96:$AO$134,星阵点亮!$Q18)</f>
        <v>12234.329677045323</v>
      </c>
      <c r="Z18" s="26">
        <f t="shared" si="15"/>
        <v>6</v>
      </c>
      <c r="AA18" s="26">
        <f>总纲!G18</f>
        <v>0.84605996708193598</v>
      </c>
      <c r="AB18" s="26">
        <f>求节点(将星点产出!$W$141:$W$179,将星点产出!$AO$141:$AO$179,星阵点亮!$Q18)</f>
        <v>20534.633227177721</v>
      </c>
      <c r="AC18" s="26">
        <f t="shared" si="16"/>
        <v>8</v>
      </c>
      <c r="AD18" s="26">
        <f>总纲!H18</f>
        <v>0.46810291863347719</v>
      </c>
      <c r="AE18" s="26">
        <f>求节点(将星点产出!$W$186:$W$224,将星点产出!$AO$186:$AO$224,星阵点亮!$Q18)</f>
        <v>22507.106150275074</v>
      </c>
      <c r="AF18" s="26">
        <f t="shared" si="17"/>
        <v>9</v>
      </c>
      <c r="AG18" s="26">
        <f t="shared" si="25"/>
        <v>0.6</v>
      </c>
      <c r="AH18" s="26">
        <f t="shared" si="25"/>
        <v>0.3</v>
      </c>
      <c r="AI18" s="26">
        <f t="shared" si="25"/>
        <v>0</v>
      </c>
      <c r="AJ18" s="26">
        <f t="shared" si="25"/>
        <v>0.6</v>
      </c>
      <c r="AK18" s="26">
        <f t="shared" si="25"/>
        <v>0</v>
      </c>
      <c r="AL18" s="26">
        <f t="shared" si="25"/>
        <v>0</v>
      </c>
      <c r="AM18" s="26">
        <f t="shared" si="25"/>
        <v>0</v>
      </c>
      <c r="AN18" s="26">
        <f t="shared" si="25"/>
        <v>0</v>
      </c>
      <c r="AO18" s="26">
        <f t="shared" si="25"/>
        <v>0</v>
      </c>
      <c r="AP18" s="26">
        <f t="shared" si="25"/>
        <v>0</v>
      </c>
      <c r="AQ18" s="26">
        <f t="shared" si="26"/>
        <v>0</v>
      </c>
      <c r="AR18" s="26">
        <f t="shared" si="26"/>
        <v>0</v>
      </c>
      <c r="AS18" s="26">
        <f t="shared" si="26"/>
        <v>0</v>
      </c>
      <c r="AT18" s="26">
        <f t="shared" si="26"/>
        <v>0</v>
      </c>
      <c r="AU18" s="26">
        <f t="shared" si="26"/>
        <v>0</v>
      </c>
      <c r="AV18" s="26">
        <f t="shared" si="26"/>
        <v>0</v>
      </c>
      <c r="AW18" s="26">
        <f t="shared" si="26"/>
        <v>0</v>
      </c>
      <c r="AX18" s="26">
        <f t="shared" si="26"/>
        <v>0</v>
      </c>
      <c r="AY18" s="26">
        <f t="shared" si="26"/>
        <v>0</v>
      </c>
      <c r="AZ18" s="26">
        <f t="shared" si="26"/>
        <v>0</v>
      </c>
      <c r="BA18" s="26">
        <f t="shared" si="26"/>
        <v>0</v>
      </c>
      <c r="BB18" s="26">
        <f t="shared" si="26"/>
        <v>0</v>
      </c>
      <c r="BC18" s="26">
        <f t="shared" si="27"/>
        <v>0.6</v>
      </c>
      <c r="BD18" s="26">
        <f t="shared" si="27"/>
        <v>0.3</v>
      </c>
      <c r="BE18" s="26">
        <f t="shared" si="27"/>
        <v>0</v>
      </c>
      <c r="BF18" s="26">
        <f t="shared" si="27"/>
        <v>0.6</v>
      </c>
      <c r="BG18" s="26">
        <f t="shared" si="27"/>
        <v>0</v>
      </c>
      <c r="BH18" s="26">
        <f t="shared" si="27"/>
        <v>0</v>
      </c>
      <c r="BI18" s="26">
        <f t="shared" si="27"/>
        <v>0</v>
      </c>
      <c r="BJ18" s="26">
        <f t="shared" si="27"/>
        <v>0</v>
      </c>
      <c r="BK18" s="26">
        <f t="shared" si="27"/>
        <v>0</v>
      </c>
      <c r="BL18" s="26">
        <f t="shared" si="27"/>
        <v>0</v>
      </c>
      <c r="BM18" s="26">
        <f t="shared" si="28"/>
        <v>0</v>
      </c>
      <c r="BN18" s="26">
        <f t="shared" si="28"/>
        <v>0</v>
      </c>
      <c r="BO18" s="26">
        <f t="shared" si="28"/>
        <v>0</v>
      </c>
      <c r="BP18" s="26">
        <f t="shared" si="28"/>
        <v>0</v>
      </c>
      <c r="BQ18" s="26">
        <f t="shared" si="28"/>
        <v>0</v>
      </c>
      <c r="BR18" s="26">
        <f t="shared" si="28"/>
        <v>0</v>
      </c>
      <c r="BS18" s="26">
        <f t="shared" si="28"/>
        <v>0</v>
      </c>
      <c r="BT18" s="26">
        <f t="shared" si="28"/>
        <v>0</v>
      </c>
      <c r="BU18" s="26">
        <f t="shared" si="28"/>
        <v>0</v>
      </c>
      <c r="BV18" s="26">
        <f t="shared" si="28"/>
        <v>0</v>
      </c>
      <c r="BW18" s="26">
        <f t="shared" si="28"/>
        <v>0</v>
      </c>
      <c r="BX18" s="26">
        <f t="shared" si="28"/>
        <v>0</v>
      </c>
      <c r="BY18" s="26">
        <f t="shared" si="29"/>
        <v>0.6</v>
      </c>
      <c r="BZ18" s="26">
        <f t="shared" si="29"/>
        <v>0.6</v>
      </c>
      <c r="CA18" s="26">
        <f t="shared" si="29"/>
        <v>0</v>
      </c>
      <c r="CB18" s="26">
        <f t="shared" si="29"/>
        <v>0.6</v>
      </c>
      <c r="CC18" s="26">
        <f t="shared" si="29"/>
        <v>0</v>
      </c>
      <c r="CD18" s="26">
        <f t="shared" si="29"/>
        <v>0</v>
      </c>
      <c r="CE18" s="26">
        <f t="shared" si="29"/>
        <v>0</v>
      </c>
      <c r="CF18" s="26">
        <f t="shared" si="29"/>
        <v>0</v>
      </c>
      <c r="CG18" s="26">
        <f t="shared" si="29"/>
        <v>0</v>
      </c>
      <c r="CH18" s="26">
        <f t="shared" si="29"/>
        <v>0</v>
      </c>
      <c r="CI18" s="26">
        <f t="shared" si="30"/>
        <v>0</v>
      </c>
      <c r="CJ18" s="26">
        <f t="shared" si="30"/>
        <v>0</v>
      </c>
      <c r="CK18" s="26">
        <f t="shared" si="30"/>
        <v>0</v>
      </c>
      <c r="CL18" s="26">
        <f t="shared" si="30"/>
        <v>0</v>
      </c>
      <c r="CM18" s="26">
        <f t="shared" si="30"/>
        <v>0</v>
      </c>
      <c r="CN18" s="26">
        <f t="shared" si="30"/>
        <v>0</v>
      </c>
      <c r="CO18" s="26">
        <f t="shared" si="30"/>
        <v>0</v>
      </c>
      <c r="CP18" s="26">
        <f t="shared" si="30"/>
        <v>0</v>
      </c>
      <c r="CQ18" s="26">
        <f t="shared" si="30"/>
        <v>0</v>
      </c>
      <c r="CR18" s="26">
        <f t="shared" si="30"/>
        <v>0</v>
      </c>
      <c r="CS18" s="26">
        <f t="shared" si="30"/>
        <v>0</v>
      </c>
      <c r="CT18" s="26">
        <f t="shared" si="30"/>
        <v>0</v>
      </c>
      <c r="CU18" s="26">
        <f t="shared" si="31"/>
        <v>0.6</v>
      </c>
      <c r="CV18" s="26">
        <f t="shared" si="31"/>
        <v>0.6</v>
      </c>
      <c r="CW18" s="26">
        <f t="shared" si="31"/>
        <v>0</v>
      </c>
      <c r="CX18" s="26">
        <f t="shared" si="31"/>
        <v>0.6</v>
      </c>
      <c r="CY18" s="26">
        <f t="shared" si="31"/>
        <v>0</v>
      </c>
      <c r="CZ18" s="26">
        <f t="shared" si="31"/>
        <v>0</v>
      </c>
      <c r="DA18" s="26">
        <f t="shared" si="31"/>
        <v>0.3</v>
      </c>
      <c r="DB18" s="26">
        <f t="shared" si="31"/>
        <v>0</v>
      </c>
      <c r="DC18" s="26">
        <f t="shared" si="31"/>
        <v>0</v>
      </c>
      <c r="DD18" s="26">
        <f t="shared" si="31"/>
        <v>0.3</v>
      </c>
      <c r="DE18" s="26">
        <f t="shared" si="32"/>
        <v>0</v>
      </c>
      <c r="DF18" s="26">
        <f t="shared" si="32"/>
        <v>0</v>
      </c>
      <c r="DG18" s="26">
        <f t="shared" si="32"/>
        <v>0</v>
      </c>
      <c r="DH18" s="26">
        <f t="shared" si="32"/>
        <v>0</v>
      </c>
      <c r="DI18" s="26">
        <f t="shared" si="32"/>
        <v>0</v>
      </c>
      <c r="DJ18" s="26">
        <f t="shared" si="32"/>
        <v>0</v>
      </c>
      <c r="DK18" s="26">
        <f t="shared" si="32"/>
        <v>0</v>
      </c>
      <c r="DL18" s="26">
        <f t="shared" si="32"/>
        <v>0</v>
      </c>
      <c r="DM18" s="26">
        <f t="shared" si="32"/>
        <v>0</v>
      </c>
      <c r="DN18" s="26">
        <f t="shared" si="32"/>
        <v>0</v>
      </c>
      <c r="DO18" s="26">
        <f t="shared" si="32"/>
        <v>0</v>
      </c>
      <c r="DP18" s="26">
        <f t="shared" si="32"/>
        <v>0</v>
      </c>
      <c r="DQ18" s="26">
        <f t="shared" si="33"/>
        <v>0.6</v>
      </c>
      <c r="DR18" s="26">
        <f t="shared" si="33"/>
        <v>0.6</v>
      </c>
      <c r="DS18" s="26">
        <f t="shared" si="33"/>
        <v>0</v>
      </c>
      <c r="DT18" s="26">
        <f t="shared" si="33"/>
        <v>0.6</v>
      </c>
      <c r="DU18" s="26">
        <f t="shared" si="33"/>
        <v>0</v>
      </c>
      <c r="DV18" s="26">
        <f t="shared" si="33"/>
        <v>0</v>
      </c>
      <c r="DW18" s="26">
        <f t="shared" si="33"/>
        <v>0.3</v>
      </c>
      <c r="DX18" s="26">
        <f t="shared" si="33"/>
        <v>0</v>
      </c>
      <c r="DY18" s="26">
        <f t="shared" si="33"/>
        <v>0</v>
      </c>
      <c r="DZ18" s="26">
        <f t="shared" si="33"/>
        <v>0.6</v>
      </c>
      <c r="EA18" s="26">
        <f t="shared" si="34"/>
        <v>0</v>
      </c>
      <c r="EB18" s="26">
        <f t="shared" si="34"/>
        <v>0</v>
      </c>
      <c r="EC18" s="26">
        <f t="shared" si="34"/>
        <v>0</v>
      </c>
      <c r="ED18" s="26">
        <f t="shared" si="34"/>
        <v>0</v>
      </c>
      <c r="EE18" s="26">
        <f t="shared" si="34"/>
        <v>0</v>
      </c>
      <c r="EF18" s="26">
        <f t="shared" si="34"/>
        <v>0</v>
      </c>
      <c r="EG18" s="26">
        <f t="shared" si="34"/>
        <v>0</v>
      </c>
      <c r="EH18" s="26">
        <f t="shared" si="34"/>
        <v>0</v>
      </c>
      <c r="EI18" s="26">
        <f t="shared" si="34"/>
        <v>0</v>
      </c>
      <c r="EJ18" s="26">
        <f t="shared" si="34"/>
        <v>0</v>
      </c>
      <c r="EK18" s="26">
        <f t="shared" si="34"/>
        <v>0</v>
      </c>
      <c r="EL18" s="26">
        <f t="shared" si="34"/>
        <v>0</v>
      </c>
      <c r="EM18" s="26">
        <f t="shared" si="18"/>
        <v>14912</v>
      </c>
      <c r="EN18" s="26">
        <f t="shared" si="19"/>
        <v>14912</v>
      </c>
      <c r="EO18" s="26">
        <f t="shared" si="20"/>
        <v>18286</v>
      </c>
      <c r="EP18" s="26">
        <f t="shared" si="21"/>
        <v>25424</v>
      </c>
      <c r="EQ18" s="26">
        <f t="shared" si="22"/>
        <v>29189</v>
      </c>
    </row>
    <row r="19" spans="2:147">
      <c r="B19" s="27">
        <v>3</v>
      </c>
      <c r="C19" s="27">
        <v>3</v>
      </c>
      <c r="D19" s="27">
        <v>500</v>
      </c>
      <c r="E19" s="27">
        <f t="shared" si="23"/>
        <v>7500</v>
      </c>
      <c r="F19" s="27">
        <f t="shared" si="11"/>
        <v>7500</v>
      </c>
      <c r="G19" s="27">
        <f>SUM(F$5:F19)</f>
        <v>60000</v>
      </c>
      <c r="H19" s="27">
        <f t="shared" si="24"/>
        <v>15</v>
      </c>
      <c r="I19" s="27" t="s">
        <v>161</v>
      </c>
      <c r="J19" s="27">
        <v>0.4</v>
      </c>
      <c r="K19" s="27">
        <f>INDEX(其他调用!$BO$5:$BO$61,MATCH(星阵点亮!I19,其他调用!$BM$5:$BM$61,0))*J19</f>
        <v>3629.7058463365015</v>
      </c>
      <c r="L19" s="28">
        <f t="shared" si="12"/>
        <v>4547</v>
      </c>
      <c r="N19" s="27" t="s">
        <v>183</v>
      </c>
      <c r="O19" s="27">
        <f t="shared" si="0"/>
        <v>0.2</v>
      </c>
      <c r="Q19" s="26">
        <v>15</v>
      </c>
      <c r="R19" s="26">
        <f>总纲!D19</f>
        <v>1.8284271247461898</v>
      </c>
      <c r="S19" s="26">
        <f>求节点(将星点产出!$W$6:$W$44,将星点产出!$AO$6:$AO$44,星阵点亮!$Q19)</f>
        <v>9879</v>
      </c>
      <c r="T19" s="26">
        <f t="shared" si="13"/>
        <v>5</v>
      </c>
      <c r="U19" s="26">
        <f>总纲!E19</f>
        <v>1.5793953503557587</v>
      </c>
      <c r="V19" s="26">
        <f>求节点(将星点产出!$W$51:$W$89,将星点产出!$AO$51:$AO$89,星阵点亮!$Q19)</f>
        <v>11156.953369032239</v>
      </c>
      <c r="W19" s="26">
        <f t="shared" si="14"/>
        <v>6</v>
      </c>
      <c r="X19" s="26">
        <f>总纲!F19</f>
        <v>1.2928808199080308</v>
      </c>
      <c r="Y19" s="26">
        <f>求节点(将星点产出!$W$96:$W$134,将星点产出!$AO$96:$AO$134,星阵点亮!$Q19)</f>
        <v>12762.358235152926</v>
      </c>
      <c r="Z19" s="26">
        <f t="shared" si="15"/>
        <v>6</v>
      </c>
      <c r="AA19" s="26">
        <f>总纲!G19</f>
        <v>0.94895367774327255</v>
      </c>
      <c r="AB19" s="26">
        <f>求节点(将星点产出!$W$141:$W$179,将星点产出!$AO$141:$AO$179,星阵点亮!$Q19)</f>
        <v>21793.620077783726</v>
      </c>
      <c r="AC19" s="26">
        <f t="shared" si="16"/>
        <v>8</v>
      </c>
      <c r="AD19" s="26">
        <f>总纲!H19</f>
        <v>0.5271355400643265</v>
      </c>
      <c r="AE19" s="26">
        <f>求节点(将星点产出!$W$186:$W$224,将星点产出!$AO$186:$AO$224,星阵点亮!$Q19)</f>
        <v>24203.293888457771</v>
      </c>
      <c r="AF19" s="26">
        <f t="shared" si="17"/>
        <v>9</v>
      </c>
      <c r="AG19" s="26">
        <f t="shared" si="25"/>
        <v>0.6</v>
      </c>
      <c r="AH19" s="26">
        <f t="shared" si="25"/>
        <v>0.3</v>
      </c>
      <c r="AI19" s="26">
        <f t="shared" si="25"/>
        <v>0</v>
      </c>
      <c r="AJ19" s="26">
        <f t="shared" si="25"/>
        <v>0.6</v>
      </c>
      <c r="AK19" s="26">
        <f t="shared" si="25"/>
        <v>0</v>
      </c>
      <c r="AL19" s="26">
        <f t="shared" si="25"/>
        <v>0</v>
      </c>
      <c r="AM19" s="26">
        <f t="shared" si="25"/>
        <v>0</v>
      </c>
      <c r="AN19" s="26">
        <f t="shared" si="25"/>
        <v>0</v>
      </c>
      <c r="AO19" s="26">
        <f t="shared" si="25"/>
        <v>0</v>
      </c>
      <c r="AP19" s="26">
        <f t="shared" si="25"/>
        <v>0</v>
      </c>
      <c r="AQ19" s="26">
        <f t="shared" si="26"/>
        <v>0</v>
      </c>
      <c r="AR19" s="26">
        <f t="shared" si="26"/>
        <v>0</v>
      </c>
      <c r="AS19" s="26">
        <f t="shared" si="26"/>
        <v>0</v>
      </c>
      <c r="AT19" s="26">
        <f t="shared" si="26"/>
        <v>0</v>
      </c>
      <c r="AU19" s="26">
        <f t="shared" si="26"/>
        <v>0</v>
      </c>
      <c r="AV19" s="26">
        <f t="shared" si="26"/>
        <v>0</v>
      </c>
      <c r="AW19" s="26">
        <f t="shared" si="26"/>
        <v>0</v>
      </c>
      <c r="AX19" s="26">
        <f t="shared" si="26"/>
        <v>0</v>
      </c>
      <c r="AY19" s="26">
        <f t="shared" si="26"/>
        <v>0</v>
      </c>
      <c r="AZ19" s="26">
        <f t="shared" si="26"/>
        <v>0</v>
      </c>
      <c r="BA19" s="26">
        <f t="shared" si="26"/>
        <v>0</v>
      </c>
      <c r="BB19" s="26">
        <f t="shared" si="26"/>
        <v>0</v>
      </c>
      <c r="BC19" s="26">
        <f t="shared" si="27"/>
        <v>0.6</v>
      </c>
      <c r="BD19" s="26">
        <f t="shared" si="27"/>
        <v>0.6</v>
      </c>
      <c r="BE19" s="26">
        <f t="shared" si="27"/>
        <v>0</v>
      </c>
      <c r="BF19" s="26">
        <f t="shared" si="27"/>
        <v>0.6</v>
      </c>
      <c r="BG19" s="26">
        <f t="shared" si="27"/>
        <v>0</v>
      </c>
      <c r="BH19" s="26">
        <f t="shared" si="27"/>
        <v>0</v>
      </c>
      <c r="BI19" s="26">
        <f t="shared" si="27"/>
        <v>0</v>
      </c>
      <c r="BJ19" s="26">
        <f t="shared" si="27"/>
        <v>0</v>
      </c>
      <c r="BK19" s="26">
        <f t="shared" si="27"/>
        <v>0</v>
      </c>
      <c r="BL19" s="26">
        <f t="shared" si="27"/>
        <v>0</v>
      </c>
      <c r="BM19" s="26">
        <f t="shared" si="28"/>
        <v>0</v>
      </c>
      <c r="BN19" s="26">
        <f t="shared" si="28"/>
        <v>0</v>
      </c>
      <c r="BO19" s="26">
        <f t="shared" si="28"/>
        <v>0</v>
      </c>
      <c r="BP19" s="26">
        <f t="shared" si="28"/>
        <v>0</v>
      </c>
      <c r="BQ19" s="26">
        <f t="shared" si="28"/>
        <v>0</v>
      </c>
      <c r="BR19" s="26">
        <f t="shared" si="28"/>
        <v>0</v>
      </c>
      <c r="BS19" s="26">
        <f t="shared" si="28"/>
        <v>0</v>
      </c>
      <c r="BT19" s="26">
        <f t="shared" si="28"/>
        <v>0</v>
      </c>
      <c r="BU19" s="26">
        <f t="shared" si="28"/>
        <v>0</v>
      </c>
      <c r="BV19" s="26">
        <f t="shared" si="28"/>
        <v>0</v>
      </c>
      <c r="BW19" s="26">
        <f t="shared" si="28"/>
        <v>0</v>
      </c>
      <c r="BX19" s="26">
        <f t="shared" si="28"/>
        <v>0</v>
      </c>
      <c r="BY19" s="26">
        <f t="shared" si="29"/>
        <v>0.6</v>
      </c>
      <c r="BZ19" s="26">
        <f t="shared" si="29"/>
        <v>0.6</v>
      </c>
      <c r="CA19" s="26">
        <f t="shared" si="29"/>
        <v>0</v>
      </c>
      <c r="CB19" s="26">
        <f t="shared" si="29"/>
        <v>0.6</v>
      </c>
      <c r="CC19" s="26">
        <f t="shared" si="29"/>
        <v>0</v>
      </c>
      <c r="CD19" s="26">
        <f t="shared" si="29"/>
        <v>0</v>
      </c>
      <c r="CE19" s="26">
        <f t="shared" si="29"/>
        <v>0</v>
      </c>
      <c r="CF19" s="26">
        <f t="shared" si="29"/>
        <v>0</v>
      </c>
      <c r="CG19" s="26">
        <f t="shared" si="29"/>
        <v>0</v>
      </c>
      <c r="CH19" s="26">
        <f t="shared" si="29"/>
        <v>0</v>
      </c>
      <c r="CI19" s="26">
        <f t="shared" si="30"/>
        <v>0</v>
      </c>
      <c r="CJ19" s="26">
        <f t="shared" si="30"/>
        <v>0</v>
      </c>
      <c r="CK19" s="26">
        <f t="shared" si="30"/>
        <v>0</v>
      </c>
      <c r="CL19" s="26">
        <f t="shared" si="30"/>
        <v>0</v>
      </c>
      <c r="CM19" s="26">
        <f t="shared" si="30"/>
        <v>0</v>
      </c>
      <c r="CN19" s="26">
        <f t="shared" si="30"/>
        <v>0</v>
      </c>
      <c r="CO19" s="26">
        <f t="shared" si="30"/>
        <v>0</v>
      </c>
      <c r="CP19" s="26">
        <f t="shared" si="30"/>
        <v>0</v>
      </c>
      <c r="CQ19" s="26">
        <f t="shared" si="30"/>
        <v>0</v>
      </c>
      <c r="CR19" s="26">
        <f t="shared" si="30"/>
        <v>0</v>
      </c>
      <c r="CS19" s="26">
        <f t="shared" si="30"/>
        <v>0</v>
      </c>
      <c r="CT19" s="26">
        <f t="shared" si="30"/>
        <v>0</v>
      </c>
      <c r="CU19" s="26">
        <f t="shared" si="31"/>
        <v>0.6</v>
      </c>
      <c r="CV19" s="26">
        <f t="shared" si="31"/>
        <v>0.6</v>
      </c>
      <c r="CW19" s="26">
        <f t="shared" si="31"/>
        <v>0</v>
      </c>
      <c r="CX19" s="26">
        <f t="shared" si="31"/>
        <v>0.6</v>
      </c>
      <c r="CY19" s="26">
        <f t="shared" si="31"/>
        <v>0</v>
      </c>
      <c r="CZ19" s="26">
        <f t="shared" si="31"/>
        <v>0</v>
      </c>
      <c r="DA19" s="26">
        <f t="shared" si="31"/>
        <v>0.3</v>
      </c>
      <c r="DB19" s="26">
        <f t="shared" si="31"/>
        <v>0</v>
      </c>
      <c r="DC19" s="26">
        <f t="shared" si="31"/>
        <v>0</v>
      </c>
      <c r="DD19" s="26">
        <f t="shared" si="31"/>
        <v>0.3</v>
      </c>
      <c r="DE19" s="26">
        <f t="shared" si="32"/>
        <v>0</v>
      </c>
      <c r="DF19" s="26">
        <f t="shared" si="32"/>
        <v>0</v>
      </c>
      <c r="DG19" s="26">
        <f t="shared" si="32"/>
        <v>0</v>
      </c>
      <c r="DH19" s="26">
        <f t="shared" si="32"/>
        <v>0</v>
      </c>
      <c r="DI19" s="26">
        <f t="shared" si="32"/>
        <v>0</v>
      </c>
      <c r="DJ19" s="26">
        <f t="shared" si="32"/>
        <v>0</v>
      </c>
      <c r="DK19" s="26">
        <f t="shared" si="32"/>
        <v>0</v>
      </c>
      <c r="DL19" s="26">
        <f t="shared" si="32"/>
        <v>0</v>
      </c>
      <c r="DM19" s="26">
        <f t="shared" si="32"/>
        <v>0</v>
      </c>
      <c r="DN19" s="26">
        <f t="shared" si="32"/>
        <v>0</v>
      </c>
      <c r="DO19" s="26">
        <f t="shared" si="32"/>
        <v>0</v>
      </c>
      <c r="DP19" s="26">
        <f t="shared" si="32"/>
        <v>0</v>
      </c>
      <c r="DQ19" s="26">
        <f t="shared" si="33"/>
        <v>0.6</v>
      </c>
      <c r="DR19" s="26">
        <f t="shared" si="33"/>
        <v>0.6</v>
      </c>
      <c r="DS19" s="26">
        <f t="shared" si="33"/>
        <v>0</v>
      </c>
      <c r="DT19" s="26">
        <f t="shared" si="33"/>
        <v>0.6</v>
      </c>
      <c r="DU19" s="26">
        <f t="shared" si="33"/>
        <v>0</v>
      </c>
      <c r="DV19" s="26">
        <f t="shared" si="33"/>
        <v>0</v>
      </c>
      <c r="DW19" s="26">
        <f t="shared" si="33"/>
        <v>0.3</v>
      </c>
      <c r="DX19" s="26">
        <f t="shared" si="33"/>
        <v>0</v>
      </c>
      <c r="DY19" s="26">
        <f t="shared" si="33"/>
        <v>0</v>
      </c>
      <c r="DZ19" s="26">
        <f t="shared" si="33"/>
        <v>0.6</v>
      </c>
      <c r="EA19" s="26">
        <f t="shared" si="34"/>
        <v>0</v>
      </c>
      <c r="EB19" s="26">
        <f t="shared" si="34"/>
        <v>0</v>
      </c>
      <c r="EC19" s="26">
        <f t="shared" si="34"/>
        <v>0</v>
      </c>
      <c r="ED19" s="26">
        <f t="shared" si="34"/>
        <v>0</v>
      </c>
      <c r="EE19" s="26">
        <f t="shared" si="34"/>
        <v>0</v>
      </c>
      <c r="EF19" s="26">
        <f t="shared" si="34"/>
        <v>0</v>
      </c>
      <c r="EG19" s="26">
        <f t="shared" si="34"/>
        <v>0</v>
      </c>
      <c r="EH19" s="26">
        <f t="shared" si="34"/>
        <v>0</v>
      </c>
      <c r="EI19" s="26">
        <f t="shared" si="34"/>
        <v>0</v>
      </c>
      <c r="EJ19" s="26">
        <f t="shared" si="34"/>
        <v>0</v>
      </c>
      <c r="EK19" s="26">
        <f t="shared" si="34"/>
        <v>0</v>
      </c>
      <c r="EL19" s="26">
        <f t="shared" si="34"/>
        <v>0</v>
      </c>
      <c r="EM19" s="26">
        <f t="shared" si="18"/>
        <v>14912</v>
      </c>
      <c r="EN19" s="26">
        <f t="shared" si="19"/>
        <v>18286</v>
      </c>
      <c r="EO19" s="26">
        <f t="shared" si="20"/>
        <v>18286</v>
      </c>
      <c r="EP19" s="26">
        <f t="shared" si="21"/>
        <v>25424</v>
      </c>
      <c r="EQ19" s="26">
        <f t="shared" si="22"/>
        <v>29189</v>
      </c>
    </row>
    <row r="20" spans="2:147">
      <c r="B20" s="27">
        <v>3</v>
      </c>
      <c r="C20" s="27">
        <v>4</v>
      </c>
      <c r="D20" s="27">
        <v>500</v>
      </c>
      <c r="E20" s="27">
        <f t="shared" si="23"/>
        <v>8000</v>
      </c>
      <c r="F20" s="27">
        <f t="shared" si="11"/>
        <v>8000</v>
      </c>
      <c r="G20" s="27">
        <f>SUM(F$5:F20)</f>
        <v>68000</v>
      </c>
      <c r="H20" s="27">
        <f t="shared" si="24"/>
        <v>16</v>
      </c>
      <c r="I20" s="27" t="s">
        <v>165</v>
      </c>
      <c r="J20" s="27">
        <v>0.3</v>
      </c>
      <c r="K20" s="27">
        <f>INDEX(其他调用!$BO$5:$BO$61,MATCH(星阵点亮!I20,其他调用!$BM$5:$BM$61,0))*J20</f>
        <v>2722.2793847523758</v>
      </c>
      <c r="L20" s="28">
        <f t="shared" si="12"/>
        <v>4677</v>
      </c>
      <c r="N20" s="27" t="s">
        <v>145</v>
      </c>
      <c r="O20" s="27">
        <f t="shared" si="0"/>
        <v>0.2</v>
      </c>
      <c r="Q20" s="26">
        <v>16</v>
      </c>
      <c r="R20" s="26">
        <f>总纲!D20</f>
        <v>2.031433133020796</v>
      </c>
      <c r="S20" s="26">
        <f>求节点(将星点产出!$W$6:$W$44,将星点产出!$AO$6:$AO$44,星阵点亮!$Q20)</f>
        <v>10576.6</v>
      </c>
      <c r="T20" s="26">
        <f t="shared" si="13"/>
        <v>6</v>
      </c>
      <c r="U20" s="26">
        <f>总纲!E20</f>
        <v>1.7586116632561031</v>
      </c>
      <c r="V20" s="26">
        <f>求节点(将星点产出!$W$51:$W$89,将星点产出!$AO$51:$AO$89,星阵点亮!$Q20)</f>
        <v>11817.361100032802</v>
      </c>
      <c r="W20" s="26">
        <f t="shared" si="14"/>
        <v>6</v>
      </c>
      <c r="X20" s="26">
        <f>总纲!F20</f>
        <v>1.4398798046851402</v>
      </c>
      <c r="Y20" s="26">
        <f>求节点(将星点产出!$W$96:$W$134,将星点产出!$AO$96:$AO$134,星阵点亮!$Q20)</f>
        <v>13290.386793260528</v>
      </c>
      <c r="Z20" s="26">
        <f t="shared" si="15"/>
        <v>6</v>
      </c>
      <c r="AA20" s="26">
        <f>总纲!G20</f>
        <v>1.0618300986299702</v>
      </c>
      <c r="AB20" s="26">
        <f>求节点(将星点产出!$W$141:$W$179,将星点产出!$AO$141:$AO$179,星阵点亮!$Q20)</f>
        <v>23052.606928389734</v>
      </c>
      <c r="AC20" s="26">
        <f t="shared" si="16"/>
        <v>9</v>
      </c>
      <c r="AD20" s="26">
        <f>总纲!H20</f>
        <v>0.59460047803518701</v>
      </c>
      <c r="AE20" s="26">
        <f>求节点(将星点产出!$W$186:$W$224,将星点产出!$AO$186:$AO$224,星阵点亮!$Q20)</f>
        <v>25899.481626640467</v>
      </c>
      <c r="AF20" s="26">
        <f t="shared" si="17"/>
        <v>9</v>
      </c>
      <c r="AG20" s="26">
        <f t="shared" si="25"/>
        <v>0.6</v>
      </c>
      <c r="AH20" s="26">
        <f t="shared" si="25"/>
        <v>0.6</v>
      </c>
      <c r="AI20" s="26">
        <f t="shared" si="25"/>
        <v>0</v>
      </c>
      <c r="AJ20" s="26">
        <f t="shared" si="25"/>
        <v>0.6</v>
      </c>
      <c r="AK20" s="26">
        <f t="shared" si="25"/>
        <v>0</v>
      </c>
      <c r="AL20" s="26">
        <f t="shared" si="25"/>
        <v>0</v>
      </c>
      <c r="AM20" s="26">
        <f t="shared" si="25"/>
        <v>0</v>
      </c>
      <c r="AN20" s="26">
        <f t="shared" si="25"/>
        <v>0</v>
      </c>
      <c r="AO20" s="26">
        <f t="shared" si="25"/>
        <v>0</v>
      </c>
      <c r="AP20" s="26">
        <f t="shared" si="25"/>
        <v>0</v>
      </c>
      <c r="AQ20" s="26">
        <f t="shared" si="26"/>
        <v>0</v>
      </c>
      <c r="AR20" s="26">
        <f t="shared" si="26"/>
        <v>0</v>
      </c>
      <c r="AS20" s="26">
        <f t="shared" si="26"/>
        <v>0</v>
      </c>
      <c r="AT20" s="26">
        <f t="shared" si="26"/>
        <v>0</v>
      </c>
      <c r="AU20" s="26">
        <f t="shared" si="26"/>
        <v>0</v>
      </c>
      <c r="AV20" s="26">
        <f t="shared" si="26"/>
        <v>0</v>
      </c>
      <c r="AW20" s="26">
        <f t="shared" si="26"/>
        <v>0</v>
      </c>
      <c r="AX20" s="26">
        <f t="shared" si="26"/>
        <v>0</v>
      </c>
      <c r="AY20" s="26">
        <f t="shared" si="26"/>
        <v>0</v>
      </c>
      <c r="AZ20" s="26">
        <f t="shared" si="26"/>
        <v>0</v>
      </c>
      <c r="BA20" s="26">
        <f t="shared" si="26"/>
        <v>0</v>
      </c>
      <c r="BB20" s="26">
        <f t="shared" si="26"/>
        <v>0</v>
      </c>
      <c r="BC20" s="26">
        <f t="shared" si="27"/>
        <v>0.6</v>
      </c>
      <c r="BD20" s="26">
        <f t="shared" si="27"/>
        <v>0.6</v>
      </c>
      <c r="BE20" s="26">
        <f t="shared" si="27"/>
        <v>0</v>
      </c>
      <c r="BF20" s="26">
        <f t="shared" si="27"/>
        <v>0.6</v>
      </c>
      <c r="BG20" s="26">
        <f t="shared" si="27"/>
        <v>0</v>
      </c>
      <c r="BH20" s="26">
        <f t="shared" si="27"/>
        <v>0</v>
      </c>
      <c r="BI20" s="26">
        <f t="shared" si="27"/>
        <v>0</v>
      </c>
      <c r="BJ20" s="26">
        <f t="shared" si="27"/>
        <v>0</v>
      </c>
      <c r="BK20" s="26">
        <f t="shared" si="27"/>
        <v>0</v>
      </c>
      <c r="BL20" s="26">
        <f t="shared" si="27"/>
        <v>0</v>
      </c>
      <c r="BM20" s="26">
        <f t="shared" si="28"/>
        <v>0</v>
      </c>
      <c r="BN20" s="26">
        <f t="shared" si="28"/>
        <v>0</v>
      </c>
      <c r="BO20" s="26">
        <f t="shared" si="28"/>
        <v>0</v>
      </c>
      <c r="BP20" s="26">
        <f t="shared" si="28"/>
        <v>0</v>
      </c>
      <c r="BQ20" s="26">
        <f t="shared" si="28"/>
        <v>0</v>
      </c>
      <c r="BR20" s="26">
        <f t="shared" si="28"/>
        <v>0</v>
      </c>
      <c r="BS20" s="26">
        <f t="shared" si="28"/>
        <v>0</v>
      </c>
      <c r="BT20" s="26">
        <f t="shared" si="28"/>
        <v>0</v>
      </c>
      <c r="BU20" s="26">
        <f t="shared" si="28"/>
        <v>0</v>
      </c>
      <c r="BV20" s="26">
        <f t="shared" si="28"/>
        <v>0</v>
      </c>
      <c r="BW20" s="26">
        <f t="shared" si="28"/>
        <v>0</v>
      </c>
      <c r="BX20" s="26">
        <f t="shared" si="28"/>
        <v>0</v>
      </c>
      <c r="BY20" s="26">
        <f t="shared" si="29"/>
        <v>0.6</v>
      </c>
      <c r="BZ20" s="26">
        <f t="shared" si="29"/>
        <v>0.6</v>
      </c>
      <c r="CA20" s="26">
        <f t="shared" si="29"/>
        <v>0</v>
      </c>
      <c r="CB20" s="26">
        <f t="shared" si="29"/>
        <v>0.6</v>
      </c>
      <c r="CC20" s="26">
        <f t="shared" si="29"/>
        <v>0</v>
      </c>
      <c r="CD20" s="26">
        <f t="shared" si="29"/>
        <v>0</v>
      </c>
      <c r="CE20" s="26">
        <f t="shared" si="29"/>
        <v>0</v>
      </c>
      <c r="CF20" s="26">
        <f t="shared" si="29"/>
        <v>0</v>
      </c>
      <c r="CG20" s="26">
        <f t="shared" si="29"/>
        <v>0</v>
      </c>
      <c r="CH20" s="26">
        <f t="shared" si="29"/>
        <v>0</v>
      </c>
      <c r="CI20" s="26">
        <f t="shared" si="30"/>
        <v>0</v>
      </c>
      <c r="CJ20" s="26">
        <f t="shared" si="30"/>
        <v>0</v>
      </c>
      <c r="CK20" s="26">
        <f t="shared" si="30"/>
        <v>0</v>
      </c>
      <c r="CL20" s="26">
        <f t="shared" si="30"/>
        <v>0</v>
      </c>
      <c r="CM20" s="26">
        <f t="shared" si="30"/>
        <v>0</v>
      </c>
      <c r="CN20" s="26">
        <f t="shared" si="30"/>
        <v>0</v>
      </c>
      <c r="CO20" s="26">
        <f t="shared" si="30"/>
        <v>0</v>
      </c>
      <c r="CP20" s="26">
        <f t="shared" si="30"/>
        <v>0</v>
      </c>
      <c r="CQ20" s="26">
        <f t="shared" si="30"/>
        <v>0</v>
      </c>
      <c r="CR20" s="26">
        <f t="shared" si="30"/>
        <v>0</v>
      </c>
      <c r="CS20" s="26">
        <f t="shared" si="30"/>
        <v>0</v>
      </c>
      <c r="CT20" s="26">
        <f t="shared" si="30"/>
        <v>0</v>
      </c>
      <c r="CU20" s="26">
        <f t="shared" si="31"/>
        <v>0.6</v>
      </c>
      <c r="CV20" s="26">
        <f t="shared" si="31"/>
        <v>0.6</v>
      </c>
      <c r="CW20" s="26">
        <f t="shared" si="31"/>
        <v>0</v>
      </c>
      <c r="CX20" s="26">
        <f t="shared" si="31"/>
        <v>0.6</v>
      </c>
      <c r="CY20" s="26">
        <f t="shared" si="31"/>
        <v>0</v>
      </c>
      <c r="CZ20" s="26">
        <f t="shared" si="31"/>
        <v>0</v>
      </c>
      <c r="DA20" s="26">
        <f t="shared" si="31"/>
        <v>0.3</v>
      </c>
      <c r="DB20" s="26">
        <f t="shared" si="31"/>
        <v>0</v>
      </c>
      <c r="DC20" s="26">
        <f t="shared" si="31"/>
        <v>0</v>
      </c>
      <c r="DD20" s="26">
        <f t="shared" si="31"/>
        <v>0.6</v>
      </c>
      <c r="DE20" s="26">
        <f t="shared" si="32"/>
        <v>0</v>
      </c>
      <c r="DF20" s="26">
        <f t="shared" si="32"/>
        <v>0</v>
      </c>
      <c r="DG20" s="26">
        <f t="shared" si="32"/>
        <v>0</v>
      </c>
      <c r="DH20" s="26">
        <f t="shared" si="32"/>
        <v>0</v>
      </c>
      <c r="DI20" s="26">
        <f t="shared" si="32"/>
        <v>0</v>
      </c>
      <c r="DJ20" s="26">
        <f t="shared" si="32"/>
        <v>0</v>
      </c>
      <c r="DK20" s="26">
        <f t="shared" si="32"/>
        <v>0</v>
      </c>
      <c r="DL20" s="26">
        <f t="shared" si="32"/>
        <v>0</v>
      </c>
      <c r="DM20" s="26">
        <f t="shared" si="32"/>
        <v>0</v>
      </c>
      <c r="DN20" s="26">
        <f t="shared" si="32"/>
        <v>0</v>
      </c>
      <c r="DO20" s="26">
        <f t="shared" si="32"/>
        <v>0</v>
      </c>
      <c r="DP20" s="26">
        <f t="shared" si="32"/>
        <v>0</v>
      </c>
      <c r="DQ20" s="26">
        <f t="shared" si="33"/>
        <v>0.6</v>
      </c>
      <c r="DR20" s="26">
        <f t="shared" si="33"/>
        <v>0.6</v>
      </c>
      <c r="DS20" s="26">
        <f t="shared" si="33"/>
        <v>0</v>
      </c>
      <c r="DT20" s="26">
        <f t="shared" si="33"/>
        <v>0.6</v>
      </c>
      <c r="DU20" s="26">
        <f t="shared" si="33"/>
        <v>0</v>
      </c>
      <c r="DV20" s="26">
        <f t="shared" si="33"/>
        <v>0</v>
      </c>
      <c r="DW20" s="26">
        <f t="shared" si="33"/>
        <v>0.3</v>
      </c>
      <c r="DX20" s="26">
        <f t="shared" si="33"/>
        <v>0</v>
      </c>
      <c r="DY20" s="26">
        <f t="shared" si="33"/>
        <v>0</v>
      </c>
      <c r="DZ20" s="26">
        <f t="shared" si="33"/>
        <v>0.6</v>
      </c>
      <c r="EA20" s="26">
        <f t="shared" si="34"/>
        <v>0</v>
      </c>
      <c r="EB20" s="26">
        <f t="shared" si="34"/>
        <v>0</v>
      </c>
      <c r="EC20" s="26">
        <f t="shared" si="34"/>
        <v>0</v>
      </c>
      <c r="ED20" s="26">
        <f t="shared" si="34"/>
        <v>0</v>
      </c>
      <c r="EE20" s="26">
        <f t="shared" si="34"/>
        <v>0</v>
      </c>
      <c r="EF20" s="26">
        <f t="shared" si="34"/>
        <v>0</v>
      </c>
      <c r="EG20" s="26">
        <f t="shared" si="34"/>
        <v>0</v>
      </c>
      <c r="EH20" s="26">
        <f t="shared" si="34"/>
        <v>0</v>
      </c>
      <c r="EI20" s="26">
        <f t="shared" si="34"/>
        <v>0</v>
      </c>
      <c r="EJ20" s="26">
        <f t="shared" si="34"/>
        <v>0</v>
      </c>
      <c r="EK20" s="26">
        <f t="shared" si="34"/>
        <v>0</v>
      </c>
      <c r="EL20" s="26">
        <f t="shared" si="34"/>
        <v>0</v>
      </c>
      <c r="EM20" s="26">
        <f t="shared" si="18"/>
        <v>18286</v>
      </c>
      <c r="EN20" s="26">
        <f t="shared" si="19"/>
        <v>18286</v>
      </c>
      <c r="EO20" s="26">
        <f t="shared" si="20"/>
        <v>18286</v>
      </c>
      <c r="EP20" s="26">
        <f t="shared" si="21"/>
        <v>29189</v>
      </c>
      <c r="EQ20" s="26">
        <f t="shared" si="22"/>
        <v>29189</v>
      </c>
    </row>
    <row r="21" spans="2:147">
      <c r="B21" s="27">
        <v>3</v>
      </c>
      <c r="C21" s="27">
        <v>5</v>
      </c>
      <c r="D21" s="27">
        <v>500</v>
      </c>
      <c r="E21" s="27">
        <f t="shared" si="23"/>
        <v>8500</v>
      </c>
      <c r="F21" s="27">
        <f t="shared" si="11"/>
        <v>8500</v>
      </c>
      <c r="G21" s="27">
        <f>SUM(F$5:F21)</f>
        <v>76500</v>
      </c>
      <c r="H21" s="27">
        <f t="shared" si="24"/>
        <v>17</v>
      </c>
      <c r="I21" s="27" t="s">
        <v>167</v>
      </c>
      <c r="J21" s="27">
        <v>0.5</v>
      </c>
      <c r="K21" s="27">
        <f>INDEX(其他调用!$BO$5:$BO$61,MATCH(星阵点亮!I21,其他调用!$BM$5:$BM$61,0))*J21</f>
        <v>4537.1323079206268</v>
      </c>
      <c r="L21" s="28">
        <f t="shared" si="12"/>
        <v>4807</v>
      </c>
      <c r="N21" s="27" t="s">
        <v>146</v>
      </c>
      <c r="O21" s="27">
        <f t="shared" si="0"/>
        <v>0.1</v>
      </c>
      <c r="Q21" s="26">
        <v>17</v>
      </c>
      <c r="R21" s="26">
        <f>总纲!D21</f>
        <v>2.2490095854249419</v>
      </c>
      <c r="S21" s="26">
        <f>求节点(将星点产出!$W$6:$W$44,将星点产出!$AO$6:$AO$44,星阵点亮!$Q21)</f>
        <v>11274.2</v>
      </c>
      <c r="T21" s="26">
        <f t="shared" si="13"/>
        <v>6</v>
      </c>
      <c r="U21" s="26">
        <f>总纲!E21</f>
        <v>1.9433691827656923</v>
      </c>
      <c r="V21" s="26">
        <f>求节点(将星点产出!$W$51:$W$89,将星点产出!$AO$51:$AO$89,星阵点亮!$Q21)</f>
        <v>12477.768831033369</v>
      </c>
      <c r="W21" s="26">
        <f t="shared" si="14"/>
        <v>6</v>
      </c>
      <c r="X21" s="26">
        <f>总纲!F21</f>
        <v>1.5904995788125189</v>
      </c>
      <c r="Y21" s="26">
        <f>求节点(将星点产出!$W$96:$W$134,将星点产出!$AO$96:$AO$134,星阵点亮!$Q21)</f>
        <v>13818.415351368129</v>
      </c>
      <c r="Z21" s="26">
        <f t="shared" si="15"/>
        <v>6</v>
      </c>
      <c r="AA21" s="26">
        <f>总纲!G21</f>
        <v>1.1742079045503622</v>
      </c>
      <c r="AB21" s="26">
        <f>求节点(将星点产出!$W$141:$W$179,将星点产出!$AO$141:$AO$179,星阵点亮!$Q21)</f>
        <v>24311.593778995739</v>
      </c>
      <c r="AC21" s="26">
        <f t="shared" si="16"/>
        <v>9</v>
      </c>
      <c r="AD21" s="26">
        <f>总纲!H21</f>
        <v>0.65311238360740309</v>
      </c>
      <c r="AE21" s="26">
        <f>求节点(将星点产出!$W$186:$W$224,将星点产出!$AO$186:$AO$224,星阵点亮!$Q21)</f>
        <v>27595.669364823159</v>
      </c>
      <c r="AF21" s="26">
        <f t="shared" si="17"/>
        <v>10</v>
      </c>
      <c r="AG21" s="26">
        <f t="shared" si="25"/>
        <v>0.6</v>
      </c>
      <c r="AH21" s="26">
        <f t="shared" si="25"/>
        <v>0.6</v>
      </c>
      <c r="AI21" s="26">
        <f t="shared" si="25"/>
        <v>0</v>
      </c>
      <c r="AJ21" s="26">
        <f t="shared" si="25"/>
        <v>0.6</v>
      </c>
      <c r="AK21" s="26">
        <f t="shared" si="25"/>
        <v>0</v>
      </c>
      <c r="AL21" s="26">
        <f t="shared" si="25"/>
        <v>0</v>
      </c>
      <c r="AM21" s="26">
        <f t="shared" si="25"/>
        <v>0</v>
      </c>
      <c r="AN21" s="26">
        <f t="shared" si="25"/>
        <v>0</v>
      </c>
      <c r="AO21" s="26">
        <f t="shared" si="25"/>
        <v>0</v>
      </c>
      <c r="AP21" s="26">
        <f t="shared" si="25"/>
        <v>0</v>
      </c>
      <c r="AQ21" s="26">
        <f t="shared" si="26"/>
        <v>0</v>
      </c>
      <c r="AR21" s="26">
        <f t="shared" si="26"/>
        <v>0</v>
      </c>
      <c r="AS21" s="26">
        <f t="shared" si="26"/>
        <v>0</v>
      </c>
      <c r="AT21" s="26">
        <f t="shared" si="26"/>
        <v>0</v>
      </c>
      <c r="AU21" s="26">
        <f t="shared" si="26"/>
        <v>0</v>
      </c>
      <c r="AV21" s="26">
        <f t="shared" si="26"/>
        <v>0</v>
      </c>
      <c r="AW21" s="26">
        <f t="shared" si="26"/>
        <v>0</v>
      </c>
      <c r="AX21" s="26">
        <f t="shared" si="26"/>
        <v>0</v>
      </c>
      <c r="AY21" s="26">
        <f t="shared" si="26"/>
        <v>0</v>
      </c>
      <c r="AZ21" s="26">
        <f t="shared" si="26"/>
        <v>0</v>
      </c>
      <c r="BA21" s="26">
        <f t="shared" si="26"/>
        <v>0</v>
      </c>
      <c r="BB21" s="26">
        <f t="shared" si="26"/>
        <v>0</v>
      </c>
      <c r="BC21" s="26">
        <f t="shared" si="27"/>
        <v>0.6</v>
      </c>
      <c r="BD21" s="26">
        <f t="shared" si="27"/>
        <v>0.6</v>
      </c>
      <c r="BE21" s="26">
        <f t="shared" si="27"/>
        <v>0</v>
      </c>
      <c r="BF21" s="26">
        <f t="shared" si="27"/>
        <v>0.6</v>
      </c>
      <c r="BG21" s="26">
        <f t="shared" si="27"/>
        <v>0</v>
      </c>
      <c r="BH21" s="26">
        <f t="shared" si="27"/>
        <v>0</v>
      </c>
      <c r="BI21" s="26">
        <f t="shared" si="27"/>
        <v>0</v>
      </c>
      <c r="BJ21" s="26">
        <f t="shared" si="27"/>
        <v>0</v>
      </c>
      <c r="BK21" s="26">
        <f t="shared" si="27"/>
        <v>0</v>
      </c>
      <c r="BL21" s="26">
        <f t="shared" si="27"/>
        <v>0</v>
      </c>
      <c r="BM21" s="26">
        <f t="shared" si="28"/>
        <v>0</v>
      </c>
      <c r="BN21" s="26">
        <f t="shared" si="28"/>
        <v>0</v>
      </c>
      <c r="BO21" s="26">
        <f t="shared" si="28"/>
        <v>0</v>
      </c>
      <c r="BP21" s="26">
        <f t="shared" si="28"/>
        <v>0</v>
      </c>
      <c r="BQ21" s="26">
        <f t="shared" si="28"/>
        <v>0</v>
      </c>
      <c r="BR21" s="26">
        <f t="shared" si="28"/>
        <v>0</v>
      </c>
      <c r="BS21" s="26">
        <f t="shared" si="28"/>
        <v>0</v>
      </c>
      <c r="BT21" s="26">
        <f t="shared" si="28"/>
        <v>0</v>
      </c>
      <c r="BU21" s="26">
        <f t="shared" si="28"/>
        <v>0</v>
      </c>
      <c r="BV21" s="26">
        <f t="shared" si="28"/>
        <v>0</v>
      </c>
      <c r="BW21" s="26">
        <f t="shared" si="28"/>
        <v>0</v>
      </c>
      <c r="BX21" s="26">
        <f t="shared" si="28"/>
        <v>0</v>
      </c>
      <c r="BY21" s="26">
        <f t="shared" si="29"/>
        <v>0.6</v>
      </c>
      <c r="BZ21" s="26">
        <f t="shared" si="29"/>
        <v>0.6</v>
      </c>
      <c r="CA21" s="26">
        <f t="shared" si="29"/>
        <v>0</v>
      </c>
      <c r="CB21" s="26">
        <f t="shared" si="29"/>
        <v>0.6</v>
      </c>
      <c r="CC21" s="26">
        <f t="shared" si="29"/>
        <v>0</v>
      </c>
      <c r="CD21" s="26">
        <f t="shared" si="29"/>
        <v>0</v>
      </c>
      <c r="CE21" s="26">
        <f t="shared" si="29"/>
        <v>0</v>
      </c>
      <c r="CF21" s="26">
        <f t="shared" si="29"/>
        <v>0</v>
      </c>
      <c r="CG21" s="26">
        <f t="shared" si="29"/>
        <v>0</v>
      </c>
      <c r="CH21" s="26">
        <f t="shared" si="29"/>
        <v>0</v>
      </c>
      <c r="CI21" s="26">
        <f t="shared" si="30"/>
        <v>0</v>
      </c>
      <c r="CJ21" s="26">
        <f t="shared" si="30"/>
        <v>0</v>
      </c>
      <c r="CK21" s="26">
        <f t="shared" si="30"/>
        <v>0</v>
      </c>
      <c r="CL21" s="26">
        <f t="shared" si="30"/>
        <v>0</v>
      </c>
      <c r="CM21" s="26">
        <f t="shared" si="30"/>
        <v>0</v>
      </c>
      <c r="CN21" s="26">
        <f t="shared" si="30"/>
        <v>0</v>
      </c>
      <c r="CO21" s="26">
        <f t="shared" si="30"/>
        <v>0</v>
      </c>
      <c r="CP21" s="26">
        <f t="shared" si="30"/>
        <v>0</v>
      </c>
      <c r="CQ21" s="26">
        <f t="shared" si="30"/>
        <v>0</v>
      </c>
      <c r="CR21" s="26">
        <f t="shared" si="30"/>
        <v>0</v>
      </c>
      <c r="CS21" s="26">
        <f t="shared" si="30"/>
        <v>0</v>
      </c>
      <c r="CT21" s="26">
        <f t="shared" si="30"/>
        <v>0</v>
      </c>
      <c r="CU21" s="26">
        <f t="shared" si="31"/>
        <v>0.6</v>
      </c>
      <c r="CV21" s="26">
        <f t="shared" si="31"/>
        <v>0.6</v>
      </c>
      <c r="CW21" s="26">
        <f t="shared" si="31"/>
        <v>0</v>
      </c>
      <c r="CX21" s="26">
        <f t="shared" si="31"/>
        <v>0.6</v>
      </c>
      <c r="CY21" s="26">
        <f t="shared" si="31"/>
        <v>0</v>
      </c>
      <c r="CZ21" s="26">
        <f t="shared" si="31"/>
        <v>0</v>
      </c>
      <c r="DA21" s="26">
        <f t="shared" si="31"/>
        <v>0.3</v>
      </c>
      <c r="DB21" s="26">
        <f t="shared" si="31"/>
        <v>0</v>
      </c>
      <c r="DC21" s="26">
        <f t="shared" si="31"/>
        <v>0</v>
      </c>
      <c r="DD21" s="26">
        <f t="shared" si="31"/>
        <v>0.6</v>
      </c>
      <c r="DE21" s="26">
        <f t="shared" si="32"/>
        <v>0</v>
      </c>
      <c r="DF21" s="26">
        <f t="shared" si="32"/>
        <v>0</v>
      </c>
      <c r="DG21" s="26">
        <f t="shared" si="32"/>
        <v>0</v>
      </c>
      <c r="DH21" s="26">
        <f t="shared" si="32"/>
        <v>0</v>
      </c>
      <c r="DI21" s="26">
        <f t="shared" si="32"/>
        <v>0</v>
      </c>
      <c r="DJ21" s="26">
        <f t="shared" si="32"/>
        <v>0</v>
      </c>
      <c r="DK21" s="26">
        <f t="shared" si="32"/>
        <v>0</v>
      </c>
      <c r="DL21" s="26">
        <f t="shared" si="32"/>
        <v>0</v>
      </c>
      <c r="DM21" s="26">
        <f t="shared" si="32"/>
        <v>0</v>
      </c>
      <c r="DN21" s="26">
        <f t="shared" si="32"/>
        <v>0</v>
      </c>
      <c r="DO21" s="26">
        <f t="shared" si="32"/>
        <v>0</v>
      </c>
      <c r="DP21" s="26">
        <f t="shared" si="32"/>
        <v>0</v>
      </c>
      <c r="DQ21" s="26">
        <f t="shared" si="33"/>
        <v>0.6</v>
      </c>
      <c r="DR21" s="26">
        <f t="shared" si="33"/>
        <v>0.6</v>
      </c>
      <c r="DS21" s="26">
        <f t="shared" si="33"/>
        <v>0</v>
      </c>
      <c r="DT21" s="26">
        <f t="shared" si="33"/>
        <v>0.6</v>
      </c>
      <c r="DU21" s="26">
        <f t="shared" si="33"/>
        <v>0</v>
      </c>
      <c r="DV21" s="26">
        <f t="shared" si="33"/>
        <v>0</v>
      </c>
      <c r="DW21" s="26">
        <f t="shared" si="33"/>
        <v>0.6</v>
      </c>
      <c r="DX21" s="26">
        <f t="shared" si="33"/>
        <v>0</v>
      </c>
      <c r="DY21" s="26">
        <f t="shared" si="33"/>
        <v>0</v>
      </c>
      <c r="DZ21" s="26">
        <f t="shared" si="33"/>
        <v>0.6</v>
      </c>
      <c r="EA21" s="26">
        <f t="shared" si="34"/>
        <v>0</v>
      </c>
      <c r="EB21" s="26">
        <f t="shared" si="34"/>
        <v>0</v>
      </c>
      <c r="EC21" s="26">
        <f t="shared" si="34"/>
        <v>0</v>
      </c>
      <c r="ED21" s="26">
        <f t="shared" si="34"/>
        <v>0</v>
      </c>
      <c r="EE21" s="26">
        <f t="shared" si="34"/>
        <v>0</v>
      </c>
      <c r="EF21" s="26">
        <f t="shared" si="34"/>
        <v>0</v>
      </c>
      <c r="EG21" s="26">
        <f t="shared" si="34"/>
        <v>0</v>
      </c>
      <c r="EH21" s="26">
        <f t="shared" si="34"/>
        <v>0</v>
      </c>
      <c r="EI21" s="26">
        <f t="shared" si="34"/>
        <v>0</v>
      </c>
      <c r="EJ21" s="26">
        <f t="shared" si="34"/>
        <v>0</v>
      </c>
      <c r="EK21" s="26">
        <f t="shared" si="34"/>
        <v>0</v>
      </c>
      <c r="EL21" s="26">
        <f t="shared" si="34"/>
        <v>0</v>
      </c>
      <c r="EM21" s="26">
        <f t="shared" si="18"/>
        <v>18286</v>
      </c>
      <c r="EN21" s="26">
        <f t="shared" si="19"/>
        <v>18286</v>
      </c>
      <c r="EO21" s="26">
        <f t="shared" si="20"/>
        <v>18286</v>
      </c>
      <c r="EP21" s="26">
        <f t="shared" si="21"/>
        <v>29189</v>
      </c>
      <c r="EQ21" s="26">
        <f t="shared" si="22"/>
        <v>33084</v>
      </c>
    </row>
    <row r="22" spans="2:147">
      <c r="B22" s="27">
        <v>3</v>
      </c>
      <c r="C22" s="27">
        <v>6</v>
      </c>
      <c r="D22" s="27">
        <v>500</v>
      </c>
      <c r="E22" s="27">
        <f t="shared" si="23"/>
        <v>9000</v>
      </c>
      <c r="F22" s="27">
        <f t="shared" si="11"/>
        <v>9000</v>
      </c>
      <c r="G22" s="27">
        <f>SUM(F$5:F22)</f>
        <v>85500</v>
      </c>
      <c r="H22" s="27">
        <f t="shared" si="24"/>
        <v>18</v>
      </c>
      <c r="I22" s="27" t="s">
        <v>161</v>
      </c>
      <c r="J22" s="27">
        <v>0.5</v>
      </c>
      <c r="K22" s="27">
        <f>INDEX(其他调用!$BO$5:$BO$61,MATCH(星阵点亮!I22,其他调用!$BM$5:$BM$61,0))*J22</f>
        <v>4537.1323079206268</v>
      </c>
      <c r="L22" s="28">
        <f t="shared" si="12"/>
        <v>4938</v>
      </c>
      <c r="N22" s="27" t="s">
        <v>147</v>
      </c>
      <c r="O22" s="27">
        <f t="shared" si="0"/>
        <v>0.1</v>
      </c>
      <c r="Q22" s="26">
        <v>18</v>
      </c>
      <c r="R22" s="26">
        <f>总纲!D22</f>
        <v>2.4822022531844965</v>
      </c>
      <c r="S22" s="26">
        <f>求节点(将星点产出!$W$6:$W$44,将星点产出!$AO$6:$AO$44,星阵点亮!$Q22)</f>
        <v>11971.8</v>
      </c>
      <c r="T22" s="26">
        <f t="shared" si="13"/>
        <v>6</v>
      </c>
      <c r="U22" s="26">
        <f>总纲!E22</f>
        <v>2.1515729130603214</v>
      </c>
      <c r="V22" s="26">
        <f>求节点(将星点产出!$W$51:$W$89,将星点产出!$AO$51:$AO$89,星阵点亮!$Q22)</f>
        <v>13138.176562033932</v>
      </c>
      <c r="W22" s="26">
        <f t="shared" si="14"/>
        <v>6</v>
      </c>
      <c r="X22" s="26">
        <f>总纲!F22</f>
        <v>1.7690655458445907</v>
      </c>
      <c r="Y22" s="26">
        <f>求节点(将星点产出!$W$96:$W$134,将星点产出!$AO$96:$AO$134,星阵点亮!$Q22)</f>
        <v>14346.443909475731</v>
      </c>
      <c r="Z22" s="26">
        <f t="shared" si="15"/>
        <v>7</v>
      </c>
      <c r="AA22" s="26">
        <f>总纲!G22</f>
        <v>1.3066312660763189</v>
      </c>
      <c r="AB22" s="26">
        <f>求节点(将星点产出!$W$141:$W$179,将星点产出!$AO$141:$AO$179,星阵点亮!$Q22)</f>
        <v>25570.580629601747</v>
      </c>
      <c r="AC22" s="26">
        <f t="shared" si="16"/>
        <v>9</v>
      </c>
      <c r="AD22" s="26">
        <f>总纲!H22</f>
        <v>0.72554771860582834</v>
      </c>
      <c r="AE22" s="26">
        <f>求节点(将星点产出!$W$186:$W$224,将星点产出!$AO$186:$AO$224,星阵点亮!$Q22)</f>
        <v>29291.857103005859</v>
      </c>
      <c r="AF22" s="26">
        <f t="shared" si="17"/>
        <v>10</v>
      </c>
      <c r="AG22" s="26">
        <f t="shared" si="25"/>
        <v>0.6</v>
      </c>
      <c r="AH22" s="26">
        <f t="shared" si="25"/>
        <v>0.6</v>
      </c>
      <c r="AI22" s="26">
        <f t="shared" si="25"/>
        <v>0</v>
      </c>
      <c r="AJ22" s="26">
        <f t="shared" si="25"/>
        <v>0.6</v>
      </c>
      <c r="AK22" s="26">
        <f t="shared" si="25"/>
        <v>0</v>
      </c>
      <c r="AL22" s="26">
        <f t="shared" si="25"/>
        <v>0</v>
      </c>
      <c r="AM22" s="26">
        <f t="shared" si="25"/>
        <v>0</v>
      </c>
      <c r="AN22" s="26">
        <f t="shared" si="25"/>
        <v>0</v>
      </c>
      <c r="AO22" s="26">
        <f t="shared" si="25"/>
        <v>0</v>
      </c>
      <c r="AP22" s="26">
        <f t="shared" si="25"/>
        <v>0</v>
      </c>
      <c r="AQ22" s="26">
        <f t="shared" si="26"/>
        <v>0</v>
      </c>
      <c r="AR22" s="26">
        <f t="shared" si="26"/>
        <v>0</v>
      </c>
      <c r="AS22" s="26">
        <f t="shared" si="26"/>
        <v>0</v>
      </c>
      <c r="AT22" s="26">
        <f t="shared" si="26"/>
        <v>0</v>
      </c>
      <c r="AU22" s="26">
        <f t="shared" si="26"/>
        <v>0</v>
      </c>
      <c r="AV22" s="26">
        <f t="shared" si="26"/>
        <v>0</v>
      </c>
      <c r="AW22" s="26">
        <f t="shared" si="26"/>
        <v>0</v>
      </c>
      <c r="AX22" s="26">
        <f t="shared" si="26"/>
        <v>0</v>
      </c>
      <c r="AY22" s="26">
        <f t="shared" si="26"/>
        <v>0</v>
      </c>
      <c r="AZ22" s="26">
        <f t="shared" si="26"/>
        <v>0</v>
      </c>
      <c r="BA22" s="26">
        <f t="shared" si="26"/>
        <v>0</v>
      </c>
      <c r="BB22" s="26">
        <f t="shared" si="26"/>
        <v>0</v>
      </c>
      <c r="BC22" s="26">
        <f t="shared" si="27"/>
        <v>0.6</v>
      </c>
      <c r="BD22" s="26">
        <f t="shared" si="27"/>
        <v>0.6</v>
      </c>
      <c r="BE22" s="26">
        <f t="shared" si="27"/>
        <v>0</v>
      </c>
      <c r="BF22" s="26">
        <f t="shared" si="27"/>
        <v>0.6</v>
      </c>
      <c r="BG22" s="26">
        <f t="shared" si="27"/>
        <v>0</v>
      </c>
      <c r="BH22" s="26">
        <f t="shared" si="27"/>
        <v>0</v>
      </c>
      <c r="BI22" s="26">
        <f t="shared" si="27"/>
        <v>0</v>
      </c>
      <c r="BJ22" s="26">
        <f t="shared" si="27"/>
        <v>0</v>
      </c>
      <c r="BK22" s="26">
        <f t="shared" si="27"/>
        <v>0</v>
      </c>
      <c r="BL22" s="26">
        <f t="shared" si="27"/>
        <v>0</v>
      </c>
      <c r="BM22" s="26">
        <f t="shared" si="28"/>
        <v>0</v>
      </c>
      <c r="BN22" s="26">
        <f t="shared" si="28"/>
        <v>0</v>
      </c>
      <c r="BO22" s="26">
        <f t="shared" si="28"/>
        <v>0</v>
      </c>
      <c r="BP22" s="26">
        <f t="shared" si="28"/>
        <v>0</v>
      </c>
      <c r="BQ22" s="26">
        <f t="shared" si="28"/>
        <v>0</v>
      </c>
      <c r="BR22" s="26">
        <f t="shared" si="28"/>
        <v>0</v>
      </c>
      <c r="BS22" s="26">
        <f t="shared" si="28"/>
        <v>0</v>
      </c>
      <c r="BT22" s="26">
        <f t="shared" si="28"/>
        <v>0</v>
      </c>
      <c r="BU22" s="26">
        <f t="shared" si="28"/>
        <v>0</v>
      </c>
      <c r="BV22" s="26">
        <f t="shared" si="28"/>
        <v>0</v>
      </c>
      <c r="BW22" s="26">
        <f t="shared" si="28"/>
        <v>0</v>
      </c>
      <c r="BX22" s="26">
        <f t="shared" si="28"/>
        <v>0</v>
      </c>
      <c r="BY22" s="26">
        <f t="shared" si="29"/>
        <v>0.6</v>
      </c>
      <c r="BZ22" s="26">
        <f t="shared" si="29"/>
        <v>0.6</v>
      </c>
      <c r="CA22" s="26">
        <f t="shared" si="29"/>
        <v>0</v>
      </c>
      <c r="CB22" s="26">
        <f t="shared" si="29"/>
        <v>0.6</v>
      </c>
      <c r="CC22" s="26">
        <f t="shared" si="29"/>
        <v>0</v>
      </c>
      <c r="CD22" s="26">
        <f t="shared" si="29"/>
        <v>0</v>
      </c>
      <c r="CE22" s="26">
        <f t="shared" si="29"/>
        <v>0</v>
      </c>
      <c r="CF22" s="26">
        <f t="shared" si="29"/>
        <v>0</v>
      </c>
      <c r="CG22" s="26">
        <f t="shared" si="29"/>
        <v>0</v>
      </c>
      <c r="CH22" s="26">
        <f t="shared" si="29"/>
        <v>0.3</v>
      </c>
      <c r="CI22" s="26">
        <f t="shared" si="30"/>
        <v>0</v>
      </c>
      <c r="CJ22" s="26">
        <f t="shared" si="30"/>
        <v>0</v>
      </c>
      <c r="CK22" s="26">
        <f t="shared" si="30"/>
        <v>0</v>
      </c>
      <c r="CL22" s="26">
        <f t="shared" si="30"/>
        <v>0</v>
      </c>
      <c r="CM22" s="26">
        <f t="shared" si="30"/>
        <v>0</v>
      </c>
      <c r="CN22" s="26">
        <f t="shared" si="30"/>
        <v>0</v>
      </c>
      <c r="CO22" s="26">
        <f t="shared" si="30"/>
        <v>0</v>
      </c>
      <c r="CP22" s="26">
        <f t="shared" si="30"/>
        <v>0</v>
      </c>
      <c r="CQ22" s="26">
        <f t="shared" si="30"/>
        <v>0</v>
      </c>
      <c r="CR22" s="26">
        <f t="shared" si="30"/>
        <v>0</v>
      </c>
      <c r="CS22" s="26">
        <f t="shared" si="30"/>
        <v>0</v>
      </c>
      <c r="CT22" s="26">
        <f t="shared" si="30"/>
        <v>0</v>
      </c>
      <c r="CU22" s="26">
        <f t="shared" si="31"/>
        <v>0.6</v>
      </c>
      <c r="CV22" s="26">
        <f t="shared" si="31"/>
        <v>0.6</v>
      </c>
      <c r="CW22" s="26">
        <f t="shared" si="31"/>
        <v>0</v>
      </c>
      <c r="CX22" s="26">
        <f t="shared" si="31"/>
        <v>0.6</v>
      </c>
      <c r="CY22" s="26">
        <f t="shared" si="31"/>
        <v>0</v>
      </c>
      <c r="CZ22" s="26">
        <f t="shared" si="31"/>
        <v>0</v>
      </c>
      <c r="DA22" s="26">
        <f t="shared" si="31"/>
        <v>0.3</v>
      </c>
      <c r="DB22" s="26">
        <f t="shared" si="31"/>
        <v>0</v>
      </c>
      <c r="DC22" s="26">
        <f t="shared" si="31"/>
        <v>0</v>
      </c>
      <c r="DD22" s="26">
        <f t="shared" si="31"/>
        <v>0.6</v>
      </c>
      <c r="DE22" s="26">
        <f t="shared" si="32"/>
        <v>0</v>
      </c>
      <c r="DF22" s="26">
        <f t="shared" si="32"/>
        <v>0</v>
      </c>
      <c r="DG22" s="26">
        <f t="shared" si="32"/>
        <v>0</v>
      </c>
      <c r="DH22" s="26">
        <f t="shared" si="32"/>
        <v>0</v>
      </c>
      <c r="DI22" s="26">
        <f t="shared" si="32"/>
        <v>0</v>
      </c>
      <c r="DJ22" s="26">
        <f t="shared" si="32"/>
        <v>0</v>
      </c>
      <c r="DK22" s="26">
        <f t="shared" si="32"/>
        <v>0</v>
      </c>
      <c r="DL22" s="26">
        <f t="shared" si="32"/>
        <v>0</v>
      </c>
      <c r="DM22" s="26">
        <f t="shared" si="32"/>
        <v>0</v>
      </c>
      <c r="DN22" s="26">
        <f t="shared" si="32"/>
        <v>0</v>
      </c>
      <c r="DO22" s="26">
        <f t="shared" si="32"/>
        <v>0</v>
      </c>
      <c r="DP22" s="26">
        <f t="shared" si="32"/>
        <v>0</v>
      </c>
      <c r="DQ22" s="26">
        <f t="shared" si="33"/>
        <v>0.6</v>
      </c>
      <c r="DR22" s="26">
        <f t="shared" si="33"/>
        <v>0.6</v>
      </c>
      <c r="DS22" s="26">
        <f t="shared" si="33"/>
        <v>0</v>
      </c>
      <c r="DT22" s="26">
        <f t="shared" si="33"/>
        <v>0.6</v>
      </c>
      <c r="DU22" s="26">
        <f t="shared" si="33"/>
        <v>0</v>
      </c>
      <c r="DV22" s="26">
        <f t="shared" si="33"/>
        <v>0</v>
      </c>
      <c r="DW22" s="26">
        <f t="shared" si="33"/>
        <v>0.6</v>
      </c>
      <c r="DX22" s="26">
        <f t="shared" si="33"/>
        <v>0</v>
      </c>
      <c r="DY22" s="26">
        <f t="shared" si="33"/>
        <v>0</v>
      </c>
      <c r="DZ22" s="26">
        <f t="shared" si="33"/>
        <v>0.6</v>
      </c>
      <c r="EA22" s="26">
        <f t="shared" si="34"/>
        <v>0</v>
      </c>
      <c r="EB22" s="26">
        <f t="shared" si="34"/>
        <v>0</v>
      </c>
      <c r="EC22" s="26">
        <f t="shared" si="34"/>
        <v>0</v>
      </c>
      <c r="ED22" s="26">
        <f t="shared" si="34"/>
        <v>0</v>
      </c>
      <c r="EE22" s="26">
        <f t="shared" si="34"/>
        <v>0</v>
      </c>
      <c r="EF22" s="26">
        <f t="shared" si="34"/>
        <v>0</v>
      </c>
      <c r="EG22" s="26">
        <f t="shared" si="34"/>
        <v>0</v>
      </c>
      <c r="EH22" s="26">
        <f t="shared" si="34"/>
        <v>0</v>
      </c>
      <c r="EI22" s="26">
        <f t="shared" si="34"/>
        <v>0</v>
      </c>
      <c r="EJ22" s="26">
        <f t="shared" si="34"/>
        <v>0</v>
      </c>
      <c r="EK22" s="26">
        <f t="shared" si="34"/>
        <v>0</v>
      </c>
      <c r="EL22" s="26">
        <f t="shared" si="34"/>
        <v>0</v>
      </c>
      <c r="EM22" s="26">
        <f t="shared" si="18"/>
        <v>18286</v>
      </c>
      <c r="EN22" s="26">
        <f t="shared" si="19"/>
        <v>18286</v>
      </c>
      <c r="EO22" s="26">
        <f t="shared" si="20"/>
        <v>21790</v>
      </c>
      <c r="EP22" s="26">
        <f t="shared" si="21"/>
        <v>29189</v>
      </c>
      <c r="EQ22" s="26">
        <f t="shared" si="22"/>
        <v>33084</v>
      </c>
    </row>
    <row r="23" spans="2:147">
      <c r="B23" s="27">
        <v>4</v>
      </c>
      <c r="C23" s="27">
        <v>1</v>
      </c>
      <c r="D23" s="27">
        <v>500</v>
      </c>
      <c r="E23" s="27">
        <f t="shared" si="23"/>
        <v>9500</v>
      </c>
      <c r="F23" s="27">
        <f t="shared" si="11"/>
        <v>9500</v>
      </c>
      <c r="G23" s="27">
        <f>SUM(F$5:F23)</f>
        <v>95000</v>
      </c>
      <c r="H23" s="27">
        <f t="shared" si="24"/>
        <v>19</v>
      </c>
      <c r="I23" s="27" t="s">
        <v>171</v>
      </c>
      <c r="J23" s="27">
        <v>0.3</v>
      </c>
      <c r="K23" s="27">
        <f>INDEX(其他调用!$BO$5:$BO$61,MATCH(星阵点亮!I23,其他调用!$BM$5:$BM$61,0))*J23</f>
        <v>5072.2591360215765</v>
      </c>
      <c r="L23" s="28">
        <f t="shared" si="12"/>
        <v>5068</v>
      </c>
      <c r="N23" s="27" t="s">
        <v>148</v>
      </c>
      <c r="O23" s="27">
        <f t="shared" si="0"/>
        <v>0.1</v>
      </c>
      <c r="Q23" s="26">
        <v>19</v>
      </c>
      <c r="R23" s="26">
        <f>总纲!D23</f>
        <v>2.7321319661472296</v>
      </c>
      <c r="S23" s="26">
        <f>求节点(将星点产出!$W$6:$W$44,将星点产出!$AO$6:$AO$44,星阵点亮!$Q23)</f>
        <v>12669.400000000001</v>
      </c>
      <c r="T23" s="26">
        <f t="shared" si="13"/>
        <v>6</v>
      </c>
      <c r="U23" s="26">
        <f>总纲!E23</f>
        <v>2.3734030389920986</v>
      </c>
      <c r="V23" s="26">
        <f>求节点(将星点产出!$W$51:$W$89,将星点产出!$AO$51:$AO$89,星阵点亮!$Q23)</f>
        <v>13798.584293034499</v>
      </c>
      <c r="W23" s="26">
        <f t="shared" si="14"/>
        <v>6</v>
      </c>
      <c r="X23" s="26">
        <f>总纲!F23</f>
        <v>1.9510154370257367</v>
      </c>
      <c r="Y23" s="26">
        <f>求节点(将星点产出!$W$96:$W$134,将星点产出!$AO$96:$AO$134,星阵点亮!$Q23)</f>
        <v>14874.472467583331</v>
      </c>
      <c r="Z23" s="26">
        <f t="shared" si="15"/>
        <v>7</v>
      </c>
      <c r="AA23" s="26">
        <f>总纲!G23</f>
        <v>1.4395603329629754</v>
      </c>
      <c r="AB23" s="26">
        <f>求节点(将星点产出!$W$141:$W$179,将星点产出!$AO$141:$AO$179,星阵点亮!$Q23)</f>
        <v>26829.567480207756</v>
      </c>
      <c r="AC23" s="26">
        <f t="shared" si="16"/>
        <v>9</v>
      </c>
      <c r="AD23" s="26">
        <f>总纲!H23</f>
        <v>0.80270037165405606</v>
      </c>
      <c r="AE23" s="26">
        <f>求节点(将星点产出!$W$186:$W$224,将星点产出!$AO$186:$AO$224,星阵点亮!$Q23)</f>
        <v>30988.044841188552</v>
      </c>
      <c r="AF23" s="26">
        <f t="shared" si="17"/>
        <v>10</v>
      </c>
      <c r="AG23" s="26">
        <f t="shared" si="25"/>
        <v>0.6</v>
      </c>
      <c r="AH23" s="26">
        <f t="shared" si="25"/>
        <v>0.6</v>
      </c>
      <c r="AI23" s="26">
        <f t="shared" si="25"/>
        <v>0</v>
      </c>
      <c r="AJ23" s="26">
        <f t="shared" si="25"/>
        <v>0.6</v>
      </c>
      <c r="AK23" s="26">
        <f t="shared" si="25"/>
        <v>0</v>
      </c>
      <c r="AL23" s="26">
        <f t="shared" si="25"/>
        <v>0</v>
      </c>
      <c r="AM23" s="26">
        <f t="shared" si="25"/>
        <v>0</v>
      </c>
      <c r="AN23" s="26">
        <f t="shared" si="25"/>
        <v>0</v>
      </c>
      <c r="AO23" s="26">
        <f t="shared" si="25"/>
        <v>0</v>
      </c>
      <c r="AP23" s="26">
        <f t="shared" si="25"/>
        <v>0</v>
      </c>
      <c r="AQ23" s="26">
        <f t="shared" si="26"/>
        <v>0</v>
      </c>
      <c r="AR23" s="26">
        <f t="shared" si="26"/>
        <v>0</v>
      </c>
      <c r="AS23" s="26">
        <f t="shared" si="26"/>
        <v>0</v>
      </c>
      <c r="AT23" s="26">
        <f t="shared" si="26"/>
        <v>0</v>
      </c>
      <c r="AU23" s="26">
        <f t="shared" si="26"/>
        <v>0</v>
      </c>
      <c r="AV23" s="26">
        <f t="shared" si="26"/>
        <v>0</v>
      </c>
      <c r="AW23" s="26">
        <f t="shared" si="26"/>
        <v>0</v>
      </c>
      <c r="AX23" s="26">
        <f t="shared" si="26"/>
        <v>0</v>
      </c>
      <c r="AY23" s="26">
        <f t="shared" si="26"/>
        <v>0</v>
      </c>
      <c r="AZ23" s="26">
        <f t="shared" si="26"/>
        <v>0</v>
      </c>
      <c r="BA23" s="26">
        <f t="shared" si="26"/>
        <v>0</v>
      </c>
      <c r="BB23" s="26">
        <f t="shared" si="26"/>
        <v>0</v>
      </c>
      <c r="BC23" s="26">
        <f t="shared" si="27"/>
        <v>0.6</v>
      </c>
      <c r="BD23" s="26">
        <f t="shared" si="27"/>
        <v>0.6</v>
      </c>
      <c r="BE23" s="26">
        <f t="shared" si="27"/>
        <v>0</v>
      </c>
      <c r="BF23" s="26">
        <f t="shared" si="27"/>
        <v>0.6</v>
      </c>
      <c r="BG23" s="26">
        <f t="shared" si="27"/>
        <v>0</v>
      </c>
      <c r="BH23" s="26">
        <f t="shared" si="27"/>
        <v>0</v>
      </c>
      <c r="BI23" s="26">
        <f t="shared" si="27"/>
        <v>0</v>
      </c>
      <c r="BJ23" s="26">
        <f t="shared" si="27"/>
        <v>0</v>
      </c>
      <c r="BK23" s="26">
        <f t="shared" si="27"/>
        <v>0</v>
      </c>
      <c r="BL23" s="26">
        <f t="shared" si="27"/>
        <v>0</v>
      </c>
      <c r="BM23" s="26">
        <f t="shared" si="28"/>
        <v>0</v>
      </c>
      <c r="BN23" s="26">
        <f t="shared" si="28"/>
        <v>0</v>
      </c>
      <c r="BO23" s="26">
        <f t="shared" si="28"/>
        <v>0</v>
      </c>
      <c r="BP23" s="26">
        <f t="shared" si="28"/>
        <v>0</v>
      </c>
      <c r="BQ23" s="26">
        <f t="shared" si="28"/>
        <v>0</v>
      </c>
      <c r="BR23" s="26">
        <f t="shared" si="28"/>
        <v>0</v>
      </c>
      <c r="BS23" s="26">
        <f t="shared" si="28"/>
        <v>0</v>
      </c>
      <c r="BT23" s="26">
        <f t="shared" si="28"/>
        <v>0</v>
      </c>
      <c r="BU23" s="26">
        <f t="shared" si="28"/>
        <v>0</v>
      </c>
      <c r="BV23" s="26">
        <f t="shared" si="28"/>
        <v>0</v>
      </c>
      <c r="BW23" s="26">
        <f t="shared" si="28"/>
        <v>0</v>
      </c>
      <c r="BX23" s="26">
        <f t="shared" si="28"/>
        <v>0</v>
      </c>
      <c r="BY23" s="26">
        <f t="shared" si="29"/>
        <v>0.6</v>
      </c>
      <c r="BZ23" s="26">
        <f t="shared" si="29"/>
        <v>0.6</v>
      </c>
      <c r="CA23" s="26">
        <f t="shared" si="29"/>
        <v>0</v>
      </c>
      <c r="CB23" s="26">
        <f t="shared" si="29"/>
        <v>0.6</v>
      </c>
      <c r="CC23" s="26">
        <f t="shared" si="29"/>
        <v>0</v>
      </c>
      <c r="CD23" s="26">
        <f t="shared" si="29"/>
        <v>0</v>
      </c>
      <c r="CE23" s="26">
        <f t="shared" si="29"/>
        <v>0</v>
      </c>
      <c r="CF23" s="26">
        <f t="shared" si="29"/>
        <v>0</v>
      </c>
      <c r="CG23" s="26">
        <f t="shared" si="29"/>
        <v>0</v>
      </c>
      <c r="CH23" s="26">
        <f t="shared" si="29"/>
        <v>0.3</v>
      </c>
      <c r="CI23" s="26">
        <f t="shared" si="30"/>
        <v>0</v>
      </c>
      <c r="CJ23" s="26">
        <f t="shared" si="30"/>
        <v>0</v>
      </c>
      <c r="CK23" s="26">
        <f t="shared" si="30"/>
        <v>0</v>
      </c>
      <c r="CL23" s="26">
        <f t="shared" si="30"/>
        <v>0</v>
      </c>
      <c r="CM23" s="26">
        <f t="shared" si="30"/>
        <v>0</v>
      </c>
      <c r="CN23" s="26">
        <f t="shared" si="30"/>
        <v>0</v>
      </c>
      <c r="CO23" s="26">
        <f t="shared" si="30"/>
        <v>0</v>
      </c>
      <c r="CP23" s="26">
        <f t="shared" si="30"/>
        <v>0</v>
      </c>
      <c r="CQ23" s="26">
        <f t="shared" si="30"/>
        <v>0</v>
      </c>
      <c r="CR23" s="26">
        <f t="shared" si="30"/>
        <v>0</v>
      </c>
      <c r="CS23" s="26">
        <f t="shared" si="30"/>
        <v>0</v>
      </c>
      <c r="CT23" s="26">
        <f t="shared" si="30"/>
        <v>0</v>
      </c>
      <c r="CU23" s="26">
        <f t="shared" si="31"/>
        <v>0.6</v>
      </c>
      <c r="CV23" s="26">
        <f t="shared" si="31"/>
        <v>0.6</v>
      </c>
      <c r="CW23" s="26">
        <f t="shared" si="31"/>
        <v>0</v>
      </c>
      <c r="CX23" s="26">
        <f t="shared" si="31"/>
        <v>0.6</v>
      </c>
      <c r="CY23" s="26">
        <f t="shared" si="31"/>
        <v>0</v>
      </c>
      <c r="CZ23" s="26">
        <f t="shared" si="31"/>
        <v>0</v>
      </c>
      <c r="DA23" s="26">
        <f t="shared" si="31"/>
        <v>0.3</v>
      </c>
      <c r="DB23" s="26">
        <f t="shared" si="31"/>
        <v>0</v>
      </c>
      <c r="DC23" s="26">
        <f t="shared" si="31"/>
        <v>0</v>
      </c>
      <c r="DD23" s="26">
        <f t="shared" si="31"/>
        <v>0.6</v>
      </c>
      <c r="DE23" s="26">
        <f t="shared" si="32"/>
        <v>0</v>
      </c>
      <c r="DF23" s="26">
        <f t="shared" si="32"/>
        <v>0</v>
      </c>
      <c r="DG23" s="26">
        <f t="shared" si="32"/>
        <v>0</v>
      </c>
      <c r="DH23" s="26">
        <f t="shared" si="32"/>
        <v>0</v>
      </c>
      <c r="DI23" s="26">
        <f t="shared" si="32"/>
        <v>0</v>
      </c>
      <c r="DJ23" s="26">
        <f t="shared" si="32"/>
        <v>0</v>
      </c>
      <c r="DK23" s="26">
        <f t="shared" si="32"/>
        <v>0</v>
      </c>
      <c r="DL23" s="26">
        <f t="shared" si="32"/>
        <v>0</v>
      </c>
      <c r="DM23" s="26">
        <f t="shared" si="32"/>
        <v>0</v>
      </c>
      <c r="DN23" s="26">
        <f t="shared" si="32"/>
        <v>0</v>
      </c>
      <c r="DO23" s="26">
        <f t="shared" si="32"/>
        <v>0</v>
      </c>
      <c r="DP23" s="26">
        <f t="shared" si="32"/>
        <v>0</v>
      </c>
      <c r="DQ23" s="26">
        <f t="shared" si="33"/>
        <v>0.6</v>
      </c>
      <c r="DR23" s="26">
        <f t="shared" si="33"/>
        <v>0.6</v>
      </c>
      <c r="DS23" s="26">
        <f t="shared" si="33"/>
        <v>0</v>
      </c>
      <c r="DT23" s="26">
        <f t="shared" si="33"/>
        <v>0.6</v>
      </c>
      <c r="DU23" s="26">
        <f t="shared" si="33"/>
        <v>0</v>
      </c>
      <c r="DV23" s="26">
        <f t="shared" si="33"/>
        <v>0</v>
      </c>
      <c r="DW23" s="26">
        <f t="shared" si="33"/>
        <v>0.6</v>
      </c>
      <c r="DX23" s="26">
        <f t="shared" si="33"/>
        <v>0</v>
      </c>
      <c r="DY23" s="26">
        <f t="shared" si="33"/>
        <v>0</v>
      </c>
      <c r="DZ23" s="26">
        <f t="shared" si="33"/>
        <v>0.6</v>
      </c>
      <c r="EA23" s="26">
        <f t="shared" si="34"/>
        <v>0</v>
      </c>
      <c r="EB23" s="26">
        <f t="shared" si="34"/>
        <v>0</v>
      </c>
      <c r="EC23" s="26">
        <f t="shared" si="34"/>
        <v>0</v>
      </c>
      <c r="ED23" s="26">
        <f t="shared" si="34"/>
        <v>0</v>
      </c>
      <c r="EE23" s="26">
        <f t="shared" si="34"/>
        <v>0</v>
      </c>
      <c r="EF23" s="26">
        <f t="shared" si="34"/>
        <v>0</v>
      </c>
      <c r="EG23" s="26">
        <f t="shared" si="34"/>
        <v>0</v>
      </c>
      <c r="EH23" s="26">
        <f t="shared" si="34"/>
        <v>0</v>
      </c>
      <c r="EI23" s="26">
        <f t="shared" si="34"/>
        <v>0</v>
      </c>
      <c r="EJ23" s="26">
        <f t="shared" si="34"/>
        <v>0</v>
      </c>
      <c r="EK23" s="26">
        <f t="shared" si="34"/>
        <v>0</v>
      </c>
      <c r="EL23" s="26">
        <f t="shared" si="34"/>
        <v>0</v>
      </c>
      <c r="EM23" s="26">
        <f t="shared" si="18"/>
        <v>18286</v>
      </c>
      <c r="EN23" s="26">
        <f t="shared" si="19"/>
        <v>18286</v>
      </c>
      <c r="EO23" s="26">
        <f t="shared" si="20"/>
        <v>21790</v>
      </c>
      <c r="EP23" s="26">
        <f t="shared" si="21"/>
        <v>29189</v>
      </c>
      <c r="EQ23" s="26">
        <f t="shared" si="22"/>
        <v>33084</v>
      </c>
    </row>
    <row r="24" spans="2:147">
      <c r="B24" s="27">
        <v>4</v>
      </c>
      <c r="C24" s="27">
        <v>2</v>
      </c>
      <c r="D24" s="27">
        <v>500</v>
      </c>
      <c r="E24" s="27">
        <f t="shared" si="23"/>
        <v>10000</v>
      </c>
      <c r="F24" s="27">
        <f t="shared" si="11"/>
        <v>10000</v>
      </c>
      <c r="G24" s="27">
        <f>SUM(F$5:F24)</f>
        <v>105000</v>
      </c>
      <c r="H24" s="27">
        <f t="shared" si="24"/>
        <v>20</v>
      </c>
      <c r="I24" s="27" t="s">
        <v>173</v>
      </c>
      <c r="J24" s="27">
        <v>0.3</v>
      </c>
      <c r="K24" s="27">
        <f>INDEX(其他调用!$BO$5:$BO$61,MATCH(星阵点亮!I24,其他调用!$BM$5:$BM$61,0))*J24</f>
        <v>5072.2591360215765</v>
      </c>
      <c r="L24" s="28">
        <f t="shared" si="12"/>
        <v>5198</v>
      </c>
      <c r="N24" s="27" t="s">
        <v>149</v>
      </c>
      <c r="O24" s="27">
        <f t="shared" si="0"/>
        <v>0.1</v>
      </c>
      <c r="Q24" s="26">
        <v>20</v>
      </c>
      <c r="R24" s="26">
        <f>总纲!D24</f>
        <v>3</v>
      </c>
      <c r="S24" s="26">
        <f>求节点(将星点产出!$W$6:$W$44,将星点产出!$AO$6:$AO$44,星阵点亮!$Q24)</f>
        <v>13367</v>
      </c>
      <c r="T24" s="26">
        <f t="shared" si="13"/>
        <v>6</v>
      </c>
      <c r="U24" s="26">
        <f>总纲!E24</f>
        <v>2.6036999999999999</v>
      </c>
      <c r="V24" s="26">
        <f>求节点(将星点产出!$W$51:$W$89,将星点产出!$AO$51:$AO$89,星阵点亮!$Q24)</f>
        <v>14363.218266345426</v>
      </c>
      <c r="W24" s="26">
        <f t="shared" si="14"/>
        <v>7</v>
      </c>
      <c r="X24" s="26">
        <f>总纲!F24</f>
        <v>2.1372</v>
      </c>
      <c r="Y24" s="26">
        <f>求节点(将星点产出!$W$96:$W$134,将星点产出!$AO$96:$AO$134,星阵点亮!$Q24)</f>
        <v>15469.14892841491</v>
      </c>
      <c r="Z24" s="26">
        <f t="shared" si="15"/>
        <v>7</v>
      </c>
      <c r="AA24" s="26">
        <f>总纲!G24</f>
        <v>1.5800999999999998</v>
      </c>
      <c r="AB24" s="26">
        <f>求节点(将星点产出!$W$141:$W$179,将星点产出!$AO$141:$AO$179,星阵点亮!$Q24)</f>
        <v>28724.002586691415</v>
      </c>
      <c r="AC24" s="26">
        <f t="shared" si="16"/>
        <v>10</v>
      </c>
      <c r="AD24" s="26">
        <f>总纲!H24</f>
        <v>0.87990000000000002</v>
      </c>
      <c r="AE24" s="26">
        <f>求节点(将星点产出!$W$186:$W$224,将星点产出!$AO$186:$AO$224,星阵点亮!$Q24)</f>
        <v>33063.632408649952</v>
      </c>
      <c r="AF24" s="26">
        <f t="shared" si="17"/>
        <v>11</v>
      </c>
      <c r="AG24" s="26">
        <f t="shared" si="25"/>
        <v>0.6</v>
      </c>
      <c r="AH24" s="26">
        <f t="shared" si="25"/>
        <v>0.6</v>
      </c>
      <c r="AI24" s="26">
        <f t="shared" si="25"/>
        <v>0</v>
      </c>
      <c r="AJ24" s="26">
        <f t="shared" si="25"/>
        <v>0.6</v>
      </c>
      <c r="AK24" s="26">
        <f t="shared" si="25"/>
        <v>0</v>
      </c>
      <c r="AL24" s="26">
        <f t="shared" si="25"/>
        <v>0</v>
      </c>
      <c r="AM24" s="26">
        <f t="shared" si="25"/>
        <v>0</v>
      </c>
      <c r="AN24" s="26">
        <f t="shared" si="25"/>
        <v>0</v>
      </c>
      <c r="AO24" s="26">
        <f t="shared" si="25"/>
        <v>0</v>
      </c>
      <c r="AP24" s="26">
        <f t="shared" si="25"/>
        <v>0</v>
      </c>
      <c r="AQ24" s="26">
        <f t="shared" si="26"/>
        <v>0</v>
      </c>
      <c r="AR24" s="26">
        <f t="shared" si="26"/>
        <v>0</v>
      </c>
      <c r="AS24" s="26">
        <f t="shared" si="26"/>
        <v>0</v>
      </c>
      <c r="AT24" s="26">
        <f t="shared" si="26"/>
        <v>0</v>
      </c>
      <c r="AU24" s="26">
        <f t="shared" si="26"/>
        <v>0</v>
      </c>
      <c r="AV24" s="26">
        <f t="shared" si="26"/>
        <v>0</v>
      </c>
      <c r="AW24" s="26">
        <f t="shared" si="26"/>
        <v>0</v>
      </c>
      <c r="AX24" s="26">
        <f t="shared" si="26"/>
        <v>0</v>
      </c>
      <c r="AY24" s="26">
        <f t="shared" si="26"/>
        <v>0</v>
      </c>
      <c r="AZ24" s="26">
        <f t="shared" si="26"/>
        <v>0</v>
      </c>
      <c r="BA24" s="26">
        <f t="shared" si="26"/>
        <v>0</v>
      </c>
      <c r="BB24" s="26">
        <f t="shared" si="26"/>
        <v>0</v>
      </c>
      <c r="BC24" s="26">
        <f t="shared" si="27"/>
        <v>0.6</v>
      </c>
      <c r="BD24" s="26">
        <f t="shared" si="27"/>
        <v>0.6</v>
      </c>
      <c r="BE24" s="26">
        <f t="shared" si="27"/>
        <v>0</v>
      </c>
      <c r="BF24" s="26">
        <f t="shared" si="27"/>
        <v>0.6</v>
      </c>
      <c r="BG24" s="26">
        <f t="shared" si="27"/>
        <v>0</v>
      </c>
      <c r="BH24" s="26">
        <f t="shared" si="27"/>
        <v>0</v>
      </c>
      <c r="BI24" s="26">
        <f t="shared" si="27"/>
        <v>0</v>
      </c>
      <c r="BJ24" s="26">
        <f t="shared" si="27"/>
        <v>0</v>
      </c>
      <c r="BK24" s="26">
        <f t="shared" si="27"/>
        <v>0</v>
      </c>
      <c r="BL24" s="26">
        <f t="shared" si="27"/>
        <v>0.3</v>
      </c>
      <c r="BM24" s="26">
        <f t="shared" si="28"/>
        <v>0</v>
      </c>
      <c r="BN24" s="26">
        <f t="shared" si="28"/>
        <v>0</v>
      </c>
      <c r="BO24" s="26">
        <f t="shared" si="28"/>
        <v>0</v>
      </c>
      <c r="BP24" s="26">
        <f t="shared" si="28"/>
        <v>0</v>
      </c>
      <c r="BQ24" s="26">
        <f t="shared" si="28"/>
        <v>0</v>
      </c>
      <c r="BR24" s="26">
        <f t="shared" si="28"/>
        <v>0</v>
      </c>
      <c r="BS24" s="26">
        <f t="shared" si="28"/>
        <v>0</v>
      </c>
      <c r="BT24" s="26">
        <f t="shared" si="28"/>
        <v>0</v>
      </c>
      <c r="BU24" s="26">
        <f t="shared" si="28"/>
        <v>0</v>
      </c>
      <c r="BV24" s="26">
        <f t="shared" si="28"/>
        <v>0</v>
      </c>
      <c r="BW24" s="26">
        <f t="shared" si="28"/>
        <v>0</v>
      </c>
      <c r="BX24" s="26">
        <f t="shared" si="28"/>
        <v>0</v>
      </c>
      <c r="BY24" s="26">
        <f t="shared" si="29"/>
        <v>0.6</v>
      </c>
      <c r="BZ24" s="26">
        <f t="shared" si="29"/>
        <v>0.6</v>
      </c>
      <c r="CA24" s="26">
        <f t="shared" si="29"/>
        <v>0</v>
      </c>
      <c r="CB24" s="26">
        <f t="shared" si="29"/>
        <v>0.6</v>
      </c>
      <c r="CC24" s="26">
        <f t="shared" si="29"/>
        <v>0</v>
      </c>
      <c r="CD24" s="26">
        <f t="shared" si="29"/>
        <v>0</v>
      </c>
      <c r="CE24" s="26">
        <f t="shared" si="29"/>
        <v>0</v>
      </c>
      <c r="CF24" s="26">
        <f t="shared" si="29"/>
        <v>0</v>
      </c>
      <c r="CG24" s="26">
        <f t="shared" si="29"/>
        <v>0</v>
      </c>
      <c r="CH24" s="26">
        <f t="shared" si="29"/>
        <v>0.3</v>
      </c>
      <c r="CI24" s="26">
        <f t="shared" si="30"/>
        <v>0</v>
      </c>
      <c r="CJ24" s="26">
        <f t="shared" si="30"/>
        <v>0</v>
      </c>
      <c r="CK24" s="26">
        <f t="shared" si="30"/>
        <v>0</v>
      </c>
      <c r="CL24" s="26">
        <f t="shared" si="30"/>
        <v>0</v>
      </c>
      <c r="CM24" s="26">
        <f t="shared" si="30"/>
        <v>0</v>
      </c>
      <c r="CN24" s="26">
        <f t="shared" si="30"/>
        <v>0</v>
      </c>
      <c r="CO24" s="26">
        <f t="shared" si="30"/>
        <v>0</v>
      </c>
      <c r="CP24" s="26">
        <f t="shared" si="30"/>
        <v>0</v>
      </c>
      <c r="CQ24" s="26">
        <f t="shared" si="30"/>
        <v>0</v>
      </c>
      <c r="CR24" s="26">
        <f t="shared" si="30"/>
        <v>0</v>
      </c>
      <c r="CS24" s="26">
        <f t="shared" si="30"/>
        <v>0</v>
      </c>
      <c r="CT24" s="26">
        <f t="shared" si="30"/>
        <v>0</v>
      </c>
      <c r="CU24" s="26">
        <f t="shared" si="31"/>
        <v>0.6</v>
      </c>
      <c r="CV24" s="26">
        <f t="shared" si="31"/>
        <v>0.6</v>
      </c>
      <c r="CW24" s="26">
        <f t="shared" si="31"/>
        <v>0</v>
      </c>
      <c r="CX24" s="26">
        <f t="shared" si="31"/>
        <v>0.6</v>
      </c>
      <c r="CY24" s="26">
        <f t="shared" si="31"/>
        <v>0</v>
      </c>
      <c r="CZ24" s="26">
        <f t="shared" si="31"/>
        <v>0</v>
      </c>
      <c r="DA24" s="26">
        <f t="shared" si="31"/>
        <v>0.6</v>
      </c>
      <c r="DB24" s="26">
        <f t="shared" si="31"/>
        <v>0</v>
      </c>
      <c r="DC24" s="26">
        <f t="shared" si="31"/>
        <v>0</v>
      </c>
      <c r="DD24" s="26">
        <f t="shared" si="31"/>
        <v>0.6</v>
      </c>
      <c r="DE24" s="26">
        <f t="shared" si="32"/>
        <v>0</v>
      </c>
      <c r="DF24" s="26">
        <f t="shared" si="32"/>
        <v>0</v>
      </c>
      <c r="DG24" s="26">
        <f t="shared" si="32"/>
        <v>0</v>
      </c>
      <c r="DH24" s="26">
        <f t="shared" si="32"/>
        <v>0</v>
      </c>
      <c r="DI24" s="26">
        <f t="shared" si="32"/>
        <v>0</v>
      </c>
      <c r="DJ24" s="26">
        <f t="shared" si="32"/>
        <v>0</v>
      </c>
      <c r="DK24" s="26">
        <f t="shared" si="32"/>
        <v>0</v>
      </c>
      <c r="DL24" s="26">
        <f t="shared" si="32"/>
        <v>0</v>
      </c>
      <c r="DM24" s="26">
        <f t="shared" si="32"/>
        <v>0</v>
      </c>
      <c r="DN24" s="26">
        <f t="shared" si="32"/>
        <v>0</v>
      </c>
      <c r="DO24" s="26">
        <f t="shared" si="32"/>
        <v>0</v>
      </c>
      <c r="DP24" s="26">
        <f t="shared" si="32"/>
        <v>0</v>
      </c>
      <c r="DQ24" s="26">
        <f t="shared" si="33"/>
        <v>0.6</v>
      </c>
      <c r="DR24" s="26">
        <f t="shared" si="33"/>
        <v>0.6</v>
      </c>
      <c r="DS24" s="26">
        <f t="shared" si="33"/>
        <v>0</v>
      </c>
      <c r="DT24" s="26">
        <f t="shared" si="33"/>
        <v>0.6</v>
      </c>
      <c r="DU24" s="26">
        <f t="shared" si="33"/>
        <v>0</v>
      </c>
      <c r="DV24" s="26">
        <f t="shared" si="33"/>
        <v>0</v>
      </c>
      <c r="DW24" s="26">
        <f t="shared" si="33"/>
        <v>0.6</v>
      </c>
      <c r="DX24" s="26">
        <f t="shared" si="33"/>
        <v>0</v>
      </c>
      <c r="DY24" s="26">
        <f t="shared" si="33"/>
        <v>0</v>
      </c>
      <c r="DZ24" s="26">
        <f t="shared" si="33"/>
        <v>1</v>
      </c>
      <c r="EA24" s="26">
        <f t="shared" si="34"/>
        <v>0</v>
      </c>
      <c r="EB24" s="26">
        <f t="shared" si="34"/>
        <v>0</v>
      </c>
      <c r="EC24" s="26">
        <f t="shared" si="34"/>
        <v>0</v>
      </c>
      <c r="ED24" s="26">
        <f t="shared" si="34"/>
        <v>0</v>
      </c>
      <c r="EE24" s="26">
        <f t="shared" si="34"/>
        <v>0</v>
      </c>
      <c r="EF24" s="26">
        <f t="shared" si="34"/>
        <v>0</v>
      </c>
      <c r="EG24" s="26">
        <f t="shared" si="34"/>
        <v>0</v>
      </c>
      <c r="EH24" s="26">
        <f t="shared" si="34"/>
        <v>0</v>
      </c>
      <c r="EI24" s="26">
        <f t="shared" si="34"/>
        <v>0</v>
      </c>
      <c r="EJ24" s="26">
        <f t="shared" si="34"/>
        <v>0</v>
      </c>
      <c r="EK24" s="26">
        <f t="shared" si="34"/>
        <v>0</v>
      </c>
      <c r="EL24" s="26">
        <f t="shared" si="34"/>
        <v>0</v>
      </c>
      <c r="EM24" s="26">
        <f t="shared" si="18"/>
        <v>18286</v>
      </c>
      <c r="EN24" s="26">
        <f t="shared" si="19"/>
        <v>21790</v>
      </c>
      <c r="EO24" s="26">
        <f t="shared" si="20"/>
        <v>21790</v>
      </c>
      <c r="EP24" s="26">
        <f t="shared" si="21"/>
        <v>33084</v>
      </c>
      <c r="EQ24" s="26">
        <f t="shared" si="22"/>
        <v>37109</v>
      </c>
    </row>
    <row r="25" spans="2:147">
      <c r="B25" s="27">
        <v>4</v>
      </c>
      <c r="C25" s="27">
        <v>3</v>
      </c>
      <c r="D25" s="27">
        <v>500</v>
      </c>
      <c r="E25" s="27">
        <f t="shared" si="23"/>
        <v>10500</v>
      </c>
      <c r="F25" s="27">
        <f t="shared" si="11"/>
        <v>10500</v>
      </c>
      <c r="G25" s="27">
        <f>SUM(F$5:F25)</f>
        <v>115500</v>
      </c>
      <c r="H25" s="27">
        <f t="shared" si="24"/>
        <v>21</v>
      </c>
      <c r="I25" s="27" t="s">
        <v>171</v>
      </c>
      <c r="J25" s="27">
        <v>0.3</v>
      </c>
      <c r="K25" s="27">
        <f>INDEX(其他调用!$BO$5:$BO$61,MATCH(星阵点亮!I25,其他调用!$BM$5:$BM$61,0))*J25</f>
        <v>5072.2591360215765</v>
      </c>
      <c r="L25" s="28">
        <f t="shared" si="12"/>
        <v>5329</v>
      </c>
      <c r="N25" s="27" t="s">
        <v>150</v>
      </c>
      <c r="O25" s="27">
        <f t="shared" si="0"/>
        <v>0.1</v>
      </c>
      <c r="Q25" s="26">
        <v>21</v>
      </c>
      <c r="R25" s="26">
        <f>总纲!D25</f>
        <v>3.2870938501451725</v>
      </c>
      <c r="S25" s="26">
        <f>求节点(将星点产出!$W$6:$W$44,将星点产出!$AO$6:$AO$44,星阵点亮!$Q25)</f>
        <v>13611.944655518817</v>
      </c>
      <c r="T25" s="26">
        <f t="shared" si="13"/>
        <v>6</v>
      </c>
      <c r="U25" s="26">
        <f>总纲!E25</f>
        <v>2.8518826243859516</v>
      </c>
      <c r="V25" s="26">
        <f>求节点(将星点产出!$W$51:$W$89,将星点产出!$AO$51:$AO$89,星阵点亮!$Q25)</f>
        <v>14612.892192127552</v>
      </c>
      <c r="W25" s="26">
        <f t="shared" si="14"/>
        <v>7</v>
      </c>
      <c r="X25" s="26">
        <f>总纲!F25</f>
        <v>2.3466562996186386</v>
      </c>
      <c r="Y25" s="26">
        <f>求节点(将星点产出!$W$96:$W$134,将星点产出!$AO$96:$AO$134,星阵点亮!$Q25)</f>
        <v>16330.747665065915</v>
      </c>
      <c r="Z25" s="26">
        <f t="shared" si="15"/>
        <v>7</v>
      </c>
      <c r="AA25" s="26">
        <f>总纲!G25</f>
        <v>1.7365716810316947</v>
      </c>
      <c r="AB25" s="26">
        <f>求节点(将星点产出!$W$141:$W$179,将星点产出!$AO$141:$AO$179,星阵点亮!$Q25)</f>
        <v>31097.916856776872</v>
      </c>
      <c r="AC25" s="26">
        <f t="shared" si="16"/>
        <v>10</v>
      </c>
      <c r="AD25" s="26">
        <f>总纲!H25</f>
        <v>0.97166494210291288</v>
      </c>
      <c r="AE25" s="26">
        <f>求节点(将星点产出!$W$186:$W$224,将星点产出!$AO$186:$AO$224,星阵点亮!$Q25)</f>
        <v>35293.326992275826</v>
      </c>
      <c r="AF25" s="26">
        <f t="shared" si="17"/>
        <v>11</v>
      </c>
      <c r="AG25" s="26">
        <f t="shared" ref="AG25:AP34" si="35">SUMIFS($J$5:$J$76,$I$5:$I$76,AG$4,$H$5:$H$76,"&lt;="&amp;$T25)</f>
        <v>0.6</v>
      </c>
      <c r="AH25" s="26">
        <f t="shared" si="35"/>
        <v>0.6</v>
      </c>
      <c r="AI25" s="26">
        <f t="shared" si="35"/>
        <v>0</v>
      </c>
      <c r="AJ25" s="26">
        <f t="shared" si="35"/>
        <v>0.6</v>
      </c>
      <c r="AK25" s="26">
        <f t="shared" si="35"/>
        <v>0</v>
      </c>
      <c r="AL25" s="26">
        <f t="shared" si="35"/>
        <v>0</v>
      </c>
      <c r="AM25" s="26">
        <f t="shared" si="35"/>
        <v>0</v>
      </c>
      <c r="AN25" s="26">
        <f t="shared" si="35"/>
        <v>0</v>
      </c>
      <c r="AO25" s="26">
        <f t="shared" si="35"/>
        <v>0</v>
      </c>
      <c r="AP25" s="26">
        <f t="shared" si="35"/>
        <v>0</v>
      </c>
      <c r="AQ25" s="26">
        <f t="shared" ref="AQ25:BB34" si="36">SUMIFS($J$5:$J$76,$I$5:$I$76,AQ$4,$H$5:$H$76,"&lt;="&amp;$T25)</f>
        <v>0</v>
      </c>
      <c r="AR25" s="26">
        <f t="shared" si="36"/>
        <v>0</v>
      </c>
      <c r="AS25" s="26">
        <f t="shared" si="36"/>
        <v>0</v>
      </c>
      <c r="AT25" s="26">
        <f t="shared" si="36"/>
        <v>0</v>
      </c>
      <c r="AU25" s="26">
        <f t="shared" si="36"/>
        <v>0</v>
      </c>
      <c r="AV25" s="26">
        <f t="shared" si="36"/>
        <v>0</v>
      </c>
      <c r="AW25" s="26">
        <f t="shared" si="36"/>
        <v>0</v>
      </c>
      <c r="AX25" s="26">
        <f t="shared" si="36"/>
        <v>0</v>
      </c>
      <c r="AY25" s="26">
        <f t="shared" si="36"/>
        <v>0</v>
      </c>
      <c r="AZ25" s="26">
        <f t="shared" si="36"/>
        <v>0</v>
      </c>
      <c r="BA25" s="26">
        <f t="shared" si="36"/>
        <v>0</v>
      </c>
      <c r="BB25" s="26">
        <f t="shared" si="36"/>
        <v>0</v>
      </c>
      <c r="BC25" s="26">
        <f t="shared" ref="BC25:BL34" si="37">SUMIFS($J$5:$J$76,$I$5:$I$76,BC$4,$H$5:$H$76,"&lt;="&amp;$W25)</f>
        <v>0.6</v>
      </c>
      <c r="BD25" s="26">
        <f t="shared" si="37"/>
        <v>0.6</v>
      </c>
      <c r="BE25" s="26">
        <f t="shared" si="37"/>
        <v>0</v>
      </c>
      <c r="BF25" s="26">
        <f t="shared" si="37"/>
        <v>0.6</v>
      </c>
      <c r="BG25" s="26">
        <f t="shared" si="37"/>
        <v>0</v>
      </c>
      <c r="BH25" s="26">
        <f t="shared" si="37"/>
        <v>0</v>
      </c>
      <c r="BI25" s="26">
        <f t="shared" si="37"/>
        <v>0</v>
      </c>
      <c r="BJ25" s="26">
        <f t="shared" si="37"/>
        <v>0</v>
      </c>
      <c r="BK25" s="26">
        <f t="shared" si="37"/>
        <v>0</v>
      </c>
      <c r="BL25" s="26">
        <f t="shared" si="37"/>
        <v>0.3</v>
      </c>
      <c r="BM25" s="26">
        <f t="shared" ref="BM25:BX34" si="38">SUMIFS($J$5:$J$76,$I$5:$I$76,BM$4,$H$5:$H$76,"&lt;="&amp;$W25)</f>
        <v>0</v>
      </c>
      <c r="BN25" s="26">
        <f t="shared" si="38"/>
        <v>0</v>
      </c>
      <c r="BO25" s="26">
        <f t="shared" si="38"/>
        <v>0</v>
      </c>
      <c r="BP25" s="26">
        <f t="shared" si="38"/>
        <v>0</v>
      </c>
      <c r="BQ25" s="26">
        <f t="shared" si="38"/>
        <v>0</v>
      </c>
      <c r="BR25" s="26">
        <f t="shared" si="38"/>
        <v>0</v>
      </c>
      <c r="BS25" s="26">
        <f t="shared" si="38"/>
        <v>0</v>
      </c>
      <c r="BT25" s="26">
        <f t="shared" si="38"/>
        <v>0</v>
      </c>
      <c r="BU25" s="26">
        <f t="shared" si="38"/>
        <v>0</v>
      </c>
      <c r="BV25" s="26">
        <f t="shared" si="38"/>
        <v>0</v>
      </c>
      <c r="BW25" s="26">
        <f t="shared" si="38"/>
        <v>0</v>
      </c>
      <c r="BX25" s="26">
        <f t="shared" si="38"/>
        <v>0</v>
      </c>
      <c r="BY25" s="26">
        <f t="shared" ref="BY25:CH34" si="39">SUMIFS($J$5:$J$76,$I$5:$I$76,BY$4,$H$5:$H$76,"&lt;="&amp;$Z25)</f>
        <v>0.6</v>
      </c>
      <c r="BZ25" s="26">
        <f t="shared" si="39"/>
        <v>0.6</v>
      </c>
      <c r="CA25" s="26">
        <f t="shared" si="39"/>
        <v>0</v>
      </c>
      <c r="CB25" s="26">
        <f t="shared" si="39"/>
        <v>0.6</v>
      </c>
      <c r="CC25" s="26">
        <f t="shared" si="39"/>
        <v>0</v>
      </c>
      <c r="CD25" s="26">
        <f t="shared" si="39"/>
        <v>0</v>
      </c>
      <c r="CE25" s="26">
        <f t="shared" si="39"/>
        <v>0</v>
      </c>
      <c r="CF25" s="26">
        <f t="shared" si="39"/>
        <v>0</v>
      </c>
      <c r="CG25" s="26">
        <f t="shared" si="39"/>
        <v>0</v>
      </c>
      <c r="CH25" s="26">
        <f t="shared" si="39"/>
        <v>0.3</v>
      </c>
      <c r="CI25" s="26">
        <f t="shared" ref="CI25:CT34" si="40">SUMIFS($J$5:$J$76,$I$5:$I$76,CI$4,$H$5:$H$76,"&lt;="&amp;$Z25)</f>
        <v>0</v>
      </c>
      <c r="CJ25" s="26">
        <f t="shared" si="40"/>
        <v>0</v>
      </c>
      <c r="CK25" s="26">
        <f t="shared" si="40"/>
        <v>0</v>
      </c>
      <c r="CL25" s="26">
        <f t="shared" si="40"/>
        <v>0</v>
      </c>
      <c r="CM25" s="26">
        <f t="shared" si="40"/>
        <v>0</v>
      </c>
      <c r="CN25" s="26">
        <f t="shared" si="40"/>
        <v>0</v>
      </c>
      <c r="CO25" s="26">
        <f t="shared" si="40"/>
        <v>0</v>
      </c>
      <c r="CP25" s="26">
        <f t="shared" si="40"/>
        <v>0</v>
      </c>
      <c r="CQ25" s="26">
        <f t="shared" si="40"/>
        <v>0</v>
      </c>
      <c r="CR25" s="26">
        <f t="shared" si="40"/>
        <v>0</v>
      </c>
      <c r="CS25" s="26">
        <f t="shared" si="40"/>
        <v>0</v>
      </c>
      <c r="CT25" s="26">
        <f t="shared" si="40"/>
        <v>0</v>
      </c>
      <c r="CU25" s="26">
        <f t="shared" ref="CU25:DD34" si="41">SUMIFS($J$5:$J$76,$I$5:$I$76,CU$4,$H$5:$H$76,"&lt;="&amp;$AC25)</f>
        <v>0.6</v>
      </c>
      <c r="CV25" s="26">
        <f t="shared" si="41"/>
        <v>0.6</v>
      </c>
      <c r="CW25" s="26">
        <f t="shared" si="41"/>
        <v>0</v>
      </c>
      <c r="CX25" s="26">
        <f t="shared" si="41"/>
        <v>0.6</v>
      </c>
      <c r="CY25" s="26">
        <f t="shared" si="41"/>
        <v>0</v>
      </c>
      <c r="CZ25" s="26">
        <f t="shared" si="41"/>
        <v>0</v>
      </c>
      <c r="DA25" s="26">
        <f t="shared" si="41"/>
        <v>0.6</v>
      </c>
      <c r="DB25" s="26">
        <f t="shared" si="41"/>
        <v>0</v>
      </c>
      <c r="DC25" s="26">
        <f t="shared" si="41"/>
        <v>0</v>
      </c>
      <c r="DD25" s="26">
        <f t="shared" si="41"/>
        <v>0.6</v>
      </c>
      <c r="DE25" s="26">
        <f t="shared" ref="DE25:DP34" si="42">SUMIFS($J$5:$J$76,$I$5:$I$76,DE$4,$H$5:$H$76,"&lt;="&amp;$AC25)</f>
        <v>0</v>
      </c>
      <c r="DF25" s="26">
        <f t="shared" si="42"/>
        <v>0</v>
      </c>
      <c r="DG25" s="26">
        <f t="shared" si="42"/>
        <v>0</v>
      </c>
      <c r="DH25" s="26">
        <f t="shared" si="42"/>
        <v>0</v>
      </c>
      <c r="DI25" s="26">
        <f t="shared" si="42"/>
        <v>0</v>
      </c>
      <c r="DJ25" s="26">
        <f t="shared" si="42"/>
        <v>0</v>
      </c>
      <c r="DK25" s="26">
        <f t="shared" si="42"/>
        <v>0</v>
      </c>
      <c r="DL25" s="26">
        <f t="shared" si="42"/>
        <v>0</v>
      </c>
      <c r="DM25" s="26">
        <f t="shared" si="42"/>
        <v>0</v>
      </c>
      <c r="DN25" s="26">
        <f t="shared" si="42"/>
        <v>0</v>
      </c>
      <c r="DO25" s="26">
        <f t="shared" si="42"/>
        <v>0</v>
      </c>
      <c r="DP25" s="26">
        <f t="shared" si="42"/>
        <v>0</v>
      </c>
      <c r="DQ25" s="26">
        <f t="shared" ref="DQ25:DZ34" si="43">SUMIFS($J$5:$J$76,$I$5:$I$76,DQ$4,$H$5:$H$76,"&lt;="&amp;$AF25)</f>
        <v>0.6</v>
      </c>
      <c r="DR25" s="26">
        <f t="shared" si="43"/>
        <v>0.6</v>
      </c>
      <c r="DS25" s="26">
        <f t="shared" si="43"/>
        <v>0</v>
      </c>
      <c r="DT25" s="26">
        <f t="shared" si="43"/>
        <v>0.6</v>
      </c>
      <c r="DU25" s="26">
        <f t="shared" si="43"/>
        <v>0</v>
      </c>
      <c r="DV25" s="26">
        <f t="shared" si="43"/>
        <v>0</v>
      </c>
      <c r="DW25" s="26">
        <f t="shared" si="43"/>
        <v>0.6</v>
      </c>
      <c r="DX25" s="26">
        <f t="shared" si="43"/>
        <v>0</v>
      </c>
      <c r="DY25" s="26">
        <f t="shared" si="43"/>
        <v>0</v>
      </c>
      <c r="DZ25" s="26">
        <f t="shared" si="43"/>
        <v>1</v>
      </c>
      <c r="EA25" s="26">
        <f t="shared" ref="EA25:EL34" si="44">SUMIFS($J$5:$J$76,$I$5:$I$76,EA$4,$H$5:$H$76,"&lt;="&amp;$AF25)</f>
        <v>0</v>
      </c>
      <c r="EB25" s="26">
        <f t="shared" si="44"/>
        <v>0</v>
      </c>
      <c r="EC25" s="26">
        <f t="shared" si="44"/>
        <v>0</v>
      </c>
      <c r="ED25" s="26">
        <f t="shared" si="44"/>
        <v>0</v>
      </c>
      <c r="EE25" s="26">
        <f t="shared" si="44"/>
        <v>0</v>
      </c>
      <c r="EF25" s="26">
        <f t="shared" si="44"/>
        <v>0</v>
      </c>
      <c r="EG25" s="26">
        <f t="shared" si="44"/>
        <v>0</v>
      </c>
      <c r="EH25" s="26">
        <f t="shared" si="44"/>
        <v>0</v>
      </c>
      <c r="EI25" s="26">
        <f t="shared" si="44"/>
        <v>0</v>
      </c>
      <c r="EJ25" s="26">
        <f t="shared" si="44"/>
        <v>0</v>
      </c>
      <c r="EK25" s="26">
        <f t="shared" si="44"/>
        <v>0</v>
      </c>
      <c r="EL25" s="26">
        <f t="shared" si="44"/>
        <v>0</v>
      </c>
      <c r="EM25" s="26">
        <f t="shared" si="18"/>
        <v>18286</v>
      </c>
      <c r="EN25" s="26">
        <f t="shared" si="19"/>
        <v>21790</v>
      </c>
      <c r="EO25" s="26">
        <f t="shared" si="20"/>
        <v>21790</v>
      </c>
      <c r="EP25" s="26">
        <f t="shared" si="21"/>
        <v>33084</v>
      </c>
      <c r="EQ25" s="26">
        <f t="shared" si="22"/>
        <v>37109</v>
      </c>
    </row>
    <row r="26" spans="2:147">
      <c r="B26" s="27">
        <v>4</v>
      </c>
      <c r="C26" s="27">
        <v>4</v>
      </c>
      <c r="D26" s="27">
        <v>500</v>
      </c>
      <c r="E26" s="27">
        <f t="shared" si="23"/>
        <v>11000</v>
      </c>
      <c r="F26" s="27">
        <f t="shared" si="11"/>
        <v>11000</v>
      </c>
      <c r="G26" s="27">
        <f>SUM(F$5:F26)</f>
        <v>126500</v>
      </c>
      <c r="H26" s="27">
        <f t="shared" si="24"/>
        <v>22</v>
      </c>
      <c r="I26" s="27" t="s">
        <v>173</v>
      </c>
      <c r="J26" s="27">
        <v>0.3</v>
      </c>
      <c r="K26" s="27">
        <f>INDEX(其他调用!$BO$5:$BO$61,MATCH(星阵点亮!I26,其他调用!$BM$5:$BM$61,0))*J26</f>
        <v>5072.2591360215765</v>
      </c>
      <c r="L26" s="28">
        <f t="shared" si="12"/>
        <v>5459</v>
      </c>
      <c r="N26" s="27" t="s">
        <v>151</v>
      </c>
      <c r="O26" s="27">
        <f t="shared" si="0"/>
        <v>0.1</v>
      </c>
      <c r="Q26" s="26">
        <v>22</v>
      </c>
      <c r="R26" s="26">
        <f>总纲!D26</f>
        <v>3.5947934199881395</v>
      </c>
      <c r="S26" s="26">
        <f>求节点(将星点产出!$W$6:$W$44,将星点产出!$AO$6:$AO$44,星阵点亮!$Q26)</f>
        <v>13856.889311037636</v>
      </c>
      <c r="T26" s="26">
        <f t="shared" si="13"/>
        <v>6</v>
      </c>
      <c r="U26" s="26">
        <f>总纲!E26</f>
        <v>3.124234961311692</v>
      </c>
      <c r="V26" s="26">
        <f>求节点(将星点产出!$W$51:$W$89,将星点产出!$AO$51:$AO$89,星阵点亮!$Q26)</f>
        <v>14862.566117909681</v>
      </c>
      <c r="W26" s="26">
        <f t="shared" si="14"/>
        <v>7</v>
      </c>
      <c r="X26" s="26">
        <f>总纲!F26</f>
        <v>2.5749505267375046</v>
      </c>
      <c r="Y26" s="26">
        <f>求节点(将星点产出!$W$96:$W$134,将星点产出!$AO$96:$AO$134,星阵点亮!$Q26)</f>
        <v>17192.346401716921</v>
      </c>
      <c r="Z26" s="26">
        <f t="shared" si="15"/>
        <v>7</v>
      </c>
      <c r="AA26" s="26">
        <f>总纲!G26</f>
        <v>1.9077568679877055</v>
      </c>
      <c r="AB26" s="26">
        <f>求节点(将星点产出!$W$141:$W$179,将星点产出!$AO$141:$AO$179,星阵点亮!$Q26)</f>
        <v>33471.831126862329</v>
      </c>
      <c r="AC26" s="26">
        <f t="shared" si="16"/>
        <v>11</v>
      </c>
      <c r="AD26" s="26">
        <f>总纲!H26</f>
        <v>1.0687320837624739</v>
      </c>
      <c r="AE26" s="26">
        <f>求节点(将星点产出!$W$186:$W$224,将星点产出!$AO$186:$AO$224,星阵点亮!$Q26)</f>
        <v>37523.021575901701</v>
      </c>
      <c r="AF26" s="26">
        <f t="shared" si="17"/>
        <v>11</v>
      </c>
      <c r="AG26" s="26">
        <f t="shared" si="35"/>
        <v>0.6</v>
      </c>
      <c r="AH26" s="26">
        <f t="shared" si="35"/>
        <v>0.6</v>
      </c>
      <c r="AI26" s="26">
        <f t="shared" si="35"/>
        <v>0</v>
      </c>
      <c r="AJ26" s="26">
        <f t="shared" si="35"/>
        <v>0.6</v>
      </c>
      <c r="AK26" s="26">
        <f t="shared" si="35"/>
        <v>0</v>
      </c>
      <c r="AL26" s="26">
        <f t="shared" si="35"/>
        <v>0</v>
      </c>
      <c r="AM26" s="26">
        <f t="shared" si="35"/>
        <v>0</v>
      </c>
      <c r="AN26" s="26">
        <f t="shared" si="35"/>
        <v>0</v>
      </c>
      <c r="AO26" s="26">
        <f t="shared" si="35"/>
        <v>0</v>
      </c>
      <c r="AP26" s="26">
        <f t="shared" si="35"/>
        <v>0</v>
      </c>
      <c r="AQ26" s="26">
        <f t="shared" si="36"/>
        <v>0</v>
      </c>
      <c r="AR26" s="26">
        <f t="shared" si="36"/>
        <v>0</v>
      </c>
      <c r="AS26" s="26">
        <f t="shared" si="36"/>
        <v>0</v>
      </c>
      <c r="AT26" s="26">
        <f t="shared" si="36"/>
        <v>0</v>
      </c>
      <c r="AU26" s="26">
        <f t="shared" si="36"/>
        <v>0</v>
      </c>
      <c r="AV26" s="26">
        <f t="shared" si="36"/>
        <v>0</v>
      </c>
      <c r="AW26" s="26">
        <f t="shared" si="36"/>
        <v>0</v>
      </c>
      <c r="AX26" s="26">
        <f t="shared" si="36"/>
        <v>0</v>
      </c>
      <c r="AY26" s="26">
        <f t="shared" si="36"/>
        <v>0</v>
      </c>
      <c r="AZ26" s="26">
        <f t="shared" si="36"/>
        <v>0</v>
      </c>
      <c r="BA26" s="26">
        <f t="shared" si="36"/>
        <v>0</v>
      </c>
      <c r="BB26" s="26">
        <f t="shared" si="36"/>
        <v>0</v>
      </c>
      <c r="BC26" s="26">
        <f t="shared" si="37"/>
        <v>0.6</v>
      </c>
      <c r="BD26" s="26">
        <f t="shared" si="37"/>
        <v>0.6</v>
      </c>
      <c r="BE26" s="26">
        <f t="shared" si="37"/>
        <v>0</v>
      </c>
      <c r="BF26" s="26">
        <f t="shared" si="37"/>
        <v>0.6</v>
      </c>
      <c r="BG26" s="26">
        <f t="shared" si="37"/>
        <v>0</v>
      </c>
      <c r="BH26" s="26">
        <f t="shared" si="37"/>
        <v>0</v>
      </c>
      <c r="BI26" s="26">
        <f t="shared" si="37"/>
        <v>0</v>
      </c>
      <c r="BJ26" s="26">
        <f t="shared" si="37"/>
        <v>0</v>
      </c>
      <c r="BK26" s="26">
        <f t="shared" si="37"/>
        <v>0</v>
      </c>
      <c r="BL26" s="26">
        <f t="shared" si="37"/>
        <v>0.3</v>
      </c>
      <c r="BM26" s="26">
        <f t="shared" si="38"/>
        <v>0</v>
      </c>
      <c r="BN26" s="26">
        <f t="shared" si="38"/>
        <v>0</v>
      </c>
      <c r="BO26" s="26">
        <f t="shared" si="38"/>
        <v>0</v>
      </c>
      <c r="BP26" s="26">
        <f t="shared" si="38"/>
        <v>0</v>
      </c>
      <c r="BQ26" s="26">
        <f t="shared" si="38"/>
        <v>0</v>
      </c>
      <c r="BR26" s="26">
        <f t="shared" si="38"/>
        <v>0</v>
      </c>
      <c r="BS26" s="26">
        <f t="shared" si="38"/>
        <v>0</v>
      </c>
      <c r="BT26" s="26">
        <f t="shared" si="38"/>
        <v>0</v>
      </c>
      <c r="BU26" s="26">
        <f t="shared" si="38"/>
        <v>0</v>
      </c>
      <c r="BV26" s="26">
        <f t="shared" si="38"/>
        <v>0</v>
      </c>
      <c r="BW26" s="26">
        <f t="shared" si="38"/>
        <v>0</v>
      </c>
      <c r="BX26" s="26">
        <f t="shared" si="38"/>
        <v>0</v>
      </c>
      <c r="BY26" s="26">
        <f t="shared" si="39"/>
        <v>0.6</v>
      </c>
      <c r="BZ26" s="26">
        <f t="shared" si="39"/>
        <v>0.6</v>
      </c>
      <c r="CA26" s="26">
        <f t="shared" si="39"/>
        <v>0</v>
      </c>
      <c r="CB26" s="26">
        <f t="shared" si="39"/>
        <v>0.6</v>
      </c>
      <c r="CC26" s="26">
        <f t="shared" si="39"/>
        <v>0</v>
      </c>
      <c r="CD26" s="26">
        <f t="shared" si="39"/>
        <v>0</v>
      </c>
      <c r="CE26" s="26">
        <f t="shared" si="39"/>
        <v>0</v>
      </c>
      <c r="CF26" s="26">
        <f t="shared" si="39"/>
        <v>0</v>
      </c>
      <c r="CG26" s="26">
        <f t="shared" si="39"/>
        <v>0</v>
      </c>
      <c r="CH26" s="26">
        <f t="shared" si="39"/>
        <v>0.3</v>
      </c>
      <c r="CI26" s="26">
        <f t="shared" si="40"/>
        <v>0</v>
      </c>
      <c r="CJ26" s="26">
        <f t="shared" si="40"/>
        <v>0</v>
      </c>
      <c r="CK26" s="26">
        <f t="shared" si="40"/>
        <v>0</v>
      </c>
      <c r="CL26" s="26">
        <f t="shared" si="40"/>
        <v>0</v>
      </c>
      <c r="CM26" s="26">
        <f t="shared" si="40"/>
        <v>0</v>
      </c>
      <c r="CN26" s="26">
        <f t="shared" si="40"/>
        <v>0</v>
      </c>
      <c r="CO26" s="26">
        <f t="shared" si="40"/>
        <v>0</v>
      </c>
      <c r="CP26" s="26">
        <f t="shared" si="40"/>
        <v>0</v>
      </c>
      <c r="CQ26" s="26">
        <f t="shared" si="40"/>
        <v>0</v>
      </c>
      <c r="CR26" s="26">
        <f t="shared" si="40"/>
        <v>0</v>
      </c>
      <c r="CS26" s="26">
        <f t="shared" si="40"/>
        <v>0</v>
      </c>
      <c r="CT26" s="26">
        <f t="shared" si="40"/>
        <v>0</v>
      </c>
      <c r="CU26" s="26">
        <f t="shared" si="41"/>
        <v>0.6</v>
      </c>
      <c r="CV26" s="26">
        <f t="shared" si="41"/>
        <v>0.6</v>
      </c>
      <c r="CW26" s="26">
        <f t="shared" si="41"/>
        <v>0</v>
      </c>
      <c r="CX26" s="26">
        <f t="shared" si="41"/>
        <v>0.6</v>
      </c>
      <c r="CY26" s="26">
        <f t="shared" si="41"/>
        <v>0</v>
      </c>
      <c r="CZ26" s="26">
        <f t="shared" si="41"/>
        <v>0</v>
      </c>
      <c r="DA26" s="26">
        <f t="shared" si="41"/>
        <v>0.6</v>
      </c>
      <c r="DB26" s="26">
        <f t="shared" si="41"/>
        <v>0</v>
      </c>
      <c r="DC26" s="26">
        <f t="shared" si="41"/>
        <v>0</v>
      </c>
      <c r="DD26" s="26">
        <f t="shared" si="41"/>
        <v>1</v>
      </c>
      <c r="DE26" s="26">
        <f t="shared" si="42"/>
        <v>0</v>
      </c>
      <c r="DF26" s="26">
        <f t="shared" si="42"/>
        <v>0</v>
      </c>
      <c r="DG26" s="26">
        <f t="shared" si="42"/>
        <v>0</v>
      </c>
      <c r="DH26" s="26">
        <f t="shared" si="42"/>
        <v>0</v>
      </c>
      <c r="DI26" s="26">
        <f t="shared" si="42"/>
        <v>0</v>
      </c>
      <c r="DJ26" s="26">
        <f t="shared" si="42"/>
        <v>0</v>
      </c>
      <c r="DK26" s="26">
        <f t="shared" si="42"/>
        <v>0</v>
      </c>
      <c r="DL26" s="26">
        <f t="shared" si="42"/>
        <v>0</v>
      </c>
      <c r="DM26" s="26">
        <f t="shared" si="42"/>
        <v>0</v>
      </c>
      <c r="DN26" s="26">
        <f t="shared" si="42"/>
        <v>0</v>
      </c>
      <c r="DO26" s="26">
        <f t="shared" si="42"/>
        <v>0</v>
      </c>
      <c r="DP26" s="26">
        <f t="shared" si="42"/>
        <v>0</v>
      </c>
      <c r="DQ26" s="26">
        <f t="shared" si="43"/>
        <v>0.6</v>
      </c>
      <c r="DR26" s="26">
        <f t="shared" si="43"/>
        <v>0.6</v>
      </c>
      <c r="DS26" s="26">
        <f t="shared" si="43"/>
        <v>0</v>
      </c>
      <c r="DT26" s="26">
        <f t="shared" si="43"/>
        <v>0.6</v>
      </c>
      <c r="DU26" s="26">
        <f t="shared" si="43"/>
        <v>0</v>
      </c>
      <c r="DV26" s="26">
        <f t="shared" si="43"/>
        <v>0</v>
      </c>
      <c r="DW26" s="26">
        <f t="shared" si="43"/>
        <v>0.6</v>
      </c>
      <c r="DX26" s="26">
        <f t="shared" si="43"/>
        <v>0</v>
      </c>
      <c r="DY26" s="26">
        <f t="shared" si="43"/>
        <v>0</v>
      </c>
      <c r="DZ26" s="26">
        <f t="shared" si="43"/>
        <v>1</v>
      </c>
      <c r="EA26" s="26">
        <f t="shared" si="44"/>
        <v>0</v>
      </c>
      <c r="EB26" s="26">
        <f t="shared" si="44"/>
        <v>0</v>
      </c>
      <c r="EC26" s="26">
        <f t="shared" si="44"/>
        <v>0</v>
      </c>
      <c r="ED26" s="26">
        <f t="shared" si="44"/>
        <v>0</v>
      </c>
      <c r="EE26" s="26">
        <f t="shared" si="44"/>
        <v>0</v>
      </c>
      <c r="EF26" s="26">
        <f t="shared" si="44"/>
        <v>0</v>
      </c>
      <c r="EG26" s="26">
        <f t="shared" si="44"/>
        <v>0</v>
      </c>
      <c r="EH26" s="26">
        <f t="shared" si="44"/>
        <v>0</v>
      </c>
      <c r="EI26" s="26">
        <f t="shared" si="44"/>
        <v>0</v>
      </c>
      <c r="EJ26" s="26">
        <f t="shared" si="44"/>
        <v>0</v>
      </c>
      <c r="EK26" s="26">
        <f t="shared" si="44"/>
        <v>0</v>
      </c>
      <c r="EL26" s="26">
        <f t="shared" si="44"/>
        <v>0</v>
      </c>
      <c r="EM26" s="26">
        <f t="shared" si="18"/>
        <v>18286</v>
      </c>
      <c r="EN26" s="26">
        <f t="shared" si="19"/>
        <v>21790</v>
      </c>
      <c r="EO26" s="26">
        <f t="shared" si="20"/>
        <v>21790</v>
      </c>
      <c r="EP26" s="26">
        <f t="shared" si="21"/>
        <v>37109</v>
      </c>
      <c r="EQ26" s="26">
        <f t="shared" si="22"/>
        <v>37109</v>
      </c>
    </row>
    <row r="27" spans="2:147">
      <c r="B27" s="27">
        <v>4</v>
      </c>
      <c r="C27" s="27">
        <v>5</v>
      </c>
      <c r="D27" s="27">
        <v>500</v>
      </c>
      <c r="E27" s="27">
        <f t="shared" si="23"/>
        <v>11500</v>
      </c>
      <c r="F27" s="27">
        <f t="shared" si="11"/>
        <v>11500</v>
      </c>
      <c r="G27" s="27">
        <f>SUM(F$5:F27)</f>
        <v>138000</v>
      </c>
      <c r="H27" s="27">
        <f t="shared" si="24"/>
        <v>23</v>
      </c>
      <c r="I27" s="27" t="s">
        <v>171</v>
      </c>
      <c r="J27" s="27">
        <v>0.4</v>
      </c>
      <c r="K27" s="27">
        <f>INDEX(其他调用!$BO$5:$BO$61,MATCH(星阵点亮!I27,其他调用!$BM$5:$BM$61,0))*J27</f>
        <v>6763.0121813621026</v>
      </c>
      <c r="L27" s="28">
        <f t="shared" si="12"/>
        <v>5589</v>
      </c>
      <c r="Q27" s="26">
        <v>23</v>
      </c>
      <c r="R27" s="26">
        <f>总纲!D27</f>
        <v>3.9245776533796644</v>
      </c>
      <c r="S27" s="26">
        <f>求节点(将星点产出!$W$6:$W$44,将星点产出!$AO$6:$AO$44,星阵点亮!$Q27)</f>
        <v>14101.833966556453</v>
      </c>
      <c r="T27" s="26">
        <f t="shared" si="13"/>
        <v>7</v>
      </c>
      <c r="U27" s="26">
        <f>总纲!E27</f>
        <v>3.4081032341949005</v>
      </c>
      <c r="V27" s="26">
        <f>求节点(将星点产出!$W$51:$W$89,将星点产出!$AO$51:$AO$89,星阵点亮!$Q27)</f>
        <v>15112.240043691807</v>
      </c>
      <c r="W27" s="26">
        <f t="shared" si="14"/>
        <v>7</v>
      </c>
      <c r="X27" s="26">
        <f>总纲!F27</f>
        <v>2.8064654799317976</v>
      </c>
      <c r="Y27" s="26">
        <f>求节点(将星点产出!$W$96:$W$134,将星点产出!$AO$96:$AO$134,星阵点亮!$Q27)</f>
        <v>18053.94513836793</v>
      </c>
      <c r="Z27" s="26">
        <f t="shared" si="15"/>
        <v>8</v>
      </c>
      <c r="AA27" s="26">
        <f>总纲!G27</f>
        <v>2.0796336985258841</v>
      </c>
      <c r="AB27" s="26">
        <f>求节点(将星点产出!$W$141:$W$179,将星点产出!$AO$141:$AO$179,星阵点亮!$Q27)</f>
        <v>35845.745396947779</v>
      </c>
      <c r="AC27" s="26">
        <f t="shared" si="16"/>
        <v>11</v>
      </c>
      <c r="AD27" s="26">
        <f>总纲!H27</f>
        <v>1.1608900698697047</v>
      </c>
      <c r="AE27" s="26">
        <f>求节点(将星点产出!$W$186:$W$224,将星点产出!$AO$186:$AO$224,星阵点亮!$Q27)</f>
        <v>39752.716159527568</v>
      </c>
      <c r="AF27" s="26">
        <f t="shared" si="17"/>
        <v>12</v>
      </c>
      <c r="AG27" s="26">
        <f t="shared" si="35"/>
        <v>0.6</v>
      </c>
      <c r="AH27" s="26">
        <f t="shared" si="35"/>
        <v>0.6</v>
      </c>
      <c r="AI27" s="26">
        <f t="shared" si="35"/>
        <v>0</v>
      </c>
      <c r="AJ27" s="26">
        <f t="shared" si="35"/>
        <v>0.6</v>
      </c>
      <c r="AK27" s="26">
        <f t="shared" si="35"/>
        <v>0</v>
      </c>
      <c r="AL27" s="26">
        <f t="shared" si="35"/>
        <v>0</v>
      </c>
      <c r="AM27" s="26">
        <f t="shared" si="35"/>
        <v>0</v>
      </c>
      <c r="AN27" s="26">
        <f t="shared" si="35"/>
        <v>0</v>
      </c>
      <c r="AO27" s="26">
        <f t="shared" si="35"/>
        <v>0</v>
      </c>
      <c r="AP27" s="26">
        <f t="shared" si="35"/>
        <v>0.3</v>
      </c>
      <c r="AQ27" s="26">
        <f t="shared" si="36"/>
        <v>0</v>
      </c>
      <c r="AR27" s="26">
        <f t="shared" si="36"/>
        <v>0</v>
      </c>
      <c r="AS27" s="26">
        <f t="shared" si="36"/>
        <v>0</v>
      </c>
      <c r="AT27" s="26">
        <f t="shared" si="36"/>
        <v>0</v>
      </c>
      <c r="AU27" s="26">
        <f t="shared" si="36"/>
        <v>0</v>
      </c>
      <c r="AV27" s="26">
        <f t="shared" si="36"/>
        <v>0</v>
      </c>
      <c r="AW27" s="26">
        <f t="shared" si="36"/>
        <v>0</v>
      </c>
      <c r="AX27" s="26">
        <f t="shared" si="36"/>
        <v>0</v>
      </c>
      <c r="AY27" s="26">
        <f t="shared" si="36"/>
        <v>0</v>
      </c>
      <c r="AZ27" s="26">
        <f t="shared" si="36"/>
        <v>0</v>
      </c>
      <c r="BA27" s="26">
        <f t="shared" si="36"/>
        <v>0</v>
      </c>
      <c r="BB27" s="26">
        <f t="shared" si="36"/>
        <v>0</v>
      </c>
      <c r="BC27" s="26">
        <f t="shared" si="37"/>
        <v>0.6</v>
      </c>
      <c r="BD27" s="26">
        <f t="shared" si="37"/>
        <v>0.6</v>
      </c>
      <c r="BE27" s="26">
        <f t="shared" si="37"/>
        <v>0</v>
      </c>
      <c r="BF27" s="26">
        <f t="shared" si="37"/>
        <v>0.6</v>
      </c>
      <c r="BG27" s="26">
        <f t="shared" si="37"/>
        <v>0</v>
      </c>
      <c r="BH27" s="26">
        <f t="shared" si="37"/>
        <v>0</v>
      </c>
      <c r="BI27" s="26">
        <f t="shared" si="37"/>
        <v>0</v>
      </c>
      <c r="BJ27" s="26">
        <f t="shared" si="37"/>
        <v>0</v>
      </c>
      <c r="BK27" s="26">
        <f t="shared" si="37"/>
        <v>0</v>
      </c>
      <c r="BL27" s="26">
        <f t="shared" si="37"/>
        <v>0.3</v>
      </c>
      <c r="BM27" s="26">
        <f t="shared" si="38"/>
        <v>0</v>
      </c>
      <c r="BN27" s="26">
        <f t="shared" si="38"/>
        <v>0</v>
      </c>
      <c r="BO27" s="26">
        <f t="shared" si="38"/>
        <v>0</v>
      </c>
      <c r="BP27" s="26">
        <f t="shared" si="38"/>
        <v>0</v>
      </c>
      <c r="BQ27" s="26">
        <f t="shared" si="38"/>
        <v>0</v>
      </c>
      <c r="BR27" s="26">
        <f t="shared" si="38"/>
        <v>0</v>
      </c>
      <c r="BS27" s="26">
        <f t="shared" si="38"/>
        <v>0</v>
      </c>
      <c r="BT27" s="26">
        <f t="shared" si="38"/>
        <v>0</v>
      </c>
      <c r="BU27" s="26">
        <f t="shared" si="38"/>
        <v>0</v>
      </c>
      <c r="BV27" s="26">
        <f t="shared" si="38"/>
        <v>0</v>
      </c>
      <c r="BW27" s="26">
        <f t="shared" si="38"/>
        <v>0</v>
      </c>
      <c r="BX27" s="26">
        <f t="shared" si="38"/>
        <v>0</v>
      </c>
      <c r="BY27" s="26">
        <f t="shared" si="39"/>
        <v>0.6</v>
      </c>
      <c r="BZ27" s="26">
        <f t="shared" si="39"/>
        <v>0.6</v>
      </c>
      <c r="CA27" s="26">
        <f t="shared" si="39"/>
        <v>0</v>
      </c>
      <c r="CB27" s="26">
        <f t="shared" si="39"/>
        <v>0.6</v>
      </c>
      <c r="CC27" s="26">
        <f t="shared" si="39"/>
        <v>0</v>
      </c>
      <c r="CD27" s="26">
        <f t="shared" si="39"/>
        <v>0</v>
      </c>
      <c r="CE27" s="26">
        <f t="shared" si="39"/>
        <v>0.3</v>
      </c>
      <c r="CF27" s="26">
        <f t="shared" si="39"/>
        <v>0</v>
      </c>
      <c r="CG27" s="26">
        <f t="shared" si="39"/>
        <v>0</v>
      </c>
      <c r="CH27" s="26">
        <f t="shared" si="39"/>
        <v>0.3</v>
      </c>
      <c r="CI27" s="26">
        <f t="shared" si="40"/>
        <v>0</v>
      </c>
      <c r="CJ27" s="26">
        <f t="shared" si="40"/>
        <v>0</v>
      </c>
      <c r="CK27" s="26">
        <f t="shared" si="40"/>
        <v>0</v>
      </c>
      <c r="CL27" s="26">
        <f t="shared" si="40"/>
        <v>0</v>
      </c>
      <c r="CM27" s="26">
        <f t="shared" si="40"/>
        <v>0</v>
      </c>
      <c r="CN27" s="26">
        <f t="shared" si="40"/>
        <v>0</v>
      </c>
      <c r="CO27" s="26">
        <f t="shared" si="40"/>
        <v>0</v>
      </c>
      <c r="CP27" s="26">
        <f t="shared" si="40"/>
        <v>0</v>
      </c>
      <c r="CQ27" s="26">
        <f t="shared" si="40"/>
        <v>0</v>
      </c>
      <c r="CR27" s="26">
        <f t="shared" si="40"/>
        <v>0</v>
      </c>
      <c r="CS27" s="26">
        <f t="shared" si="40"/>
        <v>0</v>
      </c>
      <c r="CT27" s="26">
        <f t="shared" si="40"/>
        <v>0</v>
      </c>
      <c r="CU27" s="26">
        <f t="shared" si="41"/>
        <v>0.6</v>
      </c>
      <c r="CV27" s="26">
        <f t="shared" si="41"/>
        <v>0.6</v>
      </c>
      <c r="CW27" s="26">
        <f t="shared" si="41"/>
        <v>0</v>
      </c>
      <c r="CX27" s="26">
        <f t="shared" si="41"/>
        <v>0.6</v>
      </c>
      <c r="CY27" s="26">
        <f t="shared" si="41"/>
        <v>0</v>
      </c>
      <c r="CZ27" s="26">
        <f t="shared" si="41"/>
        <v>0</v>
      </c>
      <c r="DA27" s="26">
        <f t="shared" si="41"/>
        <v>0.6</v>
      </c>
      <c r="DB27" s="26">
        <f t="shared" si="41"/>
        <v>0</v>
      </c>
      <c r="DC27" s="26">
        <f t="shared" si="41"/>
        <v>0</v>
      </c>
      <c r="DD27" s="26">
        <f t="shared" si="41"/>
        <v>1</v>
      </c>
      <c r="DE27" s="26">
        <f t="shared" si="42"/>
        <v>0</v>
      </c>
      <c r="DF27" s="26">
        <f t="shared" si="42"/>
        <v>0</v>
      </c>
      <c r="DG27" s="26">
        <f t="shared" si="42"/>
        <v>0</v>
      </c>
      <c r="DH27" s="26">
        <f t="shared" si="42"/>
        <v>0</v>
      </c>
      <c r="DI27" s="26">
        <f t="shared" si="42"/>
        <v>0</v>
      </c>
      <c r="DJ27" s="26">
        <f t="shared" si="42"/>
        <v>0</v>
      </c>
      <c r="DK27" s="26">
        <f t="shared" si="42"/>
        <v>0</v>
      </c>
      <c r="DL27" s="26">
        <f t="shared" si="42"/>
        <v>0</v>
      </c>
      <c r="DM27" s="26">
        <f t="shared" si="42"/>
        <v>0</v>
      </c>
      <c r="DN27" s="26">
        <f t="shared" si="42"/>
        <v>0</v>
      </c>
      <c r="DO27" s="26">
        <f t="shared" si="42"/>
        <v>0</v>
      </c>
      <c r="DP27" s="26">
        <f t="shared" si="42"/>
        <v>0</v>
      </c>
      <c r="DQ27" s="26">
        <f t="shared" si="43"/>
        <v>0.6</v>
      </c>
      <c r="DR27" s="26">
        <f t="shared" si="43"/>
        <v>0.6</v>
      </c>
      <c r="DS27" s="26">
        <f t="shared" si="43"/>
        <v>0</v>
      </c>
      <c r="DT27" s="26">
        <f t="shared" si="43"/>
        <v>0.6</v>
      </c>
      <c r="DU27" s="26">
        <f t="shared" si="43"/>
        <v>0</v>
      </c>
      <c r="DV27" s="26">
        <f t="shared" si="43"/>
        <v>0</v>
      </c>
      <c r="DW27" s="26">
        <f t="shared" si="43"/>
        <v>1</v>
      </c>
      <c r="DX27" s="26">
        <f t="shared" si="43"/>
        <v>0</v>
      </c>
      <c r="DY27" s="26">
        <f t="shared" si="43"/>
        <v>0</v>
      </c>
      <c r="DZ27" s="26">
        <f t="shared" si="43"/>
        <v>1</v>
      </c>
      <c r="EA27" s="26">
        <f t="shared" si="44"/>
        <v>0</v>
      </c>
      <c r="EB27" s="26">
        <f t="shared" si="44"/>
        <v>0</v>
      </c>
      <c r="EC27" s="26">
        <f t="shared" si="44"/>
        <v>0</v>
      </c>
      <c r="ED27" s="26">
        <f t="shared" si="44"/>
        <v>0</v>
      </c>
      <c r="EE27" s="26">
        <f t="shared" si="44"/>
        <v>0</v>
      </c>
      <c r="EF27" s="26">
        <f t="shared" si="44"/>
        <v>0</v>
      </c>
      <c r="EG27" s="26">
        <f t="shared" si="44"/>
        <v>0</v>
      </c>
      <c r="EH27" s="26">
        <f t="shared" si="44"/>
        <v>0</v>
      </c>
      <c r="EI27" s="26">
        <f t="shared" si="44"/>
        <v>0</v>
      </c>
      <c r="EJ27" s="26">
        <f t="shared" si="44"/>
        <v>0</v>
      </c>
      <c r="EK27" s="26">
        <f t="shared" si="44"/>
        <v>0</v>
      </c>
      <c r="EL27" s="26">
        <f t="shared" si="44"/>
        <v>0</v>
      </c>
      <c r="EM27" s="26">
        <f t="shared" si="18"/>
        <v>21790</v>
      </c>
      <c r="EN27" s="26">
        <f t="shared" si="19"/>
        <v>21790</v>
      </c>
      <c r="EO27" s="26">
        <f t="shared" si="20"/>
        <v>25424</v>
      </c>
      <c r="EP27" s="26">
        <f t="shared" si="21"/>
        <v>37109</v>
      </c>
      <c r="EQ27" s="26">
        <f t="shared" si="22"/>
        <v>41265</v>
      </c>
    </row>
    <row r="28" spans="2:147">
      <c r="B28" s="27">
        <v>4</v>
      </c>
      <c r="C28" s="27">
        <v>6</v>
      </c>
      <c r="D28" s="27">
        <v>500</v>
      </c>
      <c r="E28" s="27">
        <f t="shared" si="23"/>
        <v>12000</v>
      </c>
      <c r="F28" s="27">
        <f t="shared" si="11"/>
        <v>12000</v>
      </c>
      <c r="G28" s="27">
        <f>SUM(F$5:F28)</f>
        <v>150000</v>
      </c>
      <c r="H28" s="27">
        <f t="shared" si="24"/>
        <v>24</v>
      </c>
      <c r="I28" s="27" t="s">
        <v>173</v>
      </c>
      <c r="J28" s="27">
        <v>0.4</v>
      </c>
      <c r="K28" s="27">
        <f>INDEX(其他调用!$BO$5:$BO$61,MATCH(星阵点亮!I28,其他调用!$BM$5:$BM$61,0))*J28</f>
        <v>6763.0121813621026</v>
      </c>
      <c r="L28" s="28">
        <f t="shared" si="12"/>
        <v>5720</v>
      </c>
      <c r="Q28" s="26">
        <v>24</v>
      </c>
      <c r="R28" s="26">
        <f>总纲!D28</f>
        <v>4.2780316430915768</v>
      </c>
      <c r="S28" s="26">
        <f>求节点(将星点产出!$W$6:$W$44,将星点产出!$AO$6:$AO$44,星阵点亮!$Q28)</f>
        <v>14346.77862207527</v>
      </c>
      <c r="T28" s="26">
        <f t="shared" si="13"/>
        <v>7</v>
      </c>
      <c r="U28" s="26">
        <f>总纲!E28</f>
        <v>3.7214597263253628</v>
      </c>
      <c r="V28" s="26">
        <f>求节点(将星点产出!$W$51:$W$89,将星点产出!$AO$51:$AO$89,星阵点亮!$Q28)</f>
        <v>15361.913969473933</v>
      </c>
      <c r="W28" s="26">
        <f t="shared" si="14"/>
        <v>7</v>
      </c>
      <c r="X28" s="26">
        <f>总纲!F28</f>
        <v>3.0699155070825155</v>
      </c>
      <c r="Y28" s="26">
        <f>求节点(将星点产出!$W$96:$W$134,将星点产出!$AO$96:$AO$134,星阵点亮!$Q28)</f>
        <v>18915.543875018935</v>
      </c>
      <c r="Z28" s="26">
        <f t="shared" si="15"/>
        <v>8</v>
      </c>
      <c r="AA28" s="26">
        <f>总纲!G28</f>
        <v>2.2742016214674821</v>
      </c>
      <c r="AB28" s="26">
        <f>求节点(将星点产出!$W$141:$W$179,将星点产出!$AO$141:$AO$179,星阵点亮!$Q28)</f>
        <v>38219.659667033236</v>
      </c>
      <c r="AC28" s="26">
        <f t="shared" si="16"/>
        <v>11</v>
      </c>
      <c r="AD28" s="26">
        <f>总纲!H28</f>
        <v>1.2692919885052709</v>
      </c>
      <c r="AE28" s="26">
        <f>求节点(将星点产出!$W$186:$W$224,将星点产出!$AO$186:$AO$224,星阵点亮!$Q28)</f>
        <v>41982.41074315345</v>
      </c>
      <c r="AF28" s="26">
        <f t="shared" si="17"/>
        <v>12</v>
      </c>
      <c r="AG28" s="26">
        <f t="shared" si="35"/>
        <v>0.6</v>
      </c>
      <c r="AH28" s="26">
        <f t="shared" si="35"/>
        <v>0.6</v>
      </c>
      <c r="AI28" s="26">
        <f t="shared" si="35"/>
        <v>0</v>
      </c>
      <c r="AJ28" s="26">
        <f t="shared" si="35"/>
        <v>0.6</v>
      </c>
      <c r="AK28" s="26">
        <f t="shared" si="35"/>
        <v>0</v>
      </c>
      <c r="AL28" s="26">
        <f t="shared" si="35"/>
        <v>0</v>
      </c>
      <c r="AM28" s="26">
        <f t="shared" si="35"/>
        <v>0</v>
      </c>
      <c r="AN28" s="26">
        <f t="shared" si="35"/>
        <v>0</v>
      </c>
      <c r="AO28" s="26">
        <f t="shared" si="35"/>
        <v>0</v>
      </c>
      <c r="AP28" s="26">
        <f t="shared" si="35"/>
        <v>0.3</v>
      </c>
      <c r="AQ28" s="26">
        <f t="shared" si="36"/>
        <v>0</v>
      </c>
      <c r="AR28" s="26">
        <f t="shared" si="36"/>
        <v>0</v>
      </c>
      <c r="AS28" s="26">
        <f t="shared" si="36"/>
        <v>0</v>
      </c>
      <c r="AT28" s="26">
        <f t="shared" si="36"/>
        <v>0</v>
      </c>
      <c r="AU28" s="26">
        <f t="shared" si="36"/>
        <v>0</v>
      </c>
      <c r="AV28" s="26">
        <f t="shared" si="36"/>
        <v>0</v>
      </c>
      <c r="AW28" s="26">
        <f t="shared" si="36"/>
        <v>0</v>
      </c>
      <c r="AX28" s="26">
        <f t="shared" si="36"/>
        <v>0</v>
      </c>
      <c r="AY28" s="26">
        <f t="shared" si="36"/>
        <v>0</v>
      </c>
      <c r="AZ28" s="26">
        <f t="shared" si="36"/>
        <v>0</v>
      </c>
      <c r="BA28" s="26">
        <f t="shared" si="36"/>
        <v>0</v>
      </c>
      <c r="BB28" s="26">
        <f t="shared" si="36"/>
        <v>0</v>
      </c>
      <c r="BC28" s="26">
        <f t="shared" si="37"/>
        <v>0.6</v>
      </c>
      <c r="BD28" s="26">
        <f t="shared" si="37"/>
        <v>0.6</v>
      </c>
      <c r="BE28" s="26">
        <f t="shared" si="37"/>
        <v>0</v>
      </c>
      <c r="BF28" s="26">
        <f t="shared" si="37"/>
        <v>0.6</v>
      </c>
      <c r="BG28" s="26">
        <f t="shared" si="37"/>
        <v>0</v>
      </c>
      <c r="BH28" s="26">
        <f t="shared" si="37"/>
        <v>0</v>
      </c>
      <c r="BI28" s="26">
        <f t="shared" si="37"/>
        <v>0</v>
      </c>
      <c r="BJ28" s="26">
        <f t="shared" si="37"/>
        <v>0</v>
      </c>
      <c r="BK28" s="26">
        <f t="shared" si="37"/>
        <v>0</v>
      </c>
      <c r="BL28" s="26">
        <f t="shared" si="37"/>
        <v>0.3</v>
      </c>
      <c r="BM28" s="26">
        <f t="shared" si="38"/>
        <v>0</v>
      </c>
      <c r="BN28" s="26">
        <f t="shared" si="38"/>
        <v>0</v>
      </c>
      <c r="BO28" s="26">
        <f t="shared" si="38"/>
        <v>0</v>
      </c>
      <c r="BP28" s="26">
        <f t="shared" si="38"/>
        <v>0</v>
      </c>
      <c r="BQ28" s="26">
        <f t="shared" si="38"/>
        <v>0</v>
      </c>
      <c r="BR28" s="26">
        <f t="shared" si="38"/>
        <v>0</v>
      </c>
      <c r="BS28" s="26">
        <f t="shared" si="38"/>
        <v>0</v>
      </c>
      <c r="BT28" s="26">
        <f t="shared" si="38"/>
        <v>0</v>
      </c>
      <c r="BU28" s="26">
        <f t="shared" si="38"/>
        <v>0</v>
      </c>
      <c r="BV28" s="26">
        <f t="shared" si="38"/>
        <v>0</v>
      </c>
      <c r="BW28" s="26">
        <f t="shared" si="38"/>
        <v>0</v>
      </c>
      <c r="BX28" s="26">
        <f t="shared" si="38"/>
        <v>0</v>
      </c>
      <c r="BY28" s="26">
        <f t="shared" si="39"/>
        <v>0.6</v>
      </c>
      <c r="BZ28" s="26">
        <f t="shared" si="39"/>
        <v>0.6</v>
      </c>
      <c r="CA28" s="26">
        <f t="shared" si="39"/>
        <v>0</v>
      </c>
      <c r="CB28" s="26">
        <f t="shared" si="39"/>
        <v>0.6</v>
      </c>
      <c r="CC28" s="26">
        <f t="shared" si="39"/>
        <v>0</v>
      </c>
      <c r="CD28" s="26">
        <f t="shared" si="39"/>
        <v>0</v>
      </c>
      <c r="CE28" s="26">
        <f t="shared" si="39"/>
        <v>0.3</v>
      </c>
      <c r="CF28" s="26">
        <f t="shared" si="39"/>
        <v>0</v>
      </c>
      <c r="CG28" s="26">
        <f t="shared" si="39"/>
        <v>0</v>
      </c>
      <c r="CH28" s="26">
        <f t="shared" si="39"/>
        <v>0.3</v>
      </c>
      <c r="CI28" s="26">
        <f t="shared" si="40"/>
        <v>0</v>
      </c>
      <c r="CJ28" s="26">
        <f t="shared" si="40"/>
        <v>0</v>
      </c>
      <c r="CK28" s="26">
        <f t="shared" si="40"/>
        <v>0</v>
      </c>
      <c r="CL28" s="26">
        <f t="shared" si="40"/>
        <v>0</v>
      </c>
      <c r="CM28" s="26">
        <f t="shared" si="40"/>
        <v>0</v>
      </c>
      <c r="CN28" s="26">
        <f t="shared" si="40"/>
        <v>0</v>
      </c>
      <c r="CO28" s="26">
        <f t="shared" si="40"/>
        <v>0</v>
      </c>
      <c r="CP28" s="26">
        <f t="shared" si="40"/>
        <v>0</v>
      </c>
      <c r="CQ28" s="26">
        <f t="shared" si="40"/>
        <v>0</v>
      </c>
      <c r="CR28" s="26">
        <f t="shared" si="40"/>
        <v>0</v>
      </c>
      <c r="CS28" s="26">
        <f t="shared" si="40"/>
        <v>0</v>
      </c>
      <c r="CT28" s="26">
        <f t="shared" si="40"/>
        <v>0</v>
      </c>
      <c r="CU28" s="26">
        <f t="shared" si="41"/>
        <v>0.6</v>
      </c>
      <c r="CV28" s="26">
        <f t="shared" si="41"/>
        <v>0.6</v>
      </c>
      <c r="CW28" s="26">
        <f t="shared" si="41"/>
        <v>0</v>
      </c>
      <c r="CX28" s="26">
        <f t="shared" si="41"/>
        <v>0.6</v>
      </c>
      <c r="CY28" s="26">
        <f t="shared" si="41"/>
        <v>0</v>
      </c>
      <c r="CZ28" s="26">
        <f t="shared" si="41"/>
        <v>0</v>
      </c>
      <c r="DA28" s="26">
        <f t="shared" si="41"/>
        <v>0.6</v>
      </c>
      <c r="DB28" s="26">
        <f t="shared" si="41"/>
        <v>0</v>
      </c>
      <c r="DC28" s="26">
        <f t="shared" si="41"/>
        <v>0</v>
      </c>
      <c r="DD28" s="26">
        <f t="shared" si="41"/>
        <v>1</v>
      </c>
      <c r="DE28" s="26">
        <f t="shared" si="42"/>
        <v>0</v>
      </c>
      <c r="DF28" s="26">
        <f t="shared" si="42"/>
        <v>0</v>
      </c>
      <c r="DG28" s="26">
        <f t="shared" si="42"/>
        <v>0</v>
      </c>
      <c r="DH28" s="26">
        <f t="shared" si="42"/>
        <v>0</v>
      </c>
      <c r="DI28" s="26">
        <f t="shared" si="42"/>
        <v>0</v>
      </c>
      <c r="DJ28" s="26">
        <f t="shared" si="42"/>
        <v>0</v>
      </c>
      <c r="DK28" s="26">
        <f t="shared" si="42"/>
        <v>0</v>
      </c>
      <c r="DL28" s="26">
        <f t="shared" si="42"/>
        <v>0</v>
      </c>
      <c r="DM28" s="26">
        <f t="shared" si="42"/>
        <v>0</v>
      </c>
      <c r="DN28" s="26">
        <f t="shared" si="42"/>
        <v>0</v>
      </c>
      <c r="DO28" s="26">
        <f t="shared" si="42"/>
        <v>0</v>
      </c>
      <c r="DP28" s="26">
        <f t="shared" si="42"/>
        <v>0</v>
      </c>
      <c r="DQ28" s="26">
        <f t="shared" si="43"/>
        <v>0.6</v>
      </c>
      <c r="DR28" s="26">
        <f t="shared" si="43"/>
        <v>0.6</v>
      </c>
      <c r="DS28" s="26">
        <f t="shared" si="43"/>
        <v>0</v>
      </c>
      <c r="DT28" s="26">
        <f t="shared" si="43"/>
        <v>0.6</v>
      </c>
      <c r="DU28" s="26">
        <f t="shared" si="43"/>
        <v>0</v>
      </c>
      <c r="DV28" s="26">
        <f t="shared" si="43"/>
        <v>0</v>
      </c>
      <c r="DW28" s="26">
        <f t="shared" si="43"/>
        <v>1</v>
      </c>
      <c r="DX28" s="26">
        <f t="shared" si="43"/>
        <v>0</v>
      </c>
      <c r="DY28" s="26">
        <f t="shared" si="43"/>
        <v>0</v>
      </c>
      <c r="DZ28" s="26">
        <f t="shared" si="43"/>
        <v>1</v>
      </c>
      <c r="EA28" s="26">
        <f t="shared" si="44"/>
        <v>0</v>
      </c>
      <c r="EB28" s="26">
        <f t="shared" si="44"/>
        <v>0</v>
      </c>
      <c r="EC28" s="26">
        <f t="shared" si="44"/>
        <v>0</v>
      </c>
      <c r="ED28" s="26">
        <f t="shared" si="44"/>
        <v>0</v>
      </c>
      <c r="EE28" s="26">
        <f t="shared" si="44"/>
        <v>0</v>
      </c>
      <c r="EF28" s="26">
        <f t="shared" si="44"/>
        <v>0</v>
      </c>
      <c r="EG28" s="26">
        <f t="shared" si="44"/>
        <v>0</v>
      </c>
      <c r="EH28" s="26">
        <f t="shared" si="44"/>
        <v>0</v>
      </c>
      <c r="EI28" s="26">
        <f t="shared" si="44"/>
        <v>0</v>
      </c>
      <c r="EJ28" s="26">
        <f t="shared" si="44"/>
        <v>0</v>
      </c>
      <c r="EK28" s="26">
        <f t="shared" si="44"/>
        <v>0</v>
      </c>
      <c r="EL28" s="26">
        <f t="shared" si="44"/>
        <v>0</v>
      </c>
      <c r="EM28" s="26">
        <f t="shared" si="18"/>
        <v>21790</v>
      </c>
      <c r="EN28" s="26">
        <f t="shared" si="19"/>
        <v>21790</v>
      </c>
      <c r="EO28" s="26">
        <f t="shared" si="20"/>
        <v>25424</v>
      </c>
      <c r="EP28" s="26">
        <f t="shared" si="21"/>
        <v>37109</v>
      </c>
      <c r="EQ28" s="26">
        <f t="shared" si="22"/>
        <v>41265</v>
      </c>
    </row>
    <row r="29" spans="2:147">
      <c r="B29" s="27">
        <v>5</v>
      </c>
      <c r="C29" s="27">
        <v>1</v>
      </c>
      <c r="D29" s="27">
        <v>500</v>
      </c>
      <c r="E29" s="27">
        <f t="shared" si="23"/>
        <v>12500</v>
      </c>
      <c r="F29" s="27">
        <f t="shared" si="11"/>
        <v>12500</v>
      </c>
      <c r="G29" s="27">
        <f>SUM(F$5:F29)</f>
        <v>162500</v>
      </c>
      <c r="H29" s="27">
        <f t="shared" si="24"/>
        <v>25</v>
      </c>
      <c r="I29" s="27" t="s">
        <v>163</v>
      </c>
      <c r="J29" s="27">
        <v>0.4</v>
      </c>
      <c r="K29" s="27">
        <f>INDEX(其他调用!$BO$5:$BO$61,MATCH(星阵点亮!I29,其他调用!$BM$5:$BM$61,0))*J29</f>
        <v>3629.7058463365015</v>
      </c>
      <c r="L29" s="28">
        <f t="shared" si="12"/>
        <v>5850</v>
      </c>
      <c r="Q29" s="26">
        <v>25</v>
      </c>
      <c r="R29" s="26">
        <f>总纲!D29</f>
        <v>4.6568542494923806</v>
      </c>
      <c r="S29" s="26">
        <f>求节点(将星点产出!$W$6:$W$44,将星点产出!$AO$6:$AO$44,星阵点亮!$Q29)</f>
        <v>14591.723277594087</v>
      </c>
      <c r="T29" s="26">
        <f t="shared" si="13"/>
        <v>7</v>
      </c>
      <c r="U29" s="26">
        <f>总纲!E29</f>
        <v>4.054257309608067</v>
      </c>
      <c r="V29" s="26">
        <f>求节点(将星点产出!$W$51:$W$89,将星点产出!$AO$51:$AO$89,星阵点亮!$Q29)</f>
        <v>15611.58789525606</v>
      </c>
      <c r="W29" s="26">
        <f t="shared" si="14"/>
        <v>7</v>
      </c>
      <c r="X29" s="26">
        <f>总纲!F29</f>
        <v>3.3445527219854276</v>
      </c>
      <c r="Y29" s="26">
        <f>求节点(将星点产出!$W$96:$W$134,将星点产出!$AO$96:$AO$134,星阵点亮!$Q29)</f>
        <v>19777.142611669944</v>
      </c>
      <c r="Z29" s="26">
        <f t="shared" si="15"/>
        <v>8</v>
      </c>
      <c r="AA29" s="26">
        <f>总纲!G29</f>
        <v>2.478377831579845</v>
      </c>
      <c r="AB29" s="26">
        <f>求节点(将星点产出!$W$141:$W$179,将星点产出!$AO$141:$AO$179,星阵点亮!$Q29)</f>
        <v>40593.573937118694</v>
      </c>
      <c r="AC29" s="26">
        <f t="shared" si="16"/>
        <v>12</v>
      </c>
      <c r="AD29" s="26">
        <f>总纲!H29</f>
        <v>1.3802915995495415</v>
      </c>
      <c r="AE29" s="26">
        <f>求节点(将星点产出!$W$186:$W$224,将星点产出!$AO$186:$AO$224,星阵点亮!$Q29)</f>
        <v>44212.105326779318</v>
      </c>
      <c r="AF29" s="26">
        <f t="shared" si="17"/>
        <v>12</v>
      </c>
      <c r="AG29" s="26">
        <f t="shared" si="35"/>
        <v>0.6</v>
      </c>
      <c r="AH29" s="26">
        <f t="shared" si="35"/>
        <v>0.6</v>
      </c>
      <c r="AI29" s="26">
        <f t="shared" si="35"/>
        <v>0</v>
      </c>
      <c r="AJ29" s="26">
        <f t="shared" si="35"/>
        <v>0.6</v>
      </c>
      <c r="AK29" s="26">
        <f t="shared" si="35"/>
        <v>0</v>
      </c>
      <c r="AL29" s="26">
        <f t="shared" si="35"/>
        <v>0</v>
      </c>
      <c r="AM29" s="26">
        <f t="shared" si="35"/>
        <v>0</v>
      </c>
      <c r="AN29" s="26">
        <f t="shared" si="35"/>
        <v>0</v>
      </c>
      <c r="AO29" s="26">
        <f t="shared" si="35"/>
        <v>0</v>
      </c>
      <c r="AP29" s="26">
        <f t="shared" si="35"/>
        <v>0.3</v>
      </c>
      <c r="AQ29" s="26">
        <f t="shared" si="36"/>
        <v>0</v>
      </c>
      <c r="AR29" s="26">
        <f t="shared" si="36"/>
        <v>0</v>
      </c>
      <c r="AS29" s="26">
        <f t="shared" si="36"/>
        <v>0</v>
      </c>
      <c r="AT29" s="26">
        <f t="shared" si="36"/>
        <v>0</v>
      </c>
      <c r="AU29" s="26">
        <f t="shared" si="36"/>
        <v>0</v>
      </c>
      <c r="AV29" s="26">
        <f t="shared" si="36"/>
        <v>0</v>
      </c>
      <c r="AW29" s="26">
        <f t="shared" si="36"/>
        <v>0</v>
      </c>
      <c r="AX29" s="26">
        <f t="shared" si="36"/>
        <v>0</v>
      </c>
      <c r="AY29" s="26">
        <f t="shared" si="36"/>
        <v>0</v>
      </c>
      <c r="AZ29" s="26">
        <f t="shared" si="36"/>
        <v>0</v>
      </c>
      <c r="BA29" s="26">
        <f t="shared" si="36"/>
        <v>0</v>
      </c>
      <c r="BB29" s="26">
        <f t="shared" si="36"/>
        <v>0</v>
      </c>
      <c r="BC29" s="26">
        <f t="shared" si="37"/>
        <v>0.6</v>
      </c>
      <c r="BD29" s="26">
        <f t="shared" si="37"/>
        <v>0.6</v>
      </c>
      <c r="BE29" s="26">
        <f t="shared" si="37"/>
        <v>0</v>
      </c>
      <c r="BF29" s="26">
        <f t="shared" si="37"/>
        <v>0.6</v>
      </c>
      <c r="BG29" s="26">
        <f t="shared" si="37"/>
        <v>0</v>
      </c>
      <c r="BH29" s="26">
        <f t="shared" si="37"/>
        <v>0</v>
      </c>
      <c r="BI29" s="26">
        <f t="shared" si="37"/>
        <v>0</v>
      </c>
      <c r="BJ29" s="26">
        <f t="shared" si="37"/>
        <v>0</v>
      </c>
      <c r="BK29" s="26">
        <f t="shared" si="37"/>
        <v>0</v>
      </c>
      <c r="BL29" s="26">
        <f t="shared" si="37"/>
        <v>0.3</v>
      </c>
      <c r="BM29" s="26">
        <f t="shared" si="38"/>
        <v>0</v>
      </c>
      <c r="BN29" s="26">
        <f t="shared" si="38"/>
        <v>0</v>
      </c>
      <c r="BO29" s="26">
        <f t="shared" si="38"/>
        <v>0</v>
      </c>
      <c r="BP29" s="26">
        <f t="shared" si="38"/>
        <v>0</v>
      </c>
      <c r="BQ29" s="26">
        <f t="shared" si="38"/>
        <v>0</v>
      </c>
      <c r="BR29" s="26">
        <f t="shared" si="38"/>
        <v>0</v>
      </c>
      <c r="BS29" s="26">
        <f t="shared" si="38"/>
        <v>0</v>
      </c>
      <c r="BT29" s="26">
        <f t="shared" si="38"/>
        <v>0</v>
      </c>
      <c r="BU29" s="26">
        <f t="shared" si="38"/>
        <v>0</v>
      </c>
      <c r="BV29" s="26">
        <f t="shared" si="38"/>
        <v>0</v>
      </c>
      <c r="BW29" s="26">
        <f t="shared" si="38"/>
        <v>0</v>
      </c>
      <c r="BX29" s="26">
        <f t="shared" si="38"/>
        <v>0</v>
      </c>
      <c r="BY29" s="26">
        <f t="shared" si="39"/>
        <v>0.6</v>
      </c>
      <c r="BZ29" s="26">
        <f t="shared" si="39"/>
        <v>0.6</v>
      </c>
      <c r="CA29" s="26">
        <f t="shared" si="39"/>
        <v>0</v>
      </c>
      <c r="CB29" s="26">
        <f t="shared" si="39"/>
        <v>0.6</v>
      </c>
      <c r="CC29" s="26">
        <f t="shared" si="39"/>
        <v>0</v>
      </c>
      <c r="CD29" s="26">
        <f t="shared" si="39"/>
        <v>0</v>
      </c>
      <c r="CE29" s="26">
        <f t="shared" si="39"/>
        <v>0.3</v>
      </c>
      <c r="CF29" s="26">
        <f t="shared" si="39"/>
        <v>0</v>
      </c>
      <c r="CG29" s="26">
        <f t="shared" si="39"/>
        <v>0</v>
      </c>
      <c r="CH29" s="26">
        <f t="shared" si="39"/>
        <v>0.3</v>
      </c>
      <c r="CI29" s="26">
        <f t="shared" si="40"/>
        <v>0</v>
      </c>
      <c r="CJ29" s="26">
        <f t="shared" si="40"/>
        <v>0</v>
      </c>
      <c r="CK29" s="26">
        <f t="shared" si="40"/>
        <v>0</v>
      </c>
      <c r="CL29" s="26">
        <f t="shared" si="40"/>
        <v>0</v>
      </c>
      <c r="CM29" s="26">
        <f t="shared" si="40"/>
        <v>0</v>
      </c>
      <c r="CN29" s="26">
        <f t="shared" si="40"/>
        <v>0</v>
      </c>
      <c r="CO29" s="26">
        <f t="shared" si="40"/>
        <v>0</v>
      </c>
      <c r="CP29" s="26">
        <f t="shared" si="40"/>
        <v>0</v>
      </c>
      <c r="CQ29" s="26">
        <f t="shared" si="40"/>
        <v>0</v>
      </c>
      <c r="CR29" s="26">
        <f t="shared" si="40"/>
        <v>0</v>
      </c>
      <c r="CS29" s="26">
        <f t="shared" si="40"/>
        <v>0</v>
      </c>
      <c r="CT29" s="26">
        <f t="shared" si="40"/>
        <v>0</v>
      </c>
      <c r="CU29" s="26">
        <f t="shared" si="41"/>
        <v>0.6</v>
      </c>
      <c r="CV29" s="26">
        <f t="shared" si="41"/>
        <v>0.6</v>
      </c>
      <c r="CW29" s="26">
        <f t="shared" si="41"/>
        <v>0</v>
      </c>
      <c r="CX29" s="26">
        <f t="shared" si="41"/>
        <v>0.6</v>
      </c>
      <c r="CY29" s="26">
        <f t="shared" si="41"/>
        <v>0</v>
      </c>
      <c r="CZ29" s="26">
        <f t="shared" si="41"/>
        <v>0</v>
      </c>
      <c r="DA29" s="26">
        <f t="shared" si="41"/>
        <v>1</v>
      </c>
      <c r="DB29" s="26">
        <f t="shared" si="41"/>
        <v>0</v>
      </c>
      <c r="DC29" s="26">
        <f t="shared" si="41"/>
        <v>0</v>
      </c>
      <c r="DD29" s="26">
        <f t="shared" si="41"/>
        <v>1</v>
      </c>
      <c r="DE29" s="26">
        <f t="shared" si="42"/>
        <v>0</v>
      </c>
      <c r="DF29" s="26">
        <f t="shared" si="42"/>
        <v>0</v>
      </c>
      <c r="DG29" s="26">
        <f t="shared" si="42"/>
        <v>0</v>
      </c>
      <c r="DH29" s="26">
        <f t="shared" si="42"/>
        <v>0</v>
      </c>
      <c r="DI29" s="26">
        <f t="shared" si="42"/>
        <v>0</v>
      </c>
      <c r="DJ29" s="26">
        <f t="shared" si="42"/>
        <v>0</v>
      </c>
      <c r="DK29" s="26">
        <f t="shared" si="42"/>
        <v>0</v>
      </c>
      <c r="DL29" s="26">
        <f t="shared" si="42"/>
        <v>0</v>
      </c>
      <c r="DM29" s="26">
        <f t="shared" si="42"/>
        <v>0</v>
      </c>
      <c r="DN29" s="26">
        <f t="shared" si="42"/>
        <v>0</v>
      </c>
      <c r="DO29" s="26">
        <f t="shared" si="42"/>
        <v>0</v>
      </c>
      <c r="DP29" s="26">
        <f t="shared" si="42"/>
        <v>0</v>
      </c>
      <c r="DQ29" s="26">
        <f t="shared" si="43"/>
        <v>0.6</v>
      </c>
      <c r="DR29" s="26">
        <f t="shared" si="43"/>
        <v>0.6</v>
      </c>
      <c r="DS29" s="26">
        <f t="shared" si="43"/>
        <v>0</v>
      </c>
      <c r="DT29" s="26">
        <f t="shared" si="43"/>
        <v>0.6</v>
      </c>
      <c r="DU29" s="26">
        <f t="shared" si="43"/>
        <v>0</v>
      </c>
      <c r="DV29" s="26">
        <f t="shared" si="43"/>
        <v>0</v>
      </c>
      <c r="DW29" s="26">
        <f t="shared" si="43"/>
        <v>1</v>
      </c>
      <c r="DX29" s="26">
        <f t="shared" si="43"/>
        <v>0</v>
      </c>
      <c r="DY29" s="26">
        <f t="shared" si="43"/>
        <v>0</v>
      </c>
      <c r="DZ29" s="26">
        <f t="shared" si="43"/>
        <v>1</v>
      </c>
      <c r="EA29" s="26">
        <f t="shared" si="44"/>
        <v>0</v>
      </c>
      <c r="EB29" s="26">
        <f t="shared" si="44"/>
        <v>0</v>
      </c>
      <c r="EC29" s="26">
        <f t="shared" si="44"/>
        <v>0</v>
      </c>
      <c r="ED29" s="26">
        <f t="shared" si="44"/>
        <v>0</v>
      </c>
      <c r="EE29" s="26">
        <f t="shared" si="44"/>
        <v>0</v>
      </c>
      <c r="EF29" s="26">
        <f t="shared" si="44"/>
        <v>0</v>
      </c>
      <c r="EG29" s="26">
        <f t="shared" si="44"/>
        <v>0</v>
      </c>
      <c r="EH29" s="26">
        <f t="shared" si="44"/>
        <v>0</v>
      </c>
      <c r="EI29" s="26">
        <f t="shared" si="44"/>
        <v>0</v>
      </c>
      <c r="EJ29" s="26">
        <f t="shared" si="44"/>
        <v>0</v>
      </c>
      <c r="EK29" s="26">
        <f t="shared" si="44"/>
        <v>0</v>
      </c>
      <c r="EL29" s="26">
        <f t="shared" si="44"/>
        <v>0</v>
      </c>
      <c r="EM29" s="26">
        <f t="shared" si="18"/>
        <v>21790</v>
      </c>
      <c r="EN29" s="26">
        <f t="shared" si="19"/>
        <v>21790</v>
      </c>
      <c r="EO29" s="26">
        <f t="shared" si="20"/>
        <v>25424</v>
      </c>
      <c r="EP29" s="26">
        <f t="shared" si="21"/>
        <v>41265</v>
      </c>
      <c r="EQ29" s="26">
        <f t="shared" si="22"/>
        <v>41265</v>
      </c>
    </row>
    <row r="30" spans="2:147">
      <c r="B30" s="27">
        <v>5</v>
      </c>
      <c r="C30" s="27">
        <v>2</v>
      </c>
      <c r="D30" s="27">
        <v>500</v>
      </c>
      <c r="E30" s="27">
        <f t="shared" si="23"/>
        <v>13000</v>
      </c>
      <c r="F30" s="27">
        <f t="shared" si="11"/>
        <v>13000</v>
      </c>
      <c r="G30" s="27">
        <f>SUM(F$5:F30)</f>
        <v>175500</v>
      </c>
      <c r="H30" s="27">
        <f t="shared" si="24"/>
        <v>26</v>
      </c>
      <c r="I30" s="27" t="s">
        <v>165</v>
      </c>
      <c r="J30" s="27">
        <v>0.4</v>
      </c>
      <c r="K30" s="27">
        <f>INDEX(其他调用!$BO$5:$BO$61,MATCH(星阵点亮!I30,其他调用!$BM$5:$BM$61,0))*J30</f>
        <v>3629.7058463365015</v>
      </c>
      <c r="L30" s="28">
        <f t="shared" si="12"/>
        <v>5980</v>
      </c>
      <c r="Q30" s="26">
        <v>26</v>
      </c>
      <c r="R30" s="26">
        <f>总纲!D30</f>
        <v>5.062866266041592</v>
      </c>
      <c r="S30" s="26">
        <f>求节点(将星点产出!$W$6:$W$44,将星点产出!$AO$6:$AO$44,星阵点亮!$Q30)</f>
        <v>14836.667933112905</v>
      </c>
      <c r="T30" s="26">
        <f t="shared" si="13"/>
        <v>7</v>
      </c>
      <c r="U30" s="26">
        <f>总纲!E30</f>
        <v>4.408743944469018</v>
      </c>
      <c r="V30" s="26">
        <f>求节点(将星点产出!$W$51:$W$89,将星点产出!$AO$51:$AO$89,星阵点亮!$Q30)</f>
        <v>15861.261821038186</v>
      </c>
      <c r="W30" s="26">
        <f t="shared" si="14"/>
        <v>7</v>
      </c>
      <c r="X30" s="26">
        <f>总纲!F30</f>
        <v>3.63716312552428</v>
      </c>
      <c r="Y30" s="26">
        <f>求节点(将星点产出!$W$96:$W$134,将星点产出!$AO$96:$AO$134,星阵点亮!$Q30)</f>
        <v>20638.741348320949</v>
      </c>
      <c r="Z30" s="26">
        <f t="shared" si="15"/>
        <v>8</v>
      </c>
      <c r="AA30" s="26">
        <f>总纲!G30</f>
        <v>2.6914197070277099</v>
      </c>
      <c r="AB30" s="26">
        <f>求节点(将星点产出!$W$141:$W$179,将星点产出!$AO$141:$AO$179,星阵点亮!$Q30)</f>
        <v>42967.488207204151</v>
      </c>
      <c r="AC30" s="26">
        <f t="shared" si="16"/>
        <v>12</v>
      </c>
      <c r="AD30" s="26">
        <f>总纲!H30</f>
        <v>1.4996209880015197</v>
      </c>
      <c r="AE30" s="26">
        <f>求节点(将星点产出!$W$186:$W$224,将星点产出!$AO$186:$AO$224,星阵点亮!$Q30)</f>
        <v>46441.799910405192</v>
      </c>
      <c r="AF30" s="26">
        <f t="shared" si="17"/>
        <v>13</v>
      </c>
      <c r="AG30" s="26">
        <f t="shared" si="35"/>
        <v>0.6</v>
      </c>
      <c r="AH30" s="26">
        <f t="shared" si="35"/>
        <v>0.6</v>
      </c>
      <c r="AI30" s="26">
        <f t="shared" si="35"/>
        <v>0</v>
      </c>
      <c r="AJ30" s="26">
        <f t="shared" si="35"/>
        <v>0.6</v>
      </c>
      <c r="AK30" s="26">
        <f t="shared" si="35"/>
        <v>0</v>
      </c>
      <c r="AL30" s="26">
        <f t="shared" si="35"/>
        <v>0</v>
      </c>
      <c r="AM30" s="26">
        <f t="shared" si="35"/>
        <v>0</v>
      </c>
      <c r="AN30" s="26">
        <f t="shared" si="35"/>
        <v>0</v>
      </c>
      <c r="AO30" s="26">
        <f t="shared" si="35"/>
        <v>0</v>
      </c>
      <c r="AP30" s="26">
        <f t="shared" si="35"/>
        <v>0.3</v>
      </c>
      <c r="AQ30" s="26">
        <f t="shared" si="36"/>
        <v>0</v>
      </c>
      <c r="AR30" s="26">
        <f t="shared" si="36"/>
        <v>0</v>
      </c>
      <c r="AS30" s="26">
        <f t="shared" si="36"/>
        <v>0</v>
      </c>
      <c r="AT30" s="26">
        <f t="shared" si="36"/>
        <v>0</v>
      </c>
      <c r="AU30" s="26">
        <f t="shared" si="36"/>
        <v>0</v>
      </c>
      <c r="AV30" s="26">
        <f t="shared" si="36"/>
        <v>0</v>
      </c>
      <c r="AW30" s="26">
        <f t="shared" si="36"/>
        <v>0</v>
      </c>
      <c r="AX30" s="26">
        <f t="shared" si="36"/>
        <v>0</v>
      </c>
      <c r="AY30" s="26">
        <f t="shared" si="36"/>
        <v>0</v>
      </c>
      <c r="AZ30" s="26">
        <f t="shared" si="36"/>
        <v>0</v>
      </c>
      <c r="BA30" s="26">
        <f t="shared" si="36"/>
        <v>0</v>
      </c>
      <c r="BB30" s="26">
        <f t="shared" si="36"/>
        <v>0</v>
      </c>
      <c r="BC30" s="26">
        <f t="shared" si="37"/>
        <v>0.6</v>
      </c>
      <c r="BD30" s="26">
        <f t="shared" si="37"/>
        <v>0.6</v>
      </c>
      <c r="BE30" s="26">
        <f t="shared" si="37"/>
        <v>0</v>
      </c>
      <c r="BF30" s="26">
        <f t="shared" si="37"/>
        <v>0.6</v>
      </c>
      <c r="BG30" s="26">
        <f t="shared" si="37"/>
        <v>0</v>
      </c>
      <c r="BH30" s="26">
        <f t="shared" si="37"/>
        <v>0</v>
      </c>
      <c r="BI30" s="26">
        <f t="shared" si="37"/>
        <v>0</v>
      </c>
      <c r="BJ30" s="26">
        <f t="shared" si="37"/>
        <v>0</v>
      </c>
      <c r="BK30" s="26">
        <f t="shared" si="37"/>
        <v>0</v>
      </c>
      <c r="BL30" s="26">
        <f t="shared" si="37"/>
        <v>0.3</v>
      </c>
      <c r="BM30" s="26">
        <f t="shared" si="38"/>
        <v>0</v>
      </c>
      <c r="BN30" s="26">
        <f t="shared" si="38"/>
        <v>0</v>
      </c>
      <c r="BO30" s="26">
        <f t="shared" si="38"/>
        <v>0</v>
      </c>
      <c r="BP30" s="26">
        <f t="shared" si="38"/>
        <v>0</v>
      </c>
      <c r="BQ30" s="26">
        <f t="shared" si="38"/>
        <v>0</v>
      </c>
      <c r="BR30" s="26">
        <f t="shared" si="38"/>
        <v>0</v>
      </c>
      <c r="BS30" s="26">
        <f t="shared" si="38"/>
        <v>0</v>
      </c>
      <c r="BT30" s="26">
        <f t="shared" si="38"/>
        <v>0</v>
      </c>
      <c r="BU30" s="26">
        <f t="shared" si="38"/>
        <v>0</v>
      </c>
      <c r="BV30" s="26">
        <f t="shared" si="38"/>
        <v>0</v>
      </c>
      <c r="BW30" s="26">
        <f t="shared" si="38"/>
        <v>0</v>
      </c>
      <c r="BX30" s="26">
        <f t="shared" si="38"/>
        <v>0</v>
      </c>
      <c r="BY30" s="26">
        <f t="shared" si="39"/>
        <v>0.6</v>
      </c>
      <c r="BZ30" s="26">
        <f t="shared" si="39"/>
        <v>0.6</v>
      </c>
      <c r="CA30" s="26">
        <f t="shared" si="39"/>
        <v>0</v>
      </c>
      <c r="CB30" s="26">
        <f t="shared" si="39"/>
        <v>0.6</v>
      </c>
      <c r="CC30" s="26">
        <f t="shared" si="39"/>
        <v>0</v>
      </c>
      <c r="CD30" s="26">
        <f t="shared" si="39"/>
        <v>0</v>
      </c>
      <c r="CE30" s="26">
        <f t="shared" si="39"/>
        <v>0.3</v>
      </c>
      <c r="CF30" s="26">
        <f t="shared" si="39"/>
        <v>0</v>
      </c>
      <c r="CG30" s="26">
        <f t="shared" si="39"/>
        <v>0</v>
      </c>
      <c r="CH30" s="26">
        <f t="shared" si="39"/>
        <v>0.3</v>
      </c>
      <c r="CI30" s="26">
        <f t="shared" si="40"/>
        <v>0</v>
      </c>
      <c r="CJ30" s="26">
        <f t="shared" si="40"/>
        <v>0</v>
      </c>
      <c r="CK30" s="26">
        <f t="shared" si="40"/>
        <v>0</v>
      </c>
      <c r="CL30" s="26">
        <f t="shared" si="40"/>
        <v>0</v>
      </c>
      <c r="CM30" s="26">
        <f t="shared" si="40"/>
        <v>0</v>
      </c>
      <c r="CN30" s="26">
        <f t="shared" si="40"/>
        <v>0</v>
      </c>
      <c r="CO30" s="26">
        <f t="shared" si="40"/>
        <v>0</v>
      </c>
      <c r="CP30" s="26">
        <f t="shared" si="40"/>
        <v>0</v>
      </c>
      <c r="CQ30" s="26">
        <f t="shared" si="40"/>
        <v>0</v>
      </c>
      <c r="CR30" s="26">
        <f t="shared" si="40"/>
        <v>0</v>
      </c>
      <c r="CS30" s="26">
        <f t="shared" si="40"/>
        <v>0</v>
      </c>
      <c r="CT30" s="26">
        <f t="shared" si="40"/>
        <v>0</v>
      </c>
      <c r="CU30" s="26">
        <f t="shared" si="41"/>
        <v>0.6</v>
      </c>
      <c r="CV30" s="26">
        <f t="shared" si="41"/>
        <v>0.6</v>
      </c>
      <c r="CW30" s="26">
        <f t="shared" si="41"/>
        <v>0</v>
      </c>
      <c r="CX30" s="26">
        <f t="shared" si="41"/>
        <v>0.6</v>
      </c>
      <c r="CY30" s="26">
        <f t="shared" si="41"/>
        <v>0</v>
      </c>
      <c r="CZ30" s="26">
        <f t="shared" si="41"/>
        <v>0</v>
      </c>
      <c r="DA30" s="26">
        <f t="shared" si="41"/>
        <v>1</v>
      </c>
      <c r="DB30" s="26">
        <f t="shared" si="41"/>
        <v>0</v>
      </c>
      <c r="DC30" s="26">
        <f t="shared" si="41"/>
        <v>0</v>
      </c>
      <c r="DD30" s="26">
        <f t="shared" si="41"/>
        <v>1</v>
      </c>
      <c r="DE30" s="26">
        <f t="shared" si="42"/>
        <v>0</v>
      </c>
      <c r="DF30" s="26">
        <f t="shared" si="42"/>
        <v>0</v>
      </c>
      <c r="DG30" s="26">
        <f t="shared" si="42"/>
        <v>0</v>
      </c>
      <c r="DH30" s="26">
        <f t="shared" si="42"/>
        <v>0</v>
      </c>
      <c r="DI30" s="26">
        <f t="shared" si="42"/>
        <v>0</v>
      </c>
      <c r="DJ30" s="26">
        <f t="shared" si="42"/>
        <v>0</v>
      </c>
      <c r="DK30" s="26">
        <f t="shared" si="42"/>
        <v>0</v>
      </c>
      <c r="DL30" s="26">
        <f t="shared" si="42"/>
        <v>0</v>
      </c>
      <c r="DM30" s="26">
        <f t="shared" si="42"/>
        <v>0</v>
      </c>
      <c r="DN30" s="26">
        <f t="shared" si="42"/>
        <v>0</v>
      </c>
      <c r="DO30" s="26">
        <f t="shared" si="42"/>
        <v>0</v>
      </c>
      <c r="DP30" s="26">
        <f t="shared" si="42"/>
        <v>0</v>
      </c>
      <c r="DQ30" s="26">
        <f t="shared" si="43"/>
        <v>0.6</v>
      </c>
      <c r="DR30" s="26">
        <f t="shared" si="43"/>
        <v>0.6</v>
      </c>
      <c r="DS30" s="26">
        <f t="shared" si="43"/>
        <v>0.3</v>
      </c>
      <c r="DT30" s="26">
        <f t="shared" si="43"/>
        <v>0.6</v>
      </c>
      <c r="DU30" s="26">
        <f t="shared" si="43"/>
        <v>0</v>
      </c>
      <c r="DV30" s="26">
        <f t="shared" si="43"/>
        <v>0</v>
      </c>
      <c r="DW30" s="26">
        <f t="shared" si="43"/>
        <v>1</v>
      </c>
      <c r="DX30" s="26">
        <f t="shared" si="43"/>
        <v>0</v>
      </c>
      <c r="DY30" s="26">
        <f t="shared" si="43"/>
        <v>0</v>
      </c>
      <c r="DZ30" s="26">
        <f t="shared" si="43"/>
        <v>1</v>
      </c>
      <c r="EA30" s="26">
        <f t="shared" si="44"/>
        <v>0</v>
      </c>
      <c r="EB30" s="26">
        <f t="shared" si="44"/>
        <v>0</v>
      </c>
      <c r="EC30" s="26">
        <f t="shared" si="44"/>
        <v>0</v>
      </c>
      <c r="ED30" s="26">
        <f t="shared" si="44"/>
        <v>0</v>
      </c>
      <c r="EE30" s="26">
        <f t="shared" si="44"/>
        <v>0</v>
      </c>
      <c r="EF30" s="26">
        <f t="shared" si="44"/>
        <v>0</v>
      </c>
      <c r="EG30" s="26">
        <f t="shared" si="44"/>
        <v>0</v>
      </c>
      <c r="EH30" s="26">
        <f t="shared" si="44"/>
        <v>0</v>
      </c>
      <c r="EI30" s="26">
        <f t="shared" si="44"/>
        <v>0</v>
      </c>
      <c r="EJ30" s="26">
        <f t="shared" si="44"/>
        <v>0</v>
      </c>
      <c r="EK30" s="26">
        <f t="shared" si="44"/>
        <v>0</v>
      </c>
      <c r="EL30" s="26">
        <f t="shared" si="44"/>
        <v>0</v>
      </c>
      <c r="EM30" s="26">
        <f t="shared" si="18"/>
        <v>21790</v>
      </c>
      <c r="EN30" s="26">
        <f t="shared" si="19"/>
        <v>21790</v>
      </c>
      <c r="EO30" s="26">
        <f t="shared" si="20"/>
        <v>25424</v>
      </c>
      <c r="EP30" s="26">
        <f t="shared" si="21"/>
        <v>41265</v>
      </c>
      <c r="EQ30" s="26">
        <f t="shared" si="22"/>
        <v>45551</v>
      </c>
    </row>
    <row r="31" spans="2:147">
      <c r="B31" s="27">
        <v>5</v>
      </c>
      <c r="C31" s="27">
        <v>3</v>
      </c>
      <c r="D31" s="27">
        <v>500</v>
      </c>
      <c r="E31" s="27">
        <f t="shared" si="23"/>
        <v>13500</v>
      </c>
      <c r="F31" s="27">
        <f t="shared" si="11"/>
        <v>13500</v>
      </c>
      <c r="G31" s="27">
        <f>SUM(F$5:F31)</f>
        <v>189000</v>
      </c>
      <c r="H31" s="27">
        <f t="shared" si="24"/>
        <v>27</v>
      </c>
      <c r="I31" s="27" t="s">
        <v>233</v>
      </c>
      <c r="J31" s="27">
        <v>0.3</v>
      </c>
      <c r="K31" s="27">
        <f>INDEX(其他调用!$BO$5:$BO$61,MATCH(星阵点亮!I31,其他调用!$BM$5:$BM$61,0))*J31</f>
        <v>4083.4190771285639</v>
      </c>
      <c r="L31" s="28">
        <f t="shared" si="12"/>
        <v>6111</v>
      </c>
      <c r="Q31" s="26">
        <v>27</v>
      </c>
      <c r="R31" s="26">
        <f>总纲!D31</f>
        <v>5.4980191708498847</v>
      </c>
      <c r="S31" s="26">
        <f>求节点(将星点产出!$W$6:$W$44,将星点产出!$AO$6:$AO$44,星阵点亮!$Q31)</f>
        <v>15081.612588631722</v>
      </c>
      <c r="T31" s="26">
        <f t="shared" si="13"/>
        <v>7</v>
      </c>
      <c r="U31" s="26">
        <f>总纲!E31</f>
        <v>4.7882248958931646</v>
      </c>
      <c r="V31" s="26">
        <f>求节点(将星点产出!$W$51:$W$89,将星点产出!$AO$51:$AO$89,星阵点亮!$Q31)</f>
        <v>16110.935746820312</v>
      </c>
      <c r="W31" s="26">
        <f t="shared" si="14"/>
        <v>7</v>
      </c>
      <c r="X31" s="26">
        <f>总纲!F31</f>
        <v>3.9492271704214725</v>
      </c>
      <c r="Y31" s="26">
        <f>求节点(将星点产出!$W$96:$W$134,将星点产出!$AO$96:$AO$134,星阵点亮!$Q31)</f>
        <v>21500.340084971955</v>
      </c>
      <c r="Z31" s="26">
        <f t="shared" si="15"/>
        <v>8</v>
      </c>
      <c r="AA31" s="26">
        <f>总纲!G31</f>
        <v>2.9205477835554587</v>
      </c>
      <c r="AB31" s="26">
        <f>求节点(将星点产出!$W$141:$W$179,将星点产出!$AO$141:$AO$179,星阵点亮!$Q31)</f>
        <v>45341.402477289608</v>
      </c>
      <c r="AC31" s="26">
        <f t="shared" si="16"/>
        <v>12</v>
      </c>
      <c r="AD31" s="26">
        <f>总纲!H31</f>
        <v>1.6290630803228208</v>
      </c>
      <c r="AE31" s="26">
        <f>求节点(将星点产出!$W$186:$W$224,将星点产出!$AO$186:$AO$224,星阵点亮!$Q31)</f>
        <v>48671.494494031067</v>
      </c>
      <c r="AF31" s="26">
        <f t="shared" si="17"/>
        <v>13</v>
      </c>
      <c r="AG31" s="26">
        <f t="shared" si="35"/>
        <v>0.6</v>
      </c>
      <c r="AH31" s="26">
        <f t="shared" si="35"/>
        <v>0.6</v>
      </c>
      <c r="AI31" s="26">
        <f t="shared" si="35"/>
        <v>0</v>
      </c>
      <c r="AJ31" s="26">
        <f t="shared" si="35"/>
        <v>0.6</v>
      </c>
      <c r="AK31" s="26">
        <f t="shared" si="35"/>
        <v>0</v>
      </c>
      <c r="AL31" s="26">
        <f t="shared" si="35"/>
        <v>0</v>
      </c>
      <c r="AM31" s="26">
        <f t="shared" si="35"/>
        <v>0</v>
      </c>
      <c r="AN31" s="26">
        <f t="shared" si="35"/>
        <v>0</v>
      </c>
      <c r="AO31" s="26">
        <f t="shared" si="35"/>
        <v>0</v>
      </c>
      <c r="AP31" s="26">
        <f t="shared" si="35"/>
        <v>0.3</v>
      </c>
      <c r="AQ31" s="26">
        <f t="shared" si="36"/>
        <v>0</v>
      </c>
      <c r="AR31" s="26">
        <f t="shared" si="36"/>
        <v>0</v>
      </c>
      <c r="AS31" s="26">
        <f t="shared" si="36"/>
        <v>0</v>
      </c>
      <c r="AT31" s="26">
        <f t="shared" si="36"/>
        <v>0</v>
      </c>
      <c r="AU31" s="26">
        <f t="shared" si="36"/>
        <v>0</v>
      </c>
      <c r="AV31" s="26">
        <f t="shared" si="36"/>
        <v>0</v>
      </c>
      <c r="AW31" s="26">
        <f t="shared" si="36"/>
        <v>0</v>
      </c>
      <c r="AX31" s="26">
        <f t="shared" si="36"/>
        <v>0</v>
      </c>
      <c r="AY31" s="26">
        <f t="shared" si="36"/>
        <v>0</v>
      </c>
      <c r="AZ31" s="26">
        <f t="shared" si="36"/>
        <v>0</v>
      </c>
      <c r="BA31" s="26">
        <f t="shared" si="36"/>
        <v>0</v>
      </c>
      <c r="BB31" s="26">
        <f t="shared" si="36"/>
        <v>0</v>
      </c>
      <c r="BC31" s="26">
        <f t="shared" si="37"/>
        <v>0.6</v>
      </c>
      <c r="BD31" s="26">
        <f t="shared" si="37"/>
        <v>0.6</v>
      </c>
      <c r="BE31" s="26">
        <f t="shared" si="37"/>
        <v>0</v>
      </c>
      <c r="BF31" s="26">
        <f t="shared" si="37"/>
        <v>0.6</v>
      </c>
      <c r="BG31" s="26">
        <f t="shared" si="37"/>
        <v>0</v>
      </c>
      <c r="BH31" s="26">
        <f t="shared" si="37"/>
        <v>0</v>
      </c>
      <c r="BI31" s="26">
        <f t="shared" si="37"/>
        <v>0</v>
      </c>
      <c r="BJ31" s="26">
        <f t="shared" si="37"/>
        <v>0</v>
      </c>
      <c r="BK31" s="26">
        <f t="shared" si="37"/>
        <v>0</v>
      </c>
      <c r="BL31" s="26">
        <f t="shared" si="37"/>
        <v>0.3</v>
      </c>
      <c r="BM31" s="26">
        <f t="shared" si="38"/>
        <v>0</v>
      </c>
      <c r="BN31" s="26">
        <f t="shared" si="38"/>
        <v>0</v>
      </c>
      <c r="BO31" s="26">
        <f t="shared" si="38"/>
        <v>0</v>
      </c>
      <c r="BP31" s="26">
        <f t="shared" si="38"/>
        <v>0</v>
      </c>
      <c r="BQ31" s="26">
        <f t="shared" si="38"/>
        <v>0</v>
      </c>
      <c r="BR31" s="26">
        <f t="shared" si="38"/>
        <v>0</v>
      </c>
      <c r="BS31" s="26">
        <f t="shared" si="38"/>
        <v>0</v>
      </c>
      <c r="BT31" s="26">
        <f t="shared" si="38"/>
        <v>0</v>
      </c>
      <c r="BU31" s="26">
        <f t="shared" si="38"/>
        <v>0</v>
      </c>
      <c r="BV31" s="26">
        <f t="shared" si="38"/>
        <v>0</v>
      </c>
      <c r="BW31" s="26">
        <f t="shared" si="38"/>
        <v>0</v>
      </c>
      <c r="BX31" s="26">
        <f t="shared" si="38"/>
        <v>0</v>
      </c>
      <c r="BY31" s="26">
        <f t="shared" si="39"/>
        <v>0.6</v>
      </c>
      <c r="BZ31" s="26">
        <f t="shared" si="39"/>
        <v>0.6</v>
      </c>
      <c r="CA31" s="26">
        <f t="shared" si="39"/>
        <v>0</v>
      </c>
      <c r="CB31" s="26">
        <f t="shared" si="39"/>
        <v>0.6</v>
      </c>
      <c r="CC31" s="26">
        <f t="shared" si="39"/>
        <v>0</v>
      </c>
      <c r="CD31" s="26">
        <f t="shared" si="39"/>
        <v>0</v>
      </c>
      <c r="CE31" s="26">
        <f t="shared" si="39"/>
        <v>0.3</v>
      </c>
      <c r="CF31" s="26">
        <f t="shared" si="39"/>
        <v>0</v>
      </c>
      <c r="CG31" s="26">
        <f t="shared" si="39"/>
        <v>0</v>
      </c>
      <c r="CH31" s="26">
        <f t="shared" si="39"/>
        <v>0.3</v>
      </c>
      <c r="CI31" s="26">
        <f t="shared" si="40"/>
        <v>0</v>
      </c>
      <c r="CJ31" s="26">
        <f t="shared" si="40"/>
        <v>0</v>
      </c>
      <c r="CK31" s="26">
        <f t="shared" si="40"/>
        <v>0</v>
      </c>
      <c r="CL31" s="26">
        <f t="shared" si="40"/>
        <v>0</v>
      </c>
      <c r="CM31" s="26">
        <f t="shared" si="40"/>
        <v>0</v>
      </c>
      <c r="CN31" s="26">
        <f t="shared" si="40"/>
        <v>0</v>
      </c>
      <c r="CO31" s="26">
        <f t="shared" si="40"/>
        <v>0</v>
      </c>
      <c r="CP31" s="26">
        <f t="shared" si="40"/>
        <v>0</v>
      </c>
      <c r="CQ31" s="26">
        <f t="shared" si="40"/>
        <v>0</v>
      </c>
      <c r="CR31" s="26">
        <f t="shared" si="40"/>
        <v>0</v>
      </c>
      <c r="CS31" s="26">
        <f t="shared" si="40"/>
        <v>0</v>
      </c>
      <c r="CT31" s="26">
        <f t="shared" si="40"/>
        <v>0</v>
      </c>
      <c r="CU31" s="26">
        <f t="shared" si="41"/>
        <v>0.6</v>
      </c>
      <c r="CV31" s="26">
        <f t="shared" si="41"/>
        <v>0.6</v>
      </c>
      <c r="CW31" s="26">
        <f t="shared" si="41"/>
        <v>0</v>
      </c>
      <c r="CX31" s="26">
        <f t="shared" si="41"/>
        <v>0.6</v>
      </c>
      <c r="CY31" s="26">
        <f t="shared" si="41"/>
        <v>0</v>
      </c>
      <c r="CZ31" s="26">
        <f t="shared" si="41"/>
        <v>0</v>
      </c>
      <c r="DA31" s="26">
        <f t="shared" si="41"/>
        <v>1</v>
      </c>
      <c r="DB31" s="26">
        <f t="shared" si="41"/>
        <v>0</v>
      </c>
      <c r="DC31" s="26">
        <f t="shared" si="41"/>
        <v>0</v>
      </c>
      <c r="DD31" s="26">
        <f t="shared" si="41"/>
        <v>1</v>
      </c>
      <c r="DE31" s="26">
        <f t="shared" si="42"/>
        <v>0</v>
      </c>
      <c r="DF31" s="26">
        <f t="shared" si="42"/>
        <v>0</v>
      </c>
      <c r="DG31" s="26">
        <f t="shared" si="42"/>
        <v>0</v>
      </c>
      <c r="DH31" s="26">
        <f t="shared" si="42"/>
        <v>0</v>
      </c>
      <c r="DI31" s="26">
        <f t="shared" si="42"/>
        <v>0</v>
      </c>
      <c r="DJ31" s="26">
        <f t="shared" si="42"/>
        <v>0</v>
      </c>
      <c r="DK31" s="26">
        <f t="shared" si="42"/>
        <v>0</v>
      </c>
      <c r="DL31" s="26">
        <f t="shared" si="42"/>
        <v>0</v>
      </c>
      <c r="DM31" s="26">
        <f t="shared" si="42"/>
        <v>0</v>
      </c>
      <c r="DN31" s="26">
        <f t="shared" si="42"/>
        <v>0</v>
      </c>
      <c r="DO31" s="26">
        <f t="shared" si="42"/>
        <v>0</v>
      </c>
      <c r="DP31" s="26">
        <f t="shared" si="42"/>
        <v>0</v>
      </c>
      <c r="DQ31" s="26">
        <f t="shared" si="43"/>
        <v>0.6</v>
      </c>
      <c r="DR31" s="26">
        <f t="shared" si="43"/>
        <v>0.6</v>
      </c>
      <c r="DS31" s="26">
        <f t="shared" si="43"/>
        <v>0.3</v>
      </c>
      <c r="DT31" s="26">
        <f t="shared" si="43"/>
        <v>0.6</v>
      </c>
      <c r="DU31" s="26">
        <f t="shared" si="43"/>
        <v>0</v>
      </c>
      <c r="DV31" s="26">
        <f t="shared" si="43"/>
        <v>0</v>
      </c>
      <c r="DW31" s="26">
        <f t="shared" si="43"/>
        <v>1</v>
      </c>
      <c r="DX31" s="26">
        <f t="shared" si="43"/>
        <v>0</v>
      </c>
      <c r="DY31" s="26">
        <f t="shared" si="43"/>
        <v>0</v>
      </c>
      <c r="DZ31" s="26">
        <f t="shared" si="43"/>
        <v>1</v>
      </c>
      <c r="EA31" s="26">
        <f t="shared" si="44"/>
        <v>0</v>
      </c>
      <c r="EB31" s="26">
        <f t="shared" si="44"/>
        <v>0</v>
      </c>
      <c r="EC31" s="26">
        <f t="shared" si="44"/>
        <v>0</v>
      </c>
      <c r="ED31" s="26">
        <f t="shared" si="44"/>
        <v>0</v>
      </c>
      <c r="EE31" s="26">
        <f t="shared" si="44"/>
        <v>0</v>
      </c>
      <c r="EF31" s="26">
        <f t="shared" si="44"/>
        <v>0</v>
      </c>
      <c r="EG31" s="26">
        <f t="shared" si="44"/>
        <v>0</v>
      </c>
      <c r="EH31" s="26">
        <f t="shared" si="44"/>
        <v>0</v>
      </c>
      <c r="EI31" s="26">
        <f t="shared" si="44"/>
        <v>0</v>
      </c>
      <c r="EJ31" s="26">
        <f t="shared" si="44"/>
        <v>0</v>
      </c>
      <c r="EK31" s="26">
        <f t="shared" si="44"/>
        <v>0</v>
      </c>
      <c r="EL31" s="26">
        <f t="shared" si="44"/>
        <v>0</v>
      </c>
      <c r="EM31" s="26">
        <f t="shared" si="18"/>
        <v>21790</v>
      </c>
      <c r="EN31" s="26">
        <f t="shared" si="19"/>
        <v>21790</v>
      </c>
      <c r="EO31" s="26">
        <f t="shared" si="20"/>
        <v>25424</v>
      </c>
      <c r="EP31" s="26">
        <f t="shared" si="21"/>
        <v>41265</v>
      </c>
      <c r="EQ31" s="26">
        <f t="shared" si="22"/>
        <v>45551</v>
      </c>
    </row>
    <row r="32" spans="2:147">
      <c r="B32" s="27">
        <v>5</v>
      </c>
      <c r="C32" s="27">
        <v>4</v>
      </c>
      <c r="D32" s="27">
        <v>500</v>
      </c>
      <c r="E32" s="27">
        <f t="shared" si="23"/>
        <v>14000</v>
      </c>
      <c r="F32" s="27">
        <f t="shared" si="11"/>
        <v>14000</v>
      </c>
      <c r="G32" s="27">
        <f>SUM(F$5:F32)</f>
        <v>203000</v>
      </c>
      <c r="H32" s="27">
        <f t="shared" si="24"/>
        <v>28</v>
      </c>
      <c r="I32" s="27" t="s">
        <v>163</v>
      </c>
      <c r="J32" s="27">
        <v>0.5</v>
      </c>
      <c r="K32" s="27">
        <f>INDEX(其他调用!$BO$5:$BO$61,MATCH(星阵点亮!I32,其他调用!$BM$5:$BM$61,0))*J32</f>
        <v>4537.1323079206268</v>
      </c>
      <c r="L32" s="28">
        <f t="shared" si="12"/>
        <v>6241</v>
      </c>
      <c r="Q32" s="26">
        <v>28</v>
      </c>
      <c r="R32" s="26">
        <f>总纲!D32</f>
        <v>5.9644045063689921</v>
      </c>
      <c r="S32" s="26">
        <f>求节点(将星点产出!$W$6:$W$44,将星点产出!$AO$6:$AO$44,星阵点亮!$Q32)</f>
        <v>15326.557244150539</v>
      </c>
      <c r="T32" s="26">
        <f t="shared" si="13"/>
        <v>7</v>
      </c>
      <c r="U32" s="26">
        <f>总纲!E32</f>
        <v>5.1914176823435705</v>
      </c>
      <c r="V32" s="26">
        <f>求节点(将星点产出!$W$51:$W$89,将星点产出!$AO$51:$AO$89,星阵点亮!$Q32)</f>
        <v>16572.404266014721</v>
      </c>
      <c r="W32" s="26">
        <f t="shared" si="14"/>
        <v>7</v>
      </c>
      <c r="X32" s="26">
        <f>总纲!F32</f>
        <v>4.2752851501652938</v>
      </c>
      <c r="Y32" s="26">
        <f>求节点(将星点产出!$W$96:$W$134,将星点产出!$AO$96:$AO$134,星阵点亮!$Q32)</f>
        <v>22720.839062044524</v>
      </c>
      <c r="Z32" s="26">
        <f t="shared" si="15"/>
        <v>9</v>
      </c>
      <c r="AA32" s="26">
        <f>总纲!G32</f>
        <v>3.1653094715300236</v>
      </c>
      <c r="AB32" s="26">
        <f>求节点(将星点产出!$W$141:$W$179,将星点产出!$AO$141:$AO$179,星阵点亮!$Q32)</f>
        <v>47917.320347389053</v>
      </c>
      <c r="AC32" s="26">
        <f t="shared" si="16"/>
        <v>13</v>
      </c>
      <c r="AD32" s="26">
        <f>总纲!H32</f>
        <v>1.7738139001941382</v>
      </c>
      <c r="AE32" s="26">
        <f>求节点(将星点产出!$W$186:$W$224,将星点产出!$AO$186:$AO$224,星阵点亮!$Q32)</f>
        <v>51624.22945476108</v>
      </c>
      <c r="AF32" s="26">
        <f t="shared" si="17"/>
        <v>13</v>
      </c>
      <c r="AG32" s="26">
        <f t="shared" si="35"/>
        <v>0.6</v>
      </c>
      <c r="AH32" s="26">
        <f t="shared" si="35"/>
        <v>0.6</v>
      </c>
      <c r="AI32" s="26">
        <f t="shared" si="35"/>
        <v>0</v>
      </c>
      <c r="AJ32" s="26">
        <f t="shared" si="35"/>
        <v>0.6</v>
      </c>
      <c r="AK32" s="26">
        <f t="shared" si="35"/>
        <v>0</v>
      </c>
      <c r="AL32" s="26">
        <f t="shared" si="35"/>
        <v>0</v>
      </c>
      <c r="AM32" s="26">
        <f t="shared" si="35"/>
        <v>0</v>
      </c>
      <c r="AN32" s="26">
        <f t="shared" si="35"/>
        <v>0</v>
      </c>
      <c r="AO32" s="26">
        <f t="shared" si="35"/>
        <v>0</v>
      </c>
      <c r="AP32" s="26">
        <f t="shared" si="35"/>
        <v>0.3</v>
      </c>
      <c r="AQ32" s="26">
        <f t="shared" si="36"/>
        <v>0</v>
      </c>
      <c r="AR32" s="26">
        <f t="shared" si="36"/>
        <v>0</v>
      </c>
      <c r="AS32" s="26">
        <f t="shared" si="36"/>
        <v>0</v>
      </c>
      <c r="AT32" s="26">
        <f t="shared" si="36"/>
        <v>0</v>
      </c>
      <c r="AU32" s="26">
        <f t="shared" si="36"/>
        <v>0</v>
      </c>
      <c r="AV32" s="26">
        <f t="shared" si="36"/>
        <v>0</v>
      </c>
      <c r="AW32" s="26">
        <f t="shared" si="36"/>
        <v>0</v>
      </c>
      <c r="AX32" s="26">
        <f t="shared" si="36"/>
        <v>0</v>
      </c>
      <c r="AY32" s="26">
        <f t="shared" si="36"/>
        <v>0</v>
      </c>
      <c r="AZ32" s="26">
        <f t="shared" si="36"/>
        <v>0</v>
      </c>
      <c r="BA32" s="26">
        <f t="shared" si="36"/>
        <v>0</v>
      </c>
      <c r="BB32" s="26">
        <f t="shared" si="36"/>
        <v>0</v>
      </c>
      <c r="BC32" s="26">
        <f t="shared" si="37"/>
        <v>0.6</v>
      </c>
      <c r="BD32" s="26">
        <f t="shared" si="37"/>
        <v>0.6</v>
      </c>
      <c r="BE32" s="26">
        <f t="shared" si="37"/>
        <v>0</v>
      </c>
      <c r="BF32" s="26">
        <f t="shared" si="37"/>
        <v>0.6</v>
      </c>
      <c r="BG32" s="26">
        <f t="shared" si="37"/>
        <v>0</v>
      </c>
      <c r="BH32" s="26">
        <f t="shared" si="37"/>
        <v>0</v>
      </c>
      <c r="BI32" s="26">
        <f t="shared" si="37"/>
        <v>0</v>
      </c>
      <c r="BJ32" s="26">
        <f t="shared" si="37"/>
        <v>0</v>
      </c>
      <c r="BK32" s="26">
        <f t="shared" si="37"/>
        <v>0</v>
      </c>
      <c r="BL32" s="26">
        <f t="shared" si="37"/>
        <v>0.3</v>
      </c>
      <c r="BM32" s="26">
        <f t="shared" si="38"/>
        <v>0</v>
      </c>
      <c r="BN32" s="26">
        <f t="shared" si="38"/>
        <v>0</v>
      </c>
      <c r="BO32" s="26">
        <f t="shared" si="38"/>
        <v>0</v>
      </c>
      <c r="BP32" s="26">
        <f t="shared" si="38"/>
        <v>0</v>
      </c>
      <c r="BQ32" s="26">
        <f t="shared" si="38"/>
        <v>0</v>
      </c>
      <c r="BR32" s="26">
        <f t="shared" si="38"/>
        <v>0</v>
      </c>
      <c r="BS32" s="26">
        <f t="shared" si="38"/>
        <v>0</v>
      </c>
      <c r="BT32" s="26">
        <f t="shared" si="38"/>
        <v>0</v>
      </c>
      <c r="BU32" s="26">
        <f t="shared" si="38"/>
        <v>0</v>
      </c>
      <c r="BV32" s="26">
        <f t="shared" si="38"/>
        <v>0</v>
      </c>
      <c r="BW32" s="26">
        <f t="shared" si="38"/>
        <v>0</v>
      </c>
      <c r="BX32" s="26">
        <f t="shared" si="38"/>
        <v>0</v>
      </c>
      <c r="BY32" s="26">
        <f t="shared" si="39"/>
        <v>0.6</v>
      </c>
      <c r="BZ32" s="26">
        <f t="shared" si="39"/>
        <v>0.6</v>
      </c>
      <c r="CA32" s="26">
        <f t="shared" si="39"/>
        <v>0</v>
      </c>
      <c r="CB32" s="26">
        <f t="shared" si="39"/>
        <v>0.6</v>
      </c>
      <c r="CC32" s="26">
        <f t="shared" si="39"/>
        <v>0</v>
      </c>
      <c r="CD32" s="26">
        <f t="shared" si="39"/>
        <v>0</v>
      </c>
      <c r="CE32" s="26">
        <f t="shared" si="39"/>
        <v>0.3</v>
      </c>
      <c r="CF32" s="26">
        <f t="shared" si="39"/>
        <v>0</v>
      </c>
      <c r="CG32" s="26">
        <f t="shared" si="39"/>
        <v>0</v>
      </c>
      <c r="CH32" s="26">
        <f t="shared" si="39"/>
        <v>0.6</v>
      </c>
      <c r="CI32" s="26">
        <f t="shared" si="40"/>
        <v>0</v>
      </c>
      <c r="CJ32" s="26">
        <f t="shared" si="40"/>
        <v>0</v>
      </c>
      <c r="CK32" s="26">
        <f t="shared" si="40"/>
        <v>0</v>
      </c>
      <c r="CL32" s="26">
        <f t="shared" si="40"/>
        <v>0</v>
      </c>
      <c r="CM32" s="26">
        <f t="shared" si="40"/>
        <v>0</v>
      </c>
      <c r="CN32" s="26">
        <f t="shared" si="40"/>
        <v>0</v>
      </c>
      <c r="CO32" s="26">
        <f t="shared" si="40"/>
        <v>0</v>
      </c>
      <c r="CP32" s="26">
        <f t="shared" si="40"/>
        <v>0</v>
      </c>
      <c r="CQ32" s="26">
        <f t="shared" si="40"/>
        <v>0</v>
      </c>
      <c r="CR32" s="26">
        <f t="shared" si="40"/>
        <v>0</v>
      </c>
      <c r="CS32" s="26">
        <f t="shared" si="40"/>
        <v>0</v>
      </c>
      <c r="CT32" s="26">
        <f t="shared" si="40"/>
        <v>0</v>
      </c>
      <c r="CU32" s="26">
        <f t="shared" si="41"/>
        <v>0.6</v>
      </c>
      <c r="CV32" s="26">
        <f t="shared" si="41"/>
        <v>0.6</v>
      </c>
      <c r="CW32" s="26">
        <f t="shared" si="41"/>
        <v>0.3</v>
      </c>
      <c r="CX32" s="26">
        <f t="shared" si="41"/>
        <v>0.6</v>
      </c>
      <c r="CY32" s="26">
        <f t="shared" si="41"/>
        <v>0</v>
      </c>
      <c r="CZ32" s="26">
        <f t="shared" si="41"/>
        <v>0</v>
      </c>
      <c r="DA32" s="26">
        <f t="shared" si="41"/>
        <v>1</v>
      </c>
      <c r="DB32" s="26">
        <f t="shared" si="41"/>
        <v>0</v>
      </c>
      <c r="DC32" s="26">
        <f t="shared" si="41"/>
        <v>0</v>
      </c>
      <c r="DD32" s="26">
        <f t="shared" si="41"/>
        <v>1</v>
      </c>
      <c r="DE32" s="26">
        <f t="shared" si="42"/>
        <v>0</v>
      </c>
      <c r="DF32" s="26">
        <f t="shared" si="42"/>
        <v>0</v>
      </c>
      <c r="DG32" s="26">
        <f t="shared" si="42"/>
        <v>0</v>
      </c>
      <c r="DH32" s="26">
        <f t="shared" si="42"/>
        <v>0</v>
      </c>
      <c r="DI32" s="26">
        <f t="shared" si="42"/>
        <v>0</v>
      </c>
      <c r="DJ32" s="26">
        <f t="shared" si="42"/>
        <v>0</v>
      </c>
      <c r="DK32" s="26">
        <f t="shared" si="42"/>
        <v>0</v>
      </c>
      <c r="DL32" s="26">
        <f t="shared" si="42"/>
        <v>0</v>
      </c>
      <c r="DM32" s="26">
        <f t="shared" si="42"/>
        <v>0</v>
      </c>
      <c r="DN32" s="26">
        <f t="shared" si="42"/>
        <v>0</v>
      </c>
      <c r="DO32" s="26">
        <f t="shared" si="42"/>
        <v>0</v>
      </c>
      <c r="DP32" s="26">
        <f t="shared" si="42"/>
        <v>0</v>
      </c>
      <c r="DQ32" s="26">
        <f t="shared" si="43"/>
        <v>0.6</v>
      </c>
      <c r="DR32" s="26">
        <f t="shared" si="43"/>
        <v>0.6</v>
      </c>
      <c r="DS32" s="26">
        <f t="shared" si="43"/>
        <v>0.3</v>
      </c>
      <c r="DT32" s="26">
        <f t="shared" si="43"/>
        <v>0.6</v>
      </c>
      <c r="DU32" s="26">
        <f t="shared" si="43"/>
        <v>0</v>
      </c>
      <c r="DV32" s="26">
        <f t="shared" si="43"/>
        <v>0</v>
      </c>
      <c r="DW32" s="26">
        <f t="shared" si="43"/>
        <v>1</v>
      </c>
      <c r="DX32" s="26">
        <f t="shared" si="43"/>
        <v>0</v>
      </c>
      <c r="DY32" s="26">
        <f t="shared" si="43"/>
        <v>0</v>
      </c>
      <c r="DZ32" s="26">
        <f t="shared" si="43"/>
        <v>1</v>
      </c>
      <c r="EA32" s="26">
        <f t="shared" si="44"/>
        <v>0</v>
      </c>
      <c r="EB32" s="26">
        <f t="shared" si="44"/>
        <v>0</v>
      </c>
      <c r="EC32" s="26">
        <f t="shared" si="44"/>
        <v>0</v>
      </c>
      <c r="ED32" s="26">
        <f t="shared" si="44"/>
        <v>0</v>
      </c>
      <c r="EE32" s="26">
        <f t="shared" si="44"/>
        <v>0</v>
      </c>
      <c r="EF32" s="26">
        <f t="shared" si="44"/>
        <v>0</v>
      </c>
      <c r="EG32" s="26">
        <f t="shared" si="44"/>
        <v>0</v>
      </c>
      <c r="EH32" s="26">
        <f t="shared" si="44"/>
        <v>0</v>
      </c>
      <c r="EI32" s="26">
        <f t="shared" si="44"/>
        <v>0</v>
      </c>
      <c r="EJ32" s="26">
        <f t="shared" si="44"/>
        <v>0</v>
      </c>
      <c r="EK32" s="26">
        <f t="shared" si="44"/>
        <v>0</v>
      </c>
      <c r="EL32" s="26">
        <f t="shared" si="44"/>
        <v>0</v>
      </c>
      <c r="EM32" s="26">
        <f t="shared" si="18"/>
        <v>21790</v>
      </c>
      <c r="EN32" s="26">
        <f t="shared" si="19"/>
        <v>21790</v>
      </c>
      <c r="EO32" s="26">
        <f t="shared" si="20"/>
        <v>29189</v>
      </c>
      <c r="EP32" s="26">
        <f t="shared" si="21"/>
        <v>45551</v>
      </c>
      <c r="EQ32" s="26">
        <f t="shared" si="22"/>
        <v>45551</v>
      </c>
    </row>
    <row r="33" spans="2:147">
      <c r="B33" s="27">
        <v>5</v>
      </c>
      <c r="C33" s="27">
        <v>5</v>
      </c>
      <c r="D33" s="27">
        <v>500</v>
      </c>
      <c r="E33" s="27">
        <f t="shared" si="23"/>
        <v>14500</v>
      </c>
      <c r="F33" s="27">
        <f t="shared" si="11"/>
        <v>14500</v>
      </c>
      <c r="G33" s="27">
        <f>SUM(F$5:F33)</f>
        <v>217500</v>
      </c>
      <c r="H33" s="27">
        <f t="shared" si="24"/>
        <v>29</v>
      </c>
      <c r="I33" s="27" t="s">
        <v>165</v>
      </c>
      <c r="J33" s="27">
        <v>0.5</v>
      </c>
      <c r="K33" s="27">
        <f>INDEX(其他调用!$BO$5:$BO$61,MATCH(星阵点亮!I33,其他调用!$BM$5:$BM$61,0))*J33</f>
        <v>4537.1323079206268</v>
      </c>
      <c r="L33" s="28">
        <f t="shared" si="12"/>
        <v>6371</v>
      </c>
      <c r="O33" s="30"/>
      <c r="Q33" s="26">
        <v>29</v>
      </c>
      <c r="R33" s="26">
        <f>总纲!D33</f>
        <v>6.4642639322944575</v>
      </c>
      <c r="S33" s="26">
        <f>求节点(将星点产出!$W$6:$W$44,将星点产出!$AO$6:$AO$44,星阵点亮!$Q33)</f>
        <v>16308.041409418742</v>
      </c>
      <c r="T33" s="26">
        <f t="shared" si="13"/>
        <v>7</v>
      </c>
      <c r="U33" s="26">
        <f>总纲!E33</f>
        <v>5.6323131642081607</v>
      </c>
      <c r="V33" s="26">
        <f>求节点(将星点产出!$W$51:$W$89,将星点产出!$AO$51:$AO$89,星阵点亮!$Q33)</f>
        <v>17756.186890287972</v>
      </c>
      <c r="W33" s="26">
        <f t="shared" si="14"/>
        <v>7</v>
      </c>
      <c r="X33" s="26">
        <f>总纲!F33</f>
        <v>4.6510378992858623</v>
      </c>
      <c r="Y33" s="26">
        <f>求节点(将星点产出!$W$96:$W$134,将星点产出!$AO$96:$AO$134,星阵点亮!$Q33)</f>
        <v>25136.825178736548</v>
      </c>
      <c r="Z33" s="26">
        <f t="shared" si="15"/>
        <v>9</v>
      </c>
      <c r="AA33" s="26">
        <f>总纲!G33</f>
        <v>3.4532097926316991</v>
      </c>
      <c r="AB33" s="26">
        <f>求节点(将星点产出!$W$141:$W$179,将星点产出!$AO$141:$AO$179,星阵点亮!$Q33)</f>
        <v>50590.326627501185</v>
      </c>
      <c r="AC33" s="26">
        <f t="shared" si="16"/>
        <v>13</v>
      </c>
      <c r="AD33" s="26">
        <f>总纲!H33</f>
        <v>1.9366934741154194</v>
      </c>
      <c r="AE33" s="26">
        <f>求节点(将星点产出!$W$186:$W$224,将星点产出!$AO$186:$AO$224,星阵点亮!$Q33)</f>
        <v>54699.230479923688</v>
      </c>
      <c r="AF33" s="26">
        <f t="shared" si="17"/>
        <v>14</v>
      </c>
      <c r="AG33" s="26">
        <f t="shared" si="35"/>
        <v>0.6</v>
      </c>
      <c r="AH33" s="26">
        <f t="shared" si="35"/>
        <v>0.6</v>
      </c>
      <c r="AI33" s="26">
        <f t="shared" si="35"/>
        <v>0</v>
      </c>
      <c r="AJ33" s="26">
        <f t="shared" si="35"/>
        <v>0.6</v>
      </c>
      <c r="AK33" s="26">
        <f t="shared" si="35"/>
        <v>0</v>
      </c>
      <c r="AL33" s="26">
        <f t="shared" si="35"/>
        <v>0</v>
      </c>
      <c r="AM33" s="26">
        <f t="shared" si="35"/>
        <v>0</v>
      </c>
      <c r="AN33" s="26">
        <f t="shared" si="35"/>
        <v>0</v>
      </c>
      <c r="AO33" s="26">
        <f t="shared" si="35"/>
        <v>0</v>
      </c>
      <c r="AP33" s="26">
        <f t="shared" si="35"/>
        <v>0.3</v>
      </c>
      <c r="AQ33" s="26">
        <f t="shared" si="36"/>
        <v>0</v>
      </c>
      <c r="AR33" s="26">
        <f t="shared" si="36"/>
        <v>0</v>
      </c>
      <c r="AS33" s="26">
        <f t="shared" si="36"/>
        <v>0</v>
      </c>
      <c r="AT33" s="26">
        <f t="shared" si="36"/>
        <v>0</v>
      </c>
      <c r="AU33" s="26">
        <f t="shared" si="36"/>
        <v>0</v>
      </c>
      <c r="AV33" s="26">
        <f t="shared" si="36"/>
        <v>0</v>
      </c>
      <c r="AW33" s="26">
        <f t="shared" si="36"/>
        <v>0</v>
      </c>
      <c r="AX33" s="26">
        <f t="shared" si="36"/>
        <v>0</v>
      </c>
      <c r="AY33" s="26">
        <f t="shared" si="36"/>
        <v>0</v>
      </c>
      <c r="AZ33" s="26">
        <f t="shared" si="36"/>
        <v>0</v>
      </c>
      <c r="BA33" s="26">
        <f t="shared" si="36"/>
        <v>0</v>
      </c>
      <c r="BB33" s="26">
        <f t="shared" si="36"/>
        <v>0</v>
      </c>
      <c r="BC33" s="26">
        <f t="shared" si="37"/>
        <v>0.6</v>
      </c>
      <c r="BD33" s="26">
        <f t="shared" si="37"/>
        <v>0.6</v>
      </c>
      <c r="BE33" s="26">
        <f t="shared" si="37"/>
        <v>0</v>
      </c>
      <c r="BF33" s="26">
        <f t="shared" si="37"/>
        <v>0.6</v>
      </c>
      <c r="BG33" s="26">
        <f t="shared" si="37"/>
        <v>0</v>
      </c>
      <c r="BH33" s="26">
        <f t="shared" si="37"/>
        <v>0</v>
      </c>
      <c r="BI33" s="26">
        <f t="shared" si="37"/>
        <v>0</v>
      </c>
      <c r="BJ33" s="26">
        <f t="shared" si="37"/>
        <v>0</v>
      </c>
      <c r="BK33" s="26">
        <f t="shared" si="37"/>
        <v>0</v>
      </c>
      <c r="BL33" s="26">
        <f t="shared" si="37"/>
        <v>0.3</v>
      </c>
      <c r="BM33" s="26">
        <f t="shared" si="38"/>
        <v>0</v>
      </c>
      <c r="BN33" s="26">
        <f t="shared" si="38"/>
        <v>0</v>
      </c>
      <c r="BO33" s="26">
        <f t="shared" si="38"/>
        <v>0</v>
      </c>
      <c r="BP33" s="26">
        <f t="shared" si="38"/>
        <v>0</v>
      </c>
      <c r="BQ33" s="26">
        <f t="shared" si="38"/>
        <v>0</v>
      </c>
      <c r="BR33" s="26">
        <f t="shared" si="38"/>
        <v>0</v>
      </c>
      <c r="BS33" s="26">
        <f t="shared" si="38"/>
        <v>0</v>
      </c>
      <c r="BT33" s="26">
        <f t="shared" si="38"/>
        <v>0</v>
      </c>
      <c r="BU33" s="26">
        <f t="shared" si="38"/>
        <v>0</v>
      </c>
      <c r="BV33" s="26">
        <f t="shared" si="38"/>
        <v>0</v>
      </c>
      <c r="BW33" s="26">
        <f t="shared" si="38"/>
        <v>0</v>
      </c>
      <c r="BX33" s="26">
        <f t="shared" si="38"/>
        <v>0</v>
      </c>
      <c r="BY33" s="26">
        <f t="shared" si="39"/>
        <v>0.6</v>
      </c>
      <c r="BZ33" s="26">
        <f t="shared" si="39"/>
        <v>0.6</v>
      </c>
      <c r="CA33" s="26">
        <f t="shared" si="39"/>
        <v>0</v>
      </c>
      <c r="CB33" s="26">
        <f t="shared" si="39"/>
        <v>0.6</v>
      </c>
      <c r="CC33" s="26">
        <f t="shared" si="39"/>
        <v>0</v>
      </c>
      <c r="CD33" s="26">
        <f t="shared" si="39"/>
        <v>0</v>
      </c>
      <c r="CE33" s="26">
        <f t="shared" si="39"/>
        <v>0.3</v>
      </c>
      <c r="CF33" s="26">
        <f t="shared" si="39"/>
        <v>0</v>
      </c>
      <c r="CG33" s="26">
        <f t="shared" si="39"/>
        <v>0</v>
      </c>
      <c r="CH33" s="26">
        <f t="shared" si="39"/>
        <v>0.6</v>
      </c>
      <c r="CI33" s="26">
        <f t="shared" si="40"/>
        <v>0</v>
      </c>
      <c r="CJ33" s="26">
        <f t="shared" si="40"/>
        <v>0</v>
      </c>
      <c r="CK33" s="26">
        <f t="shared" si="40"/>
        <v>0</v>
      </c>
      <c r="CL33" s="26">
        <f t="shared" si="40"/>
        <v>0</v>
      </c>
      <c r="CM33" s="26">
        <f t="shared" si="40"/>
        <v>0</v>
      </c>
      <c r="CN33" s="26">
        <f t="shared" si="40"/>
        <v>0</v>
      </c>
      <c r="CO33" s="26">
        <f t="shared" si="40"/>
        <v>0</v>
      </c>
      <c r="CP33" s="26">
        <f t="shared" si="40"/>
        <v>0</v>
      </c>
      <c r="CQ33" s="26">
        <f t="shared" si="40"/>
        <v>0</v>
      </c>
      <c r="CR33" s="26">
        <f t="shared" si="40"/>
        <v>0</v>
      </c>
      <c r="CS33" s="26">
        <f t="shared" si="40"/>
        <v>0</v>
      </c>
      <c r="CT33" s="26">
        <f t="shared" si="40"/>
        <v>0</v>
      </c>
      <c r="CU33" s="26">
        <f t="shared" si="41"/>
        <v>0.6</v>
      </c>
      <c r="CV33" s="26">
        <f t="shared" si="41"/>
        <v>0.6</v>
      </c>
      <c r="CW33" s="26">
        <f t="shared" si="41"/>
        <v>0.3</v>
      </c>
      <c r="CX33" s="26">
        <f t="shared" si="41"/>
        <v>0.6</v>
      </c>
      <c r="CY33" s="26">
        <f t="shared" si="41"/>
        <v>0</v>
      </c>
      <c r="CZ33" s="26">
        <f t="shared" si="41"/>
        <v>0</v>
      </c>
      <c r="DA33" s="26">
        <f t="shared" si="41"/>
        <v>1</v>
      </c>
      <c r="DB33" s="26">
        <f t="shared" si="41"/>
        <v>0</v>
      </c>
      <c r="DC33" s="26">
        <f t="shared" si="41"/>
        <v>0</v>
      </c>
      <c r="DD33" s="26">
        <f t="shared" si="41"/>
        <v>1</v>
      </c>
      <c r="DE33" s="26">
        <f t="shared" si="42"/>
        <v>0</v>
      </c>
      <c r="DF33" s="26">
        <f t="shared" si="42"/>
        <v>0</v>
      </c>
      <c r="DG33" s="26">
        <f t="shared" si="42"/>
        <v>0</v>
      </c>
      <c r="DH33" s="26">
        <f t="shared" si="42"/>
        <v>0</v>
      </c>
      <c r="DI33" s="26">
        <f t="shared" si="42"/>
        <v>0</v>
      </c>
      <c r="DJ33" s="26">
        <f t="shared" si="42"/>
        <v>0</v>
      </c>
      <c r="DK33" s="26">
        <f t="shared" si="42"/>
        <v>0</v>
      </c>
      <c r="DL33" s="26">
        <f t="shared" si="42"/>
        <v>0</v>
      </c>
      <c r="DM33" s="26">
        <f t="shared" si="42"/>
        <v>0</v>
      </c>
      <c r="DN33" s="26">
        <f t="shared" si="42"/>
        <v>0</v>
      </c>
      <c r="DO33" s="26">
        <f t="shared" si="42"/>
        <v>0</v>
      </c>
      <c r="DP33" s="26">
        <f t="shared" si="42"/>
        <v>0</v>
      </c>
      <c r="DQ33" s="26">
        <f t="shared" si="43"/>
        <v>0.6</v>
      </c>
      <c r="DR33" s="26">
        <f t="shared" si="43"/>
        <v>0.6</v>
      </c>
      <c r="DS33" s="26">
        <f t="shared" si="43"/>
        <v>0.3</v>
      </c>
      <c r="DT33" s="26">
        <f t="shared" si="43"/>
        <v>1</v>
      </c>
      <c r="DU33" s="26">
        <f t="shared" si="43"/>
        <v>0</v>
      </c>
      <c r="DV33" s="26">
        <f t="shared" si="43"/>
        <v>0</v>
      </c>
      <c r="DW33" s="26">
        <f t="shared" si="43"/>
        <v>1</v>
      </c>
      <c r="DX33" s="26">
        <f t="shared" si="43"/>
        <v>0</v>
      </c>
      <c r="DY33" s="26">
        <f t="shared" si="43"/>
        <v>0</v>
      </c>
      <c r="DZ33" s="26">
        <f t="shared" si="43"/>
        <v>1</v>
      </c>
      <c r="EA33" s="26">
        <f t="shared" si="44"/>
        <v>0</v>
      </c>
      <c r="EB33" s="26">
        <f t="shared" si="44"/>
        <v>0</v>
      </c>
      <c r="EC33" s="26">
        <f t="shared" si="44"/>
        <v>0</v>
      </c>
      <c r="ED33" s="26">
        <f t="shared" si="44"/>
        <v>0</v>
      </c>
      <c r="EE33" s="26">
        <f t="shared" si="44"/>
        <v>0</v>
      </c>
      <c r="EF33" s="26">
        <f t="shared" si="44"/>
        <v>0</v>
      </c>
      <c r="EG33" s="26">
        <f t="shared" si="44"/>
        <v>0</v>
      </c>
      <c r="EH33" s="26">
        <f t="shared" si="44"/>
        <v>0</v>
      </c>
      <c r="EI33" s="26">
        <f t="shared" si="44"/>
        <v>0</v>
      </c>
      <c r="EJ33" s="26">
        <f t="shared" si="44"/>
        <v>0</v>
      </c>
      <c r="EK33" s="26">
        <f t="shared" si="44"/>
        <v>0</v>
      </c>
      <c r="EL33" s="26">
        <f t="shared" si="44"/>
        <v>0</v>
      </c>
      <c r="EM33" s="26">
        <f t="shared" si="18"/>
        <v>21790</v>
      </c>
      <c r="EN33" s="26">
        <f t="shared" si="19"/>
        <v>21790</v>
      </c>
      <c r="EO33" s="26">
        <f t="shared" si="20"/>
        <v>29189</v>
      </c>
      <c r="EP33" s="26">
        <f t="shared" si="21"/>
        <v>45551</v>
      </c>
      <c r="EQ33" s="26">
        <f t="shared" si="22"/>
        <v>49967</v>
      </c>
    </row>
    <row r="34" spans="2:147">
      <c r="B34" s="27">
        <v>5</v>
      </c>
      <c r="C34" s="27">
        <v>6</v>
      </c>
      <c r="D34" s="27">
        <v>500</v>
      </c>
      <c r="E34" s="27">
        <f t="shared" si="23"/>
        <v>15000</v>
      </c>
      <c r="F34" s="27">
        <f t="shared" si="11"/>
        <v>15000</v>
      </c>
      <c r="G34" s="27">
        <f>SUM(F$5:F34)</f>
        <v>232500</v>
      </c>
      <c r="H34" s="27">
        <f t="shared" si="24"/>
        <v>30</v>
      </c>
      <c r="I34" s="27" t="s">
        <v>233</v>
      </c>
      <c r="J34" s="27">
        <v>0.3</v>
      </c>
      <c r="K34" s="27">
        <f>INDEX(其他调用!$BO$5:$BO$61,MATCH(星阵点亮!I34,其他调用!$BM$5:$BM$61,0))*J34</f>
        <v>4083.4190771285639</v>
      </c>
      <c r="L34" s="28">
        <f t="shared" si="12"/>
        <v>6502</v>
      </c>
      <c r="O34" s="30"/>
      <c r="Q34" s="26">
        <v>30</v>
      </c>
      <c r="R34" s="26">
        <f>总纲!D34</f>
        <v>7</v>
      </c>
      <c r="S34" s="26">
        <f>求节点(将星点产出!$W$6:$W$44,将星点产出!$AO$6:$AO$44,星阵点亮!$Q34)</f>
        <v>17345.996658492011</v>
      </c>
      <c r="T34" s="26">
        <f t="shared" si="13"/>
        <v>7</v>
      </c>
      <c r="U34" s="26">
        <f>总纲!E34</f>
        <v>6.1025999999999998</v>
      </c>
      <c r="V34" s="26">
        <f>求节点(将星点产出!$W$51:$W$89,将星点产出!$AO$51:$AO$89,星阵点亮!$Q34)</f>
        <v>18939.969514561224</v>
      </c>
      <c r="W34" s="26">
        <f t="shared" si="14"/>
        <v>8</v>
      </c>
      <c r="X34" s="26">
        <f>总纲!F34</f>
        <v>5.0421000000000005</v>
      </c>
      <c r="Y34" s="26">
        <f>求节点(将星点产出!$W$96:$W$134,将星点产出!$AO$96:$AO$134,星阵点亮!$Q34)</f>
        <v>27552.811295428568</v>
      </c>
      <c r="Z34" s="26">
        <f t="shared" si="15"/>
        <v>10</v>
      </c>
      <c r="AA34" s="26">
        <f>总纲!G34</f>
        <v>3.7428999999999997</v>
      </c>
      <c r="AB34" s="26">
        <f>求节点(将星点产出!$W$141:$W$179,将星点产出!$AO$141:$AO$179,星阵点亮!$Q34)</f>
        <v>53263.332907613323</v>
      </c>
      <c r="AC34" s="26">
        <f t="shared" si="16"/>
        <v>14</v>
      </c>
      <c r="AD34" s="26">
        <f>总纲!H34</f>
        <v>2.1006999999999998</v>
      </c>
      <c r="AE34" s="26">
        <f>求节点(将星点产出!$W$186:$W$224,将星点产出!$AO$186:$AO$224,星阵点亮!$Q34)</f>
        <v>57774.231505086296</v>
      </c>
      <c r="AF34" s="26">
        <f t="shared" si="17"/>
        <v>14</v>
      </c>
      <c r="AG34" s="26">
        <f t="shared" si="35"/>
        <v>0.6</v>
      </c>
      <c r="AH34" s="26">
        <f t="shared" si="35"/>
        <v>0.6</v>
      </c>
      <c r="AI34" s="26">
        <f t="shared" si="35"/>
        <v>0</v>
      </c>
      <c r="AJ34" s="26">
        <f t="shared" si="35"/>
        <v>0.6</v>
      </c>
      <c r="AK34" s="26">
        <f t="shared" si="35"/>
        <v>0</v>
      </c>
      <c r="AL34" s="26">
        <f t="shared" si="35"/>
        <v>0</v>
      </c>
      <c r="AM34" s="26">
        <f t="shared" si="35"/>
        <v>0</v>
      </c>
      <c r="AN34" s="26">
        <f t="shared" si="35"/>
        <v>0</v>
      </c>
      <c r="AO34" s="26">
        <f t="shared" si="35"/>
        <v>0</v>
      </c>
      <c r="AP34" s="26">
        <f t="shared" si="35"/>
        <v>0.3</v>
      </c>
      <c r="AQ34" s="26">
        <f t="shared" si="36"/>
        <v>0</v>
      </c>
      <c r="AR34" s="26">
        <f t="shared" si="36"/>
        <v>0</v>
      </c>
      <c r="AS34" s="26">
        <f t="shared" si="36"/>
        <v>0</v>
      </c>
      <c r="AT34" s="26">
        <f t="shared" si="36"/>
        <v>0</v>
      </c>
      <c r="AU34" s="26">
        <f t="shared" si="36"/>
        <v>0</v>
      </c>
      <c r="AV34" s="26">
        <f t="shared" si="36"/>
        <v>0</v>
      </c>
      <c r="AW34" s="26">
        <f t="shared" si="36"/>
        <v>0</v>
      </c>
      <c r="AX34" s="26">
        <f t="shared" si="36"/>
        <v>0</v>
      </c>
      <c r="AY34" s="26">
        <f t="shared" si="36"/>
        <v>0</v>
      </c>
      <c r="AZ34" s="26">
        <f t="shared" si="36"/>
        <v>0</v>
      </c>
      <c r="BA34" s="26">
        <f t="shared" si="36"/>
        <v>0</v>
      </c>
      <c r="BB34" s="26">
        <f t="shared" si="36"/>
        <v>0</v>
      </c>
      <c r="BC34" s="26">
        <f t="shared" si="37"/>
        <v>0.6</v>
      </c>
      <c r="BD34" s="26">
        <f t="shared" si="37"/>
        <v>0.6</v>
      </c>
      <c r="BE34" s="26">
        <f t="shared" si="37"/>
        <v>0</v>
      </c>
      <c r="BF34" s="26">
        <f t="shared" si="37"/>
        <v>0.6</v>
      </c>
      <c r="BG34" s="26">
        <f t="shared" si="37"/>
        <v>0</v>
      </c>
      <c r="BH34" s="26">
        <f t="shared" si="37"/>
        <v>0</v>
      </c>
      <c r="BI34" s="26">
        <f t="shared" si="37"/>
        <v>0.3</v>
      </c>
      <c r="BJ34" s="26">
        <f t="shared" si="37"/>
        <v>0</v>
      </c>
      <c r="BK34" s="26">
        <f t="shared" si="37"/>
        <v>0</v>
      </c>
      <c r="BL34" s="26">
        <f t="shared" si="37"/>
        <v>0.3</v>
      </c>
      <c r="BM34" s="26">
        <f t="shared" si="38"/>
        <v>0</v>
      </c>
      <c r="BN34" s="26">
        <f t="shared" si="38"/>
        <v>0</v>
      </c>
      <c r="BO34" s="26">
        <f t="shared" si="38"/>
        <v>0</v>
      </c>
      <c r="BP34" s="26">
        <f t="shared" si="38"/>
        <v>0</v>
      </c>
      <c r="BQ34" s="26">
        <f t="shared" si="38"/>
        <v>0</v>
      </c>
      <c r="BR34" s="26">
        <f t="shared" si="38"/>
        <v>0</v>
      </c>
      <c r="BS34" s="26">
        <f t="shared" si="38"/>
        <v>0</v>
      </c>
      <c r="BT34" s="26">
        <f t="shared" si="38"/>
        <v>0</v>
      </c>
      <c r="BU34" s="26">
        <f t="shared" si="38"/>
        <v>0</v>
      </c>
      <c r="BV34" s="26">
        <f t="shared" si="38"/>
        <v>0</v>
      </c>
      <c r="BW34" s="26">
        <f t="shared" si="38"/>
        <v>0</v>
      </c>
      <c r="BX34" s="26">
        <f t="shared" si="38"/>
        <v>0</v>
      </c>
      <c r="BY34" s="26">
        <f t="shared" si="39"/>
        <v>0.6</v>
      </c>
      <c r="BZ34" s="26">
        <f t="shared" si="39"/>
        <v>0.6</v>
      </c>
      <c r="CA34" s="26">
        <f t="shared" si="39"/>
        <v>0</v>
      </c>
      <c r="CB34" s="26">
        <f t="shared" si="39"/>
        <v>0.6</v>
      </c>
      <c r="CC34" s="26">
        <f t="shared" si="39"/>
        <v>0</v>
      </c>
      <c r="CD34" s="26">
        <f t="shared" si="39"/>
        <v>0</v>
      </c>
      <c r="CE34" s="26">
        <f t="shared" si="39"/>
        <v>0.6</v>
      </c>
      <c r="CF34" s="26">
        <f t="shared" si="39"/>
        <v>0</v>
      </c>
      <c r="CG34" s="26">
        <f t="shared" si="39"/>
        <v>0</v>
      </c>
      <c r="CH34" s="26">
        <f t="shared" si="39"/>
        <v>0.6</v>
      </c>
      <c r="CI34" s="26">
        <f t="shared" si="40"/>
        <v>0</v>
      </c>
      <c r="CJ34" s="26">
        <f t="shared" si="40"/>
        <v>0</v>
      </c>
      <c r="CK34" s="26">
        <f t="shared" si="40"/>
        <v>0</v>
      </c>
      <c r="CL34" s="26">
        <f t="shared" si="40"/>
        <v>0</v>
      </c>
      <c r="CM34" s="26">
        <f t="shared" si="40"/>
        <v>0</v>
      </c>
      <c r="CN34" s="26">
        <f t="shared" si="40"/>
        <v>0</v>
      </c>
      <c r="CO34" s="26">
        <f t="shared" si="40"/>
        <v>0</v>
      </c>
      <c r="CP34" s="26">
        <f t="shared" si="40"/>
        <v>0</v>
      </c>
      <c r="CQ34" s="26">
        <f t="shared" si="40"/>
        <v>0</v>
      </c>
      <c r="CR34" s="26">
        <f t="shared" si="40"/>
        <v>0</v>
      </c>
      <c r="CS34" s="26">
        <f t="shared" si="40"/>
        <v>0</v>
      </c>
      <c r="CT34" s="26">
        <f t="shared" si="40"/>
        <v>0</v>
      </c>
      <c r="CU34" s="26">
        <f t="shared" si="41"/>
        <v>0.6</v>
      </c>
      <c r="CV34" s="26">
        <f t="shared" si="41"/>
        <v>0.6</v>
      </c>
      <c r="CW34" s="26">
        <f t="shared" si="41"/>
        <v>0.3</v>
      </c>
      <c r="CX34" s="26">
        <f t="shared" si="41"/>
        <v>1</v>
      </c>
      <c r="CY34" s="26">
        <f t="shared" si="41"/>
        <v>0</v>
      </c>
      <c r="CZ34" s="26">
        <f t="shared" si="41"/>
        <v>0</v>
      </c>
      <c r="DA34" s="26">
        <f t="shared" si="41"/>
        <v>1</v>
      </c>
      <c r="DB34" s="26">
        <f t="shared" si="41"/>
        <v>0</v>
      </c>
      <c r="DC34" s="26">
        <f t="shared" si="41"/>
        <v>0</v>
      </c>
      <c r="DD34" s="26">
        <f t="shared" si="41"/>
        <v>1</v>
      </c>
      <c r="DE34" s="26">
        <f t="shared" si="42"/>
        <v>0</v>
      </c>
      <c r="DF34" s="26">
        <f t="shared" si="42"/>
        <v>0</v>
      </c>
      <c r="DG34" s="26">
        <f t="shared" si="42"/>
        <v>0</v>
      </c>
      <c r="DH34" s="26">
        <f t="shared" si="42"/>
        <v>0</v>
      </c>
      <c r="DI34" s="26">
        <f t="shared" si="42"/>
        <v>0</v>
      </c>
      <c r="DJ34" s="26">
        <f t="shared" si="42"/>
        <v>0</v>
      </c>
      <c r="DK34" s="26">
        <f t="shared" si="42"/>
        <v>0</v>
      </c>
      <c r="DL34" s="26">
        <f t="shared" si="42"/>
        <v>0</v>
      </c>
      <c r="DM34" s="26">
        <f t="shared" si="42"/>
        <v>0</v>
      </c>
      <c r="DN34" s="26">
        <f t="shared" si="42"/>
        <v>0</v>
      </c>
      <c r="DO34" s="26">
        <f t="shared" si="42"/>
        <v>0</v>
      </c>
      <c r="DP34" s="26">
        <f t="shared" si="42"/>
        <v>0</v>
      </c>
      <c r="DQ34" s="26">
        <f t="shared" si="43"/>
        <v>0.6</v>
      </c>
      <c r="DR34" s="26">
        <f t="shared" si="43"/>
        <v>0.6</v>
      </c>
      <c r="DS34" s="26">
        <f t="shared" si="43"/>
        <v>0.3</v>
      </c>
      <c r="DT34" s="26">
        <f t="shared" si="43"/>
        <v>1</v>
      </c>
      <c r="DU34" s="26">
        <f t="shared" si="43"/>
        <v>0</v>
      </c>
      <c r="DV34" s="26">
        <f t="shared" si="43"/>
        <v>0</v>
      </c>
      <c r="DW34" s="26">
        <f t="shared" si="43"/>
        <v>1</v>
      </c>
      <c r="DX34" s="26">
        <f t="shared" si="43"/>
        <v>0</v>
      </c>
      <c r="DY34" s="26">
        <f t="shared" si="43"/>
        <v>0</v>
      </c>
      <c r="DZ34" s="26">
        <f t="shared" si="43"/>
        <v>1</v>
      </c>
      <c r="EA34" s="26">
        <f t="shared" si="44"/>
        <v>0</v>
      </c>
      <c r="EB34" s="26">
        <f t="shared" si="44"/>
        <v>0</v>
      </c>
      <c r="EC34" s="26">
        <f t="shared" si="44"/>
        <v>0</v>
      </c>
      <c r="ED34" s="26">
        <f t="shared" si="44"/>
        <v>0</v>
      </c>
      <c r="EE34" s="26">
        <f t="shared" si="44"/>
        <v>0</v>
      </c>
      <c r="EF34" s="26">
        <f t="shared" si="44"/>
        <v>0</v>
      </c>
      <c r="EG34" s="26">
        <f t="shared" si="44"/>
        <v>0</v>
      </c>
      <c r="EH34" s="26">
        <f t="shared" si="44"/>
        <v>0</v>
      </c>
      <c r="EI34" s="26">
        <f t="shared" si="44"/>
        <v>0</v>
      </c>
      <c r="EJ34" s="26">
        <f t="shared" si="44"/>
        <v>0</v>
      </c>
      <c r="EK34" s="26">
        <f t="shared" si="44"/>
        <v>0</v>
      </c>
      <c r="EL34" s="26">
        <f t="shared" si="44"/>
        <v>0</v>
      </c>
      <c r="EM34" s="26">
        <f t="shared" si="18"/>
        <v>21790</v>
      </c>
      <c r="EN34" s="26">
        <f t="shared" si="19"/>
        <v>25424</v>
      </c>
      <c r="EO34" s="26">
        <f t="shared" si="20"/>
        <v>33084</v>
      </c>
      <c r="EP34" s="26">
        <f t="shared" si="21"/>
        <v>49967</v>
      </c>
      <c r="EQ34" s="26">
        <f t="shared" si="22"/>
        <v>49967</v>
      </c>
    </row>
    <row r="35" spans="2:147">
      <c r="B35" s="27">
        <v>6</v>
      </c>
      <c r="C35" s="27">
        <v>1</v>
      </c>
      <c r="D35" s="27">
        <v>500</v>
      </c>
      <c r="E35" s="27">
        <f t="shared" si="23"/>
        <v>15500</v>
      </c>
      <c r="F35" s="27">
        <f t="shared" si="11"/>
        <v>15500</v>
      </c>
      <c r="G35" s="27">
        <f>SUM(F$5:F35)</f>
        <v>248000</v>
      </c>
      <c r="H35" s="27">
        <f t="shared" si="24"/>
        <v>31</v>
      </c>
      <c r="I35" s="27" t="s">
        <v>142</v>
      </c>
      <c r="J35" s="27">
        <v>0.4</v>
      </c>
      <c r="K35" s="27">
        <f>INDEX(其他调用!$BO$5:$BO$61,MATCH(星阵点亮!I35,其他调用!$BM$5:$BM$61,0))*J35</f>
        <v>5444.5587695047525</v>
      </c>
      <c r="L35" s="28">
        <f t="shared" si="12"/>
        <v>6632</v>
      </c>
      <c r="O35" s="30"/>
      <c r="Q35" s="26">
        <v>31</v>
      </c>
      <c r="R35" s="26">
        <f>总纲!D35</f>
        <v>7.5741877002903433</v>
      </c>
      <c r="S35" s="26">
        <f>求节点(将星点产出!$W$6:$W$44,将星点产出!$AO$6:$AO$44,星阵点亮!$Q35)</f>
        <v>18383.951907565279</v>
      </c>
      <c r="T35" s="26">
        <f t="shared" si="13"/>
        <v>8</v>
      </c>
      <c r="U35" s="26">
        <f>总纲!E35</f>
        <v>6.6115084435834408</v>
      </c>
      <c r="V35" s="26">
        <f>求节点(将星点产出!$W$51:$W$89,将星点产出!$AO$51:$AO$89,星阵点亮!$Q35)</f>
        <v>20123.752138834479</v>
      </c>
      <c r="W35" s="26">
        <f t="shared" si="14"/>
        <v>8</v>
      </c>
      <c r="X35" s="26">
        <f>总纲!F35</f>
        <v>5.4632615882194253</v>
      </c>
      <c r="Y35" s="26">
        <f>求节点(将星点产出!$W$96:$W$134,将星点产出!$AO$96:$AO$134,星阵点亮!$Q35)</f>
        <v>29968.797412120592</v>
      </c>
      <c r="Z35" s="26">
        <f t="shared" si="15"/>
        <v>10</v>
      </c>
      <c r="AA35" s="26">
        <f>总纲!G35</f>
        <v>4.052190419655334</v>
      </c>
      <c r="AB35" s="26">
        <f>求节点(将星点产出!$W$141:$W$179,将星点产出!$AO$141:$AO$179,星阵点亮!$Q35)</f>
        <v>55936.339187725454</v>
      </c>
      <c r="AC35" s="26">
        <f t="shared" si="16"/>
        <v>14</v>
      </c>
      <c r="AD35" s="26">
        <f>总纲!H35</f>
        <v>2.2783156602473356</v>
      </c>
      <c r="AE35" s="26">
        <f>求节点(将星点产出!$W$186:$W$224,将星点产出!$AO$186:$AO$224,星阵点亮!$Q35)</f>
        <v>60849.232530248904</v>
      </c>
      <c r="AF35" s="26">
        <f t="shared" si="17"/>
        <v>15</v>
      </c>
      <c r="AG35" s="26">
        <f t="shared" ref="AG35:AP44" si="45">SUMIFS($J$5:$J$76,$I$5:$I$76,AG$4,$H$5:$H$76,"&lt;="&amp;$T35)</f>
        <v>0.6</v>
      </c>
      <c r="AH35" s="26">
        <f t="shared" si="45"/>
        <v>0.6</v>
      </c>
      <c r="AI35" s="26">
        <f t="shared" si="45"/>
        <v>0</v>
      </c>
      <c r="AJ35" s="26">
        <f t="shared" si="45"/>
        <v>0.6</v>
      </c>
      <c r="AK35" s="26">
        <f t="shared" si="45"/>
        <v>0</v>
      </c>
      <c r="AL35" s="26">
        <f t="shared" si="45"/>
        <v>0</v>
      </c>
      <c r="AM35" s="26">
        <f t="shared" si="45"/>
        <v>0.3</v>
      </c>
      <c r="AN35" s="26">
        <f t="shared" si="45"/>
        <v>0</v>
      </c>
      <c r="AO35" s="26">
        <f t="shared" si="45"/>
        <v>0</v>
      </c>
      <c r="AP35" s="26">
        <f t="shared" si="45"/>
        <v>0.3</v>
      </c>
      <c r="AQ35" s="26">
        <f t="shared" ref="AQ35:BB44" si="46">SUMIFS($J$5:$J$76,$I$5:$I$76,AQ$4,$H$5:$H$76,"&lt;="&amp;$T35)</f>
        <v>0</v>
      </c>
      <c r="AR35" s="26">
        <f t="shared" si="46"/>
        <v>0</v>
      </c>
      <c r="AS35" s="26">
        <f t="shared" si="46"/>
        <v>0</v>
      </c>
      <c r="AT35" s="26">
        <f t="shared" si="46"/>
        <v>0</v>
      </c>
      <c r="AU35" s="26">
        <f t="shared" si="46"/>
        <v>0</v>
      </c>
      <c r="AV35" s="26">
        <f t="shared" si="46"/>
        <v>0</v>
      </c>
      <c r="AW35" s="26">
        <f t="shared" si="46"/>
        <v>0</v>
      </c>
      <c r="AX35" s="26">
        <f t="shared" si="46"/>
        <v>0</v>
      </c>
      <c r="AY35" s="26">
        <f t="shared" si="46"/>
        <v>0</v>
      </c>
      <c r="AZ35" s="26">
        <f t="shared" si="46"/>
        <v>0</v>
      </c>
      <c r="BA35" s="26">
        <f t="shared" si="46"/>
        <v>0</v>
      </c>
      <c r="BB35" s="26">
        <f t="shared" si="46"/>
        <v>0</v>
      </c>
      <c r="BC35" s="26">
        <f t="shared" ref="BC35:BL44" si="47">SUMIFS($J$5:$J$76,$I$5:$I$76,BC$4,$H$5:$H$76,"&lt;="&amp;$W35)</f>
        <v>0.6</v>
      </c>
      <c r="BD35" s="26">
        <f t="shared" si="47"/>
        <v>0.6</v>
      </c>
      <c r="BE35" s="26">
        <f t="shared" si="47"/>
        <v>0</v>
      </c>
      <c r="BF35" s="26">
        <f t="shared" si="47"/>
        <v>0.6</v>
      </c>
      <c r="BG35" s="26">
        <f t="shared" si="47"/>
        <v>0</v>
      </c>
      <c r="BH35" s="26">
        <f t="shared" si="47"/>
        <v>0</v>
      </c>
      <c r="BI35" s="26">
        <f t="shared" si="47"/>
        <v>0.3</v>
      </c>
      <c r="BJ35" s="26">
        <f t="shared" si="47"/>
        <v>0</v>
      </c>
      <c r="BK35" s="26">
        <f t="shared" si="47"/>
        <v>0</v>
      </c>
      <c r="BL35" s="26">
        <f t="shared" si="47"/>
        <v>0.3</v>
      </c>
      <c r="BM35" s="26">
        <f t="shared" ref="BM35:BX44" si="48">SUMIFS($J$5:$J$76,$I$5:$I$76,BM$4,$H$5:$H$76,"&lt;="&amp;$W35)</f>
        <v>0</v>
      </c>
      <c r="BN35" s="26">
        <f t="shared" si="48"/>
        <v>0</v>
      </c>
      <c r="BO35" s="26">
        <f t="shared" si="48"/>
        <v>0</v>
      </c>
      <c r="BP35" s="26">
        <f t="shared" si="48"/>
        <v>0</v>
      </c>
      <c r="BQ35" s="26">
        <f t="shared" si="48"/>
        <v>0</v>
      </c>
      <c r="BR35" s="26">
        <f t="shared" si="48"/>
        <v>0</v>
      </c>
      <c r="BS35" s="26">
        <f t="shared" si="48"/>
        <v>0</v>
      </c>
      <c r="BT35" s="26">
        <f t="shared" si="48"/>
        <v>0</v>
      </c>
      <c r="BU35" s="26">
        <f t="shared" si="48"/>
        <v>0</v>
      </c>
      <c r="BV35" s="26">
        <f t="shared" si="48"/>
        <v>0</v>
      </c>
      <c r="BW35" s="26">
        <f t="shared" si="48"/>
        <v>0</v>
      </c>
      <c r="BX35" s="26">
        <f t="shared" si="48"/>
        <v>0</v>
      </c>
      <c r="BY35" s="26">
        <f t="shared" ref="BY35:CH44" si="49">SUMIFS($J$5:$J$76,$I$5:$I$76,BY$4,$H$5:$H$76,"&lt;="&amp;$Z35)</f>
        <v>0.6</v>
      </c>
      <c r="BZ35" s="26">
        <f t="shared" si="49"/>
        <v>0.6</v>
      </c>
      <c r="CA35" s="26">
        <f t="shared" si="49"/>
        <v>0</v>
      </c>
      <c r="CB35" s="26">
        <f t="shared" si="49"/>
        <v>0.6</v>
      </c>
      <c r="CC35" s="26">
        <f t="shared" si="49"/>
        <v>0</v>
      </c>
      <c r="CD35" s="26">
        <f t="shared" si="49"/>
        <v>0</v>
      </c>
      <c r="CE35" s="26">
        <f t="shared" si="49"/>
        <v>0.6</v>
      </c>
      <c r="CF35" s="26">
        <f t="shared" si="49"/>
        <v>0</v>
      </c>
      <c r="CG35" s="26">
        <f t="shared" si="49"/>
        <v>0</v>
      </c>
      <c r="CH35" s="26">
        <f t="shared" si="49"/>
        <v>0.6</v>
      </c>
      <c r="CI35" s="26">
        <f t="shared" ref="CI35:CT44" si="50">SUMIFS($J$5:$J$76,$I$5:$I$76,CI$4,$H$5:$H$76,"&lt;="&amp;$Z35)</f>
        <v>0</v>
      </c>
      <c r="CJ35" s="26">
        <f t="shared" si="50"/>
        <v>0</v>
      </c>
      <c r="CK35" s="26">
        <f t="shared" si="50"/>
        <v>0</v>
      </c>
      <c r="CL35" s="26">
        <f t="shared" si="50"/>
        <v>0</v>
      </c>
      <c r="CM35" s="26">
        <f t="shared" si="50"/>
        <v>0</v>
      </c>
      <c r="CN35" s="26">
        <f t="shared" si="50"/>
        <v>0</v>
      </c>
      <c r="CO35" s="26">
        <f t="shared" si="50"/>
        <v>0</v>
      </c>
      <c r="CP35" s="26">
        <f t="shared" si="50"/>
        <v>0</v>
      </c>
      <c r="CQ35" s="26">
        <f t="shared" si="50"/>
        <v>0</v>
      </c>
      <c r="CR35" s="26">
        <f t="shared" si="50"/>
        <v>0</v>
      </c>
      <c r="CS35" s="26">
        <f t="shared" si="50"/>
        <v>0</v>
      </c>
      <c r="CT35" s="26">
        <f t="shared" si="50"/>
        <v>0</v>
      </c>
      <c r="CU35" s="26">
        <f t="shared" ref="CU35:DD44" si="51">SUMIFS($J$5:$J$76,$I$5:$I$76,CU$4,$H$5:$H$76,"&lt;="&amp;$AC35)</f>
        <v>0.6</v>
      </c>
      <c r="CV35" s="26">
        <f t="shared" si="51"/>
        <v>0.6</v>
      </c>
      <c r="CW35" s="26">
        <f t="shared" si="51"/>
        <v>0.3</v>
      </c>
      <c r="CX35" s="26">
        <f t="shared" si="51"/>
        <v>1</v>
      </c>
      <c r="CY35" s="26">
        <f t="shared" si="51"/>
        <v>0</v>
      </c>
      <c r="CZ35" s="26">
        <f t="shared" si="51"/>
        <v>0</v>
      </c>
      <c r="DA35" s="26">
        <f t="shared" si="51"/>
        <v>1</v>
      </c>
      <c r="DB35" s="26">
        <f t="shared" si="51"/>
        <v>0</v>
      </c>
      <c r="DC35" s="26">
        <f t="shared" si="51"/>
        <v>0</v>
      </c>
      <c r="DD35" s="26">
        <f t="shared" si="51"/>
        <v>1</v>
      </c>
      <c r="DE35" s="26">
        <f t="shared" ref="DE35:DP44" si="52">SUMIFS($J$5:$J$76,$I$5:$I$76,DE$4,$H$5:$H$76,"&lt;="&amp;$AC35)</f>
        <v>0</v>
      </c>
      <c r="DF35" s="26">
        <f t="shared" si="52"/>
        <v>0</v>
      </c>
      <c r="DG35" s="26">
        <f t="shared" si="52"/>
        <v>0</v>
      </c>
      <c r="DH35" s="26">
        <f t="shared" si="52"/>
        <v>0</v>
      </c>
      <c r="DI35" s="26">
        <f t="shared" si="52"/>
        <v>0</v>
      </c>
      <c r="DJ35" s="26">
        <f t="shared" si="52"/>
        <v>0</v>
      </c>
      <c r="DK35" s="26">
        <f t="shared" si="52"/>
        <v>0</v>
      </c>
      <c r="DL35" s="26">
        <f t="shared" si="52"/>
        <v>0</v>
      </c>
      <c r="DM35" s="26">
        <f t="shared" si="52"/>
        <v>0</v>
      </c>
      <c r="DN35" s="26">
        <f t="shared" si="52"/>
        <v>0</v>
      </c>
      <c r="DO35" s="26">
        <f t="shared" si="52"/>
        <v>0</v>
      </c>
      <c r="DP35" s="26">
        <f t="shared" si="52"/>
        <v>0</v>
      </c>
      <c r="DQ35" s="26">
        <f t="shared" ref="DQ35:DZ44" si="53">SUMIFS($J$5:$J$76,$I$5:$I$76,DQ$4,$H$5:$H$76,"&lt;="&amp;$AF35)</f>
        <v>1</v>
      </c>
      <c r="DR35" s="26">
        <f t="shared" si="53"/>
        <v>0.6</v>
      </c>
      <c r="DS35" s="26">
        <f t="shared" si="53"/>
        <v>0.3</v>
      </c>
      <c r="DT35" s="26">
        <f t="shared" si="53"/>
        <v>1</v>
      </c>
      <c r="DU35" s="26">
        <f t="shared" si="53"/>
        <v>0</v>
      </c>
      <c r="DV35" s="26">
        <f t="shared" si="53"/>
        <v>0</v>
      </c>
      <c r="DW35" s="26">
        <f t="shared" si="53"/>
        <v>1</v>
      </c>
      <c r="DX35" s="26">
        <f t="shared" si="53"/>
        <v>0</v>
      </c>
      <c r="DY35" s="26">
        <f t="shared" si="53"/>
        <v>0</v>
      </c>
      <c r="DZ35" s="26">
        <f t="shared" si="53"/>
        <v>1</v>
      </c>
      <c r="EA35" s="26">
        <f t="shared" ref="EA35:EL44" si="54">SUMIFS($J$5:$J$76,$I$5:$I$76,EA$4,$H$5:$H$76,"&lt;="&amp;$AF35)</f>
        <v>0</v>
      </c>
      <c r="EB35" s="26">
        <f t="shared" si="54"/>
        <v>0</v>
      </c>
      <c r="EC35" s="26">
        <f t="shared" si="54"/>
        <v>0</v>
      </c>
      <c r="ED35" s="26">
        <f t="shared" si="54"/>
        <v>0</v>
      </c>
      <c r="EE35" s="26">
        <f t="shared" si="54"/>
        <v>0</v>
      </c>
      <c r="EF35" s="26">
        <f t="shared" si="54"/>
        <v>0</v>
      </c>
      <c r="EG35" s="26">
        <f t="shared" si="54"/>
        <v>0</v>
      </c>
      <c r="EH35" s="26">
        <f t="shared" si="54"/>
        <v>0</v>
      </c>
      <c r="EI35" s="26">
        <f t="shared" si="54"/>
        <v>0</v>
      </c>
      <c r="EJ35" s="26">
        <f t="shared" si="54"/>
        <v>0</v>
      </c>
      <c r="EK35" s="26">
        <f t="shared" si="54"/>
        <v>0</v>
      </c>
      <c r="EL35" s="26">
        <f t="shared" si="54"/>
        <v>0</v>
      </c>
      <c r="EM35" s="26">
        <f t="shared" si="18"/>
        <v>25424</v>
      </c>
      <c r="EN35" s="26">
        <f t="shared" si="19"/>
        <v>25424</v>
      </c>
      <c r="EO35" s="26">
        <f t="shared" si="20"/>
        <v>33084</v>
      </c>
      <c r="EP35" s="26">
        <f t="shared" si="21"/>
        <v>49967</v>
      </c>
      <c r="EQ35" s="26">
        <f t="shared" si="22"/>
        <v>54514</v>
      </c>
    </row>
    <row r="36" spans="2:147">
      <c r="B36" s="27">
        <v>6</v>
      </c>
      <c r="C36" s="27">
        <v>2</v>
      </c>
      <c r="D36" s="27">
        <v>500</v>
      </c>
      <c r="E36" s="27">
        <f t="shared" si="23"/>
        <v>16000</v>
      </c>
      <c r="F36" s="27">
        <f t="shared" si="11"/>
        <v>16000</v>
      </c>
      <c r="G36" s="27">
        <f>SUM(F$5:F36)</f>
        <v>264000</v>
      </c>
      <c r="H36" s="27">
        <f t="shared" si="24"/>
        <v>32</v>
      </c>
      <c r="I36" s="27" t="s">
        <v>177</v>
      </c>
      <c r="J36" s="27">
        <v>0.1</v>
      </c>
      <c r="K36" s="27">
        <f>INDEX(其他调用!$BO$5:$BO$61,MATCH(星阵点亮!I36,其他调用!$BM$5:$BM$61,0))*J36</f>
        <v>7618.5775082610944</v>
      </c>
      <c r="L36" s="27">
        <f t="shared" ref="L7:L70" si="55">IF(INT(K36)&lt;=L35,INT(L35+50),INT(K36))</f>
        <v>7618</v>
      </c>
      <c r="O36" s="30"/>
      <c r="Q36" s="26">
        <v>32</v>
      </c>
      <c r="R36" s="26">
        <f>总纲!D36</f>
        <v>8.189586839976279</v>
      </c>
      <c r="S36" s="26">
        <f>求节点(将星点产出!$W$6:$W$44,将星点产出!$AO$6:$AO$44,星阵点亮!$Q36)</f>
        <v>19421.90715663855</v>
      </c>
      <c r="T36" s="26">
        <f t="shared" si="13"/>
        <v>8</v>
      </c>
      <c r="U36" s="26">
        <f>总纲!E36</f>
        <v>7.1519661873512845</v>
      </c>
      <c r="V36" s="26">
        <f>求节点(将星点产出!$W$51:$W$89,将星点产出!$AO$51:$AO$89,星阵点亮!$Q36)</f>
        <v>21307.534763107731</v>
      </c>
      <c r="W36" s="26">
        <f t="shared" si="14"/>
        <v>8</v>
      </c>
      <c r="X36" s="26">
        <f>总纲!F36</f>
        <v>5.906330028990892</v>
      </c>
      <c r="Y36" s="26">
        <f>求节点(将星点产出!$W$96:$W$134,将星点产出!$AO$96:$AO$134,星阵点亮!$Q36)</f>
        <v>32384.783528812615</v>
      </c>
      <c r="Z36" s="26">
        <f t="shared" si="15"/>
        <v>10</v>
      </c>
      <c r="AA36" s="26">
        <f>总纲!G36</f>
        <v>4.3855237528072974</v>
      </c>
      <c r="AB36" s="26">
        <f>求节点(将星点产出!$W$141:$W$179,将星点产出!$AO$141:$AO$179,星阵点亮!$Q36)</f>
        <v>58609.345467837586</v>
      </c>
      <c r="AC36" s="26">
        <f t="shared" si="16"/>
        <v>14</v>
      </c>
      <c r="AD36" s="26">
        <f>总纲!H36</f>
        <v>2.46506563883286</v>
      </c>
      <c r="AE36" s="26">
        <f>求节点(将星点产出!$W$186:$W$224,将星点产出!$AO$186:$AO$224,星阵点亮!$Q36)</f>
        <v>63924.233555411512</v>
      </c>
      <c r="AF36" s="26">
        <f t="shared" si="17"/>
        <v>15</v>
      </c>
      <c r="AG36" s="26">
        <f t="shared" si="45"/>
        <v>0.6</v>
      </c>
      <c r="AH36" s="26">
        <f t="shared" si="45"/>
        <v>0.6</v>
      </c>
      <c r="AI36" s="26">
        <f t="shared" si="45"/>
        <v>0</v>
      </c>
      <c r="AJ36" s="26">
        <f t="shared" si="45"/>
        <v>0.6</v>
      </c>
      <c r="AK36" s="26">
        <f t="shared" si="45"/>
        <v>0</v>
      </c>
      <c r="AL36" s="26">
        <f t="shared" si="45"/>
        <v>0</v>
      </c>
      <c r="AM36" s="26">
        <f t="shared" si="45"/>
        <v>0.3</v>
      </c>
      <c r="AN36" s="26">
        <f t="shared" si="45"/>
        <v>0</v>
      </c>
      <c r="AO36" s="26">
        <f t="shared" si="45"/>
        <v>0</v>
      </c>
      <c r="AP36" s="26">
        <f t="shared" si="45"/>
        <v>0.3</v>
      </c>
      <c r="AQ36" s="26">
        <f t="shared" si="46"/>
        <v>0</v>
      </c>
      <c r="AR36" s="26">
        <f t="shared" si="46"/>
        <v>0</v>
      </c>
      <c r="AS36" s="26">
        <f t="shared" si="46"/>
        <v>0</v>
      </c>
      <c r="AT36" s="26">
        <f t="shared" si="46"/>
        <v>0</v>
      </c>
      <c r="AU36" s="26">
        <f t="shared" si="46"/>
        <v>0</v>
      </c>
      <c r="AV36" s="26">
        <f t="shared" si="46"/>
        <v>0</v>
      </c>
      <c r="AW36" s="26">
        <f t="shared" si="46"/>
        <v>0</v>
      </c>
      <c r="AX36" s="26">
        <f t="shared" si="46"/>
        <v>0</v>
      </c>
      <c r="AY36" s="26">
        <f t="shared" si="46"/>
        <v>0</v>
      </c>
      <c r="AZ36" s="26">
        <f t="shared" si="46"/>
        <v>0</v>
      </c>
      <c r="BA36" s="26">
        <f t="shared" si="46"/>
        <v>0</v>
      </c>
      <c r="BB36" s="26">
        <f t="shared" si="46"/>
        <v>0</v>
      </c>
      <c r="BC36" s="26">
        <f t="shared" si="47"/>
        <v>0.6</v>
      </c>
      <c r="BD36" s="26">
        <f t="shared" si="47"/>
        <v>0.6</v>
      </c>
      <c r="BE36" s="26">
        <f t="shared" si="47"/>
        <v>0</v>
      </c>
      <c r="BF36" s="26">
        <f t="shared" si="47"/>
        <v>0.6</v>
      </c>
      <c r="BG36" s="26">
        <f t="shared" si="47"/>
        <v>0</v>
      </c>
      <c r="BH36" s="26">
        <f t="shared" si="47"/>
        <v>0</v>
      </c>
      <c r="BI36" s="26">
        <f t="shared" si="47"/>
        <v>0.3</v>
      </c>
      <c r="BJ36" s="26">
        <f t="shared" si="47"/>
        <v>0</v>
      </c>
      <c r="BK36" s="26">
        <f t="shared" si="47"/>
        <v>0</v>
      </c>
      <c r="BL36" s="26">
        <f t="shared" si="47"/>
        <v>0.3</v>
      </c>
      <c r="BM36" s="26">
        <f t="shared" si="48"/>
        <v>0</v>
      </c>
      <c r="BN36" s="26">
        <f t="shared" si="48"/>
        <v>0</v>
      </c>
      <c r="BO36" s="26">
        <f t="shared" si="48"/>
        <v>0</v>
      </c>
      <c r="BP36" s="26">
        <f t="shared" si="48"/>
        <v>0</v>
      </c>
      <c r="BQ36" s="26">
        <f t="shared" si="48"/>
        <v>0</v>
      </c>
      <c r="BR36" s="26">
        <f t="shared" si="48"/>
        <v>0</v>
      </c>
      <c r="BS36" s="26">
        <f t="shared" si="48"/>
        <v>0</v>
      </c>
      <c r="BT36" s="26">
        <f t="shared" si="48"/>
        <v>0</v>
      </c>
      <c r="BU36" s="26">
        <f t="shared" si="48"/>
        <v>0</v>
      </c>
      <c r="BV36" s="26">
        <f t="shared" si="48"/>
        <v>0</v>
      </c>
      <c r="BW36" s="26">
        <f t="shared" si="48"/>
        <v>0</v>
      </c>
      <c r="BX36" s="26">
        <f t="shared" si="48"/>
        <v>0</v>
      </c>
      <c r="BY36" s="26">
        <f t="shared" si="49"/>
        <v>0.6</v>
      </c>
      <c r="BZ36" s="26">
        <f t="shared" si="49"/>
        <v>0.6</v>
      </c>
      <c r="CA36" s="26">
        <f t="shared" si="49"/>
        <v>0</v>
      </c>
      <c r="CB36" s="26">
        <f t="shared" si="49"/>
        <v>0.6</v>
      </c>
      <c r="CC36" s="26">
        <f t="shared" si="49"/>
        <v>0</v>
      </c>
      <c r="CD36" s="26">
        <f t="shared" si="49"/>
        <v>0</v>
      </c>
      <c r="CE36" s="26">
        <f t="shared" si="49"/>
        <v>0.6</v>
      </c>
      <c r="CF36" s="26">
        <f t="shared" si="49"/>
        <v>0</v>
      </c>
      <c r="CG36" s="26">
        <f t="shared" si="49"/>
        <v>0</v>
      </c>
      <c r="CH36" s="26">
        <f t="shared" si="49"/>
        <v>0.6</v>
      </c>
      <c r="CI36" s="26">
        <f t="shared" si="50"/>
        <v>0</v>
      </c>
      <c r="CJ36" s="26">
        <f t="shared" si="50"/>
        <v>0</v>
      </c>
      <c r="CK36" s="26">
        <f t="shared" si="50"/>
        <v>0</v>
      </c>
      <c r="CL36" s="26">
        <f t="shared" si="50"/>
        <v>0</v>
      </c>
      <c r="CM36" s="26">
        <f t="shared" si="50"/>
        <v>0</v>
      </c>
      <c r="CN36" s="26">
        <f t="shared" si="50"/>
        <v>0</v>
      </c>
      <c r="CO36" s="26">
        <f t="shared" si="50"/>
        <v>0</v>
      </c>
      <c r="CP36" s="26">
        <f t="shared" si="50"/>
        <v>0</v>
      </c>
      <c r="CQ36" s="26">
        <f t="shared" si="50"/>
        <v>0</v>
      </c>
      <c r="CR36" s="26">
        <f t="shared" si="50"/>
        <v>0</v>
      </c>
      <c r="CS36" s="26">
        <f t="shared" si="50"/>
        <v>0</v>
      </c>
      <c r="CT36" s="26">
        <f t="shared" si="50"/>
        <v>0</v>
      </c>
      <c r="CU36" s="26">
        <f t="shared" si="51"/>
        <v>0.6</v>
      </c>
      <c r="CV36" s="26">
        <f t="shared" si="51"/>
        <v>0.6</v>
      </c>
      <c r="CW36" s="26">
        <f t="shared" si="51"/>
        <v>0.3</v>
      </c>
      <c r="CX36" s="26">
        <f t="shared" si="51"/>
        <v>1</v>
      </c>
      <c r="CY36" s="26">
        <f t="shared" si="51"/>
        <v>0</v>
      </c>
      <c r="CZ36" s="26">
        <f t="shared" si="51"/>
        <v>0</v>
      </c>
      <c r="DA36" s="26">
        <f t="shared" si="51"/>
        <v>1</v>
      </c>
      <c r="DB36" s="26">
        <f t="shared" si="51"/>
        <v>0</v>
      </c>
      <c r="DC36" s="26">
        <f t="shared" si="51"/>
        <v>0</v>
      </c>
      <c r="DD36" s="26">
        <f t="shared" si="51"/>
        <v>1</v>
      </c>
      <c r="DE36" s="26">
        <f t="shared" si="52"/>
        <v>0</v>
      </c>
      <c r="DF36" s="26">
        <f t="shared" si="52"/>
        <v>0</v>
      </c>
      <c r="DG36" s="26">
        <f t="shared" si="52"/>
        <v>0</v>
      </c>
      <c r="DH36" s="26">
        <f t="shared" si="52"/>
        <v>0</v>
      </c>
      <c r="DI36" s="26">
        <f t="shared" si="52"/>
        <v>0</v>
      </c>
      <c r="DJ36" s="26">
        <f t="shared" si="52"/>
        <v>0</v>
      </c>
      <c r="DK36" s="26">
        <f t="shared" si="52"/>
        <v>0</v>
      </c>
      <c r="DL36" s="26">
        <f t="shared" si="52"/>
        <v>0</v>
      </c>
      <c r="DM36" s="26">
        <f t="shared" si="52"/>
        <v>0</v>
      </c>
      <c r="DN36" s="26">
        <f t="shared" si="52"/>
        <v>0</v>
      </c>
      <c r="DO36" s="26">
        <f t="shared" si="52"/>
        <v>0</v>
      </c>
      <c r="DP36" s="26">
        <f t="shared" si="52"/>
        <v>0</v>
      </c>
      <c r="DQ36" s="26">
        <f t="shared" si="53"/>
        <v>1</v>
      </c>
      <c r="DR36" s="26">
        <f t="shared" si="53"/>
        <v>0.6</v>
      </c>
      <c r="DS36" s="26">
        <f t="shared" si="53"/>
        <v>0.3</v>
      </c>
      <c r="DT36" s="26">
        <f t="shared" si="53"/>
        <v>1</v>
      </c>
      <c r="DU36" s="26">
        <f t="shared" si="53"/>
        <v>0</v>
      </c>
      <c r="DV36" s="26">
        <f t="shared" si="53"/>
        <v>0</v>
      </c>
      <c r="DW36" s="26">
        <f t="shared" si="53"/>
        <v>1</v>
      </c>
      <c r="DX36" s="26">
        <f t="shared" si="53"/>
        <v>0</v>
      </c>
      <c r="DY36" s="26">
        <f t="shared" si="53"/>
        <v>0</v>
      </c>
      <c r="DZ36" s="26">
        <f t="shared" si="53"/>
        <v>1</v>
      </c>
      <c r="EA36" s="26">
        <f t="shared" si="54"/>
        <v>0</v>
      </c>
      <c r="EB36" s="26">
        <f t="shared" si="54"/>
        <v>0</v>
      </c>
      <c r="EC36" s="26">
        <f t="shared" si="54"/>
        <v>0</v>
      </c>
      <c r="ED36" s="26">
        <f t="shared" si="54"/>
        <v>0</v>
      </c>
      <c r="EE36" s="26">
        <f t="shared" si="54"/>
        <v>0</v>
      </c>
      <c r="EF36" s="26">
        <f t="shared" si="54"/>
        <v>0</v>
      </c>
      <c r="EG36" s="26">
        <f t="shared" si="54"/>
        <v>0</v>
      </c>
      <c r="EH36" s="26">
        <f t="shared" si="54"/>
        <v>0</v>
      </c>
      <c r="EI36" s="26">
        <f t="shared" si="54"/>
        <v>0</v>
      </c>
      <c r="EJ36" s="26">
        <f t="shared" si="54"/>
        <v>0</v>
      </c>
      <c r="EK36" s="26">
        <f t="shared" si="54"/>
        <v>0</v>
      </c>
      <c r="EL36" s="26">
        <f t="shared" si="54"/>
        <v>0</v>
      </c>
      <c r="EM36" s="26">
        <f t="shared" si="18"/>
        <v>25424</v>
      </c>
      <c r="EN36" s="26">
        <f t="shared" si="19"/>
        <v>25424</v>
      </c>
      <c r="EO36" s="26">
        <f t="shared" si="20"/>
        <v>33084</v>
      </c>
      <c r="EP36" s="26">
        <f t="shared" si="21"/>
        <v>49967</v>
      </c>
      <c r="EQ36" s="26">
        <f t="shared" si="22"/>
        <v>54514</v>
      </c>
    </row>
    <row r="37" spans="2:147">
      <c r="B37" s="27">
        <v>6</v>
      </c>
      <c r="C37" s="27">
        <v>3</v>
      </c>
      <c r="D37" s="27">
        <v>500</v>
      </c>
      <c r="E37" s="27">
        <f t="shared" si="23"/>
        <v>16500</v>
      </c>
      <c r="F37" s="27">
        <f t="shared" si="11"/>
        <v>16500</v>
      </c>
      <c r="G37" s="27">
        <f>SUM(F$5:F37)</f>
        <v>280500</v>
      </c>
      <c r="H37" s="27">
        <f t="shared" si="24"/>
        <v>33</v>
      </c>
      <c r="I37" s="27" t="s">
        <v>179</v>
      </c>
      <c r="J37" s="27">
        <v>0.1</v>
      </c>
      <c r="K37" s="27">
        <f>INDEX(其他调用!$BO$5:$BO$61,MATCH(星阵点亮!I37,其他调用!$BM$5:$BM$61,0))*J37</f>
        <v>7618.5775082610944</v>
      </c>
      <c r="L37" s="27">
        <f t="shared" si="55"/>
        <v>7668</v>
      </c>
      <c r="O37" s="30"/>
      <c r="Q37" s="26">
        <v>33</v>
      </c>
      <c r="R37" s="26">
        <f>总纲!D37</f>
        <v>8.8491553067593287</v>
      </c>
      <c r="S37" s="26">
        <f>求节点(将星点产出!$W$6:$W$44,将星点产出!$AO$6:$AO$44,星阵点亮!$Q37)</f>
        <v>20459.862405711821</v>
      </c>
      <c r="T37" s="26">
        <f t="shared" si="13"/>
        <v>8</v>
      </c>
      <c r="U37" s="26">
        <f>总纲!E37</f>
        <v>7.7120388498407557</v>
      </c>
      <c r="V37" s="26">
        <f>求节点(将星点产出!$W$51:$W$89,将星点产出!$AO$51:$AO$89,星阵点亮!$Q37)</f>
        <v>22491.317387380986</v>
      </c>
      <c r="W37" s="26">
        <f t="shared" si="14"/>
        <v>8</v>
      </c>
      <c r="X37" s="26">
        <f>总纲!F37</f>
        <v>6.3696219898053652</v>
      </c>
      <c r="Y37" s="26">
        <f>求节点(将星点产出!$W$96:$W$134,将星点产出!$AO$96:$AO$134,星阵点亮!$Q37)</f>
        <v>34800.769645504639</v>
      </c>
      <c r="Z37" s="26">
        <f t="shared" si="15"/>
        <v>11</v>
      </c>
      <c r="AA37" s="26">
        <f>总纲!G37</f>
        <v>4.736067920177593</v>
      </c>
      <c r="AB37" s="26">
        <f>求节点(将星点产出!$W$141:$W$179,将星点产出!$AO$141:$AO$179,星阵点亮!$Q37)</f>
        <v>61282.351747949724</v>
      </c>
      <c r="AC37" s="26">
        <f t="shared" si="16"/>
        <v>15</v>
      </c>
      <c r="AD37" s="26">
        <f>总纲!H37</f>
        <v>2.6627108318038819</v>
      </c>
      <c r="AE37" s="26">
        <f>求节点(将星点产出!$W$186:$W$224,将星点产出!$AO$186:$AO$224,星阵点亮!$Q37)</f>
        <v>66999.234580574121</v>
      </c>
      <c r="AF37" s="26">
        <f t="shared" si="17"/>
        <v>15</v>
      </c>
      <c r="AG37" s="26">
        <f t="shared" si="45"/>
        <v>0.6</v>
      </c>
      <c r="AH37" s="26">
        <f t="shared" si="45"/>
        <v>0.6</v>
      </c>
      <c r="AI37" s="26">
        <f t="shared" si="45"/>
        <v>0</v>
      </c>
      <c r="AJ37" s="26">
        <f t="shared" si="45"/>
        <v>0.6</v>
      </c>
      <c r="AK37" s="26">
        <f t="shared" si="45"/>
        <v>0</v>
      </c>
      <c r="AL37" s="26">
        <f t="shared" si="45"/>
        <v>0</v>
      </c>
      <c r="AM37" s="26">
        <f t="shared" si="45"/>
        <v>0.3</v>
      </c>
      <c r="AN37" s="26">
        <f t="shared" si="45"/>
        <v>0</v>
      </c>
      <c r="AO37" s="26">
        <f t="shared" si="45"/>
        <v>0</v>
      </c>
      <c r="AP37" s="26">
        <f t="shared" si="45"/>
        <v>0.3</v>
      </c>
      <c r="AQ37" s="26">
        <f t="shared" si="46"/>
        <v>0</v>
      </c>
      <c r="AR37" s="26">
        <f t="shared" si="46"/>
        <v>0</v>
      </c>
      <c r="AS37" s="26">
        <f t="shared" si="46"/>
        <v>0</v>
      </c>
      <c r="AT37" s="26">
        <f t="shared" si="46"/>
        <v>0</v>
      </c>
      <c r="AU37" s="26">
        <f t="shared" si="46"/>
        <v>0</v>
      </c>
      <c r="AV37" s="26">
        <f t="shared" si="46"/>
        <v>0</v>
      </c>
      <c r="AW37" s="26">
        <f t="shared" si="46"/>
        <v>0</v>
      </c>
      <c r="AX37" s="26">
        <f t="shared" si="46"/>
        <v>0</v>
      </c>
      <c r="AY37" s="26">
        <f t="shared" si="46"/>
        <v>0</v>
      </c>
      <c r="AZ37" s="26">
        <f t="shared" si="46"/>
        <v>0</v>
      </c>
      <c r="BA37" s="26">
        <f t="shared" si="46"/>
        <v>0</v>
      </c>
      <c r="BB37" s="26">
        <f t="shared" si="46"/>
        <v>0</v>
      </c>
      <c r="BC37" s="26">
        <f t="shared" si="47"/>
        <v>0.6</v>
      </c>
      <c r="BD37" s="26">
        <f t="shared" si="47"/>
        <v>0.6</v>
      </c>
      <c r="BE37" s="26">
        <f t="shared" si="47"/>
        <v>0</v>
      </c>
      <c r="BF37" s="26">
        <f t="shared" si="47"/>
        <v>0.6</v>
      </c>
      <c r="BG37" s="26">
        <f t="shared" si="47"/>
        <v>0</v>
      </c>
      <c r="BH37" s="26">
        <f t="shared" si="47"/>
        <v>0</v>
      </c>
      <c r="BI37" s="26">
        <f t="shared" si="47"/>
        <v>0.3</v>
      </c>
      <c r="BJ37" s="26">
        <f t="shared" si="47"/>
        <v>0</v>
      </c>
      <c r="BK37" s="26">
        <f t="shared" si="47"/>
        <v>0</v>
      </c>
      <c r="BL37" s="26">
        <f t="shared" si="47"/>
        <v>0.3</v>
      </c>
      <c r="BM37" s="26">
        <f t="shared" si="48"/>
        <v>0</v>
      </c>
      <c r="BN37" s="26">
        <f t="shared" si="48"/>
        <v>0</v>
      </c>
      <c r="BO37" s="26">
        <f t="shared" si="48"/>
        <v>0</v>
      </c>
      <c r="BP37" s="26">
        <f t="shared" si="48"/>
        <v>0</v>
      </c>
      <c r="BQ37" s="26">
        <f t="shared" si="48"/>
        <v>0</v>
      </c>
      <c r="BR37" s="26">
        <f t="shared" si="48"/>
        <v>0</v>
      </c>
      <c r="BS37" s="26">
        <f t="shared" si="48"/>
        <v>0</v>
      </c>
      <c r="BT37" s="26">
        <f t="shared" si="48"/>
        <v>0</v>
      </c>
      <c r="BU37" s="26">
        <f t="shared" si="48"/>
        <v>0</v>
      </c>
      <c r="BV37" s="26">
        <f t="shared" si="48"/>
        <v>0</v>
      </c>
      <c r="BW37" s="26">
        <f t="shared" si="48"/>
        <v>0</v>
      </c>
      <c r="BX37" s="26">
        <f t="shared" si="48"/>
        <v>0</v>
      </c>
      <c r="BY37" s="26">
        <f t="shared" si="49"/>
        <v>0.6</v>
      </c>
      <c r="BZ37" s="26">
        <f t="shared" si="49"/>
        <v>0.6</v>
      </c>
      <c r="CA37" s="26">
        <f t="shared" si="49"/>
        <v>0</v>
      </c>
      <c r="CB37" s="26">
        <f t="shared" si="49"/>
        <v>0.6</v>
      </c>
      <c r="CC37" s="26">
        <f t="shared" si="49"/>
        <v>0</v>
      </c>
      <c r="CD37" s="26">
        <f t="shared" si="49"/>
        <v>0</v>
      </c>
      <c r="CE37" s="26">
        <f t="shared" si="49"/>
        <v>0.6</v>
      </c>
      <c r="CF37" s="26">
        <f t="shared" si="49"/>
        <v>0</v>
      </c>
      <c r="CG37" s="26">
        <f t="shared" si="49"/>
        <v>0</v>
      </c>
      <c r="CH37" s="26">
        <f t="shared" si="49"/>
        <v>1</v>
      </c>
      <c r="CI37" s="26">
        <f t="shared" si="50"/>
        <v>0</v>
      </c>
      <c r="CJ37" s="26">
        <f t="shared" si="50"/>
        <v>0</v>
      </c>
      <c r="CK37" s="26">
        <f t="shared" si="50"/>
        <v>0</v>
      </c>
      <c r="CL37" s="26">
        <f t="shared" si="50"/>
        <v>0</v>
      </c>
      <c r="CM37" s="26">
        <f t="shared" si="50"/>
        <v>0</v>
      </c>
      <c r="CN37" s="26">
        <f t="shared" si="50"/>
        <v>0</v>
      </c>
      <c r="CO37" s="26">
        <f t="shared" si="50"/>
        <v>0</v>
      </c>
      <c r="CP37" s="26">
        <f t="shared" si="50"/>
        <v>0</v>
      </c>
      <c r="CQ37" s="26">
        <f t="shared" si="50"/>
        <v>0</v>
      </c>
      <c r="CR37" s="26">
        <f t="shared" si="50"/>
        <v>0</v>
      </c>
      <c r="CS37" s="26">
        <f t="shared" si="50"/>
        <v>0</v>
      </c>
      <c r="CT37" s="26">
        <f t="shared" si="50"/>
        <v>0</v>
      </c>
      <c r="CU37" s="26">
        <f t="shared" si="51"/>
        <v>1</v>
      </c>
      <c r="CV37" s="26">
        <f t="shared" si="51"/>
        <v>0.6</v>
      </c>
      <c r="CW37" s="26">
        <f t="shared" si="51"/>
        <v>0.3</v>
      </c>
      <c r="CX37" s="26">
        <f t="shared" si="51"/>
        <v>1</v>
      </c>
      <c r="CY37" s="26">
        <f t="shared" si="51"/>
        <v>0</v>
      </c>
      <c r="CZ37" s="26">
        <f t="shared" si="51"/>
        <v>0</v>
      </c>
      <c r="DA37" s="26">
        <f t="shared" si="51"/>
        <v>1</v>
      </c>
      <c r="DB37" s="26">
        <f t="shared" si="51"/>
        <v>0</v>
      </c>
      <c r="DC37" s="26">
        <f t="shared" si="51"/>
        <v>0</v>
      </c>
      <c r="DD37" s="26">
        <f t="shared" si="51"/>
        <v>1</v>
      </c>
      <c r="DE37" s="26">
        <f t="shared" si="52"/>
        <v>0</v>
      </c>
      <c r="DF37" s="26">
        <f t="shared" si="52"/>
        <v>0</v>
      </c>
      <c r="DG37" s="26">
        <f t="shared" si="52"/>
        <v>0</v>
      </c>
      <c r="DH37" s="26">
        <f t="shared" si="52"/>
        <v>0</v>
      </c>
      <c r="DI37" s="26">
        <f t="shared" si="52"/>
        <v>0</v>
      </c>
      <c r="DJ37" s="26">
        <f t="shared" si="52"/>
        <v>0</v>
      </c>
      <c r="DK37" s="26">
        <f t="shared" si="52"/>
        <v>0</v>
      </c>
      <c r="DL37" s="26">
        <f t="shared" si="52"/>
        <v>0</v>
      </c>
      <c r="DM37" s="26">
        <f t="shared" si="52"/>
        <v>0</v>
      </c>
      <c r="DN37" s="26">
        <f t="shared" si="52"/>
        <v>0</v>
      </c>
      <c r="DO37" s="26">
        <f t="shared" si="52"/>
        <v>0</v>
      </c>
      <c r="DP37" s="26">
        <f t="shared" si="52"/>
        <v>0</v>
      </c>
      <c r="DQ37" s="26">
        <f t="shared" si="53"/>
        <v>1</v>
      </c>
      <c r="DR37" s="26">
        <f t="shared" si="53"/>
        <v>0.6</v>
      </c>
      <c r="DS37" s="26">
        <f t="shared" si="53"/>
        <v>0.3</v>
      </c>
      <c r="DT37" s="26">
        <f t="shared" si="53"/>
        <v>1</v>
      </c>
      <c r="DU37" s="26">
        <f t="shared" si="53"/>
        <v>0</v>
      </c>
      <c r="DV37" s="26">
        <f t="shared" si="53"/>
        <v>0</v>
      </c>
      <c r="DW37" s="26">
        <f t="shared" si="53"/>
        <v>1</v>
      </c>
      <c r="DX37" s="26">
        <f t="shared" si="53"/>
        <v>0</v>
      </c>
      <c r="DY37" s="26">
        <f t="shared" si="53"/>
        <v>0</v>
      </c>
      <c r="DZ37" s="26">
        <f t="shared" si="53"/>
        <v>1</v>
      </c>
      <c r="EA37" s="26">
        <f t="shared" si="54"/>
        <v>0</v>
      </c>
      <c r="EB37" s="26">
        <f t="shared" si="54"/>
        <v>0</v>
      </c>
      <c r="EC37" s="26">
        <f t="shared" si="54"/>
        <v>0</v>
      </c>
      <c r="ED37" s="26">
        <f t="shared" si="54"/>
        <v>0</v>
      </c>
      <c r="EE37" s="26">
        <f t="shared" si="54"/>
        <v>0</v>
      </c>
      <c r="EF37" s="26">
        <f t="shared" si="54"/>
        <v>0</v>
      </c>
      <c r="EG37" s="26">
        <f t="shared" si="54"/>
        <v>0</v>
      </c>
      <c r="EH37" s="26">
        <f t="shared" si="54"/>
        <v>0</v>
      </c>
      <c r="EI37" s="26">
        <f t="shared" si="54"/>
        <v>0</v>
      </c>
      <c r="EJ37" s="26">
        <f t="shared" si="54"/>
        <v>0</v>
      </c>
      <c r="EK37" s="26">
        <f t="shared" si="54"/>
        <v>0</v>
      </c>
      <c r="EL37" s="26">
        <f t="shared" si="54"/>
        <v>0</v>
      </c>
      <c r="EM37" s="26">
        <f t="shared" si="18"/>
        <v>25424</v>
      </c>
      <c r="EN37" s="26">
        <f t="shared" si="19"/>
        <v>25424</v>
      </c>
      <c r="EO37" s="26">
        <f t="shared" si="20"/>
        <v>37109</v>
      </c>
      <c r="EP37" s="26">
        <f t="shared" si="21"/>
        <v>54514</v>
      </c>
      <c r="EQ37" s="26">
        <f t="shared" si="22"/>
        <v>54514</v>
      </c>
    </row>
    <row r="38" spans="2:147">
      <c r="B38" s="27">
        <v>6</v>
      </c>
      <c r="C38" s="27">
        <v>4</v>
      </c>
      <c r="D38" s="27">
        <v>500</v>
      </c>
      <c r="E38" s="27">
        <f t="shared" si="23"/>
        <v>17000</v>
      </c>
      <c r="F38" s="27">
        <f t="shared" si="11"/>
        <v>17000</v>
      </c>
      <c r="G38" s="27">
        <f>SUM(F$5:F38)</f>
        <v>297500</v>
      </c>
      <c r="H38" s="27">
        <f t="shared" si="24"/>
        <v>34</v>
      </c>
      <c r="I38" s="27" t="s">
        <v>142</v>
      </c>
      <c r="J38" s="27">
        <v>0.5</v>
      </c>
      <c r="K38" s="27">
        <f>INDEX(其他调用!$BO$5:$BO$61,MATCH(星阵点亮!I38,其他调用!$BM$5:$BM$61,0))*J38</f>
        <v>6805.6984618809402</v>
      </c>
      <c r="L38" s="27">
        <f t="shared" si="55"/>
        <v>7718</v>
      </c>
      <c r="O38" s="30"/>
      <c r="Q38" s="26">
        <v>34</v>
      </c>
      <c r="R38" s="26">
        <f>总纲!D38</f>
        <v>9.5560632861831518</v>
      </c>
      <c r="S38" s="26">
        <f>求节点(将星点产出!$W$6:$W$44,将星点产出!$AO$6:$AO$44,星阵点亮!$Q38)</f>
        <v>21497.817654785089</v>
      </c>
      <c r="T38" s="26">
        <f t="shared" si="13"/>
        <v>8</v>
      </c>
      <c r="U38" s="26">
        <f>总纲!E38</f>
        <v>8.3309759728944712</v>
      </c>
      <c r="V38" s="26">
        <f>求节点(将星点产出!$W$51:$W$89,将星点产出!$AO$51:$AO$89,星阵点亮!$Q38)</f>
        <v>23675.100011654238</v>
      </c>
      <c r="W38" s="26">
        <f t="shared" si="14"/>
        <v>9</v>
      </c>
      <c r="X38" s="26">
        <f>总纲!F38</f>
        <v>6.8918328419952886</v>
      </c>
      <c r="Y38" s="26">
        <f>求节点(将星点产出!$W$96:$W$134,将星点产出!$AO$96:$AO$134,星阵点亮!$Q38)</f>
        <v>37216.755762196663</v>
      </c>
      <c r="Z38" s="26">
        <f t="shared" si="15"/>
        <v>11</v>
      </c>
      <c r="AA38" s="26">
        <f>总纲!G38</f>
        <v>5.1287391656944967</v>
      </c>
      <c r="AB38" s="26">
        <f>求节点(将星点产出!$W$141:$W$179,将星点产出!$AO$141:$AO$179,星阵点亮!$Q38)</f>
        <v>64951.375237755026</v>
      </c>
      <c r="AC38" s="26">
        <f t="shared" si="16"/>
        <v>15</v>
      </c>
      <c r="AD38" s="26">
        <f>总纲!H38</f>
        <v>2.8811530807842201</v>
      </c>
      <c r="AE38" s="26">
        <f>求节点(将星点产出!$W$186:$W$224,将星点产出!$AO$186:$AO$224,星阵点亮!$Q38)</f>
        <v>73803.769937442732</v>
      </c>
      <c r="AF38" s="26">
        <f t="shared" si="17"/>
        <v>16</v>
      </c>
      <c r="AG38" s="26">
        <f t="shared" si="45"/>
        <v>0.6</v>
      </c>
      <c r="AH38" s="26">
        <f t="shared" si="45"/>
        <v>0.6</v>
      </c>
      <c r="AI38" s="26">
        <f t="shared" si="45"/>
        <v>0</v>
      </c>
      <c r="AJ38" s="26">
        <f t="shared" si="45"/>
        <v>0.6</v>
      </c>
      <c r="AK38" s="26">
        <f t="shared" si="45"/>
        <v>0</v>
      </c>
      <c r="AL38" s="26">
        <f t="shared" si="45"/>
        <v>0</v>
      </c>
      <c r="AM38" s="26">
        <f t="shared" si="45"/>
        <v>0.3</v>
      </c>
      <c r="AN38" s="26">
        <f t="shared" si="45"/>
        <v>0</v>
      </c>
      <c r="AO38" s="26">
        <f t="shared" si="45"/>
        <v>0</v>
      </c>
      <c r="AP38" s="26">
        <f t="shared" si="45"/>
        <v>0.3</v>
      </c>
      <c r="AQ38" s="26">
        <f t="shared" si="46"/>
        <v>0</v>
      </c>
      <c r="AR38" s="26">
        <f t="shared" si="46"/>
        <v>0</v>
      </c>
      <c r="AS38" s="26">
        <f t="shared" si="46"/>
        <v>0</v>
      </c>
      <c r="AT38" s="26">
        <f t="shared" si="46"/>
        <v>0</v>
      </c>
      <c r="AU38" s="26">
        <f t="shared" si="46"/>
        <v>0</v>
      </c>
      <c r="AV38" s="26">
        <f t="shared" si="46"/>
        <v>0</v>
      </c>
      <c r="AW38" s="26">
        <f t="shared" si="46"/>
        <v>0</v>
      </c>
      <c r="AX38" s="26">
        <f t="shared" si="46"/>
        <v>0</v>
      </c>
      <c r="AY38" s="26">
        <f t="shared" si="46"/>
        <v>0</v>
      </c>
      <c r="AZ38" s="26">
        <f t="shared" si="46"/>
        <v>0</v>
      </c>
      <c r="BA38" s="26">
        <f t="shared" si="46"/>
        <v>0</v>
      </c>
      <c r="BB38" s="26">
        <f t="shared" si="46"/>
        <v>0</v>
      </c>
      <c r="BC38" s="26">
        <f t="shared" si="47"/>
        <v>0.6</v>
      </c>
      <c r="BD38" s="26">
        <f t="shared" si="47"/>
        <v>0.6</v>
      </c>
      <c r="BE38" s="26">
        <f t="shared" si="47"/>
        <v>0</v>
      </c>
      <c r="BF38" s="26">
        <f t="shared" si="47"/>
        <v>0.6</v>
      </c>
      <c r="BG38" s="26">
        <f t="shared" si="47"/>
        <v>0</v>
      </c>
      <c r="BH38" s="26">
        <f t="shared" si="47"/>
        <v>0</v>
      </c>
      <c r="BI38" s="26">
        <f t="shared" si="47"/>
        <v>0.3</v>
      </c>
      <c r="BJ38" s="26">
        <f t="shared" si="47"/>
        <v>0</v>
      </c>
      <c r="BK38" s="26">
        <f t="shared" si="47"/>
        <v>0</v>
      </c>
      <c r="BL38" s="26">
        <f t="shared" si="47"/>
        <v>0.6</v>
      </c>
      <c r="BM38" s="26">
        <f t="shared" si="48"/>
        <v>0</v>
      </c>
      <c r="BN38" s="26">
        <f t="shared" si="48"/>
        <v>0</v>
      </c>
      <c r="BO38" s="26">
        <f t="shared" si="48"/>
        <v>0</v>
      </c>
      <c r="BP38" s="26">
        <f t="shared" si="48"/>
        <v>0</v>
      </c>
      <c r="BQ38" s="26">
        <f t="shared" si="48"/>
        <v>0</v>
      </c>
      <c r="BR38" s="26">
        <f t="shared" si="48"/>
        <v>0</v>
      </c>
      <c r="BS38" s="26">
        <f t="shared" si="48"/>
        <v>0</v>
      </c>
      <c r="BT38" s="26">
        <f t="shared" si="48"/>
        <v>0</v>
      </c>
      <c r="BU38" s="26">
        <f t="shared" si="48"/>
        <v>0</v>
      </c>
      <c r="BV38" s="26">
        <f t="shared" si="48"/>
        <v>0</v>
      </c>
      <c r="BW38" s="26">
        <f t="shared" si="48"/>
        <v>0</v>
      </c>
      <c r="BX38" s="26">
        <f t="shared" si="48"/>
        <v>0</v>
      </c>
      <c r="BY38" s="26">
        <f t="shared" si="49"/>
        <v>0.6</v>
      </c>
      <c r="BZ38" s="26">
        <f t="shared" si="49"/>
        <v>0.6</v>
      </c>
      <c r="CA38" s="26">
        <f t="shared" si="49"/>
        <v>0</v>
      </c>
      <c r="CB38" s="26">
        <f t="shared" si="49"/>
        <v>0.6</v>
      </c>
      <c r="CC38" s="26">
        <f t="shared" si="49"/>
        <v>0</v>
      </c>
      <c r="CD38" s="26">
        <f t="shared" si="49"/>
        <v>0</v>
      </c>
      <c r="CE38" s="26">
        <f t="shared" si="49"/>
        <v>0.6</v>
      </c>
      <c r="CF38" s="26">
        <f t="shared" si="49"/>
        <v>0</v>
      </c>
      <c r="CG38" s="26">
        <f t="shared" si="49"/>
        <v>0</v>
      </c>
      <c r="CH38" s="26">
        <f t="shared" si="49"/>
        <v>1</v>
      </c>
      <c r="CI38" s="26">
        <f t="shared" si="50"/>
        <v>0</v>
      </c>
      <c r="CJ38" s="26">
        <f t="shared" si="50"/>
        <v>0</v>
      </c>
      <c r="CK38" s="26">
        <f t="shared" si="50"/>
        <v>0</v>
      </c>
      <c r="CL38" s="26">
        <f t="shared" si="50"/>
        <v>0</v>
      </c>
      <c r="CM38" s="26">
        <f t="shared" si="50"/>
        <v>0</v>
      </c>
      <c r="CN38" s="26">
        <f t="shared" si="50"/>
        <v>0</v>
      </c>
      <c r="CO38" s="26">
        <f t="shared" si="50"/>
        <v>0</v>
      </c>
      <c r="CP38" s="26">
        <f t="shared" si="50"/>
        <v>0</v>
      </c>
      <c r="CQ38" s="26">
        <f t="shared" si="50"/>
        <v>0</v>
      </c>
      <c r="CR38" s="26">
        <f t="shared" si="50"/>
        <v>0</v>
      </c>
      <c r="CS38" s="26">
        <f t="shared" si="50"/>
        <v>0</v>
      </c>
      <c r="CT38" s="26">
        <f t="shared" si="50"/>
        <v>0</v>
      </c>
      <c r="CU38" s="26">
        <f t="shared" si="51"/>
        <v>1</v>
      </c>
      <c r="CV38" s="26">
        <f t="shared" si="51"/>
        <v>0.6</v>
      </c>
      <c r="CW38" s="26">
        <f t="shared" si="51"/>
        <v>0.3</v>
      </c>
      <c r="CX38" s="26">
        <f t="shared" si="51"/>
        <v>1</v>
      </c>
      <c r="CY38" s="26">
        <f t="shared" si="51"/>
        <v>0</v>
      </c>
      <c r="CZ38" s="26">
        <f t="shared" si="51"/>
        <v>0</v>
      </c>
      <c r="DA38" s="26">
        <f t="shared" si="51"/>
        <v>1</v>
      </c>
      <c r="DB38" s="26">
        <f t="shared" si="51"/>
        <v>0</v>
      </c>
      <c r="DC38" s="26">
        <f t="shared" si="51"/>
        <v>0</v>
      </c>
      <c r="DD38" s="26">
        <f t="shared" si="51"/>
        <v>1</v>
      </c>
      <c r="DE38" s="26">
        <f t="shared" si="52"/>
        <v>0</v>
      </c>
      <c r="DF38" s="26">
        <f t="shared" si="52"/>
        <v>0</v>
      </c>
      <c r="DG38" s="26">
        <f t="shared" si="52"/>
        <v>0</v>
      </c>
      <c r="DH38" s="26">
        <f t="shared" si="52"/>
        <v>0</v>
      </c>
      <c r="DI38" s="26">
        <f t="shared" si="52"/>
        <v>0</v>
      </c>
      <c r="DJ38" s="26">
        <f t="shared" si="52"/>
        <v>0</v>
      </c>
      <c r="DK38" s="26">
        <f t="shared" si="52"/>
        <v>0</v>
      </c>
      <c r="DL38" s="26">
        <f t="shared" si="52"/>
        <v>0</v>
      </c>
      <c r="DM38" s="26">
        <f t="shared" si="52"/>
        <v>0</v>
      </c>
      <c r="DN38" s="26">
        <f t="shared" si="52"/>
        <v>0</v>
      </c>
      <c r="DO38" s="26">
        <f t="shared" si="52"/>
        <v>0</v>
      </c>
      <c r="DP38" s="26">
        <f t="shared" si="52"/>
        <v>0</v>
      </c>
      <c r="DQ38" s="26">
        <f t="shared" si="53"/>
        <v>1</v>
      </c>
      <c r="DR38" s="26">
        <f t="shared" si="53"/>
        <v>0.6</v>
      </c>
      <c r="DS38" s="26">
        <f t="shared" si="53"/>
        <v>0.6</v>
      </c>
      <c r="DT38" s="26">
        <f t="shared" si="53"/>
        <v>1</v>
      </c>
      <c r="DU38" s="26">
        <f t="shared" si="53"/>
        <v>0</v>
      </c>
      <c r="DV38" s="26">
        <f t="shared" si="53"/>
        <v>0</v>
      </c>
      <c r="DW38" s="26">
        <f t="shared" si="53"/>
        <v>1</v>
      </c>
      <c r="DX38" s="26">
        <f t="shared" si="53"/>
        <v>0</v>
      </c>
      <c r="DY38" s="26">
        <f t="shared" si="53"/>
        <v>0</v>
      </c>
      <c r="DZ38" s="26">
        <f t="shared" si="53"/>
        <v>1</v>
      </c>
      <c r="EA38" s="26">
        <f t="shared" si="54"/>
        <v>0</v>
      </c>
      <c r="EB38" s="26">
        <f t="shared" si="54"/>
        <v>0</v>
      </c>
      <c r="EC38" s="26">
        <f t="shared" si="54"/>
        <v>0</v>
      </c>
      <c r="ED38" s="26">
        <f t="shared" si="54"/>
        <v>0</v>
      </c>
      <c r="EE38" s="26">
        <f t="shared" si="54"/>
        <v>0</v>
      </c>
      <c r="EF38" s="26">
        <f t="shared" si="54"/>
        <v>0</v>
      </c>
      <c r="EG38" s="26">
        <f t="shared" si="54"/>
        <v>0</v>
      </c>
      <c r="EH38" s="26">
        <f t="shared" si="54"/>
        <v>0</v>
      </c>
      <c r="EI38" s="26">
        <f t="shared" si="54"/>
        <v>0</v>
      </c>
      <c r="EJ38" s="26">
        <f t="shared" si="54"/>
        <v>0</v>
      </c>
      <c r="EK38" s="26">
        <f t="shared" si="54"/>
        <v>0</v>
      </c>
      <c r="EL38" s="26">
        <f t="shared" si="54"/>
        <v>0</v>
      </c>
      <c r="EM38" s="26">
        <f t="shared" si="18"/>
        <v>25424</v>
      </c>
      <c r="EN38" s="26">
        <f t="shared" si="19"/>
        <v>29189</v>
      </c>
      <c r="EO38" s="26">
        <f t="shared" si="20"/>
        <v>37109</v>
      </c>
      <c r="EP38" s="26">
        <f t="shared" si="21"/>
        <v>54514</v>
      </c>
      <c r="EQ38" s="26">
        <f t="shared" si="22"/>
        <v>59191</v>
      </c>
    </row>
    <row r="39" spans="2:147">
      <c r="B39" s="27">
        <v>6</v>
      </c>
      <c r="C39" s="27">
        <v>5</v>
      </c>
      <c r="D39" s="27">
        <v>500</v>
      </c>
      <c r="E39" s="27">
        <f t="shared" si="23"/>
        <v>17500</v>
      </c>
      <c r="F39" s="27">
        <f t="shared" si="11"/>
        <v>17500</v>
      </c>
      <c r="G39" s="27">
        <f>SUM(F$5:F39)</f>
        <v>315000</v>
      </c>
      <c r="H39" s="27">
        <f t="shared" si="24"/>
        <v>35</v>
      </c>
      <c r="I39" s="27" t="s">
        <v>177</v>
      </c>
      <c r="J39" s="27">
        <v>0.1</v>
      </c>
      <c r="K39" s="27">
        <f>INDEX(其他调用!$BO$5:$BO$61,MATCH(星阵点亮!I39,其他调用!$BM$5:$BM$61,0))*J39</f>
        <v>7618.5775082610944</v>
      </c>
      <c r="L39" s="27">
        <f t="shared" si="55"/>
        <v>7768</v>
      </c>
      <c r="O39" s="30"/>
      <c r="Q39" s="26">
        <v>35</v>
      </c>
      <c r="R39" s="26">
        <f>总纲!D39</f>
        <v>10.313708498984759</v>
      </c>
      <c r="S39" s="26">
        <f>求节点(将星点产出!$W$6:$W$44,将星点产出!$AO$6:$AO$44,星阵点亮!$Q39)</f>
        <v>22822.677045633154</v>
      </c>
      <c r="T39" s="26">
        <f t="shared" si="13"/>
        <v>9</v>
      </c>
      <c r="U39" s="26">
        <f>总纲!E39</f>
        <v>9.0048988904635934</v>
      </c>
      <c r="V39" s="26">
        <f>求节点(将星点产出!$W$51:$W$89,将星点产出!$AO$51:$AO$89,星阵点亮!$Q39)</f>
        <v>25614.857064984062</v>
      </c>
      <c r="W39" s="26">
        <f t="shared" si="14"/>
        <v>9</v>
      </c>
      <c r="X39" s="26">
        <f>总纲!F39</f>
        <v>7.4547485030661838</v>
      </c>
      <c r="Y39" s="26">
        <f>求节点(将星点产出!$W$96:$W$134,将星点产出!$AO$96:$AO$134,星阵点亮!$Q39)</f>
        <v>40463.467848482134</v>
      </c>
      <c r="Z39" s="26">
        <f t="shared" si="15"/>
        <v>12</v>
      </c>
      <c r="AA39" s="26">
        <f>总纲!G39</f>
        <v>5.5405242056546129</v>
      </c>
      <c r="AB39" s="26">
        <f>求节点(将星点产出!$W$141:$W$179,将星点产出!$AO$141:$AO$179,星阵点亮!$Q39)</f>
        <v>70662.363907892868</v>
      </c>
      <c r="AC39" s="26">
        <f t="shared" si="16"/>
        <v>16</v>
      </c>
      <c r="AD39" s="26">
        <f>总纲!H39</f>
        <v>3.1106144832938032</v>
      </c>
      <c r="AE39" s="26">
        <f>求节点(将星点产出!$W$186:$W$224,将星点产出!$AO$186:$AO$224,星阵点亮!$Q39)</f>
        <v>83090.503559322708</v>
      </c>
      <c r="AF39" s="26">
        <f t="shared" si="17"/>
        <v>17</v>
      </c>
      <c r="AG39" s="26">
        <f t="shared" si="45"/>
        <v>0.6</v>
      </c>
      <c r="AH39" s="26">
        <f t="shared" si="45"/>
        <v>0.6</v>
      </c>
      <c r="AI39" s="26">
        <f t="shared" si="45"/>
        <v>0</v>
      </c>
      <c r="AJ39" s="26">
        <f t="shared" si="45"/>
        <v>0.6</v>
      </c>
      <c r="AK39" s="26">
        <f t="shared" si="45"/>
        <v>0</v>
      </c>
      <c r="AL39" s="26">
        <f t="shared" si="45"/>
        <v>0</v>
      </c>
      <c r="AM39" s="26">
        <f t="shared" si="45"/>
        <v>0.3</v>
      </c>
      <c r="AN39" s="26">
        <f t="shared" si="45"/>
        <v>0</v>
      </c>
      <c r="AO39" s="26">
        <f t="shared" si="45"/>
        <v>0</v>
      </c>
      <c r="AP39" s="26">
        <f t="shared" si="45"/>
        <v>0.6</v>
      </c>
      <c r="AQ39" s="26">
        <f t="shared" si="46"/>
        <v>0</v>
      </c>
      <c r="AR39" s="26">
        <f t="shared" si="46"/>
        <v>0</v>
      </c>
      <c r="AS39" s="26">
        <f t="shared" si="46"/>
        <v>0</v>
      </c>
      <c r="AT39" s="26">
        <f t="shared" si="46"/>
        <v>0</v>
      </c>
      <c r="AU39" s="26">
        <f t="shared" si="46"/>
        <v>0</v>
      </c>
      <c r="AV39" s="26">
        <f t="shared" si="46"/>
        <v>0</v>
      </c>
      <c r="AW39" s="26">
        <f t="shared" si="46"/>
        <v>0</v>
      </c>
      <c r="AX39" s="26">
        <f t="shared" si="46"/>
        <v>0</v>
      </c>
      <c r="AY39" s="26">
        <f t="shared" si="46"/>
        <v>0</v>
      </c>
      <c r="AZ39" s="26">
        <f t="shared" si="46"/>
        <v>0</v>
      </c>
      <c r="BA39" s="26">
        <f t="shared" si="46"/>
        <v>0</v>
      </c>
      <c r="BB39" s="26">
        <f t="shared" si="46"/>
        <v>0</v>
      </c>
      <c r="BC39" s="26">
        <f t="shared" si="47"/>
        <v>0.6</v>
      </c>
      <c r="BD39" s="26">
        <f t="shared" si="47"/>
        <v>0.6</v>
      </c>
      <c r="BE39" s="26">
        <f t="shared" si="47"/>
        <v>0</v>
      </c>
      <c r="BF39" s="26">
        <f t="shared" si="47"/>
        <v>0.6</v>
      </c>
      <c r="BG39" s="26">
        <f t="shared" si="47"/>
        <v>0</v>
      </c>
      <c r="BH39" s="26">
        <f t="shared" si="47"/>
        <v>0</v>
      </c>
      <c r="BI39" s="26">
        <f t="shared" si="47"/>
        <v>0.3</v>
      </c>
      <c r="BJ39" s="26">
        <f t="shared" si="47"/>
        <v>0</v>
      </c>
      <c r="BK39" s="26">
        <f t="shared" si="47"/>
        <v>0</v>
      </c>
      <c r="BL39" s="26">
        <f t="shared" si="47"/>
        <v>0.6</v>
      </c>
      <c r="BM39" s="26">
        <f t="shared" si="48"/>
        <v>0</v>
      </c>
      <c r="BN39" s="26">
        <f t="shared" si="48"/>
        <v>0</v>
      </c>
      <c r="BO39" s="26">
        <f t="shared" si="48"/>
        <v>0</v>
      </c>
      <c r="BP39" s="26">
        <f t="shared" si="48"/>
        <v>0</v>
      </c>
      <c r="BQ39" s="26">
        <f t="shared" si="48"/>
        <v>0</v>
      </c>
      <c r="BR39" s="26">
        <f t="shared" si="48"/>
        <v>0</v>
      </c>
      <c r="BS39" s="26">
        <f t="shared" si="48"/>
        <v>0</v>
      </c>
      <c r="BT39" s="26">
        <f t="shared" si="48"/>
        <v>0</v>
      </c>
      <c r="BU39" s="26">
        <f t="shared" si="48"/>
        <v>0</v>
      </c>
      <c r="BV39" s="26">
        <f t="shared" si="48"/>
        <v>0</v>
      </c>
      <c r="BW39" s="26">
        <f t="shared" si="48"/>
        <v>0</v>
      </c>
      <c r="BX39" s="26">
        <f t="shared" si="48"/>
        <v>0</v>
      </c>
      <c r="BY39" s="26">
        <f t="shared" si="49"/>
        <v>0.6</v>
      </c>
      <c r="BZ39" s="26">
        <f t="shared" si="49"/>
        <v>0.6</v>
      </c>
      <c r="CA39" s="26">
        <f t="shared" si="49"/>
        <v>0</v>
      </c>
      <c r="CB39" s="26">
        <f t="shared" si="49"/>
        <v>0.6</v>
      </c>
      <c r="CC39" s="26">
        <f t="shared" si="49"/>
        <v>0</v>
      </c>
      <c r="CD39" s="26">
        <f t="shared" si="49"/>
        <v>0</v>
      </c>
      <c r="CE39" s="26">
        <f t="shared" si="49"/>
        <v>1</v>
      </c>
      <c r="CF39" s="26">
        <f t="shared" si="49"/>
        <v>0</v>
      </c>
      <c r="CG39" s="26">
        <f t="shared" si="49"/>
        <v>0</v>
      </c>
      <c r="CH39" s="26">
        <f t="shared" si="49"/>
        <v>1</v>
      </c>
      <c r="CI39" s="26">
        <f t="shared" si="50"/>
        <v>0</v>
      </c>
      <c r="CJ39" s="26">
        <f t="shared" si="50"/>
        <v>0</v>
      </c>
      <c r="CK39" s="26">
        <f t="shared" si="50"/>
        <v>0</v>
      </c>
      <c r="CL39" s="26">
        <f t="shared" si="50"/>
        <v>0</v>
      </c>
      <c r="CM39" s="26">
        <f t="shared" si="50"/>
        <v>0</v>
      </c>
      <c r="CN39" s="26">
        <f t="shared" si="50"/>
        <v>0</v>
      </c>
      <c r="CO39" s="26">
        <f t="shared" si="50"/>
        <v>0</v>
      </c>
      <c r="CP39" s="26">
        <f t="shared" si="50"/>
        <v>0</v>
      </c>
      <c r="CQ39" s="26">
        <f t="shared" si="50"/>
        <v>0</v>
      </c>
      <c r="CR39" s="26">
        <f t="shared" si="50"/>
        <v>0</v>
      </c>
      <c r="CS39" s="26">
        <f t="shared" si="50"/>
        <v>0</v>
      </c>
      <c r="CT39" s="26">
        <f t="shared" si="50"/>
        <v>0</v>
      </c>
      <c r="CU39" s="26">
        <f t="shared" si="51"/>
        <v>1</v>
      </c>
      <c r="CV39" s="26">
        <f t="shared" si="51"/>
        <v>0.6</v>
      </c>
      <c r="CW39" s="26">
        <f t="shared" si="51"/>
        <v>0.6</v>
      </c>
      <c r="CX39" s="26">
        <f t="shared" si="51"/>
        <v>1</v>
      </c>
      <c r="CY39" s="26">
        <f t="shared" si="51"/>
        <v>0</v>
      </c>
      <c r="CZ39" s="26">
        <f t="shared" si="51"/>
        <v>0</v>
      </c>
      <c r="DA39" s="26">
        <f t="shared" si="51"/>
        <v>1</v>
      </c>
      <c r="DB39" s="26">
        <f t="shared" si="51"/>
        <v>0</v>
      </c>
      <c r="DC39" s="26">
        <f t="shared" si="51"/>
        <v>0</v>
      </c>
      <c r="DD39" s="26">
        <f t="shared" si="51"/>
        <v>1</v>
      </c>
      <c r="DE39" s="26">
        <f t="shared" si="52"/>
        <v>0</v>
      </c>
      <c r="DF39" s="26">
        <f t="shared" si="52"/>
        <v>0</v>
      </c>
      <c r="DG39" s="26">
        <f t="shared" si="52"/>
        <v>0</v>
      </c>
      <c r="DH39" s="26">
        <f t="shared" si="52"/>
        <v>0</v>
      </c>
      <c r="DI39" s="26">
        <f t="shared" si="52"/>
        <v>0</v>
      </c>
      <c r="DJ39" s="26">
        <f t="shared" si="52"/>
        <v>0</v>
      </c>
      <c r="DK39" s="26">
        <f t="shared" si="52"/>
        <v>0</v>
      </c>
      <c r="DL39" s="26">
        <f t="shared" si="52"/>
        <v>0</v>
      </c>
      <c r="DM39" s="26">
        <f t="shared" si="52"/>
        <v>0</v>
      </c>
      <c r="DN39" s="26">
        <f t="shared" si="52"/>
        <v>0</v>
      </c>
      <c r="DO39" s="26">
        <f t="shared" si="52"/>
        <v>0</v>
      </c>
      <c r="DP39" s="26">
        <f t="shared" si="52"/>
        <v>0</v>
      </c>
      <c r="DQ39" s="26">
        <f t="shared" si="53"/>
        <v>1</v>
      </c>
      <c r="DR39" s="26">
        <f t="shared" si="53"/>
        <v>0.6</v>
      </c>
      <c r="DS39" s="26">
        <f t="shared" si="53"/>
        <v>0.6</v>
      </c>
      <c r="DT39" s="26">
        <f t="shared" si="53"/>
        <v>1.5</v>
      </c>
      <c r="DU39" s="26">
        <f t="shared" si="53"/>
        <v>0</v>
      </c>
      <c r="DV39" s="26">
        <f t="shared" si="53"/>
        <v>0</v>
      </c>
      <c r="DW39" s="26">
        <f t="shared" si="53"/>
        <v>1</v>
      </c>
      <c r="DX39" s="26">
        <f t="shared" si="53"/>
        <v>0</v>
      </c>
      <c r="DY39" s="26">
        <f t="shared" si="53"/>
        <v>0</v>
      </c>
      <c r="DZ39" s="26">
        <f t="shared" si="53"/>
        <v>1</v>
      </c>
      <c r="EA39" s="26">
        <f t="shared" si="54"/>
        <v>0</v>
      </c>
      <c r="EB39" s="26">
        <f t="shared" si="54"/>
        <v>0</v>
      </c>
      <c r="EC39" s="26">
        <f t="shared" si="54"/>
        <v>0</v>
      </c>
      <c r="ED39" s="26">
        <f t="shared" si="54"/>
        <v>0</v>
      </c>
      <c r="EE39" s="26">
        <f t="shared" si="54"/>
        <v>0</v>
      </c>
      <c r="EF39" s="26">
        <f t="shared" si="54"/>
        <v>0</v>
      </c>
      <c r="EG39" s="26">
        <f t="shared" si="54"/>
        <v>0</v>
      </c>
      <c r="EH39" s="26">
        <f t="shared" si="54"/>
        <v>0</v>
      </c>
      <c r="EI39" s="26">
        <f t="shared" si="54"/>
        <v>0</v>
      </c>
      <c r="EJ39" s="26">
        <f t="shared" si="54"/>
        <v>0</v>
      </c>
      <c r="EK39" s="26">
        <f t="shared" si="54"/>
        <v>0</v>
      </c>
      <c r="EL39" s="26">
        <f t="shared" si="54"/>
        <v>0</v>
      </c>
      <c r="EM39" s="26">
        <f t="shared" si="18"/>
        <v>29189</v>
      </c>
      <c r="EN39" s="26">
        <f t="shared" si="19"/>
        <v>29189</v>
      </c>
      <c r="EO39" s="26">
        <f t="shared" si="20"/>
        <v>41265</v>
      </c>
      <c r="EP39" s="26">
        <f t="shared" si="21"/>
        <v>59191</v>
      </c>
      <c r="EQ39" s="26">
        <f t="shared" si="22"/>
        <v>63998</v>
      </c>
    </row>
    <row r="40" spans="2:147">
      <c r="B40" s="27">
        <v>6</v>
      </c>
      <c r="C40" s="27">
        <v>6</v>
      </c>
      <c r="D40" s="27">
        <v>500</v>
      </c>
      <c r="E40" s="27">
        <f t="shared" si="23"/>
        <v>18000</v>
      </c>
      <c r="F40" s="27">
        <f t="shared" si="11"/>
        <v>18000</v>
      </c>
      <c r="G40" s="27">
        <f>SUM(F$5:F40)</f>
        <v>333000</v>
      </c>
      <c r="H40" s="27">
        <f t="shared" si="24"/>
        <v>36</v>
      </c>
      <c r="I40" s="27" t="s">
        <v>179</v>
      </c>
      <c r="J40" s="27">
        <v>0.1</v>
      </c>
      <c r="K40" s="27">
        <f>INDEX(其他调用!$BO$5:$BO$61,MATCH(星阵点亮!I40,其他调用!$BM$5:$BM$61,0))*J40</f>
        <v>7618.5775082610944</v>
      </c>
      <c r="L40" s="27">
        <f t="shared" si="55"/>
        <v>7818</v>
      </c>
      <c r="O40" s="30"/>
      <c r="Q40" s="26">
        <v>36</v>
      </c>
      <c r="R40" s="26">
        <f>总纲!D40</f>
        <v>11.125732532083184</v>
      </c>
      <c r="S40" s="26">
        <f>求节点(将星点产出!$W$6:$W$44,将星点产出!$AO$6:$AO$44,星阵点亮!$Q40)</f>
        <v>24553.541636506525</v>
      </c>
      <c r="T40" s="26">
        <f t="shared" si="13"/>
        <v>9</v>
      </c>
      <c r="U40" s="26">
        <f>总纲!E40</f>
        <v>9.7261153795471191</v>
      </c>
      <c r="V40" s="26">
        <f>求节点(将星点产出!$W$51:$W$89,将星点产出!$AO$51:$AO$89,星阵点亮!$Q40)</f>
        <v>27807.69021889834</v>
      </c>
      <c r="W40" s="26">
        <f t="shared" si="14"/>
        <v>10</v>
      </c>
      <c r="X40" s="26">
        <f>总纲!F40</f>
        <v>8.0405669009365166</v>
      </c>
      <c r="Y40" s="26">
        <f>求节点(将星点产出!$W$96:$W$134,将星点产出!$AO$96:$AO$134,星阵点亮!$Q40)</f>
        <v>43907.777654398917</v>
      </c>
      <c r="Z40" s="26">
        <f t="shared" si="15"/>
        <v>12</v>
      </c>
      <c r="AA40" s="26">
        <f>总纲!G40</f>
        <v>5.9700680767158358</v>
      </c>
      <c r="AB40" s="26">
        <f>求节点(将星点产出!$W$141:$W$179,将星点产出!$AO$141:$AO$179,星阵点亮!$Q40)</f>
        <v>76373.35257803071</v>
      </c>
      <c r="AC40" s="26">
        <f t="shared" si="16"/>
        <v>16</v>
      </c>
      <c r="AD40" s="26">
        <f>总纲!H40</f>
        <v>3.3388323328781633</v>
      </c>
      <c r="AE40" s="26">
        <f>求节点(将星点产出!$W$186:$W$224,将星点产出!$AO$186:$AO$224,星阵点亮!$Q40)</f>
        <v>92377.237181202683</v>
      </c>
      <c r="AF40" s="26">
        <f t="shared" si="17"/>
        <v>18</v>
      </c>
      <c r="AG40" s="26">
        <f t="shared" si="45"/>
        <v>0.6</v>
      </c>
      <c r="AH40" s="26">
        <f t="shared" si="45"/>
        <v>0.6</v>
      </c>
      <c r="AI40" s="26">
        <f t="shared" si="45"/>
        <v>0</v>
      </c>
      <c r="AJ40" s="26">
        <f t="shared" si="45"/>
        <v>0.6</v>
      </c>
      <c r="AK40" s="26">
        <f t="shared" si="45"/>
        <v>0</v>
      </c>
      <c r="AL40" s="26">
        <f t="shared" si="45"/>
        <v>0</v>
      </c>
      <c r="AM40" s="26">
        <f t="shared" si="45"/>
        <v>0.3</v>
      </c>
      <c r="AN40" s="26">
        <f t="shared" si="45"/>
        <v>0</v>
      </c>
      <c r="AO40" s="26">
        <f t="shared" si="45"/>
        <v>0</v>
      </c>
      <c r="AP40" s="26">
        <f t="shared" si="45"/>
        <v>0.6</v>
      </c>
      <c r="AQ40" s="26">
        <f t="shared" si="46"/>
        <v>0</v>
      </c>
      <c r="AR40" s="26">
        <f t="shared" si="46"/>
        <v>0</v>
      </c>
      <c r="AS40" s="26">
        <f t="shared" si="46"/>
        <v>0</v>
      </c>
      <c r="AT40" s="26">
        <f t="shared" si="46"/>
        <v>0</v>
      </c>
      <c r="AU40" s="26">
        <f t="shared" si="46"/>
        <v>0</v>
      </c>
      <c r="AV40" s="26">
        <f t="shared" si="46"/>
        <v>0</v>
      </c>
      <c r="AW40" s="26">
        <f t="shared" si="46"/>
        <v>0</v>
      </c>
      <c r="AX40" s="26">
        <f t="shared" si="46"/>
        <v>0</v>
      </c>
      <c r="AY40" s="26">
        <f t="shared" si="46"/>
        <v>0</v>
      </c>
      <c r="AZ40" s="26">
        <f t="shared" si="46"/>
        <v>0</v>
      </c>
      <c r="BA40" s="26">
        <f t="shared" si="46"/>
        <v>0</v>
      </c>
      <c r="BB40" s="26">
        <f t="shared" si="46"/>
        <v>0</v>
      </c>
      <c r="BC40" s="26">
        <f t="shared" si="47"/>
        <v>0.6</v>
      </c>
      <c r="BD40" s="26">
        <f t="shared" si="47"/>
        <v>0.6</v>
      </c>
      <c r="BE40" s="26">
        <f t="shared" si="47"/>
        <v>0</v>
      </c>
      <c r="BF40" s="26">
        <f t="shared" si="47"/>
        <v>0.6</v>
      </c>
      <c r="BG40" s="26">
        <f t="shared" si="47"/>
        <v>0</v>
      </c>
      <c r="BH40" s="26">
        <f t="shared" si="47"/>
        <v>0</v>
      </c>
      <c r="BI40" s="26">
        <f t="shared" si="47"/>
        <v>0.6</v>
      </c>
      <c r="BJ40" s="26">
        <f t="shared" si="47"/>
        <v>0</v>
      </c>
      <c r="BK40" s="26">
        <f t="shared" si="47"/>
        <v>0</v>
      </c>
      <c r="BL40" s="26">
        <f t="shared" si="47"/>
        <v>0.6</v>
      </c>
      <c r="BM40" s="26">
        <f t="shared" si="48"/>
        <v>0</v>
      </c>
      <c r="BN40" s="26">
        <f t="shared" si="48"/>
        <v>0</v>
      </c>
      <c r="BO40" s="26">
        <f t="shared" si="48"/>
        <v>0</v>
      </c>
      <c r="BP40" s="26">
        <f t="shared" si="48"/>
        <v>0</v>
      </c>
      <c r="BQ40" s="26">
        <f t="shared" si="48"/>
        <v>0</v>
      </c>
      <c r="BR40" s="26">
        <f t="shared" si="48"/>
        <v>0</v>
      </c>
      <c r="BS40" s="26">
        <f t="shared" si="48"/>
        <v>0</v>
      </c>
      <c r="BT40" s="26">
        <f t="shared" si="48"/>
        <v>0</v>
      </c>
      <c r="BU40" s="26">
        <f t="shared" si="48"/>
        <v>0</v>
      </c>
      <c r="BV40" s="26">
        <f t="shared" si="48"/>
        <v>0</v>
      </c>
      <c r="BW40" s="26">
        <f t="shared" si="48"/>
        <v>0</v>
      </c>
      <c r="BX40" s="26">
        <f t="shared" si="48"/>
        <v>0</v>
      </c>
      <c r="BY40" s="26">
        <f t="shared" si="49"/>
        <v>0.6</v>
      </c>
      <c r="BZ40" s="26">
        <f t="shared" si="49"/>
        <v>0.6</v>
      </c>
      <c r="CA40" s="26">
        <f t="shared" si="49"/>
        <v>0</v>
      </c>
      <c r="CB40" s="26">
        <f t="shared" si="49"/>
        <v>0.6</v>
      </c>
      <c r="CC40" s="26">
        <f t="shared" si="49"/>
        <v>0</v>
      </c>
      <c r="CD40" s="26">
        <f t="shared" si="49"/>
        <v>0</v>
      </c>
      <c r="CE40" s="26">
        <f t="shared" si="49"/>
        <v>1</v>
      </c>
      <c r="CF40" s="26">
        <f t="shared" si="49"/>
        <v>0</v>
      </c>
      <c r="CG40" s="26">
        <f t="shared" si="49"/>
        <v>0</v>
      </c>
      <c r="CH40" s="26">
        <f t="shared" si="49"/>
        <v>1</v>
      </c>
      <c r="CI40" s="26">
        <f t="shared" si="50"/>
        <v>0</v>
      </c>
      <c r="CJ40" s="26">
        <f t="shared" si="50"/>
        <v>0</v>
      </c>
      <c r="CK40" s="26">
        <f t="shared" si="50"/>
        <v>0</v>
      </c>
      <c r="CL40" s="26">
        <f t="shared" si="50"/>
        <v>0</v>
      </c>
      <c r="CM40" s="26">
        <f t="shared" si="50"/>
        <v>0</v>
      </c>
      <c r="CN40" s="26">
        <f t="shared" si="50"/>
        <v>0</v>
      </c>
      <c r="CO40" s="26">
        <f t="shared" si="50"/>
        <v>0</v>
      </c>
      <c r="CP40" s="26">
        <f t="shared" si="50"/>
        <v>0</v>
      </c>
      <c r="CQ40" s="26">
        <f t="shared" si="50"/>
        <v>0</v>
      </c>
      <c r="CR40" s="26">
        <f t="shared" si="50"/>
        <v>0</v>
      </c>
      <c r="CS40" s="26">
        <f t="shared" si="50"/>
        <v>0</v>
      </c>
      <c r="CT40" s="26">
        <f t="shared" si="50"/>
        <v>0</v>
      </c>
      <c r="CU40" s="26">
        <f t="shared" si="51"/>
        <v>1</v>
      </c>
      <c r="CV40" s="26">
        <f t="shared" si="51"/>
        <v>0.6</v>
      </c>
      <c r="CW40" s="26">
        <f t="shared" si="51"/>
        <v>0.6</v>
      </c>
      <c r="CX40" s="26">
        <f t="shared" si="51"/>
        <v>1</v>
      </c>
      <c r="CY40" s="26">
        <f t="shared" si="51"/>
        <v>0</v>
      </c>
      <c r="CZ40" s="26">
        <f t="shared" si="51"/>
        <v>0</v>
      </c>
      <c r="DA40" s="26">
        <f t="shared" si="51"/>
        <v>1</v>
      </c>
      <c r="DB40" s="26">
        <f t="shared" si="51"/>
        <v>0</v>
      </c>
      <c r="DC40" s="26">
        <f t="shared" si="51"/>
        <v>0</v>
      </c>
      <c r="DD40" s="26">
        <f t="shared" si="51"/>
        <v>1</v>
      </c>
      <c r="DE40" s="26">
        <f t="shared" si="52"/>
        <v>0</v>
      </c>
      <c r="DF40" s="26">
        <f t="shared" si="52"/>
        <v>0</v>
      </c>
      <c r="DG40" s="26">
        <f t="shared" si="52"/>
        <v>0</v>
      </c>
      <c r="DH40" s="26">
        <f t="shared" si="52"/>
        <v>0</v>
      </c>
      <c r="DI40" s="26">
        <f t="shared" si="52"/>
        <v>0</v>
      </c>
      <c r="DJ40" s="26">
        <f t="shared" si="52"/>
        <v>0</v>
      </c>
      <c r="DK40" s="26">
        <f t="shared" si="52"/>
        <v>0</v>
      </c>
      <c r="DL40" s="26">
        <f t="shared" si="52"/>
        <v>0</v>
      </c>
      <c r="DM40" s="26">
        <f t="shared" si="52"/>
        <v>0</v>
      </c>
      <c r="DN40" s="26">
        <f t="shared" si="52"/>
        <v>0</v>
      </c>
      <c r="DO40" s="26">
        <f t="shared" si="52"/>
        <v>0</v>
      </c>
      <c r="DP40" s="26">
        <f t="shared" si="52"/>
        <v>0</v>
      </c>
      <c r="DQ40" s="26">
        <f t="shared" si="53"/>
        <v>1.5</v>
      </c>
      <c r="DR40" s="26">
        <f t="shared" si="53"/>
        <v>0.6</v>
      </c>
      <c r="DS40" s="26">
        <f t="shared" si="53"/>
        <v>0.6</v>
      </c>
      <c r="DT40" s="26">
        <f t="shared" si="53"/>
        <v>1.5</v>
      </c>
      <c r="DU40" s="26">
        <f t="shared" si="53"/>
        <v>0</v>
      </c>
      <c r="DV40" s="26">
        <f t="shared" si="53"/>
        <v>0</v>
      </c>
      <c r="DW40" s="26">
        <f t="shared" si="53"/>
        <v>1</v>
      </c>
      <c r="DX40" s="26">
        <f t="shared" si="53"/>
        <v>0</v>
      </c>
      <c r="DY40" s="26">
        <f t="shared" si="53"/>
        <v>0</v>
      </c>
      <c r="DZ40" s="26">
        <f t="shared" si="53"/>
        <v>1</v>
      </c>
      <c r="EA40" s="26">
        <f t="shared" si="54"/>
        <v>0</v>
      </c>
      <c r="EB40" s="26">
        <f t="shared" si="54"/>
        <v>0</v>
      </c>
      <c r="EC40" s="26">
        <f t="shared" si="54"/>
        <v>0</v>
      </c>
      <c r="ED40" s="26">
        <f t="shared" si="54"/>
        <v>0</v>
      </c>
      <c r="EE40" s="26">
        <f t="shared" si="54"/>
        <v>0</v>
      </c>
      <c r="EF40" s="26">
        <f t="shared" si="54"/>
        <v>0</v>
      </c>
      <c r="EG40" s="26">
        <f t="shared" si="54"/>
        <v>0</v>
      </c>
      <c r="EH40" s="26">
        <f t="shared" si="54"/>
        <v>0</v>
      </c>
      <c r="EI40" s="26">
        <f t="shared" si="54"/>
        <v>0</v>
      </c>
      <c r="EJ40" s="26">
        <f t="shared" si="54"/>
        <v>0</v>
      </c>
      <c r="EK40" s="26">
        <f t="shared" si="54"/>
        <v>0</v>
      </c>
      <c r="EL40" s="26">
        <f t="shared" si="54"/>
        <v>0</v>
      </c>
      <c r="EM40" s="26">
        <f t="shared" si="18"/>
        <v>29189</v>
      </c>
      <c r="EN40" s="26">
        <f t="shared" si="19"/>
        <v>33084</v>
      </c>
      <c r="EO40" s="26">
        <f t="shared" si="20"/>
        <v>41265</v>
      </c>
      <c r="EP40" s="26">
        <f t="shared" si="21"/>
        <v>59191</v>
      </c>
      <c r="EQ40" s="26">
        <f t="shared" si="22"/>
        <v>68936</v>
      </c>
    </row>
    <row r="41" spans="2:147">
      <c r="B41" s="27">
        <v>7</v>
      </c>
      <c r="C41" s="27">
        <v>1</v>
      </c>
      <c r="D41" s="27">
        <v>500</v>
      </c>
      <c r="E41" s="27">
        <f t="shared" si="23"/>
        <v>18500</v>
      </c>
      <c r="F41" s="27">
        <f t="shared" si="11"/>
        <v>18500</v>
      </c>
      <c r="G41" s="27">
        <f>SUM(F$5:F41)</f>
        <v>351500</v>
      </c>
      <c r="H41" s="27">
        <f t="shared" si="24"/>
        <v>37</v>
      </c>
      <c r="I41" s="27" t="s">
        <v>181</v>
      </c>
      <c r="J41" s="27">
        <v>0.1</v>
      </c>
      <c r="K41" s="27">
        <f>INDEX(其他调用!$BO$5:$BO$61,MATCH(星阵点亮!I41,其他调用!$BM$5:$BM$61,0))*J41</f>
        <v>7618.5775082610944</v>
      </c>
      <c r="L41" s="27">
        <f t="shared" si="55"/>
        <v>7868</v>
      </c>
      <c r="O41" s="30"/>
      <c r="Q41" s="26">
        <v>37</v>
      </c>
      <c r="R41" s="26">
        <f>总纲!D41</f>
        <v>11.996038341699768</v>
      </c>
      <c r="S41" s="26">
        <f>求节点(将星点产出!$W$6:$W$44,将星点产出!$AO$6:$AO$44,星阵点亮!$Q41)</f>
        <v>26284.406227379892</v>
      </c>
      <c r="T41" s="26">
        <f t="shared" si="13"/>
        <v>9</v>
      </c>
      <c r="U41" s="26">
        <f>总纲!E41</f>
        <v>10.483337906811427</v>
      </c>
      <c r="V41" s="26">
        <f>求节点(将星点产出!$W$51:$W$89,将星点产出!$AO$51:$AO$89,星阵点亮!$Q41)</f>
        <v>30000.523372812619</v>
      </c>
      <c r="W41" s="26">
        <f t="shared" si="14"/>
        <v>10</v>
      </c>
      <c r="X41" s="26">
        <f>总纲!F41</f>
        <v>8.6671377018780831</v>
      </c>
      <c r="Y41" s="26">
        <f>求节点(将星点产出!$W$96:$W$134,将星点产出!$AO$96:$AO$134,星阵点亮!$Q41)</f>
        <v>47352.087460315706</v>
      </c>
      <c r="Z41" s="26">
        <f t="shared" si="15"/>
        <v>13</v>
      </c>
      <c r="AA41" s="26">
        <f>总纲!G41</f>
        <v>6.4166809089752066</v>
      </c>
      <c r="AB41" s="26">
        <f>求节点(将星点产出!$W$141:$W$179,将星点产出!$AO$141:$AO$179,星阵点亮!$Q41)</f>
        <v>82084.341248168552</v>
      </c>
      <c r="AC41" s="26">
        <f t="shared" si="16"/>
        <v>17</v>
      </c>
      <c r="AD41" s="26">
        <f>总纲!H41</f>
        <v>3.6000111063441</v>
      </c>
      <c r="AE41" s="26">
        <f>求节点(将星点产出!$W$186:$W$224,将星点产出!$AO$186:$AO$224,星阵点亮!$Q41)</f>
        <v>101663.97080308264</v>
      </c>
      <c r="AF41" s="26">
        <f t="shared" si="17"/>
        <v>19</v>
      </c>
      <c r="AG41" s="26">
        <f t="shared" si="45"/>
        <v>0.6</v>
      </c>
      <c r="AH41" s="26">
        <f t="shared" si="45"/>
        <v>0.6</v>
      </c>
      <c r="AI41" s="26">
        <f t="shared" si="45"/>
        <v>0</v>
      </c>
      <c r="AJ41" s="26">
        <f t="shared" si="45"/>
        <v>0.6</v>
      </c>
      <c r="AK41" s="26">
        <f t="shared" si="45"/>
        <v>0</v>
      </c>
      <c r="AL41" s="26">
        <f t="shared" si="45"/>
        <v>0</v>
      </c>
      <c r="AM41" s="26">
        <f t="shared" si="45"/>
        <v>0.3</v>
      </c>
      <c r="AN41" s="26">
        <f t="shared" si="45"/>
        <v>0</v>
      </c>
      <c r="AO41" s="26">
        <f t="shared" si="45"/>
        <v>0</v>
      </c>
      <c r="AP41" s="26">
        <f t="shared" si="45"/>
        <v>0.6</v>
      </c>
      <c r="AQ41" s="26">
        <f t="shared" si="46"/>
        <v>0</v>
      </c>
      <c r="AR41" s="26">
        <f t="shared" si="46"/>
        <v>0</v>
      </c>
      <c r="AS41" s="26">
        <f t="shared" si="46"/>
        <v>0</v>
      </c>
      <c r="AT41" s="26">
        <f t="shared" si="46"/>
        <v>0</v>
      </c>
      <c r="AU41" s="26">
        <f t="shared" si="46"/>
        <v>0</v>
      </c>
      <c r="AV41" s="26">
        <f t="shared" si="46"/>
        <v>0</v>
      </c>
      <c r="AW41" s="26">
        <f t="shared" si="46"/>
        <v>0</v>
      </c>
      <c r="AX41" s="26">
        <f t="shared" si="46"/>
        <v>0</v>
      </c>
      <c r="AY41" s="26">
        <f t="shared" si="46"/>
        <v>0</v>
      </c>
      <c r="AZ41" s="26">
        <f t="shared" si="46"/>
        <v>0</v>
      </c>
      <c r="BA41" s="26">
        <f t="shared" si="46"/>
        <v>0</v>
      </c>
      <c r="BB41" s="26">
        <f t="shared" si="46"/>
        <v>0</v>
      </c>
      <c r="BC41" s="26">
        <f t="shared" si="47"/>
        <v>0.6</v>
      </c>
      <c r="BD41" s="26">
        <f t="shared" si="47"/>
        <v>0.6</v>
      </c>
      <c r="BE41" s="26">
        <f t="shared" si="47"/>
        <v>0</v>
      </c>
      <c r="BF41" s="26">
        <f t="shared" si="47"/>
        <v>0.6</v>
      </c>
      <c r="BG41" s="26">
        <f t="shared" si="47"/>
        <v>0</v>
      </c>
      <c r="BH41" s="26">
        <f t="shared" si="47"/>
        <v>0</v>
      </c>
      <c r="BI41" s="26">
        <f t="shared" si="47"/>
        <v>0.6</v>
      </c>
      <c r="BJ41" s="26">
        <f t="shared" si="47"/>
        <v>0</v>
      </c>
      <c r="BK41" s="26">
        <f t="shared" si="47"/>
        <v>0</v>
      </c>
      <c r="BL41" s="26">
        <f t="shared" si="47"/>
        <v>0.6</v>
      </c>
      <c r="BM41" s="26">
        <f t="shared" si="48"/>
        <v>0</v>
      </c>
      <c r="BN41" s="26">
        <f t="shared" si="48"/>
        <v>0</v>
      </c>
      <c r="BO41" s="26">
        <f t="shared" si="48"/>
        <v>0</v>
      </c>
      <c r="BP41" s="26">
        <f t="shared" si="48"/>
        <v>0</v>
      </c>
      <c r="BQ41" s="26">
        <f t="shared" si="48"/>
        <v>0</v>
      </c>
      <c r="BR41" s="26">
        <f t="shared" si="48"/>
        <v>0</v>
      </c>
      <c r="BS41" s="26">
        <f t="shared" si="48"/>
        <v>0</v>
      </c>
      <c r="BT41" s="26">
        <f t="shared" si="48"/>
        <v>0</v>
      </c>
      <c r="BU41" s="26">
        <f t="shared" si="48"/>
        <v>0</v>
      </c>
      <c r="BV41" s="26">
        <f t="shared" si="48"/>
        <v>0</v>
      </c>
      <c r="BW41" s="26">
        <f t="shared" si="48"/>
        <v>0</v>
      </c>
      <c r="BX41" s="26">
        <f t="shared" si="48"/>
        <v>0</v>
      </c>
      <c r="BY41" s="26">
        <f t="shared" si="49"/>
        <v>0.6</v>
      </c>
      <c r="BZ41" s="26">
        <f t="shared" si="49"/>
        <v>0.6</v>
      </c>
      <c r="CA41" s="26">
        <f t="shared" si="49"/>
        <v>0.3</v>
      </c>
      <c r="CB41" s="26">
        <f t="shared" si="49"/>
        <v>0.6</v>
      </c>
      <c r="CC41" s="26">
        <f t="shared" si="49"/>
        <v>0</v>
      </c>
      <c r="CD41" s="26">
        <f t="shared" si="49"/>
        <v>0</v>
      </c>
      <c r="CE41" s="26">
        <f t="shared" si="49"/>
        <v>1</v>
      </c>
      <c r="CF41" s="26">
        <f t="shared" si="49"/>
        <v>0</v>
      </c>
      <c r="CG41" s="26">
        <f t="shared" si="49"/>
        <v>0</v>
      </c>
      <c r="CH41" s="26">
        <f t="shared" si="49"/>
        <v>1</v>
      </c>
      <c r="CI41" s="26">
        <f t="shared" si="50"/>
        <v>0</v>
      </c>
      <c r="CJ41" s="26">
        <f t="shared" si="50"/>
        <v>0</v>
      </c>
      <c r="CK41" s="26">
        <f t="shared" si="50"/>
        <v>0</v>
      </c>
      <c r="CL41" s="26">
        <f t="shared" si="50"/>
        <v>0</v>
      </c>
      <c r="CM41" s="26">
        <f t="shared" si="50"/>
        <v>0</v>
      </c>
      <c r="CN41" s="26">
        <f t="shared" si="50"/>
        <v>0</v>
      </c>
      <c r="CO41" s="26">
        <f t="shared" si="50"/>
        <v>0</v>
      </c>
      <c r="CP41" s="26">
        <f t="shared" si="50"/>
        <v>0</v>
      </c>
      <c r="CQ41" s="26">
        <f t="shared" si="50"/>
        <v>0</v>
      </c>
      <c r="CR41" s="26">
        <f t="shared" si="50"/>
        <v>0</v>
      </c>
      <c r="CS41" s="26">
        <f t="shared" si="50"/>
        <v>0</v>
      </c>
      <c r="CT41" s="26">
        <f t="shared" si="50"/>
        <v>0</v>
      </c>
      <c r="CU41" s="26">
        <f t="shared" si="51"/>
        <v>1</v>
      </c>
      <c r="CV41" s="26">
        <f t="shared" si="51"/>
        <v>0.6</v>
      </c>
      <c r="CW41" s="26">
        <f t="shared" si="51"/>
        <v>0.6</v>
      </c>
      <c r="CX41" s="26">
        <f t="shared" si="51"/>
        <v>1.5</v>
      </c>
      <c r="CY41" s="26">
        <f t="shared" si="51"/>
        <v>0</v>
      </c>
      <c r="CZ41" s="26">
        <f t="shared" si="51"/>
        <v>0</v>
      </c>
      <c r="DA41" s="26">
        <f t="shared" si="51"/>
        <v>1</v>
      </c>
      <c r="DB41" s="26">
        <f t="shared" si="51"/>
        <v>0</v>
      </c>
      <c r="DC41" s="26">
        <f t="shared" si="51"/>
        <v>0</v>
      </c>
      <c r="DD41" s="26">
        <f t="shared" si="51"/>
        <v>1</v>
      </c>
      <c r="DE41" s="26">
        <f t="shared" si="52"/>
        <v>0</v>
      </c>
      <c r="DF41" s="26">
        <f t="shared" si="52"/>
        <v>0</v>
      </c>
      <c r="DG41" s="26">
        <f t="shared" si="52"/>
        <v>0</v>
      </c>
      <c r="DH41" s="26">
        <f t="shared" si="52"/>
        <v>0</v>
      </c>
      <c r="DI41" s="26">
        <f t="shared" si="52"/>
        <v>0</v>
      </c>
      <c r="DJ41" s="26">
        <f t="shared" si="52"/>
        <v>0</v>
      </c>
      <c r="DK41" s="26">
        <f t="shared" si="52"/>
        <v>0</v>
      </c>
      <c r="DL41" s="26">
        <f t="shared" si="52"/>
        <v>0</v>
      </c>
      <c r="DM41" s="26">
        <f t="shared" si="52"/>
        <v>0</v>
      </c>
      <c r="DN41" s="26">
        <f t="shared" si="52"/>
        <v>0</v>
      </c>
      <c r="DO41" s="26">
        <f t="shared" si="52"/>
        <v>0</v>
      </c>
      <c r="DP41" s="26">
        <f t="shared" si="52"/>
        <v>0</v>
      </c>
      <c r="DQ41" s="26">
        <f t="shared" si="53"/>
        <v>1.5</v>
      </c>
      <c r="DR41" s="26">
        <f t="shared" si="53"/>
        <v>0.6</v>
      </c>
      <c r="DS41" s="26">
        <f t="shared" si="53"/>
        <v>0.6</v>
      </c>
      <c r="DT41" s="26">
        <f t="shared" si="53"/>
        <v>1.5</v>
      </c>
      <c r="DU41" s="26">
        <f t="shared" si="53"/>
        <v>0</v>
      </c>
      <c r="DV41" s="26">
        <f t="shared" si="53"/>
        <v>0</v>
      </c>
      <c r="DW41" s="26">
        <f t="shared" si="53"/>
        <v>1</v>
      </c>
      <c r="DX41" s="26">
        <f t="shared" si="53"/>
        <v>0.3</v>
      </c>
      <c r="DY41" s="26">
        <f t="shared" si="53"/>
        <v>0</v>
      </c>
      <c r="DZ41" s="26">
        <f t="shared" si="53"/>
        <v>1</v>
      </c>
      <c r="EA41" s="26">
        <f t="shared" si="54"/>
        <v>0</v>
      </c>
      <c r="EB41" s="26">
        <f t="shared" si="54"/>
        <v>0</v>
      </c>
      <c r="EC41" s="26">
        <f t="shared" si="54"/>
        <v>0</v>
      </c>
      <c r="ED41" s="26">
        <f t="shared" si="54"/>
        <v>0</v>
      </c>
      <c r="EE41" s="26">
        <f t="shared" si="54"/>
        <v>0</v>
      </c>
      <c r="EF41" s="26">
        <f t="shared" si="54"/>
        <v>0</v>
      </c>
      <c r="EG41" s="26">
        <f t="shared" si="54"/>
        <v>0</v>
      </c>
      <c r="EH41" s="26">
        <f t="shared" si="54"/>
        <v>0</v>
      </c>
      <c r="EI41" s="26">
        <f t="shared" si="54"/>
        <v>0</v>
      </c>
      <c r="EJ41" s="26">
        <f t="shared" si="54"/>
        <v>0</v>
      </c>
      <c r="EK41" s="26">
        <f t="shared" si="54"/>
        <v>0</v>
      </c>
      <c r="EL41" s="26">
        <f t="shared" si="54"/>
        <v>0</v>
      </c>
      <c r="EM41" s="26">
        <f t="shared" si="18"/>
        <v>29189</v>
      </c>
      <c r="EN41" s="26">
        <f t="shared" si="19"/>
        <v>33084</v>
      </c>
      <c r="EO41" s="26">
        <f t="shared" si="20"/>
        <v>45551</v>
      </c>
      <c r="EP41" s="26">
        <f t="shared" si="21"/>
        <v>63998</v>
      </c>
      <c r="EQ41" s="26">
        <f t="shared" si="22"/>
        <v>74004</v>
      </c>
    </row>
    <row r="42" spans="2:147">
      <c r="B42" s="27">
        <v>7</v>
      </c>
      <c r="C42" s="27">
        <v>2</v>
      </c>
      <c r="D42" s="27">
        <v>500</v>
      </c>
      <c r="E42" s="27">
        <f t="shared" si="23"/>
        <v>19000</v>
      </c>
      <c r="F42" s="27">
        <f t="shared" si="11"/>
        <v>19000</v>
      </c>
      <c r="G42" s="27">
        <f>SUM(F$5:F42)</f>
        <v>370500</v>
      </c>
      <c r="H42" s="27">
        <f t="shared" si="24"/>
        <v>38</v>
      </c>
      <c r="I42" s="27" t="s">
        <v>183</v>
      </c>
      <c r="J42" s="27">
        <v>0.1</v>
      </c>
      <c r="K42" s="27">
        <f>INDEX(其他调用!$BO$5:$BO$61,MATCH(星阵点亮!I42,其他调用!$BM$5:$BM$61,0))*J42</f>
        <v>7618.5775082610944</v>
      </c>
      <c r="L42" s="27">
        <f t="shared" si="55"/>
        <v>7918</v>
      </c>
      <c r="O42" s="30"/>
      <c r="Q42" s="26">
        <v>38</v>
      </c>
      <c r="R42" s="26">
        <f>总纲!D42</f>
        <v>12.928809012737984</v>
      </c>
      <c r="S42" s="26">
        <f>求节点(将星点产出!$W$6:$W$44,将星点产出!$AO$6:$AO$44,星阵点亮!$Q42)</f>
        <v>28015.270818253262</v>
      </c>
      <c r="T42" s="26">
        <f t="shared" si="13"/>
        <v>10</v>
      </c>
      <c r="U42" s="26">
        <f>总纲!E42</f>
        <v>11.292021791725356</v>
      </c>
      <c r="V42" s="26">
        <f>求节点(将星点产出!$W$51:$W$89,将星点产出!$AO$51:$AO$89,星阵点亮!$Q42)</f>
        <v>32193.356526726897</v>
      </c>
      <c r="W42" s="26">
        <f t="shared" si="14"/>
        <v>10</v>
      </c>
      <c r="X42" s="26">
        <f>总纲!F42</f>
        <v>9.3190855363815395</v>
      </c>
      <c r="Y42" s="26">
        <f>求节点(将星点产出!$W$96:$W$134,将星点产出!$AO$96:$AO$134,星阵点亮!$Q42)</f>
        <v>50796.397266232496</v>
      </c>
      <c r="Z42" s="26">
        <f t="shared" si="15"/>
        <v>13</v>
      </c>
      <c r="AA42" s="26">
        <f>总纲!G42</f>
        <v>6.8962267273944402</v>
      </c>
      <c r="AB42" s="26">
        <f>求节点(将星点产出!$W$141:$W$179,将星点产出!$AO$141:$AO$179,星阵点亮!$Q42)</f>
        <v>87795.329918306408</v>
      </c>
      <c r="AC42" s="26">
        <f t="shared" si="16"/>
        <v>18</v>
      </c>
      <c r="AD42" s="26">
        <f>总纲!H42</f>
        <v>3.8708854184137524</v>
      </c>
      <c r="AE42" s="26">
        <f>求节点(将星点产出!$W$186:$W$224,将星点产出!$AO$186:$AO$224,星阵点亮!$Q42)</f>
        <v>110950.70442496262</v>
      </c>
      <c r="AF42" s="26">
        <f t="shared" si="17"/>
        <v>20</v>
      </c>
      <c r="AG42" s="26">
        <f t="shared" si="45"/>
        <v>0.6</v>
      </c>
      <c r="AH42" s="26">
        <f t="shared" si="45"/>
        <v>0.6</v>
      </c>
      <c r="AI42" s="26">
        <f t="shared" si="45"/>
        <v>0</v>
      </c>
      <c r="AJ42" s="26">
        <f t="shared" si="45"/>
        <v>0.6</v>
      </c>
      <c r="AK42" s="26">
        <f t="shared" si="45"/>
        <v>0</v>
      </c>
      <c r="AL42" s="26">
        <f t="shared" si="45"/>
        <v>0</v>
      </c>
      <c r="AM42" s="26">
        <f t="shared" si="45"/>
        <v>0.6</v>
      </c>
      <c r="AN42" s="26">
        <f t="shared" si="45"/>
        <v>0</v>
      </c>
      <c r="AO42" s="26">
        <f t="shared" si="45"/>
        <v>0</v>
      </c>
      <c r="AP42" s="26">
        <f t="shared" si="45"/>
        <v>0.6</v>
      </c>
      <c r="AQ42" s="26">
        <f t="shared" si="46"/>
        <v>0</v>
      </c>
      <c r="AR42" s="26">
        <f t="shared" si="46"/>
        <v>0</v>
      </c>
      <c r="AS42" s="26">
        <f t="shared" si="46"/>
        <v>0</v>
      </c>
      <c r="AT42" s="26">
        <f t="shared" si="46"/>
        <v>0</v>
      </c>
      <c r="AU42" s="26">
        <f t="shared" si="46"/>
        <v>0</v>
      </c>
      <c r="AV42" s="26">
        <f t="shared" si="46"/>
        <v>0</v>
      </c>
      <c r="AW42" s="26">
        <f t="shared" si="46"/>
        <v>0</v>
      </c>
      <c r="AX42" s="26">
        <f t="shared" si="46"/>
        <v>0</v>
      </c>
      <c r="AY42" s="26">
        <f t="shared" si="46"/>
        <v>0</v>
      </c>
      <c r="AZ42" s="26">
        <f t="shared" si="46"/>
        <v>0</v>
      </c>
      <c r="BA42" s="26">
        <f t="shared" si="46"/>
        <v>0</v>
      </c>
      <c r="BB42" s="26">
        <f t="shared" si="46"/>
        <v>0</v>
      </c>
      <c r="BC42" s="26">
        <f t="shared" si="47"/>
        <v>0.6</v>
      </c>
      <c r="BD42" s="26">
        <f t="shared" si="47"/>
        <v>0.6</v>
      </c>
      <c r="BE42" s="26">
        <f t="shared" si="47"/>
        <v>0</v>
      </c>
      <c r="BF42" s="26">
        <f t="shared" si="47"/>
        <v>0.6</v>
      </c>
      <c r="BG42" s="26">
        <f t="shared" si="47"/>
        <v>0</v>
      </c>
      <c r="BH42" s="26">
        <f t="shared" si="47"/>
        <v>0</v>
      </c>
      <c r="BI42" s="26">
        <f t="shared" si="47"/>
        <v>0.6</v>
      </c>
      <c r="BJ42" s="26">
        <f t="shared" si="47"/>
        <v>0</v>
      </c>
      <c r="BK42" s="26">
        <f t="shared" si="47"/>
        <v>0</v>
      </c>
      <c r="BL42" s="26">
        <f t="shared" si="47"/>
        <v>0.6</v>
      </c>
      <c r="BM42" s="26">
        <f t="shared" si="48"/>
        <v>0</v>
      </c>
      <c r="BN42" s="26">
        <f t="shared" si="48"/>
        <v>0</v>
      </c>
      <c r="BO42" s="26">
        <f t="shared" si="48"/>
        <v>0</v>
      </c>
      <c r="BP42" s="26">
        <f t="shared" si="48"/>
        <v>0</v>
      </c>
      <c r="BQ42" s="26">
        <f t="shared" si="48"/>
        <v>0</v>
      </c>
      <c r="BR42" s="26">
        <f t="shared" si="48"/>
        <v>0</v>
      </c>
      <c r="BS42" s="26">
        <f t="shared" si="48"/>
        <v>0</v>
      </c>
      <c r="BT42" s="26">
        <f t="shared" si="48"/>
        <v>0</v>
      </c>
      <c r="BU42" s="26">
        <f t="shared" si="48"/>
        <v>0</v>
      </c>
      <c r="BV42" s="26">
        <f t="shared" si="48"/>
        <v>0</v>
      </c>
      <c r="BW42" s="26">
        <f t="shared" si="48"/>
        <v>0</v>
      </c>
      <c r="BX42" s="26">
        <f t="shared" si="48"/>
        <v>0</v>
      </c>
      <c r="BY42" s="26">
        <f t="shared" si="49"/>
        <v>0.6</v>
      </c>
      <c r="BZ42" s="26">
        <f t="shared" si="49"/>
        <v>0.6</v>
      </c>
      <c r="CA42" s="26">
        <f t="shared" si="49"/>
        <v>0.3</v>
      </c>
      <c r="CB42" s="26">
        <f t="shared" si="49"/>
        <v>0.6</v>
      </c>
      <c r="CC42" s="26">
        <f t="shared" si="49"/>
        <v>0</v>
      </c>
      <c r="CD42" s="26">
        <f t="shared" si="49"/>
        <v>0</v>
      </c>
      <c r="CE42" s="26">
        <f t="shared" si="49"/>
        <v>1</v>
      </c>
      <c r="CF42" s="26">
        <f t="shared" si="49"/>
        <v>0</v>
      </c>
      <c r="CG42" s="26">
        <f t="shared" si="49"/>
        <v>0</v>
      </c>
      <c r="CH42" s="26">
        <f t="shared" si="49"/>
        <v>1</v>
      </c>
      <c r="CI42" s="26">
        <f t="shared" si="50"/>
        <v>0</v>
      </c>
      <c r="CJ42" s="26">
        <f t="shared" si="50"/>
        <v>0</v>
      </c>
      <c r="CK42" s="26">
        <f t="shared" si="50"/>
        <v>0</v>
      </c>
      <c r="CL42" s="26">
        <f t="shared" si="50"/>
        <v>0</v>
      </c>
      <c r="CM42" s="26">
        <f t="shared" si="50"/>
        <v>0</v>
      </c>
      <c r="CN42" s="26">
        <f t="shared" si="50"/>
        <v>0</v>
      </c>
      <c r="CO42" s="26">
        <f t="shared" si="50"/>
        <v>0</v>
      </c>
      <c r="CP42" s="26">
        <f t="shared" si="50"/>
        <v>0</v>
      </c>
      <c r="CQ42" s="26">
        <f t="shared" si="50"/>
        <v>0</v>
      </c>
      <c r="CR42" s="26">
        <f t="shared" si="50"/>
        <v>0</v>
      </c>
      <c r="CS42" s="26">
        <f t="shared" si="50"/>
        <v>0</v>
      </c>
      <c r="CT42" s="26">
        <f t="shared" si="50"/>
        <v>0</v>
      </c>
      <c r="CU42" s="26">
        <f t="shared" si="51"/>
        <v>1.5</v>
      </c>
      <c r="CV42" s="26">
        <f t="shared" si="51"/>
        <v>0.6</v>
      </c>
      <c r="CW42" s="26">
        <f t="shared" si="51"/>
        <v>0.6</v>
      </c>
      <c r="CX42" s="26">
        <f t="shared" si="51"/>
        <v>1.5</v>
      </c>
      <c r="CY42" s="26">
        <f t="shared" si="51"/>
        <v>0</v>
      </c>
      <c r="CZ42" s="26">
        <f t="shared" si="51"/>
        <v>0</v>
      </c>
      <c r="DA42" s="26">
        <f t="shared" si="51"/>
        <v>1</v>
      </c>
      <c r="DB42" s="26">
        <f t="shared" si="51"/>
        <v>0</v>
      </c>
      <c r="DC42" s="26">
        <f t="shared" si="51"/>
        <v>0</v>
      </c>
      <c r="DD42" s="26">
        <f t="shared" si="51"/>
        <v>1</v>
      </c>
      <c r="DE42" s="26">
        <f t="shared" si="52"/>
        <v>0</v>
      </c>
      <c r="DF42" s="26">
        <f t="shared" si="52"/>
        <v>0</v>
      </c>
      <c r="DG42" s="26">
        <f t="shared" si="52"/>
        <v>0</v>
      </c>
      <c r="DH42" s="26">
        <f t="shared" si="52"/>
        <v>0</v>
      </c>
      <c r="DI42" s="26">
        <f t="shared" si="52"/>
        <v>0</v>
      </c>
      <c r="DJ42" s="26">
        <f t="shared" si="52"/>
        <v>0</v>
      </c>
      <c r="DK42" s="26">
        <f t="shared" si="52"/>
        <v>0</v>
      </c>
      <c r="DL42" s="26">
        <f t="shared" si="52"/>
        <v>0</v>
      </c>
      <c r="DM42" s="26">
        <f t="shared" si="52"/>
        <v>0</v>
      </c>
      <c r="DN42" s="26">
        <f t="shared" si="52"/>
        <v>0</v>
      </c>
      <c r="DO42" s="26">
        <f t="shared" si="52"/>
        <v>0</v>
      </c>
      <c r="DP42" s="26">
        <f t="shared" si="52"/>
        <v>0</v>
      </c>
      <c r="DQ42" s="26">
        <f t="shared" si="53"/>
        <v>1.5</v>
      </c>
      <c r="DR42" s="26">
        <f t="shared" si="53"/>
        <v>0.6</v>
      </c>
      <c r="DS42" s="26">
        <f t="shared" si="53"/>
        <v>0.6</v>
      </c>
      <c r="DT42" s="26">
        <f t="shared" si="53"/>
        <v>1.5</v>
      </c>
      <c r="DU42" s="26">
        <f t="shared" si="53"/>
        <v>0</v>
      </c>
      <c r="DV42" s="26">
        <f t="shared" si="53"/>
        <v>0</v>
      </c>
      <c r="DW42" s="26">
        <f t="shared" si="53"/>
        <v>1</v>
      </c>
      <c r="DX42" s="26">
        <f t="shared" si="53"/>
        <v>0.3</v>
      </c>
      <c r="DY42" s="26">
        <f t="shared" si="53"/>
        <v>0.3</v>
      </c>
      <c r="DZ42" s="26">
        <f t="shared" si="53"/>
        <v>1</v>
      </c>
      <c r="EA42" s="26">
        <f t="shared" si="54"/>
        <v>0</v>
      </c>
      <c r="EB42" s="26">
        <f t="shared" si="54"/>
        <v>0</v>
      </c>
      <c r="EC42" s="26">
        <f t="shared" si="54"/>
        <v>0</v>
      </c>
      <c r="ED42" s="26">
        <f t="shared" si="54"/>
        <v>0</v>
      </c>
      <c r="EE42" s="26">
        <f t="shared" si="54"/>
        <v>0</v>
      </c>
      <c r="EF42" s="26">
        <f t="shared" si="54"/>
        <v>0</v>
      </c>
      <c r="EG42" s="26">
        <f t="shared" si="54"/>
        <v>0</v>
      </c>
      <c r="EH42" s="26">
        <f t="shared" si="54"/>
        <v>0</v>
      </c>
      <c r="EI42" s="26">
        <f t="shared" si="54"/>
        <v>0</v>
      </c>
      <c r="EJ42" s="26">
        <f t="shared" si="54"/>
        <v>0</v>
      </c>
      <c r="EK42" s="26">
        <f t="shared" si="54"/>
        <v>0</v>
      </c>
      <c r="EL42" s="26">
        <f t="shared" si="54"/>
        <v>0</v>
      </c>
      <c r="EM42" s="26">
        <f t="shared" si="18"/>
        <v>33084</v>
      </c>
      <c r="EN42" s="26">
        <f t="shared" si="19"/>
        <v>33084</v>
      </c>
      <c r="EO42" s="26">
        <f t="shared" si="20"/>
        <v>45551</v>
      </c>
      <c r="EP42" s="26">
        <f t="shared" si="21"/>
        <v>68936</v>
      </c>
      <c r="EQ42" s="26">
        <f t="shared" si="22"/>
        <v>79202</v>
      </c>
    </row>
    <row r="43" spans="2:147">
      <c r="B43" s="27">
        <v>7</v>
      </c>
      <c r="C43" s="27">
        <v>3</v>
      </c>
      <c r="D43" s="27">
        <v>500</v>
      </c>
      <c r="E43" s="27">
        <f t="shared" si="23"/>
        <v>19500</v>
      </c>
      <c r="F43" s="27">
        <f t="shared" si="11"/>
        <v>19500</v>
      </c>
      <c r="G43" s="27">
        <f>SUM(F$5:F43)</f>
        <v>390000</v>
      </c>
      <c r="H43" s="27">
        <f t="shared" si="24"/>
        <v>39</v>
      </c>
      <c r="I43" s="27" t="s">
        <v>145</v>
      </c>
      <c r="J43" s="27">
        <v>0.1</v>
      </c>
      <c r="K43" s="27">
        <f>INDEX(其他调用!$BO$5:$BO$61,MATCH(星阵点亮!I43,其他调用!$BM$5:$BM$61,0))*J43</f>
        <v>7979.3311414981308</v>
      </c>
      <c r="L43" s="27">
        <f t="shared" si="55"/>
        <v>7979</v>
      </c>
      <c r="O43" s="30"/>
      <c r="Q43" s="26">
        <v>39</v>
      </c>
      <c r="R43" s="26">
        <f>总纲!D43</f>
        <v>13.928527864588917</v>
      </c>
      <c r="S43" s="26">
        <f>求节点(将星点产出!$W$6:$W$44,将星点产出!$AO$6:$AO$44,星阵点亮!$Q43)</f>
        <v>29746.135409126629</v>
      </c>
      <c r="T43" s="26">
        <f t="shared" si="13"/>
        <v>10</v>
      </c>
      <c r="U43" s="26">
        <f>总纲!E43</f>
        <v>12.147069150707994</v>
      </c>
      <c r="V43" s="26">
        <f>求节点(将星点产出!$W$51:$W$89,将星点产出!$AO$51:$AO$89,星阵点亮!$Q43)</f>
        <v>34386.189680641175</v>
      </c>
      <c r="W43" s="26">
        <f t="shared" si="14"/>
        <v>11</v>
      </c>
      <c r="X43" s="26">
        <f>总纲!F43</f>
        <v>10.016004387425889</v>
      </c>
      <c r="Y43" s="26">
        <f>求节点(将星点产出!$W$96:$W$134,将星点产出!$AO$96:$AO$134,星阵点亮!$Q43)</f>
        <v>54240.707072149278</v>
      </c>
      <c r="Z43" s="26">
        <f t="shared" si="15"/>
        <v>14</v>
      </c>
      <c r="AA43" s="26">
        <f>总纲!G43</f>
        <v>7.4197267934665154</v>
      </c>
      <c r="AB43" s="26">
        <f>求节点(将星点产出!$W$141:$W$179,将星点产出!$AO$141:$AO$179,星阵点亮!$Q43)</f>
        <v>93506.31858844425</v>
      </c>
      <c r="AC43" s="26">
        <f t="shared" si="16"/>
        <v>18</v>
      </c>
      <c r="AD43" s="26">
        <f>总纲!H43</f>
        <v>4.1702012426579218</v>
      </c>
      <c r="AE43" s="26">
        <f>求节点(将星点产出!$W$186:$W$224,将星点产出!$AO$186:$AO$224,星阵点亮!$Q43)</f>
        <v>120307.63070991456</v>
      </c>
      <c r="AF43" s="26">
        <f t="shared" si="17"/>
        <v>21</v>
      </c>
      <c r="AG43" s="26">
        <f t="shared" si="45"/>
        <v>0.6</v>
      </c>
      <c r="AH43" s="26">
        <f t="shared" si="45"/>
        <v>0.6</v>
      </c>
      <c r="AI43" s="26">
        <f t="shared" si="45"/>
        <v>0</v>
      </c>
      <c r="AJ43" s="26">
        <f t="shared" si="45"/>
        <v>0.6</v>
      </c>
      <c r="AK43" s="26">
        <f t="shared" si="45"/>
        <v>0</v>
      </c>
      <c r="AL43" s="26">
        <f t="shared" si="45"/>
        <v>0</v>
      </c>
      <c r="AM43" s="26">
        <f t="shared" si="45"/>
        <v>0.6</v>
      </c>
      <c r="AN43" s="26">
        <f t="shared" si="45"/>
        <v>0</v>
      </c>
      <c r="AO43" s="26">
        <f t="shared" si="45"/>
        <v>0</v>
      </c>
      <c r="AP43" s="26">
        <f t="shared" si="45"/>
        <v>0.6</v>
      </c>
      <c r="AQ43" s="26">
        <f t="shared" si="46"/>
        <v>0</v>
      </c>
      <c r="AR43" s="26">
        <f t="shared" si="46"/>
        <v>0</v>
      </c>
      <c r="AS43" s="26">
        <f t="shared" si="46"/>
        <v>0</v>
      </c>
      <c r="AT43" s="26">
        <f t="shared" si="46"/>
        <v>0</v>
      </c>
      <c r="AU43" s="26">
        <f t="shared" si="46"/>
        <v>0</v>
      </c>
      <c r="AV43" s="26">
        <f t="shared" si="46"/>
        <v>0</v>
      </c>
      <c r="AW43" s="26">
        <f t="shared" si="46"/>
        <v>0</v>
      </c>
      <c r="AX43" s="26">
        <f t="shared" si="46"/>
        <v>0</v>
      </c>
      <c r="AY43" s="26">
        <f t="shared" si="46"/>
        <v>0</v>
      </c>
      <c r="AZ43" s="26">
        <f t="shared" si="46"/>
        <v>0</v>
      </c>
      <c r="BA43" s="26">
        <f t="shared" si="46"/>
        <v>0</v>
      </c>
      <c r="BB43" s="26">
        <f t="shared" si="46"/>
        <v>0</v>
      </c>
      <c r="BC43" s="26">
        <f t="shared" si="47"/>
        <v>0.6</v>
      </c>
      <c r="BD43" s="26">
        <f t="shared" si="47"/>
        <v>0.6</v>
      </c>
      <c r="BE43" s="26">
        <f t="shared" si="47"/>
        <v>0</v>
      </c>
      <c r="BF43" s="26">
        <f t="shared" si="47"/>
        <v>0.6</v>
      </c>
      <c r="BG43" s="26">
        <f t="shared" si="47"/>
        <v>0</v>
      </c>
      <c r="BH43" s="26">
        <f t="shared" si="47"/>
        <v>0</v>
      </c>
      <c r="BI43" s="26">
        <f t="shared" si="47"/>
        <v>0.6</v>
      </c>
      <c r="BJ43" s="26">
        <f t="shared" si="47"/>
        <v>0</v>
      </c>
      <c r="BK43" s="26">
        <f t="shared" si="47"/>
        <v>0</v>
      </c>
      <c r="BL43" s="26">
        <f t="shared" si="47"/>
        <v>1</v>
      </c>
      <c r="BM43" s="26">
        <f t="shared" si="48"/>
        <v>0</v>
      </c>
      <c r="BN43" s="26">
        <f t="shared" si="48"/>
        <v>0</v>
      </c>
      <c r="BO43" s="26">
        <f t="shared" si="48"/>
        <v>0</v>
      </c>
      <c r="BP43" s="26">
        <f t="shared" si="48"/>
        <v>0</v>
      </c>
      <c r="BQ43" s="26">
        <f t="shared" si="48"/>
        <v>0</v>
      </c>
      <c r="BR43" s="26">
        <f t="shared" si="48"/>
        <v>0</v>
      </c>
      <c r="BS43" s="26">
        <f t="shared" si="48"/>
        <v>0</v>
      </c>
      <c r="BT43" s="26">
        <f t="shared" si="48"/>
        <v>0</v>
      </c>
      <c r="BU43" s="26">
        <f t="shared" si="48"/>
        <v>0</v>
      </c>
      <c r="BV43" s="26">
        <f t="shared" si="48"/>
        <v>0</v>
      </c>
      <c r="BW43" s="26">
        <f t="shared" si="48"/>
        <v>0</v>
      </c>
      <c r="BX43" s="26">
        <f t="shared" si="48"/>
        <v>0</v>
      </c>
      <c r="BY43" s="26">
        <f t="shared" si="49"/>
        <v>0.6</v>
      </c>
      <c r="BZ43" s="26">
        <f t="shared" si="49"/>
        <v>0.6</v>
      </c>
      <c r="CA43" s="26">
        <f t="shared" si="49"/>
        <v>0.3</v>
      </c>
      <c r="CB43" s="26">
        <f t="shared" si="49"/>
        <v>1</v>
      </c>
      <c r="CC43" s="26">
        <f t="shared" si="49"/>
        <v>0</v>
      </c>
      <c r="CD43" s="26">
        <f t="shared" si="49"/>
        <v>0</v>
      </c>
      <c r="CE43" s="26">
        <f t="shared" si="49"/>
        <v>1</v>
      </c>
      <c r="CF43" s="26">
        <f t="shared" si="49"/>
        <v>0</v>
      </c>
      <c r="CG43" s="26">
        <f t="shared" si="49"/>
        <v>0</v>
      </c>
      <c r="CH43" s="26">
        <f t="shared" si="49"/>
        <v>1</v>
      </c>
      <c r="CI43" s="26">
        <f t="shared" si="50"/>
        <v>0</v>
      </c>
      <c r="CJ43" s="26">
        <f t="shared" si="50"/>
        <v>0</v>
      </c>
      <c r="CK43" s="26">
        <f t="shared" si="50"/>
        <v>0</v>
      </c>
      <c r="CL43" s="26">
        <f t="shared" si="50"/>
        <v>0</v>
      </c>
      <c r="CM43" s="26">
        <f t="shared" si="50"/>
        <v>0</v>
      </c>
      <c r="CN43" s="26">
        <f t="shared" si="50"/>
        <v>0</v>
      </c>
      <c r="CO43" s="26">
        <f t="shared" si="50"/>
        <v>0</v>
      </c>
      <c r="CP43" s="26">
        <f t="shared" si="50"/>
        <v>0</v>
      </c>
      <c r="CQ43" s="26">
        <f t="shared" si="50"/>
        <v>0</v>
      </c>
      <c r="CR43" s="26">
        <f t="shared" si="50"/>
        <v>0</v>
      </c>
      <c r="CS43" s="26">
        <f t="shared" si="50"/>
        <v>0</v>
      </c>
      <c r="CT43" s="26">
        <f t="shared" si="50"/>
        <v>0</v>
      </c>
      <c r="CU43" s="26">
        <f t="shared" si="51"/>
        <v>1.5</v>
      </c>
      <c r="CV43" s="26">
        <f t="shared" si="51"/>
        <v>0.6</v>
      </c>
      <c r="CW43" s="26">
        <f t="shared" si="51"/>
        <v>0.6</v>
      </c>
      <c r="CX43" s="26">
        <f t="shared" si="51"/>
        <v>1.5</v>
      </c>
      <c r="CY43" s="26">
        <f t="shared" si="51"/>
        <v>0</v>
      </c>
      <c r="CZ43" s="26">
        <f t="shared" si="51"/>
        <v>0</v>
      </c>
      <c r="DA43" s="26">
        <f t="shared" si="51"/>
        <v>1</v>
      </c>
      <c r="DB43" s="26">
        <f t="shared" si="51"/>
        <v>0</v>
      </c>
      <c r="DC43" s="26">
        <f t="shared" si="51"/>
        <v>0</v>
      </c>
      <c r="DD43" s="26">
        <f t="shared" si="51"/>
        <v>1</v>
      </c>
      <c r="DE43" s="26">
        <f t="shared" si="52"/>
        <v>0</v>
      </c>
      <c r="DF43" s="26">
        <f t="shared" si="52"/>
        <v>0</v>
      </c>
      <c r="DG43" s="26">
        <f t="shared" si="52"/>
        <v>0</v>
      </c>
      <c r="DH43" s="26">
        <f t="shared" si="52"/>
        <v>0</v>
      </c>
      <c r="DI43" s="26">
        <f t="shared" si="52"/>
        <v>0</v>
      </c>
      <c r="DJ43" s="26">
        <f t="shared" si="52"/>
        <v>0</v>
      </c>
      <c r="DK43" s="26">
        <f t="shared" si="52"/>
        <v>0</v>
      </c>
      <c r="DL43" s="26">
        <f t="shared" si="52"/>
        <v>0</v>
      </c>
      <c r="DM43" s="26">
        <f t="shared" si="52"/>
        <v>0</v>
      </c>
      <c r="DN43" s="26">
        <f t="shared" si="52"/>
        <v>0</v>
      </c>
      <c r="DO43" s="26">
        <f t="shared" si="52"/>
        <v>0</v>
      </c>
      <c r="DP43" s="26">
        <f t="shared" si="52"/>
        <v>0</v>
      </c>
      <c r="DQ43" s="26">
        <f t="shared" si="53"/>
        <v>1.5</v>
      </c>
      <c r="DR43" s="26">
        <f t="shared" si="53"/>
        <v>0.6</v>
      </c>
      <c r="DS43" s="26">
        <f t="shared" si="53"/>
        <v>0.6</v>
      </c>
      <c r="DT43" s="26">
        <f t="shared" si="53"/>
        <v>1.5</v>
      </c>
      <c r="DU43" s="26">
        <f t="shared" si="53"/>
        <v>0</v>
      </c>
      <c r="DV43" s="26">
        <f t="shared" si="53"/>
        <v>0</v>
      </c>
      <c r="DW43" s="26">
        <f t="shared" si="53"/>
        <v>1</v>
      </c>
      <c r="DX43" s="26">
        <f t="shared" si="53"/>
        <v>0.6</v>
      </c>
      <c r="DY43" s="26">
        <f t="shared" si="53"/>
        <v>0.3</v>
      </c>
      <c r="DZ43" s="26">
        <f t="shared" si="53"/>
        <v>1</v>
      </c>
      <c r="EA43" s="26">
        <f t="shared" si="54"/>
        <v>0</v>
      </c>
      <c r="EB43" s="26">
        <f t="shared" si="54"/>
        <v>0</v>
      </c>
      <c r="EC43" s="26">
        <f t="shared" si="54"/>
        <v>0</v>
      </c>
      <c r="ED43" s="26">
        <f t="shared" si="54"/>
        <v>0</v>
      </c>
      <c r="EE43" s="26">
        <f t="shared" si="54"/>
        <v>0</v>
      </c>
      <c r="EF43" s="26">
        <f t="shared" si="54"/>
        <v>0</v>
      </c>
      <c r="EG43" s="26">
        <f t="shared" si="54"/>
        <v>0</v>
      </c>
      <c r="EH43" s="26">
        <f t="shared" si="54"/>
        <v>0</v>
      </c>
      <c r="EI43" s="26">
        <f t="shared" si="54"/>
        <v>0</v>
      </c>
      <c r="EJ43" s="26">
        <f t="shared" si="54"/>
        <v>0</v>
      </c>
      <c r="EK43" s="26">
        <f t="shared" si="54"/>
        <v>0</v>
      </c>
      <c r="EL43" s="26">
        <f t="shared" si="54"/>
        <v>0</v>
      </c>
      <c r="EM43" s="26">
        <f t="shared" si="18"/>
        <v>33084</v>
      </c>
      <c r="EN43" s="26">
        <f t="shared" si="19"/>
        <v>37109</v>
      </c>
      <c r="EO43" s="26">
        <f t="shared" si="20"/>
        <v>49967</v>
      </c>
      <c r="EP43" s="26">
        <f t="shared" si="21"/>
        <v>68936</v>
      </c>
      <c r="EQ43" s="26">
        <f t="shared" si="22"/>
        <v>84531</v>
      </c>
    </row>
    <row r="44" spans="2:147">
      <c r="B44" s="27">
        <v>7</v>
      </c>
      <c r="C44" s="27">
        <v>4</v>
      </c>
      <c r="D44" s="27">
        <v>500</v>
      </c>
      <c r="E44" s="27">
        <f t="shared" si="23"/>
        <v>20000</v>
      </c>
      <c r="F44" s="27">
        <f t="shared" si="11"/>
        <v>20000</v>
      </c>
      <c r="G44" s="27">
        <f>SUM(F$5:F44)</f>
        <v>410000</v>
      </c>
      <c r="H44" s="27">
        <f t="shared" si="24"/>
        <v>40</v>
      </c>
      <c r="I44" s="27" t="s">
        <v>181</v>
      </c>
      <c r="J44" s="27">
        <v>0.1</v>
      </c>
      <c r="K44" s="27">
        <f>INDEX(其他调用!$BO$5:$BO$61,MATCH(星阵点亮!I44,其他调用!$BM$5:$BM$61,0))*J44</f>
        <v>7618.5775082610944</v>
      </c>
      <c r="L44" s="27">
        <f t="shared" si="55"/>
        <v>8029</v>
      </c>
      <c r="O44" s="30"/>
      <c r="Q44" s="26">
        <v>40</v>
      </c>
      <c r="R44" s="26">
        <f>总纲!D44</f>
        <v>15</v>
      </c>
      <c r="S44" s="26">
        <f>求节点(将星点产出!$W$6:$W$44,将星点产出!$AO$6:$AO$44,星阵点亮!$Q44)</f>
        <v>31477</v>
      </c>
      <c r="T44" s="26">
        <f t="shared" si="13"/>
        <v>10</v>
      </c>
      <c r="U44" s="26">
        <f>总纲!E44</f>
        <v>13.059000000000001</v>
      </c>
      <c r="V44" s="26">
        <f>求节点(将星点产出!$W$51:$W$89,将星点产出!$AO$51:$AO$89,星阵点亮!$Q44)</f>
        <v>36913.598586237349</v>
      </c>
      <c r="W44" s="26">
        <f t="shared" si="14"/>
        <v>11</v>
      </c>
      <c r="X44" s="26">
        <f>总纲!F44</f>
        <v>10.782</v>
      </c>
      <c r="Y44" s="26">
        <f>求节点(将星点产出!$W$96:$W$134,将星点产出!$AO$96:$AO$134,星阵点亮!$Q44)</f>
        <v>57855.835505032876</v>
      </c>
      <c r="Z44" s="26">
        <f t="shared" si="15"/>
        <v>14</v>
      </c>
      <c r="AA44" s="26">
        <f>总纲!G44</f>
        <v>8.0009999999999994</v>
      </c>
      <c r="AB44" s="26">
        <f>求节点(将星点产出!$W$141:$W$179,将星点产出!$AO$141:$AO$179,星阵点亮!$Q44)</f>
        <v>99177.678992769012</v>
      </c>
      <c r="AC44" s="26">
        <f t="shared" si="16"/>
        <v>19</v>
      </c>
      <c r="AD44" s="26">
        <f>总纲!H44</f>
        <v>4.5</v>
      </c>
      <c r="AE44" s="26">
        <f>求节点(将星点产出!$W$186:$W$224,将星点产出!$AO$186:$AO$224,星阵点亮!$Q44)</f>
        <v>130059.16957978919</v>
      </c>
      <c r="AF44" s="26">
        <f t="shared" si="17"/>
        <v>22</v>
      </c>
      <c r="AG44" s="26">
        <f t="shared" si="45"/>
        <v>0.6</v>
      </c>
      <c r="AH44" s="26">
        <f t="shared" si="45"/>
        <v>0.6</v>
      </c>
      <c r="AI44" s="26">
        <f t="shared" si="45"/>
        <v>0</v>
      </c>
      <c r="AJ44" s="26">
        <f t="shared" si="45"/>
        <v>0.6</v>
      </c>
      <c r="AK44" s="26">
        <f t="shared" si="45"/>
        <v>0</v>
      </c>
      <c r="AL44" s="26">
        <f t="shared" si="45"/>
        <v>0</v>
      </c>
      <c r="AM44" s="26">
        <f t="shared" si="45"/>
        <v>0.6</v>
      </c>
      <c r="AN44" s="26">
        <f t="shared" si="45"/>
        <v>0</v>
      </c>
      <c r="AO44" s="26">
        <f t="shared" si="45"/>
        <v>0</v>
      </c>
      <c r="AP44" s="26">
        <f t="shared" si="45"/>
        <v>0.6</v>
      </c>
      <c r="AQ44" s="26">
        <f t="shared" si="46"/>
        <v>0</v>
      </c>
      <c r="AR44" s="26">
        <f t="shared" si="46"/>
        <v>0</v>
      </c>
      <c r="AS44" s="26">
        <f t="shared" si="46"/>
        <v>0</v>
      </c>
      <c r="AT44" s="26">
        <f t="shared" si="46"/>
        <v>0</v>
      </c>
      <c r="AU44" s="26">
        <f t="shared" si="46"/>
        <v>0</v>
      </c>
      <c r="AV44" s="26">
        <f t="shared" si="46"/>
        <v>0</v>
      </c>
      <c r="AW44" s="26">
        <f t="shared" si="46"/>
        <v>0</v>
      </c>
      <c r="AX44" s="26">
        <f t="shared" si="46"/>
        <v>0</v>
      </c>
      <c r="AY44" s="26">
        <f t="shared" si="46"/>
        <v>0</v>
      </c>
      <c r="AZ44" s="26">
        <f t="shared" si="46"/>
        <v>0</v>
      </c>
      <c r="BA44" s="26">
        <f t="shared" si="46"/>
        <v>0</v>
      </c>
      <c r="BB44" s="26">
        <f t="shared" si="46"/>
        <v>0</v>
      </c>
      <c r="BC44" s="26">
        <f t="shared" si="47"/>
        <v>0.6</v>
      </c>
      <c r="BD44" s="26">
        <f t="shared" si="47"/>
        <v>0.6</v>
      </c>
      <c r="BE44" s="26">
        <f t="shared" si="47"/>
        <v>0</v>
      </c>
      <c r="BF44" s="26">
        <f t="shared" si="47"/>
        <v>0.6</v>
      </c>
      <c r="BG44" s="26">
        <f t="shared" si="47"/>
        <v>0</v>
      </c>
      <c r="BH44" s="26">
        <f t="shared" si="47"/>
        <v>0</v>
      </c>
      <c r="BI44" s="26">
        <f t="shared" si="47"/>
        <v>0.6</v>
      </c>
      <c r="BJ44" s="26">
        <f t="shared" si="47"/>
        <v>0</v>
      </c>
      <c r="BK44" s="26">
        <f t="shared" si="47"/>
        <v>0</v>
      </c>
      <c r="BL44" s="26">
        <f t="shared" si="47"/>
        <v>1</v>
      </c>
      <c r="BM44" s="26">
        <f t="shared" si="48"/>
        <v>0</v>
      </c>
      <c r="BN44" s="26">
        <f t="shared" si="48"/>
        <v>0</v>
      </c>
      <c r="BO44" s="26">
        <f t="shared" si="48"/>
        <v>0</v>
      </c>
      <c r="BP44" s="26">
        <f t="shared" si="48"/>
        <v>0</v>
      </c>
      <c r="BQ44" s="26">
        <f t="shared" si="48"/>
        <v>0</v>
      </c>
      <c r="BR44" s="26">
        <f t="shared" si="48"/>
        <v>0</v>
      </c>
      <c r="BS44" s="26">
        <f t="shared" si="48"/>
        <v>0</v>
      </c>
      <c r="BT44" s="26">
        <f t="shared" si="48"/>
        <v>0</v>
      </c>
      <c r="BU44" s="26">
        <f t="shared" si="48"/>
        <v>0</v>
      </c>
      <c r="BV44" s="26">
        <f t="shared" si="48"/>
        <v>0</v>
      </c>
      <c r="BW44" s="26">
        <f t="shared" si="48"/>
        <v>0</v>
      </c>
      <c r="BX44" s="26">
        <f t="shared" si="48"/>
        <v>0</v>
      </c>
      <c r="BY44" s="26">
        <f t="shared" si="49"/>
        <v>0.6</v>
      </c>
      <c r="BZ44" s="26">
        <f t="shared" si="49"/>
        <v>0.6</v>
      </c>
      <c r="CA44" s="26">
        <f t="shared" si="49"/>
        <v>0.3</v>
      </c>
      <c r="CB44" s="26">
        <f t="shared" si="49"/>
        <v>1</v>
      </c>
      <c r="CC44" s="26">
        <f t="shared" si="49"/>
        <v>0</v>
      </c>
      <c r="CD44" s="26">
        <f t="shared" si="49"/>
        <v>0</v>
      </c>
      <c r="CE44" s="26">
        <f t="shared" si="49"/>
        <v>1</v>
      </c>
      <c r="CF44" s="26">
        <f t="shared" si="49"/>
        <v>0</v>
      </c>
      <c r="CG44" s="26">
        <f t="shared" si="49"/>
        <v>0</v>
      </c>
      <c r="CH44" s="26">
        <f t="shared" si="49"/>
        <v>1</v>
      </c>
      <c r="CI44" s="26">
        <f t="shared" si="50"/>
        <v>0</v>
      </c>
      <c r="CJ44" s="26">
        <f t="shared" si="50"/>
        <v>0</v>
      </c>
      <c r="CK44" s="26">
        <f t="shared" si="50"/>
        <v>0</v>
      </c>
      <c r="CL44" s="26">
        <f t="shared" si="50"/>
        <v>0</v>
      </c>
      <c r="CM44" s="26">
        <f t="shared" si="50"/>
        <v>0</v>
      </c>
      <c r="CN44" s="26">
        <f t="shared" si="50"/>
        <v>0</v>
      </c>
      <c r="CO44" s="26">
        <f t="shared" si="50"/>
        <v>0</v>
      </c>
      <c r="CP44" s="26">
        <f t="shared" si="50"/>
        <v>0</v>
      </c>
      <c r="CQ44" s="26">
        <f t="shared" si="50"/>
        <v>0</v>
      </c>
      <c r="CR44" s="26">
        <f t="shared" si="50"/>
        <v>0</v>
      </c>
      <c r="CS44" s="26">
        <f t="shared" si="50"/>
        <v>0</v>
      </c>
      <c r="CT44" s="26">
        <f t="shared" si="50"/>
        <v>0</v>
      </c>
      <c r="CU44" s="26">
        <f t="shared" si="51"/>
        <v>1.5</v>
      </c>
      <c r="CV44" s="26">
        <f t="shared" si="51"/>
        <v>0.6</v>
      </c>
      <c r="CW44" s="26">
        <f t="shared" si="51"/>
        <v>0.6</v>
      </c>
      <c r="CX44" s="26">
        <f t="shared" si="51"/>
        <v>1.5</v>
      </c>
      <c r="CY44" s="26">
        <f t="shared" si="51"/>
        <v>0</v>
      </c>
      <c r="CZ44" s="26">
        <f t="shared" si="51"/>
        <v>0</v>
      </c>
      <c r="DA44" s="26">
        <f t="shared" si="51"/>
        <v>1</v>
      </c>
      <c r="DB44" s="26">
        <f t="shared" si="51"/>
        <v>0.3</v>
      </c>
      <c r="DC44" s="26">
        <f t="shared" si="51"/>
        <v>0</v>
      </c>
      <c r="DD44" s="26">
        <f t="shared" si="51"/>
        <v>1</v>
      </c>
      <c r="DE44" s="26">
        <f t="shared" si="52"/>
        <v>0</v>
      </c>
      <c r="DF44" s="26">
        <f t="shared" si="52"/>
        <v>0</v>
      </c>
      <c r="DG44" s="26">
        <f t="shared" si="52"/>
        <v>0</v>
      </c>
      <c r="DH44" s="26">
        <f t="shared" si="52"/>
        <v>0</v>
      </c>
      <c r="DI44" s="26">
        <f t="shared" si="52"/>
        <v>0</v>
      </c>
      <c r="DJ44" s="26">
        <f t="shared" si="52"/>
        <v>0</v>
      </c>
      <c r="DK44" s="26">
        <f t="shared" si="52"/>
        <v>0</v>
      </c>
      <c r="DL44" s="26">
        <f t="shared" si="52"/>
        <v>0</v>
      </c>
      <c r="DM44" s="26">
        <f t="shared" si="52"/>
        <v>0</v>
      </c>
      <c r="DN44" s="26">
        <f t="shared" si="52"/>
        <v>0</v>
      </c>
      <c r="DO44" s="26">
        <f t="shared" si="52"/>
        <v>0</v>
      </c>
      <c r="DP44" s="26">
        <f t="shared" si="52"/>
        <v>0</v>
      </c>
      <c r="DQ44" s="26">
        <f t="shared" si="53"/>
        <v>1.5</v>
      </c>
      <c r="DR44" s="26">
        <f t="shared" si="53"/>
        <v>0.6</v>
      </c>
      <c r="DS44" s="26">
        <f t="shared" si="53"/>
        <v>0.6</v>
      </c>
      <c r="DT44" s="26">
        <f t="shared" si="53"/>
        <v>1.5</v>
      </c>
      <c r="DU44" s="26">
        <f t="shared" si="53"/>
        <v>0</v>
      </c>
      <c r="DV44" s="26">
        <f t="shared" si="53"/>
        <v>0</v>
      </c>
      <c r="DW44" s="26">
        <f t="shared" si="53"/>
        <v>1</v>
      </c>
      <c r="DX44" s="26">
        <f t="shared" si="53"/>
        <v>0.6</v>
      </c>
      <c r="DY44" s="26">
        <f t="shared" si="53"/>
        <v>0.6</v>
      </c>
      <c r="DZ44" s="26">
        <f t="shared" si="53"/>
        <v>1</v>
      </c>
      <c r="EA44" s="26">
        <f t="shared" si="54"/>
        <v>0</v>
      </c>
      <c r="EB44" s="26">
        <f t="shared" si="54"/>
        <v>0</v>
      </c>
      <c r="EC44" s="26">
        <f t="shared" si="54"/>
        <v>0</v>
      </c>
      <c r="ED44" s="26">
        <f t="shared" si="54"/>
        <v>0</v>
      </c>
      <c r="EE44" s="26">
        <f t="shared" si="54"/>
        <v>0</v>
      </c>
      <c r="EF44" s="26">
        <f t="shared" si="54"/>
        <v>0</v>
      </c>
      <c r="EG44" s="26">
        <f t="shared" si="54"/>
        <v>0</v>
      </c>
      <c r="EH44" s="26">
        <f t="shared" si="54"/>
        <v>0</v>
      </c>
      <c r="EI44" s="26">
        <f t="shared" si="54"/>
        <v>0</v>
      </c>
      <c r="EJ44" s="26">
        <f t="shared" si="54"/>
        <v>0</v>
      </c>
      <c r="EK44" s="26">
        <f t="shared" si="54"/>
        <v>0</v>
      </c>
      <c r="EL44" s="26">
        <f t="shared" si="54"/>
        <v>0</v>
      </c>
      <c r="EM44" s="26">
        <f t="shared" si="18"/>
        <v>33084</v>
      </c>
      <c r="EN44" s="26">
        <f t="shared" si="19"/>
        <v>37109</v>
      </c>
      <c r="EO44" s="26">
        <f t="shared" si="20"/>
        <v>49967</v>
      </c>
      <c r="EP44" s="26">
        <f t="shared" si="21"/>
        <v>74004</v>
      </c>
      <c r="EQ44" s="26">
        <f t="shared" si="22"/>
        <v>89990</v>
      </c>
    </row>
    <row r="45" spans="2:147">
      <c r="B45" s="27">
        <v>7</v>
      </c>
      <c r="C45" s="27">
        <v>5</v>
      </c>
      <c r="D45" s="27">
        <v>1000</v>
      </c>
      <c r="E45" s="27">
        <f t="shared" si="23"/>
        <v>21000</v>
      </c>
      <c r="F45" s="27">
        <f t="shared" si="11"/>
        <v>21000</v>
      </c>
      <c r="G45" s="27">
        <f>SUM(F$5:F45)</f>
        <v>431000</v>
      </c>
      <c r="H45" s="27">
        <f t="shared" si="24"/>
        <v>41</v>
      </c>
      <c r="I45" s="27" t="s">
        <v>183</v>
      </c>
      <c r="J45" s="27">
        <v>0.1</v>
      </c>
      <c r="K45" s="27">
        <f>INDEX(其他调用!$BO$5:$BO$61,MATCH(星阵点亮!I45,其他调用!$BM$5:$BM$61,0))*J45</f>
        <v>7618.5775082610944</v>
      </c>
      <c r="L45" s="27">
        <f t="shared" si="55"/>
        <v>8079</v>
      </c>
      <c r="O45" s="30"/>
      <c r="Q45" s="26">
        <v>41</v>
      </c>
      <c r="R45" s="26">
        <f>总纲!D45</f>
        <v>16.148375400580683</v>
      </c>
      <c r="S45" s="26">
        <f>求节点(将星点产出!$W$6:$W$44,将星点产出!$AO$6:$AO$44,星阵点亮!$Q45)</f>
        <v>34381.334054793842</v>
      </c>
      <c r="T45" s="26">
        <f t="shared" si="13"/>
        <v>11</v>
      </c>
      <c r="U45" s="26">
        <f>总纲!E45</f>
        <v>14.065234973905774</v>
      </c>
      <c r="V45" s="26">
        <f>求节点(将星点产出!$W$51:$W$89,将星点产出!$AO$51:$AO$89,星阵点亮!$Q45)</f>
        <v>40093.842579581353</v>
      </c>
      <c r="W45" s="26">
        <f t="shared" si="14"/>
        <v>12</v>
      </c>
      <c r="X45" s="26">
        <f>总纲!F45</f>
        <v>11.621985775797917</v>
      </c>
      <c r="Y45" s="26">
        <f>求节点(将星点产出!$W$96:$W$134,将星点产出!$AO$96:$AO$134,星阵点亮!$Q45)</f>
        <v>61764.139349256438</v>
      </c>
      <c r="Z45" s="26">
        <f t="shared" si="15"/>
        <v>15</v>
      </c>
      <c r="AA45" s="26">
        <f>总纲!G45</f>
        <v>8.6296918140703163</v>
      </c>
      <c r="AB45" s="26">
        <f>求节点(将星点产出!$W$141:$W$179,将星点产出!$AO$141:$AO$179,星阵点亮!$Q45)</f>
        <v>104842.68992011537</v>
      </c>
      <c r="AC45" s="26">
        <f t="shared" si="16"/>
        <v>19</v>
      </c>
      <c r="AD45" s="26">
        <f>总纲!H45</f>
        <v>4.8606609955747855</v>
      </c>
      <c r="AE45" s="26">
        <f>求节点(将星点产出!$W$186:$W$224,将星点产出!$AO$186:$AO$224,星阵点亮!$Q45)</f>
        <v>139810.7084496638</v>
      </c>
      <c r="AF45" s="26">
        <f t="shared" si="17"/>
        <v>23</v>
      </c>
      <c r="AG45" s="26">
        <f t="shared" ref="AG45:AP54" si="56">SUMIFS($J$5:$J$76,$I$5:$I$76,AG$4,$H$5:$H$76,"&lt;="&amp;$T45)</f>
        <v>0.6</v>
      </c>
      <c r="AH45" s="26">
        <f t="shared" si="56"/>
        <v>0.6</v>
      </c>
      <c r="AI45" s="26">
        <f t="shared" si="56"/>
        <v>0</v>
      </c>
      <c r="AJ45" s="26">
        <f t="shared" si="56"/>
        <v>0.6</v>
      </c>
      <c r="AK45" s="26">
        <f t="shared" si="56"/>
        <v>0</v>
      </c>
      <c r="AL45" s="26">
        <f t="shared" si="56"/>
        <v>0</v>
      </c>
      <c r="AM45" s="26">
        <f t="shared" si="56"/>
        <v>0.6</v>
      </c>
      <c r="AN45" s="26">
        <f t="shared" si="56"/>
        <v>0</v>
      </c>
      <c r="AO45" s="26">
        <f t="shared" si="56"/>
        <v>0</v>
      </c>
      <c r="AP45" s="26">
        <f t="shared" si="56"/>
        <v>1</v>
      </c>
      <c r="AQ45" s="26">
        <f t="shared" ref="AQ45:BB54" si="57">SUMIFS($J$5:$J$76,$I$5:$I$76,AQ$4,$H$5:$H$76,"&lt;="&amp;$T45)</f>
        <v>0</v>
      </c>
      <c r="AR45" s="26">
        <f t="shared" si="57"/>
        <v>0</v>
      </c>
      <c r="AS45" s="26">
        <f t="shared" si="57"/>
        <v>0</v>
      </c>
      <c r="AT45" s="26">
        <f t="shared" si="57"/>
        <v>0</v>
      </c>
      <c r="AU45" s="26">
        <f t="shared" si="57"/>
        <v>0</v>
      </c>
      <c r="AV45" s="26">
        <f t="shared" si="57"/>
        <v>0</v>
      </c>
      <c r="AW45" s="26">
        <f t="shared" si="57"/>
        <v>0</v>
      </c>
      <c r="AX45" s="26">
        <f t="shared" si="57"/>
        <v>0</v>
      </c>
      <c r="AY45" s="26">
        <f t="shared" si="57"/>
        <v>0</v>
      </c>
      <c r="AZ45" s="26">
        <f t="shared" si="57"/>
        <v>0</v>
      </c>
      <c r="BA45" s="26">
        <f t="shared" si="57"/>
        <v>0</v>
      </c>
      <c r="BB45" s="26">
        <f t="shared" si="57"/>
        <v>0</v>
      </c>
      <c r="BC45" s="26">
        <f t="shared" ref="BC45:BL54" si="58">SUMIFS($J$5:$J$76,$I$5:$I$76,BC$4,$H$5:$H$76,"&lt;="&amp;$W45)</f>
        <v>0.6</v>
      </c>
      <c r="BD45" s="26">
        <f t="shared" si="58"/>
        <v>0.6</v>
      </c>
      <c r="BE45" s="26">
        <f t="shared" si="58"/>
        <v>0</v>
      </c>
      <c r="BF45" s="26">
        <f t="shared" si="58"/>
        <v>0.6</v>
      </c>
      <c r="BG45" s="26">
        <f t="shared" si="58"/>
        <v>0</v>
      </c>
      <c r="BH45" s="26">
        <f t="shared" si="58"/>
        <v>0</v>
      </c>
      <c r="BI45" s="26">
        <f t="shared" si="58"/>
        <v>1</v>
      </c>
      <c r="BJ45" s="26">
        <f t="shared" si="58"/>
        <v>0</v>
      </c>
      <c r="BK45" s="26">
        <f t="shared" si="58"/>
        <v>0</v>
      </c>
      <c r="BL45" s="26">
        <f t="shared" si="58"/>
        <v>1</v>
      </c>
      <c r="BM45" s="26">
        <f t="shared" ref="BM45:BX54" si="59">SUMIFS($J$5:$J$76,$I$5:$I$76,BM$4,$H$5:$H$76,"&lt;="&amp;$W45)</f>
        <v>0</v>
      </c>
      <c r="BN45" s="26">
        <f t="shared" si="59"/>
        <v>0</v>
      </c>
      <c r="BO45" s="26">
        <f t="shared" si="59"/>
        <v>0</v>
      </c>
      <c r="BP45" s="26">
        <f t="shared" si="59"/>
        <v>0</v>
      </c>
      <c r="BQ45" s="26">
        <f t="shared" si="59"/>
        <v>0</v>
      </c>
      <c r="BR45" s="26">
        <f t="shared" si="59"/>
        <v>0</v>
      </c>
      <c r="BS45" s="26">
        <f t="shared" si="59"/>
        <v>0</v>
      </c>
      <c r="BT45" s="26">
        <f t="shared" si="59"/>
        <v>0</v>
      </c>
      <c r="BU45" s="26">
        <f t="shared" si="59"/>
        <v>0</v>
      </c>
      <c r="BV45" s="26">
        <f t="shared" si="59"/>
        <v>0</v>
      </c>
      <c r="BW45" s="26">
        <f t="shared" si="59"/>
        <v>0</v>
      </c>
      <c r="BX45" s="26">
        <f t="shared" si="59"/>
        <v>0</v>
      </c>
      <c r="BY45" s="26">
        <f t="shared" ref="BY45:CH54" si="60">SUMIFS($J$5:$J$76,$I$5:$I$76,BY$4,$H$5:$H$76,"&lt;="&amp;$Z45)</f>
        <v>1</v>
      </c>
      <c r="BZ45" s="26">
        <f t="shared" si="60"/>
        <v>0.6</v>
      </c>
      <c r="CA45" s="26">
        <f t="shared" si="60"/>
        <v>0.3</v>
      </c>
      <c r="CB45" s="26">
        <f t="shared" si="60"/>
        <v>1</v>
      </c>
      <c r="CC45" s="26">
        <f t="shared" si="60"/>
        <v>0</v>
      </c>
      <c r="CD45" s="26">
        <f t="shared" si="60"/>
        <v>0</v>
      </c>
      <c r="CE45" s="26">
        <f t="shared" si="60"/>
        <v>1</v>
      </c>
      <c r="CF45" s="26">
        <f t="shared" si="60"/>
        <v>0</v>
      </c>
      <c r="CG45" s="26">
        <f t="shared" si="60"/>
        <v>0</v>
      </c>
      <c r="CH45" s="26">
        <f t="shared" si="60"/>
        <v>1</v>
      </c>
      <c r="CI45" s="26">
        <f t="shared" ref="CI45:CT54" si="61">SUMIFS($J$5:$J$76,$I$5:$I$76,CI$4,$H$5:$H$76,"&lt;="&amp;$Z45)</f>
        <v>0</v>
      </c>
      <c r="CJ45" s="26">
        <f t="shared" si="61"/>
        <v>0</v>
      </c>
      <c r="CK45" s="26">
        <f t="shared" si="61"/>
        <v>0</v>
      </c>
      <c r="CL45" s="26">
        <f t="shared" si="61"/>
        <v>0</v>
      </c>
      <c r="CM45" s="26">
        <f t="shared" si="61"/>
        <v>0</v>
      </c>
      <c r="CN45" s="26">
        <f t="shared" si="61"/>
        <v>0</v>
      </c>
      <c r="CO45" s="26">
        <f t="shared" si="61"/>
        <v>0</v>
      </c>
      <c r="CP45" s="26">
        <f t="shared" si="61"/>
        <v>0</v>
      </c>
      <c r="CQ45" s="26">
        <f t="shared" si="61"/>
        <v>0</v>
      </c>
      <c r="CR45" s="26">
        <f t="shared" si="61"/>
        <v>0</v>
      </c>
      <c r="CS45" s="26">
        <f t="shared" si="61"/>
        <v>0</v>
      </c>
      <c r="CT45" s="26">
        <f t="shared" si="61"/>
        <v>0</v>
      </c>
      <c r="CU45" s="26">
        <f t="shared" ref="CU45:DD54" si="62">SUMIFS($J$5:$J$76,$I$5:$I$76,CU$4,$H$5:$H$76,"&lt;="&amp;$AC45)</f>
        <v>1.5</v>
      </c>
      <c r="CV45" s="26">
        <f t="shared" si="62"/>
        <v>0.6</v>
      </c>
      <c r="CW45" s="26">
        <f t="shared" si="62"/>
        <v>0.6</v>
      </c>
      <c r="CX45" s="26">
        <f t="shared" si="62"/>
        <v>1.5</v>
      </c>
      <c r="CY45" s="26">
        <f t="shared" si="62"/>
        <v>0</v>
      </c>
      <c r="CZ45" s="26">
        <f t="shared" si="62"/>
        <v>0</v>
      </c>
      <c r="DA45" s="26">
        <f t="shared" si="62"/>
        <v>1</v>
      </c>
      <c r="DB45" s="26">
        <f t="shared" si="62"/>
        <v>0.3</v>
      </c>
      <c r="DC45" s="26">
        <f t="shared" si="62"/>
        <v>0</v>
      </c>
      <c r="DD45" s="26">
        <f t="shared" si="62"/>
        <v>1</v>
      </c>
      <c r="DE45" s="26">
        <f t="shared" ref="DE45:DP54" si="63">SUMIFS($J$5:$J$76,$I$5:$I$76,DE$4,$H$5:$H$76,"&lt;="&amp;$AC45)</f>
        <v>0</v>
      </c>
      <c r="DF45" s="26">
        <f t="shared" si="63"/>
        <v>0</v>
      </c>
      <c r="DG45" s="26">
        <f t="shared" si="63"/>
        <v>0</v>
      </c>
      <c r="DH45" s="26">
        <f t="shared" si="63"/>
        <v>0</v>
      </c>
      <c r="DI45" s="26">
        <f t="shared" si="63"/>
        <v>0</v>
      </c>
      <c r="DJ45" s="26">
        <f t="shared" si="63"/>
        <v>0</v>
      </c>
      <c r="DK45" s="26">
        <f t="shared" si="63"/>
        <v>0</v>
      </c>
      <c r="DL45" s="26">
        <f t="shared" si="63"/>
        <v>0</v>
      </c>
      <c r="DM45" s="26">
        <f t="shared" si="63"/>
        <v>0</v>
      </c>
      <c r="DN45" s="26">
        <f t="shared" si="63"/>
        <v>0</v>
      </c>
      <c r="DO45" s="26">
        <f t="shared" si="63"/>
        <v>0</v>
      </c>
      <c r="DP45" s="26">
        <f t="shared" si="63"/>
        <v>0</v>
      </c>
      <c r="DQ45" s="26">
        <f t="shared" ref="DQ45:DZ54" si="64">SUMIFS($J$5:$J$76,$I$5:$I$76,DQ$4,$H$5:$H$76,"&lt;="&amp;$AF45)</f>
        <v>1.5</v>
      </c>
      <c r="DR45" s="26">
        <f t="shared" si="64"/>
        <v>0.6</v>
      </c>
      <c r="DS45" s="26">
        <f t="shared" si="64"/>
        <v>0.6</v>
      </c>
      <c r="DT45" s="26">
        <f t="shared" si="64"/>
        <v>1.5</v>
      </c>
      <c r="DU45" s="26">
        <f t="shared" si="64"/>
        <v>0</v>
      </c>
      <c r="DV45" s="26">
        <f t="shared" si="64"/>
        <v>0</v>
      </c>
      <c r="DW45" s="26">
        <f t="shared" si="64"/>
        <v>1</v>
      </c>
      <c r="DX45" s="26">
        <f t="shared" si="64"/>
        <v>1</v>
      </c>
      <c r="DY45" s="26">
        <f t="shared" si="64"/>
        <v>0.6</v>
      </c>
      <c r="DZ45" s="26">
        <f t="shared" si="64"/>
        <v>1</v>
      </c>
      <c r="EA45" s="26">
        <f t="shared" ref="EA45:EL54" si="65">SUMIFS($J$5:$J$76,$I$5:$I$76,EA$4,$H$5:$H$76,"&lt;="&amp;$AF45)</f>
        <v>0</v>
      </c>
      <c r="EB45" s="26">
        <f t="shared" si="65"/>
        <v>0</v>
      </c>
      <c r="EC45" s="26">
        <f t="shared" si="65"/>
        <v>0</v>
      </c>
      <c r="ED45" s="26">
        <f t="shared" si="65"/>
        <v>0</v>
      </c>
      <c r="EE45" s="26">
        <f t="shared" si="65"/>
        <v>0</v>
      </c>
      <c r="EF45" s="26">
        <f t="shared" si="65"/>
        <v>0</v>
      </c>
      <c r="EG45" s="26">
        <f t="shared" si="65"/>
        <v>0</v>
      </c>
      <c r="EH45" s="26">
        <f t="shared" si="65"/>
        <v>0</v>
      </c>
      <c r="EI45" s="26">
        <f t="shared" si="65"/>
        <v>0</v>
      </c>
      <c r="EJ45" s="26">
        <f t="shared" si="65"/>
        <v>0</v>
      </c>
      <c r="EK45" s="26">
        <f t="shared" si="65"/>
        <v>0</v>
      </c>
      <c r="EL45" s="26">
        <f t="shared" si="65"/>
        <v>0</v>
      </c>
      <c r="EM45" s="26">
        <f t="shared" si="18"/>
        <v>37109</v>
      </c>
      <c r="EN45" s="26">
        <f t="shared" si="19"/>
        <v>41265</v>
      </c>
      <c r="EO45" s="26">
        <f t="shared" si="20"/>
        <v>54514</v>
      </c>
      <c r="EP45" s="26">
        <f t="shared" si="21"/>
        <v>74004</v>
      </c>
      <c r="EQ45" s="26">
        <f t="shared" si="22"/>
        <v>95579</v>
      </c>
    </row>
    <row r="46" spans="2:147">
      <c r="B46" s="27">
        <v>7</v>
      </c>
      <c r="C46" s="27">
        <v>6</v>
      </c>
      <c r="D46" s="27">
        <v>1000</v>
      </c>
      <c r="E46" s="27">
        <f t="shared" si="23"/>
        <v>22000</v>
      </c>
      <c r="F46" s="27">
        <f t="shared" si="11"/>
        <v>22000</v>
      </c>
      <c r="G46" s="27">
        <f>SUM(F$5:F46)</f>
        <v>453000</v>
      </c>
      <c r="H46" s="27">
        <f t="shared" si="24"/>
        <v>42</v>
      </c>
      <c r="I46" s="27" t="s">
        <v>145</v>
      </c>
      <c r="J46" s="27">
        <v>0.1</v>
      </c>
      <c r="K46" s="27">
        <f>INDEX(其他调用!$BO$5:$BO$61,MATCH(星阵点亮!I46,其他调用!$BM$5:$BM$61,0))*J46</f>
        <v>7979.3311414981308</v>
      </c>
      <c r="L46" s="27">
        <f t="shared" si="55"/>
        <v>8129</v>
      </c>
      <c r="O46" s="30"/>
      <c r="Q46" s="26">
        <v>42</v>
      </c>
      <c r="R46" s="26">
        <f>总纲!D46</f>
        <v>17.379173679952558</v>
      </c>
      <c r="S46" s="26">
        <f>求节点(将星点产出!$W$6:$W$44,将星点产出!$AO$6:$AO$44,星阵点亮!$Q46)</f>
        <v>37285.668109587685</v>
      </c>
      <c r="T46" s="26">
        <f t="shared" si="13"/>
        <v>11</v>
      </c>
      <c r="U46" s="26">
        <f>总纲!E46</f>
        <v>15.182446126806555</v>
      </c>
      <c r="V46" s="26">
        <f>求节点(将星点产出!$W$51:$W$89,将星点产出!$AO$51:$AO$89,星阵点亮!$Q46)</f>
        <v>43274.086572925356</v>
      </c>
      <c r="W46" s="26">
        <f t="shared" si="14"/>
        <v>12</v>
      </c>
      <c r="X46" s="26">
        <f>总纲!F46</f>
        <v>12.547763396925747</v>
      </c>
      <c r="Y46" s="26">
        <f>求节点(将星点产出!$W$96:$W$134,将星点产出!$AO$96:$AO$134,星阵点亮!$Q46)</f>
        <v>65672.443193480009</v>
      </c>
      <c r="Z46" s="26">
        <f t="shared" si="15"/>
        <v>15</v>
      </c>
      <c r="AA46" s="26">
        <f>总纲!G46</f>
        <v>9.3221887619265527</v>
      </c>
      <c r="AB46" s="26">
        <f>求节点(将星点产出!$W$141:$W$179,将星点产出!$AO$141:$AO$179,星阵点亮!$Q46)</f>
        <v>110507.70084746175</v>
      </c>
      <c r="AC46" s="26">
        <f t="shared" si="16"/>
        <v>20</v>
      </c>
      <c r="AD46" s="26">
        <f>总纲!H46</f>
        <v>5.2485104513456724</v>
      </c>
      <c r="AE46" s="26">
        <f>求节点(将星点产出!$W$186:$W$224,将星点产出!$AO$186:$AO$224,星阵点亮!$Q46)</f>
        <v>149562.24731953844</v>
      </c>
      <c r="AF46" s="26">
        <f t="shared" si="17"/>
        <v>23</v>
      </c>
      <c r="AG46" s="26">
        <f t="shared" si="56"/>
        <v>0.6</v>
      </c>
      <c r="AH46" s="26">
        <f t="shared" si="56"/>
        <v>0.6</v>
      </c>
      <c r="AI46" s="26">
        <f t="shared" si="56"/>
        <v>0</v>
      </c>
      <c r="AJ46" s="26">
        <f t="shared" si="56"/>
        <v>0.6</v>
      </c>
      <c r="AK46" s="26">
        <f t="shared" si="56"/>
        <v>0</v>
      </c>
      <c r="AL46" s="26">
        <f t="shared" si="56"/>
        <v>0</v>
      </c>
      <c r="AM46" s="26">
        <f t="shared" si="56"/>
        <v>0.6</v>
      </c>
      <c r="AN46" s="26">
        <f t="shared" si="56"/>
        <v>0</v>
      </c>
      <c r="AO46" s="26">
        <f t="shared" si="56"/>
        <v>0</v>
      </c>
      <c r="AP46" s="26">
        <f t="shared" si="56"/>
        <v>1</v>
      </c>
      <c r="AQ46" s="26">
        <f t="shared" si="57"/>
        <v>0</v>
      </c>
      <c r="AR46" s="26">
        <f t="shared" si="57"/>
        <v>0</v>
      </c>
      <c r="AS46" s="26">
        <f t="shared" si="57"/>
        <v>0</v>
      </c>
      <c r="AT46" s="26">
        <f t="shared" si="57"/>
        <v>0</v>
      </c>
      <c r="AU46" s="26">
        <f t="shared" si="57"/>
        <v>0</v>
      </c>
      <c r="AV46" s="26">
        <f t="shared" si="57"/>
        <v>0</v>
      </c>
      <c r="AW46" s="26">
        <f t="shared" si="57"/>
        <v>0</v>
      </c>
      <c r="AX46" s="26">
        <f t="shared" si="57"/>
        <v>0</v>
      </c>
      <c r="AY46" s="26">
        <f t="shared" si="57"/>
        <v>0</v>
      </c>
      <c r="AZ46" s="26">
        <f t="shared" si="57"/>
        <v>0</v>
      </c>
      <c r="BA46" s="26">
        <f t="shared" si="57"/>
        <v>0</v>
      </c>
      <c r="BB46" s="26">
        <f t="shared" si="57"/>
        <v>0</v>
      </c>
      <c r="BC46" s="26">
        <f t="shared" si="58"/>
        <v>0.6</v>
      </c>
      <c r="BD46" s="26">
        <f t="shared" si="58"/>
        <v>0.6</v>
      </c>
      <c r="BE46" s="26">
        <f t="shared" si="58"/>
        <v>0</v>
      </c>
      <c r="BF46" s="26">
        <f t="shared" si="58"/>
        <v>0.6</v>
      </c>
      <c r="BG46" s="26">
        <f t="shared" si="58"/>
        <v>0</v>
      </c>
      <c r="BH46" s="26">
        <f t="shared" si="58"/>
        <v>0</v>
      </c>
      <c r="BI46" s="26">
        <f t="shared" si="58"/>
        <v>1</v>
      </c>
      <c r="BJ46" s="26">
        <f t="shared" si="58"/>
        <v>0</v>
      </c>
      <c r="BK46" s="26">
        <f t="shared" si="58"/>
        <v>0</v>
      </c>
      <c r="BL46" s="26">
        <f t="shared" si="58"/>
        <v>1</v>
      </c>
      <c r="BM46" s="26">
        <f t="shared" si="59"/>
        <v>0</v>
      </c>
      <c r="BN46" s="26">
        <f t="shared" si="59"/>
        <v>0</v>
      </c>
      <c r="BO46" s="26">
        <f t="shared" si="59"/>
        <v>0</v>
      </c>
      <c r="BP46" s="26">
        <f t="shared" si="59"/>
        <v>0</v>
      </c>
      <c r="BQ46" s="26">
        <f t="shared" si="59"/>
        <v>0</v>
      </c>
      <c r="BR46" s="26">
        <f t="shared" si="59"/>
        <v>0</v>
      </c>
      <c r="BS46" s="26">
        <f t="shared" si="59"/>
        <v>0</v>
      </c>
      <c r="BT46" s="26">
        <f t="shared" si="59"/>
        <v>0</v>
      </c>
      <c r="BU46" s="26">
        <f t="shared" si="59"/>
        <v>0</v>
      </c>
      <c r="BV46" s="26">
        <f t="shared" si="59"/>
        <v>0</v>
      </c>
      <c r="BW46" s="26">
        <f t="shared" si="59"/>
        <v>0</v>
      </c>
      <c r="BX46" s="26">
        <f t="shared" si="59"/>
        <v>0</v>
      </c>
      <c r="BY46" s="26">
        <f t="shared" si="60"/>
        <v>1</v>
      </c>
      <c r="BZ46" s="26">
        <f t="shared" si="60"/>
        <v>0.6</v>
      </c>
      <c r="CA46" s="26">
        <f t="shared" si="60"/>
        <v>0.3</v>
      </c>
      <c r="CB46" s="26">
        <f t="shared" si="60"/>
        <v>1</v>
      </c>
      <c r="CC46" s="26">
        <f t="shared" si="60"/>
        <v>0</v>
      </c>
      <c r="CD46" s="26">
        <f t="shared" si="60"/>
        <v>0</v>
      </c>
      <c r="CE46" s="26">
        <f t="shared" si="60"/>
        <v>1</v>
      </c>
      <c r="CF46" s="26">
        <f t="shared" si="60"/>
        <v>0</v>
      </c>
      <c r="CG46" s="26">
        <f t="shared" si="60"/>
        <v>0</v>
      </c>
      <c r="CH46" s="26">
        <f t="shared" si="60"/>
        <v>1</v>
      </c>
      <c r="CI46" s="26">
        <f t="shared" si="61"/>
        <v>0</v>
      </c>
      <c r="CJ46" s="26">
        <f t="shared" si="61"/>
        <v>0</v>
      </c>
      <c r="CK46" s="26">
        <f t="shared" si="61"/>
        <v>0</v>
      </c>
      <c r="CL46" s="26">
        <f t="shared" si="61"/>
        <v>0</v>
      </c>
      <c r="CM46" s="26">
        <f t="shared" si="61"/>
        <v>0</v>
      </c>
      <c r="CN46" s="26">
        <f t="shared" si="61"/>
        <v>0</v>
      </c>
      <c r="CO46" s="26">
        <f t="shared" si="61"/>
        <v>0</v>
      </c>
      <c r="CP46" s="26">
        <f t="shared" si="61"/>
        <v>0</v>
      </c>
      <c r="CQ46" s="26">
        <f t="shared" si="61"/>
        <v>0</v>
      </c>
      <c r="CR46" s="26">
        <f t="shared" si="61"/>
        <v>0</v>
      </c>
      <c r="CS46" s="26">
        <f t="shared" si="61"/>
        <v>0</v>
      </c>
      <c r="CT46" s="26">
        <f t="shared" si="61"/>
        <v>0</v>
      </c>
      <c r="CU46" s="26">
        <f t="shared" si="62"/>
        <v>1.5</v>
      </c>
      <c r="CV46" s="26">
        <f t="shared" si="62"/>
        <v>0.6</v>
      </c>
      <c r="CW46" s="26">
        <f t="shared" si="62"/>
        <v>0.6</v>
      </c>
      <c r="CX46" s="26">
        <f t="shared" si="62"/>
        <v>1.5</v>
      </c>
      <c r="CY46" s="26">
        <f t="shared" si="62"/>
        <v>0</v>
      </c>
      <c r="CZ46" s="26">
        <f t="shared" si="62"/>
        <v>0</v>
      </c>
      <c r="DA46" s="26">
        <f t="shared" si="62"/>
        <v>1</v>
      </c>
      <c r="DB46" s="26">
        <f t="shared" si="62"/>
        <v>0.3</v>
      </c>
      <c r="DC46" s="26">
        <f t="shared" si="62"/>
        <v>0.3</v>
      </c>
      <c r="DD46" s="26">
        <f t="shared" si="62"/>
        <v>1</v>
      </c>
      <c r="DE46" s="26">
        <f t="shared" si="63"/>
        <v>0</v>
      </c>
      <c r="DF46" s="26">
        <f t="shared" si="63"/>
        <v>0</v>
      </c>
      <c r="DG46" s="26">
        <f t="shared" si="63"/>
        <v>0</v>
      </c>
      <c r="DH46" s="26">
        <f t="shared" si="63"/>
        <v>0</v>
      </c>
      <c r="DI46" s="26">
        <f t="shared" si="63"/>
        <v>0</v>
      </c>
      <c r="DJ46" s="26">
        <f t="shared" si="63"/>
        <v>0</v>
      </c>
      <c r="DK46" s="26">
        <f t="shared" si="63"/>
        <v>0</v>
      </c>
      <c r="DL46" s="26">
        <f t="shared" si="63"/>
        <v>0</v>
      </c>
      <c r="DM46" s="26">
        <f t="shared" si="63"/>
        <v>0</v>
      </c>
      <c r="DN46" s="26">
        <f t="shared" si="63"/>
        <v>0</v>
      </c>
      <c r="DO46" s="26">
        <f t="shared" si="63"/>
        <v>0</v>
      </c>
      <c r="DP46" s="26">
        <f t="shared" si="63"/>
        <v>0</v>
      </c>
      <c r="DQ46" s="26">
        <f t="shared" si="64"/>
        <v>1.5</v>
      </c>
      <c r="DR46" s="26">
        <f t="shared" si="64"/>
        <v>0.6</v>
      </c>
      <c r="DS46" s="26">
        <f t="shared" si="64"/>
        <v>0.6</v>
      </c>
      <c r="DT46" s="26">
        <f t="shared" si="64"/>
        <v>1.5</v>
      </c>
      <c r="DU46" s="26">
        <f t="shared" si="64"/>
        <v>0</v>
      </c>
      <c r="DV46" s="26">
        <f t="shared" si="64"/>
        <v>0</v>
      </c>
      <c r="DW46" s="26">
        <f t="shared" si="64"/>
        <v>1</v>
      </c>
      <c r="DX46" s="26">
        <f t="shared" si="64"/>
        <v>1</v>
      </c>
      <c r="DY46" s="26">
        <f t="shared" si="64"/>
        <v>0.6</v>
      </c>
      <c r="DZ46" s="26">
        <f t="shared" si="64"/>
        <v>1</v>
      </c>
      <c r="EA46" s="26">
        <f t="shared" si="65"/>
        <v>0</v>
      </c>
      <c r="EB46" s="26">
        <f t="shared" si="65"/>
        <v>0</v>
      </c>
      <c r="EC46" s="26">
        <f t="shared" si="65"/>
        <v>0</v>
      </c>
      <c r="ED46" s="26">
        <f t="shared" si="65"/>
        <v>0</v>
      </c>
      <c r="EE46" s="26">
        <f t="shared" si="65"/>
        <v>0</v>
      </c>
      <c r="EF46" s="26">
        <f t="shared" si="65"/>
        <v>0</v>
      </c>
      <c r="EG46" s="26">
        <f t="shared" si="65"/>
        <v>0</v>
      </c>
      <c r="EH46" s="26">
        <f t="shared" si="65"/>
        <v>0</v>
      </c>
      <c r="EI46" s="26">
        <f t="shared" si="65"/>
        <v>0</v>
      </c>
      <c r="EJ46" s="26">
        <f t="shared" si="65"/>
        <v>0</v>
      </c>
      <c r="EK46" s="26">
        <f t="shared" si="65"/>
        <v>0</v>
      </c>
      <c r="EL46" s="26">
        <f t="shared" si="65"/>
        <v>0</v>
      </c>
      <c r="EM46" s="26">
        <f t="shared" si="18"/>
        <v>37109</v>
      </c>
      <c r="EN46" s="26">
        <f t="shared" si="19"/>
        <v>41265</v>
      </c>
      <c r="EO46" s="26">
        <f t="shared" si="20"/>
        <v>54514</v>
      </c>
      <c r="EP46" s="26">
        <f t="shared" si="21"/>
        <v>79202</v>
      </c>
      <c r="EQ46" s="26">
        <f t="shared" si="22"/>
        <v>95579</v>
      </c>
    </row>
    <row r="47" spans="2:147">
      <c r="B47" s="27">
        <v>8</v>
      </c>
      <c r="C47" s="27">
        <v>1</v>
      </c>
      <c r="D47" s="27">
        <v>1000</v>
      </c>
      <c r="E47" s="27">
        <f t="shared" si="23"/>
        <v>23000</v>
      </c>
      <c r="F47" s="27">
        <f t="shared" si="11"/>
        <v>23000</v>
      </c>
      <c r="G47" s="27">
        <f>SUM(F$5:F47)</f>
        <v>476000</v>
      </c>
      <c r="H47" s="27">
        <f t="shared" si="24"/>
        <v>43</v>
      </c>
      <c r="I47" s="27" t="s">
        <v>144</v>
      </c>
      <c r="J47" s="27">
        <v>0.3</v>
      </c>
      <c r="K47" s="27">
        <f>INDEX(其他调用!$BO$5:$BO$61,MATCH(星阵点亮!I47,其他调用!$BM$5:$BM$61,0))*J47</f>
        <v>7608.3887040323643</v>
      </c>
      <c r="L47" s="27">
        <f t="shared" si="55"/>
        <v>8179</v>
      </c>
      <c r="O47" s="30"/>
      <c r="Q47" s="26">
        <v>43</v>
      </c>
      <c r="R47" s="26">
        <f>总纲!D47</f>
        <v>18.698310613518661</v>
      </c>
      <c r="S47" s="26">
        <f>求节点(将星点产出!$W$6:$W$44,将星点产出!$AO$6:$AO$44,星阵点亮!$Q47)</f>
        <v>40190.002164381527</v>
      </c>
      <c r="T47" s="26">
        <f t="shared" si="13"/>
        <v>12</v>
      </c>
      <c r="U47" s="26">
        <f>总纲!E47</f>
        <v>16.338583814092605</v>
      </c>
      <c r="V47" s="26">
        <f>求节点(将星点产出!$W$51:$W$89,将星点产出!$AO$51:$AO$89,星阵点亮!$Q47)</f>
        <v>46454.33056626936</v>
      </c>
      <c r="W47" s="26">
        <f t="shared" si="14"/>
        <v>13</v>
      </c>
      <c r="X47" s="26">
        <f>总纲!F47</f>
        <v>13.509529418267233</v>
      </c>
      <c r="Y47" s="26">
        <f>求节点(将星点产出!$W$96:$W$134,将星点产出!$AO$96:$AO$134,星阵点亮!$Q47)</f>
        <v>69580.747037703564</v>
      </c>
      <c r="Z47" s="26">
        <f t="shared" si="15"/>
        <v>16</v>
      </c>
      <c r="AA47" s="26">
        <f>总纲!G47</f>
        <v>10.020424657784652</v>
      </c>
      <c r="AB47" s="26">
        <f>求节点(将星点产出!$W$141:$W$179,将星点产出!$AO$141:$AO$179,星阵点亮!$Q47)</f>
        <v>116207.79854122656</v>
      </c>
      <c r="AC47" s="26">
        <f t="shared" si="16"/>
        <v>21</v>
      </c>
      <c r="AD47" s="26">
        <f>总纲!H47</f>
        <v>5.6394104810372276</v>
      </c>
      <c r="AE47" s="26">
        <f>求节点(将星点产出!$W$186:$W$224,将星点产出!$AO$186:$AO$224,星阵点亮!$Q47)</f>
        <v>158840.54644653827</v>
      </c>
      <c r="AF47" s="26">
        <f t="shared" si="17"/>
        <v>24</v>
      </c>
      <c r="AG47" s="26">
        <f t="shared" si="56"/>
        <v>0.6</v>
      </c>
      <c r="AH47" s="26">
        <f t="shared" si="56"/>
        <v>0.6</v>
      </c>
      <c r="AI47" s="26">
        <f t="shared" si="56"/>
        <v>0</v>
      </c>
      <c r="AJ47" s="26">
        <f t="shared" si="56"/>
        <v>0.6</v>
      </c>
      <c r="AK47" s="26">
        <f t="shared" si="56"/>
        <v>0</v>
      </c>
      <c r="AL47" s="26">
        <f t="shared" si="56"/>
        <v>0</v>
      </c>
      <c r="AM47" s="26">
        <f t="shared" si="56"/>
        <v>1</v>
      </c>
      <c r="AN47" s="26">
        <f t="shared" si="56"/>
        <v>0</v>
      </c>
      <c r="AO47" s="26">
        <f t="shared" si="56"/>
        <v>0</v>
      </c>
      <c r="AP47" s="26">
        <f t="shared" si="56"/>
        <v>1</v>
      </c>
      <c r="AQ47" s="26">
        <f t="shared" si="57"/>
        <v>0</v>
      </c>
      <c r="AR47" s="26">
        <f t="shared" si="57"/>
        <v>0</v>
      </c>
      <c r="AS47" s="26">
        <f t="shared" si="57"/>
        <v>0</v>
      </c>
      <c r="AT47" s="26">
        <f t="shared" si="57"/>
        <v>0</v>
      </c>
      <c r="AU47" s="26">
        <f t="shared" si="57"/>
        <v>0</v>
      </c>
      <c r="AV47" s="26">
        <f t="shared" si="57"/>
        <v>0</v>
      </c>
      <c r="AW47" s="26">
        <f t="shared" si="57"/>
        <v>0</v>
      </c>
      <c r="AX47" s="26">
        <f t="shared" si="57"/>
        <v>0</v>
      </c>
      <c r="AY47" s="26">
        <f t="shared" si="57"/>
        <v>0</v>
      </c>
      <c r="AZ47" s="26">
        <f t="shared" si="57"/>
        <v>0</v>
      </c>
      <c r="BA47" s="26">
        <f t="shared" si="57"/>
        <v>0</v>
      </c>
      <c r="BB47" s="26">
        <f t="shared" si="57"/>
        <v>0</v>
      </c>
      <c r="BC47" s="26">
        <f t="shared" si="58"/>
        <v>0.6</v>
      </c>
      <c r="BD47" s="26">
        <f t="shared" si="58"/>
        <v>0.6</v>
      </c>
      <c r="BE47" s="26">
        <f t="shared" si="58"/>
        <v>0.3</v>
      </c>
      <c r="BF47" s="26">
        <f t="shared" si="58"/>
        <v>0.6</v>
      </c>
      <c r="BG47" s="26">
        <f t="shared" si="58"/>
        <v>0</v>
      </c>
      <c r="BH47" s="26">
        <f t="shared" si="58"/>
        <v>0</v>
      </c>
      <c r="BI47" s="26">
        <f t="shared" si="58"/>
        <v>1</v>
      </c>
      <c r="BJ47" s="26">
        <f t="shared" si="58"/>
        <v>0</v>
      </c>
      <c r="BK47" s="26">
        <f t="shared" si="58"/>
        <v>0</v>
      </c>
      <c r="BL47" s="26">
        <f t="shared" si="58"/>
        <v>1</v>
      </c>
      <c r="BM47" s="26">
        <f t="shared" si="59"/>
        <v>0</v>
      </c>
      <c r="BN47" s="26">
        <f t="shared" si="59"/>
        <v>0</v>
      </c>
      <c r="BO47" s="26">
        <f t="shared" si="59"/>
        <v>0</v>
      </c>
      <c r="BP47" s="26">
        <f t="shared" si="59"/>
        <v>0</v>
      </c>
      <c r="BQ47" s="26">
        <f t="shared" si="59"/>
        <v>0</v>
      </c>
      <c r="BR47" s="26">
        <f t="shared" si="59"/>
        <v>0</v>
      </c>
      <c r="BS47" s="26">
        <f t="shared" si="59"/>
        <v>0</v>
      </c>
      <c r="BT47" s="26">
        <f t="shared" si="59"/>
        <v>0</v>
      </c>
      <c r="BU47" s="26">
        <f t="shared" si="59"/>
        <v>0</v>
      </c>
      <c r="BV47" s="26">
        <f t="shared" si="59"/>
        <v>0</v>
      </c>
      <c r="BW47" s="26">
        <f t="shared" si="59"/>
        <v>0</v>
      </c>
      <c r="BX47" s="26">
        <f t="shared" si="59"/>
        <v>0</v>
      </c>
      <c r="BY47" s="26">
        <f t="shared" si="60"/>
        <v>1</v>
      </c>
      <c r="BZ47" s="26">
        <f t="shared" si="60"/>
        <v>0.6</v>
      </c>
      <c r="CA47" s="26">
        <f t="shared" si="60"/>
        <v>0.6</v>
      </c>
      <c r="CB47" s="26">
        <f t="shared" si="60"/>
        <v>1</v>
      </c>
      <c r="CC47" s="26">
        <f t="shared" si="60"/>
        <v>0</v>
      </c>
      <c r="CD47" s="26">
        <f t="shared" si="60"/>
        <v>0</v>
      </c>
      <c r="CE47" s="26">
        <f t="shared" si="60"/>
        <v>1</v>
      </c>
      <c r="CF47" s="26">
        <f t="shared" si="60"/>
        <v>0</v>
      </c>
      <c r="CG47" s="26">
        <f t="shared" si="60"/>
        <v>0</v>
      </c>
      <c r="CH47" s="26">
        <f t="shared" si="60"/>
        <v>1</v>
      </c>
      <c r="CI47" s="26">
        <f t="shared" si="61"/>
        <v>0</v>
      </c>
      <c r="CJ47" s="26">
        <f t="shared" si="61"/>
        <v>0</v>
      </c>
      <c r="CK47" s="26">
        <f t="shared" si="61"/>
        <v>0</v>
      </c>
      <c r="CL47" s="26">
        <f t="shared" si="61"/>
        <v>0</v>
      </c>
      <c r="CM47" s="26">
        <f t="shared" si="61"/>
        <v>0</v>
      </c>
      <c r="CN47" s="26">
        <f t="shared" si="61"/>
        <v>0</v>
      </c>
      <c r="CO47" s="26">
        <f t="shared" si="61"/>
        <v>0</v>
      </c>
      <c r="CP47" s="26">
        <f t="shared" si="61"/>
        <v>0</v>
      </c>
      <c r="CQ47" s="26">
        <f t="shared" si="61"/>
        <v>0</v>
      </c>
      <c r="CR47" s="26">
        <f t="shared" si="61"/>
        <v>0</v>
      </c>
      <c r="CS47" s="26">
        <f t="shared" si="61"/>
        <v>0</v>
      </c>
      <c r="CT47" s="26">
        <f t="shared" si="61"/>
        <v>0</v>
      </c>
      <c r="CU47" s="26">
        <f t="shared" si="62"/>
        <v>1.5</v>
      </c>
      <c r="CV47" s="26">
        <f t="shared" si="62"/>
        <v>0.6</v>
      </c>
      <c r="CW47" s="26">
        <f t="shared" si="62"/>
        <v>0.6</v>
      </c>
      <c r="CX47" s="26">
        <f t="shared" si="62"/>
        <v>1.5</v>
      </c>
      <c r="CY47" s="26">
        <f t="shared" si="62"/>
        <v>0</v>
      </c>
      <c r="CZ47" s="26">
        <f t="shared" si="62"/>
        <v>0</v>
      </c>
      <c r="DA47" s="26">
        <f t="shared" si="62"/>
        <v>1</v>
      </c>
      <c r="DB47" s="26">
        <f t="shared" si="62"/>
        <v>0.6</v>
      </c>
      <c r="DC47" s="26">
        <f t="shared" si="62"/>
        <v>0.3</v>
      </c>
      <c r="DD47" s="26">
        <f t="shared" si="62"/>
        <v>1</v>
      </c>
      <c r="DE47" s="26">
        <f t="shared" si="63"/>
        <v>0</v>
      </c>
      <c r="DF47" s="26">
        <f t="shared" si="63"/>
        <v>0</v>
      </c>
      <c r="DG47" s="26">
        <f t="shared" si="63"/>
        <v>0</v>
      </c>
      <c r="DH47" s="26">
        <f t="shared" si="63"/>
        <v>0</v>
      </c>
      <c r="DI47" s="26">
        <f t="shared" si="63"/>
        <v>0</v>
      </c>
      <c r="DJ47" s="26">
        <f t="shared" si="63"/>
        <v>0</v>
      </c>
      <c r="DK47" s="26">
        <f t="shared" si="63"/>
        <v>0</v>
      </c>
      <c r="DL47" s="26">
        <f t="shared" si="63"/>
        <v>0</v>
      </c>
      <c r="DM47" s="26">
        <f t="shared" si="63"/>
        <v>0</v>
      </c>
      <c r="DN47" s="26">
        <f t="shared" si="63"/>
        <v>0</v>
      </c>
      <c r="DO47" s="26">
        <f t="shared" si="63"/>
        <v>0</v>
      </c>
      <c r="DP47" s="26">
        <f t="shared" si="63"/>
        <v>0</v>
      </c>
      <c r="DQ47" s="26">
        <f t="shared" si="64"/>
        <v>1.5</v>
      </c>
      <c r="DR47" s="26">
        <f t="shared" si="64"/>
        <v>0.6</v>
      </c>
      <c r="DS47" s="26">
        <f t="shared" si="64"/>
        <v>0.6</v>
      </c>
      <c r="DT47" s="26">
        <f t="shared" si="64"/>
        <v>1.5</v>
      </c>
      <c r="DU47" s="26">
        <f t="shared" si="64"/>
        <v>0</v>
      </c>
      <c r="DV47" s="26">
        <f t="shared" si="64"/>
        <v>0</v>
      </c>
      <c r="DW47" s="26">
        <f t="shared" si="64"/>
        <v>1</v>
      </c>
      <c r="DX47" s="26">
        <f t="shared" si="64"/>
        <v>1</v>
      </c>
      <c r="DY47" s="26">
        <f t="shared" si="64"/>
        <v>1</v>
      </c>
      <c r="DZ47" s="26">
        <f t="shared" si="64"/>
        <v>1</v>
      </c>
      <c r="EA47" s="26">
        <f t="shared" si="65"/>
        <v>0</v>
      </c>
      <c r="EB47" s="26">
        <f t="shared" si="65"/>
        <v>0</v>
      </c>
      <c r="EC47" s="26">
        <f t="shared" si="65"/>
        <v>0</v>
      </c>
      <c r="ED47" s="26">
        <f t="shared" si="65"/>
        <v>0</v>
      </c>
      <c r="EE47" s="26">
        <f t="shared" si="65"/>
        <v>0</v>
      </c>
      <c r="EF47" s="26">
        <f t="shared" si="65"/>
        <v>0</v>
      </c>
      <c r="EG47" s="26">
        <f t="shared" si="65"/>
        <v>0</v>
      </c>
      <c r="EH47" s="26">
        <f t="shared" si="65"/>
        <v>0</v>
      </c>
      <c r="EI47" s="26">
        <f t="shared" si="65"/>
        <v>0</v>
      </c>
      <c r="EJ47" s="26">
        <f t="shared" si="65"/>
        <v>0</v>
      </c>
      <c r="EK47" s="26">
        <f t="shared" si="65"/>
        <v>0</v>
      </c>
      <c r="EL47" s="26">
        <f t="shared" si="65"/>
        <v>0</v>
      </c>
      <c r="EM47" s="26">
        <f t="shared" si="18"/>
        <v>41265</v>
      </c>
      <c r="EN47" s="26">
        <f t="shared" si="19"/>
        <v>45551</v>
      </c>
      <c r="EO47" s="26">
        <f t="shared" si="20"/>
        <v>59191</v>
      </c>
      <c r="EP47" s="26">
        <f t="shared" si="21"/>
        <v>84531</v>
      </c>
      <c r="EQ47" s="26">
        <f t="shared" si="22"/>
        <v>101299</v>
      </c>
    </row>
    <row r="48" spans="2:147">
      <c r="B48" s="27">
        <v>8</v>
      </c>
      <c r="C48" s="27">
        <v>2</v>
      </c>
      <c r="D48" s="27">
        <v>1000</v>
      </c>
      <c r="E48" s="27">
        <f t="shared" si="23"/>
        <v>24000</v>
      </c>
      <c r="F48" s="27">
        <f t="shared" si="11"/>
        <v>24000</v>
      </c>
      <c r="G48" s="27">
        <f>SUM(F$5:F48)</f>
        <v>500000</v>
      </c>
      <c r="H48" s="27">
        <f t="shared" si="24"/>
        <v>44</v>
      </c>
      <c r="I48" s="27" t="s">
        <v>146</v>
      </c>
      <c r="J48" s="31">
        <v>0.03</v>
      </c>
      <c r="K48" s="31">
        <f>INDEX(其他调用!$BO$5:$BO$61,MATCH(星阵点亮!I48,其他调用!$BM$5:$BM$61,0))*J48</f>
        <v>14970.759381029682</v>
      </c>
      <c r="L48" s="27">
        <f t="shared" si="55"/>
        <v>14970</v>
      </c>
      <c r="O48" s="30"/>
      <c r="Q48" s="26">
        <v>44</v>
      </c>
      <c r="R48" s="26">
        <f>总纲!D48</f>
        <v>20.112126572366307</v>
      </c>
      <c r="S48" s="26">
        <f>求节点(将星点产出!$W$6:$W$44,将星点产出!$AO$6:$AO$44,星阵点亮!$Q48)</f>
        <v>43089.319452294498</v>
      </c>
      <c r="T48" s="26">
        <f t="shared" si="13"/>
        <v>12</v>
      </c>
      <c r="U48" s="26">
        <f>总纲!E48</f>
        <v>17.573976198933678</v>
      </c>
      <c r="V48" s="26">
        <f>求节点(将星点产出!$W$51:$W$89,将星点产出!$AO$51:$AO$89,星阵点亮!$Q48)</f>
        <v>49323.301020812316</v>
      </c>
      <c r="W48" s="26">
        <f t="shared" si="14"/>
        <v>13</v>
      </c>
      <c r="X48" s="26">
        <f>总纲!F48</f>
        <v>14.520955385248474</v>
      </c>
      <c r="Y48" s="26">
        <f>求节点(将星点产出!$W$96:$W$134,将星点产出!$AO$96:$AO$134,星阵点亮!$Q48)</f>
        <v>73087.781228873078</v>
      </c>
      <c r="Z48" s="26">
        <f t="shared" si="15"/>
        <v>16</v>
      </c>
      <c r="AA48" s="26">
        <f>总纲!G48</f>
        <v>10.768032566844921</v>
      </c>
      <c r="AB48" s="26">
        <f>求节点(将星点产出!$W$141:$W$179,将星点产出!$AO$141:$AO$179,星阵点亮!$Q48)</f>
        <v>123072.28316557455</v>
      </c>
      <c r="AC48" s="26">
        <f t="shared" si="16"/>
        <v>21</v>
      </c>
      <c r="AD48" s="26">
        <f>总纲!H48</f>
        <v>6.0537500982822579</v>
      </c>
      <c r="AE48" s="26">
        <f>求节点(将星点产出!$W$186:$W$224,将星点产出!$AO$186:$AO$224,星阵点亮!$Q48)</f>
        <v>167265.14470072431</v>
      </c>
      <c r="AF48" s="26">
        <f t="shared" si="17"/>
        <v>25</v>
      </c>
      <c r="AG48" s="26">
        <f t="shared" si="56"/>
        <v>0.6</v>
      </c>
      <c r="AH48" s="26">
        <f t="shared" si="56"/>
        <v>0.6</v>
      </c>
      <c r="AI48" s="26">
        <f t="shared" si="56"/>
        <v>0</v>
      </c>
      <c r="AJ48" s="26">
        <f t="shared" si="56"/>
        <v>0.6</v>
      </c>
      <c r="AK48" s="26">
        <f t="shared" si="56"/>
        <v>0</v>
      </c>
      <c r="AL48" s="26">
        <f t="shared" si="56"/>
        <v>0</v>
      </c>
      <c r="AM48" s="26">
        <f t="shared" si="56"/>
        <v>1</v>
      </c>
      <c r="AN48" s="26">
        <f t="shared" si="56"/>
        <v>0</v>
      </c>
      <c r="AO48" s="26">
        <f t="shared" si="56"/>
        <v>0</v>
      </c>
      <c r="AP48" s="26">
        <f t="shared" si="56"/>
        <v>1</v>
      </c>
      <c r="AQ48" s="26">
        <f t="shared" si="57"/>
        <v>0</v>
      </c>
      <c r="AR48" s="26">
        <f t="shared" si="57"/>
        <v>0</v>
      </c>
      <c r="AS48" s="26">
        <f t="shared" si="57"/>
        <v>0</v>
      </c>
      <c r="AT48" s="26">
        <f t="shared" si="57"/>
        <v>0</v>
      </c>
      <c r="AU48" s="26">
        <f t="shared" si="57"/>
        <v>0</v>
      </c>
      <c r="AV48" s="26">
        <f t="shared" si="57"/>
        <v>0</v>
      </c>
      <c r="AW48" s="26">
        <f t="shared" si="57"/>
        <v>0</v>
      </c>
      <c r="AX48" s="26">
        <f t="shared" si="57"/>
        <v>0</v>
      </c>
      <c r="AY48" s="26">
        <f t="shared" si="57"/>
        <v>0</v>
      </c>
      <c r="AZ48" s="26">
        <f t="shared" si="57"/>
        <v>0</v>
      </c>
      <c r="BA48" s="26">
        <f t="shared" si="57"/>
        <v>0</v>
      </c>
      <c r="BB48" s="26">
        <f t="shared" si="57"/>
        <v>0</v>
      </c>
      <c r="BC48" s="26">
        <f t="shared" si="58"/>
        <v>0.6</v>
      </c>
      <c r="BD48" s="26">
        <f t="shared" si="58"/>
        <v>0.6</v>
      </c>
      <c r="BE48" s="26">
        <f t="shared" si="58"/>
        <v>0.3</v>
      </c>
      <c r="BF48" s="26">
        <f t="shared" si="58"/>
        <v>0.6</v>
      </c>
      <c r="BG48" s="26">
        <f t="shared" si="58"/>
        <v>0</v>
      </c>
      <c r="BH48" s="26">
        <f t="shared" si="58"/>
        <v>0</v>
      </c>
      <c r="BI48" s="26">
        <f t="shared" si="58"/>
        <v>1</v>
      </c>
      <c r="BJ48" s="26">
        <f t="shared" si="58"/>
        <v>0</v>
      </c>
      <c r="BK48" s="26">
        <f t="shared" si="58"/>
        <v>0</v>
      </c>
      <c r="BL48" s="26">
        <f t="shared" si="58"/>
        <v>1</v>
      </c>
      <c r="BM48" s="26">
        <f t="shared" si="59"/>
        <v>0</v>
      </c>
      <c r="BN48" s="26">
        <f t="shared" si="59"/>
        <v>0</v>
      </c>
      <c r="BO48" s="26">
        <f t="shared" si="59"/>
        <v>0</v>
      </c>
      <c r="BP48" s="26">
        <f t="shared" si="59"/>
        <v>0</v>
      </c>
      <c r="BQ48" s="26">
        <f t="shared" si="59"/>
        <v>0</v>
      </c>
      <c r="BR48" s="26">
        <f t="shared" si="59"/>
        <v>0</v>
      </c>
      <c r="BS48" s="26">
        <f t="shared" si="59"/>
        <v>0</v>
      </c>
      <c r="BT48" s="26">
        <f t="shared" si="59"/>
        <v>0</v>
      </c>
      <c r="BU48" s="26">
        <f t="shared" si="59"/>
        <v>0</v>
      </c>
      <c r="BV48" s="26">
        <f t="shared" si="59"/>
        <v>0</v>
      </c>
      <c r="BW48" s="26">
        <f t="shared" si="59"/>
        <v>0</v>
      </c>
      <c r="BX48" s="26">
        <f t="shared" si="59"/>
        <v>0</v>
      </c>
      <c r="BY48" s="26">
        <f t="shared" si="60"/>
        <v>1</v>
      </c>
      <c r="BZ48" s="26">
        <f t="shared" si="60"/>
        <v>0.6</v>
      </c>
      <c r="CA48" s="26">
        <f t="shared" si="60"/>
        <v>0.6</v>
      </c>
      <c r="CB48" s="26">
        <f t="shared" si="60"/>
        <v>1</v>
      </c>
      <c r="CC48" s="26">
        <f t="shared" si="60"/>
        <v>0</v>
      </c>
      <c r="CD48" s="26">
        <f t="shared" si="60"/>
        <v>0</v>
      </c>
      <c r="CE48" s="26">
        <f t="shared" si="60"/>
        <v>1</v>
      </c>
      <c r="CF48" s="26">
        <f t="shared" si="60"/>
        <v>0</v>
      </c>
      <c r="CG48" s="26">
        <f t="shared" si="60"/>
        <v>0</v>
      </c>
      <c r="CH48" s="26">
        <f t="shared" si="60"/>
        <v>1</v>
      </c>
      <c r="CI48" s="26">
        <f t="shared" si="61"/>
        <v>0</v>
      </c>
      <c r="CJ48" s="26">
        <f t="shared" si="61"/>
        <v>0</v>
      </c>
      <c r="CK48" s="26">
        <f t="shared" si="61"/>
        <v>0</v>
      </c>
      <c r="CL48" s="26">
        <f t="shared" si="61"/>
        <v>0</v>
      </c>
      <c r="CM48" s="26">
        <f t="shared" si="61"/>
        <v>0</v>
      </c>
      <c r="CN48" s="26">
        <f t="shared" si="61"/>
        <v>0</v>
      </c>
      <c r="CO48" s="26">
        <f t="shared" si="61"/>
        <v>0</v>
      </c>
      <c r="CP48" s="26">
        <f t="shared" si="61"/>
        <v>0</v>
      </c>
      <c r="CQ48" s="26">
        <f t="shared" si="61"/>
        <v>0</v>
      </c>
      <c r="CR48" s="26">
        <f t="shared" si="61"/>
        <v>0</v>
      </c>
      <c r="CS48" s="26">
        <f t="shared" si="61"/>
        <v>0</v>
      </c>
      <c r="CT48" s="26">
        <f t="shared" si="61"/>
        <v>0</v>
      </c>
      <c r="CU48" s="26">
        <f t="shared" si="62"/>
        <v>1.5</v>
      </c>
      <c r="CV48" s="26">
        <f t="shared" si="62"/>
        <v>0.6</v>
      </c>
      <c r="CW48" s="26">
        <f t="shared" si="62"/>
        <v>0.6</v>
      </c>
      <c r="CX48" s="26">
        <f t="shared" si="62"/>
        <v>1.5</v>
      </c>
      <c r="CY48" s="26">
        <f t="shared" si="62"/>
        <v>0</v>
      </c>
      <c r="CZ48" s="26">
        <f t="shared" si="62"/>
        <v>0</v>
      </c>
      <c r="DA48" s="26">
        <f t="shared" si="62"/>
        <v>1</v>
      </c>
      <c r="DB48" s="26">
        <f t="shared" si="62"/>
        <v>0.6</v>
      </c>
      <c r="DC48" s="26">
        <f t="shared" si="62"/>
        <v>0.3</v>
      </c>
      <c r="DD48" s="26">
        <f t="shared" si="62"/>
        <v>1</v>
      </c>
      <c r="DE48" s="26">
        <f t="shared" si="63"/>
        <v>0</v>
      </c>
      <c r="DF48" s="26">
        <f t="shared" si="63"/>
        <v>0</v>
      </c>
      <c r="DG48" s="26">
        <f t="shared" si="63"/>
        <v>0</v>
      </c>
      <c r="DH48" s="26">
        <f t="shared" si="63"/>
        <v>0</v>
      </c>
      <c r="DI48" s="26">
        <f t="shared" si="63"/>
        <v>0</v>
      </c>
      <c r="DJ48" s="26">
        <f t="shared" si="63"/>
        <v>0</v>
      </c>
      <c r="DK48" s="26">
        <f t="shared" si="63"/>
        <v>0</v>
      </c>
      <c r="DL48" s="26">
        <f t="shared" si="63"/>
        <v>0</v>
      </c>
      <c r="DM48" s="26">
        <f t="shared" si="63"/>
        <v>0</v>
      </c>
      <c r="DN48" s="26">
        <f t="shared" si="63"/>
        <v>0</v>
      </c>
      <c r="DO48" s="26">
        <f t="shared" si="63"/>
        <v>0</v>
      </c>
      <c r="DP48" s="26">
        <f t="shared" si="63"/>
        <v>0</v>
      </c>
      <c r="DQ48" s="26">
        <f t="shared" si="64"/>
        <v>1.5</v>
      </c>
      <c r="DR48" s="26">
        <f t="shared" si="64"/>
        <v>1</v>
      </c>
      <c r="DS48" s="26">
        <f t="shared" si="64"/>
        <v>0.6</v>
      </c>
      <c r="DT48" s="26">
        <f t="shared" si="64"/>
        <v>1.5</v>
      </c>
      <c r="DU48" s="26">
        <f t="shared" si="64"/>
        <v>0</v>
      </c>
      <c r="DV48" s="26">
        <f t="shared" si="64"/>
        <v>0</v>
      </c>
      <c r="DW48" s="26">
        <f t="shared" si="64"/>
        <v>1</v>
      </c>
      <c r="DX48" s="26">
        <f t="shared" si="64"/>
        <v>1</v>
      </c>
      <c r="DY48" s="26">
        <f t="shared" si="64"/>
        <v>1</v>
      </c>
      <c r="DZ48" s="26">
        <f t="shared" si="64"/>
        <v>1</v>
      </c>
      <c r="EA48" s="26">
        <f t="shared" si="65"/>
        <v>0</v>
      </c>
      <c r="EB48" s="26">
        <f t="shared" si="65"/>
        <v>0</v>
      </c>
      <c r="EC48" s="26">
        <f t="shared" si="65"/>
        <v>0</v>
      </c>
      <c r="ED48" s="26">
        <f t="shared" si="65"/>
        <v>0</v>
      </c>
      <c r="EE48" s="26">
        <f t="shared" si="65"/>
        <v>0</v>
      </c>
      <c r="EF48" s="26">
        <f t="shared" si="65"/>
        <v>0</v>
      </c>
      <c r="EG48" s="26">
        <f t="shared" si="65"/>
        <v>0</v>
      </c>
      <c r="EH48" s="26">
        <f t="shared" si="65"/>
        <v>0</v>
      </c>
      <c r="EI48" s="26">
        <f t="shared" si="65"/>
        <v>0</v>
      </c>
      <c r="EJ48" s="26">
        <f t="shared" si="65"/>
        <v>0</v>
      </c>
      <c r="EK48" s="26">
        <f t="shared" si="65"/>
        <v>0</v>
      </c>
      <c r="EL48" s="26">
        <f t="shared" si="65"/>
        <v>0</v>
      </c>
      <c r="EM48" s="26">
        <f t="shared" si="18"/>
        <v>41265</v>
      </c>
      <c r="EN48" s="26">
        <f t="shared" si="19"/>
        <v>45551</v>
      </c>
      <c r="EO48" s="26">
        <f t="shared" si="20"/>
        <v>59191</v>
      </c>
      <c r="EP48" s="26">
        <f t="shared" si="21"/>
        <v>84531</v>
      </c>
      <c r="EQ48" s="26">
        <f t="shared" si="22"/>
        <v>107149</v>
      </c>
    </row>
    <row r="49" spans="2:147">
      <c r="B49" s="27">
        <v>8</v>
      </c>
      <c r="C49" s="27">
        <v>3</v>
      </c>
      <c r="D49" s="27">
        <v>1000</v>
      </c>
      <c r="E49" s="27">
        <f t="shared" si="23"/>
        <v>25000</v>
      </c>
      <c r="F49" s="27">
        <f t="shared" si="11"/>
        <v>25000</v>
      </c>
      <c r="G49" s="27">
        <f>SUM(F$5:F49)</f>
        <v>525000</v>
      </c>
      <c r="H49" s="27">
        <f t="shared" si="24"/>
        <v>45</v>
      </c>
      <c r="I49" s="27" t="s">
        <v>144</v>
      </c>
      <c r="J49" s="27">
        <v>0.3</v>
      </c>
      <c r="K49" s="27">
        <f>INDEX(其他调用!$BO$5:$BO$61,MATCH(星阵点亮!I49,其他调用!$BM$5:$BM$61,0))*J49</f>
        <v>7608.3887040323643</v>
      </c>
      <c r="L49" s="27">
        <f t="shared" si="55"/>
        <v>15020</v>
      </c>
      <c r="O49" s="30"/>
      <c r="Q49" s="26">
        <v>45</v>
      </c>
      <c r="R49" s="26">
        <f>总纲!D49</f>
        <v>21.627416997969519</v>
      </c>
      <c r="S49" s="26">
        <f>求节点(将星点产出!$W$6:$W$44,将星点产出!$AO$6:$AO$44,星阵点亮!$Q49)</f>
        <v>45930.396556230909</v>
      </c>
      <c r="T49" s="26">
        <f t="shared" si="13"/>
        <v>13</v>
      </c>
      <c r="U49" s="26">
        <f>总纲!E49</f>
        <v>18.900199714525563</v>
      </c>
      <c r="V49" s="26">
        <f>求节点(将星点产出!$W$51:$W$89,将星点产出!$AO$51:$AO$89,星阵点亮!$Q49)</f>
        <v>51833.578280079637</v>
      </c>
      <c r="W49" s="26">
        <f t="shared" si="14"/>
        <v>13</v>
      </c>
      <c r="X49" s="26">
        <f>总纲!F49</f>
        <v>15.604181364035009</v>
      </c>
      <c r="Y49" s="26">
        <f>求节点(将星点产出!$W$96:$W$134,将星点产出!$AO$96:$AO$134,星阵点亮!$Q49)</f>
        <v>76217.026907363615</v>
      </c>
      <c r="Z49" s="26">
        <f t="shared" si="15"/>
        <v>16</v>
      </c>
      <c r="AA49" s="26">
        <f>总纲!G49</f>
        <v>11.572830835613489</v>
      </c>
      <c r="AB49" s="26">
        <f>求节点(将星点产出!$W$141:$W$179,将星点产出!$AO$141:$AO$179,星阵点亮!$Q49)</f>
        <v>129936.76778992255</v>
      </c>
      <c r="AC49" s="26">
        <f t="shared" si="16"/>
        <v>22</v>
      </c>
      <c r="AD49" s="26">
        <f>总纲!H49</f>
        <v>6.49903880788984</v>
      </c>
      <c r="AE49" s="26">
        <f>求节点(将星点产出!$W$186:$W$224,将星点产出!$AO$186:$AO$224,星阵点亮!$Q49)</f>
        <v>175689.74295491035</v>
      </c>
      <c r="AF49" s="26">
        <f t="shared" si="17"/>
        <v>26</v>
      </c>
      <c r="AG49" s="26">
        <f t="shared" si="56"/>
        <v>0.6</v>
      </c>
      <c r="AH49" s="26">
        <f t="shared" si="56"/>
        <v>0.6</v>
      </c>
      <c r="AI49" s="26">
        <f t="shared" si="56"/>
        <v>0.3</v>
      </c>
      <c r="AJ49" s="26">
        <f t="shared" si="56"/>
        <v>0.6</v>
      </c>
      <c r="AK49" s="26">
        <f t="shared" si="56"/>
        <v>0</v>
      </c>
      <c r="AL49" s="26">
        <f t="shared" si="56"/>
        <v>0</v>
      </c>
      <c r="AM49" s="26">
        <f t="shared" si="56"/>
        <v>1</v>
      </c>
      <c r="AN49" s="26">
        <f t="shared" si="56"/>
        <v>0</v>
      </c>
      <c r="AO49" s="26">
        <f t="shared" si="56"/>
        <v>0</v>
      </c>
      <c r="AP49" s="26">
        <f t="shared" si="56"/>
        <v>1</v>
      </c>
      <c r="AQ49" s="26">
        <f t="shared" si="57"/>
        <v>0</v>
      </c>
      <c r="AR49" s="26">
        <f t="shared" si="57"/>
        <v>0</v>
      </c>
      <c r="AS49" s="26">
        <f t="shared" si="57"/>
        <v>0</v>
      </c>
      <c r="AT49" s="26">
        <f t="shared" si="57"/>
        <v>0</v>
      </c>
      <c r="AU49" s="26">
        <f t="shared" si="57"/>
        <v>0</v>
      </c>
      <c r="AV49" s="26">
        <f t="shared" si="57"/>
        <v>0</v>
      </c>
      <c r="AW49" s="26">
        <f t="shared" si="57"/>
        <v>0</v>
      </c>
      <c r="AX49" s="26">
        <f t="shared" si="57"/>
        <v>0</v>
      </c>
      <c r="AY49" s="26">
        <f t="shared" si="57"/>
        <v>0</v>
      </c>
      <c r="AZ49" s="26">
        <f t="shared" si="57"/>
        <v>0</v>
      </c>
      <c r="BA49" s="26">
        <f t="shared" si="57"/>
        <v>0</v>
      </c>
      <c r="BB49" s="26">
        <f t="shared" si="57"/>
        <v>0</v>
      </c>
      <c r="BC49" s="26">
        <f t="shared" si="58"/>
        <v>0.6</v>
      </c>
      <c r="BD49" s="26">
        <f t="shared" si="58"/>
        <v>0.6</v>
      </c>
      <c r="BE49" s="26">
        <f t="shared" si="58"/>
        <v>0.3</v>
      </c>
      <c r="BF49" s="26">
        <f t="shared" si="58"/>
        <v>0.6</v>
      </c>
      <c r="BG49" s="26">
        <f t="shared" si="58"/>
        <v>0</v>
      </c>
      <c r="BH49" s="26">
        <f t="shared" si="58"/>
        <v>0</v>
      </c>
      <c r="BI49" s="26">
        <f t="shared" si="58"/>
        <v>1</v>
      </c>
      <c r="BJ49" s="26">
        <f t="shared" si="58"/>
        <v>0</v>
      </c>
      <c r="BK49" s="26">
        <f t="shared" si="58"/>
        <v>0</v>
      </c>
      <c r="BL49" s="26">
        <f t="shared" si="58"/>
        <v>1</v>
      </c>
      <c r="BM49" s="26">
        <f t="shared" si="59"/>
        <v>0</v>
      </c>
      <c r="BN49" s="26">
        <f t="shared" si="59"/>
        <v>0</v>
      </c>
      <c r="BO49" s="26">
        <f t="shared" si="59"/>
        <v>0</v>
      </c>
      <c r="BP49" s="26">
        <f t="shared" si="59"/>
        <v>0</v>
      </c>
      <c r="BQ49" s="26">
        <f t="shared" si="59"/>
        <v>0</v>
      </c>
      <c r="BR49" s="26">
        <f t="shared" si="59"/>
        <v>0</v>
      </c>
      <c r="BS49" s="26">
        <f t="shared" si="59"/>
        <v>0</v>
      </c>
      <c r="BT49" s="26">
        <f t="shared" si="59"/>
        <v>0</v>
      </c>
      <c r="BU49" s="26">
        <f t="shared" si="59"/>
        <v>0</v>
      </c>
      <c r="BV49" s="26">
        <f t="shared" si="59"/>
        <v>0</v>
      </c>
      <c r="BW49" s="26">
        <f t="shared" si="59"/>
        <v>0</v>
      </c>
      <c r="BX49" s="26">
        <f t="shared" si="59"/>
        <v>0</v>
      </c>
      <c r="BY49" s="26">
        <f t="shared" si="60"/>
        <v>1</v>
      </c>
      <c r="BZ49" s="26">
        <f t="shared" si="60"/>
        <v>0.6</v>
      </c>
      <c r="CA49" s="26">
        <f t="shared" si="60"/>
        <v>0.6</v>
      </c>
      <c r="CB49" s="26">
        <f t="shared" si="60"/>
        <v>1</v>
      </c>
      <c r="CC49" s="26">
        <f t="shared" si="60"/>
        <v>0</v>
      </c>
      <c r="CD49" s="26">
        <f t="shared" si="60"/>
        <v>0</v>
      </c>
      <c r="CE49" s="26">
        <f t="shared" si="60"/>
        <v>1</v>
      </c>
      <c r="CF49" s="26">
        <f t="shared" si="60"/>
        <v>0</v>
      </c>
      <c r="CG49" s="26">
        <f t="shared" si="60"/>
        <v>0</v>
      </c>
      <c r="CH49" s="26">
        <f t="shared" si="60"/>
        <v>1</v>
      </c>
      <c r="CI49" s="26">
        <f t="shared" si="61"/>
        <v>0</v>
      </c>
      <c r="CJ49" s="26">
        <f t="shared" si="61"/>
        <v>0</v>
      </c>
      <c r="CK49" s="26">
        <f t="shared" si="61"/>
        <v>0</v>
      </c>
      <c r="CL49" s="26">
        <f t="shared" si="61"/>
        <v>0</v>
      </c>
      <c r="CM49" s="26">
        <f t="shared" si="61"/>
        <v>0</v>
      </c>
      <c r="CN49" s="26">
        <f t="shared" si="61"/>
        <v>0</v>
      </c>
      <c r="CO49" s="26">
        <f t="shared" si="61"/>
        <v>0</v>
      </c>
      <c r="CP49" s="26">
        <f t="shared" si="61"/>
        <v>0</v>
      </c>
      <c r="CQ49" s="26">
        <f t="shared" si="61"/>
        <v>0</v>
      </c>
      <c r="CR49" s="26">
        <f t="shared" si="61"/>
        <v>0</v>
      </c>
      <c r="CS49" s="26">
        <f t="shared" si="61"/>
        <v>0</v>
      </c>
      <c r="CT49" s="26">
        <f t="shared" si="61"/>
        <v>0</v>
      </c>
      <c r="CU49" s="26">
        <f t="shared" si="62"/>
        <v>1.5</v>
      </c>
      <c r="CV49" s="26">
        <f t="shared" si="62"/>
        <v>0.6</v>
      </c>
      <c r="CW49" s="26">
        <f t="shared" si="62"/>
        <v>0.6</v>
      </c>
      <c r="CX49" s="26">
        <f t="shared" si="62"/>
        <v>1.5</v>
      </c>
      <c r="CY49" s="26">
        <f t="shared" si="62"/>
        <v>0</v>
      </c>
      <c r="CZ49" s="26">
        <f t="shared" si="62"/>
        <v>0</v>
      </c>
      <c r="DA49" s="26">
        <f t="shared" si="62"/>
        <v>1</v>
      </c>
      <c r="DB49" s="26">
        <f t="shared" si="62"/>
        <v>0.6</v>
      </c>
      <c r="DC49" s="26">
        <f t="shared" si="62"/>
        <v>0.6</v>
      </c>
      <c r="DD49" s="26">
        <f t="shared" si="62"/>
        <v>1</v>
      </c>
      <c r="DE49" s="26">
        <f t="shared" si="63"/>
        <v>0</v>
      </c>
      <c r="DF49" s="26">
        <f t="shared" si="63"/>
        <v>0</v>
      </c>
      <c r="DG49" s="26">
        <f t="shared" si="63"/>
        <v>0</v>
      </c>
      <c r="DH49" s="26">
        <f t="shared" si="63"/>
        <v>0</v>
      </c>
      <c r="DI49" s="26">
        <f t="shared" si="63"/>
        <v>0</v>
      </c>
      <c r="DJ49" s="26">
        <f t="shared" si="63"/>
        <v>0</v>
      </c>
      <c r="DK49" s="26">
        <f t="shared" si="63"/>
        <v>0</v>
      </c>
      <c r="DL49" s="26">
        <f t="shared" si="63"/>
        <v>0</v>
      </c>
      <c r="DM49" s="26">
        <f t="shared" si="63"/>
        <v>0</v>
      </c>
      <c r="DN49" s="26">
        <f t="shared" si="63"/>
        <v>0</v>
      </c>
      <c r="DO49" s="26">
        <f t="shared" si="63"/>
        <v>0</v>
      </c>
      <c r="DP49" s="26">
        <f t="shared" si="63"/>
        <v>0</v>
      </c>
      <c r="DQ49" s="26">
        <f t="shared" si="64"/>
        <v>1.5</v>
      </c>
      <c r="DR49" s="26">
        <f t="shared" si="64"/>
        <v>1</v>
      </c>
      <c r="DS49" s="26">
        <f t="shared" si="64"/>
        <v>1</v>
      </c>
      <c r="DT49" s="26">
        <f t="shared" si="64"/>
        <v>1.5</v>
      </c>
      <c r="DU49" s="26">
        <f t="shared" si="64"/>
        <v>0</v>
      </c>
      <c r="DV49" s="26">
        <f t="shared" si="64"/>
        <v>0</v>
      </c>
      <c r="DW49" s="26">
        <f t="shared" si="64"/>
        <v>1</v>
      </c>
      <c r="DX49" s="26">
        <f t="shared" si="64"/>
        <v>1</v>
      </c>
      <c r="DY49" s="26">
        <f t="shared" si="64"/>
        <v>1</v>
      </c>
      <c r="DZ49" s="26">
        <f t="shared" si="64"/>
        <v>1</v>
      </c>
      <c r="EA49" s="26">
        <f t="shared" si="65"/>
        <v>0</v>
      </c>
      <c r="EB49" s="26">
        <f t="shared" si="65"/>
        <v>0</v>
      </c>
      <c r="EC49" s="26">
        <f t="shared" si="65"/>
        <v>0</v>
      </c>
      <c r="ED49" s="26">
        <f t="shared" si="65"/>
        <v>0</v>
      </c>
      <c r="EE49" s="26">
        <f t="shared" si="65"/>
        <v>0</v>
      </c>
      <c r="EF49" s="26">
        <f t="shared" si="65"/>
        <v>0</v>
      </c>
      <c r="EG49" s="26">
        <f t="shared" si="65"/>
        <v>0</v>
      </c>
      <c r="EH49" s="26">
        <f t="shared" si="65"/>
        <v>0</v>
      </c>
      <c r="EI49" s="26">
        <f t="shared" si="65"/>
        <v>0</v>
      </c>
      <c r="EJ49" s="26">
        <f t="shared" si="65"/>
        <v>0</v>
      </c>
      <c r="EK49" s="26">
        <f t="shared" si="65"/>
        <v>0</v>
      </c>
      <c r="EL49" s="26">
        <f t="shared" si="65"/>
        <v>0</v>
      </c>
      <c r="EM49" s="26">
        <f t="shared" si="18"/>
        <v>45551</v>
      </c>
      <c r="EN49" s="26">
        <f t="shared" si="19"/>
        <v>45551</v>
      </c>
      <c r="EO49" s="26">
        <f t="shared" si="20"/>
        <v>59191</v>
      </c>
      <c r="EP49" s="26">
        <f t="shared" si="21"/>
        <v>89990</v>
      </c>
      <c r="EQ49" s="26">
        <f t="shared" si="22"/>
        <v>113129</v>
      </c>
    </row>
    <row r="50" spans="2:147">
      <c r="B50" s="27">
        <v>8</v>
      </c>
      <c r="C50" s="27">
        <v>4</v>
      </c>
      <c r="D50" s="27">
        <v>1000</v>
      </c>
      <c r="E50" s="27">
        <f t="shared" si="23"/>
        <v>26000</v>
      </c>
      <c r="F50" s="27">
        <f t="shared" si="11"/>
        <v>26000</v>
      </c>
      <c r="G50" s="27">
        <f>SUM(F$5:F50)</f>
        <v>551000</v>
      </c>
      <c r="H50" s="27">
        <f t="shared" si="24"/>
        <v>46</v>
      </c>
      <c r="I50" s="27" t="s">
        <v>146</v>
      </c>
      <c r="J50" s="31">
        <v>0.03</v>
      </c>
      <c r="K50" s="31">
        <f>INDEX(其他调用!$BO$5:$BO$61,MATCH(星阵点亮!I50,其他调用!$BM$5:$BM$61,0))*J50</f>
        <v>14970.759381029682</v>
      </c>
      <c r="L50" s="27">
        <f t="shared" si="55"/>
        <v>15070</v>
      </c>
      <c r="O50" s="30"/>
      <c r="Q50" s="26">
        <v>46</v>
      </c>
      <c r="R50" s="26">
        <f>总纲!D50</f>
        <v>23.251465064166357</v>
      </c>
      <c r="S50" s="26">
        <f>求节点(将星点产出!$W$6:$W$44,将星点产出!$AO$6:$AO$44,星阵点亮!$Q50)</f>
        <v>48771.473660167321</v>
      </c>
      <c r="T50" s="26">
        <f t="shared" si="13"/>
        <v>13</v>
      </c>
      <c r="U50" s="26">
        <f>总纲!E50</f>
        <v>20.310154733549314</v>
      </c>
      <c r="V50" s="26">
        <f>求节点(将星点产出!$W$51:$W$89,将星点产出!$AO$51:$AO$89,星阵点亮!$Q50)</f>
        <v>54343.855539346951</v>
      </c>
      <c r="W50" s="26">
        <f t="shared" si="14"/>
        <v>14</v>
      </c>
      <c r="X50" s="26">
        <f>总纲!F50</f>
        <v>16.757330871744692</v>
      </c>
      <c r="Y50" s="26">
        <f>求节点(将星点产出!$W$96:$W$134,将星点产出!$AO$96:$AO$134,星阵点亮!$Q50)</f>
        <v>79346.272585854138</v>
      </c>
      <c r="Z50" s="26">
        <f t="shared" si="15"/>
        <v>17</v>
      </c>
      <c r="AA50" s="26">
        <f>总纲!G50</f>
        <v>12.425582930290501</v>
      </c>
      <c r="AB50" s="26">
        <f>求节点(将星点产出!$W$141:$W$179,将星点产出!$AO$141:$AO$179,星阵点亮!$Q50)</f>
        <v>136801.25241427057</v>
      </c>
      <c r="AC50" s="26">
        <f t="shared" si="16"/>
        <v>22</v>
      </c>
      <c r="AD50" s="26">
        <f>总纲!H50</f>
        <v>6.9545132006921566</v>
      </c>
      <c r="AE50" s="26">
        <f>求节点(将星点产出!$W$186:$W$224,将星点产出!$AO$186:$AO$224,星阵点亮!$Q50)</f>
        <v>184114.3412090964</v>
      </c>
      <c r="AF50" s="26">
        <f t="shared" si="17"/>
        <v>26</v>
      </c>
      <c r="AG50" s="26">
        <f t="shared" si="56"/>
        <v>0.6</v>
      </c>
      <c r="AH50" s="26">
        <f t="shared" si="56"/>
        <v>0.6</v>
      </c>
      <c r="AI50" s="26">
        <f t="shared" si="56"/>
        <v>0.3</v>
      </c>
      <c r="AJ50" s="26">
        <f t="shared" si="56"/>
        <v>0.6</v>
      </c>
      <c r="AK50" s="26">
        <f t="shared" si="56"/>
        <v>0</v>
      </c>
      <c r="AL50" s="26">
        <f t="shared" si="56"/>
        <v>0</v>
      </c>
      <c r="AM50" s="26">
        <f t="shared" si="56"/>
        <v>1</v>
      </c>
      <c r="AN50" s="26">
        <f t="shared" si="56"/>
        <v>0</v>
      </c>
      <c r="AO50" s="26">
        <f t="shared" si="56"/>
        <v>0</v>
      </c>
      <c r="AP50" s="26">
        <f t="shared" si="56"/>
        <v>1</v>
      </c>
      <c r="AQ50" s="26">
        <f t="shared" si="57"/>
        <v>0</v>
      </c>
      <c r="AR50" s="26">
        <f t="shared" si="57"/>
        <v>0</v>
      </c>
      <c r="AS50" s="26">
        <f t="shared" si="57"/>
        <v>0</v>
      </c>
      <c r="AT50" s="26">
        <f t="shared" si="57"/>
        <v>0</v>
      </c>
      <c r="AU50" s="26">
        <f t="shared" si="57"/>
        <v>0</v>
      </c>
      <c r="AV50" s="26">
        <f t="shared" si="57"/>
        <v>0</v>
      </c>
      <c r="AW50" s="26">
        <f t="shared" si="57"/>
        <v>0</v>
      </c>
      <c r="AX50" s="26">
        <f t="shared" si="57"/>
        <v>0</v>
      </c>
      <c r="AY50" s="26">
        <f t="shared" si="57"/>
        <v>0</v>
      </c>
      <c r="AZ50" s="26">
        <f t="shared" si="57"/>
        <v>0</v>
      </c>
      <c r="BA50" s="26">
        <f t="shared" si="57"/>
        <v>0</v>
      </c>
      <c r="BB50" s="26">
        <f t="shared" si="57"/>
        <v>0</v>
      </c>
      <c r="BC50" s="26">
        <f t="shared" si="58"/>
        <v>0.6</v>
      </c>
      <c r="BD50" s="26">
        <f t="shared" si="58"/>
        <v>0.6</v>
      </c>
      <c r="BE50" s="26">
        <f t="shared" si="58"/>
        <v>0.3</v>
      </c>
      <c r="BF50" s="26">
        <f t="shared" si="58"/>
        <v>1</v>
      </c>
      <c r="BG50" s="26">
        <f t="shared" si="58"/>
        <v>0</v>
      </c>
      <c r="BH50" s="26">
        <f t="shared" si="58"/>
        <v>0</v>
      </c>
      <c r="BI50" s="26">
        <f t="shared" si="58"/>
        <v>1</v>
      </c>
      <c r="BJ50" s="26">
        <f t="shared" si="58"/>
        <v>0</v>
      </c>
      <c r="BK50" s="26">
        <f t="shared" si="58"/>
        <v>0</v>
      </c>
      <c r="BL50" s="26">
        <f t="shared" si="58"/>
        <v>1</v>
      </c>
      <c r="BM50" s="26">
        <f t="shared" si="59"/>
        <v>0</v>
      </c>
      <c r="BN50" s="26">
        <f t="shared" si="59"/>
        <v>0</v>
      </c>
      <c r="BO50" s="26">
        <f t="shared" si="59"/>
        <v>0</v>
      </c>
      <c r="BP50" s="26">
        <f t="shared" si="59"/>
        <v>0</v>
      </c>
      <c r="BQ50" s="26">
        <f t="shared" si="59"/>
        <v>0</v>
      </c>
      <c r="BR50" s="26">
        <f t="shared" si="59"/>
        <v>0</v>
      </c>
      <c r="BS50" s="26">
        <f t="shared" si="59"/>
        <v>0</v>
      </c>
      <c r="BT50" s="26">
        <f t="shared" si="59"/>
        <v>0</v>
      </c>
      <c r="BU50" s="26">
        <f t="shared" si="59"/>
        <v>0</v>
      </c>
      <c r="BV50" s="26">
        <f t="shared" si="59"/>
        <v>0</v>
      </c>
      <c r="BW50" s="26">
        <f t="shared" si="59"/>
        <v>0</v>
      </c>
      <c r="BX50" s="26">
        <f t="shared" si="59"/>
        <v>0</v>
      </c>
      <c r="BY50" s="26">
        <f t="shared" si="60"/>
        <v>1</v>
      </c>
      <c r="BZ50" s="26">
        <f t="shared" si="60"/>
        <v>0.6</v>
      </c>
      <c r="CA50" s="26">
        <f t="shared" si="60"/>
        <v>0.6</v>
      </c>
      <c r="CB50" s="26">
        <f t="shared" si="60"/>
        <v>1.5</v>
      </c>
      <c r="CC50" s="26">
        <f t="shared" si="60"/>
        <v>0</v>
      </c>
      <c r="CD50" s="26">
        <f t="shared" si="60"/>
        <v>0</v>
      </c>
      <c r="CE50" s="26">
        <f t="shared" si="60"/>
        <v>1</v>
      </c>
      <c r="CF50" s="26">
        <f t="shared" si="60"/>
        <v>0</v>
      </c>
      <c r="CG50" s="26">
        <f t="shared" si="60"/>
        <v>0</v>
      </c>
      <c r="CH50" s="26">
        <f t="shared" si="60"/>
        <v>1</v>
      </c>
      <c r="CI50" s="26">
        <f t="shared" si="61"/>
        <v>0</v>
      </c>
      <c r="CJ50" s="26">
        <f t="shared" si="61"/>
        <v>0</v>
      </c>
      <c r="CK50" s="26">
        <f t="shared" si="61"/>
        <v>0</v>
      </c>
      <c r="CL50" s="26">
        <f t="shared" si="61"/>
        <v>0</v>
      </c>
      <c r="CM50" s="26">
        <f t="shared" si="61"/>
        <v>0</v>
      </c>
      <c r="CN50" s="26">
        <f t="shared" si="61"/>
        <v>0</v>
      </c>
      <c r="CO50" s="26">
        <f t="shared" si="61"/>
        <v>0</v>
      </c>
      <c r="CP50" s="26">
        <f t="shared" si="61"/>
        <v>0</v>
      </c>
      <c r="CQ50" s="26">
        <f t="shared" si="61"/>
        <v>0</v>
      </c>
      <c r="CR50" s="26">
        <f t="shared" si="61"/>
        <v>0</v>
      </c>
      <c r="CS50" s="26">
        <f t="shared" si="61"/>
        <v>0</v>
      </c>
      <c r="CT50" s="26">
        <f t="shared" si="61"/>
        <v>0</v>
      </c>
      <c r="CU50" s="26">
        <f t="shared" si="62"/>
        <v>1.5</v>
      </c>
      <c r="CV50" s="26">
        <f t="shared" si="62"/>
        <v>0.6</v>
      </c>
      <c r="CW50" s="26">
        <f t="shared" si="62"/>
        <v>0.6</v>
      </c>
      <c r="CX50" s="26">
        <f t="shared" si="62"/>
        <v>1.5</v>
      </c>
      <c r="CY50" s="26">
        <f t="shared" si="62"/>
        <v>0</v>
      </c>
      <c r="CZ50" s="26">
        <f t="shared" si="62"/>
        <v>0</v>
      </c>
      <c r="DA50" s="26">
        <f t="shared" si="62"/>
        <v>1</v>
      </c>
      <c r="DB50" s="26">
        <f t="shared" si="62"/>
        <v>0.6</v>
      </c>
      <c r="DC50" s="26">
        <f t="shared" si="62"/>
        <v>0.6</v>
      </c>
      <c r="DD50" s="26">
        <f t="shared" si="62"/>
        <v>1</v>
      </c>
      <c r="DE50" s="26">
        <f t="shared" si="63"/>
        <v>0</v>
      </c>
      <c r="DF50" s="26">
        <f t="shared" si="63"/>
        <v>0</v>
      </c>
      <c r="DG50" s="26">
        <f t="shared" si="63"/>
        <v>0</v>
      </c>
      <c r="DH50" s="26">
        <f t="shared" si="63"/>
        <v>0</v>
      </c>
      <c r="DI50" s="26">
        <f t="shared" si="63"/>
        <v>0</v>
      </c>
      <c r="DJ50" s="26">
        <f t="shared" si="63"/>
        <v>0</v>
      </c>
      <c r="DK50" s="26">
        <f t="shared" si="63"/>
        <v>0</v>
      </c>
      <c r="DL50" s="26">
        <f t="shared" si="63"/>
        <v>0</v>
      </c>
      <c r="DM50" s="26">
        <f t="shared" si="63"/>
        <v>0</v>
      </c>
      <c r="DN50" s="26">
        <f t="shared" si="63"/>
        <v>0</v>
      </c>
      <c r="DO50" s="26">
        <f t="shared" si="63"/>
        <v>0</v>
      </c>
      <c r="DP50" s="26">
        <f t="shared" si="63"/>
        <v>0</v>
      </c>
      <c r="DQ50" s="26">
        <f t="shared" si="64"/>
        <v>1.5</v>
      </c>
      <c r="DR50" s="26">
        <f t="shared" si="64"/>
        <v>1</v>
      </c>
      <c r="DS50" s="26">
        <f t="shared" si="64"/>
        <v>1</v>
      </c>
      <c r="DT50" s="26">
        <f t="shared" si="64"/>
        <v>1.5</v>
      </c>
      <c r="DU50" s="26">
        <f t="shared" si="64"/>
        <v>0</v>
      </c>
      <c r="DV50" s="26">
        <f t="shared" si="64"/>
        <v>0</v>
      </c>
      <c r="DW50" s="26">
        <f t="shared" si="64"/>
        <v>1</v>
      </c>
      <c r="DX50" s="26">
        <f t="shared" si="64"/>
        <v>1</v>
      </c>
      <c r="DY50" s="26">
        <f t="shared" si="64"/>
        <v>1</v>
      </c>
      <c r="DZ50" s="26">
        <f t="shared" si="64"/>
        <v>1</v>
      </c>
      <c r="EA50" s="26">
        <f t="shared" si="65"/>
        <v>0</v>
      </c>
      <c r="EB50" s="26">
        <f t="shared" si="65"/>
        <v>0</v>
      </c>
      <c r="EC50" s="26">
        <f t="shared" si="65"/>
        <v>0</v>
      </c>
      <c r="ED50" s="26">
        <f t="shared" si="65"/>
        <v>0</v>
      </c>
      <c r="EE50" s="26">
        <f t="shared" si="65"/>
        <v>0</v>
      </c>
      <c r="EF50" s="26">
        <f t="shared" si="65"/>
        <v>0</v>
      </c>
      <c r="EG50" s="26">
        <f t="shared" si="65"/>
        <v>0</v>
      </c>
      <c r="EH50" s="26">
        <f t="shared" si="65"/>
        <v>0</v>
      </c>
      <c r="EI50" s="26">
        <f t="shared" si="65"/>
        <v>0</v>
      </c>
      <c r="EJ50" s="26">
        <f t="shared" si="65"/>
        <v>0</v>
      </c>
      <c r="EK50" s="26">
        <f t="shared" si="65"/>
        <v>0</v>
      </c>
      <c r="EL50" s="26">
        <f t="shared" si="65"/>
        <v>0</v>
      </c>
      <c r="EM50" s="26">
        <f t="shared" si="18"/>
        <v>45551</v>
      </c>
      <c r="EN50" s="26">
        <f t="shared" si="19"/>
        <v>49967</v>
      </c>
      <c r="EO50" s="26">
        <f t="shared" si="20"/>
        <v>63998</v>
      </c>
      <c r="EP50" s="26">
        <f t="shared" si="21"/>
        <v>89990</v>
      </c>
      <c r="EQ50" s="26">
        <f t="shared" si="22"/>
        <v>113129</v>
      </c>
    </row>
    <row r="51" spans="2:147">
      <c r="B51" s="27">
        <v>8</v>
      </c>
      <c r="C51" s="27">
        <v>5</v>
      </c>
      <c r="D51" s="27">
        <v>1000</v>
      </c>
      <c r="E51" s="27">
        <f t="shared" si="23"/>
        <v>27000</v>
      </c>
      <c r="F51" s="27">
        <f t="shared" si="11"/>
        <v>27000</v>
      </c>
      <c r="G51" s="27">
        <f>SUM(F$5:F51)</f>
        <v>578000</v>
      </c>
      <c r="H51" s="27">
        <f t="shared" si="24"/>
        <v>47</v>
      </c>
      <c r="I51" s="27" t="s">
        <v>144</v>
      </c>
      <c r="J51" s="27">
        <v>0.4</v>
      </c>
      <c r="K51" s="27">
        <f>INDEX(其他调用!$BO$5:$BO$61,MATCH(星阵点亮!I51,其他调用!$BM$5:$BM$61,0))*J51</f>
        <v>10144.518272043155</v>
      </c>
      <c r="L51" s="27">
        <f t="shared" si="55"/>
        <v>15120</v>
      </c>
      <c r="O51" s="30"/>
      <c r="Q51" s="26">
        <v>47</v>
      </c>
      <c r="R51" s="26">
        <f>总纲!D51</f>
        <v>24.992076683399535</v>
      </c>
      <c r="S51" s="26">
        <f>求节点(将星点产出!$W$6:$W$44,将星点产出!$AO$6:$AO$44,星阵点亮!$Q51)</f>
        <v>51612.550764103733</v>
      </c>
      <c r="T51" s="26">
        <f t="shared" si="13"/>
        <v>13</v>
      </c>
      <c r="U51" s="26">
        <f>总纲!E51</f>
        <v>21.823081359944474</v>
      </c>
      <c r="V51" s="26">
        <f>求节点(将星点产出!$W$51:$W$89,将星点产出!$AO$51:$AO$89,星阵点亮!$Q51)</f>
        <v>56854.132798614271</v>
      </c>
      <c r="W51" s="26">
        <f t="shared" si="14"/>
        <v>14</v>
      </c>
      <c r="X51" s="26">
        <f>总纲!F51</f>
        <v>17.996794419716004</v>
      </c>
      <c r="Y51" s="26">
        <f>求节点(将星点产出!$W$96:$W$134,将星点产出!$AO$96:$AO$134,星阵点亮!$Q51)</f>
        <v>82475.518264344675</v>
      </c>
      <c r="Z51" s="26">
        <f t="shared" si="15"/>
        <v>17</v>
      </c>
      <c r="AA51" s="26">
        <f>总纲!G51</f>
        <v>13.335772118261991</v>
      </c>
      <c r="AB51" s="26">
        <f>求节点(将星点产出!$W$141:$W$179,将星点产出!$AO$141:$AO$179,星阵点亮!$Q51)</f>
        <v>143665.73703861856</v>
      </c>
      <c r="AC51" s="26">
        <f t="shared" si="16"/>
        <v>23</v>
      </c>
      <c r="AD51" s="26">
        <f>总纲!H51</f>
        <v>7.4426404363163821</v>
      </c>
      <c r="AE51" s="26">
        <f>求节点(将星点产出!$W$186:$W$224,将星点产出!$AO$186:$AO$224,星阵点亮!$Q51)</f>
        <v>192538.93946328244</v>
      </c>
      <c r="AF51" s="26">
        <f t="shared" si="17"/>
        <v>27</v>
      </c>
      <c r="AG51" s="26">
        <f t="shared" si="56"/>
        <v>0.6</v>
      </c>
      <c r="AH51" s="26">
        <f t="shared" si="56"/>
        <v>0.6</v>
      </c>
      <c r="AI51" s="26">
        <f t="shared" si="56"/>
        <v>0.3</v>
      </c>
      <c r="AJ51" s="26">
        <f t="shared" si="56"/>
        <v>0.6</v>
      </c>
      <c r="AK51" s="26">
        <f t="shared" si="56"/>
        <v>0</v>
      </c>
      <c r="AL51" s="26">
        <f t="shared" si="56"/>
        <v>0</v>
      </c>
      <c r="AM51" s="26">
        <f t="shared" si="56"/>
        <v>1</v>
      </c>
      <c r="AN51" s="26">
        <f t="shared" si="56"/>
        <v>0</v>
      </c>
      <c r="AO51" s="26">
        <f t="shared" si="56"/>
        <v>0</v>
      </c>
      <c r="AP51" s="26">
        <f t="shared" si="56"/>
        <v>1</v>
      </c>
      <c r="AQ51" s="26">
        <f t="shared" si="57"/>
        <v>0</v>
      </c>
      <c r="AR51" s="26">
        <f t="shared" si="57"/>
        <v>0</v>
      </c>
      <c r="AS51" s="26">
        <f t="shared" si="57"/>
        <v>0</v>
      </c>
      <c r="AT51" s="26">
        <f t="shared" si="57"/>
        <v>0</v>
      </c>
      <c r="AU51" s="26">
        <f t="shared" si="57"/>
        <v>0</v>
      </c>
      <c r="AV51" s="26">
        <f t="shared" si="57"/>
        <v>0</v>
      </c>
      <c r="AW51" s="26">
        <f t="shared" si="57"/>
        <v>0</v>
      </c>
      <c r="AX51" s="26">
        <f t="shared" si="57"/>
        <v>0</v>
      </c>
      <c r="AY51" s="26">
        <f t="shared" si="57"/>
        <v>0</v>
      </c>
      <c r="AZ51" s="26">
        <f t="shared" si="57"/>
        <v>0</v>
      </c>
      <c r="BA51" s="26">
        <f t="shared" si="57"/>
        <v>0</v>
      </c>
      <c r="BB51" s="26">
        <f t="shared" si="57"/>
        <v>0</v>
      </c>
      <c r="BC51" s="26">
        <f t="shared" si="58"/>
        <v>0.6</v>
      </c>
      <c r="BD51" s="26">
        <f t="shared" si="58"/>
        <v>0.6</v>
      </c>
      <c r="BE51" s="26">
        <f t="shared" si="58"/>
        <v>0.3</v>
      </c>
      <c r="BF51" s="26">
        <f t="shared" si="58"/>
        <v>1</v>
      </c>
      <c r="BG51" s="26">
        <f t="shared" si="58"/>
        <v>0</v>
      </c>
      <c r="BH51" s="26">
        <f t="shared" si="58"/>
        <v>0</v>
      </c>
      <c r="BI51" s="26">
        <f t="shared" si="58"/>
        <v>1</v>
      </c>
      <c r="BJ51" s="26">
        <f t="shared" si="58"/>
        <v>0</v>
      </c>
      <c r="BK51" s="26">
        <f t="shared" si="58"/>
        <v>0</v>
      </c>
      <c r="BL51" s="26">
        <f t="shared" si="58"/>
        <v>1</v>
      </c>
      <c r="BM51" s="26">
        <f t="shared" si="59"/>
        <v>0</v>
      </c>
      <c r="BN51" s="26">
        <f t="shared" si="59"/>
        <v>0</v>
      </c>
      <c r="BO51" s="26">
        <f t="shared" si="59"/>
        <v>0</v>
      </c>
      <c r="BP51" s="26">
        <f t="shared" si="59"/>
        <v>0</v>
      </c>
      <c r="BQ51" s="26">
        <f t="shared" si="59"/>
        <v>0</v>
      </c>
      <c r="BR51" s="26">
        <f t="shared" si="59"/>
        <v>0</v>
      </c>
      <c r="BS51" s="26">
        <f t="shared" si="59"/>
        <v>0</v>
      </c>
      <c r="BT51" s="26">
        <f t="shared" si="59"/>
        <v>0</v>
      </c>
      <c r="BU51" s="26">
        <f t="shared" si="59"/>
        <v>0</v>
      </c>
      <c r="BV51" s="26">
        <f t="shared" si="59"/>
        <v>0</v>
      </c>
      <c r="BW51" s="26">
        <f t="shared" si="59"/>
        <v>0</v>
      </c>
      <c r="BX51" s="26">
        <f t="shared" si="59"/>
        <v>0</v>
      </c>
      <c r="BY51" s="26">
        <f t="shared" si="60"/>
        <v>1</v>
      </c>
      <c r="BZ51" s="26">
        <f t="shared" si="60"/>
        <v>0.6</v>
      </c>
      <c r="CA51" s="26">
        <f t="shared" si="60"/>
        <v>0.6</v>
      </c>
      <c r="CB51" s="26">
        <f t="shared" si="60"/>
        <v>1.5</v>
      </c>
      <c r="CC51" s="26">
        <f t="shared" si="60"/>
        <v>0</v>
      </c>
      <c r="CD51" s="26">
        <f t="shared" si="60"/>
        <v>0</v>
      </c>
      <c r="CE51" s="26">
        <f t="shared" si="60"/>
        <v>1</v>
      </c>
      <c r="CF51" s="26">
        <f t="shared" si="60"/>
        <v>0</v>
      </c>
      <c r="CG51" s="26">
        <f t="shared" si="60"/>
        <v>0</v>
      </c>
      <c r="CH51" s="26">
        <f t="shared" si="60"/>
        <v>1</v>
      </c>
      <c r="CI51" s="26">
        <f t="shared" si="61"/>
        <v>0</v>
      </c>
      <c r="CJ51" s="26">
        <f t="shared" si="61"/>
        <v>0</v>
      </c>
      <c r="CK51" s="26">
        <f t="shared" si="61"/>
        <v>0</v>
      </c>
      <c r="CL51" s="26">
        <f t="shared" si="61"/>
        <v>0</v>
      </c>
      <c r="CM51" s="26">
        <f t="shared" si="61"/>
        <v>0</v>
      </c>
      <c r="CN51" s="26">
        <f t="shared" si="61"/>
        <v>0</v>
      </c>
      <c r="CO51" s="26">
        <f t="shared" si="61"/>
        <v>0</v>
      </c>
      <c r="CP51" s="26">
        <f t="shared" si="61"/>
        <v>0</v>
      </c>
      <c r="CQ51" s="26">
        <f t="shared" si="61"/>
        <v>0</v>
      </c>
      <c r="CR51" s="26">
        <f t="shared" si="61"/>
        <v>0</v>
      </c>
      <c r="CS51" s="26">
        <f t="shared" si="61"/>
        <v>0</v>
      </c>
      <c r="CT51" s="26">
        <f t="shared" si="61"/>
        <v>0</v>
      </c>
      <c r="CU51" s="26">
        <f t="shared" si="62"/>
        <v>1.5</v>
      </c>
      <c r="CV51" s="26">
        <f t="shared" si="62"/>
        <v>0.6</v>
      </c>
      <c r="CW51" s="26">
        <f t="shared" si="62"/>
        <v>0.6</v>
      </c>
      <c r="CX51" s="26">
        <f t="shared" si="62"/>
        <v>1.5</v>
      </c>
      <c r="CY51" s="26">
        <f t="shared" si="62"/>
        <v>0</v>
      </c>
      <c r="CZ51" s="26">
        <f t="shared" si="62"/>
        <v>0</v>
      </c>
      <c r="DA51" s="26">
        <f t="shared" si="62"/>
        <v>1</v>
      </c>
      <c r="DB51" s="26">
        <f t="shared" si="62"/>
        <v>1</v>
      </c>
      <c r="DC51" s="26">
        <f t="shared" si="62"/>
        <v>0.6</v>
      </c>
      <c r="DD51" s="26">
        <f t="shared" si="62"/>
        <v>1</v>
      </c>
      <c r="DE51" s="26">
        <f t="shared" si="63"/>
        <v>0</v>
      </c>
      <c r="DF51" s="26">
        <f t="shared" si="63"/>
        <v>0</v>
      </c>
      <c r="DG51" s="26">
        <f t="shared" si="63"/>
        <v>0</v>
      </c>
      <c r="DH51" s="26">
        <f t="shared" si="63"/>
        <v>0</v>
      </c>
      <c r="DI51" s="26">
        <f t="shared" si="63"/>
        <v>0</v>
      </c>
      <c r="DJ51" s="26">
        <f t="shared" si="63"/>
        <v>0</v>
      </c>
      <c r="DK51" s="26">
        <f t="shared" si="63"/>
        <v>0</v>
      </c>
      <c r="DL51" s="26">
        <f t="shared" si="63"/>
        <v>0</v>
      </c>
      <c r="DM51" s="26">
        <f t="shared" si="63"/>
        <v>0</v>
      </c>
      <c r="DN51" s="26">
        <f t="shared" si="63"/>
        <v>0</v>
      </c>
      <c r="DO51" s="26">
        <f t="shared" si="63"/>
        <v>0</v>
      </c>
      <c r="DP51" s="26">
        <f t="shared" si="63"/>
        <v>0</v>
      </c>
      <c r="DQ51" s="26">
        <f t="shared" si="64"/>
        <v>1.5</v>
      </c>
      <c r="DR51" s="26">
        <f t="shared" si="64"/>
        <v>1</v>
      </c>
      <c r="DS51" s="26">
        <f t="shared" si="64"/>
        <v>1</v>
      </c>
      <c r="DT51" s="26">
        <f t="shared" si="64"/>
        <v>1.5</v>
      </c>
      <c r="DU51" s="26">
        <f t="shared" si="64"/>
        <v>0.3</v>
      </c>
      <c r="DV51" s="26">
        <f t="shared" si="64"/>
        <v>0</v>
      </c>
      <c r="DW51" s="26">
        <f t="shared" si="64"/>
        <v>1</v>
      </c>
      <c r="DX51" s="26">
        <f t="shared" si="64"/>
        <v>1</v>
      </c>
      <c r="DY51" s="26">
        <f t="shared" si="64"/>
        <v>1</v>
      </c>
      <c r="DZ51" s="26">
        <f t="shared" si="64"/>
        <v>1</v>
      </c>
      <c r="EA51" s="26">
        <f t="shared" si="65"/>
        <v>0</v>
      </c>
      <c r="EB51" s="26">
        <f t="shared" si="65"/>
        <v>0</v>
      </c>
      <c r="EC51" s="26">
        <f t="shared" si="65"/>
        <v>0</v>
      </c>
      <c r="ED51" s="26">
        <f t="shared" si="65"/>
        <v>0</v>
      </c>
      <c r="EE51" s="26">
        <f t="shared" si="65"/>
        <v>0</v>
      </c>
      <c r="EF51" s="26">
        <f t="shared" si="65"/>
        <v>0</v>
      </c>
      <c r="EG51" s="26">
        <f t="shared" si="65"/>
        <v>0</v>
      </c>
      <c r="EH51" s="26">
        <f t="shared" si="65"/>
        <v>0</v>
      </c>
      <c r="EI51" s="26">
        <f t="shared" si="65"/>
        <v>0</v>
      </c>
      <c r="EJ51" s="26">
        <f t="shared" si="65"/>
        <v>0</v>
      </c>
      <c r="EK51" s="26">
        <f t="shared" si="65"/>
        <v>0</v>
      </c>
      <c r="EL51" s="26">
        <f t="shared" si="65"/>
        <v>0</v>
      </c>
      <c r="EM51" s="26">
        <f t="shared" si="18"/>
        <v>45551</v>
      </c>
      <c r="EN51" s="26">
        <f t="shared" si="19"/>
        <v>49967</v>
      </c>
      <c r="EO51" s="26">
        <f t="shared" si="20"/>
        <v>63998</v>
      </c>
      <c r="EP51" s="26">
        <f t="shared" si="21"/>
        <v>95579</v>
      </c>
      <c r="EQ51" s="26">
        <f t="shared" si="22"/>
        <v>119240</v>
      </c>
    </row>
    <row r="52" spans="2:147">
      <c r="B52" s="27">
        <v>8</v>
      </c>
      <c r="C52" s="27">
        <v>6</v>
      </c>
      <c r="D52" s="27">
        <v>1000</v>
      </c>
      <c r="E52" s="27">
        <f t="shared" si="23"/>
        <v>28000</v>
      </c>
      <c r="F52" s="27">
        <f t="shared" si="11"/>
        <v>28000</v>
      </c>
      <c r="G52" s="27">
        <f>SUM(F$5:F52)</f>
        <v>606000</v>
      </c>
      <c r="H52" s="27">
        <f t="shared" si="24"/>
        <v>48</v>
      </c>
      <c r="I52" s="27" t="s">
        <v>146</v>
      </c>
      <c r="J52" s="27">
        <v>0.04</v>
      </c>
      <c r="K52" s="27">
        <f>INDEX(其他调用!$BO$5:$BO$61,MATCH(星阵点亮!I52,其他调用!$BM$5:$BM$61,0))*J52</f>
        <v>19961.012508039577</v>
      </c>
      <c r="L52" s="27">
        <f t="shared" si="55"/>
        <v>19961</v>
      </c>
      <c r="O52" s="30"/>
      <c r="Q52" s="26">
        <v>48</v>
      </c>
      <c r="R52" s="26">
        <f>总纲!D52</f>
        <v>26.857618025475972</v>
      </c>
      <c r="S52" s="26">
        <f>求节点(将星点产出!$W$6:$W$44,将星点产出!$AO$6:$AO$44,星阵点亮!$Q52)</f>
        <v>54453.627868040145</v>
      </c>
      <c r="T52" s="26">
        <f t="shared" si="13"/>
        <v>14</v>
      </c>
      <c r="U52" s="26">
        <f>总纲!E52</f>
        <v>23.425214441820142</v>
      </c>
      <c r="V52" s="26">
        <f>求节点(将星点产出!$W$51:$W$89,将星点产出!$AO$51:$AO$89,星阵点亮!$Q52)</f>
        <v>59364.410057881585</v>
      </c>
      <c r="W52" s="26">
        <f t="shared" si="14"/>
        <v>14</v>
      </c>
      <c r="X52" s="26">
        <f>总纲!F52</f>
        <v>19.329427692935056</v>
      </c>
      <c r="Y52" s="26">
        <f>求节点(将星点产出!$W$96:$W$134,将星点产出!$AO$96:$AO$134,星阵点亮!$Q52)</f>
        <v>85604.763942835212</v>
      </c>
      <c r="Z52" s="26">
        <f t="shared" si="15"/>
        <v>18</v>
      </c>
      <c r="AA52" s="26">
        <f>总纲!G52</f>
        <v>14.269452456935383</v>
      </c>
      <c r="AB52" s="26">
        <f>求节点(将星点产出!$W$141:$W$179,将星点产出!$AO$141:$AO$179,星阵点亮!$Q52)</f>
        <v>150530.22166296656</v>
      </c>
      <c r="AC52" s="26">
        <f t="shared" si="16"/>
        <v>24</v>
      </c>
      <c r="AD52" s="26">
        <f>总纲!H52</f>
        <v>7.9605979827510778</v>
      </c>
      <c r="AE52" s="26">
        <f>求节点(将星点产出!$W$186:$W$224,将星点产出!$AO$186:$AO$224,星阵点亮!$Q52)</f>
        <v>200963.53771746851</v>
      </c>
      <c r="AF52" s="26">
        <f t="shared" si="17"/>
        <v>27</v>
      </c>
      <c r="AG52" s="26">
        <f t="shared" si="56"/>
        <v>0.6</v>
      </c>
      <c r="AH52" s="26">
        <f t="shared" si="56"/>
        <v>0.6</v>
      </c>
      <c r="AI52" s="26">
        <f t="shared" si="56"/>
        <v>0.3</v>
      </c>
      <c r="AJ52" s="26">
        <f t="shared" si="56"/>
        <v>1</v>
      </c>
      <c r="AK52" s="26">
        <f t="shared" si="56"/>
        <v>0</v>
      </c>
      <c r="AL52" s="26">
        <f t="shared" si="56"/>
        <v>0</v>
      </c>
      <c r="AM52" s="26">
        <f t="shared" si="56"/>
        <v>1</v>
      </c>
      <c r="AN52" s="26">
        <f t="shared" si="56"/>
        <v>0</v>
      </c>
      <c r="AO52" s="26">
        <f t="shared" si="56"/>
        <v>0</v>
      </c>
      <c r="AP52" s="26">
        <f t="shared" si="56"/>
        <v>1</v>
      </c>
      <c r="AQ52" s="26">
        <f t="shared" si="57"/>
        <v>0</v>
      </c>
      <c r="AR52" s="26">
        <f t="shared" si="57"/>
        <v>0</v>
      </c>
      <c r="AS52" s="26">
        <f t="shared" si="57"/>
        <v>0</v>
      </c>
      <c r="AT52" s="26">
        <f t="shared" si="57"/>
        <v>0</v>
      </c>
      <c r="AU52" s="26">
        <f t="shared" si="57"/>
        <v>0</v>
      </c>
      <c r="AV52" s="26">
        <f t="shared" si="57"/>
        <v>0</v>
      </c>
      <c r="AW52" s="26">
        <f t="shared" si="57"/>
        <v>0</v>
      </c>
      <c r="AX52" s="26">
        <f t="shared" si="57"/>
        <v>0</v>
      </c>
      <c r="AY52" s="26">
        <f t="shared" si="57"/>
        <v>0</v>
      </c>
      <c r="AZ52" s="26">
        <f t="shared" si="57"/>
        <v>0</v>
      </c>
      <c r="BA52" s="26">
        <f t="shared" si="57"/>
        <v>0</v>
      </c>
      <c r="BB52" s="26">
        <f t="shared" si="57"/>
        <v>0</v>
      </c>
      <c r="BC52" s="26">
        <f t="shared" si="58"/>
        <v>0.6</v>
      </c>
      <c r="BD52" s="26">
        <f t="shared" si="58"/>
        <v>0.6</v>
      </c>
      <c r="BE52" s="26">
        <f t="shared" si="58"/>
        <v>0.3</v>
      </c>
      <c r="BF52" s="26">
        <f t="shared" si="58"/>
        <v>1</v>
      </c>
      <c r="BG52" s="26">
        <f t="shared" si="58"/>
        <v>0</v>
      </c>
      <c r="BH52" s="26">
        <f t="shared" si="58"/>
        <v>0</v>
      </c>
      <c r="BI52" s="26">
        <f t="shared" si="58"/>
        <v>1</v>
      </c>
      <c r="BJ52" s="26">
        <f t="shared" si="58"/>
        <v>0</v>
      </c>
      <c r="BK52" s="26">
        <f t="shared" si="58"/>
        <v>0</v>
      </c>
      <c r="BL52" s="26">
        <f t="shared" si="58"/>
        <v>1</v>
      </c>
      <c r="BM52" s="26">
        <f t="shared" si="59"/>
        <v>0</v>
      </c>
      <c r="BN52" s="26">
        <f t="shared" si="59"/>
        <v>0</v>
      </c>
      <c r="BO52" s="26">
        <f t="shared" si="59"/>
        <v>0</v>
      </c>
      <c r="BP52" s="26">
        <f t="shared" si="59"/>
        <v>0</v>
      </c>
      <c r="BQ52" s="26">
        <f t="shared" si="59"/>
        <v>0</v>
      </c>
      <c r="BR52" s="26">
        <f t="shared" si="59"/>
        <v>0</v>
      </c>
      <c r="BS52" s="26">
        <f t="shared" si="59"/>
        <v>0</v>
      </c>
      <c r="BT52" s="26">
        <f t="shared" si="59"/>
        <v>0</v>
      </c>
      <c r="BU52" s="26">
        <f t="shared" si="59"/>
        <v>0</v>
      </c>
      <c r="BV52" s="26">
        <f t="shared" si="59"/>
        <v>0</v>
      </c>
      <c r="BW52" s="26">
        <f t="shared" si="59"/>
        <v>0</v>
      </c>
      <c r="BX52" s="26">
        <f t="shared" si="59"/>
        <v>0</v>
      </c>
      <c r="BY52" s="26">
        <f t="shared" si="60"/>
        <v>1.5</v>
      </c>
      <c r="BZ52" s="26">
        <f t="shared" si="60"/>
        <v>0.6</v>
      </c>
      <c r="CA52" s="26">
        <f t="shared" si="60"/>
        <v>0.6</v>
      </c>
      <c r="CB52" s="26">
        <f t="shared" si="60"/>
        <v>1.5</v>
      </c>
      <c r="CC52" s="26">
        <f t="shared" si="60"/>
        <v>0</v>
      </c>
      <c r="CD52" s="26">
        <f t="shared" si="60"/>
        <v>0</v>
      </c>
      <c r="CE52" s="26">
        <f t="shared" si="60"/>
        <v>1</v>
      </c>
      <c r="CF52" s="26">
        <f t="shared" si="60"/>
        <v>0</v>
      </c>
      <c r="CG52" s="26">
        <f t="shared" si="60"/>
        <v>0</v>
      </c>
      <c r="CH52" s="26">
        <f t="shared" si="60"/>
        <v>1</v>
      </c>
      <c r="CI52" s="26">
        <f t="shared" si="61"/>
        <v>0</v>
      </c>
      <c r="CJ52" s="26">
        <f t="shared" si="61"/>
        <v>0</v>
      </c>
      <c r="CK52" s="26">
        <f t="shared" si="61"/>
        <v>0</v>
      </c>
      <c r="CL52" s="26">
        <f t="shared" si="61"/>
        <v>0</v>
      </c>
      <c r="CM52" s="26">
        <f t="shared" si="61"/>
        <v>0</v>
      </c>
      <c r="CN52" s="26">
        <f t="shared" si="61"/>
        <v>0</v>
      </c>
      <c r="CO52" s="26">
        <f t="shared" si="61"/>
        <v>0</v>
      </c>
      <c r="CP52" s="26">
        <f t="shared" si="61"/>
        <v>0</v>
      </c>
      <c r="CQ52" s="26">
        <f t="shared" si="61"/>
        <v>0</v>
      </c>
      <c r="CR52" s="26">
        <f t="shared" si="61"/>
        <v>0</v>
      </c>
      <c r="CS52" s="26">
        <f t="shared" si="61"/>
        <v>0</v>
      </c>
      <c r="CT52" s="26">
        <f t="shared" si="61"/>
        <v>0</v>
      </c>
      <c r="CU52" s="26">
        <f t="shared" si="62"/>
        <v>1.5</v>
      </c>
      <c r="CV52" s="26">
        <f t="shared" si="62"/>
        <v>0.6</v>
      </c>
      <c r="CW52" s="26">
        <f t="shared" si="62"/>
        <v>0.6</v>
      </c>
      <c r="CX52" s="26">
        <f t="shared" si="62"/>
        <v>1.5</v>
      </c>
      <c r="CY52" s="26">
        <f t="shared" si="62"/>
        <v>0</v>
      </c>
      <c r="CZ52" s="26">
        <f t="shared" si="62"/>
        <v>0</v>
      </c>
      <c r="DA52" s="26">
        <f t="shared" si="62"/>
        <v>1</v>
      </c>
      <c r="DB52" s="26">
        <f t="shared" si="62"/>
        <v>1</v>
      </c>
      <c r="DC52" s="26">
        <f t="shared" si="62"/>
        <v>1</v>
      </c>
      <c r="DD52" s="26">
        <f t="shared" si="62"/>
        <v>1</v>
      </c>
      <c r="DE52" s="26">
        <f t="shared" si="63"/>
        <v>0</v>
      </c>
      <c r="DF52" s="26">
        <f t="shared" si="63"/>
        <v>0</v>
      </c>
      <c r="DG52" s="26">
        <f t="shared" si="63"/>
        <v>0</v>
      </c>
      <c r="DH52" s="26">
        <f t="shared" si="63"/>
        <v>0</v>
      </c>
      <c r="DI52" s="26">
        <f t="shared" si="63"/>
        <v>0</v>
      </c>
      <c r="DJ52" s="26">
        <f t="shared" si="63"/>
        <v>0</v>
      </c>
      <c r="DK52" s="26">
        <f t="shared" si="63"/>
        <v>0</v>
      </c>
      <c r="DL52" s="26">
        <f t="shared" si="63"/>
        <v>0</v>
      </c>
      <c r="DM52" s="26">
        <f t="shared" si="63"/>
        <v>0</v>
      </c>
      <c r="DN52" s="26">
        <f t="shared" si="63"/>
        <v>0</v>
      </c>
      <c r="DO52" s="26">
        <f t="shared" si="63"/>
        <v>0</v>
      </c>
      <c r="DP52" s="26">
        <f t="shared" si="63"/>
        <v>0</v>
      </c>
      <c r="DQ52" s="26">
        <f t="shared" si="64"/>
        <v>1.5</v>
      </c>
      <c r="DR52" s="26">
        <f t="shared" si="64"/>
        <v>1</v>
      </c>
      <c r="DS52" s="26">
        <f t="shared" si="64"/>
        <v>1</v>
      </c>
      <c r="DT52" s="26">
        <f t="shared" si="64"/>
        <v>1.5</v>
      </c>
      <c r="DU52" s="26">
        <f t="shared" si="64"/>
        <v>0.3</v>
      </c>
      <c r="DV52" s="26">
        <f t="shared" si="64"/>
        <v>0</v>
      </c>
      <c r="DW52" s="26">
        <f t="shared" si="64"/>
        <v>1</v>
      </c>
      <c r="DX52" s="26">
        <f t="shared" si="64"/>
        <v>1</v>
      </c>
      <c r="DY52" s="26">
        <f t="shared" si="64"/>
        <v>1</v>
      </c>
      <c r="DZ52" s="26">
        <f t="shared" si="64"/>
        <v>1</v>
      </c>
      <c r="EA52" s="26">
        <f t="shared" si="65"/>
        <v>0</v>
      </c>
      <c r="EB52" s="26">
        <f t="shared" si="65"/>
        <v>0</v>
      </c>
      <c r="EC52" s="26">
        <f t="shared" si="65"/>
        <v>0</v>
      </c>
      <c r="ED52" s="26">
        <f t="shared" si="65"/>
        <v>0</v>
      </c>
      <c r="EE52" s="26">
        <f t="shared" si="65"/>
        <v>0</v>
      </c>
      <c r="EF52" s="26">
        <f t="shared" si="65"/>
        <v>0</v>
      </c>
      <c r="EG52" s="26">
        <f t="shared" si="65"/>
        <v>0</v>
      </c>
      <c r="EH52" s="26">
        <f t="shared" si="65"/>
        <v>0</v>
      </c>
      <c r="EI52" s="26">
        <f t="shared" si="65"/>
        <v>0</v>
      </c>
      <c r="EJ52" s="26">
        <f t="shared" si="65"/>
        <v>0</v>
      </c>
      <c r="EK52" s="26">
        <f t="shared" si="65"/>
        <v>0</v>
      </c>
      <c r="EL52" s="26">
        <f t="shared" si="65"/>
        <v>0</v>
      </c>
      <c r="EM52" s="26">
        <f t="shared" si="18"/>
        <v>49967</v>
      </c>
      <c r="EN52" s="26">
        <f t="shared" si="19"/>
        <v>49967</v>
      </c>
      <c r="EO52" s="26">
        <f t="shared" si="20"/>
        <v>68936</v>
      </c>
      <c r="EP52" s="26">
        <f t="shared" si="21"/>
        <v>101299</v>
      </c>
      <c r="EQ52" s="26">
        <f t="shared" si="22"/>
        <v>119240</v>
      </c>
    </row>
    <row r="53" spans="2:147">
      <c r="B53" s="27">
        <v>9</v>
      </c>
      <c r="C53" s="27">
        <v>1</v>
      </c>
      <c r="D53" s="27">
        <v>1000</v>
      </c>
      <c r="E53" s="27">
        <f t="shared" si="23"/>
        <v>29000</v>
      </c>
      <c r="F53" s="27">
        <f t="shared" si="11"/>
        <v>29000</v>
      </c>
      <c r="G53" s="27">
        <f>SUM(F$5:F53)</f>
        <v>635000</v>
      </c>
      <c r="H53" s="27">
        <f t="shared" si="24"/>
        <v>49</v>
      </c>
      <c r="I53" s="27" t="s">
        <v>147</v>
      </c>
      <c r="J53" s="27">
        <v>2.5000000000000001E-2</v>
      </c>
      <c r="K53" s="27">
        <f>INDEX(其他调用!$BO$5:$BO$61,MATCH(星阵点亮!I53,其他调用!$BM$5:$BM$61,0))*J53</f>
        <v>13774.034568314977</v>
      </c>
      <c r="L53" s="27">
        <f t="shared" si="55"/>
        <v>20011</v>
      </c>
      <c r="O53" s="30"/>
      <c r="Q53" s="26">
        <v>49</v>
      </c>
      <c r="R53" s="26">
        <f>总纲!D53</f>
        <v>28.857055729177837</v>
      </c>
      <c r="S53" s="26">
        <f>求节点(将星点产出!$W$6:$W$44,将星点产出!$AO$6:$AO$44,星阵点亮!$Q53)</f>
        <v>57294.704971976549</v>
      </c>
      <c r="T53" s="26">
        <f t="shared" si="13"/>
        <v>14</v>
      </c>
      <c r="U53" s="26">
        <f>总纲!E53</f>
        <v>25.166238301415991</v>
      </c>
      <c r="V53" s="26">
        <f>求节点(将星点产出!$W$51:$W$89,将星点产出!$AO$51:$AO$89,星阵点亮!$Q53)</f>
        <v>61874.687317148906</v>
      </c>
      <c r="W53" s="26">
        <f t="shared" si="14"/>
        <v>15</v>
      </c>
      <c r="X53" s="26">
        <f>总纲!F53</f>
        <v>20.719366013549685</v>
      </c>
      <c r="Y53" s="26">
        <f>求节点(将星点产出!$W$96:$W$134,将星点产出!$AO$96:$AO$134,星阵点亮!$Q53)</f>
        <v>88734.009621325735</v>
      </c>
      <c r="Z53" s="26">
        <f t="shared" si="15"/>
        <v>18</v>
      </c>
      <c r="AA53" s="26">
        <f>总纲!G53</f>
        <v>15.268268186307994</v>
      </c>
      <c r="AB53" s="26">
        <f>求节点(将星点产出!$W$141:$W$179,将星点产出!$AO$141:$AO$179,星阵点亮!$Q53)</f>
        <v>157457.97065299252</v>
      </c>
      <c r="AC53" s="26">
        <f t="shared" si="16"/>
        <v>24</v>
      </c>
      <c r="AD53" s="26">
        <f>总纲!H53</f>
        <v>8.5474599069824766</v>
      </c>
      <c r="AE53" s="26">
        <f>求节点(将星点产出!$W$186:$W$224,将星点产出!$AO$186:$AO$224,星阵点亮!$Q53)</f>
        <v>213442.54795500639</v>
      </c>
      <c r="AF53" s="26">
        <f t="shared" si="17"/>
        <v>28</v>
      </c>
      <c r="AG53" s="26">
        <f t="shared" si="56"/>
        <v>0.6</v>
      </c>
      <c r="AH53" s="26">
        <f t="shared" si="56"/>
        <v>0.6</v>
      </c>
      <c r="AI53" s="26">
        <f t="shared" si="56"/>
        <v>0.3</v>
      </c>
      <c r="AJ53" s="26">
        <f t="shared" si="56"/>
        <v>1</v>
      </c>
      <c r="AK53" s="26">
        <f t="shared" si="56"/>
        <v>0</v>
      </c>
      <c r="AL53" s="26">
        <f t="shared" si="56"/>
        <v>0</v>
      </c>
      <c r="AM53" s="26">
        <f t="shared" si="56"/>
        <v>1</v>
      </c>
      <c r="AN53" s="26">
        <f t="shared" si="56"/>
        <v>0</v>
      </c>
      <c r="AO53" s="26">
        <f t="shared" si="56"/>
        <v>0</v>
      </c>
      <c r="AP53" s="26">
        <f t="shared" si="56"/>
        <v>1</v>
      </c>
      <c r="AQ53" s="26">
        <f t="shared" si="57"/>
        <v>0</v>
      </c>
      <c r="AR53" s="26">
        <f t="shared" si="57"/>
        <v>0</v>
      </c>
      <c r="AS53" s="26">
        <f t="shared" si="57"/>
        <v>0</v>
      </c>
      <c r="AT53" s="26">
        <f t="shared" si="57"/>
        <v>0</v>
      </c>
      <c r="AU53" s="26">
        <f t="shared" si="57"/>
        <v>0</v>
      </c>
      <c r="AV53" s="26">
        <f t="shared" si="57"/>
        <v>0</v>
      </c>
      <c r="AW53" s="26">
        <f t="shared" si="57"/>
        <v>0</v>
      </c>
      <c r="AX53" s="26">
        <f t="shared" si="57"/>
        <v>0</v>
      </c>
      <c r="AY53" s="26">
        <f t="shared" si="57"/>
        <v>0</v>
      </c>
      <c r="AZ53" s="26">
        <f t="shared" si="57"/>
        <v>0</v>
      </c>
      <c r="BA53" s="26">
        <f t="shared" si="57"/>
        <v>0</v>
      </c>
      <c r="BB53" s="26">
        <f t="shared" si="57"/>
        <v>0</v>
      </c>
      <c r="BC53" s="26">
        <f t="shared" si="58"/>
        <v>1</v>
      </c>
      <c r="BD53" s="26">
        <f t="shared" si="58"/>
        <v>0.6</v>
      </c>
      <c r="BE53" s="26">
        <f t="shared" si="58"/>
        <v>0.3</v>
      </c>
      <c r="BF53" s="26">
        <f t="shared" si="58"/>
        <v>1</v>
      </c>
      <c r="BG53" s="26">
        <f t="shared" si="58"/>
        <v>0</v>
      </c>
      <c r="BH53" s="26">
        <f t="shared" si="58"/>
        <v>0</v>
      </c>
      <c r="BI53" s="26">
        <f t="shared" si="58"/>
        <v>1</v>
      </c>
      <c r="BJ53" s="26">
        <f t="shared" si="58"/>
        <v>0</v>
      </c>
      <c r="BK53" s="26">
        <f t="shared" si="58"/>
        <v>0</v>
      </c>
      <c r="BL53" s="26">
        <f t="shared" si="58"/>
        <v>1</v>
      </c>
      <c r="BM53" s="26">
        <f t="shared" si="59"/>
        <v>0</v>
      </c>
      <c r="BN53" s="26">
        <f t="shared" si="59"/>
        <v>0</v>
      </c>
      <c r="BO53" s="26">
        <f t="shared" si="59"/>
        <v>0</v>
      </c>
      <c r="BP53" s="26">
        <f t="shared" si="59"/>
        <v>0</v>
      </c>
      <c r="BQ53" s="26">
        <f t="shared" si="59"/>
        <v>0</v>
      </c>
      <c r="BR53" s="26">
        <f t="shared" si="59"/>
        <v>0</v>
      </c>
      <c r="BS53" s="26">
        <f t="shared" si="59"/>
        <v>0</v>
      </c>
      <c r="BT53" s="26">
        <f t="shared" si="59"/>
        <v>0</v>
      </c>
      <c r="BU53" s="26">
        <f t="shared" si="59"/>
        <v>0</v>
      </c>
      <c r="BV53" s="26">
        <f t="shared" si="59"/>
        <v>0</v>
      </c>
      <c r="BW53" s="26">
        <f t="shared" si="59"/>
        <v>0</v>
      </c>
      <c r="BX53" s="26">
        <f t="shared" si="59"/>
        <v>0</v>
      </c>
      <c r="BY53" s="26">
        <f t="shared" si="60"/>
        <v>1.5</v>
      </c>
      <c r="BZ53" s="26">
        <f t="shared" si="60"/>
        <v>0.6</v>
      </c>
      <c r="CA53" s="26">
        <f t="shared" si="60"/>
        <v>0.6</v>
      </c>
      <c r="CB53" s="26">
        <f t="shared" si="60"/>
        <v>1.5</v>
      </c>
      <c r="CC53" s="26">
        <f t="shared" si="60"/>
        <v>0</v>
      </c>
      <c r="CD53" s="26">
        <f t="shared" si="60"/>
        <v>0</v>
      </c>
      <c r="CE53" s="26">
        <f t="shared" si="60"/>
        <v>1</v>
      </c>
      <c r="CF53" s="26">
        <f t="shared" si="60"/>
        <v>0</v>
      </c>
      <c r="CG53" s="26">
        <f t="shared" si="60"/>
        <v>0</v>
      </c>
      <c r="CH53" s="26">
        <f t="shared" si="60"/>
        <v>1</v>
      </c>
      <c r="CI53" s="26">
        <f t="shared" si="61"/>
        <v>0</v>
      </c>
      <c r="CJ53" s="26">
        <f t="shared" si="61"/>
        <v>0</v>
      </c>
      <c r="CK53" s="26">
        <f t="shared" si="61"/>
        <v>0</v>
      </c>
      <c r="CL53" s="26">
        <f t="shared" si="61"/>
        <v>0</v>
      </c>
      <c r="CM53" s="26">
        <f t="shared" si="61"/>
        <v>0</v>
      </c>
      <c r="CN53" s="26">
        <f t="shared" si="61"/>
        <v>0</v>
      </c>
      <c r="CO53" s="26">
        <f t="shared" si="61"/>
        <v>0</v>
      </c>
      <c r="CP53" s="26">
        <f t="shared" si="61"/>
        <v>0</v>
      </c>
      <c r="CQ53" s="26">
        <f t="shared" si="61"/>
        <v>0</v>
      </c>
      <c r="CR53" s="26">
        <f t="shared" si="61"/>
        <v>0</v>
      </c>
      <c r="CS53" s="26">
        <f t="shared" si="61"/>
        <v>0</v>
      </c>
      <c r="CT53" s="26">
        <f t="shared" si="61"/>
        <v>0</v>
      </c>
      <c r="CU53" s="26">
        <f t="shared" si="62"/>
        <v>1.5</v>
      </c>
      <c r="CV53" s="26">
        <f t="shared" si="62"/>
        <v>0.6</v>
      </c>
      <c r="CW53" s="26">
        <f t="shared" si="62"/>
        <v>0.6</v>
      </c>
      <c r="CX53" s="26">
        <f t="shared" si="62"/>
        <v>1.5</v>
      </c>
      <c r="CY53" s="26">
        <f t="shared" si="62"/>
        <v>0</v>
      </c>
      <c r="CZ53" s="26">
        <f t="shared" si="62"/>
        <v>0</v>
      </c>
      <c r="DA53" s="26">
        <f t="shared" si="62"/>
        <v>1</v>
      </c>
      <c r="DB53" s="26">
        <f t="shared" si="62"/>
        <v>1</v>
      </c>
      <c r="DC53" s="26">
        <f t="shared" si="62"/>
        <v>1</v>
      </c>
      <c r="DD53" s="26">
        <f t="shared" si="62"/>
        <v>1</v>
      </c>
      <c r="DE53" s="26">
        <f t="shared" si="63"/>
        <v>0</v>
      </c>
      <c r="DF53" s="26">
        <f t="shared" si="63"/>
        <v>0</v>
      </c>
      <c r="DG53" s="26">
        <f t="shared" si="63"/>
        <v>0</v>
      </c>
      <c r="DH53" s="26">
        <f t="shared" si="63"/>
        <v>0</v>
      </c>
      <c r="DI53" s="26">
        <f t="shared" si="63"/>
        <v>0</v>
      </c>
      <c r="DJ53" s="26">
        <f t="shared" si="63"/>
        <v>0</v>
      </c>
      <c r="DK53" s="26">
        <f t="shared" si="63"/>
        <v>0</v>
      </c>
      <c r="DL53" s="26">
        <f t="shared" si="63"/>
        <v>0</v>
      </c>
      <c r="DM53" s="26">
        <f t="shared" si="63"/>
        <v>0</v>
      </c>
      <c r="DN53" s="26">
        <f t="shared" si="63"/>
        <v>0</v>
      </c>
      <c r="DO53" s="26">
        <f t="shared" si="63"/>
        <v>0</v>
      </c>
      <c r="DP53" s="26">
        <f t="shared" si="63"/>
        <v>0</v>
      </c>
      <c r="DQ53" s="26">
        <f t="shared" si="64"/>
        <v>1.5</v>
      </c>
      <c r="DR53" s="26">
        <f t="shared" si="64"/>
        <v>1.5</v>
      </c>
      <c r="DS53" s="26">
        <f t="shared" si="64"/>
        <v>1</v>
      </c>
      <c r="DT53" s="26">
        <f t="shared" si="64"/>
        <v>1.5</v>
      </c>
      <c r="DU53" s="26">
        <f t="shared" si="64"/>
        <v>0.3</v>
      </c>
      <c r="DV53" s="26">
        <f t="shared" si="64"/>
        <v>0</v>
      </c>
      <c r="DW53" s="26">
        <f t="shared" si="64"/>
        <v>1</v>
      </c>
      <c r="DX53" s="26">
        <f t="shared" si="64"/>
        <v>1</v>
      </c>
      <c r="DY53" s="26">
        <f t="shared" si="64"/>
        <v>1</v>
      </c>
      <c r="DZ53" s="26">
        <f t="shared" si="64"/>
        <v>1</v>
      </c>
      <c r="EA53" s="26">
        <f t="shared" si="65"/>
        <v>0</v>
      </c>
      <c r="EB53" s="26">
        <f t="shared" si="65"/>
        <v>0</v>
      </c>
      <c r="EC53" s="26">
        <f t="shared" si="65"/>
        <v>0</v>
      </c>
      <c r="ED53" s="26">
        <f t="shared" si="65"/>
        <v>0</v>
      </c>
      <c r="EE53" s="26">
        <f t="shared" si="65"/>
        <v>0</v>
      </c>
      <c r="EF53" s="26">
        <f t="shared" si="65"/>
        <v>0</v>
      </c>
      <c r="EG53" s="26">
        <f t="shared" si="65"/>
        <v>0</v>
      </c>
      <c r="EH53" s="26">
        <f t="shared" si="65"/>
        <v>0</v>
      </c>
      <c r="EI53" s="26">
        <f t="shared" si="65"/>
        <v>0</v>
      </c>
      <c r="EJ53" s="26">
        <f t="shared" si="65"/>
        <v>0</v>
      </c>
      <c r="EK53" s="26">
        <f t="shared" si="65"/>
        <v>0</v>
      </c>
      <c r="EL53" s="26">
        <f t="shared" si="65"/>
        <v>0</v>
      </c>
      <c r="EM53" s="26">
        <f t="shared" si="18"/>
        <v>49967</v>
      </c>
      <c r="EN53" s="26">
        <f t="shared" si="19"/>
        <v>54514</v>
      </c>
      <c r="EO53" s="26">
        <f t="shared" si="20"/>
        <v>68936</v>
      </c>
      <c r="EP53" s="26">
        <f t="shared" si="21"/>
        <v>101299</v>
      </c>
      <c r="EQ53" s="26">
        <f t="shared" si="22"/>
        <v>125481</v>
      </c>
    </row>
    <row r="54" spans="2:147">
      <c r="B54" s="27">
        <v>9</v>
      </c>
      <c r="C54" s="27">
        <v>2</v>
      </c>
      <c r="D54" s="27">
        <v>1000</v>
      </c>
      <c r="E54" s="27">
        <f t="shared" si="23"/>
        <v>30000</v>
      </c>
      <c r="F54" s="27">
        <f t="shared" si="11"/>
        <v>30000</v>
      </c>
      <c r="G54" s="27">
        <f>SUM(F$5:F54)</f>
        <v>665000</v>
      </c>
      <c r="H54" s="27">
        <f t="shared" si="24"/>
        <v>50</v>
      </c>
      <c r="I54" s="27" t="s">
        <v>148</v>
      </c>
      <c r="J54" s="27">
        <v>2.5000000000000001E-2</v>
      </c>
      <c r="K54" s="27">
        <f>INDEX(其他调用!$BO$5:$BO$61,MATCH(星阵点亮!I54,其他调用!$BM$5:$BM$61,0))*J54</f>
        <v>21930.629497427974</v>
      </c>
      <c r="L54" s="27">
        <f t="shared" si="55"/>
        <v>21930</v>
      </c>
      <c r="O54" s="30"/>
      <c r="Q54" s="26">
        <v>50</v>
      </c>
      <c r="R54" s="26">
        <f>总纲!D54</f>
        <v>31</v>
      </c>
      <c r="S54" s="26">
        <f>求节点(将星点产出!$W$6:$W$44,将星点产出!$AO$6:$AO$44,星阵点亮!$Q54)</f>
        <v>60178.237571350692</v>
      </c>
      <c r="T54" s="26">
        <f t="shared" si="13"/>
        <v>15</v>
      </c>
      <c r="U54" s="26">
        <f>总纲!E54</f>
        <v>27.0351</v>
      </c>
      <c r="V54" s="26">
        <f>求节点(将星点产出!$W$51:$W$89,将星点产出!$AO$51:$AO$89,星阵点亮!$Q54)</f>
        <v>64899.18363651682</v>
      </c>
      <c r="W54" s="26">
        <f t="shared" si="14"/>
        <v>15</v>
      </c>
      <c r="X54" s="26">
        <f>总纲!F54</f>
        <v>22.205300000000001</v>
      </c>
      <c r="Y54" s="26">
        <f>求节点(将星点产出!$W$96:$W$134,将星点产出!$AO$96:$AO$134,星阵点亮!$Q54)</f>
        <v>93442.358300600637</v>
      </c>
      <c r="Z54" s="26">
        <f t="shared" si="15"/>
        <v>18</v>
      </c>
      <c r="AA54" s="26">
        <f>总纲!G54</f>
        <v>16.386599999999998</v>
      </c>
      <c r="AB54" s="26">
        <f>求节点(将星点产出!$W$141:$W$179,将星点产出!$AO$141:$AO$179,星阵点亮!$Q54)</f>
        <v>164558.00107357366</v>
      </c>
      <c r="AC54" s="26">
        <f t="shared" si="16"/>
        <v>25</v>
      </c>
      <c r="AD54" s="26">
        <f>总纲!H54</f>
        <v>9.1883999999999997</v>
      </c>
      <c r="AE54" s="26">
        <f>求节点(将星点产出!$W$186:$W$224,将星点产出!$AO$186:$AO$224,星阵点亮!$Q54)</f>
        <v>229866.14023266899</v>
      </c>
      <c r="AF54" s="26">
        <f t="shared" si="17"/>
        <v>29</v>
      </c>
      <c r="AG54" s="26">
        <f t="shared" si="56"/>
        <v>1</v>
      </c>
      <c r="AH54" s="26">
        <f t="shared" si="56"/>
        <v>0.6</v>
      </c>
      <c r="AI54" s="26">
        <f t="shared" si="56"/>
        <v>0.3</v>
      </c>
      <c r="AJ54" s="26">
        <f t="shared" si="56"/>
        <v>1</v>
      </c>
      <c r="AK54" s="26">
        <f t="shared" si="56"/>
        <v>0</v>
      </c>
      <c r="AL54" s="26">
        <f t="shared" si="56"/>
        <v>0</v>
      </c>
      <c r="AM54" s="26">
        <f t="shared" si="56"/>
        <v>1</v>
      </c>
      <c r="AN54" s="26">
        <f t="shared" si="56"/>
        <v>0</v>
      </c>
      <c r="AO54" s="26">
        <f t="shared" si="56"/>
        <v>0</v>
      </c>
      <c r="AP54" s="26">
        <f t="shared" si="56"/>
        <v>1</v>
      </c>
      <c r="AQ54" s="26">
        <f t="shared" si="57"/>
        <v>0</v>
      </c>
      <c r="AR54" s="26">
        <f t="shared" si="57"/>
        <v>0</v>
      </c>
      <c r="AS54" s="26">
        <f t="shared" si="57"/>
        <v>0</v>
      </c>
      <c r="AT54" s="26">
        <f t="shared" si="57"/>
        <v>0</v>
      </c>
      <c r="AU54" s="26">
        <f t="shared" si="57"/>
        <v>0</v>
      </c>
      <c r="AV54" s="26">
        <f t="shared" si="57"/>
        <v>0</v>
      </c>
      <c r="AW54" s="26">
        <f t="shared" si="57"/>
        <v>0</v>
      </c>
      <c r="AX54" s="26">
        <f t="shared" si="57"/>
        <v>0</v>
      </c>
      <c r="AY54" s="26">
        <f t="shared" si="57"/>
        <v>0</v>
      </c>
      <c r="AZ54" s="26">
        <f t="shared" si="57"/>
        <v>0</v>
      </c>
      <c r="BA54" s="26">
        <f t="shared" si="57"/>
        <v>0</v>
      </c>
      <c r="BB54" s="26">
        <f t="shared" si="57"/>
        <v>0</v>
      </c>
      <c r="BC54" s="26">
        <f t="shared" si="58"/>
        <v>1</v>
      </c>
      <c r="BD54" s="26">
        <f t="shared" si="58"/>
        <v>0.6</v>
      </c>
      <c r="BE54" s="26">
        <f t="shared" si="58"/>
        <v>0.3</v>
      </c>
      <c r="BF54" s="26">
        <f t="shared" si="58"/>
        <v>1</v>
      </c>
      <c r="BG54" s="26">
        <f t="shared" si="58"/>
        <v>0</v>
      </c>
      <c r="BH54" s="26">
        <f t="shared" si="58"/>
        <v>0</v>
      </c>
      <c r="BI54" s="26">
        <f t="shared" si="58"/>
        <v>1</v>
      </c>
      <c r="BJ54" s="26">
        <f t="shared" si="58"/>
        <v>0</v>
      </c>
      <c r="BK54" s="26">
        <f t="shared" si="58"/>
        <v>0</v>
      </c>
      <c r="BL54" s="26">
        <f t="shared" si="58"/>
        <v>1</v>
      </c>
      <c r="BM54" s="26">
        <f t="shared" si="59"/>
        <v>0</v>
      </c>
      <c r="BN54" s="26">
        <f t="shared" si="59"/>
        <v>0</v>
      </c>
      <c r="BO54" s="26">
        <f t="shared" si="59"/>
        <v>0</v>
      </c>
      <c r="BP54" s="26">
        <f t="shared" si="59"/>
        <v>0</v>
      </c>
      <c r="BQ54" s="26">
        <f t="shared" si="59"/>
        <v>0</v>
      </c>
      <c r="BR54" s="26">
        <f t="shared" si="59"/>
        <v>0</v>
      </c>
      <c r="BS54" s="26">
        <f t="shared" si="59"/>
        <v>0</v>
      </c>
      <c r="BT54" s="26">
        <f t="shared" si="59"/>
        <v>0</v>
      </c>
      <c r="BU54" s="26">
        <f t="shared" si="59"/>
        <v>0</v>
      </c>
      <c r="BV54" s="26">
        <f t="shared" si="59"/>
        <v>0</v>
      </c>
      <c r="BW54" s="26">
        <f t="shared" si="59"/>
        <v>0</v>
      </c>
      <c r="BX54" s="26">
        <f t="shared" si="59"/>
        <v>0</v>
      </c>
      <c r="BY54" s="26">
        <f t="shared" si="60"/>
        <v>1.5</v>
      </c>
      <c r="BZ54" s="26">
        <f t="shared" si="60"/>
        <v>0.6</v>
      </c>
      <c r="CA54" s="26">
        <f t="shared" si="60"/>
        <v>0.6</v>
      </c>
      <c r="CB54" s="26">
        <f t="shared" si="60"/>
        <v>1.5</v>
      </c>
      <c r="CC54" s="26">
        <f t="shared" si="60"/>
        <v>0</v>
      </c>
      <c r="CD54" s="26">
        <f t="shared" si="60"/>
        <v>0</v>
      </c>
      <c r="CE54" s="26">
        <f t="shared" si="60"/>
        <v>1</v>
      </c>
      <c r="CF54" s="26">
        <f t="shared" si="60"/>
        <v>0</v>
      </c>
      <c r="CG54" s="26">
        <f t="shared" si="60"/>
        <v>0</v>
      </c>
      <c r="CH54" s="26">
        <f t="shared" si="60"/>
        <v>1</v>
      </c>
      <c r="CI54" s="26">
        <f t="shared" si="61"/>
        <v>0</v>
      </c>
      <c r="CJ54" s="26">
        <f t="shared" si="61"/>
        <v>0</v>
      </c>
      <c r="CK54" s="26">
        <f t="shared" si="61"/>
        <v>0</v>
      </c>
      <c r="CL54" s="26">
        <f t="shared" si="61"/>
        <v>0</v>
      </c>
      <c r="CM54" s="26">
        <f t="shared" si="61"/>
        <v>0</v>
      </c>
      <c r="CN54" s="26">
        <f t="shared" si="61"/>
        <v>0</v>
      </c>
      <c r="CO54" s="26">
        <f t="shared" si="61"/>
        <v>0</v>
      </c>
      <c r="CP54" s="26">
        <f t="shared" si="61"/>
        <v>0</v>
      </c>
      <c r="CQ54" s="26">
        <f t="shared" si="61"/>
        <v>0</v>
      </c>
      <c r="CR54" s="26">
        <f t="shared" si="61"/>
        <v>0</v>
      </c>
      <c r="CS54" s="26">
        <f t="shared" si="61"/>
        <v>0</v>
      </c>
      <c r="CT54" s="26">
        <f t="shared" si="61"/>
        <v>0</v>
      </c>
      <c r="CU54" s="26">
        <f t="shared" si="62"/>
        <v>1.5</v>
      </c>
      <c r="CV54" s="26">
        <f t="shared" si="62"/>
        <v>1</v>
      </c>
      <c r="CW54" s="26">
        <f t="shared" si="62"/>
        <v>0.6</v>
      </c>
      <c r="CX54" s="26">
        <f t="shared" si="62"/>
        <v>1.5</v>
      </c>
      <c r="CY54" s="26">
        <f t="shared" si="62"/>
        <v>0</v>
      </c>
      <c r="CZ54" s="26">
        <f t="shared" si="62"/>
        <v>0</v>
      </c>
      <c r="DA54" s="26">
        <f t="shared" si="62"/>
        <v>1</v>
      </c>
      <c r="DB54" s="26">
        <f t="shared" si="62"/>
        <v>1</v>
      </c>
      <c r="DC54" s="26">
        <f t="shared" si="62"/>
        <v>1</v>
      </c>
      <c r="DD54" s="26">
        <f t="shared" si="62"/>
        <v>1</v>
      </c>
      <c r="DE54" s="26">
        <f t="shared" si="63"/>
        <v>0</v>
      </c>
      <c r="DF54" s="26">
        <f t="shared" si="63"/>
        <v>0</v>
      </c>
      <c r="DG54" s="26">
        <f t="shared" si="63"/>
        <v>0</v>
      </c>
      <c r="DH54" s="26">
        <f t="shared" si="63"/>
        <v>0</v>
      </c>
      <c r="DI54" s="26">
        <f t="shared" si="63"/>
        <v>0</v>
      </c>
      <c r="DJ54" s="26">
        <f t="shared" si="63"/>
        <v>0</v>
      </c>
      <c r="DK54" s="26">
        <f t="shared" si="63"/>
        <v>0</v>
      </c>
      <c r="DL54" s="26">
        <f t="shared" si="63"/>
        <v>0</v>
      </c>
      <c r="DM54" s="26">
        <f t="shared" si="63"/>
        <v>0</v>
      </c>
      <c r="DN54" s="26">
        <f t="shared" si="63"/>
        <v>0</v>
      </c>
      <c r="DO54" s="26">
        <f t="shared" si="63"/>
        <v>0</v>
      </c>
      <c r="DP54" s="26">
        <f t="shared" si="63"/>
        <v>0</v>
      </c>
      <c r="DQ54" s="26">
        <f t="shared" si="64"/>
        <v>1.5</v>
      </c>
      <c r="DR54" s="26">
        <f t="shared" si="64"/>
        <v>1.5</v>
      </c>
      <c r="DS54" s="26">
        <f t="shared" si="64"/>
        <v>1.5</v>
      </c>
      <c r="DT54" s="26">
        <f t="shared" si="64"/>
        <v>1.5</v>
      </c>
      <c r="DU54" s="26">
        <f t="shared" si="64"/>
        <v>0.3</v>
      </c>
      <c r="DV54" s="26">
        <f t="shared" si="64"/>
        <v>0</v>
      </c>
      <c r="DW54" s="26">
        <f t="shared" si="64"/>
        <v>1</v>
      </c>
      <c r="DX54" s="26">
        <f t="shared" si="64"/>
        <v>1</v>
      </c>
      <c r="DY54" s="26">
        <f t="shared" si="64"/>
        <v>1</v>
      </c>
      <c r="DZ54" s="26">
        <f t="shared" si="64"/>
        <v>1</v>
      </c>
      <c r="EA54" s="26">
        <f t="shared" si="65"/>
        <v>0</v>
      </c>
      <c r="EB54" s="26">
        <f t="shared" si="65"/>
        <v>0</v>
      </c>
      <c r="EC54" s="26">
        <f t="shared" si="65"/>
        <v>0</v>
      </c>
      <c r="ED54" s="26">
        <f t="shared" si="65"/>
        <v>0</v>
      </c>
      <c r="EE54" s="26">
        <f t="shared" si="65"/>
        <v>0</v>
      </c>
      <c r="EF54" s="26">
        <f t="shared" si="65"/>
        <v>0</v>
      </c>
      <c r="EG54" s="26">
        <f t="shared" si="65"/>
        <v>0</v>
      </c>
      <c r="EH54" s="26">
        <f t="shared" si="65"/>
        <v>0</v>
      </c>
      <c r="EI54" s="26">
        <f t="shared" si="65"/>
        <v>0</v>
      </c>
      <c r="EJ54" s="26">
        <f t="shared" si="65"/>
        <v>0</v>
      </c>
      <c r="EK54" s="26">
        <f t="shared" si="65"/>
        <v>0</v>
      </c>
      <c r="EL54" s="26">
        <f t="shared" si="65"/>
        <v>0</v>
      </c>
      <c r="EM54" s="26">
        <f t="shared" si="18"/>
        <v>54514</v>
      </c>
      <c r="EN54" s="26">
        <f t="shared" si="19"/>
        <v>54514</v>
      </c>
      <c r="EO54" s="26">
        <f t="shared" si="20"/>
        <v>68936</v>
      </c>
      <c r="EP54" s="26">
        <f t="shared" si="21"/>
        <v>107149</v>
      </c>
      <c r="EQ54" s="26">
        <f t="shared" si="22"/>
        <v>131852</v>
      </c>
    </row>
    <row r="55" spans="2:147">
      <c r="B55" s="27">
        <v>9</v>
      </c>
      <c r="C55" s="27">
        <v>3</v>
      </c>
      <c r="D55" s="27">
        <v>1000</v>
      </c>
      <c r="E55" s="27">
        <f t="shared" si="23"/>
        <v>31000</v>
      </c>
      <c r="F55" s="27">
        <f t="shared" si="11"/>
        <v>31000</v>
      </c>
      <c r="G55" s="27">
        <f>SUM(F$5:F55)</f>
        <v>696000</v>
      </c>
      <c r="H55" s="27">
        <f t="shared" si="24"/>
        <v>51</v>
      </c>
      <c r="I55" s="27" t="s">
        <v>143</v>
      </c>
      <c r="J55" s="27">
        <v>2.5000000000000001E-2</v>
      </c>
      <c r="K55" s="27">
        <f>INDEX(其他调用!$BO$5:$BO$61,MATCH(星阵点亮!I55,其他调用!$BM$5:$BM$61,0))*J55</f>
        <v>24786.484028223425</v>
      </c>
      <c r="L55" s="27">
        <f t="shared" si="55"/>
        <v>24786</v>
      </c>
      <c r="O55" s="30"/>
      <c r="Q55" s="26">
        <v>51</v>
      </c>
      <c r="R55" s="26">
        <f>总纲!D55</f>
        <v>33.296750801161366</v>
      </c>
      <c r="S55" s="26">
        <f>求节点(将星点产出!$W$6:$W$44,将星点产出!$AO$6:$AO$44,星阵点亮!$Q55)</f>
        <v>63110.294436000295</v>
      </c>
      <c r="T55" s="26">
        <f t="shared" si="13"/>
        <v>15</v>
      </c>
      <c r="U55" s="26">
        <f>总纲!E55</f>
        <v>28.928217096048996</v>
      </c>
      <c r="V55" s="26">
        <f>求节点(将星点产出!$W$51:$W$89,将星点产出!$AO$51:$AO$89,星阵点亮!$Q55)</f>
        <v>68035.48154988086</v>
      </c>
      <c r="W55" s="26">
        <f t="shared" si="14"/>
        <v>16</v>
      </c>
      <c r="X55" s="26">
        <f>总纲!F55</f>
        <v>23.783869097269566</v>
      </c>
      <c r="Y55" s="26">
        <f>求节点(将星点产出!$W$96:$W$134,将星点产出!$AO$96:$AO$134,星阵点亮!$Q55)</f>
        <v>98518.374755637415</v>
      </c>
      <c r="Z55" s="26">
        <f t="shared" si="15"/>
        <v>19</v>
      </c>
      <c r="AA55" s="26">
        <f>总纲!G55</f>
        <v>17.587343773173433</v>
      </c>
      <c r="AB55" s="26">
        <f>求节点(将星点产出!$W$141:$W$179,将星点产出!$AO$141:$AO$179,星阵点亮!$Q55)</f>
        <v>171658.03149415477</v>
      </c>
      <c r="AC55" s="26">
        <f t="shared" si="16"/>
        <v>25</v>
      </c>
      <c r="AD55" s="26">
        <f>总纲!H55</f>
        <v>9.8458492119034169</v>
      </c>
      <c r="AE55" s="26">
        <f>求节点(将星点产出!$W$186:$W$224,将星点产出!$AO$186:$AO$224,星阵点亮!$Q55)</f>
        <v>246289.73251033155</v>
      </c>
      <c r="AF55" s="26">
        <f t="shared" si="17"/>
        <v>30</v>
      </c>
      <c r="AG55" s="26">
        <f t="shared" ref="AG55:AP64" si="66">SUMIFS($J$5:$J$76,$I$5:$I$76,AG$4,$H$5:$H$76,"&lt;="&amp;$T55)</f>
        <v>1</v>
      </c>
      <c r="AH55" s="26">
        <f t="shared" si="66"/>
        <v>0.6</v>
      </c>
      <c r="AI55" s="26">
        <f t="shared" si="66"/>
        <v>0.3</v>
      </c>
      <c r="AJ55" s="26">
        <f t="shared" si="66"/>
        <v>1</v>
      </c>
      <c r="AK55" s="26">
        <f t="shared" si="66"/>
        <v>0</v>
      </c>
      <c r="AL55" s="26">
        <f t="shared" si="66"/>
        <v>0</v>
      </c>
      <c r="AM55" s="26">
        <f t="shared" si="66"/>
        <v>1</v>
      </c>
      <c r="AN55" s="26">
        <f t="shared" si="66"/>
        <v>0</v>
      </c>
      <c r="AO55" s="26">
        <f t="shared" si="66"/>
        <v>0</v>
      </c>
      <c r="AP55" s="26">
        <f t="shared" si="66"/>
        <v>1</v>
      </c>
      <c r="AQ55" s="26">
        <f t="shared" ref="AQ55:BB64" si="67">SUMIFS($J$5:$J$76,$I$5:$I$76,AQ$4,$H$5:$H$76,"&lt;="&amp;$T55)</f>
        <v>0</v>
      </c>
      <c r="AR55" s="26">
        <f t="shared" si="67"/>
        <v>0</v>
      </c>
      <c r="AS55" s="26">
        <f t="shared" si="67"/>
        <v>0</v>
      </c>
      <c r="AT55" s="26">
        <f t="shared" si="67"/>
        <v>0</v>
      </c>
      <c r="AU55" s="26">
        <f t="shared" si="67"/>
        <v>0</v>
      </c>
      <c r="AV55" s="26">
        <f t="shared" si="67"/>
        <v>0</v>
      </c>
      <c r="AW55" s="26">
        <f t="shared" si="67"/>
        <v>0</v>
      </c>
      <c r="AX55" s="26">
        <f t="shared" si="67"/>
        <v>0</v>
      </c>
      <c r="AY55" s="26">
        <f t="shared" si="67"/>
        <v>0</v>
      </c>
      <c r="AZ55" s="26">
        <f t="shared" si="67"/>
        <v>0</v>
      </c>
      <c r="BA55" s="26">
        <f t="shared" si="67"/>
        <v>0</v>
      </c>
      <c r="BB55" s="26">
        <f t="shared" si="67"/>
        <v>0</v>
      </c>
      <c r="BC55" s="26">
        <f t="shared" ref="BC55:BL64" si="68">SUMIFS($J$5:$J$76,$I$5:$I$76,BC$4,$H$5:$H$76,"&lt;="&amp;$W55)</f>
        <v>1</v>
      </c>
      <c r="BD55" s="26">
        <f t="shared" si="68"/>
        <v>0.6</v>
      </c>
      <c r="BE55" s="26">
        <f t="shared" si="68"/>
        <v>0.6</v>
      </c>
      <c r="BF55" s="26">
        <f t="shared" si="68"/>
        <v>1</v>
      </c>
      <c r="BG55" s="26">
        <f t="shared" si="68"/>
        <v>0</v>
      </c>
      <c r="BH55" s="26">
        <f t="shared" si="68"/>
        <v>0</v>
      </c>
      <c r="BI55" s="26">
        <f t="shared" si="68"/>
        <v>1</v>
      </c>
      <c r="BJ55" s="26">
        <f t="shared" si="68"/>
        <v>0</v>
      </c>
      <c r="BK55" s="26">
        <f t="shared" si="68"/>
        <v>0</v>
      </c>
      <c r="BL55" s="26">
        <f t="shared" si="68"/>
        <v>1</v>
      </c>
      <c r="BM55" s="26">
        <f t="shared" ref="BM55:BX64" si="69">SUMIFS($J$5:$J$76,$I$5:$I$76,BM$4,$H$5:$H$76,"&lt;="&amp;$W55)</f>
        <v>0</v>
      </c>
      <c r="BN55" s="26">
        <f t="shared" si="69"/>
        <v>0</v>
      </c>
      <c r="BO55" s="26">
        <f t="shared" si="69"/>
        <v>0</v>
      </c>
      <c r="BP55" s="26">
        <f t="shared" si="69"/>
        <v>0</v>
      </c>
      <c r="BQ55" s="26">
        <f t="shared" si="69"/>
        <v>0</v>
      </c>
      <c r="BR55" s="26">
        <f t="shared" si="69"/>
        <v>0</v>
      </c>
      <c r="BS55" s="26">
        <f t="shared" si="69"/>
        <v>0</v>
      </c>
      <c r="BT55" s="26">
        <f t="shared" si="69"/>
        <v>0</v>
      </c>
      <c r="BU55" s="26">
        <f t="shared" si="69"/>
        <v>0</v>
      </c>
      <c r="BV55" s="26">
        <f t="shared" si="69"/>
        <v>0</v>
      </c>
      <c r="BW55" s="26">
        <f t="shared" si="69"/>
        <v>0</v>
      </c>
      <c r="BX55" s="26">
        <f t="shared" si="69"/>
        <v>0</v>
      </c>
      <c r="BY55" s="26">
        <f t="shared" ref="BY55:CH64" si="70">SUMIFS($J$5:$J$76,$I$5:$I$76,BY$4,$H$5:$H$76,"&lt;="&amp;$Z55)</f>
        <v>1.5</v>
      </c>
      <c r="BZ55" s="26">
        <f t="shared" si="70"/>
        <v>0.6</v>
      </c>
      <c r="CA55" s="26">
        <f t="shared" si="70"/>
        <v>0.6</v>
      </c>
      <c r="CB55" s="26">
        <f t="shared" si="70"/>
        <v>1.5</v>
      </c>
      <c r="CC55" s="26">
        <f t="shared" si="70"/>
        <v>0</v>
      </c>
      <c r="CD55" s="26">
        <f t="shared" si="70"/>
        <v>0</v>
      </c>
      <c r="CE55" s="26">
        <f t="shared" si="70"/>
        <v>1</v>
      </c>
      <c r="CF55" s="26">
        <f t="shared" si="70"/>
        <v>0.3</v>
      </c>
      <c r="CG55" s="26">
        <f t="shared" si="70"/>
        <v>0</v>
      </c>
      <c r="CH55" s="26">
        <f t="shared" si="70"/>
        <v>1</v>
      </c>
      <c r="CI55" s="26">
        <f t="shared" ref="CI55:CT64" si="71">SUMIFS($J$5:$J$76,$I$5:$I$76,CI$4,$H$5:$H$76,"&lt;="&amp;$Z55)</f>
        <v>0</v>
      </c>
      <c r="CJ55" s="26">
        <f t="shared" si="71"/>
        <v>0</v>
      </c>
      <c r="CK55" s="26">
        <f t="shared" si="71"/>
        <v>0</v>
      </c>
      <c r="CL55" s="26">
        <f t="shared" si="71"/>
        <v>0</v>
      </c>
      <c r="CM55" s="26">
        <f t="shared" si="71"/>
        <v>0</v>
      </c>
      <c r="CN55" s="26">
        <f t="shared" si="71"/>
        <v>0</v>
      </c>
      <c r="CO55" s="26">
        <f t="shared" si="71"/>
        <v>0</v>
      </c>
      <c r="CP55" s="26">
        <f t="shared" si="71"/>
        <v>0</v>
      </c>
      <c r="CQ55" s="26">
        <f t="shared" si="71"/>
        <v>0</v>
      </c>
      <c r="CR55" s="26">
        <f t="shared" si="71"/>
        <v>0</v>
      </c>
      <c r="CS55" s="26">
        <f t="shared" si="71"/>
        <v>0</v>
      </c>
      <c r="CT55" s="26">
        <f t="shared" si="71"/>
        <v>0</v>
      </c>
      <c r="CU55" s="26">
        <f t="shared" ref="CU55:DD64" si="72">SUMIFS($J$5:$J$76,$I$5:$I$76,CU$4,$H$5:$H$76,"&lt;="&amp;$AC55)</f>
        <v>1.5</v>
      </c>
      <c r="CV55" s="26">
        <f t="shared" si="72"/>
        <v>1</v>
      </c>
      <c r="CW55" s="26">
        <f t="shared" si="72"/>
        <v>0.6</v>
      </c>
      <c r="CX55" s="26">
        <f t="shared" si="72"/>
        <v>1.5</v>
      </c>
      <c r="CY55" s="26">
        <f t="shared" si="72"/>
        <v>0</v>
      </c>
      <c r="CZ55" s="26">
        <f t="shared" si="72"/>
        <v>0</v>
      </c>
      <c r="DA55" s="26">
        <f t="shared" si="72"/>
        <v>1</v>
      </c>
      <c r="DB55" s="26">
        <f t="shared" si="72"/>
        <v>1</v>
      </c>
      <c r="DC55" s="26">
        <f t="shared" si="72"/>
        <v>1</v>
      </c>
      <c r="DD55" s="26">
        <f t="shared" si="72"/>
        <v>1</v>
      </c>
      <c r="DE55" s="26">
        <f t="shared" ref="DE55:DP64" si="73">SUMIFS($J$5:$J$76,$I$5:$I$76,DE$4,$H$5:$H$76,"&lt;="&amp;$AC55)</f>
        <v>0</v>
      </c>
      <c r="DF55" s="26">
        <f t="shared" si="73"/>
        <v>0</v>
      </c>
      <c r="DG55" s="26">
        <f t="shared" si="73"/>
        <v>0</v>
      </c>
      <c r="DH55" s="26">
        <f t="shared" si="73"/>
        <v>0</v>
      </c>
      <c r="DI55" s="26">
        <f t="shared" si="73"/>
        <v>0</v>
      </c>
      <c r="DJ55" s="26">
        <f t="shared" si="73"/>
        <v>0</v>
      </c>
      <c r="DK55" s="26">
        <f t="shared" si="73"/>
        <v>0</v>
      </c>
      <c r="DL55" s="26">
        <f t="shared" si="73"/>
        <v>0</v>
      </c>
      <c r="DM55" s="26">
        <f t="shared" si="73"/>
        <v>0</v>
      </c>
      <c r="DN55" s="26">
        <f t="shared" si="73"/>
        <v>0</v>
      </c>
      <c r="DO55" s="26">
        <f t="shared" si="73"/>
        <v>0</v>
      </c>
      <c r="DP55" s="26">
        <f t="shared" si="73"/>
        <v>0</v>
      </c>
      <c r="DQ55" s="26">
        <f t="shared" ref="DQ55:DZ64" si="74">SUMIFS($J$5:$J$76,$I$5:$I$76,DQ$4,$H$5:$H$76,"&lt;="&amp;$AF55)</f>
        <v>1.5</v>
      </c>
      <c r="DR55" s="26">
        <f t="shared" si="74"/>
        <v>1.5</v>
      </c>
      <c r="DS55" s="26">
        <f t="shared" si="74"/>
        <v>1.5</v>
      </c>
      <c r="DT55" s="26">
        <f t="shared" si="74"/>
        <v>1.5</v>
      </c>
      <c r="DU55" s="26">
        <f t="shared" si="74"/>
        <v>0.6</v>
      </c>
      <c r="DV55" s="26">
        <f t="shared" si="74"/>
        <v>0</v>
      </c>
      <c r="DW55" s="26">
        <f t="shared" si="74"/>
        <v>1</v>
      </c>
      <c r="DX55" s="26">
        <f t="shared" si="74"/>
        <v>1</v>
      </c>
      <c r="DY55" s="26">
        <f t="shared" si="74"/>
        <v>1</v>
      </c>
      <c r="DZ55" s="26">
        <f t="shared" si="74"/>
        <v>1</v>
      </c>
      <c r="EA55" s="26">
        <f t="shared" ref="EA55:EL64" si="75">SUMIFS($J$5:$J$76,$I$5:$I$76,EA$4,$H$5:$H$76,"&lt;="&amp;$AF55)</f>
        <v>0</v>
      </c>
      <c r="EB55" s="26">
        <f t="shared" si="75"/>
        <v>0</v>
      </c>
      <c r="EC55" s="26">
        <f t="shared" si="75"/>
        <v>0</v>
      </c>
      <c r="ED55" s="26">
        <f t="shared" si="75"/>
        <v>0</v>
      </c>
      <c r="EE55" s="26">
        <f t="shared" si="75"/>
        <v>0</v>
      </c>
      <c r="EF55" s="26">
        <f t="shared" si="75"/>
        <v>0</v>
      </c>
      <c r="EG55" s="26">
        <f t="shared" si="75"/>
        <v>0</v>
      </c>
      <c r="EH55" s="26">
        <f t="shared" si="75"/>
        <v>0</v>
      </c>
      <c r="EI55" s="26">
        <f t="shared" si="75"/>
        <v>0</v>
      </c>
      <c r="EJ55" s="26">
        <f t="shared" si="75"/>
        <v>0</v>
      </c>
      <c r="EK55" s="26">
        <f t="shared" si="75"/>
        <v>0</v>
      </c>
      <c r="EL55" s="26">
        <f t="shared" si="75"/>
        <v>0</v>
      </c>
      <c r="EM55" s="26">
        <f t="shared" si="18"/>
        <v>54514</v>
      </c>
      <c r="EN55" s="26">
        <f t="shared" si="19"/>
        <v>59191</v>
      </c>
      <c r="EO55" s="26">
        <f t="shared" si="20"/>
        <v>74004</v>
      </c>
      <c r="EP55" s="26">
        <f t="shared" si="21"/>
        <v>107149</v>
      </c>
      <c r="EQ55" s="26">
        <f t="shared" si="22"/>
        <v>138354</v>
      </c>
    </row>
    <row r="56" spans="2:147">
      <c r="B56" s="27">
        <v>9</v>
      </c>
      <c r="C56" s="27">
        <v>4</v>
      </c>
      <c r="D56" s="27">
        <v>1000</v>
      </c>
      <c r="E56" s="27">
        <f t="shared" si="23"/>
        <v>32000</v>
      </c>
      <c r="F56" s="27">
        <f t="shared" si="11"/>
        <v>32000</v>
      </c>
      <c r="G56" s="27">
        <f>SUM(F$5:F56)</f>
        <v>728000</v>
      </c>
      <c r="H56" s="27">
        <f t="shared" si="24"/>
        <v>52</v>
      </c>
      <c r="I56" s="27" t="s">
        <v>147</v>
      </c>
      <c r="J56" s="27">
        <v>2.5000000000000001E-2</v>
      </c>
      <c r="K56" s="27">
        <f>INDEX(其他调用!$BO$5:$BO$61,MATCH(星阵点亮!I56,其他调用!$BM$5:$BM$61,0))*J56</f>
        <v>13774.034568314977</v>
      </c>
      <c r="L56" s="27">
        <f t="shared" si="55"/>
        <v>24836</v>
      </c>
      <c r="O56" s="30"/>
      <c r="Q56" s="26">
        <v>52</v>
      </c>
      <c r="R56" s="26">
        <f>总纲!D56</f>
        <v>35.758347359905123</v>
      </c>
      <c r="S56" s="26">
        <f>求节点(将星点产出!$W$6:$W$44,将星点产出!$AO$6:$AO$44,星阵点亮!$Q56)</f>
        <v>66042.351300649898</v>
      </c>
      <c r="T56" s="26">
        <f t="shared" si="13"/>
        <v>15</v>
      </c>
      <c r="U56" s="26">
        <f>总纲!E56</f>
        <v>31.081155525229534</v>
      </c>
      <c r="V56" s="26">
        <f>求节点(将星点产出!$W$51:$W$89,将星点产出!$AO$51:$AO$89,星阵点亮!$Q56)</f>
        <v>71171.779463244893</v>
      </c>
      <c r="W56" s="26">
        <f t="shared" si="14"/>
        <v>16</v>
      </c>
      <c r="X56" s="26">
        <f>总纲!F56</f>
        <v>25.606552544428059</v>
      </c>
      <c r="Y56" s="26">
        <f>求节点(将星点产出!$W$96:$W$134,将星点产出!$AO$96:$AO$134,星阵点亮!$Q56)</f>
        <v>103594.39121067419</v>
      </c>
      <c r="Z56" s="26">
        <f t="shared" si="15"/>
        <v>19</v>
      </c>
      <c r="AA56" s="26">
        <f>总纲!G56</f>
        <v>18.930469092333773</v>
      </c>
      <c r="AB56" s="26">
        <f>求节点(将星点产出!$W$141:$W$179,将星点产出!$AO$141:$AO$179,星阵点亮!$Q56)</f>
        <v>178758.06191473591</v>
      </c>
      <c r="AC56" s="26">
        <f t="shared" si="16"/>
        <v>26</v>
      </c>
      <c r="AD56" s="26">
        <f>总纲!H56</f>
        <v>10.570167479587953</v>
      </c>
      <c r="AE56" s="26">
        <f>求节点(将星点产出!$W$186:$W$224,将星点产出!$AO$186:$AO$224,星阵点亮!$Q56)</f>
        <v>262713.32478799415</v>
      </c>
      <c r="AF56" s="26">
        <f t="shared" si="17"/>
        <v>31</v>
      </c>
      <c r="AG56" s="26">
        <f t="shared" si="66"/>
        <v>1</v>
      </c>
      <c r="AH56" s="26">
        <f t="shared" si="66"/>
        <v>0.6</v>
      </c>
      <c r="AI56" s="26">
        <f t="shared" si="66"/>
        <v>0.3</v>
      </c>
      <c r="AJ56" s="26">
        <f t="shared" si="66"/>
        <v>1</v>
      </c>
      <c r="AK56" s="26">
        <f t="shared" si="66"/>
        <v>0</v>
      </c>
      <c r="AL56" s="26">
        <f t="shared" si="66"/>
        <v>0</v>
      </c>
      <c r="AM56" s="26">
        <f t="shared" si="66"/>
        <v>1</v>
      </c>
      <c r="AN56" s="26">
        <f t="shared" si="66"/>
        <v>0</v>
      </c>
      <c r="AO56" s="26">
        <f t="shared" si="66"/>
        <v>0</v>
      </c>
      <c r="AP56" s="26">
        <f t="shared" si="66"/>
        <v>1</v>
      </c>
      <c r="AQ56" s="26">
        <f t="shared" si="67"/>
        <v>0</v>
      </c>
      <c r="AR56" s="26">
        <f t="shared" si="67"/>
        <v>0</v>
      </c>
      <c r="AS56" s="26">
        <f t="shared" si="67"/>
        <v>0</v>
      </c>
      <c r="AT56" s="26">
        <f t="shared" si="67"/>
        <v>0</v>
      </c>
      <c r="AU56" s="26">
        <f t="shared" si="67"/>
        <v>0</v>
      </c>
      <c r="AV56" s="26">
        <f t="shared" si="67"/>
        <v>0</v>
      </c>
      <c r="AW56" s="26">
        <f t="shared" si="67"/>
        <v>0</v>
      </c>
      <c r="AX56" s="26">
        <f t="shared" si="67"/>
        <v>0</v>
      </c>
      <c r="AY56" s="26">
        <f t="shared" si="67"/>
        <v>0</v>
      </c>
      <c r="AZ56" s="26">
        <f t="shared" si="67"/>
        <v>0</v>
      </c>
      <c r="BA56" s="26">
        <f t="shared" si="67"/>
        <v>0</v>
      </c>
      <c r="BB56" s="26">
        <f t="shared" si="67"/>
        <v>0</v>
      </c>
      <c r="BC56" s="26">
        <f t="shared" si="68"/>
        <v>1</v>
      </c>
      <c r="BD56" s="26">
        <f t="shared" si="68"/>
        <v>0.6</v>
      </c>
      <c r="BE56" s="26">
        <f t="shared" si="68"/>
        <v>0.6</v>
      </c>
      <c r="BF56" s="26">
        <f t="shared" si="68"/>
        <v>1</v>
      </c>
      <c r="BG56" s="26">
        <f t="shared" si="68"/>
        <v>0</v>
      </c>
      <c r="BH56" s="26">
        <f t="shared" si="68"/>
        <v>0</v>
      </c>
      <c r="BI56" s="26">
        <f t="shared" si="68"/>
        <v>1</v>
      </c>
      <c r="BJ56" s="26">
        <f t="shared" si="68"/>
        <v>0</v>
      </c>
      <c r="BK56" s="26">
        <f t="shared" si="68"/>
        <v>0</v>
      </c>
      <c r="BL56" s="26">
        <f t="shared" si="68"/>
        <v>1</v>
      </c>
      <c r="BM56" s="26">
        <f t="shared" si="69"/>
        <v>0</v>
      </c>
      <c r="BN56" s="26">
        <f t="shared" si="69"/>
        <v>0</v>
      </c>
      <c r="BO56" s="26">
        <f t="shared" si="69"/>
        <v>0</v>
      </c>
      <c r="BP56" s="26">
        <f t="shared" si="69"/>
        <v>0</v>
      </c>
      <c r="BQ56" s="26">
        <f t="shared" si="69"/>
        <v>0</v>
      </c>
      <c r="BR56" s="26">
        <f t="shared" si="69"/>
        <v>0</v>
      </c>
      <c r="BS56" s="26">
        <f t="shared" si="69"/>
        <v>0</v>
      </c>
      <c r="BT56" s="26">
        <f t="shared" si="69"/>
        <v>0</v>
      </c>
      <c r="BU56" s="26">
        <f t="shared" si="69"/>
        <v>0</v>
      </c>
      <c r="BV56" s="26">
        <f t="shared" si="69"/>
        <v>0</v>
      </c>
      <c r="BW56" s="26">
        <f t="shared" si="69"/>
        <v>0</v>
      </c>
      <c r="BX56" s="26">
        <f t="shared" si="69"/>
        <v>0</v>
      </c>
      <c r="BY56" s="26">
        <f t="shared" si="70"/>
        <v>1.5</v>
      </c>
      <c r="BZ56" s="26">
        <f t="shared" si="70"/>
        <v>0.6</v>
      </c>
      <c r="CA56" s="26">
        <f t="shared" si="70"/>
        <v>0.6</v>
      </c>
      <c r="CB56" s="26">
        <f t="shared" si="70"/>
        <v>1.5</v>
      </c>
      <c r="CC56" s="26">
        <f t="shared" si="70"/>
        <v>0</v>
      </c>
      <c r="CD56" s="26">
        <f t="shared" si="70"/>
        <v>0</v>
      </c>
      <c r="CE56" s="26">
        <f t="shared" si="70"/>
        <v>1</v>
      </c>
      <c r="CF56" s="26">
        <f t="shared" si="70"/>
        <v>0.3</v>
      </c>
      <c r="CG56" s="26">
        <f t="shared" si="70"/>
        <v>0</v>
      </c>
      <c r="CH56" s="26">
        <f t="shared" si="70"/>
        <v>1</v>
      </c>
      <c r="CI56" s="26">
        <f t="shared" si="71"/>
        <v>0</v>
      </c>
      <c r="CJ56" s="26">
        <f t="shared" si="71"/>
        <v>0</v>
      </c>
      <c r="CK56" s="26">
        <f t="shared" si="71"/>
        <v>0</v>
      </c>
      <c r="CL56" s="26">
        <f t="shared" si="71"/>
        <v>0</v>
      </c>
      <c r="CM56" s="26">
        <f t="shared" si="71"/>
        <v>0</v>
      </c>
      <c r="CN56" s="26">
        <f t="shared" si="71"/>
        <v>0</v>
      </c>
      <c r="CO56" s="26">
        <f t="shared" si="71"/>
        <v>0</v>
      </c>
      <c r="CP56" s="26">
        <f t="shared" si="71"/>
        <v>0</v>
      </c>
      <c r="CQ56" s="26">
        <f t="shared" si="71"/>
        <v>0</v>
      </c>
      <c r="CR56" s="26">
        <f t="shared" si="71"/>
        <v>0</v>
      </c>
      <c r="CS56" s="26">
        <f t="shared" si="71"/>
        <v>0</v>
      </c>
      <c r="CT56" s="26">
        <f t="shared" si="71"/>
        <v>0</v>
      </c>
      <c r="CU56" s="26">
        <f t="shared" si="72"/>
        <v>1.5</v>
      </c>
      <c r="CV56" s="26">
        <f t="shared" si="72"/>
        <v>1</v>
      </c>
      <c r="CW56" s="26">
        <f t="shared" si="72"/>
        <v>1</v>
      </c>
      <c r="CX56" s="26">
        <f t="shared" si="72"/>
        <v>1.5</v>
      </c>
      <c r="CY56" s="26">
        <f t="shared" si="72"/>
        <v>0</v>
      </c>
      <c r="CZ56" s="26">
        <f t="shared" si="72"/>
        <v>0</v>
      </c>
      <c r="DA56" s="26">
        <f t="shared" si="72"/>
        <v>1</v>
      </c>
      <c r="DB56" s="26">
        <f t="shared" si="72"/>
        <v>1</v>
      </c>
      <c r="DC56" s="26">
        <f t="shared" si="72"/>
        <v>1</v>
      </c>
      <c r="DD56" s="26">
        <f t="shared" si="72"/>
        <v>1</v>
      </c>
      <c r="DE56" s="26">
        <f t="shared" si="73"/>
        <v>0</v>
      </c>
      <c r="DF56" s="26">
        <f t="shared" si="73"/>
        <v>0</v>
      </c>
      <c r="DG56" s="26">
        <f t="shared" si="73"/>
        <v>0</v>
      </c>
      <c r="DH56" s="26">
        <f t="shared" si="73"/>
        <v>0</v>
      </c>
      <c r="DI56" s="26">
        <f t="shared" si="73"/>
        <v>0</v>
      </c>
      <c r="DJ56" s="26">
        <f t="shared" si="73"/>
        <v>0</v>
      </c>
      <c r="DK56" s="26">
        <f t="shared" si="73"/>
        <v>0</v>
      </c>
      <c r="DL56" s="26">
        <f t="shared" si="73"/>
        <v>0</v>
      </c>
      <c r="DM56" s="26">
        <f t="shared" si="73"/>
        <v>0</v>
      </c>
      <c r="DN56" s="26">
        <f t="shared" si="73"/>
        <v>0</v>
      </c>
      <c r="DO56" s="26">
        <f t="shared" si="73"/>
        <v>0</v>
      </c>
      <c r="DP56" s="26">
        <f t="shared" si="73"/>
        <v>0</v>
      </c>
      <c r="DQ56" s="26">
        <f t="shared" si="74"/>
        <v>1.5</v>
      </c>
      <c r="DR56" s="26">
        <f t="shared" si="74"/>
        <v>1.5</v>
      </c>
      <c r="DS56" s="26">
        <f t="shared" si="74"/>
        <v>1.5</v>
      </c>
      <c r="DT56" s="26">
        <f t="shared" si="74"/>
        <v>1.5</v>
      </c>
      <c r="DU56" s="26">
        <f t="shared" si="74"/>
        <v>1</v>
      </c>
      <c r="DV56" s="26">
        <f t="shared" si="74"/>
        <v>0</v>
      </c>
      <c r="DW56" s="26">
        <f t="shared" si="74"/>
        <v>1</v>
      </c>
      <c r="DX56" s="26">
        <f t="shared" si="74"/>
        <v>1</v>
      </c>
      <c r="DY56" s="26">
        <f t="shared" si="74"/>
        <v>1</v>
      </c>
      <c r="DZ56" s="26">
        <f t="shared" si="74"/>
        <v>1</v>
      </c>
      <c r="EA56" s="26">
        <f t="shared" si="75"/>
        <v>0</v>
      </c>
      <c r="EB56" s="26">
        <f t="shared" si="75"/>
        <v>0</v>
      </c>
      <c r="EC56" s="26">
        <f t="shared" si="75"/>
        <v>0</v>
      </c>
      <c r="ED56" s="26">
        <f t="shared" si="75"/>
        <v>0</v>
      </c>
      <c r="EE56" s="26">
        <f t="shared" si="75"/>
        <v>0</v>
      </c>
      <c r="EF56" s="26">
        <f t="shared" si="75"/>
        <v>0</v>
      </c>
      <c r="EG56" s="26">
        <f t="shared" si="75"/>
        <v>0</v>
      </c>
      <c r="EH56" s="26">
        <f t="shared" si="75"/>
        <v>0</v>
      </c>
      <c r="EI56" s="26">
        <f t="shared" si="75"/>
        <v>0</v>
      </c>
      <c r="EJ56" s="26">
        <f t="shared" si="75"/>
        <v>0</v>
      </c>
      <c r="EK56" s="26">
        <f t="shared" si="75"/>
        <v>0</v>
      </c>
      <c r="EL56" s="26">
        <f t="shared" si="75"/>
        <v>0</v>
      </c>
      <c r="EM56" s="26">
        <f t="shared" si="18"/>
        <v>54514</v>
      </c>
      <c r="EN56" s="26">
        <f t="shared" si="19"/>
        <v>59191</v>
      </c>
      <c r="EO56" s="26">
        <f t="shared" si="20"/>
        <v>74004</v>
      </c>
      <c r="EP56" s="26">
        <f t="shared" si="21"/>
        <v>113129</v>
      </c>
      <c r="EQ56" s="26">
        <f t="shared" si="22"/>
        <v>144986</v>
      </c>
    </row>
    <row r="57" spans="2:147">
      <c r="B57" s="27">
        <v>9</v>
      </c>
      <c r="C57" s="27">
        <v>5</v>
      </c>
      <c r="D57" s="27">
        <v>1000</v>
      </c>
      <c r="E57" s="27">
        <f t="shared" si="23"/>
        <v>33000</v>
      </c>
      <c r="F57" s="27">
        <f t="shared" si="11"/>
        <v>33000</v>
      </c>
      <c r="G57" s="27">
        <f>SUM(F$5:F57)</f>
        <v>761000</v>
      </c>
      <c r="H57" s="27">
        <f t="shared" si="24"/>
        <v>53</v>
      </c>
      <c r="I57" s="27" t="s">
        <v>148</v>
      </c>
      <c r="J57" s="27">
        <v>2.5000000000000001E-2</v>
      </c>
      <c r="K57" s="27">
        <f>INDEX(其他调用!$BO$5:$BO$61,MATCH(星阵点亮!I57,其他调用!$BM$5:$BM$61,0))*J57</f>
        <v>21930.629497427974</v>
      </c>
      <c r="L57" s="27">
        <f t="shared" si="55"/>
        <v>24886</v>
      </c>
      <c r="O57" s="30"/>
      <c r="Q57" s="26">
        <v>53</v>
      </c>
      <c r="R57" s="26">
        <f>总纲!D57</f>
        <v>38.396621227037308</v>
      </c>
      <c r="S57" s="26">
        <f>求节点(将星点产出!$W$6:$W$44,将星点产出!$AO$6:$AO$44,星阵点亮!$Q57)</f>
        <v>68974.408165299494</v>
      </c>
      <c r="T57" s="26">
        <f t="shared" si="13"/>
        <v>16</v>
      </c>
      <c r="U57" s="26">
        <f>总纲!E57</f>
        <v>33.42809844025868</v>
      </c>
      <c r="V57" s="26">
        <f>求节点(将星点产出!$W$51:$W$89,将星点产出!$AO$51:$AO$89,星阵点亮!$Q57)</f>
        <v>74308.077376608941</v>
      </c>
      <c r="W57" s="26">
        <f t="shared" si="14"/>
        <v>16</v>
      </c>
      <c r="X57" s="26">
        <f>总纲!F57</f>
        <v>27.5802930273809</v>
      </c>
      <c r="Y57" s="26">
        <f>求节点(将星点产出!$W$96:$W$134,将星点产出!$AO$96:$AO$134,星阵点亮!$Q57)</f>
        <v>108670.40766571095</v>
      </c>
      <c r="Z57" s="26">
        <f t="shared" si="15"/>
        <v>20</v>
      </c>
      <c r="AA57" s="26">
        <f>总纲!G57</f>
        <v>20.319491953348145</v>
      </c>
      <c r="AB57" s="26">
        <f>求节点(将星点产出!$W$141:$W$179,将星点产出!$AO$141:$AO$179,星阵点亮!$Q57)</f>
        <v>187331.49260630755</v>
      </c>
      <c r="AC57" s="26">
        <f t="shared" si="16"/>
        <v>26</v>
      </c>
      <c r="AD57" s="26">
        <f>总纲!H57</f>
        <v>11.338522248344118</v>
      </c>
      <c r="AE57" s="26">
        <f>求节点(将星点产出!$W$186:$W$224,将星点产出!$AO$186:$AO$224,星阵点亮!$Q57)</f>
        <v>278664.64363890426</v>
      </c>
      <c r="AF57" s="26">
        <f t="shared" si="17"/>
        <v>32</v>
      </c>
      <c r="AG57" s="26">
        <f t="shared" si="66"/>
        <v>1</v>
      </c>
      <c r="AH57" s="26">
        <f t="shared" si="66"/>
        <v>0.6</v>
      </c>
      <c r="AI57" s="26">
        <f t="shared" si="66"/>
        <v>0.6</v>
      </c>
      <c r="AJ57" s="26">
        <f t="shared" si="66"/>
        <v>1</v>
      </c>
      <c r="AK57" s="26">
        <f t="shared" si="66"/>
        <v>0</v>
      </c>
      <c r="AL57" s="26">
        <f t="shared" si="66"/>
        <v>0</v>
      </c>
      <c r="AM57" s="26">
        <f t="shared" si="66"/>
        <v>1</v>
      </c>
      <c r="AN57" s="26">
        <f t="shared" si="66"/>
        <v>0</v>
      </c>
      <c r="AO57" s="26">
        <f t="shared" si="66"/>
        <v>0</v>
      </c>
      <c r="AP57" s="26">
        <f t="shared" si="66"/>
        <v>1</v>
      </c>
      <c r="AQ57" s="26">
        <f t="shared" si="67"/>
        <v>0</v>
      </c>
      <c r="AR57" s="26">
        <f t="shared" si="67"/>
        <v>0</v>
      </c>
      <c r="AS57" s="26">
        <f t="shared" si="67"/>
        <v>0</v>
      </c>
      <c r="AT57" s="26">
        <f t="shared" si="67"/>
        <v>0</v>
      </c>
      <c r="AU57" s="26">
        <f t="shared" si="67"/>
        <v>0</v>
      </c>
      <c r="AV57" s="26">
        <f t="shared" si="67"/>
        <v>0</v>
      </c>
      <c r="AW57" s="26">
        <f t="shared" si="67"/>
        <v>0</v>
      </c>
      <c r="AX57" s="26">
        <f t="shared" si="67"/>
        <v>0</v>
      </c>
      <c r="AY57" s="26">
        <f t="shared" si="67"/>
        <v>0</v>
      </c>
      <c r="AZ57" s="26">
        <f t="shared" si="67"/>
        <v>0</v>
      </c>
      <c r="BA57" s="26">
        <f t="shared" si="67"/>
        <v>0</v>
      </c>
      <c r="BB57" s="26">
        <f t="shared" si="67"/>
        <v>0</v>
      </c>
      <c r="BC57" s="26">
        <f t="shared" si="68"/>
        <v>1</v>
      </c>
      <c r="BD57" s="26">
        <f t="shared" si="68"/>
        <v>0.6</v>
      </c>
      <c r="BE57" s="26">
        <f t="shared" si="68"/>
        <v>0.6</v>
      </c>
      <c r="BF57" s="26">
        <f t="shared" si="68"/>
        <v>1</v>
      </c>
      <c r="BG57" s="26">
        <f t="shared" si="68"/>
        <v>0</v>
      </c>
      <c r="BH57" s="26">
        <f t="shared" si="68"/>
        <v>0</v>
      </c>
      <c r="BI57" s="26">
        <f t="shared" si="68"/>
        <v>1</v>
      </c>
      <c r="BJ57" s="26">
        <f t="shared" si="68"/>
        <v>0</v>
      </c>
      <c r="BK57" s="26">
        <f t="shared" si="68"/>
        <v>0</v>
      </c>
      <c r="BL57" s="26">
        <f t="shared" si="68"/>
        <v>1</v>
      </c>
      <c r="BM57" s="26">
        <f t="shared" si="69"/>
        <v>0</v>
      </c>
      <c r="BN57" s="26">
        <f t="shared" si="69"/>
        <v>0</v>
      </c>
      <c r="BO57" s="26">
        <f t="shared" si="69"/>
        <v>0</v>
      </c>
      <c r="BP57" s="26">
        <f t="shared" si="69"/>
        <v>0</v>
      </c>
      <c r="BQ57" s="26">
        <f t="shared" si="69"/>
        <v>0</v>
      </c>
      <c r="BR57" s="26">
        <f t="shared" si="69"/>
        <v>0</v>
      </c>
      <c r="BS57" s="26">
        <f t="shared" si="69"/>
        <v>0</v>
      </c>
      <c r="BT57" s="26">
        <f t="shared" si="69"/>
        <v>0</v>
      </c>
      <c r="BU57" s="26">
        <f t="shared" si="69"/>
        <v>0</v>
      </c>
      <c r="BV57" s="26">
        <f t="shared" si="69"/>
        <v>0</v>
      </c>
      <c r="BW57" s="26">
        <f t="shared" si="69"/>
        <v>0</v>
      </c>
      <c r="BX57" s="26">
        <f t="shared" si="69"/>
        <v>0</v>
      </c>
      <c r="BY57" s="26">
        <f t="shared" si="70"/>
        <v>1.5</v>
      </c>
      <c r="BZ57" s="26">
        <f t="shared" si="70"/>
        <v>0.6</v>
      </c>
      <c r="CA57" s="26">
        <f t="shared" si="70"/>
        <v>0.6</v>
      </c>
      <c r="CB57" s="26">
        <f t="shared" si="70"/>
        <v>1.5</v>
      </c>
      <c r="CC57" s="26">
        <f t="shared" si="70"/>
        <v>0</v>
      </c>
      <c r="CD57" s="26">
        <f t="shared" si="70"/>
        <v>0</v>
      </c>
      <c r="CE57" s="26">
        <f t="shared" si="70"/>
        <v>1</v>
      </c>
      <c r="CF57" s="26">
        <f t="shared" si="70"/>
        <v>0.3</v>
      </c>
      <c r="CG57" s="26">
        <f t="shared" si="70"/>
        <v>0.3</v>
      </c>
      <c r="CH57" s="26">
        <f t="shared" si="70"/>
        <v>1</v>
      </c>
      <c r="CI57" s="26">
        <f t="shared" si="71"/>
        <v>0</v>
      </c>
      <c r="CJ57" s="26">
        <f t="shared" si="71"/>
        <v>0</v>
      </c>
      <c r="CK57" s="26">
        <f t="shared" si="71"/>
        <v>0</v>
      </c>
      <c r="CL57" s="26">
        <f t="shared" si="71"/>
        <v>0</v>
      </c>
      <c r="CM57" s="26">
        <f t="shared" si="71"/>
        <v>0</v>
      </c>
      <c r="CN57" s="26">
        <f t="shared" si="71"/>
        <v>0</v>
      </c>
      <c r="CO57" s="26">
        <f t="shared" si="71"/>
        <v>0</v>
      </c>
      <c r="CP57" s="26">
        <f t="shared" si="71"/>
        <v>0</v>
      </c>
      <c r="CQ57" s="26">
        <f t="shared" si="71"/>
        <v>0</v>
      </c>
      <c r="CR57" s="26">
        <f t="shared" si="71"/>
        <v>0</v>
      </c>
      <c r="CS57" s="26">
        <f t="shared" si="71"/>
        <v>0</v>
      </c>
      <c r="CT57" s="26">
        <f t="shared" si="71"/>
        <v>0</v>
      </c>
      <c r="CU57" s="26">
        <f t="shared" si="72"/>
        <v>1.5</v>
      </c>
      <c r="CV57" s="26">
        <f t="shared" si="72"/>
        <v>1</v>
      </c>
      <c r="CW57" s="26">
        <f t="shared" si="72"/>
        <v>1</v>
      </c>
      <c r="CX57" s="26">
        <f t="shared" si="72"/>
        <v>1.5</v>
      </c>
      <c r="CY57" s="26">
        <f t="shared" si="72"/>
        <v>0</v>
      </c>
      <c r="CZ57" s="26">
        <f t="shared" si="72"/>
        <v>0</v>
      </c>
      <c r="DA57" s="26">
        <f t="shared" si="72"/>
        <v>1</v>
      </c>
      <c r="DB57" s="26">
        <f t="shared" si="72"/>
        <v>1</v>
      </c>
      <c r="DC57" s="26">
        <f t="shared" si="72"/>
        <v>1</v>
      </c>
      <c r="DD57" s="26">
        <f t="shared" si="72"/>
        <v>1</v>
      </c>
      <c r="DE57" s="26">
        <f t="shared" si="73"/>
        <v>0</v>
      </c>
      <c r="DF57" s="26">
        <f t="shared" si="73"/>
        <v>0</v>
      </c>
      <c r="DG57" s="26">
        <f t="shared" si="73"/>
        <v>0</v>
      </c>
      <c r="DH57" s="26">
        <f t="shared" si="73"/>
        <v>0</v>
      </c>
      <c r="DI57" s="26">
        <f t="shared" si="73"/>
        <v>0</v>
      </c>
      <c r="DJ57" s="26">
        <f t="shared" si="73"/>
        <v>0</v>
      </c>
      <c r="DK57" s="26">
        <f t="shared" si="73"/>
        <v>0</v>
      </c>
      <c r="DL57" s="26">
        <f t="shared" si="73"/>
        <v>0</v>
      </c>
      <c r="DM57" s="26">
        <f t="shared" si="73"/>
        <v>0</v>
      </c>
      <c r="DN57" s="26">
        <f t="shared" si="73"/>
        <v>0</v>
      </c>
      <c r="DO57" s="26">
        <f t="shared" si="73"/>
        <v>0</v>
      </c>
      <c r="DP57" s="26">
        <f t="shared" si="73"/>
        <v>0</v>
      </c>
      <c r="DQ57" s="26">
        <f t="shared" si="74"/>
        <v>1.5</v>
      </c>
      <c r="DR57" s="26">
        <f t="shared" si="74"/>
        <v>1.5</v>
      </c>
      <c r="DS57" s="26">
        <f t="shared" si="74"/>
        <v>1.5</v>
      </c>
      <c r="DT57" s="26">
        <f t="shared" si="74"/>
        <v>1.5</v>
      </c>
      <c r="DU57" s="26">
        <f t="shared" si="74"/>
        <v>1</v>
      </c>
      <c r="DV57" s="26">
        <f t="shared" si="74"/>
        <v>0</v>
      </c>
      <c r="DW57" s="26">
        <f t="shared" si="74"/>
        <v>1</v>
      </c>
      <c r="DX57" s="26">
        <f t="shared" si="74"/>
        <v>1</v>
      </c>
      <c r="DY57" s="26">
        <f t="shared" si="74"/>
        <v>1</v>
      </c>
      <c r="DZ57" s="26">
        <f t="shared" si="74"/>
        <v>1</v>
      </c>
      <c r="EA57" s="26">
        <f t="shared" si="75"/>
        <v>0</v>
      </c>
      <c r="EB57" s="26">
        <f t="shared" si="75"/>
        <v>0.1</v>
      </c>
      <c r="EC57" s="26">
        <f t="shared" si="75"/>
        <v>0</v>
      </c>
      <c r="ED57" s="26">
        <f t="shared" si="75"/>
        <v>0</v>
      </c>
      <c r="EE57" s="26">
        <f t="shared" si="75"/>
        <v>0</v>
      </c>
      <c r="EF57" s="26">
        <f t="shared" si="75"/>
        <v>0</v>
      </c>
      <c r="EG57" s="26">
        <f t="shared" si="75"/>
        <v>0</v>
      </c>
      <c r="EH57" s="26">
        <f t="shared" si="75"/>
        <v>0</v>
      </c>
      <c r="EI57" s="26">
        <f t="shared" si="75"/>
        <v>0</v>
      </c>
      <c r="EJ57" s="26">
        <f t="shared" si="75"/>
        <v>0</v>
      </c>
      <c r="EK57" s="26">
        <f t="shared" si="75"/>
        <v>0</v>
      </c>
      <c r="EL57" s="26">
        <f t="shared" si="75"/>
        <v>0</v>
      </c>
      <c r="EM57" s="26">
        <f t="shared" si="18"/>
        <v>59191</v>
      </c>
      <c r="EN57" s="26">
        <f t="shared" si="19"/>
        <v>59191</v>
      </c>
      <c r="EO57" s="26">
        <f t="shared" si="20"/>
        <v>79202</v>
      </c>
      <c r="EP57" s="26">
        <f t="shared" si="21"/>
        <v>113129</v>
      </c>
      <c r="EQ57" s="26">
        <f t="shared" si="22"/>
        <v>152604</v>
      </c>
    </row>
    <row r="58" spans="2:147">
      <c r="B58" s="27">
        <v>9</v>
      </c>
      <c r="C58" s="27">
        <v>6</v>
      </c>
      <c r="D58" s="27">
        <v>1000</v>
      </c>
      <c r="E58" s="27">
        <f t="shared" si="23"/>
        <v>34000</v>
      </c>
      <c r="F58" s="27">
        <f t="shared" si="11"/>
        <v>34000</v>
      </c>
      <c r="G58" s="27">
        <f>SUM(F$5:F58)</f>
        <v>795000</v>
      </c>
      <c r="H58" s="27">
        <f t="shared" si="24"/>
        <v>54</v>
      </c>
      <c r="I58" s="27" t="s">
        <v>143</v>
      </c>
      <c r="J58" s="27">
        <v>2.5000000000000001E-2</v>
      </c>
      <c r="K58" s="27">
        <f>INDEX(其他调用!$BO$5:$BO$61,MATCH(星阵点亮!I58,其他调用!$BM$5:$BM$61,0))*J58</f>
        <v>24786.484028223425</v>
      </c>
      <c r="L58" s="27">
        <f t="shared" si="55"/>
        <v>24936</v>
      </c>
      <c r="O58" s="30"/>
      <c r="Q58" s="26">
        <v>54</v>
      </c>
      <c r="R58" s="26">
        <f>总纲!D58</f>
        <v>41.224253144732614</v>
      </c>
      <c r="S58" s="26">
        <f>求节点(将星点产出!$W$6:$W$44,将星点产出!$AO$6:$AO$44,星阵点亮!$Q58)</f>
        <v>72571.543752259866</v>
      </c>
      <c r="T58" s="26">
        <f t="shared" si="13"/>
        <v>16</v>
      </c>
      <c r="U58" s="26">
        <f>总纲!E58</f>
        <v>35.947548742206841</v>
      </c>
      <c r="V58" s="26">
        <f>求节点(将星点产出!$W$51:$W$89,将星点产出!$AO$51:$AO$89,星阵点亮!$Q58)</f>
        <v>79323.013917212156</v>
      </c>
      <c r="W58" s="26">
        <f t="shared" si="14"/>
        <v>17</v>
      </c>
      <c r="X58" s="26">
        <f>总纲!F58</f>
        <v>29.553667079458812</v>
      </c>
      <c r="Y58" s="26">
        <f>求节点(将星点产出!$W$96:$W$134,将星点产出!$AO$96:$AO$134,星阵点亮!$Q58)</f>
        <v>114701.63576850052</v>
      </c>
      <c r="Z58" s="26">
        <f t="shared" si="15"/>
        <v>20</v>
      </c>
      <c r="AA58" s="26">
        <f>总纲!G58</f>
        <v>21.762283235104348</v>
      </c>
      <c r="AB58" s="26">
        <f>求节点(将星点产出!$W$141:$W$179,将星点产出!$AO$141:$AO$179,星阵点亮!$Q58)</f>
        <v>200837.27640622479</v>
      </c>
      <c r="AC58" s="26">
        <f t="shared" si="16"/>
        <v>27</v>
      </c>
      <c r="AD58" s="26">
        <f>总纲!H58</f>
        <v>12.111685573922442</v>
      </c>
      <c r="AE58" s="26">
        <f>求节点(将星点产出!$W$186:$W$224,将星点产出!$AO$186:$AO$224,星阵点亮!$Q58)</f>
        <v>294016.30182249442</v>
      </c>
      <c r="AF58" s="26">
        <f t="shared" si="17"/>
        <v>33</v>
      </c>
      <c r="AG58" s="26">
        <f t="shared" si="66"/>
        <v>1</v>
      </c>
      <c r="AH58" s="26">
        <f t="shared" si="66"/>
        <v>0.6</v>
      </c>
      <c r="AI58" s="26">
        <f t="shared" si="66"/>
        <v>0.6</v>
      </c>
      <c r="AJ58" s="26">
        <f t="shared" si="66"/>
        <v>1</v>
      </c>
      <c r="AK58" s="26">
        <f t="shared" si="66"/>
        <v>0</v>
      </c>
      <c r="AL58" s="26">
        <f t="shared" si="66"/>
        <v>0</v>
      </c>
      <c r="AM58" s="26">
        <f t="shared" si="66"/>
        <v>1</v>
      </c>
      <c r="AN58" s="26">
        <f t="shared" si="66"/>
        <v>0</v>
      </c>
      <c r="AO58" s="26">
        <f t="shared" si="66"/>
        <v>0</v>
      </c>
      <c r="AP58" s="26">
        <f t="shared" si="66"/>
        <v>1</v>
      </c>
      <c r="AQ58" s="26">
        <f t="shared" si="67"/>
        <v>0</v>
      </c>
      <c r="AR58" s="26">
        <f t="shared" si="67"/>
        <v>0</v>
      </c>
      <c r="AS58" s="26">
        <f t="shared" si="67"/>
        <v>0</v>
      </c>
      <c r="AT58" s="26">
        <f t="shared" si="67"/>
        <v>0</v>
      </c>
      <c r="AU58" s="26">
        <f t="shared" si="67"/>
        <v>0</v>
      </c>
      <c r="AV58" s="26">
        <f t="shared" si="67"/>
        <v>0</v>
      </c>
      <c r="AW58" s="26">
        <f t="shared" si="67"/>
        <v>0</v>
      </c>
      <c r="AX58" s="26">
        <f t="shared" si="67"/>
        <v>0</v>
      </c>
      <c r="AY58" s="26">
        <f t="shared" si="67"/>
        <v>0</v>
      </c>
      <c r="AZ58" s="26">
        <f t="shared" si="67"/>
        <v>0</v>
      </c>
      <c r="BA58" s="26">
        <f t="shared" si="67"/>
        <v>0</v>
      </c>
      <c r="BB58" s="26">
        <f t="shared" si="67"/>
        <v>0</v>
      </c>
      <c r="BC58" s="26">
        <f t="shared" si="68"/>
        <v>1</v>
      </c>
      <c r="BD58" s="26">
        <f t="shared" si="68"/>
        <v>0.6</v>
      </c>
      <c r="BE58" s="26">
        <f t="shared" si="68"/>
        <v>0.6</v>
      </c>
      <c r="BF58" s="26">
        <f t="shared" si="68"/>
        <v>1.5</v>
      </c>
      <c r="BG58" s="26">
        <f t="shared" si="68"/>
        <v>0</v>
      </c>
      <c r="BH58" s="26">
        <f t="shared" si="68"/>
        <v>0</v>
      </c>
      <c r="BI58" s="26">
        <f t="shared" si="68"/>
        <v>1</v>
      </c>
      <c r="BJ58" s="26">
        <f t="shared" si="68"/>
        <v>0</v>
      </c>
      <c r="BK58" s="26">
        <f t="shared" si="68"/>
        <v>0</v>
      </c>
      <c r="BL58" s="26">
        <f t="shared" si="68"/>
        <v>1</v>
      </c>
      <c r="BM58" s="26">
        <f t="shared" si="69"/>
        <v>0</v>
      </c>
      <c r="BN58" s="26">
        <f t="shared" si="69"/>
        <v>0</v>
      </c>
      <c r="BO58" s="26">
        <f t="shared" si="69"/>
        <v>0</v>
      </c>
      <c r="BP58" s="26">
        <f t="shared" si="69"/>
        <v>0</v>
      </c>
      <c r="BQ58" s="26">
        <f t="shared" si="69"/>
        <v>0</v>
      </c>
      <c r="BR58" s="26">
        <f t="shared" si="69"/>
        <v>0</v>
      </c>
      <c r="BS58" s="26">
        <f t="shared" si="69"/>
        <v>0</v>
      </c>
      <c r="BT58" s="26">
        <f t="shared" si="69"/>
        <v>0</v>
      </c>
      <c r="BU58" s="26">
        <f t="shared" si="69"/>
        <v>0</v>
      </c>
      <c r="BV58" s="26">
        <f t="shared" si="69"/>
        <v>0</v>
      </c>
      <c r="BW58" s="26">
        <f t="shared" si="69"/>
        <v>0</v>
      </c>
      <c r="BX58" s="26">
        <f t="shared" si="69"/>
        <v>0</v>
      </c>
      <c r="BY58" s="26">
        <f t="shared" si="70"/>
        <v>1.5</v>
      </c>
      <c r="BZ58" s="26">
        <f t="shared" si="70"/>
        <v>0.6</v>
      </c>
      <c r="CA58" s="26">
        <f t="shared" si="70"/>
        <v>0.6</v>
      </c>
      <c r="CB58" s="26">
        <f t="shared" si="70"/>
        <v>1.5</v>
      </c>
      <c r="CC58" s="26">
        <f t="shared" si="70"/>
        <v>0</v>
      </c>
      <c r="CD58" s="26">
        <f t="shared" si="70"/>
        <v>0</v>
      </c>
      <c r="CE58" s="26">
        <f t="shared" si="70"/>
        <v>1</v>
      </c>
      <c r="CF58" s="26">
        <f t="shared" si="70"/>
        <v>0.3</v>
      </c>
      <c r="CG58" s="26">
        <f t="shared" si="70"/>
        <v>0.3</v>
      </c>
      <c r="CH58" s="26">
        <f t="shared" si="70"/>
        <v>1</v>
      </c>
      <c r="CI58" s="26">
        <f t="shared" si="71"/>
        <v>0</v>
      </c>
      <c r="CJ58" s="26">
        <f t="shared" si="71"/>
        <v>0</v>
      </c>
      <c r="CK58" s="26">
        <f t="shared" si="71"/>
        <v>0</v>
      </c>
      <c r="CL58" s="26">
        <f t="shared" si="71"/>
        <v>0</v>
      </c>
      <c r="CM58" s="26">
        <f t="shared" si="71"/>
        <v>0</v>
      </c>
      <c r="CN58" s="26">
        <f t="shared" si="71"/>
        <v>0</v>
      </c>
      <c r="CO58" s="26">
        <f t="shared" si="71"/>
        <v>0</v>
      </c>
      <c r="CP58" s="26">
        <f t="shared" si="71"/>
        <v>0</v>
      </c>
      <c r="CQ58" s="26">
        <f t="shared" si="71"/>
        <v>0</v>
      </c>
      <c r="CR58" s="26">
        <f t="shared" si="71"/>
        <v>0</v>
      </c>
      <c r="CS58" s="26">
        <f t="shared" si="71"/>
        <v>0</v>
      </c>
      <c r="CT58" s="26">
        <f t="shared" si="71"/>
        <v>0</v>
      </c>
      <c r="CU58" s="26">
        <f t="shared" si="72"/>
        <v>1.5</v>
      </c>
      <c r="CV58" s="26">
        <f t="shared" si="72"/>
        <v>1</v>
      </c>
      <c r="CW58" s="26">
        <f t="shared" si="72"/>
        <v>1</v>
      </c>
      <c r="CX58" s="26">
        <f t="shared" si="72"/>
        <v>1.5</v>
      </c>
      <c r="CY58" s="26">
        <f t="shared" si="72"/>
        <v>0.3</v>
      </c>
      <c r="CZ58" s="26">
        <f t="shared" si="72"/>
        <v>0</v>
      </c>
      <c r="DA58" s="26">
        <f t="shared" si="72"/>
        <v>1</v>
      </c>
      <c r="DB58" s="26">
        <f t="shared" si="72"/>
        <v>1</v>
      </c>
      <c r="DC58" s="26">
        <f t="shared" si="72"/>
        <v>1</v>
      </c>
      <c r="DD58" s="26">
        <f t="shared" si="72"/>
        <v>1</v>
      </c>
      <c r="DE58" s="26">
        <f t="shared" si="73"/>
        <v>0</v>
      </c>
      <c r="DF58" s="26">
        <f t="shared" si="73"/>
        <v>0</v>
      </c>
      <c r="DG58" s="26">
        <f t="shared" si="73"/>
        <v>0</v>
      </c>
      <c r="DH58" s="26">
        <f t="shared" si="73"/>
        <v>0</v>
      </c>
      <c r="DI58" s="26">
        <f t="shared" si="73"/>
        <v>0</v>
      </c>
      <c r="DJ58" s="26">
        <f t="shared" si="73"/>
        <v>0</v>
      </c>
      <c r="DK58" s="26">
        <f t="shared" si="73"/>
        <v>0</v>
      </c>
      <c r="DL58" s="26">
        <f t="shared" si="73"/>
        <v>0</v>
      </c>
      <c r="DM58" s="26">
        <f t="shared" si="73"/>
        <v>0</v>
      </c>
      <c r="DN58" s="26">
        <f t="shared" si="73"/>
        <v>0</v>
      </c>
      <c r="DO58" s="26">
        <f t="shared" si="73"/>
        <v>0</v>
      </c>
      <c r="DP58" s="26">
        <f t="shared" si="73"/>
        <v>0</v>
      </c>
      <c r="DQ58" s="26">
        <f t="shared" si="74"/>
        <v>1.5</v>
      </c>
      <c r="DR58" s="26">
        <f t="shared" si="74"/>
        <v>1.5</v>
      </c>
      <c r="DS58" s="26">
        <f t="shared" si="74"/>
        <v>1.5</v>
      </c>
      <c r="DT58" s="26">
        <f t="shared" si="74"/>
        <v>1.5</v>
      </c>
      <c r="DU58" s="26">
        <f t="shared" si="74"/>
        <v>1</v>
      </c>
      <c r="DV58" s="26">
        <f t="shared" si="74"/>
        <v>0</v>
      </c>
      <c r="DW58" s="26">
        <f t="shared" si="74"/>
        <v>1</v>
      </c>
      <c r="DX58" s="26">
        <f t="shared" si="74"/>
        <v>1</v>
      </c>
      <c r="DY58" s="26">
        <f t="shared" si="74"/>
        <v>1</v>
      </c>
      <c r="DZ58" s="26">
        <f t="shared" si="74"/>
        <v>1</v>
      </c>
      <c r="EA58" s="26">
        <f t="shared" si="75"/>
        <v>0</v>
      </c>
      <c r="EB58" s="26">
        <f t="shared" si="75"/>
        <v>0.1</v>
      </c>
      <c r="EC58" s="26">
        <f t="shared" si="75"/>
        <v>0.1</v>
      </c>
      <c r="ED58" s="26">
        <f t="shared" si="75"/>
        <v>0</v>
      </c>
      <c r="EE58" s="26">
        <f t="shared" si="75"/>
        <v>0</v>
      </c>
      <c r="EF58" s="26">
        <f t="shared" si="75"/>
        <v>0</v>
      </c>
      <c r="EG58" s="26">
        <f t="shared" si="75"/>
        <v>0</v>
      </c>
      <c r="EH58" s="26">
        <f t="shared" si="75"/>
        <v>0</v>
      </c>
      <c r="EI58" s="26">
        <f t="shared" si="75"/>
        <v>0</v>
      </c>
      <c r="EJ58" s="26">
        <f t="shared" si="75"/>
        <v>0</v>
      </c>
      <c r="EK58" s="26">
        <f t="shared" si="75"/>
        <v>0</v>
      </c>
      <c r="EL58" s="26">
        <f t="shared" si="75"/>
        <v>0</v>
      </c>
      <c r="EM58" s="26">
        <f t="shared" si="18"/>
        <v>59191</v>
      </c>
      <c r="EN58" s="26">
        <f t="shared" si="19"/>
        <v>63998</v>
      </c>
      <c r="EO58" s="26">
        <f t="shared" si="20"/>
        <v>79202</v>
      </c>
      <c r="EP58" s="26">
        <f t="shared" si="21"/>
        <v>119240</v>
      </c>
      <c r="EQ58" s="26">
        <f t="shared" si="22"/>
        <v>160272</v>
      </c>
    </row>
    <row r="59" spans="2:147">
      <c r="B59" s="27">
        <v>10</v>
      </c>
      <c r="C59" s="27">
        <v>1</v>
      </c>
      <c r="D59" s="27">
        <v>1000</v>
      </c>
      <c r="E59" s="27">
        <f t="shared" si="23"/>
        <v>35000</v>
      </c>
      <c r="F59" s="27">
        <f t="shared" si="11"/>
        <v>35000</v>
      </c>
      <c r="G59" s="27">
        <f>SUM(F$5:F59)</f>
        <v>830000</v>
      </c>
      <c r="H59" s="27">
        <f t="shared" si="24"/>
        <v>55</v>
      </c>
      <c r="I59" s="27" t="s">
        <v>149</v>
      </c>
      <c r="J59" s="27">
        <v>2.5000000000000001E-2</v>
      </c>
      <c r="K59" s="27">
        <f>INDEX(其他调用!$BO$5:$BO$61,MATCH(星阵点亮!I59,其他调用!$BM$5:$BM$61,0))*J59</f>
        <v>21930.629497427974</v>
      </c>
      <c r="L59" s="27">
        <f t="shared" si="55"/>
        <v>24986</v>
      </c>
      <c r="Q59" s="26">
        <v>55</v>
      </c>
      <c r="R59" s="26">
        <f>总纲!D59</f>
        <v>44.254833995939045</v>
      </c>
      <c r="S59" s="26">
        <f>求节点(将星点产出!$W$6:$W$44,将星点产出!$AO$6:$AO$44,星阵点亮!$Q59)</f>
        <v>77039.719050484491</v>
      </c>
      <c r="T59" s="26">
        <f t="shared" si="13"/>
        <v>17</v>
      </c>
      <c r="U59" s="26">
        <f>总纲!E59</f>
        <v>38.53268396026413</v>
      </c>
      <c r="V59" s="26">
        <f>求节点(将星点产出!$W$51:$W$89,将星点产出!$AO$51:$AO$89,星阵点亮!$Q59)</f>
        <v>84889.616425307875</v>
      </c>
      <c r="W59" s="26">
        <f t="shared" si="14"/>
        <v>17</v>
      </c>
      <c r="X59" s="26">
        <f>总纲!F59</f>
        <v>31.642206307096416</v>
      </c>
      <c r="Y59" s="26">
        <f>求节点(将星点产出!$W$96:$W$134,将星点产出!$AO$96:$AO$134,星阵点亮!$Q59)</f>
        <v>120990.90434481834</v>
      </c>
      <c r="Z59" s="26">
        <f t="shared" si="15"/>
        <v>21</v>
      </c>
      <c r="AA59" s="26">
        <f>总纲!G59</f>
        <v>23.282468165263531</v>
      </c>
      <c r="AB59" s="26">
        <f>求节点(将星点产出!$W$141:$W$179,将星点产出!$AO$141:$AO$179,星阵点亮!$Q59)</f>
        <v>214343.06020614202</v>
      </c>
      <c r="AC59" s="26">
        <f t="shared" si="16"/>
        <v>28</v>
      </c>
      <c r="AD59" s="26">
        <f>总纲!H59</f>
        <v>12.944538943812169</v>
      </c>
      <c r="AE59" s="26">
        <f>求节点(将星点产出!$W$186:$W$224,将星点产出!$AO$186:$AO$224,星阵点亮!$Q59)</f>
        <v>309367.96000608464</v>
      </c>
      <c r="AF59" s="26">
        <f t="shared" si="17"/>
        <v>34</v>
      </c>
      <c r="AG59" s="26">
        <f t="shared" si="66"/>
        <v>1</v>
      </c>
      <c r="AH59" s="26">
        <f t="shared" si="66"/>
        <v>0.6</v>
      </c>
      <c r="AI59" s="26">
        <f t="shared" si="66"/>
        <v>0.6</v>
      </c>
      <c r="AJ59" s="26">
        <f t="shared" si="66"/>
        <v>1.5</v>
      </c>
      <c r="AK59" s="26">
        <f t="shared" si="66"/>
        <v>0</v>
      </c>
      <c r="AL59" s="26">
        <f t="shared" si="66"/>
        <v>0</v>
      </c>
      <c r="AM59" s="26">
        <f t="shared" si="66"/>
        <v>1</v>
      </c>
      <c r="AN59" s="26">
        <f t="shared" si="66"/>
        <v>0</v>
      </c>
      <c r="AO59" s="26">
        <f t="shared" si="66"/>
        <v>0</v>
      </c>
      <c r="AP59" s="26">
        <f t="shared" si="66"/>
        <v>1</v>
      </c>
      <c r="AQ59" s="26">
        <f t="shared" si="67"/>
        <v>0</v>
      </c>
      <c r="AR59" s="26">
        <f t="shared" si="67"/>
        <v>0</v>
      </c>
      <c r="AS59" s="26">
        <f t="shared" si="67"/>
        <v>0</v>
      </c>
      <c r="AT59" s="26">
        <f t="shared" si="67"/>
        <v>0</v>
      </c>
      <c r="AU59" s="26">
        <f t="shared" si="67"/>
        <v>0</v>
      </c>
      <c r="AV59" s="26">
        <f t="shared" si="67"/>
        <v>0</v>
      </c>
      <c r="AW59" s="26">
        <f t="shared" si="67"/>
        <v>0</v>
      </c>
      <c r="AX59" s="26">
        <f t="shared" si="67"/>
        <v>0</v>
      </c>
      <c r="AY59" s="26">
        <f t="shared" si="67"/>
        <v>0</v>
      </c>
      <c r="AZ59" s="26">
        <f t="shared" si="67"/>
        <v>0</v>
      </c>
      <c r="BA59" s="26">
        <f t="shared" si="67"/>
        <v>0</v>
      </c>
      <c r="BB59" s="26">
        <f t="shared" si="67"/>
        <v>0</v>
      </c>
      <c r="BC59" s="26">
        <f t="shared" si="68"/>
        <v>1</v>
      </c>
      <c r="BD59" s="26">
        <f t="shared" si="68"/>
        <v>0.6</v>
      </c>
      <c r="BE59" s="26">
        <f t="shared" si="68"/>
        <v>0.6</v>
      </c>
      <c r="BF59" s="26">
        <f t="shared" si="68"/>
        <v>1.5</v>
      </c>
      <c r="BG59" s="26">
        <f t="shared" si="68"/>
        <v>0</v>
      </c>
      <c r="BH59" s="26">
        <f t="shared" si="68"/>
        <v>0</v>
      </c>
      <c r="BI59" s="26">
        <f t="shared" si="68"/>
        <v>1</v>
      </c>
      <c r="BJ59" s="26">
        <f t="shared" si="68"/>
        <v>0</v>
      </c>
      <c r="BK59" s="26">
        <f t="shared" si="68"/>
        <v>0</v>
      </c>
      <c r="BL59" s="26">
        <f t="shared" si="68"/>
        <v>1</v>
      </c>
      <c r="BM59" s="26">
        <f t="shared" si="69"/>
        <v>0</v>
      </c>
      <c r="BN59" s="26">
        <f t="shared" si="69"/>
        <v>0</v>
      </c>
      <c r="BO59" s="26">
        <f t="shared" si="69"/>
        <v>0</v>
      </c>
      <c r="BP59" s="26">
        <f t="shared" si="69"/>
        <v>0</v>
      </c>
      <c r="BQ59" s="26">
        <f t="shared" si="69"/>
        <v>0</v>
      </c>
      <c r="BR59" s="26">
        <f t="shared" si="69"/>
        <v>0</v>
      </c>
      <c r="BS59" s="26">
        <f t="shared" si="69"/>
        <v>0</v>
      </c>
      <c r="BT59" s="26">
        <f t="shared" si="69"/>
        <v>0</v>
      </c>
      <c r="BU59" s="26">
        <f t="shared" si="69"/>
        <v>0</v>
      </c>
      <c r="BV59" s="26">
        <f t="shared" si="69"/>
        <v>0</v>
      </c>
      <c r="BW59" s="26">
        <f t="shared" si="69"/>
        <v>0</v>
      </c>
      <c r="BX59" s="26">
        <f t="shared" si="69"/>
        <v>0</v>
      </c>
      <c r="BY59" s="26">
        <f t="shared" si="70"/>
        <v>1.5</v>
      </c>
      <c r="BZ59" s="26">
        <f t="shared" si="70"/>
        <v>0.6</v>
      </c>
      <c r="CA59" s="26">
        <f t="shared" si="70"/>
        <v>0.6</v>
      </c>
      <c r="CB59" s="26">
        <f t="shared" si="70"/>
        <v>1.5</v>
      </c>
      <c r="CC59" s="26">
        <f t="shared" si="70"/>
        <v>0</v>
      </c>
      <c r="CD59" s="26">
        <f t="shared" si="70"/>
        <v>0</v>
      </c>
      <c r="CE59" s="26">
        <f t="shared" si="70"/>
        <v>1</v>
      </c>
      <c r="CF59" s="26">
        <f t="shared" si="70"/>
        <v>0.6</v>
      </c>
      <c r="CG59" s="26">
        <f t="shared" si="70"/>
        <v>0.3</v>
      </c>
      <c r="CH59" s="26">
        <f t="shared" si="70"/>
        <v>1</v>
      </c>
      <c r="CI59" s="26">
        <f t="shared" si="71"/>
        <v>0</v>
      </c>
      <c r="CJ59" s="26">
        <f t="shared" si="71"/>
        <v>0</v>
      </c>
      <c r="CK59" s="26">
        <f t="shared" si="71"/>
        <v>0</v>
      </c>
      <c r="CL59" s="26">
        <f t="shared" si="71"/>
        <v>0</v>
      </c>
      <c r="CM59" s="26">
        <f t="shared" si="71"/>
        <v>0</v>
      </c>
      <c r="CN59" s="26">
        <f t="shared" si="71"/>
        <v>0</v>
      </c>
      <c r="CO59" s="26">
        <f t="shared" si="71"/>
        <v>0</v>
      </c>
      <c r="CP59" s="26">
        <f t="shared" si="71"/>
        <v>0</v>
      </c>
      <c r="CQ59" s="26">
        <f t="shared" si="71"/>
        <v>0</v>
      </c>
      <c r="CR59" s="26">
        <f t="shared" si="71"/>
        <v>0</v>
      </c>
      <c r="CS59" s="26">
        <f t="shared" si="71"/>
        <v>0</v>
      </c>
      <c r="CT59" s="26">
        <f t="shared" si="71"/>
        <v>0</v>
      </c>
      <c r="CU59" s="26">
        <f t="shared" si="72"/>
        <v>1.5</v>
      </c>
      <c r="CV59" s="26">
        <f t="shared" si="72"/>
        <v>1.5</v>
      </c>
      <c r="CW59" s="26">
        <f t="shared" si="72"/>
        <v>1</v>
      </c>
      <c r="CX59" s="26">
        <f t="shared" si="72"/>
        <v>1.5</v>
      </c>
      <c r="CY59" s="26">
        <f t="shared" si="72"/>
        <v>0.3</v>
      </c>
      <c r="CZ59" s="26">
        <f t="shared" si="72"/>
        <v>0</v>
      </c>
      <c r="DA59" s="26">
        <f t="shared" si="72"/>
        <v>1</v>
      </c>
      <c r="DB59" s="26">
        <f t="shared" si="72"/>
        <v>1</v>
      </c>
      <c r="DC59" s="26">
        <f t="shared" si="72"/>
        <v>1</v>
      </c>
      <c r="DD59" s="26">
        <f t="shared" si="72"/>
        <v>1</v>
      </c>
      <c r="DE59" s="26">
        <f t="shared" si="73"/>
        <v>0</v>
      </c>
      <c r="DF59" s="26">
        <f t="shared" si="73"/>
        <v>0</v>
      </c>
      <c r="DG59" s="26">
        <f t="shared" si="73"/>
        <v>0</v>
      </c>
      <c r="DH59" s="26">
        <f t="shared" si="73"/>
        <v>0</v>
      </c>
      <c r="DI59" s="26">
        <f t="shared" si="73"/>
        <v>0</v>
      </c>
      <c r="DJ59" s="26">
        <f t="shared" si="73"/>
        <v>0</v>
      </c>
      <c r="DK59" s="26">
        <f t="shared" si="73"/>
        <v>0</v>
      </c>
      <c r="DL59" s="26">
        <f t="shared" si="73"/>
        <v>0</v>
      </c>
      <c r="DM59" s="26">
        <f t="shared" si="73"/>
        <v>0</v>
      </c>
      <c r="DN59" s="26">
        <f t="shared" si="73"/>
        <v>0</v>
      </c>
      <c r="DO59" s="26">
        <f t="shared" si="73"/>
        <v>0</v>
      </c>
      <c r="DP59" s="26">
        <f t="shared" si="73"/>
        <v>0</v>
      </c>
      <c r="DQ59" s="26">
        <f t="shared" si="74"/>
        <v>1.5</v>
      </c>
      <c r="DR59" s="26">
        <f t="shared" si="74"/>
        <v>1.5</v>
      </c>
      <c r="DS59" s="26">
        <f t="shared" si="74"/>
        <v>1.5</v>
      </c>
      <c r="DT59" s="26">
        <f t="shared" si="74"/>
        <v>1.5</v>
      </c>
      <c r="DU59" s="26">
        <f t="shared" si="74"/>
        <v>1.5</v>
      </c>
      <c r="DV59" s="26">
        <f t="shared" si="74"/>
        <v>0</v>
      </c>
      <c r="DW59" s="26">
        <f t="shared" si="74"/>
        <v>1</v>
      </c>
      <c r="DX59" s="26">
        <f t="shared" si="74"/>
        <v>1</v>
      </c>
      <c r="DY59" s="26">
        <f t="shared" si="74"/>
        <v>1</v>
      </c>
      <c r="DZ59" s="26">
        <f t="shared" si="74"/>
        <v>1</v>
      </c>
      <c r="EA59" s="26">
        <f t="shared" si="75"/>
        <v>0</v>
      </c>
      <c r="EB59" s="26">
        <f t="shared" si="75"/>
        <v>0.1</v>
      </c>
      <c r="EC59" s="26">
        <f t="shared" si="75"/>
        <v>0.1</v>
      </c>
      <c r="ED59" s="26">
        <f t="shared" si="75"/>
        <v>0</v>
      </c>
      <c r="EE59" s="26">
        <f t="shared" si="75"/>
        <v>0</v>
      </c>
      <c r="EF59" s="26">
        <f t="shared" si="75"/>
        <v>0</v>
      </c>
      <c r="EG59" s="26">
        <f t="shared" si="75"/>
        <v>0</v>
      </c>
      <c r="EH59" s="26">
        <f t="shared" si="75"/>
        <v>0</v>
      </c>
      <c r="EI59" s="26">
        <f t="shared" si="75"/>
        <v>0</v>
      </c>
      <c r="EJ59" s="26">
        <f t="shared" si="75"/>
        <v>0</v>
      </c>
      <c r="EK59" s="26">
        <f t="shared" si="75"/>
        <v>0</v>
      </c>
      <c r="EL59" s="26">
        <f t="shared" si="75"/>
        <v>0</v>
      </c>
      <c r="EM59" s="26">
        <f t="shared" si="18"/>
        <v>63998</v>
      </c>
      <c r="EN59" s="26">
        <f t="shared" si="19"/>
        <v>63998</v>
      </c>
      <c r="EO59" s="26">
        <f t="shared" si="20"/>
        <v>84531</v>
      </c>
      <c r="EP59" s="26">
        <f t="shared" si="21"/>
        <v>125481</v>
      </c>
      <c r="EQ59" s="26">
        <f t="shared" si="22"/>
        <v>167990</v>
      </c>
    </row>
    <row r="60" spans="2:147">
      <c r="B60" s="27">
        <v>10</v>
      </c>
      <c r="C60" s="27">
        <v>2</v>
      </c>
      <c r="D60" s="27">
        <v>1000</v>
      </c>
      <c r="E60" s="27">
        <f t="shared" si="23"/>
        <v>36000</v>
      </c>
      <c r="F60" s="27">
        <f t="shared" si="11"/>
        <v>36000</v>
      </c>
      <c r="G60" s="27">
        <f>SUM(F$5:F60)</f>
        <v>866000</v>
      </c>
      <c r="H60" s="27">
        <f t="shared" si="24"/>
        <v>56</v>
      </c>
      <c r="I60" s="27" t="s">
        <v>150</v>
      </c>
      <c r="J60" s="27">
        <v>2.5000000000000001E-2</v>
      </c>
      <c r="K60" s="27">
        <f>INDEX(其他调用!$BO$5:$BO$61,MATCH(星阵点亮!I60,其他调用!$BM$5:$BM$61,0))*J60</f>
        <v>25672.805927841328</v>
      </c>
      <c r="L60" s="27">
        <f t="shared" si="55"/>
        <v>25672</v>
      </c>
      <c r="Q60" s="26">
        <v>56</v>
      </c>
      <c r="R60" s="26">
        <f>总纲!D60</f>
        <v>47.502930128332721</v>
      </c>
      <c r="S60" s="26">
        <f>求节点(将星点产出!$W$6:$W$44,将星点产出!$AO$6:$AO$44,星阵点亮!$Q60)</f>
        <v>81507.894348709116</v>
      </c>
      <c r="T60" s="26">
        <f t="shared" si="13"/>
        <v>17</v>
      </c>
      <c r="U60" s="26">
        <f>总纲!E60</f>
        <v>41.275295988508304</v>
      </c>
      <c r="V60" s="26">
        <f>求节点(将星点产出!$W$51:$W$89,将星点产出!$AO$51:$AO$89,星阵点亮!$Q60)</f>
        <v>90456.218933403608</v>
      </c>
      <c r="W60" s="26">
        <f t="shared" si="14"/>
        <v>18</v>
      </c>
      <c r="X60" s="26">
        <f>总纲!F60</f>
        <v>33.888590353552566</v>
      </c>
      <c r="Y60" s="26">
        <f>求节点(将星点产出!$W$96:$W$134,将星点产出!$AO$96:$AO$134,星阵点亮!$Q60)</f>
        <v>127280.17292113615</v>
      </c>
      <c r="Z60" s="26">
        <f t="shared" si="15"/>
        <v>22</v>
      </c>
      <c r="AA60" s="26">
        <f>总纲!G60</f>
        <v>24.910536559297679</v>
      </c>
      <c r="AB60" s="26">
        <f>求节点(将星点产出!$W$141:$W$179,将星点产出!$AO$141:$AO$179,星阵点亮!$Q60)</f>
        <v>227848.84400605928</v>
      </c>
      <c r="AC60" s="26">
        <f t="shared" si="16"/>
        <v>29</v>
      </c>
      <c r="AD60" s="26">
        <f>总纲!H60</f>
        <v>13.837603546383322</v>
      </c>
      <c r="AE60" s="26">
        <f>求节点(将星点产出!$W$186:$W$224,将星点产出!$AO$186:$AO$224,星阵点亮!$Q60)</f>
        <v>324719.61818967486</v>
      </c>
      <c r="AF60" s="26">
        <f t="shared" si="17"/>
        <v>35</v>
      </c>
      <c r="AG60" s="26">
        <f t="shared" si="66"/>
        <v>1</v>
      </c>
      <c r="AH60" s="26">
        <f t="shared" si="66"/>
        <v>0.6</v>
      </c>
      <c r="AI60" s="26">
        <f t="shared" si="66"/>
        <v>0.6</v>
      </c>
      <c r="AJ60" s="26">
        <f t="shared" si="66"/>
        <v>1.5</v>
      </c>
      <c r="AK60" s="26">
        <f t="shared" si="66"/>
        <v>0</v>
      </c>
      <c r="AL60" s="26">
        <f t="shared" si="66"/>
        <v>0</v>
      </c>
      <c r="AM60" s="26">
        <f t="shared" si="66"/>
        <v>1</v>
      </c>
      <c r="AN60" s="26">
        <f t="shared" si="66"/>
        <v>0</v>
      </c>
      <c r="AO60" s="26">
        <f t="shared" si="66"/>
        <v>0</v>
      </c>
      <c r="AP60" s="26">
        <f t="shared" si="66"/>
        <v>1</v>
      </c>
      <c r="AQ60" s="26">
        <f t="shared" si="67"/>
        <v>0</v>
      </c>
      <c r="AR60" s="26">
        <f t="shared" si="67"/>
        <v>0</v>
      </c>
      <c r="AS60" s="26">
        <f t="shared" si="67"/>
        <v>0</v>
      </c>
      <c r="AT60" s="26">
        <f t="shared" si="67"/>
        <v>0</v>
      </c>
      <c r="AU60" s="26">
        <f t="shared" si="67"/>
        <v>0</v>
      </c>
      <c r="AV60" s="26">
        <f t="shared" si="67"/>
        <v>0</v>
      </c>
      <c r="AW60" s="26">
        <f t="shared" si="67"/>
        <v>0</v>
      </c>
      <c r="AX60" s="26">
        <f t="shared" si="67"/>
        <v>0</v>
      </c>
      <c r="AY60" s="26">
        <f t="shared" si="67"/>
        <v>0</v>
      </c>
      <c r="AZ60" s="26">
        <f t="shared" si="67"/>
        <v>0</v>
      </c>
      <c r="BA60" s="26">
        <f t="shared" si="67"/>
        <v>0</v>
      </c>
      <c r="BB60" s="26">
        <f t="shared" si="67"/>
        <v>0</v>
      </c>
      <c r="BC60" s="26">
        <f t="shared" si="68"/>
        <v>1.5</v>
      </c>
      <c r="BD60" s="26">
        <f t="shared" si="68"/>
        <v>0.6</v>
      </c>
      <c r="BE60" s="26">
        <f t="shared" si="68"/>
        <v>0.6</v>
      </c>
      <c r="BF60" s="26">
        <f t="shared" si="68"/>
        <v>1.5</v>
      </c>
      <c r="BG60" s="26">
        <f t="shared" si="68"/>
        <v>0</v>
      </c>
      <c r="BH60" s="26">
        <f t="shared" si="68"/>
        <v>0</v>
      </c>
      <c r="BI60" s="26">
        <f t="shared" si="68"/>
        <v>1</v>
      </c>
      <c r="BJ60" s="26">
        <f t="shared" si="68"/>
        <v>0</v>
      </c>
      <c r="BK60" s="26">
        <f t="shared" si="68"/>
        <v>0</v>
      </c>
      <c r="BL60" s="26">
        <f t="shared" si="68"/>
        <v>1</v>
      </c>
      <c r="BM60" s="26">
        <f t="shared" si="69"/>
        <v>0</v>
      </c>
      <c r="BN60" s="26">
        <f t="shared" si="69"/>
        <v>0</v>
      </c>
      <c r="BO60" s="26">
        <f t="shared" si="69"/>
        <v>0</v>
      </c>
      <c r="BP60" s="26">
        <f t="shared" si="69"/>
        <v>0</v>
      </c>
      <c r="BQ60" s="26">
        <f t="shared" si="69"/>
        <v>0</v>
      </c>
      <c r="BR60" s="26">
        <f t="shared" si="69"/>
        <v>0</v>
      </c>
      <c r="BS60" s="26">
        <f t="shared" si="69"/>
        <v>0</v>
      </c>
      <c r="BT60" s="26">
        <f t="shared" si="69"/>
        <v>0</v>
      </c>
      <c r="BU60" s="26">
        <f t="shared" si="69"/>
        <v>0</v>
      </c>
      <c r="BV60" s="26">
        <f t="shared" si="69"/>
        <v>0</v>
      </c>
      <c r="BW60" s="26">
        <f t="shared" si="69"/>
        <v>0</v>
      </c>
      <c r="BX60" s="26">
        <f t="shared" si="69"/>
        <v>0</v>
      </c>
      <c r="BY60" s="26">
        <f t="shared" si="70"/>
        <v>1.5</v>
      </c>
      <c r="BZ60" s="26">
        <f t="shared" si="70"/>
        <v>0.6</v>
      </c>
      <c r="CA60" s="26">
        <f t="shared" si="70"/>
        <v>0.6</v>
      </c>
      <c r="CB60" s="26">
        <f t="shared" si="70"/>
        <v>1.5</v>
      </c>
      <c r="CC60" s="26">
        <f t="shared" si="70"/>
        <v>0</v>
      </c>
      <c r="CD60" s="26">
        <f t="shared" si="70"/>
        <v>0</v>
      </c>
      <c r="CE60" s="26">
        <f t="shared" si="70"/>
        <v>1</v>
      </c>
      <c r="CF60" s="26">
        <f t="shared" si="70"/>
        <v>0.6</v>
      </c>
      <c r="CG60" s="26">
        <f t="shared" si="70"/>
        <v>0.6</v>
      </c>
      <c r="CH60" s="26">
        <f t="shared" si="70"/>
        <v>1</v>
      </c>
      <c r="CI60" s="26">
        <f t="shared" si="71"/>
        <v>0</v>
      </c>
      <c r="CJ60" s="26">
        <f t="shared" si="71"/>
        <v>0</v>
      </c>
      <c r="CK60" s="26">
        <f t="shared" si="71"/>
        <v>0</v>
      </c>
      <c r="CL60" s="26">
        <f t="shared" si="71"/>
        <v>0</v>
      </c>
      <c r="CM60" s="26">
        <f t="shared" si="71"/>
        <v>0</v>
      </c>
      <c r="CN60" s="26">
        <f t="shared" si="71"/>
        <v>0</v>
      </c>
      <c r="CO60" s="26">
        <f t="shared" si="71"/>
        <v>0</v>
      </c>
      <c r="CP60" s="26">
        <f t="shared" si="71"/>
        <v>0</v>
      </c>
      <c r="CQ60" s="26">
        <f t="shared" si="71"/>
        <v>0</v>
      </c>
      <c r="CR60" s="26">
        <f t="shared" si="71"/>
        <v>0</v>
      </c>
      <c r="CS60" s="26">
        <f t="shared" si="71"/>
        <v>0</v>
      </c>
      <c r="CT60" s="26">
        <f t="shared" si="71"/>
        <v>0</v>
      </c>
      <c r="CU60" s="26">
        <f t="shared" si="72"/>
        <v>1.5</v>
      </c>
      <c r="CV60" s="26">
        <f t="shared" si="72"/>
        <v>1.5</v>
      </c>
      <c r="CW60" s="26">
        <f t="shared" si="72"/>
        <v>1.5</v>
      </c>
      <c r="CX60" s="26">
        <f t="shared" si="72"/>
        <v>1.5</v>
      </c>
      <c r="CY60" s="26">
        <f t="shared" si="72"/>
        <v>0.3</v>
      </c>
      <c r="CZ60" s="26">
        <f t="shared" si="72"/>
        <v>0</v>
      </c>
      <c r="DA60" s="26">
        <f t="shared" si="72"/>
        <v>1</v>
      </c>
      <c r="DB60" s="26">
        <f t="shared" si="72"/>
        <v>1</v>
      </c>
      <c r="DC60" s="26">
        <f t="shared" si="72"/>
        <v>1</v>
      </c>
      <c r="DD60" s="26">
        <f t="shared" si="72"/>
        <v>1</v>
      </c>
      <c r="DE60" s="26">
        <f t="shared" si="73"/>
        <v>0</v>
      </c>
      <c r="DF60" s="26">
        <f t="shared" si="73"/>
        <v>0</v>
      </c>
      <c r="DG60" s="26">
        <f t="shared" si="73"/>
        <v>0</v>
      </c>
      <c r="DH60" s="26">
        <f t="shared" si="73"/>
        <v>0</v>
      </c>
      <c r="DI60" s="26">
        <f t="shared" si="73"/>
        <v>0</v>
      </c>
      <c r="DJ60" s="26">
        <f t="shared" si="73"/>
        <v>0</v>
      </c>
      <c r="DK60" s="26">
        <f t="shared" si="73"/>
        <v>0</v>
      </c>
      <c r="DL60" s="26">
        <f t="shared" si="73"/>
        <v>0</v>
      </c>
      <c r="DM60" s="26">
        <f t="shared" si="73"/>
        <v>0</v>
      </c>
      <c r="DN60" s="26">
        <f t="shared" si="73"/>
        <v>0</v>
      </c>
      <c r="DO60" s="26">
        <f t="shared" si="73"/>
        <v>0</v>
      </c>
      <c r="DP60" s="26">
        <f t="shared" si="73"/>
        <v>0</v>
      </c>
      <c r="DQ60" s="26">
        <f t="shared" si="74"/>
        <v>1.5</v>
      </c>
      <c r="DR60" s="26">
        <f t="shared" si="74"/>
        <v>1.5</v>
      </c>
      <c r="DS60" s="26">
        <f t="shared" si="74"/>
        <v>1.5</v>
      </c>
      <c r="DT60" s="26">
        <f t="shared" si="74"/>
        <v>1.5</v>
      </c>
      <c r="DU60" s="26">
        <f t="shared" si="74"/>
        <v>1.5</v>
      </c>
      <c r="DV60" s="26">
        <f t="shared" si="74"/>
        <v>0</v>
      </c>
      <c r="DW60" s="26">
        <f t="shared" si="74"/>
        <v>1</v>
      </c>
      <c r="DX60" s="26">
        <f t="shared" si="74"/>
        <v>1</v>
      </c>
      <c r="DY60" s="26">
        <f t="shared" si="74"/>
        <v>1</v>
      </c>
      <c r="DZ60" s="26">
        <f t="shared" si="74"/>
        <v>1</v>
      </c>
      <c r="EA60" s="26">
        <f t="shared" si="75"/>
        <v>0</v>
      </c>
      <c r="EB60" s="26">
        <f t="shared" si="75"/>
        <v>0.2</v>
      </c>
      <c r="EC60" s="26">
        <f t="shared" si="75"/>
        <v>0.1</v>
      </c>
      <c r="ED60" s="26">
        <f t="shared" si="75"/>
        <v>0</v>
      </c>
      <c r="EE60" s="26">
        <f t="shared" si="75"/>
        <v>0</v>
      </c>
      <c r="EF60" s="26">
        <f t="shared" si="75"/>
        <v>0</v>
      </c>
      <c r="EG60" s="26">
        <f t="shared" si="75"/>
        <v>0</v>
      </c>
      <c r="EH60" s="26">
        <f t="shared" si="75"/>
        <v>0</v>
      </c>
      <c r="EI60" s="26">
        <f t="shared" si="75"/>
        <v>0</v>
      </c>
      <c r="EJ60" s="26">
        <f t="shared" si="75"/>
        <v>0</v>
      </c>
      <c r="EK60" s="26">
        <f t="shared" si="75"/>
        <v>0</v>
      </c>
      <c r="EL60" s="26">
        <f t="shared" si="75"/>
        <v>0</v>
      </c>
      <c r="EM60" s="26">
        <f t="shared" si="18"/>
        <v>63998</v>
      </c>
      <c r="EN60" s="26">
        <f t="shared" si="19"/>
        <v>68936</v>
      </c>
      <c r="EO60" s="26">
        <f t="shared" si="20"/>
        <v>89990</v>
      </c>
      <c r="EP60" s="26">
        <f t="shared" si="21"/>
        <v>131852</v>
      </c>
      <c r="EQ60" s="26">
        <f t="shared" si="22"/>
        <v>175758</v>
      </c>
    </row>
    <row r="61" spans="2:147">
      <c r="B61" s="27">
        <v>10</v>
      </c>
      <c r="C61" s="27">
        <v>3</v>
      </c>
      <c r="D61" s="27">
        <v>1000</v>
      </c>
      <c r="E61" s="27">
        <f t="shared" si="23"/>
        <v>37000</v>
      </c>
      <c r="F61" s="27">
        <f t="shared" si="11"/>
        <v>37000</v>
      </c>
      <c r="G61" s="27">
        <f>SUM(F$5:F61)</f>
        <v>903000</v>
      </c>
      <c r="H61" s="27">
        <f t="shared" si="24"/>
        <v>57</v>
      </c>
      <c r="I61" s="27" t="s">
        <v>151</v>
      </c>
      <c r="J61" s="27">
        <v>2.5000000000000001E-2</v>
      </c>
      <c r="K61" s="27">
        <f>INDEX(其他调用!$BO$5:$BO$61,MATCH(星阵点亮!I61,其他调用!$BM$5:$BM$61,0))*J61</f>
        <v>25672.805927841328</v>
      </c>
      <c r="L61" s="27">
        <f t="shared" si="55"/>
        <v>25722</v>
      </c>
      <c r="Q61" s="26">
        <v>57</v>
      </c>
      <c r="R61" s="26">
        <f>总纲!D61</f>
        <v>50.984153366799077</v>
      </c>
      <c r="S61" s="26">
        <f>求节点(将星点产出!$W$6:$W$44,将星点产出!$AO$6:$AO$44,星阵点亮!$Q61)</f>
        <v>85976.069646933756</v>
      </c>
      <c r="T61" s="26">
        <f t="shared" si="13"/>
        <v>18</v>
      </c>
      <c r="U61" s="26">
        <f>总纲!E61</f>
        <v>44.310327691085078</v>
      </c>
      <c r="V61" s="26">
        <f>求节点(将星点产出!$W$51:$W$89,将星点产出!$AO$51:$AO$89,星阵点亮!$Q61)</f>
        <v>96022.821441499342</v>
      </c>
      <c r="W61" s="26">
        <f t="shared" si="14"/>
        <v>19</v>
      </c>
      <c r="X61" s="26">
        <f>总纲!F61</f>
        <v>36.316012443170983</v>
      </c>
      <c r="Y61" s="26">
        <f>求节点(将星点产出!$W$96:$W$134,将星点产出!$AO$96:$AO$134,星阵点亮!$Q61)</f>
        <v>133569.44149745395</v>
      </c>
      <c r="Z61" s="26">
        <f t="shared" si="15"/>
        <v>22</v>
      </c>
      <c r="AA61" s="26">
        <f>总纲!G61</f>
        <v>26.664712210835919</v>
      </c>
      <c r="AB61" s="26">
        <f>求节点(将星点产出!$W$141:$W$179,将星点产出!$AO$141:$AO$179,星阵点亮!$Q61)</f>
        <v>241354.62780597652</v>
      </c>
      <c r="AC61" s="26">
        <f t="shared" si="16"/>
        <v>30</v>
      </c>
      <c r="AD61" s="26">
        <f>总纲!H61</f>
        <v>14.815994968391813</v>
      </c>
      <c r="AE61" s="26">
        <f>求节点(将星点产出!$W$186:$W$224,将星点产出!$AO$186:$AO$224,星阵点亮!$Q61)</f>
        <v>340071.27637326508</v>
      </c>
      <c r="AF61" s="26">
        <f t="shared" si="17"/>
        <v>36</v>
      </c>
      <c r="AG61" s="26">
        <f t="shared" si="66"/>
        <v>1.5</v>
      </c>
      <c r="AH61" s="26">
        <f t="shared" si="66"/>
        <v>0.6</v>
      </c>
      <c r="AI61" s="26">
        <f t="shared" si="66"/>
        <v>0.6</v>
      </c>
      <c r="AJ61" s="26">
        <f t="shared" si="66"/>
        <v>1.5</v>
      </c>
      <c r="AK61" s="26">
        <f t="shared" si="66"/>
        <v>0</v>
      </c>
      <c r="AL61" s="26">
        <f t="shared" si="66"/>
        <v>0</v>
      </c>
      <c r="AM61" s="26">
        <f t="shared" si="66"/>
        <v>1</v>
      </c>
      <c r="AN61" s="26">
        <f t="shared" si="66"/>
        <v>0</v>
      </c>
      <c r="AO61" s="26">
        <f t="shared" si="66"/>
        <v>0</v>
      </c>
      <c r="AP61" s="26">
        <f t="shared" si="66"/>
        <v>1</v>
      </c>
      <c r="AQ61" s="26">
        <f t="shared" si="67"/>
        <v>0</v>
      </c>
      <c r="AR61" s="26">
        <f t="shared" si="67"/>
        <v>0</v>
      </c>
      <c r="AS61" s="26">
        <f t="shared" si="67"/>
        <v>0</v>
      </c>
      <c r="AT61" s="26">
        <f t="shared" si="67"/>
        <v>0</v>
      </c>
      <c r="AU61" s="26">
        <f t="shared" si="67"/>
        <v>0</v>
      </c>
      <c r="AV61" s="26">
        <f t="shared" si="67"/>
        <v>0</v>
      </c>
      <c r="AW61" s="26">
        <f t="shared" si="67"/>
        <v>0</v>
      </c>
      <c r="AX61" s="26">
        <f t="shared" si="67"/>
        <v>0</v>
      </c>
      <c r="AY61" s="26">
        <f t="shared" si="67"/>
        <v>0</v>
      </c>
      <c r="AZ61" s="26">
        <f t="shared" si="67"/>
        <v>0</v>
      </c>
      <c r="BA61" s="26">
        <f t="shared" si="67"/>
        <v>0</v>
      </c>
      <c r="BB61" s="26">
        <f t="shared" si="67"/>
        <v>0</v>
      </c>
      <c r="BC61" s="26">
        <f t="shared" si="68"/>
        <v>1.5</v>
      </c>
      <c r="BD61" s="26">
        <f t="shared" si="68"/>
        <v>0.6</v>
      </c>
      <c r="BE61" s="26">
        <f t="shared" si="68"/>
        <v>0.6</v>
      </c>
      <c r="BF61" s="26">
        <f t="shared" si="68"/>
        <v>1.5</v>
      </c>
      <c r="BG61" s="26">
        <f t="shared" si="68"/>
        <v>0</v>
      </c>
      <c r="BH61" s="26">
        <f t="shared" si="68"/>
        <v>0</v>
      </c>
      <c r="BI61" s="26">
        <f t="shared" si="68"/>
        <v>1</v>
      </c>
      <c r="BJ61" s="26">
        <f t="shared" si="68"/>
        <v>0.3</v>
      </c>
      <c r="BK61" s="26">
        <f t="shared" si="68"/>
        <v>0</v>
      </c>
      <c r="BL61" s="26">
        <f t="shared" si="68"/>
        <v>1</v>
      </c>
      <c r="BM61" s="26">
        <f t="shared" si="69"/>
        <v>0</v>
      </c>
      <c r="BN61" s="26">
        <f t="shared" si="69"/>
        <v>0</v>
      </c>
      <c r="BO61" s="26">
        <f t="shared" si="69"/>
        <v>0</v>
      </c>
      <c r="BP61" s="26">
        <f t="shared" si="69"/>
        <v>0</v>
      </c>
      <c r="BQ61" s="26">
        <f t="shared" si="69"/>
        <v>0</v>
      </c>
      <c r="BR61" s="26">
        <f t="shared" si="69"/>
        <v>0</v>
      </c>
      <c r="BS61" s="26">
        <f t="shared" si="69"/>
        <v>0</v>
      </c>
      <c r="BT61" s="26">
        <f t="shared" si="69"/>
        <v>0</v>
      </c>
      <c r="BU61" s="26">
        <f t="shared" si="69"/>
        <v>0</v>
      </c>
      <c r="BV61" s="26">
        <f t="shared" si="69"/>
        <v>0</v>
      </c>
      <c r="BW61" s="26">
        <f t="shared" si="69"/>
        <v>0</v>
      </c>
      <c r="BX61" s="26">
        <f t="shared" si="69"/>
        <v>0</v>
      </c>
      <c r="BY61" s="26">
        <f t="shared" si="70"/>
        <v>1.5</v>
      </c>
      <c r="BZ61" s="26">
        <f t="shared" si="70"/>
        <v>0.6</v>
      </c>
      <c r="CA61" s="26">
        <f t="shared" si="70"/>
        <v>0.6</v>
      </c>
      <c r="CB61" s="26">
        <f t="shared" si="70"/>
        <v>1.5</v>
      </c>
      <c r="CC61" s="26">
        <f t="shared" si="70"/>
        <v>0</v>
      </c>
      <c r="CD61" s="26">
        <f t="shared" si="70"/>
        <v>0</v>
      </c>
      <c r="CE61" s="26">
        <f t="shared" si="70"/>
        <v>1</v>
      </c>
      <c r="CF61" s="26">
        <f t="shared" si="70"/>
        <v>0.6</v>
      </c>
      <c r="CG61" s="26">
        <f t="shared" si="70"/>
        <v>0.6</v>
      </c>
      <c r="CH61" s="26">
        <f t="shared" si="70"/>
        <v>1</v>
      </c>
      <c r="CI61" s="26">
        <f t="shared" si="71"/>
        <v>0</v>
      </c>
      <c r="CJ61" s="26">
        <f t="shared" si="71"/>
        <v>0</v>
      </c>
      <c r="CK61" s="26">
        <f t="shared" si="71"/>
        <v>0</v>
      </c>
      <c r="CL61" s="26">
        <f t="shared" si="71"/>
        <v>0</v>
      </c>
      <c r="CM61" s="26">
        <f t="shared" si="71"/>
        <v>0</v>
      </c>
      <c r="CN61" s="26">
        <f t="shared" si="71"/>
        <v>0</v>
      </c>
      <c r="CO61" s="26">
        <f t="shared" si="71"/>
        <v>0</v>
      </c>
      <c r="CP61" s="26">
        <f t="shared" si="71"/>
        <v>0</v>
      </c>
      <c r="CQ61" s="26">
        <f t="shared" si="71"/>
        <v>0</v>
      </c>
      <c r="CR61" s="26">
        <f t="shared" si="71"/>
        <v>0</v>
      </c>
      <c r="CS61" s="26">
        <f t="shared" si="71"/>
        <v>0</v>
      </c>
      <c r="CT61" s="26">
        <f t="shared" si="71"/>
        <v>0</v>
      </c>
      <c r="CU61" s="26">
        <f t="shared" si="72"/>
        <v>1.5</v>
      </c>
      <c r="CV61" s="26">
        <f t="shared" si="72"/>
        <v>1.5</v>
      </c>
      <c r="CW61" s="26">
        <f t="shared" si="72"/>
        <v>1.5</v>
      </c>
      <c r="CX61" s="26">
        <f t="shared" si="72"/>
        <v>1.5</v>
      </c>
      <c r="CY61" s="26">
        <f t="shared" si="72"/>
        <v>0.6</v>
      </c>
      <c r="CZ61" s="26">
        <f t="shared" si="72"/>
        <v>0</v>
      </c>
      <c r="DA61" s="26">
        <f t="shared" si="72"/>
        <v>1</v>
      </c>
      <c r="DB61" s="26">
        <f t="shared" si="72"/>
        <v>1</v>
      </c>
      <c r="DC61" s="26">
        <f t="shared" si="72"/>
        <v>1</v>
      </c>
      <c r="DD61" s="26">
        <f t="shared" si="72"/>
        <v>1</v>
      </c>
      <c r="DE61" s="26">
        <f t="shared" si="73"/>
        <v>0</v>
      </c>
      <c r="DF61" s="26">
        <f t="shared" si="73"/>
        <v>0</v>
      </c>
      <c r="DG61" s="26">
        <f t="shared" si="73"/>
        <v>0</v>
      </c>
      <c r="DH61" s="26">
        <f t="shared" si="73"/>
        <v>0</v>
      </c>
      <c r="DI61" s="26">
        <f t="shared" si="73"/>
        <v>0</v>
      </c>
      <c r="DJ61" s="26">
        <f t="shared" si="73"/>
        <v>0</v>
      </c>
      <c r="DK61" s="26">
        <f t="shared" si="73"/>
        <v>0</v>
      </c>
      <c r="DL61" s="26">
        <f t="shared" si="73"/>
        <v>0</v>
      </c>
      <c r="DM61" s="26">
        <f t="shared" si="73"/>
        <v>0</v>
      </c>
      <c r="DN61" s="26">
        <f t="shared" si="73"/>
        <v>0</v>
      </c>
      <c r="DO61" s="26">
        <f t="shared" si="73"/>
        <v>0</v>
      </c>
      <c r="DP61" s="26">
        <f t="shared" si="73"/>
        <v>0</v>
      </c>
      <c r="DQ61" s="26">
        <f t="shared" si="74"/>
        <v>1.5</v>
      </c>
      <c r="DR61" s="26">
        <f t="shared" si="74"/>
        <v>1.5</v>
      </c>
      <c r="DS61" s="26">
        <f t="shared" si="74"/>
        <v>1.5</v>
      </c>
      <c r="DT61" s="26">
        <f t="shared" si="74"/>
        <v>1.5</v>
      </c>
      <c r="DU61" s="26">
        <f t="shared" si="74"/>
        <v>1.5</v>
      </c>
      <c r="DV61" s="26">
        <f t="shared" si="74"/>
        <v>0</v>
      </c>
      <c r="DW61" s="26">
        <f t="shared" si="74"/>
        <v>1</v>
      </c>
      <c r="DX61" s="26">
        <f t="shared" si="74"/>
        <v>1</v>
      </c>
      <c r="DY61" s="26">
        <f t="shared" si="74"/>
        <v>1</v>
      </c>
      <c r="DZ61" s="26">
        <f t="shared" si="74"/>
        <v>1</v>
      </c>
      <c r="EA61" s="26">
        <f t="shared" si="75"/>
        <v>0</v>
      </c>
      <c r="EB61" s="26">
        <f t="shared" si="75"/>
        <v>0.2</v>
      </c>
      <c r="EC61" s="26">
        <f t="shared" si="75"/>
        <v>0.2</v>
      </c>
      <c r="ED61" s="26">
        <f t="shared" si="75"/>
        <v>0</v>
      </c>
      <c r="EE61" s="26">
        <f t="shared" si="75"/>
        <v>0</v>
      </c>
      <c r="EF61" s="26">
        <f t="shared" si="75"/>
        <v>0</v>
      </c>
      <c r="EG61" s="26">
        <f t="shared" si="75"/>
        <v>0</v>
      </c>
      <c r="EH61" s="26">
        <f t="shared" si="75"/>
        <v>0</v>
      </c>
      <c r="EI61" s="26">
        <f t="shared" si="75"/>
        <v>0</v>
      </c>
      <c r="EJ61" s="26">
        <f t="shared" si="75"/>
        <v>0</v>
      </c>
      <c r="EK61" s="26">
        <f t="shared" si="75"/>
        <v>0</v>
      </c>
      <c r="EL61" s="26">
        <f t="shared" si="75"/>
        <v>0</v>
      </c>
      <c r="EM61" s="26">
        <f t="shared" si="18"/>
        <v>68936</v>
      </c>
      <c r="EN61" s="26">
        <f t="shared" si="19"/>
        <v>74004</v>
      </c>
      <c r="EO61" s="26">
        <f t="shared" si="20"/>
        <v>89990</v>
      </c>
      <c r="EP61" s="26">
        <f t="shared" si="21"/>
        <v>138354</v>
      </c>
      <c r="EQ61" s="26">
        <f t="shared" si="22"/>
        <v>183576</v>
      </c>
    </row>
    <row r="62" spans="2:147">
      <c r="B62" s="27">
        <v>10</v>
      </c>
      <c r="C62" s="27">
        <v>4</v>
      </c>
      <c r="D62" s="27">
        <v>1000</v>
      </c>
      <c r="E62" s="27">
        <f t="shared" si="23"/>
        <v>38000</v>
      </c>
      <c r="F62" s="27">
        <f t="shared" si="11"/>
        <v>38000</v>
      </c>
      <c r="G62" s="27">
        <f>SUM(F$5:F62)</f>
        <v>941000</v>
      </c>
      <c r="H62" s="27">
        <f t="shared" si="24"/>
        <v>58</v>
      </c>
      <c r="I62" s="27" t="s">
        <v>149</v>
      </c>
      <c r="J62" s="27">
        <v>2.5000000000000001E-2</v>
      </c>
      <c r="K62" s="27">
        <f>INDEX(其他调用!$BO$5:$BO$61,MATCH(星阵点亮!I62,其他调用!$BM$5:$BM$61,0))*J62</f>
        <v>21930.629497427974</v>
      </c>
      <c r="L62" s="27">
        <f t="shared" si="55"/>
        <v>25772</v>
      </c>
      <c r="Q62" s="26">
        <v>58</v>
      </c>
      <c r="R62" s="26">
        <f>总纲!D62</f>
        <v>54.715236050951923</v>
      </c>
      <c r="S62" s="26">
        <f>求节点(将星点产出!$W$6:$W$44,将星点产出!$AO$6:$AO$44,星阵点亮!$Q62)</f>
        <v>90444.244945158382</v>
      </c>
      <c r="T62" s="26">
        <f t="shared" si="13"/>
        <v>18</v>
      </c>
      <c r="U62" s="26">
        <f>总纲!E62</f>
        <v>47.459995750595695</v>
      </c>
      <c r="V62" s="26">
        <f>求节点(将星点产出!$W$51:$W$89,将星点产出!$AO$51:$AO$89,星阵点亮!$Q62)</f>
        <v>101589.42394959508</v>
      </c>
      <c r="W62" s="26">
        <f t="shared" si="14"/>
        <v>19</v>
      </c>
      <c r="X62" s="26">
        <f>总纲!F62</f>
        <v>38.913475879437009</v>
      </c>
      <c r="Y62" s="26">
        <f>求节点(将星点产出!$W$96:$W$134,将星点产出!$AO$96:$AO$134,星阵点亮!$Q62)</f>
        <v>139858.71007377177</v>
      </c>
      <c r="Z62" s="26">
        <f t="shared" si="15"/>
        <v>23</v>
      </c>
      <c r="AA62" s="26">
        <f>总纲!G62</f>
        <v>28.572296265807093</v>
      </c>
      <c r="AB62" s="26">
        <f>求节点(将星点产出!$W$141:$W$179,将星点产出!$AO$141:$AO$179,星阵点亮!$Q62)</f>
        <v>254860.41160589375</v>
      </c>
      <c r="AC62" s="26">
        <f t="shared" si="16"/>
        <v>31</v>
      </c>
      <c r="AD62" s="26">
        <f>总纲!H62</f>
        <v>15.856475407565867</v>
      </c>
      <c r="AE62" s="26">
        <f>求节点(将星点产出!$W$186:$W$224,将星点产出!$AO$186:$AO$224,星阵点亮!$Q62)</f>
        <v>355422.93455685524</v>
      </c>
      <c r="AF62" s="26">
        <f t="shared" si="17"/>
        <v>37</v>
      </c>
      <c r="AG62" s="26">
        <f t="shared" si="66"/>
        <v>1.5</v>
      </c>
      <c r="AH62" s="26">
        <f t="shared" si="66"/>
        <v>0.6</v>
      </c>
      <c r="AI62" s="26">
        <f t="shared" si="66"/>
        <v>0.6</v>
      </c>
      <c r="AJ62" s="26">
        <f t="shared" si="66"/>
        <v>1.5</v>
      </c>
      <c r="AK62" s="26">
        <f t="shared" si="66"/>
        <v>0</v>
      </c>
      <c r="AL62" s="26">
        <f t="shared" si="66"/>
        <v>0</v>
      </c>
      <c r="AM62" s="26">
        <f t="shared" si="66"/>
        <v>1</v>
      </c>
      <c r="AN62" s="26">
        <f t="shared" si="66"/>
        <v>0</v>
      </c>
      <c r="AO62" s="26">
        <f t="shared" si="66"/>
        <v>0</v>
      </c>
      <c r="AP62" s="26">
        <f t="shared" si="66"/>
        <v>1</v>
      </c>
      <c r="AQ62" s="26">
        <f t="shared" si="67"/>
        <v>0</v>
      </c>
      <c r="AR62" s="26">
        <f t="shared" si="67"/>
        <v>0</v>
      </c>
      <c r="AS62" s="26">
        <f t="shared" si="67"/>
        <v>0</v>
      </c>
      <c r="AT62" s="26">
        <f t="shared" si="67"/>
        <v>0</v>
      </c>
      <c r="AU62" s="26">
        <f t="shared" si="67"/>
        <v>0</v>
      </c>
      <c r="AV62" s="26">
        <f t="shared" si="67"/>
        <v>0</v>
      </c>
      <c r="AW62" s="26">
        <f t="shared" si="67"/>
        <v>0</v>
      </c>
      <c r="AX62" s="26">
        <f t="shared" si="67"/>
        <v>0</v>
      </c>
      <c r="AY62" s="26">
        <f t="shared" si="67"/>
        <v>0</v>
      </c>
      <c r="AZ62" s="26">
        <f t="shared" si="67"/>
        <v>0</v>
      </c>
      <c r="BA62" s="26">
        <f t="shared" si="67"/>
        <v>0</v>
      </c>
      <c r="BB62" s="26">
        <f t="shared" si="67"/>
        <v>0</v>
      </c>
      <c r="BC62" s="26">
        <f t="shared" si="68"/>
        <v>1.5</v>
      </c>
      <c r="BD62" s="26">
        <f t="shared" si="68"/>
        <v>0.6</v>
      </c>
      <c r="BE62" s="26">
        <f t="shared" si="68"/>
        <v>0.6</v>
      </c>
      <c r="BF62" s="26">
        <f t="shared" si="68"/>
        <v>1.5</v>
      </c>
      <c r="BG62" s="26">
        <f t="shared" si="68"/>
        <v>0</v>
      </c>
      <c r="BH62" s="26">
        <f t="shared" si="68"/>
        <v>0</v>
      </c>
      <c r="BI62" s="26">
        <f t="shared" si="68"/>
        <v>1</v>
      </c>
      <c r="BJ62" s="26">
        <f t="shared" si="68"/>
        <v>0.3</v>
      </c>
      <c r="BK62" s="26">
        <f t="shared" si="68"/>
        <v>0</v>
      </c>
      <c r="BL62" s="26">
        <f t="shared" si="68"/>
        <v>1</v>
      </c>
      <c r="BM62" s="26">
        <f t="shared" si="69"/>
        <v>0</v>
      </c>
      <c r="BN62" s="26">
        <f t="shared" si="69"/>
        <v>0</v>
      </c>
      <c r="BO62" s="26">
        <f t="shared" si="69"/>
        <v>0</v>
      </c>
      <c r="BP62" s="26">
        <f t="shared" si="69"/>
        <v>0</v>
      </c>
      <c r="BQ62" s="26">
        <f t="shared" si="69"/>
        <v>0</v>
      </c>
      <c r="BR62" s="26">
        <f t="shared" si="69"/>
        <v>0</v>
      </c>
      <c r="BS62" s="26">
        <f t="shared" si="69"/>
        <v>0</v>
      </c>
      <c r="BT62" s="26">
        <f t="shared" si="69"/>
        <v>0</v>
      </c>
      <c r="BU62" s="26">
        <f t="shared" si="69"/>
        <v>0</v>
      </c>
      <c r="BV62" s="26">
        <f t="shared" si="69"/>
        <v>0</v>
      </c>
      <c r="BW62" s="26">
        <f t="shared" si="69"/>
        <v>0</v>
      </c>
      <c r="BX62" s="26">
        <f t="shared" si="69"/>
        <v>0</v>
      </c>
      <c r="BY62" s="26">
        <f t="shared" si="70"/>
        <v>1.5</v>
      </c>
      <c r="BZ62" s="26">
        <f t="shared" si="70"/>
        <v>0.6</v>
      </c>
      <c r="CA62" s="26">
        <f t="shared" si="70"/>
        <v>0.6</v>
      </c>
      <c r="CB62" s="26">
        <f t="shared" si="70"/>
        <v>1.5</v>
      </c>
      <c r="CC62" s="26">
        <f t="shared" si="70"/>
        <v>0</v>
      </c>
      <c r="CD62" s="26">
        <f t="shared" si="70"/>
        <v>0</v>
      </c>
      <c r="CE62" s="26">
        <f t="shared" si="70"/>
        <v>1</v>
      </c>
      <c r="CF62" s="26">
        <f t="shared" si="70"/>
        <v>1</v>
      </c>
      <c r="CG62" s="26">
        <f t="shared" si="70"/>
        <v>0.6</v>
      </c>
      <c r="CH62" s="26">
        <f t="shared" si="70"/>
        <v>1</v>
      </c>
      <c r="CI62" s="26">
        <f t="shared" si="71"/>
        <v>0</v>
      </c>
      <c r="CJ62" s="26">
        <f t="shared" si="71"/>
        <v>0</v>
      </c>
      <c r="CK62" s="26">
        <f t="shared" si="71"/>
        <v>0</v>
      </c>
      <c r="CL62" s="26">
        <f t="shared" si="71"/>
        <v>0</v>
      </c>
      <c r="CM62" s="26">
        <f t="shared" si="71"/>
        <v>0</v>
      </c>
      <c r="CN62" s="26">
        <f t="shared" si="71"/>
        <v>0</v>
      </c>
      <c r="CO62" s="26">
        <f t="shared" si="71"/>
        <v>0</v>
      </c>
      <c r="CP62" s="26">
        <f t="shared" si="71"/>
        <v>0</v>
      </c>
      <c r="CQ62" s="26">
        <f t="shared" si="71"/>
        <v>0</v>
      </c>
      <c r="CR62" s="26">
        <f t="shared" si="71"/>
        <v>0</v>
      </c>
      <c r="CS62" s="26">
        <f t="shared" si="71"/>
        <v>0</v>
      </c>
      <c r="CT62" s="26">
        <f t="shared" si="71"/>
        <v>0</v>
      </c>
      <c r="CU62" s="26">
        <f t="shared" si="72"/>
        <v>1.5</v>
      </c>
      <c r="CV62" s="26">
        <f t="shared" si="72"/>
        <v>1.5</v>
      </c>
      <c r="CW62" s="26">
        <f t="shared" si="72"/>
        <v>1.5</v>
      </c>
      <c r="CX62" s="26">
        <f t="shared" si="72"/>
        <v>1.5</v>
      </c>
      <c r="CY62" s="26">
        <f t="shared" si="72"/>
        <v>1</v>
      </c>
      <c r="CZ62" s="26">
        <f t="shared" si="72"/>
        <v>0</v>
      </c>
      <c r="DA62" s="26">
        <f t="shared" si="72"/>
        <v>1</v>
      </c>
      <c r="DB62" s="26">
        <f t="shared" si="72"/>
        <v>1</v>
      </c>
      <c r="DC62" s="26">
        <f t="shared" si="72"/>
        <v>1</v>
      </c>
      <c r="DD62" s="26">
        <f t="shared" si="72"/>
        <v>1</v>
      </c>
      <c r="DE62" s="26">
        <f t="shared" si="73"/>
        <v>0</v>
      </c>
      <c r="DF62" s="26">
        <f t="shared" si="73"/>
        <v>0</v>
      </c>
      <c r="DG62" s="26">
        <f t="shared" si="73"/>
        <v>0</v>
      </c>
      <c r="DH62" s="26">
        <f t="shared" si="73"/>
        <v>0</v>
      </c>
      <c r="DI62" s="26">
        <f t="shared" si="73"/>
        <v>0</v>
      </c>
      <c r="DJ62" s="26">
        <f t="shared" si="73"/>
        <v>0</v>
      </c>
      <c r="DK62" s="26">
        <f t="shared" si="73"/>
        <v>0</v>
      </c>
      <c r="DL62" s="26">
        <f t="shared" si="73"/>
        <v>0</v>
      </c>
      <c r="DM62" s="26">
        <f t="shared" si="73"/>
        <v>0</v>
      </c>
      <c r="DN62" s="26">
        <f t="shared" si="73"/>
        <v>0</v>
      </c>
      <c r="DO62" s="26">
        <f t="shared" si="73"/>
        <v>0</v>
      </c>
      <c r="DP62" s="26">
        <f t="shared" si="73"/>
        <v>0</v>
      </c>
      <c r="DQ62" s="26">
        <f t="shared" si="74"/>
        <v>1.5</v>
      </c>
      <c r="DR62" s="26">
        <f t="shared" si="74"/>
        <v>1.5</v>
      </c>
      <c r="DS62" s="26">
        <f t="shared" si="74"/>
        <v>1.5</v>
      </c>
      <c r="DT62" s="26">
        <f t="shared" si="74"/>
        <v>1.5</v>
      </c>
      <c r="DU62" s="26">
        <f t="shared" si="74"/>
        <v>1.5</v>
      </c>
      <c r="DV62" s="26">
        <f t="shared" si="74"/>
        <v>0</v>
      </c>
      <c r="DW62" s="26">
        <f t="shared" si="74"/>
        <v>1</v>
      </c>
      <c r="DX62" s="26">
        <f t="shared" si="74"/>
        <v>1</v>
      </c>
      <c r="DY62" s="26">
        <f t="shared" si="74"/>
        <v>1</v>
      </c>
      <c r="DZ62" s="26">
        <f t="shared" si="74"/>
        <v>1</v>
      </c>
      <c r="EA62" s="26">
        <f t="shared" si="75"/>
        <v>0</v>
      </c>
      <c r="EB62" s="26">
        <f t="shared" si="75"/>
        <v>0.2</v>
      </c>
      <c r="EC62" s="26">
        <f t="shared" si="75"/>
        <v>0.2</v>
      </c>
      <c r="ED62" s="26">
        <f t="shared" si="75"/>
        <v>0.1</v>
      </c>
      <c r="EE62" s="26">
        <f t="shared" si="75"/>
        <v>0</v>
      </c>
      <c r="EF62" s="26">
        <f t="shared" si="75"/>
        <v>0</v>
      </c>
      <c r="EG62" s="26">
        <f t="shared" si="75"/>
        <v>0</v>
      </c>
      <c r="EH62" s="26">
        <f t="shared" si="75"/>
        <v>0</v>
      </c>
      <c r="EI62" s="26">
        <f t="shared" si="75"/>
        <v>0</v>
      </c>
      <c r="EJ62" s="26">
        <f t="shared" si="75"/>
        <v>0</v>
      </c>
      <c r="EK62" s="26">
        <f t="shared" si="75"/>
        <v>0</v>
      </c>
      <c r="EL62" s="26">
        <f t="shared" si="75"/>
        <v>0</v>
      </c>
      <c r="EM62" s="26">
        <f t="shared" si="18"/>
        <v>68936</v>
      </c>
      <c r="EN62" s="26">
        <f t="shared" si="19"/>
        <v>74004</v>
      </c>
      <c r="EO62" s="26">
        <f t="shared" si="20"/>
        <v>95579</v>
      </c>
      <c r="EP62" s="26">
        <f t="shared" si="21"/>
        <v>144986</v>
      </c>
      <c r="EQ62" s="26">
        <f t="shared" si="22"/>
        <v>191444</v>
      </c>
    </row>
    <row r="63" spans="2:147">
      <c r="B63" s="27">
        <v>10</v>
      </c>
      <c r="C63" s="27">
        <v>5</v>
      </c>
      <c r="D63" s="27">
        <v>1000</v>
      </c>
      <c r="E63" s="27">
        <f t="shared" si="23"/>
        <v>39000</v>
      </c>
      <c r="F63" s="27">
        <f t="shared" si="11"/>
        <v>39000</v>
      </c>
      <c r="G63" s="27">
        <f>SUM(F$5:F63)</f>
        <v>980000</v>
      </c>
      <c r="H63" s="27">
        <f t="shared" si="24"/>
        <v>59</v>
      </c>
      <c r="I63" s="27" t="s">
        <v>150</v>
      </c>
      <c r="J63" s="27">
        <v>2.5000000000000001E-2</v>
      </c>
      <c r="K63" s="27">
        <f>INDEX(其他调用!$BO$5:$BO$61,MATCH(星阵点亮!I63,其他调用!$BM$5:$BM$61,0))*J63</f>
        <v>25672.805927841328</v>
      </c>
      <c r="L63" s="27">
        <f t="shared" si="55"/>
        <v>25822</v>
      </c>
      <c r="Q63" s="26">
        <v>59</v>
      </c>
      <c r="R63" s="26">
        <f>总纲!D63</f>
        <v>58.714111458355703</v>
      </c>
      <c r="S63" s="26">
        <f>求节点(将星点产出!$W$6:$W$44,将星点产出!$AO$6:$AO$44,星阵点亮!$Q63)</f>
        <v>94912.420243383007</v>
      </c>
      <c r="T63" s="26">
        <f t="shared" si="13"/>
        <v>18</v>
      </c>
      <c r="U63" s="26">
        <f>总纲!E63</f>
        <v>50.940363101269412</v>
      </c>
      <c r="V63" s="26">
        <f>求节点(将星点产出!$W$51:$W$89,将星点产出!$AO$51:$AO$89,星阵点亮!$Q63)</f>
        <v>107156.02645769081</v>
      </c>
      <c r="W63" s="26">
        <f t="shared" si="14"/>
        <v>20</v>
      </c>
      <c r="X63" s="26">
        <f>总纲!F63</f>
        <v>41.728119013453394</v>
      </c>
      <c r="Y63" s="26">
        <f>求节点(将星点产出!$W$96:$W$134,将星点产出!$AO$96:$AO$134,星阵点亮!$Q63)</f>
        <v>146147.97865008959</v>
      </c>
      <c r="Z63" s="26">
        <f t="shared" si="15"/>
        <v>23</v>
      </c>
      <c r="AA63" s="26">
        <f>总纲!G63</f>
        <v>30.607666303240826</v>
      </c>
      <c r="AB63" s="26">
        <f>求节点(将星点产出!$W$141:$W$179,将星点产出!$AO$141:$AO$179,星阵点亮!$Q63)</f>
        <v>269343.19119868288</v>
      </c>
      <c r="AC63" s="26">
        <f t="shared" si="16"/>
        <v>32</v>
      </c>
      <c r="AD63" s="26">
        <f>总纲!H63</f>
        <v>17.003606678339814</v>
      </c>
      <c r="AE63" s="26">
        <f>求节点(将星点产出!$W$186:$W$224,将星点产出!$AO$186:$AO$224,星阵点亮!$Q63)</f>
        <v>369965.46773109678</v>
      </c>
      <c r="AF63" s="26">
        <f t="shared" si="17"/>
        <v>37</v>
      </c>
      <c r="AG63" s="26">
        <f t="shared" si="66"/>
        <v>1.5</v>
      </c>
      <c r="AH63" s="26">
        <f t="shared" si="66"/>
        <v>0.6</v>
      </c>
      <c r="AI63" s="26">
        <f t="shared" si="66"/>
        <v>0.6</v>
      </c>
      <c r="AJ63" s="26">
        <f t="shared" si="66"/>
        <v>1.5</v>
      </c>
      <c r="AK63" s="26">
        <f t="shared" si="66"/>
        <v>0</v>
      </c>
      <c r="AL63" s="26">
        <f t="shared" si="66"/>
        <v>0</v>
      </c>
      <c r="AM63" s="26">
        <f t="shared" si="66"/>
        <v>1</v>
      </c>
      <c r="AN63" s="26">
        <f t="shared" si="66"/>
        <v>0</v>
      </c>
      <c r="AO63" s="26">
        <f t="shared" si="66"/>
        <v>0</v>
      </c>
      <c r="AP63" s="26">
        <f t="shared" si="66"/>
        <v>1</v>
      </c>
      <c r="AQ63" s="26">
        <f t="shared" si="67"/>
        <v>0</v>
      </c>
      <c r="AR63" s="26">
        <f t="shared" si="67"/>
        <v>0</v>
      </c>
      <c r="AS63" s="26">
        <f t="shared" si="67"/>
        <v>0</v>
      </c>
      <c r="AT63" s="26">
        <f t="shared" si="67"/>
        <v>0</v>
      </c>
      <c r="AU63" s="26">
        <f t="shared" si="67"/>
        <v>0</v>
      </c>
      <c r="AV63" s="26">
        <f t="shared" si="67"/>
        <v>0</v>
      </c>
      <c r="AW63" s="26">
        <f t="shared" si="67"/>
        <v>0</v>
      </c>
      <c r="AX63" s="26">
        <f t="shared" si="67"/>
        <v>0</v>
      </c>
      <c r="AY63" s="26">
        <f t="shared" si="67"/>
        <v>0</v>
      </c>
      <c r="AZ63" s="26">
        <f t="shared" si="67"/>
        <v>0</v>
      </c>
      <c r="BA63" s="26">
        <f t="shared" si="67"/>
        <v>0</v>
      </c>
      <c r="BB63" s="26">
        <f t="shared" si="67"/>
        <v>0</v>
      </c>
      <c r="BC63" s="26">
        <f t="shared" si="68"/>
        <v>1.5</v>
      </c>
      <c r="BD63" s="26">
        <f t="shared" si="68"/>
        <v>0.6</v>
      </c>
      <c r="BE63" s="26">
        <f t="shared" si="68"/>
        <v>0.6</v>
      </c>
      <c r="BF63" s="26">
        <f t="shared" si="68"/>
        <v>1.5</v>
      </c>
      <c r="BG63" s="26">
        <f t="shared" si="68"/>
        <v>0</v>
      </c>
      <c r="BH63" s="26">
        <f t="shared" si="68"/>
        <v>0</v>
      </c>
      <c r="BI63" s="26">
        <f t="shared" si="68"/>
        <v>1</v>
      </c>
      <c r="BJ63" s="26">
        <f t="shared" si="68"/>
        <v>0.3</v>
      </c>
      <c r="BK63" s="26">
        <f t="shared" si="68"/>
        <v>0.3</v>
      </c>
      <c r="BL63" s="26">
        <f t="shared" si="68"/>
        <v>1</v>
      </c>
      <c r="BM63" s="26">
        <f t="shared" si="69"/>
        <v>0</v>
      </c>
      <c r="BN63" s="26">
        <f t="shared" si="69"/>
        <v>0</v>
      </c>
      <c r="BO63" s="26">
        <f t="shared" si="69"/>
        <v>0</v>
      </c>
      <c r="BP63" s="26">
        <f t="shared" si="69"/>
        <v>0</v>
      </c>
      <c r="BQ63" s="26">
        <f t="shared" si="69"/>
        <v>0</v>
      </c>
      <c r="BR63" s="26">
        <f t="shared" si="69"/>
        <v>0</v>
      </c>
      <c r="BS63" s="26">
        <f t="shared" si="69"/>
        <v>0</v>
      </c>
      <c r="BT63" s="26">
        <f t="shared" si="69"/>
        <v>0</v>
      </c>
      <c r="BU63" s="26">
        <f t="shared" si="69"/>
        <v>0</v>
      </c>
      <c r="BV63" s="26">
        <f t="shared" si="69"/>
        <v>0</v>
      </c>
      <c r="BW63" s="26">
        <f t="shared" si="69"/>
        <v>0</v>
      </c>
      <c r="BX63" s="26">
        <f t="shared" si="69"/>
        <v>0</v>
      </c>
      <c r="BY63" s="26">
        <f t="shared" si="70"/>
        <v>1.5</v>
      </c>
      <c r="BZ63" s="26">
        <f t="shared" si="70"/>
        <v>0.6</v>
      </c>
      <c r="CA63" s="26">
        <f t="shared" si="70"/>
        <v>0.6</v>
      </c>
      <c r="CB63" s="26">
        <f t="shared" si="70"/>
        <v>1.5</v>
      </c>
      <c r="CC63" s="26">
        <f t="shared" si="70"/>
        <v>0</v>
      </c>
      <c r="CD63" s="26">
        <f t="shared" si="70"/>
        <v>0</v>
      </c>
      <c r="CE63" s="26">
        <f t="shared" si="70"/>
        <v>1</v>
      </c>
      <c r="CF63" s="26">
        <f t="shared" si="70"/>
        <v>1</v>
      </c>
      <c r="CG63" s="26">
        <f t="shared" si="70"/>
        <v>0.6</v>
      </c>
      <c r="CH63" s="26">
        <f t="shared" si="70"/>
        <v>1</v>
      </c>
      <c r="CI63" s="26">
        <f t="shared" si="71"/>
        <v>0</v>
      </c>
      <c r="CJ63" s="26">
        <f t="shared" si="71"/>
        <v>0</v>
      </c>
      <c r="CK63" s="26">
        <f t="shared" si="71"/>
        <v>0</v>
      </c>
      <c r="CL63" s="26">
        <f t="shared" si="71"/>
        <v>0</v>
      </c>
      <c r="CM63" s="26">
        <f t="shared" si="71"/>
        <v>0</v>
      </c>
      <c r="CN63" s="26">
        <f t="shared" si="71"/>
        <v>0</v>
      </c>
      <c r="CO63" s="26">
        <f t="shared" si="71"/>
        <v>0</v>
      </c>
      <c r="CP63" s="26">
        <f t="shared" si="71"/>
        <v>0</v>
      </c>
      <c r="CQ63" s="26">
        <f t="shared" si="71"/>
        <v>0</v>
      </c>
      <c r="CR63" s="26">
        <f t="shared" si="71"/>
        <v>0</v>
      </c>
      <c r="CS63" s="26">
        <f t="shared" si="71"/>
        <v>0</v>
      </c>
      <c r="CT63" s="26">
        <f t="shared" si="71"/>
        <v>0</v>
      </c>
      <c r="CU63" s="26">
        <f t="shared" si="72"/>
        <v>1.5</v>
      </c>
      <c r="CV63" s="26">
        <f t="shared" si="72"/>
        <v>1.5</v>
      </c>
      <c r="CW63" s="26">
        <f t="shared" si="72"/>
        <v>1.5</v>
      </c>
      <c r="CX63" s="26">
        <f t="shared" si="72"/>
        <v>1.5</v>
      </c>
      <c r="CY63" s="26">
        <f t="shared" si="72"/>
        <v>1</v>
      </c>
      <c r="CZ63" s="26">
        <f t="shared" si="72"/>
        <v>0</v>
      </c>
      <c r="DA63" s="26">
        <f t="shared" si="72"/>
        <v>1</v>
      </c>
      <c r="DB63" s="26">
        <f t="shared" si="72"/>
        <v>1</v>
      </c>
      <c r="DC63" s="26">
        <f t="shared" si="72"/>
        <v>1</v>
      </c>
      <c r="DD63" s="26">
        <f t="shared" si="72"/>
        <v>1</v>
      </c>
      <c r="DE63" s="26">
        <f t="shared" si="73"/>
        <v>0</v>
      </c>
      <c r="DF63" s="26">
        <f t="shared" si="73"/>
        <v>0.1</v>
      </c>
      <c r="DG63" s="26">
        <f t="shared" si="73"/>
        <v>0</v>
      </c>
      <c r="DH63" s="26">
        <f t="shared" si="73"/>
        <v>0</v>
      </c>
      <c r="DI63" s="26">
        <f t="shared" si="73"/>
        <v>0</v>
      </c>
      <c r="DJ63" s="26">
        <f t="shared" si="73"/>
        <v>0</v>
      </c>
      <c r="DK63" s="26">
        <f t="shared" si="73"/>
        <v>0</v>
      </c>
      <c r="DL63" s="26">
        <f t="shared" si="73"/>
        <v>0</v>
      </c>
      <c r="DM63" s="26">
        <f t="shared" si="73"/>
        <v>0</v>
      </c>
      <c r="DN63" s="26">
        <f t="shared" si="73"/>
        <v>0</v>
      </c>
      <c r="DO63" s="26">
        <f t="shared" si="73"/>
        <v>0</v>
      </c>
      <c r="DP63" s="26">
        <f t="shared" si="73"/>
        <v>0</v>
      </c>
      <c r="DQ63" s="26">
        <f t="shared" si="74"/>
        <v>1.5</v>
      </c>
      <c r="DR63" s="26">
        <f t="shared" si="74"/>
        <v>1.5</v>
      </c>
      <c r="DS63" s="26">
        <f t="shared" si="74"/>
        <v>1.5</v>
      </c>
      <c r="DT63" s="26">
        <f t="shared" si="74"/>
        <v>1.5</v>
      </c>
      <c r="DU63" s="26">
        <f t="shared" si="74"/>
        <v>1.5</v>
      </c>
      <c r="DV63" s="26">
        <f t="shared" si="74"/>
        <v>0</v>
      </c>
      <c r="DW63" s="26">
        <f t="shared" si="74"/>
        <v>1</v>
      </c>
      <c r="DX63" s="26">
        <f t="shared" si="74"/>
        <v>1</v>
      </c>
      <c r="DY63" s="26">
        <f t="shared" si="74"/>
        <v>1</v>
      </c>
      <c r="DZ63" s="26">
        <f t="shared" si="74"/>
        <v>1</v>
      </c>
      <c r="EA63" s="26">
        <f t="shared" si="75"/>
        <v>0</v>
      </c>
      <c r="EB63" s="26">
        <f t="shared" si="75"/>
        <v>0.2</v>
      </c>
      <c r="EC63" s="26">
        <f t="shared" si="75"/>
        <v>0.2</v>
      </c>
      <c r="ED63" s="26">
        <f t="shared" si="75"/>
        <v>0.1</v>
      </c>
      <c r="EE63" s="26">
        <f t="shared" si="75"/>
        <v>0</v>
      </c>
      <c r="EF63" s="26">
        <f t="shared" si="75"/>
        <v>0</v>
      </c>
      <c r="EG63" s="26">
        <f t="shared" si="75"/>
        <v>0</v>
      </c>
      <c r="EH63" s="26">
        <f t="shared" si="75"/>
        <v>0</v>
      </c>
      <c r="EI63" s="26">
        <f t="shared" si="75"/>
        <v>0</v>
      </c>
      <c r="EJ63" s="26">
        <f t="shared" si="75"/>
        <v>0</v>
      </c>
      <c r="EK63" s="26">
        <f t="shared" si="75"/>
        <v>0</v>
      </c>
      <c r="EL63" s="26">
        <f t="shared" si="75"/>
        <v>0</v>
      </c>
      <c r="EM63" s="26">
        <f t="shared" si="18"/>
        <v>68936</v>
      </c>
      <c r="EN63" s="26">
        <f t="shared" si="19"/>
        <v>79202</v>
      </c>
      <c r="EO63" s="26">
        <f t="shared" si="20"/>
        <v>95579</v>
      </c>
      <c r="EP63" s="26">
        <f t="shared" si="21"/>
        <v>152604</v>
      </c>
      <c r="EQ63" s="26">
        <f t="shared" si="22"/>
        <v>191444</v>
      </c>
    </row>
    <row r="64" spans="2:147">
      <c r="B64" s="27">
        <v>10</v>
      </c>
      <c r="C64" s="27">
        <v>6</v>
      </c>
      <c r="D64" s="27">
        <v>1000</v>
      </c>
      <c r="E64" s="27">
        <f t="shared" si="23"/>
        <v>40000</v>
      </c>
      <c r="F64" s="27">
        <f t="shared" si="11"/>
        <v>40000</v>
      </c>
      <c r="G64" s="27">
        <f>SUM(F$5:F64)</f>
        <v>1020000</v>
      </c>
      <c r="H64" s="27">
        <f t="shared" si="24"/>
        <v>60</v>
      </c>
      <c r="I64" s="27" t="s">
        <v>151</v>
      </c>
      <c r="J64" s="27">
        <v>2.5000000000000001E-2</v>
      </c>
      <c r="K64" s="27">
        <f>INDEX(其他调用!$BO$5:$BO$61,MATCH(星阵点亮!I64,其他调用!$BM$5:$BM$61,0))*J64</f>
        <v>25672.805927841328</v>
      </c>
      <c r="L64" s="27">
        <f t="shared" si="55"/>
        <v>25872</v>
      </c>
      <c r="Q64" s="26">
        <v>60</v>
      </c>
      <c r="R64" s="26">
        <f>总纲!D64</f>
        <v>63</v>
      </c>
      <c r="S64" s="26">
        <f>求节点(将星点产出!$W$6:$W$44,将星点产出!$AO$6:$AO$44,星阵点亮!$Q64)</f>
        <v>99783.489541791932</v>
      </c>
      <c r="T64" s="26">
        <f t="shared" si="13"/>
        <v>19</v>
      </c>
      <c r="U64" s="26">
        <f>总纲!E64</f>
        <v>54.589500000000001</v>
      </c>
      <c r="V64" s="26">
        <f>求节点(将星点产出!$W$51:$W$89,将星点产出!$AO$51:$AO$89,星阵点亮!$Q64)</f>
        <v>114253.46750922165</v>
      </c>
      <c r="W64" s="26">
        <f t="shared" si="14"/>
        <v>20</v>
      </c>
      <c r="X64" s="26">
        <f>总纲!F64</f>
        <v>44.717399999999998</v>
      </c>
      <c r="Y64" s="26">
        <f>求节点(将星点产出!$W$96:$W$134,将星点产出!$AO$96:$AO$134,星阵点亮!$Q64)</f>
        <v>153742.03167658587</v>
      </c>
      <c r="Z64" s="26">
        <f t="shared" si="15"/>
        <v>24</v>
      </c>
      <c r="AA64" s="26">
        <f>总纲!G64</f>
        <v>32.810400000000001</v>
      </c>
      <c r="AB64" s="26">
        <f>求节点(将星点产出!$W$141:$W$179,将星点产出!$AO$141:$AO$179,星阵点亮!$Q64)</f>
        <v>286121.40915021399</v>
      </c>
      <c r="AC64" s="26">
        <f t="shared" si="16"/>
        <v>33</v>
      </c>
      <c r="AD64" s="26">
        <f>总纲!H64</f>
        <v>18.276300000000003</v>
      </c>
      <c r="AE64" s="26">
        <f>求节点(将星点产出!$W$186:$W$224,将星点产出!$AO$186:$AO$224,星阵点亮!$Q64)</f>
        <v>383474.07529580139</v>
      </c>
      <c r="AF64" s="26">
        <f t="shared" si="17"/>
        <v>38</v>
      </c>
      <c r="AG64" s="26">
        <f t="shared" si="66"/>
        <v>1.5</v>
      </c>
      <c r="AH64" s="26">
        <f t="shared" si="66"/>
        <v>0.6</v>
      </c>
      <c r="AI64" s="26">
        <f t="shared" si="66"/>
        <v>0.6</v>
      </c>
      <c r="AJ64" s="26">
        <f t="shared" si="66"/>
        <v>1.5</v>
      </c>
      <c r="AK64" s="26">
        <f t="shared" si="66"/>
        <v>0</v>
      </c>
      <c r="AL64" s="26">
        <f t="shared" si="66"/>
        <v>0</v>
      </c>
      <c r="AM64" s="26">
        <f t="shared" si="66"/>
        <v>1</v>
      </c>
      <c r="AN64" s="26">
        <f t="shared" si="66"/>
        <v>0.3</v>
      </c>
      <c r="AO64" s="26">
        <f t="shared" si="66"/>
        <v>0</v>
      </c>
      <c r="AP64" s="26">
        <f t="shared" si="66"/>
        <v>1</v>
      </c>
      <c r="AQ64" s="26">
        <f t="shared" si="67"/>
        <v>0</v>
      </c>
      <c r="AR64" s="26">
        <f t="shared" si="67"/>
        <v>0</v>
      </c>
      <c r="AS64" s="26">
        <f t="shared" si="67"/>
        <v>0</v>
      </c>
      <c r="AT64" s="26">
        <f t="shared" si="67"/>
        <v>0</v>
      </c>
      <c r="AU64" s="26">
        <f t="shared" si="67"/>
        <v>0</v>
      </c>
      <c r="AV64" s="26">
        <f t="shared" si="67"/>
        <v>0</v>
      </c>
      <c r="AW64" s="26">
        <f t="shared" si="67"/>
        <v>0</v>
      </c>
      <c r="AX64" s="26">
        <f t="shared" si="67"/>
        <v>0</v>
      </c>
      <c r="AY64" s="26">
        <f t="shared" si="67"/>
        <v>0</v>
      </c>
      <c r="AZ64" s="26">
        <f t="shared" si="67"/>
        <v>0</v>
      </c>
      <c r="BA64" s="26">
        <f t="shared" si="67"/>
        <v>0</v>
      </c>
      <c r="BB64" s="26">
        <f t="shared" si="67"/>
        <v>0</v>
      </c>
      <c r="BC64" s="26">
        <f t="shared" si="68"/>
        <v>1.5</v>
      </c>
      <c r="BD64" s="26">
        <f t="shared" si="68"/>
        <v>0.6</v>
      </c>
      <c r="BE64" s="26">
        <f t="shared" si="68"/>
        <v>0.6</v>
      </c>
      <c r="BF64" s="26">
        <f t="shared" si="68"/>
        <v>1.5</v>
      </c>
      <c r="BG64" s="26">
        <f t="shared" si="68"/>
        <v>0</v>
      </c>
      <c r="BH64" s="26">
        <f t="shared" si="68"/>
        <v>0</v>
      </c>
      <c r="BI64" s="26">
        <f t="shared" si="68"/>
        <v>1</v>
      </c>
      <c r="BJ64" s="26">
        <f t="shared" si="68"/>
        <v>0.3</v>
      </c>
      <c r="BK64" s="26">
        <f t="shared" si="68"/>
        <v>0.3</v>
      </c>
      <c r="BL64" s="26">
        <f t="shared" si="68"/>
        <v>1</v>
      </c>
      <c r="BM64" s="26">
        <f t="shared" si="69"/>
        <v>0</v>
      </c>
      <c r="BN64" s="26">
        <f t="shared" si="69"/>
        <v>0</v>
      </c>
      <c r="BO64" s="26">
        <f t="shared" si="69"/>
        <v>0</v>
      </c>
      <c r="BP64" s="26">
        <f t="shared" si="69"/>
        <v>0</v>
      </c>
      <c r="BQ64" s="26">
        <f t="shared" si="69"/>
        <v>0</v>
      </c>
      <c r="BR64" s="26">
        <f t="shared" si="69"/>
        <v>0</v>
      </c>
      <c r="BS64" s="26">
        <f t="shared" si="69"/>
        <v>0</v>
      </c>
      <c r="BT64" s="26">
        <f t="shared" si="69"/>
        <v>0</v>
      </c>
      <c r="BU64" s="26">
        <f t="shared" si="69"/>
        <v>0</v>
      </c>
      <c r="BV64" s="26">
        <f t="shared" si="69"/>
        <v>0</v>
      </c>
      <c r="BW64" s="26">
        <f t="shared" si="69"/>
        <v>0</v>
      </c>
      <c r="BX64" s="26">
        <f t="shared" si="69"/>
        <v>0</v>
      </c>
      <c r="BY64" s="26">
        <f t="shared" si="70"/>
        <v>1.5</v>
      </c>
      <c r="BZ64" s="26">
        <f t="shared" si="70"/>
        <v>0.6</v>
      </c>
      <c r="CA64" s="26">
        <f t="shared" si="70"/>
        <v>0.6</v>
      </c>
      <c r="CB64" s="26">
        <f t="shared" si="70"/>
        <v>1.5</v>
      </c>
      <c r="CC64" s="26">
        <f t="shared" si="70"/>
        <v>0</v>
      </c>
      <c r="CD64" s="26">
        <f t="shared" si="70"/>
        <v>0</v>
      </c>
      <c r="CE64" s="26">
        <f t="shared" si="70"/>
        <v>1</v>
      </c>
      <c r="CF64" s="26">
        <f t="shared" si="70"/>
        <v>1</v>
      </c>
      <c r="CG64" s="26">
        <f t="shared" si="70"/>
        <v>1</v>
      </c>
      <c r="CH64" s="26">
        <f t="shared" si="70"/>
        <v>1</v>
      </c>
      <c r="CI64" s="26">
        <f t="shared" si="71"/>
        <v>0</v>
      </c>
      <c r="CJ64" s="26">
        <f t="shared" si="71"/>
        <v>0</v>
      </c>
      <c r="CK64" s="26">
        <f t="shared" si="71"/>
        <v>0</v>
      </c>
      <c r="CL64" s="26">
        <f t="shared" si="71"/>
        <v>0</v>
      </c>
      <c r="CM64" s="26">
        <f t="shared" si="71"/>
        <v>0</v>
      </c>
      <c r="CN64" s="26">
        <f t="shared" si="71"/>
        <v>0</v>
      </c>
      <c r="CO64" s="26">
        <f t="shared" si="71"/>
        <v>0</v>
      </c>
      <c r="CP64" s="26">
        <f t="shared" si="71"/>
        <v>0</v>
      </c>
      <c r="CQ64" s="26">
        <f t="shared" si="71"/>
        <v>0</v>
      </c>
      <c r="CR64" s="26">
        <f t="shared" si="71"/>
        <v>0</v>
      </c>
      <c r="CS64" s="26">
        <f t="shared" si="71"/>
        <v>0</v>
      </c>
      <c r="CT64" s="26">
        <f t="shared" si="71"/>
        <v>0</v>
      </c>
      <c r="CU64" s="26">
        <f t="shared" si="72"/>
        <v>1.5</v>
      </c>
      <c r="CV64" s="26">
        <f t="shared" si="72"/>
        <v>1.5</v>
      </c>
      <c r="CW64" s="26">
        <f t="shared" si="72"/>
        <v>1.5</v>
      </c>
      <c r="CX64" s="26">
        <f t="shared" si="72"/>
        <v>1.5</v>
      </c>
      <c r="CY64" s="26">
        <f t="shared" si="72"/>
        <v>1</v>
      </c>
      <c r="CZ64" s="26">
        <f t="shared" si="72"/>
        <v>0</v>
      </c>
      <c r="DA64" s="26">
        <f t="shared" si="72"/>
        <v>1</v>
      </c>
      <c r="DB64" s="26">
        <f t="shared" si="72"/>
        <v>1</v>
      </c>
      <c r="DC64" s="26">
        <f t="shared" si="72"/>
        <v>1</v>
      </c>
      <c r="DD64" s="26">
        <f t="shared" si="72"/>
        <v>1</v>
      </c>
      <c r="DE64" s="26">
        <f t="shared" si="73"/>
        <v>0</v>
      </c>
      <c r="DF64" s="26">
        <f t="shared" si="73"/>
        <v>0.1</v>
      </c>
      <c r="DG64" s="26">
        <f t="shared" si="73"/>
        <v>0.1</v>
      </c>
      <c r="DH64" s="26">
        <f t="shared" si="73"/>
        <v>0</v>
      </c>
      <c r="DI64" s="26">
        <f t="shared" si="73"/>
        <v>0</v>
      </c>
      <c r="DJ64" s="26">
        <f t="shared" si="73"/>
        <v>0</v>
      </c>
      <c r="DK64" s="26">
        <f t="shared" si="73"/>
        <v>0</v>
      </c>
      <c r="DL64" s="26">
        <f t="shared" si="73"/>
        <v>0</v>
      </c>
      <c r="DM64" s="26">
        <f t="shared" si="73"/>
        <v>0</v>
      </c>
      <c r="DN64" s="26">
        <f t="shared" si="73"/>
        <v>0</v>
      </c>
      <c r="DO64" s="26">
        <f t="shared" si="73"/>
        <v>0</v>
      </c>
      <c r="DP64" s="26">
        <f t="shared" si="73"/>
        <v>0</v>
      </c>
      <c r="DQ64" s="26">
        <f t="shared" si="74"/>
        <v>1.5</v>
      </c>
      <c r="DR64" s="26">
        <f t="shared" si="74"/>
        <v>1.5</v>
      </c>
      <c r="DS64" s="26">
        <f t="shared" si="74"/>
        <v>1.5</v>
      </c>
      <c r="DT64" s="26">
        <f t="shared" si="74"/>
        <v>1.5</v>
      </c>
      <c r="DU64" s="26">
        <f t="shared" si="74"/>
        <v>1.5</v>
      </c>
      <c r="DV64" s="26">
        <f t="shared" si="74"/>
        <v>0</v>
      </c>
      <c r="DW64" s="26">
        <f t="shared" si="74"/>
        <v>1</v>
      </c>
      <c r="DX64" s="26">
        <f t="shared" si="74"/>
        <v>1</v>
      </c>
      <c r="DY64" s="26">
        <f t="shared" si="74"/>
        <v>1</v>
      </c>
      <c r="DZ64" s="26">
        <f t="shared" si="74"/>
        <v>1</v>
      </c>
      <c r="EA64" s="26">
        <f t="shared" si="75"/>
        <v>0</v>
      </c>
      <c r="EB64" s="26">
        <f t="shared" si="75"/>
        <v>0.2</v>
      </c>
      <c r="EC64" s="26">
        <f t="shared" si="75"/>
        <v>0.2</v>
      </c>
      <c r="ED64" s="26">
        <f t="shared" si="75"/>
        <v>0.1</v>
      </c>
      <c r="EE64" s="26">
        <f t="shared" si="75"/>
        <v>0.1</v>
      </c>
      <c r="EF64" s="26">
        <f t="shared" si="75"/>
        <v>0</v>
      </c>
      <c r="EG64" s="26">
        <f t="shared" si="75"/>
        <v>0</v>
      </c>
      <c r="EH64" s="26">
        <f t="shared" si="75"/>
        <v>0</v>
      </c>
      <c r="EI64" s="26">
        <f t="shared" si="75"/>
        <v>0</v>
      </c>
      <c r="EJ64" s="26">
        <f t="shared" si="75"/>
        <v>0</v>
      </c>
      <c r="EK64" s="26">
        <f t="shared" si="75"/>
        <v>0</v>
      </c>
      <c r="EL64" s="26">
        <f t="shared" si="75"/>
        <v>0</v>
      </c>
      <c r="EM64" s="26">
        <f t="shared" si="18"/>
        <v>74004</v>
      </c>
      <c r="EN64" s="26">
        <f t="shared" si="19"/>
        <v>79202</v>
      </c>
      <c r="EO64" s="26">
        <f t="shared" si="20"/>
        <v>101299</v>
      </c>
      <c r="EP64" s="26">
        <f t="shared" si="21"/>
        <v>160272</v>
      </c>
      <c r="EQ64" s="26">
        <f t="shared" si="22"/>
        <v>199362</v>
      </c>
    </row>
    <row r="65" spans="2:147">
      <c r="B65" s="27">
        <v>11</v>
      </c>
      <c r="C65" s="27">
        <v>1</v>
      </c>
      <c r="D65" s="27">
        <v>1000</v>
      </c>
      <c r="E65" s="27">
        <f t="shared" si="23"/>
        <v>41000</v>
      </c>
      <c r="F65" s="27">
        <f t="shared" si="11"/>
        <v>41000</v>
      </c>
      <c r="G65" s="27">
        <f>SUM(F$5:F65)</f>
        <v>1061000</v>
      </c>
      <c r="H65" s="27">
        <f t="shared" si="24"/>
        <v>61</v>
      </c>
      <c r="I65" s="27" t="s">
        <v>147</v>
      </c>
      <c r="J65" s="27">
        <v>2.5000000000000001E-2</v>
      </c>
      <c r="K65" s="27">
        <f>INDEX(其他调用!$BO$5:$BO$61,MATCH(星阵点亮!I65,其他调用!$BM$5:$BM$61,0))*J65</f>
        <v>13774.034568314977</v>
      </c>
      <c r="L65" s="27">
        <f t="shared" si="55"/>
        <v>25922</v>
      </c>
      <c r="Q65" s="26">
        <v>61</v>
      </c>
      <c r="R65" s="26">
        <f>总纲!D65</f>
        <v>67.593501602322732</v>
      </c>
      <c r="S65" s="26">
        <f>求节点(将星点产出!$W$6:$W$44,将星点产出!$AO$6:$AO$44,星阵点亮!$Q65)</f>
        <v>104827.25109964558</v>
      </c>
      <c r="T65" s="26">
        <f t="shared" si="13"/>
        <v>19</v>
      </c>
      <c r="U65" s="26">
        <f>总纲!E65</f>
        <v>58.596806539053574</v>
      </c>
      <c r="V65" s="26">
        <f>求节点(将星点产出!$W$51:$W$89,将星点产出!$AO$51:$AO$89,星阵点亮!$Q65)</f>
        <v>121376.34231564529</v>
      </c>
      <c r="W65" s="26">
        <f t="shared" si="14"/>
        <v>21</v>
      </c>
      <c r="X65" s="26">
        <f>总纲!F65</f>
        <v>47.977867437328676</v>
      </c>
      <c r="Y65" s="26">
        <f>求节点(将星点产出!$W$96:$W$134,将星点产出!$AO$96:$AO$134,星阵点亮!$Q65)</f>
        <v>161466.63084407916</v>
      </c>
      <c r="Z65" s="26">
        <f t="shared" si="15"/>
        <v>24</v>
      </c>
      <c r="AA65" s="26">
        <f>总纲!G65</f>
        <v>35.229733035130607</v>
      </c>
      <c r="AB65" s="26">
        <f>求节点(将星点产出!$W$141:$W$179,将星点产出!$AO$141:$AO$179,星阵点亮!$Q65)</f>
        <v>302899.62710174505</v>
      </c>
      <c r="AC65" s="26">
        <f t="shared" si="16"/>
        <v>34</v>
      </c>
      <c r="AD65" s="26">
        <f>总纲!H65</f>
        <v>19.602115464673592</v>
      </c>
      <c r="AE65" s="26">
        <f>求节点(将星点产出!$W$186:$W$224,将星点产出!$AO$186:$AO$224,星阵点亮!$Q65)</f>
        <v>396982.682860506</v>
      </c>
      <c r="AF65" s="26">
        <f t="shared" si="17"/>
        <v>39</v>
      </c>
      <c r="AG65" s="26">
        <f t="shared" ref="AG65:AP74" si="76">SUMIFS($J$5:$J$76,$I$5:$I$76,AG$4,$H$5:$H$76,"&lt;="&amp;$T65)</f>
        <v>1.5</v>
      </c>
      <c r="AH65" s="26">
        <f t="shared" si="76"/>
        <v>0.6</v>
      </c>
      <c r="AI65" s="26">
        <f t="shared" si="76"/>
        <v>0.6</v>
      </c>
      <c r="AJ65" s="26">
        <f t="shared" si="76"/>
        <v>1.5</v>
      </c>
      <c r="AK65" s="26">
        <f t="shared" si="76"/>
        <v>0</v>
      </c>
      <c r="AL65" s="26">
        <f t="shared" si="76"/>
        <v>0</v>
      </c>
      <c r="AM65" s="26">
        <f t="shared" si="76"/>
        <v>1</v>
      </c>
      <c r="AN65" s="26">
        <f t="shared" si="76"/>
        <v>0.3</v>
      </c>
      <c r="AO65" s="26">
        <f t="shared" si="76"/>
        <v>0</v>
      </c>
      <c r="AP65" s="26">
        <f t="shared" si="76"/>
        <v>1</v>
      </c>
      <c r="AQ65" s="26">
        <f t="shared" ref="AQ65:BB74" si="77">SUMIFS($J$5:$J$76,$I$5:$I$76,AQ$4,$H$5:$H$76,"&lt;="&amp;$T65)</f>
        <v>0</v>
      </c>
      <c r="AR65" s="26">
        <f t="shared" si="77"/>
        <v>0</v>
      </c>
      <c r="AS65" s="26">
        <f t="shared" si="77"/>
        <v>0</v>
      </c>
      <c r="AT65" s="26">
        <f t="shared" si="77"/>
        <v>0</v>
      </c>
      <c r="AU65" s="26">
        <f t="shared" si="77"/>
        <v>0</v>
      </c>
      <c r="AV65" s="26">
        <f t="shared" si="77"/>
        <v>0</v>
      </c>
      <c r="AW65" s="26">
        <f t="shared" si="77"/>
        <v>0</v>
      </c>
      <c r="AX65" s="26">
        <f t="shared" si="77"/>
        <v>0</v>
      </c>
      <c r="AY65" s="26">
        <f t="shared" si="77"/>
        <v>0</v>
      </c>
      <c r="AZ65" s="26">
        <f t="shared" si="77"/>
        <v>0</v>
      </c>
      <c r="BA65" s="26">
        <f t="shared" si="77"/>
        <v>0</v>
      </c>
      <c r="BB65" s="26">
        <f t="shared" si="77"/>
        <v>0</v>
      </c>
      <c r="BC65" s="26">
        <f t="shared" ref="BC65:BL74" si="78">SUMIFS($J$5:$J$76,$I$5:$I$76,BC$4,$H$5:$H$76,"&lt;="&amp;$W65)</f>
        <v>1.5</v>
      </c>
      <c r="BD65" s="26">
        <f t="shared" si="78"/>
        <v>0.6</v>
      </c>
      <c r="BE65" s="26">
        <f t="shared" si="78"/>
        <v>0.6</v>
      </c>
      <c r="BF65" s="26">
        <f t="shared" si="78"/>
        <v>1.5</v>
      </c>
      <c r="BG65" s="26">
        <f t="shared" si="78"/>
        <v>0</v>
      </c>
      <c r="BH65" s="26">
        <f t="shared" si="78"/>
        <v>0</v>
      </c>
      <c r="BI65" s="26">
        <f t="shared" si="78"/>
        <v>1</v>
      </c>
      <c r="BJ65" s="26">
        <f t="shared" si="78"/>
        <v>0.6</v>
      </c>
      <c r="BK65" s="26">
        <f t="shared" si="78"/>
        <v>0.3</v>
      </c>
      <c r="BL65" s="26">
        <f t="shared" si="78"/>
        <v>1</v>
      </c>
      <c r="BM65" s="26">
        <f t="shared" ref="BM65:BX74" si="79">SUMIFS($J$5:$J$76,$I$5:$I$76,BM$4,$H$5:$H$76,"&lt;="&amp;$W65)</f>
        <v>0</v>
      </c>
      <c r="BN65" s="26">
        <f t="shared" si="79"/>
        <v>0</v>
      </c>
      <c r="BO65" s="26">
        <f t="shared" si="79"/>
        <v>0</v>
      </c>
      <c r="BP65" s="26">
        <f t="shared" si="79"/>
        <v>0</v>
      </c>
      <c r="BQ65" s="26">
        <f t="shared" si="79"/>
        <v>0</v>
      </c>
      <c r="BR65" s="26">
        <f t="shared" si="79"/>
        <v>0</v>
      </c>
      <c r="BS65" s="26">
        <f t="shared" si="79"/>
        <v>0</v>
      </c>
      <c r="BT65" s="26">
        <f t="shared" si="79"/>
        <v>0</v>
      </c>
      <c r="BU65" s="26">
        <f t="shared" si="79"/>
        <v>0</v>
      </c>
      <c r="BV65" s="26">
        <f t="shared" si="79"/>
        <v>0</v>
      </c>
      <c r="BW65" s="26">
        <f t="shared" si="79"/>
        <v>0</v>
      </c>
      <c r="BX65" s="26">
        <f t="shared" si="79"/>
        <v>0</v>
      </c>
      <c r="BY65" s="26">
        <f t="shared" ref="BY65:CH74" si="80">SUMIFS($J$5:$J$76,$I$5:$I$76,BY$4,$H$5:$H$76,"&lt;="&amp;$Z65)</f>
        <v>1.5</v>
      </c>
      <c r="BZ65" s="26">
        <f t="shared" si="80"/>
        <v>0.6</v>
      </c>
      <c r="CA65" s="26">
        <f t="shared" si="80"/>
        <v>0.6</v>
      </c>
      <c r="CB65" s="26">
        <f t="shared" si="80"/>
        <v>1.5</v>
      </c>
      <c r="CC65" s="26">
        <f t="shared" si="80"/>
        <v>0</v>
      </c>
      <c r="CD65" s="26">
        <f t="shared" si="80"/>
        <v>0</v>
      </c>
      <c r="CE65" s="26">
        <f t="shared" si="80"/>
        <v>1</v>
      </c>
      <c r="CF65" s="26">
        <f t="shared" si="80"/>
        <v>1</v>
      </c>
      <c r="CG65" s="26">
        <f t="shared" si="80"/>
        <v>1</v>
      </c>
      <c r="CH65" s="26">
        <f t="shared" si="80"/>
        <v>1</v>
      </c>
      <c r="CI65" s="26">
        <f t="shared" ref="CI65:CT74" si="81">SUMIFS($J$5:$J$76,$I$5:$I$76,CI$4,$H$5:$H$76,"&lt;="&amp;$Z65)</f>
        <v>0</v>
      </c>
      <c r="CJ65" s="26">
        <f t="shared" si="81"/>
        <v>0</v>
      </c>
      <c r="CK65" s="26">
        <f t="shared" si="81"/>
        <v>0</v>
      </c>
      <c r="CL65" s="26">
        <f t="shared" si="81"/>
        <v>0</v>
      </c>
      <c r="CM65" s="26">
        <f t="shared" si="81"/>
        <v>0</v>
      </c>
      <c r="CN65" s="26">
        <f t="shared" si="81"/>
        <v>0</v>
      </c>
      <c r="CO65" s="26">
        <f t="shared" si="81"/>
        <v>0</v>
      </c>
      <c r="CP65" s="26">
        <f t="shared" si="81"/>
        <v>0</v>
      </c>
      <c r="CQ65" s="26">
        <f t="shared" si="81"/>
        <v>0</v>
      </c>
      <c r="CR65" s="26">
        <f t="shared" si="81"/>
        <v>0</v>
      </c>
      <c r="CS65" s="26">
        <f t="shared" si="81"/>
        <v>0</v>
      </c>
      <c r="CT65" s="26">
        <f t="shared" si="81"/>
        <v>0</v>
      </c>
      <c r="CU65" s="26">
        <f t="shared" ref="CU65:DD74" si="82">SUMIFS($J$5:$J$76,$I$5:$I$76,CU$4,$H$5:$H$76,"&lt;="&amp;$AC65)</f>
        <v>1.5</v>
      </c>
      <c r="CV65" s="26">
        <f t="shared" si="82"/>
        <v>1.5</v>
      </c>
      <c r="CW65" s="26">
        <f t="shared" si="82"/>
        <v>1.5</v>
      </c>
      <c r="CX65" s="26">
        <f t="shared" si="82"/>
        <v>1.5</v>
      </c>
      <c r="CY65" s="26">
        <f t="shared" si="82"/>
        <v>1.5</v>
      </c>
      <c r="CZ65" s="26">
        <f t="shared" si="82"/>
        <v>0</v>
      </c>
      <c r="DA65" s="26">
        <f t="shared" si="82"/>
        <v>1</v>
      </c>
      <c r="DB65" s="26">
        <f t="shared" si="82"/>
        <v>1</v>
      </c>
      <c r="DC65" s="26">
        <f t="shared" si="82"/>
        <v>1</v>
      </c>
      <c r="DD65" s="26">
        <f t="shared" si="82"/>
        <v>1</v>
      </c>
      <c r="DE65" s="26">
        <f t="shared" ref="DE65:DP74" si="83">SUMIFS($J$5:$J$76,$I$5:$I$76,DE$4,$H$5:$H$76,"&lt;="&amp;$AC65)</f>
        <v>0</v>
      </c>
      <c r="DF65" s="26">
        <f t="shared" si="83"/>
        <v>0.1</v>
      </c>
      <c r="DG65" s="26">
        <f t="shared" si="83"/>
        <v>0.1</v>
      </c>
      <c r="DH65" s="26">
        <f t="shared" si="83"/>
        <v>0</v>
      </c>
      <c r="DI65" s="26">
        <f t="shared" si="83"/>
        <v>0</v>
      </c>
      <c r="DJ65" s="26">
        <f t="shared" si="83"/>
        <v>0</v>
      </c>
      <c r="DK65" s="26">
        <f t="shared" si="83"/>
        <v>0</v>
      </c>
      <c r="DL65" s="26">
        <f t="shared" si="83"/>
        <v>0</v>
      </c>
      <c r="DM65" s="26">
        <f t="shared" si="83"/>
        <v>0</v>
      </c>
      <c r="DN65" s="26">
        <f t="shared" si="83"/>
        <v>0</v>
      </c>
      <c r="DO65" s="26">
        <f t="shared" si="83"/>
        <v>0</v>
      </c>
      <c r="DP65" s="26">
        <f t="shared" si="83"/>
        <v>0</v>
      </c>
      <c r="DQ65" s="26">
        <f t="shared" ref="DQ65:DZ74" si="84">SUMIFS($J$5:$J$76,$I$5:$I$76,DQ$4,$H$5:$H$76,"&lt;="&amp;$AF65)</f>
        <v>1.5</v>
      </c>
      <c r="DR65" s="26">
        <f t="shared" si="84"/>
        <v>1.5</v>
      </c>
      <c r="DS65" s="26">
        <f t="shared" si="84"/>
        <v>1.5</v>
      </c>
      <c r="DT65" s="26">
        <f t="shared" si="84"/>
        <v>1.5</v>
      </c>
      <c r="DU65" s="26">
        <f t="shared" si="84"/>
        <v>1.5</v>
      </c>
      <c r="DV65" s="26">
        <f t="shared" si="84"/>
        <v>0</v>
      </c>
      <c r="DW65" s="26">
        <f t="shared" si="84"/>
        <v>1</v>
      </c>
      <c r="DX65" s="26">
        <f t="shared" si="84"/>
        <v>1</v>
      </c>
      <c r="DY65" s="26">
        <f t="shared" si="84"/>
        <v>1</v>
      </c>
      <c r="DZ65" s="26">
        <f t="shared" si="84"/>
        <v>1</v>
      </c>
      <c r="EA65" s="26">
        <f t="shared" ref="EA65:EL74" si="85">SUMIFS($J$5:$J$76,$I$5:$I$76,EA$4,$H$5:$H$76,"&lt;="&amp;$AF65)</f>
        <v>0</v>
      </c>
      <c r="EB65" s="26">
        <f t="shared" si="85"/>
        <v>0.2</v>
      </c>
      <c r="EC65" s="26">
        <f t="shared" si="85"/>
        <v>0.2</v>
      </c>
      <c r="ED65" s="26">
        <f t="shared" si="85"/>
        <v>0.1</v>
      </c>
      <c r="EE65" s="26">
        <f t="shared" si="85"/>
        <v>0.1</v>
      </c>
      <c r="EF65" s="26">
        <f t="shared" si="85"/>
        <v>0.1</v>
      </c>
      <c r="EG65" s="26">
        <f t="shared" si="85"/>
        <v>0</v>
      </c>
      <c r="EH65" s="26">
        <f t="shared" si="85"/>
        <v>0</v>
      </c>
      <c r="EI65" s="26">
        <f t="shared" si="85"/>
        <v>0</v>
      </c>
      <c r="EJ65" s="26">
        <f t="shared" si="85"/>
        <v>0</v>
      </c>
      <c r="EK65" s="26">
        <f t="shared" si="85"/>
        <v>0</v>
      </c>
      <c r="EL65" s="26">
        <f t="shared" si="85"/>
        <v>0</v>
      </c>
      <c r="EM65" s="26">
        <f t="shared" si="18"/>
        <v>74004</v>
      </c>
      <c r="EN65" s="26">
        <f t="shared" si="19"/>
        <v>84531</v>
      </c>
      <c r="EO65" s="26">
        <f t="shared" si="20"/>
        <v>101299</v>
      </c>
      <c r="EP65" s="26">
        <f t="shared" si="21"/>
        <v>167990</v>
      </c>
      <c r="EQ65" s="26">
        <f t="shared" si="22"/>
        <v>207341</v>
      </c>
    </row>
    <row r="66" spans="2:147">
      <c r="B66" s="27">
        <v>11</v>
      </c>
      <c r="C66" s="27">
        <v>2</v>
      </c>
      <c r="D66" s="27">
        <v>1000</v>
      </c>
      <c r="E66" s="27">
        <f t="shared" si="23"/>
        <v>42000</v>
      </c>
      <c r="F66" s="27">
        <f t="shared" si="11"/>
        <v>42000</v>
      </c>
      <c r="G66" s="27">
        <f>SUM(F$5:F66)</f>
        <v>1103000</v>
      </c>
      <c r="H66" s="27">
        <f t="shared" si="24"/>
        <v>62</v>
      </c>
      <c r="I66" s="27" t="s">
        <v>148</v>
      </c>
      <c r="J66" s="27">
        <v>2.5000000000000001E-2</v>
      </c>
      <c r="K66" s="27">
        <f>INDEX(其他调用!$BO$5:$BO$61,MATCH(星阵点亮!I66,其他调用!$BM$5:$BM$61,0))*J66</f>
        <v>21930.629497427974</v>
      </c>
      <c r="L66" s="27">
        <f t="shared" si="55"/>
        <v>25972</v>
      </c>
      <c r="Q66" s="26">
        <v>62</v>
      </c>
      <c r="R66" s="26">
        <f>总纲!D66</f>
        <v>72.516694719810218</v>
      </c>
      <c r="S66" s="26">
        <f>求节点(将星点产出!$W$6:$W$44,将星点产出!$AO$6:$AO$44,星阵点亮!$Q66)</f>
        <v>109871.01265749923</v>
      </c>
      <c r="T66" s="26">
        <f t="shared" si="13"/>
        <v>20</v>
      </c>
      <c r="U66" s="26">
        <f>总纲!E66</f>
        <v>62.842967644187539</v>
      </c>
      <c r="V66" s="26">
        <f>求节点(将星点产出!$W$51:$W$89,将星点产出!$AO$51:$AO$89,星阵点亮!$Q66)</f>
        <v>128499.21712206893</v>
      </c>
      <c r="W66" s="26">
        <f t="shared" si="14"/>
        <v>22</v>
      </c>
      <c r="X66" s="26">
        <f>总纲!F66</f>
        <v>51.5086082594812</v>
      </c>
      <c r="Y66" s="26">
        <f>求节点(将星点产出!$W$96:$W$134,将星点产出!$AO$96:$AO$134,星阵点亮!$Q66)</f>
        <v>169191.23001157242</v>
      </c>
      <c r="Z66" s="26">
        <f t="shared" si="15"/>
        <v>25</v>
      </c>
      <c r="AA66" s="26">
        <f>总纲!G66</f>
        <v>37.846462974268952</v>
      </c>
      <c r="AB66" s="26">
        <f>求节点(将星点产出!$W$141:$W$179,将星点产出!$AO$141:$AO$179,星阵点亮!$Q66)</f>
        <v>319677.84505327616</v>
      </c>
      <c r="AC66" s="26">
        <f t="shared" si="16"/>
        <v>35</v>
      </c>
      <c r="AD66" s="26">
        <f>总纲!H66</f>
        <v>21.124113171880715</v>
      </c>
      <c r="AE66" s="26">
        <f>求节点(将星点产出!$W$186:$W$224,将星点产出!$AO$186:$AO$224,星阵点亮!$Q66)</f>
        <v>410491.29042521061</v>
      </c>
      <c r="AF66" s="26">
        <f t="shared" si="17"/>
        <v>40</v>
      </c>
      <c r="AG66" s="26">
        <f t="shared" si="76"/>
        <v>1.5</v>
      </c>
      <c r="AH66" s="26">
        <f t="shared" si="76"/>
        <v>0.6</v>
      </c>
      <c r="AI66" s="26">
        <f t="shared" si="76"/>
        <v>0.6</v>
      </c>
      <c r="AJ66" s="26">
        <f t="shared" si="76"/>
        <v>1.5</v>
      </c>
      <c r="AK66" s="26">
        <f t="shared" si="76"/>
        <v>0</v>
      </c>
      <c r="AL66" s="26">
        <f t="shared" si="76"/>
        <v>0</v>
      </c>
      <c r="AM66" s="26">
        <f t="shared" si="76"/>
        <v>1</v>
      </c>
      <c r="AN66" s="26">
        <f t="shared" si="76"/>
        <v>0.3</v>
      </c>
      <c r="AO66" s="26">
        <f t="shared" si="76"/>
        <v>0.3</v>
      </c>
      <c r="AP66" s="26">
        <f t="shared" si="76"/>
        <v>1</v>
      </c>
      <c r="AQ66" s="26">
        <f t="shared" si="77"/>
        <v>0</v>
      </c>
      <c r="AR66" s="26">
        <f t="shared" si="77"/>
        <v>0</v>
      </c>
      <c r="AS66" s="26">
        <f t="shared" si="77"/>
        <v>0</v>
      </c>
      <c r="AT66" s="26">
        <f t="shared" si="77"/>
        <v>0</v>
      </c>
      <c r="AU66" s="26">
        <f t="shared" si="77"/>
        <v>0</v>
      </c>
      <c r="AV66" s="26">
        <f t="shared" si="77"/>
        <v>0</v>
      </c>
      <c r="AW66" s="26">
        <f t="shared" si="77"/>
        <v>0</v>
      </c>
      <c r="AX66" s="26">
        <f t="shared" si="77"/>
        <v>0</v>
      </c>
      <c r="AY66" s="26">
        <f t="shared" si="77"/>
        <v>0</v>
      </c>
      <c r="AZ66" s="26">
        <f t="shared" si="77"/>
        <v>0</v>
      </c>
      <c r="BA66" s="26">
        <f t="shared" si="77"/>
        <v>0</v>
      </c>
      <c r="BB66" s="26">
        <f t="shared" si="77"/>
        <v>0</v>
      </c>
      <c r="BC66" s="26">
        <f t="shared" si="78"/>
        <v>1.5</v>
      </c>
      <c r="BD66" s="26">
        <f t="shared" si="78"/>
        <v>0.6</v>
      </c>
      <c r="BE66" s="26">
        <f t="shared" si="78"/>
        <v>0.6</v>
      </c>
      <c r="BF66" s="26">
        <f t="shared" si="78"/>
        <v>1.5</v>
      </c>
      <c r="BG66" s="26">
        <f t="shared" si="78"/>
        <v>0</v>
      </c>
      <c r="BH66" s="26">
        <f t="shared" si="78"/>
        <v>0</v>
      </c>
      <c r="BI66" s="26">
        <f t="shared" si="78"/>
        <v>1</v>
      </c>
      <c r="BJ66" s="26">
        <f t="shared" si="78"/>
        <v>0.6</v>
      </c>
      <c r="BK66" s="26">
        <f t="shared" si="78"/>
        <v>0.6</v>
      </c>
      <c r="BL66" s="26">
        <f t="shared" si="78"/>
        <v>1</v>
      </c>
      <c r="BM66" s="26">
        <f t="shared" si="79"/>
        <v>0</v>
      </c>
      <c r="BN66" s="26">
        <f t="shared" si="79"/>
        <v>0</v>
      </c>
      <c r="BO66" s="26">
        <f t="shared" si="79"/>
        <v>0</v>
      </c>
      <c r="BP66" s="26">
        <f t="shared" si="79"/>
        <v>0</v>
      </c>
      <c r="BQ66" s="26">
        <f t="shared" si="79"/>
        <v>0</v>
      </c>
      <c r="BR66" s="26">
        <f t="shared" si="79"/>
        <v>0</v>
      </c>
      <c r="BS66" s="26">
        <f t="shared" si="79"/>
        <v>0</v>
      </c>
      <c r="BT66" s="26">
        <f t="shared" si="79"/>
        <v>0</v>
      </c>
      <c r="BU66" s="26">
        <f t="shared" si="79"/>
        <v>0</v>
      </c>
      <c r="BV66" s="26">
        <f t="shared" si="79"/>
        <v>0</v>
      </c>
      <c r="BW66" s="26">
        <f t="shared" si="79"/>
        <v>0</v>
      </c>
      <c r="BX66" s="26">
        <f t="shared" si="79"/>
        <v>0</v>
      </c>
      <c r="BY66" s="26">
        <f t="shared" si="80"/>
        <v>1.5</v>
      </c>
      <c r="BZ66" s="26">
        <f t="shared" si="80"/>
        <v>1</v>
      </c>
      <c r="CA66" s="26">
        <f t="shared" si="80"/>
        <v>0.6</v>
      </c>
      <c r="CB66" s="26">
        <f t="shared" si="80"/>
        <v>1.5</v>
      </c>
      <c r="CC66" s="26">
        <f t="shared" si="80"/>
        <v>0</v>
      </c>
      <c r="CD66" s="26">
        <f t="shared" si="80"/>
        <v>0</v>
      </c>
      <c r="CE66" s="26">
        <f t="shared" si="80"/>
        <v>1</v>
      </c>
      <c r="CF66" s="26">
        <f t="shared" si="80"/>
        <v>1</v>
      </c>
      <c r="CG66" s="26">
        <f t="shared" si="80"/>
        <v>1</v>
      </c>
      <c r="CH66" s="26">
        <f t="shared" si="80"/>
        <v>1</v>
      </c>
      <c r="CI66" s="26">
        <f t="shared" si="81"/>
        <v>0</v>
      </c>
      <c r="CJ66" s="26">
        <f t="shared" si="81"/>
        <v>0</v>
      </c>
      <c r="CK66" s="26">
        <f t="shared" si="81"/>
        <v>0</v>
      </c>
      <c r="CL66" s="26">
        <f t="shared" si="81"/>
        <v>0</v>
      </c>
      <c r="CM66" s="26">
        <f t="shared" si="81"/>
        <v>0</v>
      </c>
      <c r="CN66" s="26">
        <f t="shared" si="81"/>
        <v>0</v>
      </c>
      <c r="CO66" s="26">
        <f t="shared" si="81"/>
        <v>0</v>
      </c>
      <c r="CP66" s="26">
        <f t="shared" si="81"/>
        <v>0</v>
      </c>
      <c r="CQ66" s="26">
        <f t="shared" si="81"/>
        <v>0</v>
      </c>
      <c r="CR66" s="26">
        <f t="shared" si="81"/>
        <v>0</v>
      </c>
      <c r="CS66" s="26">
        <f t="shared" si="81"/>
        <v>0</v>
      </c>
      <c r="CT66" s="26">
        <f t="shared" si="81"/>
        <v>0</v>
      </c>
      <c r="CU66" s="26">
        <f t="shared" si="82"/>
        <v>1.5</v>
      </c>
      <c r="CV66" s="26">
        <f t="shared" si="82"/>
        <v>1.5</v>
      </c>
      <c r="CW66" s="26">
        <f t="shared" si="82"/>
        <v>1.5</v>
      </c>
      <c r="CX66" s="26">
        <f t="shared" si="82"/>
        <v>1.5</v>
      </c>
      <c r="CY66" s="26">
        <f t="shared" si="82"/>
        <v>1.5</v>
      </c>
      <c r="CZ66" s="26">
        <f t="shared" si="82"/>
        <v>0</v>
      </c>
      <c r="DA66" s="26">
        <f t="shared" si="82"/>
        <v>1</v>
      </c>
      <c r="DB66" s="26">
        <f t="shared" si="82"/>
        <v>1</v>
      </c>
      <c r="DC66" s="26">
        <f t="shared" si="82"/>
        <v>1</v>
      </c>
      <c r="DD66" s="26">
        <f t="shared" si="82"/>
        <v>1</v>
      </c>
      <c r="DE66" s="26">
        <f t="shared" si="83"/>
        <v>0</v>
      </c>
      <c r="DF66" s="26">
        <f t="shared" si="83"/>
        <v>0.2</v>
      </c>
      <c r="DG66" s="26">
        <f t="shared" si="83"/>
        <v>0.1</v>
      </c>
      <c r="DH66" s="26">
        <f t="shared" si="83"/>
        <v>0</v>
      </c>
      <c r="DI66" s="26">
        <f t="shared" si="83"/>
        <v>0</v>
      </c>
      <c r="DJ66" s="26">
        <f t="shared" si="83"/>
        <v>0</v>
      </c>
      <c r="DK66" s="26">
        <f t="shared" si="83"/>
        <v>0</v>
      </c>
      <c r="DL66" s="26">
        <f t="shared" si="83"/>
        <v>0</v>
      </c>
      <c r="DM66" s="26">
        <f t="shared" si="83"/>
        <v>0</v>
      </c>
      <c r="DN66" s="26">
        <f t="shared" si="83"/>
        <v>0</v>
      </c>
      <c r="DO66" s="26">
        <f t="shared" si="83"/>
        <v>0</v>
      </c>
      <c r="DP66" s="26">
        <f t="shared" si="83"/>
        <v>0</v>
      </c>
      <c r="DQ66" s="26">
        <f t="shared" si="84"/>
        <v>1.5</v>
      </c>
      <c r="DR66" s="26">
        <f t="shared" si="84"/>
        <v>1.5</v>
      </c>
      <c r="DS66" s="26">
        <f t="shared" si="84"/>
        <v>1.5</v>
      </c>
      <c r="DT66" s="26">
        <f t="shared" si="84"/>
        <v>1.5</v>
      </c>
      <c r="DU66" s="26">
        <f t="shared" si="84"/>
        <v>1.5</v>
      </c>
      <c r="DV66" s="26">
        <f t="shared" si="84"/>
        <v>0</v>
      </c>
      <c r="DW66" s="26">
        <f t="shared" si="84"/>
        <v>1</v>
      </c>
      <c r="DX66" s="26">
        <f t="shared" si="84"/>
        <v>1</v>
      </c>
      <c r="DY66" s="26">
        <f t="shared" si="84"/>
        <v>1</v>
      </c>
      <c r="DZ66" s="26">
        <f t="shared" si="84"/>
        <v>1</v>
      </c>
      <c r="EA66" s="26">
        <f t="shared" si="85"/>
        <v>0</v>
      </c>
      <c r="EB66" s="26">
        <f t="shared" si="85"/>
        <v>0.2</v>
      </c>
      <c r="EC66" s="26">
        <f t="shared" si="85"/>
        <v>0.2</v>
      </c>
      <c r="ED66" s="26">
        <f t="shared" si="85"/>
        <v>0.2</v>
      </c>
      <c r="EE66" s="26">
        <f t="shared" si="85"/>
        <v>0.1</v>
      </c>
      <c r="EF66" s="26">
        <f t="shared" si="85"/>
        <v>0.1</v>
      </c>
      <c r="EG66" s="26">
        <f t="shared" si="85"/>
        <v>0</v>
      </c>
      <c r="EH66" s="26">
        <f t="shared" si="85"/>
        <v>0</v>
      </c>
      <c r="EI66" s="26">
        <f t="shared" si="85"/>
        <v>0</v>
      </c>
      <c r="EJ66" s="26">
        <f t="shared" si="85"/>
        <v>0</v>
      </c>
      <c r="EK66" s="26">
        <f t="shared" si="85"/>
        <v>0</v>
      </c>
      <c r="EL66" s="26">
        <f t="shared" si="85"/>
        <v>0</v>
      </c>
      <c r="EM66" s="26">
        <f t="shared" si="18"/>
        <v>79202</v>
      </c>
      <c r="EN66" s="26">
        <f t="shared" si="19"/>
        <v>89990</v>
      </c>
      <c r="EO66" s="26">
        <f t="shared" si="20"/>
        <v>107149</v>
      </c>
      <c r="EP66" s="26">
        <f t="shared" si="21"/>
        <v>175758</v>
      </c>
      <c r="EQ66" s="26">
        <f t="shared" si="22"/>
        <v>215370</v>
      </c>
    </row>
    <row r="67" spans="2:147">
      <c r="B67" s="27">
        <v>11</v>
      </c>
      <c r="C67" s="27">
        <v>3</v>
      </c>
      <c r="D67" s="27">
        <v>1000</v>
      </c>
      <c r="E67" s="27">
        <f t="shared" si="23"/>
        <v>43000</v>
      </c>
      <c r="F67" s="27">
        <f t="shared" si="11"/>
        <v>43000</v>
      </c>
      <c r="G67" s="27">
        <f>SUM(F$5:F67)</f>
        <v>1146000</v>
      </c>
      <c r="H67" s="27">
        <f t="shared" si="24"/>
        <v>63</v>
      </c>
      <c r="I67" s="27" t="s">
        <v>143</v>
      </c>
      <c r="J67" s="27">
        <v>2.5000000000000001E-2</v>
      </c>
      <c r="K67" s="27">
        <f>INDEX(其他调用!$BO$5:$BO$61,MATCH(星阵点亮!I67,其他调用!$BM$5:$BM$61,0))*J67</f>
        <v>24786.484028223425</v>
      </c>
      <c r="L67" s="27">
        <f t="shared" si="55"/>
        <v>26022</v>
      </c>
      <c r="Q67" s="26">
        <v>63</v>
      </c>
      <c r="R67" s="26">
        <f>总纲!D67</f>
        <v>77.793242454074615</v>
      </c>
      <c r="S67" s="26">
        <f>求节点(将星点产出!$W$6:$W$44,将星点产出!$AO$6:$AO$44,星阵点亮!$Q67)</f>
        <v>114914.7742153529</v>
      </c>
      <c r="T67" s="26">
        <f t="shared" si="13"/>
        <v>20</v>
      </c>
      <c r="U67" s="26">
        <f>总纲!E67</f>
        <v>67.470079180418907</v>
      </c>
      <c r="V67" s="26">
        <f>求节点(将星点产出!$W$51:$W$89,将星点产出!$AO$51:$AO$89,星阵点亮!$Q67)</f>
        <v>135622.09192849259</v>
      </c>
      <c r="W67" s="26">
        <f t="shared" si="14"/>
        <v>22</v>
      </c>
      <c r="X67" s="26">
        <f>总纲!F67</f>
        <v>55.27987808786542</v>
      </c>
      <c r="Y67" s="26">
        <f>求节点(将星点产出!$W$96:$W$134,将星点产出!$AO$96:$AO$134,星阵点亮!$Q67)</f>
        <v>176915.82917906571</v>
      </c>
      <c r="Z67" s="26">
        <f t="shared" si="15"/>
        <v>26</v>
      </c>
      <c r="AA67" s="26">
        <f>总纲!G67</f>
        <v>40.678086479235617</v>
      </c>
      <c r="AB67" s="26">
        <f>求节点(将星点产出!$W$141:$W$179,将星点产出!$AO$141:$AO$179,星阵点亮!$Q67)</f>
        <v>336456.06300480728</v>
      </c>
      <c r="AC67" s="26">
        <f t="shared" si="16"/>
        <v>36</v>
      </c>
      <c r="AD67" s="26">
        <f>总纲!H67</f>
        <v>22.700068148098975</v>
      </c>
      <c r="AE67" s="26">
        <f>求节点(将星点产出!$W$186:$W$224,将星点产出!$AO$186:$AO$224,星阵点亮!$Q67)</f>
        <v>423999.89798991522</v>
      </c>
      <c r="AF67" s="26">
        <f t="shared" si="17"/>
        <v>40</v>
      </c>
      <c r="AG67" s="26">
        <f t="shared" si="76"/>
        <v>1.5</v>
      </c>
      <c r="AH67" s="26">
        <f t="shared" si="76"/>
        <v>0.6</v>
      </c>
      <c r="AI67" s="26">
        <f t="shared" si="76"/>
        <v>0.6</v>
      </c>
      <c r="AJ67" s="26">
        <f t="shared" si="76"/>
        <v>1.5</v>
      </c>
      <c r="AK67" s="26">
        <f t="shared" si="76"/>
        <v>0</v>
      </c>
      <c r="AL67" s="26">
        <f t="shared" si="76"/>
        <v>0</v>
      </c>
      <c r="AM67" s="26">
        <f t="shared" si="76"/>
        <v>1</v>
      </c>
      <c r="AN67" s="26">
        <f t="shared" si="76"/>
        <v>0.3</v>
      </c>
      <c r="AO67" s="26">
        <f t="shared" si="76"/>
        <v>0.3</v>
      </c>
      <c r="AP67" s="26">
        <f t="shared" si="76"/>
        <v>1</v>
      </c>
      <c r="AQ67" s="26">
        <f t="shared" si="77"/>
        <v>0</v>
      </c>
      <c r="AR67" s="26">
        <f t="shared" si="77"/>
        <v>0</v>
      </c>
      <c r="AS67" s="26">
        <f t="shared" si="77"/>
        <v>0</v>
      </c>
      <c r="AT67" s="26">
        <f t="shared" si="77"/>
        <v>0</v>
      </c>
      <c r="AU67" s="26">
        <f t="shared" si="77"/>
        <v>0</v>
      </c>
      <c r="AV67" s="26">
        <f t="shared" si="77"/>
        <v>0</v>
      </c>
      <c r="AW67" s="26">
        <f t="shared" si="77"/>
        <v>0</v>
      </c>
      <c r="AX67" s="26">
        <f t="shared" si="77"/>
        <v>0</v>
      </c>
      <c r="AY67" s="26">
        <f t="shared" si="77"/>
        <v>0</v>
      </c>
      <c r="AZ67" s="26">
        <f t="shared" si="77"/>
        <v>0</v>
      </c>
      <c r="BA67" s="26">
        <f t="shared" si="77"/>
        <v>0</v>
      </c>
      <c r="BB67" s="26">
        <f t="shared" si="77"/>
        <v>0</v>
      </c>
      <c r="BC67" s="26">
        <f t="shared" si="78"/>
        <v>1.5</v>
      </c>
      <c r="BD67" s="26">
        <f t="shared" si="78"/>
        <v>0.6</v>
      </c>
      <c r="BE67" s="26">
        <f t="shared" si="78"/>
        <v>0.6</v>
      </c>
      <c r="BF67" s="26">
        <f t="shared" si="78"/>
        <v>1.5</v>
      </c>
      <c r="BG67" s="26">
        <f t="shared" si="78"/>
        <v>0</v>
      </c>
      <c r="BH67" s="26">
        <f t="shared" si="78"/>
        <v>0</v>
      </c>
      <c r="BI67" s="26">
        <f t="shared" si="78"/>
        <v>1</v>
      </c>
      <c r="BJ67" s="26">
        <f t="shared" si="78"/>
        <v>0.6</v>
      </c>
      <c r="BK67" s="26">
        <f t="shared" si="78"/>
        <v>0.6</v>
      </c>
      <c r="BL67" s="26">
        <f t="shared" si="78"/>
        <v>1</v>
      </c>
      <c r="BM67" s="26">
        <f t="shared" si="79"/>
        <v>0</v>
      </c>
      <c r="BN67" s="26">
        <f t="shared" si="79"/>
        <v>0</v>
      </c>
      <c r="BO67" s="26">
        <f t="shared" si="79"/>
        <v>0</v>
      </c>
      <c r="BP67" s="26">
        <f t="shared" si="79"/>
        <v>0</v>
      </c>
      <c r="BQ67" s="26">
        <f t="shared" si="79"/>
        <v>0</v>
      </c>
      <c r="BR67" s="26">
        <f t="shared" si="79"/>
        <v>0</v>
      </c>
      <c r="BS67" s="26">
        <f t="shared" si="79"/>
        <v>0</v>
      </c>
      <c r="BT67" s="26">
        <f t="shared" si="79"/>
        <v>0</v>
      </c>
      <c r="BU67" s="26">
        <f t="shared" si="79"/>
        <v>0</v>
      </c>
      <c r="BV67" s="26">
        <f t="shared" si="79"/>
        <v>0</v>
      </c>
      <c r="BW67" s="26">
        <f t="shared" si="79"/>
        <v>0</v>
      </c>
      <c r="BX67" s="26">
        <f t="shared" si="79"/>
        <v>0</v>
      </c>
      <c r="BY67" s="26">
        <f t="shared" si="80"/>
        <v>1.5</v>
      </c>
      <c r="BZ67" s="26">
        <f t="shared" si="80"/>
        <v>1</v>
      </c>
      <c r="CA67" s="26">
        <f t="shared" si="80"/>
        <v>1</v>
      </c>
      <c r="CB67" s="26">
        <f t="shared" si="80"/>
        <v>1.5</v>
      </c>
      <c r="CC67" s="26">
        <f t="shared" si="80"/>
        <v>0</v>
      </c>
      <c r="CD67" s="26">
        <f t="shared" si="80"/>
        <v>0</v>
      </c>
      <c r="CE67" s="26">
        <f t="shared" si="80"/>
        <v>1</v>
      </c>
      <c r="CF67" s="26">
        <f t="shared" si="80"/>
        <v>1</v>
      </c>
      <c r="CG67" s="26">
        <f t="shared" si="80"/>
        <v>1</v>
      </c>
      <c r="CH67" s="26">
        <f t="shared" si="80"/>
        <v>1</v>
      </c>
      <c r="CI67" s="26">
        <f t="shared" si="81"/>
        <v>0</v>
      </c>
      <c r="CJ67" s="26">
        <f t="shared" si="81"/>
        <v>0</v>
      </c>
      <c r="CK67" s="26">
        <f t="shared" si="81"/>
        <v>0</v>
      </c>
      <c r="CL67" s="26">
        <f t="shared" si="81"/>
        <v>0</v>
      </c>
      <c r="CM67" s="26">
        <f t="shared" si="81"/>
        <v>0</v>
      </c>
      <c r="CN67" s="26">
        <f t="shared" si="81"/>
        <v>0</v>
      </c>
      <c r="CO67" s="26">
        <f t="shared" si="81"/>
        <v>0</v>
      </c>
      <c r="CP67" s="26">
        <f t="shared" si="81"/>
        <v>0</v>
      </c>
      <c r="CQ67" s="26">
        <f t="shared" si="81"/>
        <v>0</v>
      </c>
      <c r="CR67" s="26">
        <f t="shared" si="81"/>
        <v>0</v>
      </c>
      <c r="CS67" s="26">
        <f t="shared" si="81"/>
        <v>0</v>
      </c>
      <c r="CT67" s="26">
        <f t="shared" si="81"/>
        <v>0</v>
      </c>
      <c r="CU67" s="26">
        <f t="shared" si="82"/>
        <v>1.5</v>
      </c>
      <c r="CV67" s="26">
        <f t="shared" si="82"/>
        <v>1.5</v>
      </c>
      <c r="CW67" s="26">
        <f t="shared" si="82"/>
        <v>1.5</v>
      </c>
      <c r="CX67" s="26">
        <f t="shared" si="82"/>
        <v>1.5</v>
      </c>
      <c r="CY67" s="26">
        <f t="shared" si="82"/>
        <v>1.5</v>
      </c>
      <c r="CZ67" s="26">
        <f t="shared" si="82"/>
        <v>0</v>
      </c>
      <c r="DA67" s="26">
        <f t="shared" si="82"/>
        <v>1</v>
      </c>
      <c r="DB67" s="26">
        <f t="shared" si="82"/>
        <v>1</v>
      </c>
      <c r="DC67" s="26">
        <f t="shared" si="82"/>
        <v>1</v>
      </c>
      <c r="DD67" s="26">
        <f t="shared" si="82"/>
        <v>1</v>
      </c>
      <c r="DE67" s="26">
        <f t="shared" si="83"/>
        <v>0</v>
      </c>
      <c r="DF67" s="26">
        <f t="shared" si="83"/>
        <v>0.2</v>
      </c>
      <c r="DG67" s="26">
        <f t="shared" si="83"/>
        <v>0.2</v>
      </c>
      <c r="DH67" s="26">
        <f t="shared" si="83"/>
        <v>0</v>
      </c>
      <c r="DI67" s="26">
        <f t="shared" si="83"/>
        <v>0</v>
      </c>
      <c r="DJ67" s="26">
        <f t="shared" si="83"/>
        <v>0</v>
      </c>
      <c r="DK67" s="26">
        <f t="shared" si="83"/>
        <v>0</v>
      </c>
      <c r="DL67" s="26">
        <f t="shared" si="83"/>
        <v>0</v>
      </c>
      <c r="DM67" s="26">
        <f t="shared" si="83"/>
        <v>0</v>
      </c>
      <c r="DN67" s="26">
        <f t="shared" si="83"/>
        <v>0</v>
      </c>
      <c r="DO67" s="26">
        <f t="shared" si="83"/>
        <v>0</v>
      </c>
      <c r="DP67" s="26">
        <f t="shared" si="83"/>
        <v>0</v>
      </c>
      <c r="DQ67" s="26">
        <f t="shared" si="84"/>
        <v>1.5</v>
      </c>
      <c r="DR67" s="26">
        <f t="shared" si="84"/>
        <v>1.5</v>
      </c>
      <c r="DS67" s="26">
        <f t="shared" si="84"/>
        <v>1.5</v>
      </c>
      <c r="DT67" s="26">
        <f t="shared" si="84"/>
        <v>1.5</v>
      </c>
      <c r="DU67" s="26">
        <f t="shared" si="84"/>
        <v>1.5</v>
      </c>
      <c r="DV67" s="26">
        <f t="shared" si="84"/>
        <v>0</v>
      </c>
      <c r="DW67" s="26">
        <f t="shared" si="84"/>
        <v>1</v>
      </c>
      <c r="DX67" s="26">
        <f t="shared" si="84"/>
        <v>1</v>
      </c>
      <c r="DY67" s="26">
        <f t="shared" si="84"/>
        <v>1</v>
      </c>
      <c r="DZ67" s="26">
        <f t="shared" si="84"/>
        <v>1</v>
      </c>
      <c r="EA67" s="26">
        <f t="shared" si="85"/>
        <v>0</v>
      </c>
      <c r="EB67" s="26">
        <f t="shared" si="85"/>
        <v>0.2</v>
      </c>
      <c r="EC67" s="26">
        <f t="shared" si="85"/>
        <v>0.2</v>
      </c>
      <c r="ED67" s="26">
        <f t="shared" si="85"/>
        <v>0.2</v>
      </c>
      <c r="EE67" s="26">
        <f t="shared" si="85"/>
        <v>0.1</v>
      </c>
      <c r="EF67" s="26">
        <f t="shared" si="85"/>
        <v>0.1</v>
      </c>
      <c r="EG67" s="26">
        <f t="shared" si="85"/>
        <v>0</v>
      </c>
      <c r="EH67" s="26">
        <f t="shared" si="85"/>
        <v>0</v>
      </c>
      <c r="EI67" s="26">
        <f t="shared" si="85"/>
        <v>0</v>
      </c>
      <c r="EJ67" s="26">
        <f t="shared" si="85"/>
        <v>0</v>
      </c>
      <c r="EK67" s="26">
        <f t="shared" si="85"/>
        <v>0</v>
      </c>
      <c r="EL67" s="26">
        <f t="shared" si="85"/>
        <v>0</v>
      </c>
      <c r="EM67" s="26">
        <f t="shared" si="18"/>
        <v>79202</v>
      </c>
      <c r="EN67" s="26">
        <f t="shared" si="19"/>
        <v>89990</v>
      </c>
      <c r="EO67" s="26">
        <f t="shared" si="20"/>
        <v>113129</v>
      </c>
      <c r="EP67" s="26">
        <f t="shared" si="21"/>
        <v>183576</v>
      </c>
      <c r="EQ67" s="26">
        <f t="shared" si="22"/>
        <v>215370</v>
      </c>
    </row>
    <row r="68" spans="2:147">
      <c r="B68" s="27">
        <v>11</v>
      </c>
      <c r="C68" s="27">
        <v>4</v>
      </c>
      <c r="D68" s="27">
        <v>1000</v>
      </c>
      <c r="E68" s="27">
        <f t="shared" si="23"/>
        <v>44000</v>
      </c>
      <c r="F68" s="27">
        <f t="shared" si="11"/>
        <v>44000</v>
      </c>
      <c r="G68" s="27">
        <f>SUM(F$5:F68)</f>
        <v>1190000</v>
      </c>
      <c r="H68" s="27">
        <f t="shared" si="24"/>
        <v>64</v>
      </c>
      <c r="I68" s="27" t="s">
        <v>147</v>
      </c>
      <c r="J68" s="27">
        <v>2.5000000000000001E-2</v>
      </c>
      <c r="K68" s="27">
        <f>INDEX(其他调用!$BO$5:$BO$61,MATCH(星阵点亮!I68,其他调用!$BM$5:$BM$61,0))*J68</f>
        <v>13774.034568314977</v>
      </c>
      <c r="L68" s="27">
        <f t="shared" si="55"/>
        <v>26072</v>
      </c>
      <c r="Q68" s="26">
        <v>64</v>
      </c>
      <c r="R68" s="26">
        <f>总纲!D68</f>
        <v>83.4485062894652</v>
      </c>
      <c r="S68" s="26">
        <f>求节点(将星点产出!$W$6:$W$44,将星点产出!$AO$6:$AO$44,星阵点亮!$Q68)</f>
        <v>119958.53577320655</v>
      </c>
      <c r="T68" s="26">
        <f t="shared" si="13"/>
        <v>21</v>
      </c>
      <c r="U68" s="26">
        <f>总纲!E68</f>
        <v>72.399924056740005</v>
      </c>
      <c r="V68" s="26">
        <f>求节点(将星点产出!$W$51:$W$89,将星点产出!$AO$51:$AO$89,星阵点亮!$Q68)</f>
        <v>142744.9667349162</v>
      </c>
      <c r="W68" s="26">
        <f t="shared" si="14"/>
        <v>23</v>
      </c>
      <c r="X68" s="26">
        <f>总纲!F68</f>
        <v>59.365267374325548</v>
      </c>
      <c r="Y68" s="26">
        <f>求节点(将星点产出!$W$96:$W$134,将星点产出!$AO$96:$AO$134,星阵点亮!$Q68)</f>
        <v>184640.42834655897</v>
      </c>
      <c r="Z68" s="26">
        <f t="shared" si="15"/>
        <v>26</v>
      </c>
      <c r="AA68" s="26">
        <f>总纲!G68</f>
        <v>43.718672445050821</v>
      </c>
      <c r="AB68" s="26">
        <f>求节点(将星点产出!$W$141:$W$179,将星点产出!$AO$141:$AO$179,星阵点亮!$Q68)</f>
        <v>353234.28095633839</v>
      </c>
      <c r="AC68" s="26">
        <f t="shared" si="16"/>
        <v>37</v>
      </c>
      <c r="AD68" s="26">
        <f>总纲!H68</f>
        <v>24.341929284637001</v>
      </c>
      <c r="AE68" s="26">
        <f>求节点(将星点产出!$W$186:$W$224,将星点产出!$AO$186:$AO$224,星阵点亮!$Q68)</f>
        <v>437508.50555461983</v>
      </c>
      <c r="AF68" s="26">
        <f t="shared" si="17"/>
        <v>41</v>
      </c>
      <c r="AG68" s="26">
        <f t="shared" si="76"/>
        <v>1.5</v>
      </c>
      <c r="AH68" s="26">
        <f t="shared" si="76"/>
        <v>0.6</v>
      </c>
      <c r="AI68" s="26">
        <f t="shared" si="76"/>
        <v>0.6</v>
      </c>
      <c r="AJ68" s="26">
        <f t="shared" si="76"/>
        <v>1.5</v>
      </c>
      <c r="AK68" s="26">
        <f t="shared" si="76"/>
        <v>0</v>
      </c>
      <c r="AL68" s="26">
        <f t="shared" si="76"/>
        <v>0</v>
      </c>
      <c r="AM68" s="26">
        <f t="shared" si="76"/>
        <v>1</v>
      </c>
      <c r="AN68" s="26">
        <f t="shared" si="76"/>
        <v>0.6</v>
      </c>
      <c r="AO68" s="26">
        <f t="shared" si="76"/>
        <v>0.3</v>
      </c>
      <c r="AP68" s="26">
        <f t="shared" si="76"/>
        <v>1</v>
      </c>
      <c r="AQ68" s="26">
        <f t="shared" si="77"/>
        <v>0</v>
      </c>
      <c r="AR68" s="26">
        <f t="shared" si="77"/>
        <v>0</v>
      </c>
      <c r="AS68" s="26">
        <f t="shared" si="77"/>
        <v>0</v>
      </c>
      <c r="AT68" s="26">
        <f t="shared" si="77"/>
        <v>0</v>
      </c>
      <c r="AU68" s="26">
        <f t="shared" si="77"/>
        <v>0</v>
      </c>
      <c r="AV68" s="26">
        <f t="shared" si="77"/>
        <v>0</v>
      </c>
      <c r="AW68" s="26">
        <f t="shared" si="77"/>
        <v>0</v>
      </c>
      <c r="AX68" s="26">
        <f t="shared" si="77"/>
        <v>0</v>
      </c>
      <c r="AY68" s="26">
        <f t="shared" si="77"/>
        <v>0</v>
      </c>
      <c r="AZ68" s="26">
        <f t="shared" si="77"/>
        <v>0</v>
      </c>
      <c r="BA68" s="26">
        <f t="shared" si="77"/>
        <v>0</v>
      </c>
      <c r="BB68" s="26">
        <f t="shared" si="77"/>
        <v>0</v>
      </c>
      <c r="BC68" s="26">
        <f t="shared" si="78"/>
        <v>1.5</v>
      </c>
      <c r="BD68" s="26">
        <f t="shared" si="78"/>
        <v>0.6</v>
      </c>
      <c r="BE68" s="26">
        <f t="shared" si="78"/>
        <v>0.6</v>
      </c>
      <c r="BF68" s="26">
        <f t="shared" si="78"/>
        <v>1.5</v>
      </c>
      <c r="BG68" s="26">
        <f t="shared" si="78"/>
        <v>0</v>
      </c>
      <c r="BH68" s="26">
        <f t="shared" si="78"/>
        <v>0</v>
      </c>
      <c r="BI68" s="26">
        <f t="shared" si="78"/>
        <v>1</v>
      </c>
      <c r="BJ68" s="26">
        <f t="shared" si="78"/>
        <v>1</v>
      </c>
      <c r="BK68" s="26">
        <f t="shared" si="78"/>
        <v>0.6</v>
      </c>
      <c r="BL68" s="26">
        <f t="shared" si="78"/>
        <v>1</v>
      </c>
      <c r="BM68" s="26">
        <f t="shared" si="79"/>
        <v>0</v>
      </c>
      <c r="BN68" s="26">
        <f t="shared" si="79"/>
        <v>0</v>
      </c>
      <c r="BO68" s="26">
        <f t="shared" si="79"/>
        <v>0</v>
      </c>
      <c r="BP68" s="26">
        <f t="shared" si="79"/>
        <v>0</v>
      </c>
      <c r="BQ68" s="26">
        <f t="shared" si="79"/>
        <v>0</v>
      </c>
      <c r="BR68" s="26">
        <f t="shared" si="79"/>
        <v>0</v>
      </c>
      <c r="BS68" s="26">
        <f t="shared" si="79"/>
        <v>0</v>
      </c>
      <c r="BT68" s="26">
        <f t="shared" si="79"/>
        <v>0</v>
      </c>
      <c r="BU68" s="26">
        <f t="shared" si="79"/>
        <v>0</v>
      </c>
      <c r="BV68" s="26">
        <f t="shared" si="79"/>
        <v>0</v>
      </c>
      <c r="BW68" s="26">
        <f t="shared" si="79"/>
        <v>0</v>
      </c>
      <c r="BX68" s="26">
        <f t="shared" si="79"/>
        <v>0</v>
      </c>
      <c r="BY68" s="26">
        <f t="shared" si="80"/>
        <v>1.5</v>
      </c>
      <c r="BZ68" s="26">
        <f t="shared" si="80"/>
        <v>1</v>
      </c>
      <c r="CA68" s="26">
        <f t="shared" si="80"/>
        <v>1</v>
      </c>
      <c r="CB68" s="26">
        <f t="shared" si="80"/>
        <v>1.5</v>
      </c>
      <c r="CC68" s="26">
        <f t="shared" si="80"/>
        <v>0</v>
      </c>
      <c r="CD68" s="26">
        <f t="shared" si="80"/>
        <v>0</v>
      </c>
      <c r="CE68" s="26">
        <f t="shared" si="80"/>
        <v>1</v>
      </c>
      <c r="CF68" s="26">
        <f t="shared" si="80"/>
        <v>1</v>
      </c>
      <c r="CG68" s="26">
        <f t="shared" si="80"/>
        <v>1</v>
      </c>
      <c r="CH68" s="26">
        <f t="shared" si="80"/>
        <v>1</v>
      </c>
      <c r="CI68" s="26">
        <f t="shared" si="81"/>
        <v>0</v>
      </c>
      <c r="CJ68" s="26">
        <f t="shared" si="81"/>
        <v>0</v>
      </c>
      <c r="CK68" s="26">
        <f t="shared" si="81"/>
        <v>0</v>
      </c>
      <c r="CL68" s="26">
        <f t="shared" si="81"/>
        <v>0</v>
      </c>
      <c r="CM68" s="26">
        <f t="shared" si="81"/>
        <v>0</v>
      </c>
      <c r="CN68" s="26">
        <f t="shared" si="81"/>
        <v>0</v>
      </c>
      <c r="CO68" s="26">
        <f t="shared" si="81"/>
        <v>0</v>
      </c>
      <c r="CP68" s="26">
        <f t="shared" si="81"/>
        <v>0</v>
      </c>
      <c r="CQ68" s="26">
        <f t="shared" si="81"/>
        <v>0</v>
      </c>
      <c r="CR68" s="26">
        <f t="shared" si="81"/>
        <v>0</v>
      </c>
      <c r="CS68" s="26">
        <f t="shared" si="81"/>
        <v>0</v>
      </c>
      <c r="CT68" s="26">
        <f t="shared" si="81"/>
        <v>0</v>
      </c>
      <c r="CU68" s="26">
        <f t="shared" si="82"/>
        <v>1.5</v>
      </c>
      <c r="CV68" s="26">
        <f t="shared" si="82"/>
        <v>1.5</v>
      </c>
      <c r="CW68" s="26">
        <f t="shared" si="82"/>
        <v>1.5</v>
      </c>
      <c r="CX68" s="26">
        <f t="shared" si="82"/>
        <v>1.5</v>
      </c>
      <c r="CY68" s="26">
        <f t="shared" si="82"/>
        <v>1.5</v>
      </c>
      <c r="CZ68" s="26">
        <f t="shared" si="82"/>
        <v>0</v>
      </c>
      <c r="DA68" s="26">
        <f t="shared" si="82"/>
        <v>1</v>
      </c>
      <c r="DB68" s="26">
        <f t="shared" si="82"/>
        <v>1</v>
      </c>
      <c r="DC68" s="26">
        <f t="shared" si="82"/>
        <v>1</v>
      </c>
      <c r="DD68" s="26">
        <f t="shared" si="82"/>
        <v>1</v>
      </c>
      <c r="DE68" s="26">
        <f t="shared" si="83"/>
        <v>0</v>
      </c>
      <c r="DF68" s="26">
        <f t="shared" si="83"/>
        <v>0.2</v>
      </c>
      <c r="DG68" s="26">
        <f t="shared" si="83"/>
        <v>0.2</v>
      </c>
      <c r="DH68" s="26">
        <f t="shared" si="83"/>
        <v>0.1</v>
      </c>
      <c r="DI68" s="26">
        <f t="shared" si="83"/>
        <v>0</v>
      </c>
      <c r="DJ68" s="26">
        <f t="shared" si="83"/>
        <v>0</v>
      </c>
      <c r="DK68" s="26">
        <f t="shared" si="83"/>
        <v>0</v>
      </c>
      <c r="DL68" s="26">
        <f t="shared" si="83"/>
        <v>0</v>
      </c>
      <c r="DM68" s="26">
        <f t="shared" si="83"/>
        <v>0</v>
      </c>
      <c r="DN68" s="26">
        <f t="shared" si="83"/>
        <v>0</v>
      </c>
      <c r="DO68" s="26">
        <f t="shared" si="83"/>
        <v>0</v>
      </c>
      <c r="DP68" s="26">
        <f t="shared" si="83"/>
        <v>0</v>
      </c>
      <c r="DQ68" s="26">
        <f t="shared" si="84"/>
        <v>1.5</v>
      </c>
      <c r="DR68" s="26">
        <f t="shared" si="84"/>
        <v>1.5</v>
      </c>
      <c r="DS68" s="26">
        <f t="shared" si="84"/>
        <v>1.5</v>
      </c>
      <c r="DT68" s="26">
        <f t="shared" si="84"/>
        <v>1.5</v>
      </c>
      <c r="DU68" s="26">
        <f t="shared" si="84"/>
        <v>1.5</v>
      </c>
      <c r="DV68" s="26">
        <f t="shared" si="84"/>
        <v>0</v>
      </c>
      <c r="DW68" s="26">
        <f t="shared" si="84"/>
        <v>1</v>
      </c>
      <c r="DX68" s="26">
        <f t="shared" si="84"/>
        <v>1</v>
      </c>
      <c r="DY68" s="26">
        <f t="shared" si="84"/>
        <v>1</v>
      </c>
      <c r="DZ68" s="26">
        <f t="shared" si="84"/>
        <v>1</v>
      </c>
      <c r="EA68" s="26">
        <f t="shared" si="85"/>
        <v>0</v>
      </c>
      <c r="EB68" s="26">
        <f t="shared" si="85"/>
        <v>0.2</v>
      </c>
      <c r="EC68" s="26">
        <f t="shared" si="85"/>
        <v>0.2</v>
      </c>
      <c r="ED68" s="26">
        <f t="shared" si="85"/>
        <v>0.2</v>
      </c>
      <c r="EE68" s="26">
        <f t="shared" si="85"/>
        <v>0.2</v>
      </c>
      <c r="EF68" s="26">
        <f t="shared" si="85"/>
        <v>0.1</v>
      </c>
      <c r="EG68" s="26">
        <f t="shared" si="85"/>
        <v>0</v>
      </c>
      <c r="EH68" s="26">
        <f t="shared" si="85"/>
        <v>0</v>
      </c>
      <c r="EI68" s="26">
        <f t="shared" si="85"/>
        <v>0</v>
      </c>
      <c r="EJ68" s="26">
        <f t="shared" si="85"/>
        <v>0</v>
      </c>
      <c r="EK68" s="26">
        <f t="shared" si="85"/>
        <v>0</v>
      </c>
      <c r="EL68" s="26">
        <f t="shared" si="85"/>
        <v>0</v>
      </c>
      <c r="EM68" s="26">
        <f t="shared" si="18"/>
        <v>84531</v>
      </c>
      <c r="EN68" s="26">
        <f t="shared" si="19"/>
        <v>95579</v>
      </c>
      <c r="EO68" s="26">
        <f t="shared" si="20"/>
        <v>113129</v>
      </c>
      <c r="EP68" s="26">
        <f t="shared" si="21"/>
        <v>191444</v>
      </c>
      <c r="EQ68" s="26">
        <f t="shared" si="22"/>
        <v>223449</v>
      </c>
    </row>
    <row r="69" spans="2:147">
      <c r="B69" s="27">
        <v>11</v>
      </c>
      <c r="C69" s="27">
        <v>5</v>
      </c>
      <c r="D69" s="27">
        <v>1000</v>
      </c>
      <c r="E69" s="27">
        <f t="shared" si="23"/>
        <v>45000</v>
      </c>
      <c r="F69" s="27">
        <f t="shared" si="11"/>
        <v>45000</v>
      </c>
      <c r="G69" s="27">
        <f>SUM(F$5:F69)</f>
        <v>1235000</v>
      </c>
      <c r="H69" s="27">
        <f t="shared" si="24"/>
        <v>65</v>
      </c>
      <c r="I69" s="27" t="s">
        <v>148</v>
      </c>
      <c r="J69" s="27">
        <v>2.5000000000000001E-2</v>
      </c>
      <c r="K69" s="27">
        <f>INDEX(其他调用!$BO$5:$BO$61,MATCH(星阵点亮!I69,其他调用!$BM$5:$BM$61,0))*J69</f>
        <v>21930.629497427974</v>
      </c>
      <c r="L69" s="27">
        <f t="shared" si="55"/>
        <v>26122</v>
      </c>
      <c r="Q69" s="26">
        <v>65</v>
      </c>
      <c r="R69" s="26">
        <f>总纲!D69</f>
        <v>89.509667991878061</v>
      </c>
      <c r="S69" s="26">
        <f>求节点(将星点产出!$W$6:$W$44,将星点产出!$AO$6:$AO$44,星阵点亮!$Q69)</f>
        <v>125002.2973310602</v>
      </c>
      <c r="T69" s="26">
        <f t="shared" si="13"/>
        <v>21</v>
      </c>
      <c r="U69" s="26">
        <f>总纲!E69</f>
        <v>77.64963698295422</v>
      </c>
      <c r="V69" s="26">
        <f>求节点(将星点产出!$W$51:$W$89,将星点产出!$AO$51:$AO$89,星阵点亮!$Q69)</f>
        <v>149855.9492983284</v>
      </c>
      <c r="W69" s="26">
        <f t="shared" si="14"/>
        <v>23</v>
      </c>
      <c r="X69" s="26">
        <f>总纲!F69</f>
        <v>63.802491344610679</v>
      </c>
      <c r="Y69" s="26">
        <f>求节点(将星点产出!$W$96:$W$134,将星点产出!$AO$96:$AO$134,星阵点亮!$Q69)</f>
        <v>192984.70735011951</v>
      </c>
      <c r="Z69" s="26">
        <f t="shared" si="15"/>
        <v>27</v>
      </c>
      <c r="AA69" s="26">
        <f>总纲!G69</f>
        <v>46.929918928141667</v>
      </c>
      <c r="AB69" s="26">
        <f>求节点(将星点产出!$W$141:$W$179,将星点产出!$AO$141:$AO$179,星阵点亮!$Q69)</f>
        <v>368595.53296781174</v>
      </c>
      <c r="AC69" s="26">
        <f t="shared" si="16"/>
        <v>37</v>
      </c>
      <c r="AD69" s="26">
        <f>总纲!H69</f>
        <v>25.993607584841389</v>
      </c>
      <c r="AE69" s="26">
        <f>求节点(将星点产出!$W$186:$W$224,将星点产出!$AO$186:$AO$224,星阵点亮!$Q69)</f>
        <v>452367.33326100511</v>
      </c>
      <c r="AF69" s="26">
        <f t="shared" si="17"/>
        <v>41</v>
      </c>
      <c r="AG69" s="26">
        <f t="shared" si="76"/>
        <v>1.5</v>
      </c>
      <c r="AH69" s="26">
        <f t="shared" si="76"/>
        <v>0.6</v>
      </c>
      <c r="AI69" s="26">
        <f t="shared" si="76"/>
        <v>0.6</v>
      </c>
      <c r="AJ69" s="26">
        <f t="shared" si="76"/>
        <v>1.5</v>
      </c>
      <c r="AK69" s="26">
        <f t="shared" si="76"/>
        <v>0</v>
      </c>
      <c r="AL69" s="26">
        <f t="shared" si="76"/>
        <v>0</v>
      </c>
      <c r="AM69" s="26">
        <f t="shared" si="76"/>
        <v>1</v>
      </c>
      <c r="AN69" s="26">
        <f t="shared" si="76"/>
        <v>0.6</v>
      </c>
      <c r="AO69" s="26">
        <f t="shared" si="76"/>
        <v>0.3</v>
      </c>
      <c r="AP69" s="26">
        <f t="shared" si="76"/>
        <v>1</v>
      </c>
      <c r="AQ69" s="26">
        <f t="shared" si="77"/>
        <v>0</v>
      </c>
      <c r="AR69" s="26">
        <f t="shared" si="77"/>
        <v>0</v>
      </c>
      <c r="AS69" s="26">
        <f t="shared" si="77"/>
        <v>0</v>
      </c>
      <c r="AT69" s="26">
        <f t="shared" si="77"/>
        <v>0</v>
      </c>
      <c r="AU69" s="26">
        <f t="shared" si="77"/>
        <v>0</v>
      </c>
      <c r="AV69" s="26">
        <f t="shared" si="77"/>
        <v>0</v>
      </c>
      <c r="AW69" s="26">
        <f t="shared" si="77"/>
        <v>0</v>
      </c>
      <c r="AX69" s="26">
        <f t="shared" si="77"/>
        <v>0</v>
      </c>
      <c r="AY69" s="26">
        <f t="shared" si="77"/>
        <v>0</v>
      </c>
      <c r="AZ69" s="26">
        <f t="shared" si="77"/>
        <v>0</v>
      </c>
      <c r="BA69" s="26">
        <f t="shared" si="77"/>
        <v>0</v>
      </c>
      <c r="BB69" s="26">
        <f t="shared" si="77"/>
        <v>0</v>
      </c>
      <c r="BC69" s="26">
        <f t="shared" si="78"/>
        <v>1.5</v>
      </c>
      <c r="BD69" s="26">
        <f t="shared" si="78"/>
        <v>0.6</v>
      </c>
      <c r="BE69" s="26">
        <f t="shared" si="78"/>
        <v>0.6</v>
      </c>
      <c r="BF69" s="26">
        <f t="shared" si="78"/>
        <v>1.5</v>
      </c>
      <c r="BG69" s="26">
        <f t="shared" si="78"/>
        <v>0</v>
      </c>
      <c r="BH69" s="26">
        <f t="shared" si="78"/>
        <v>0</v>
      </c>
      <c r="BI69" s="26">
        <f t="shared" si="78"/>
        <v>1</v>
      </c>
      <c r="BJ69" s="26">
        <f t="shared" si="78"/>
        <v>1</v>
      </c>
      <c r="BK69" s="26">
        <f t="shared" si="78"/>
        <v>0.6</v>
      </c>
      <c r="BL69" s="26">
        <f t="shared" si="78"/>
        <v>1</v>
      </c>
      <c r="BM69" s="26">
        <f t="shared" si="79"/>
        <v>0</v>
      </c>
      <c r="BN69" s="26">
        <f t="shared" si="79"/>
        <v>0</v>
      </c>
      <c r="BO69" s="26">
        <f t="shared" si="79"/>
        <v>0</v>
      </c>
      <c r="BP69" s="26">
        <f t="shared" si="79"/>
        <v>0</v>
      </c>
      <c r="BQ69" s="26">
        <f t="shared" si="79"/>
        <v>0</v>
      </c>
      <c r="BR69" s="26">
        <f t="shared" si="79"/>
        <v>0</v>
      </c>
      <c r="BS69" s="26">
        <f t="shared" si="79"/>
        <v>0</v>
      </c>
      <c r="BT69" s="26">
        <f t="shared" si="79"/>
        <v>0</v>
      </c>
      <c r="BU69" s="26">
        <f t="shared" si="79"/>
        <v>0</v>
      </c>
      <c r="BV69" s="26">
        <f t="shared" si="79"/>
        <v>0</v>
      </c>
      <c r="BW69" s="26">
        <f t="shared" si="79"/>
        <v>0</v>
      </c>
      <c r="BX69" s="26">
        <f t="shared" si="79"/>
        <v>0</v>
      </c>
      <c r="BY69" s="26">
        <f t="shared" si="80"/>
        <v>1.5</v>
      </c>
      <c r="BZ69" s="26">
        <f t="shared" si="80"/>
        <v>1</v>
      </c>
      <c r="CA69" s="26">
        <f t="shared" si="80"/>
        <v>1</v>
      </c>
      <c r="CB69" s="26">
        <f t="shared" si="80"/>
        <v>1.5</v>
      </c>
      <c r="CC69" s="26">
        <f t="shared" si="80"/>
        <v>0.3</v>
      </c>
      <c r="CD69" s="26">
        <f t="shared" si="80"/>
        <v>0</v>
      </c>
      <c r="CE69" s="26">
        <f t="shared" si="80"/>
        <v>1</v>
      </c>
      <c r="CF69" s="26">
        <f t="shared" si="80"/>
        <v>1</v>
      </c>
      <c r="CG69" s="26">
        <f t="shared" si="80"/>
        <v>1</v>
      </c>
      <c r="CH69" s="26">
        <f t="shared" si="80"/>
        <v>1</v>
      </c>
      <c r="CI69" s="26">
        <f t="shared" si="81"/>
        <v>0</v>
      </c>
      <c r="CJ69" s="26">
        <f t="shared" si="81"/>
        <v>0</v>
      </c>
      <c r="CK69" s="26">
        <f t="shared" si="81"/>
        <v>0</v>
      </c>
      <c r="CL69" s="26">
        <f t="shared" si="81"/>
        <v>0</v>
      </c>
      <c r="CM69" s="26">
        <f t="shared" si="81"/>
        <v>0</v>
      </c>
      <c r="CN69" s="26">
        <f t="shared" si="81"/>
        <v>0</v>
      </c>
      <c r="CO69" s="26">
        <f t="shared" si="81"/>
        <v>0</v>
      </c>
      <c r="CP69" s="26">
        <f t="shared" si="81"/>
        <v>0</v>
      </c>
      <c r="CQ69" s="26">
        <f t="shared" si="81"/>
        <v>0</v>
      </c>
      <c r="CR69" s="26">
        <f t="shared" si="81"/>
        <v>0</v>
      </c>
      <c r="CS69" s="26">
        <f t="shared" si="81"/>
        <v>0</v>
      </c>
      <c r="CT69" s="26">
        <f t="shared" si="81"/>
        <v>0</v>
      </c>
      <c r="CU69" s="26">
        <f t="shared" si="82"/>
        <v>1.5</v>
      </c>
      <c r="CV69" s="26">
        <f t="shared" si="82"/>
        <v>1.5</v>
      </c>
      <c r="CW69" s="26">
        <f t="shared" si="82"/>
        <v>1.5</v>
      </c>
      <c r="CX69" s="26">
        <f t="shared" si="82"/>
        <v>1.5</v>
      </c>
      <c r="CY69" s="26">
        <f t="shared" si="82"/>
        <v>1.5</v>
      </c>
      <c r="CZ69" s="26">
        <f t="shared" si="82"/>
        <v>0</v>
      </c>
      <c r="DA69" s="26">
        <f t="shared" si="82"/>
        <v>1</v>
      </c>
      <c r="DB69" s="26">
        <f t="shared" si="82"/>
        <v>1</v>
      </c>
      <c r="DC69" s="26">
        <f t="shared" si="82"/>
        <v>1</v>
      </c>
      <c r="DD69" s="26">
        <f t="shared" si="82"/>
        <v>1</v>
      </c>
      <c r="DE69" s="26">
        <f t="shared" si="83"/>
        <v>0</v>
      </c>
      <c r="DF69" s="26">
        <f t="shared" si="83"/>
        <v>0.2</v>
      </c>
      <c r="DG69" s="26">
        <f t="shared" si="83"/>
        <v>0.2</v>
      </c>
      <c r="DH69" s="26">
        <f t="shared" si="83"/>
        <v>0.1</v>
      </c>
      <c r="DI69" s="26">
        <f t="shared" si="83"/>
        <v>0</v>
      </c>
      <c r="DJ69" s="26">
        <f t="shared" si="83"/>
        <v>0</v>
      </c>
      <c r="DK69" s="26">
        <f t="shared" si="83"/>
        <v>0</v>
      </c>
      <c r="DL69" s="26">
        <f t="shared" si="83"/>
        <v>0</v>
      </c>
      <c r="DM69" s="26">
        <f t="shared" si="83"/>
        <v>0</v>
      </c>
      <c r="DN69" s="26">
        <f t="shared" si="83"/>
        <v>0</v>
      </c>
      <c r="DO69" s="26">
        <f t="shared" si="83"/>
        <v>0</v>
      </c>
      <c r="DP69" s="26">
        <f t="shared" si="83"/>
        <v>0</v>
      </c>
      <c r="DQ69" s="26">
        <f t="shared" si="84"/>
        <v>1.5</v>
      </c>
      <c r="DR69" s="26">
        <f t="shared" si="84"/>
        <v>1.5</v>
      </c>
      <c r="DS69" s="26">
        <f t="shared" si="84"/>
        <v>1.5</v>
      </c>
      <c r="DT69" s="26">
        <f t="shared" si="84"/>
        <v>1.5</v>
      </c>
      <c r="DU69" s="26">
        <f t="shared" si="84"/>
        <v>1.5</v>
      </c>
      <c r="DV69" s="26">
        <f t="shared" si="84"/>
        <v>0</v>
      </c>
      <c r="DW69" s="26">
        <f t="shared" si="84"/>
        <v>1</v>
      </c>
      <c r="DX69" s="26">
        <f t="shared" si="84"/>
        <v>1</v>
      </c>
      <c r="DY69" s="26">
        <f t="shared" si="84"/>
        <v>1</v>
      </c>
      <c r="DZ69" s="26">
        <f t="shared" si="84"/>
        <v>1</v>
      </c>
      <c r="EA69" s="26">
        <f t="shared" si="85"/>
        <v>0</v>
      </c>
      <c r="EB69" s="26">
        <f t="shared" si="85"/>
        <v>0.2</v>
      </c>
      <c r="EC69" s="26">
        <f t="shared" si="85"/>
        <v>0.2</v>
      </c>
      <c r="ED69" s="26">
        <f t="shared" si="85"/>
        <v>0.2</v>
      </c>
      <c r="EE69" s="26">
        <f t="shared" si="85"/>
        <v>0.2</v>
      </c>
      <c r="EF69" s="26">
        <f t="shared" si="85"/>
        <v>0.1</v>
      </c>
      <c r="EG69" s="26">
        <f t="shared" si="85"/>
        <v>0</v>
      </c>
      <c r="EH69" s="26">
        <f t="shared" si="85"/>
        <v>0</v>
      </c>
      <c r="EI69" s="26">
        <f t="shared" si="85"/>
        <v>0</v>
      </c>
      <c r="EJ69" s="26">
        <f t="shared" si="85"/>
        <v>0</v>
      </c>
      <c r="EK69" s="26">
        <f t="shared" si="85"/>
        <v>0</v>
      </c>
      <c r="EL69" s="26">
        <f t="shared" si="85"/>
        <v>0</v>
      </c>
      <c r="EM69" s="26">
        <f t="shared" si="18"/>
        <v>84531</v>
      </c>
      <c r="EN69" s="26">
        <f t="shared" si="19"/>
        <v>95579</v>
      </c>
      <c r="EO69" s="26">
        <f t="shared" si="20"/>
        <v>119240</v>
      </c>
      <c r="EP69" s="26">
        <f t="shared" si="21"/>
        <v>191444</v>
      </c>
      <c r="EQ69" s="26">
        <f t="shared" si="22"/>
        <v>223449</v>
      </c>
    </row>
    <row r="70" spans="2:147">
      <c r="B70" s="27">
        <v>11</v>
      </c>
      <c r="C70" s="27">
        <v>6</v>
      </c>
      <c r="D70" s="27">
        <v>1000</v>
      </c>
      <c r="E70" s="27">
        <f t="shared" si="23"/>
        <v>46000</v>
      </c>
      <c r="F70" s="27">
        <f t="shared" ref="F70:F76" si="86">INT(E70/500)*500</f>
        <v>46000</v>
      </c>
      <c r="G70" s="27">
        <f>SUM(F$5:F70)</f>
        <v>1281000</v>
      </c>
      <c r="H70" s="27">
        <f t="shared" si="24"/>
        <v>66</v>
      </c>
      <c r="I70" s="27" t="s">
        <v>143</v>
      </c>
      <c r="J70" s="27">
        <v>2.5000000000000001E-2</v>
      </c>
      <c r="K70" s="27">
        <f>INDEX(其他调用!$BO$5:$BO$61,MATCH(星阵点亮!I70,其他调用!$BM$5:$BM$61,0))*J70</f>
        <v>24786.484028223425</v>
      </c>
      <c r="L70" s="27">
        <f t="shared" si="55"/>
        <v>26172</v>
      </c>
      <c r="Q70" s="26">
        <v>66</v>
      </c>
      <c r="R70" s="26">
        <f>总纲!D70</f>
        <v>96.005860256665443</v>
      </c>
      <c r="S70" s="26">
        <f>求节点(将星点产出!$W$6:$W$44,将星点产出!$AO$6:$AO$44,星阵点亮!$Q70)</f>
        <v>130461.47409660726</v>
      </c>
      <c r="T70" s="26">
        <f t="shared" ref="T70:T133" si="87">INDEX($H$5:$H$76,MATCH(S70,$G$5:$G$76,1))</f>
        <v>22</v>
      </c>
      <c r="U70" s="26">
        <f>总纲!E70</f>
        <v>83.352287874836932</v>
      </c>
      <c r="V70" s="26">
        <f>求节点(将星点产出!$W$51:$W$89,将星点产出!$AO$51:$AO$89,星阵点亮!$Q70)</f>
        <v>156924.51925653947</v>
      </c>
      <c r="W70" s="26">
        <f t="shared" ref="W70:W133" si="88">INDEX($H$5:$H$76,MATCH(V70,$G$5:$G$76,1))</f>
        <v>24</v>
      </c>
      <c r="X70" s="26">
        <f>总纲!F70</f>
        <v>68.490580707105124</v>
      </c>
      <c r="Y70" s="26">
        <f>求节点(将星点产出!$W$96:$W$134,将星点产出!$AO$96:$AO$134,星阵点亮!$Q70)</f>
        <v>204135.70885947719</v>
      </c>
      <c r="Z70" s="26">
        <f t="shared" ref="Z70:Z133" si="89">INDEX($H$5:$H$76,MATCH(Y70,$G$5:$G$76,1))</f>
        <v>28</v>
      </c>
      <c r="AA70" s="26">
        <f>总纲!G70</f>
        <v>50.163061984107692</v>
      </c>
      <c r="AB70" s="26">
        <f>求节点(将星点产出!$W$141:$W$179,将星点产出!$AO$141:$AO$179,星阵点亮!$Q70)</f>
        <v>383016.02136639663</v>
      </c>
      <c r="AC70" s="26">
        <f t="shared" ref="AC70:AC133" si="90">INDEX($H$5:$H$76,MATCH(AB70,$G$5:$G$76,1))</f>
        <v>38</v>
      </c>
      <c r="AD70" s="26">
        <f>总纲!H70</f>
        <v>27.851300060458648</v>
      </c>
      <c r="AE70" s="26">
        <f>求节点(将星点产出!$W$186:$W$224,将星点产出!$AO$186:$AO$224,星阵点亮!$Q70)</f>
        <v>467669.21495470055</v>
      </c>
      <c r="AF70" s="26">
        <f t="shared" ref="AF70:AF133" si="91">INDEX($H$5:$H$76,MATCH(AE70,$G$5:$G$76,1))</f>
        <v>42</v>
      </c>
      <c r="AG70" s="26">
        <f t="shared" si="76"/>
        <v>1.5</v>
      </c>
      <c r="AH70" s="26">
        <f t="shared" si="76"/>
        <v>0.6</v>
      </c>
      <c r="AI70" s="26">
        <f t="shared" si="76"/>
        <v>0.6</v>
      </c>
      <c r="AJ70" s="26">
        <f t="shared" si="76"/>
        <v>1.5</v>
      </c>
      <c r="AK70" s="26">
        <f t="shared" si="76"/>
        <v>0</v>
      </c>
      <c r="AL70" s="26">
        <f t="shared" si="76"/>
        <v>0</v>
      </c>
      <c r="AM70" s="26">
        <f t="shared" si="76"/>
        <v>1</v>
      </c>
      <c r="AN70" s="26">
        <f t="shared" si="76"/>
        <v>0.6</v>
      </c>
      <c r="AO70" s="26">
        <f t="shared" si="76"/>
        <v>0.6</v>
      </c>
      <c r="AP70" s="26">
        <f t="shared" si="76"/>
        <v>1</v>
      </c>
      <c r="AQ70" s="26">
        <f t="shared" si="77"/>
        <v>0</v>
      </c>
      <c r="AR70" s="26">
        <f t="shared" si="77"/>
        <v>0</v>
      </c>
      <c r="AS70" s="26">
        <f t="shared" si="77"/>
        <v>0</v>
      </c>
      <c r="AT70" s="26">
        <f t="shared" si="77"/>
        <v>0</v>
      </c>
      <c r="AU70" s="26">
        <f t="shared" si="77"/>
        <v>0</v>
      </c>
      <c r="AV70" s="26">
        <f t="shared" si="77"/>
        <v>0</v>
      </c>
      <c r="AW70" s="26">
        <f t="shared" si="77"/>
        <v>0</v>
      </c>
      <c r="AX70" s="26">
        <f t="shared" si="77"/>
        <v>0</v>
      </c>
      <c r="AY70" s="26">
        <f t="shared" si="77"/>
        <v>0</v>
      </c>
      <c r="AZ70" s="26">
        <f t="shared" si="77"/>
        <v>0</v>
      </c>
      <c r="BA70" s="26">
        <f t="shared" si="77"/>
        <v>0</v>
      </c>
      <c r="BB70" s="26">
        <f t="shared" si="77"/>
        <v>0</v>
      </c>
      <c r="BC70" s="26">
        <f t="shared" si="78"/>
        <v>1.5</v>
      </c>
      <c r="BD70" s="26">
        <f t="shared" si="78"/>
        <v>0.6</v>
      </c>
      <c r="BE70" s="26">
        <f t="shared" si="78"/>
        <v>0.6</v>
      </c>
      <c r="BF70" s="26">
        <f t="shared" si="78"/>
        <v>1.5</v>
      </c>
      <c r="BG70" s="26">
        <f t="shared" si="78"/>
        <v>0</v>
      </c>
      <c r="BH70" s="26">
        <f t="shared" si="78"/>
        <v>0</v>
      </c>
      <c r="BI70" s="26">
        <f t="shared" si="78"/>
        <v>1</v>
      </c>
      <c r="BJ70" s="26">
        <f t="shared" si="78"/>
        <v>1</v>
      </c>
      <c r="BK70" s="26">
        <f t="shared" si="78"/>
        <v>1</v>
      </c>
      <c r="BL70" s="26">
        <f t="shared" si="78"/>
        <v>1</v>
      </c>
      <c r="BM70" s="26">
        <f t="shared" si="79"/>
        <v>0</v>
      </c>
      <c r="BN70" s="26">
        <f t="shared" si="79"/>
        <v>0</v>
      </c>
      <c r="BO70" s="26">
        <f t="shared" si="79"/>
        <v>0</v>
      </c>
      <c r="BP70" s="26">
        <f t="shared" si="79"/>
        <v>0</v>
      </c>
      <c r="BQ70" s="26">
        <f t="shared" si="79"/>
        <v>0</v>
      </c>
      <c r="BR70" s="26">
        <f t="shared" si="79"/>
        <v>0</v>
      </c>
      <c r="BS70" s="26">
        <f t="shared" si="79"/>
        <v>0</v>
      </c>
      <c r="BT70" s="26">
        <f t="shared" si="79"/>
        <v>0</v>
      </c>
      <c r="BU70" s="26">
        <f t="shared" si="79"/>
        <v>0</v>
      </c>
      <c r="BV70" s="26">
        <f t="shared" si="79"/>
        <v>0</v>
      </c>
      <c r="BW70" s="26">
        <f t="shared" si="79"/>
        <v>0</v>
      </c>
      <c r="BX70" s="26">
        <f t="shared" si="79"/>
        <v>0</v>
      </c>
      <c r="BY70" s="26">
        <f t="shared" si="80"/>
        <v>1.5</v>
      </c>
      <c r="BZ70" s="26">
        <f t="shared" si="80"/>
        <v>1.5</v>
      </c>
      <c r="CA70" s="26">
        <f t="shared" si="80"/>
        <v>1</v>
      </c>
      <c r="CB70" s="26">
        <f t="shared" si="80"/>
        <v>1.5</v>
      </c>
      <c r="CC70" s="26">
        <f t="shared" si="80"/>
        <v>0.3</v>
      </c>
      <c r="CD70" s="26">
        <f t="shared" si="80"/>
        <v>0</v>
      </c>
      <c r="CE70" s="26">
        <f t="shared" si="80"/>
        <v>1</v>
      </c>
      <c r="CF70" s="26">
        <f t="shared" si="80"/>
        <v>1</v>
      </c>
      <c r="CG70" s="26">
        <f t="shared" si="80"/>
        <v>1</v>
      </c>
      <c r="CH70" s="26">
        <f t="shared" si="80"/>
        <v>1</v>
      </c>
      <c r="CI70" s="26">
        <f t="shared" si="81"/>
        <v>0</v>
      </c>
      <c r="CJ70" s="26">
        <f t="shared" si="81"/>
        <v>0</v>
      </c>
      <c r="CK70" s="26">
        <f t="shared" si="81"/>
        <v>0</v>
      </c>
      <c r="CL70" s="26">
        <f t="shared" si="81"/>
        <v>0</v>
      </c>
      <c r="CM70" s="26">
        <f t="shared" si="81"/>
        <v>0</v>
      </c>
      <c r="CN70" s="26">
        <f t="shared" si="81"/>
        <v>0</v>
      </c>
      <c r="CO70" s="26">
        <f t="shared" si="81"/>
        <v>0</v>
      </c>
      <c r="CP70" s="26">
        <f t="shared" si="81"/>
        <v>0</v>
      </c>
      <c r="CQ70" s="26">
        <f t="shared" si="81"/>
        <v>0</v>
      </c>
      <c r="CR70" s="26">
        <f t="shared" si="81"/>
        <v>0</v>
      </c>
      <c r="CS70" s="26">
        <f t="shared" si="81"/>
        <v>0</v>
      </c>
      <c r="CT70" s="26">
        <f t="shared" si="81"/>
        <v>0</v>
      </c>
      <c r="CU70" s="26">
        <f t="shared" si="82"/>
        <v>1.5</v>
      </c>
      <c r="CV70" s="26">
        <f t="shared" si="82"/>
        <v>1.5</v>
      </c>
      <c r="CW70" s="26">
        <f t="shared" si="82"/>
        <v>1.5</v>
      </c>
      <c r="CX70" s="26">
        <f t="shared" si="82"/>
        <v>1.5</v>
      </c>
      <c r="CY70" s="26">
        <f t="shared" si="82"/>
        <v>1.5</v>
      </c>
      <c r="CZ70" s="26">
        <f t="shared" si="82"/>
        <v>0</v>
      </c>
      <c r="DA70" s="26">
        <f t="shared" si="82"/>
        <v>1</v>
      </c>
      <c r="DB70" s="26">
        <f t="shared" si="82"/>
        <v>1</v>
      </c>
      <c r="DC70" s="26">
        <f t="shared" si="82"/>
        <v>1</v>
      </c>
      <c r="DD70" s="26">
        <f t="shared" si="82"/>
        <v>1</v>
      </c>
      <c r="DE70" s="26">
        <f t="shared" si="83"/>
        <v>0</v>
      </c>
      <c r="DF70" s="26">
        <f t="shared" si="83"/>
        <v>0.2</v>
      </c>
      <c r="DG70" s="26">
        <f t="shared" si="83"/>
        <v>0.2</v>
      </c>
      <c r="DH70" s="26">
        <f t="shared" si="83"/>
        <v>0.1</v>
      </c>
      <c r="DI70" s="26">
        <f t="shared" si="83"/>
        <v>0.1</v>
      </c>
      <c r="DJ70" s="26">
        <f t="shared" si="83"/>
        <v>0</v>
      </c>
      <c r="DK70" s="26">
        <f t="shared" si="83"/>
        <v>0</v>
      </c>
      <c r="DL70" s="26">
        <f t="shared" si="83"/>
        <v>0</v>
      </c>
      <c r="DM70" s="26">
        <f t="shared" si="83"/>
        <v>0</v>
      </c>
      <c r="DN70" s="26">
        <f t="shared" si="83"/>
        <v>0</v>
      </c>
      <c r="DO70" s="26">
        <f t="shared" si="83"/>
        <v>0</v>
      </c>
      <c r="DP70" s="26">
        <f t="shared" si="83"/>
        <v>0</v>
      </c>
      <c r="DQ70" s="26">
        <f t="shared" si="84"/>
        <v>1.5</v>
      </c>
      <c r="DR70" s="26">
        <f t="shared" si="84"/>
        <v>1.5</v>
      </c>
      <c r="DS70" s="26">
        <f t="shared" si="84"/>
        <v>1.5</v>
      </c>
      <c r="DT70" s="26">
        <f t="shared" si="84"/>
        <v>1.5</v>
      </c>
      <c r="DU70" s="26">
        <f t="shared" si="84"/>
        <v>1.5</v>
      </c>
      <c r="DV70" s="26">
        <f t="shared" si="84"/>
        <v>0</v>
      </c>
      <c r="DW70" s="26">
        <f t="shared" si="84"/>
        <v>1</v>
      </c>
      <c r="DX70" s="26">
        <f t="shared" si="84"/>
        <v>1</v>
      </c>
      <c r="DY70" s="26">
        <f t="shared" si="84"/>
        <v>1</v>
      </c>
      <c r="DZ70" s="26">
        <f t="shared" si="84"/>
        <v>1</v>
      </c>
      <c r="EA70" s="26">
        <f t="shared" si="85"/>
        <v>0</v>
      </c>
      <c r="EB70" s="26">
        <f t="shared" si="85"/>
        <v>0.2</v>
      </c>
      <c r="EC70" s="26">
        <f t="shared" si="85"/>
        <v>0.2</v>
      </c>
      <c r="ED70" s="26">
        <f t="shared" si="85"/>
        <v>0.2</v>
      </c>
      <c r="EE70" s="26">
        <f t="shared" si="85"/>
        <v>0.2</v>
      </c>
      <c r="EF70" s="26">
        <f t="shared" si="85"/>
        <v>0.2</v>
      </c>
      <c r="EG70" s="26">
        <f t="shared" si="85"/>
        <v>0</v>
      </c>
      <c r="EH70" s="26">
        <f t="shared" si="85"/>
        <v>0</v>
      </c>
      <c r="EI70" s="26">
        <f t="shared" si="85"/>
        <v>0</v>
      </c>
      <c r="EJ70" s="26">
        <f t="shared" si="85"/>
        <v>0</v>
      </c>
      <c r="EK70" s="26">
        <f t="shared" si="85"/>
        <v>0</v>
      </c>
      <c r="EL70" s="26">
        <f t="shared" si="85"/>
        <v>0</v>
      </c>
      <c r="EM70" s="26">
        <f t="shared" ref="EM70:EM133" si="92">SUMIFS($L$5:$L$76,$H$5:$H$76,"&lt;="&amp;T70)</f>
        <v>89990</v>
      </c>
      <c r="EN70" s="26">
        <f t="shared" ref="EN70:EN133" si="93">SUMIFS($L$5:$L$76,$H$5:$H$76,"&lt;="&amp;W70)</f>
        <v>101299</v>
      </c>
      <c r="EO70" s="26">
        <f t="shared" ref="EO70:EO133" si="94">SUMIFS($L$5:$L$76,$H$5:$H$76,"&lt;="&amp;Z70)</f>
        <v>125481</v>
      </c>
      <c r="EP70" s="26">
        <f t="shared" ref="EP70:EP133" si="95">SUMIFS($L$5:$L$76,$H$5:$H$76,"&lt;="&amp;AC70)</f>
        <v>199362</v>
      </c>
      <c r="EQ70" s="26">
        <f t="shared" ref="EQ70:EQ133" si="96">SUMIFS($L$5:$L$76,$H$5:$H$76,"&lt;="&amp;AF70)</f>
        <v>231578</v>
      </c>
    </row>
    <row r="71" spans="2:147">
      <c r="B71" s="27">
        <v>12</v>
      </c>
      <c r="C71" s="27">
        <v>1</v>
      </c>
      <c r="D71" s="27">
        <v>1000</v>
      </c>
      <c r="E71" s="27">
        <f t="shared" ref="E71:E76" si="97">E70+D71</f>
        <v>47000</v>
      </c>
      <c r="F71" s="27">
        <f t="shared" si="86"/>
        <v>47000</v>
      </c>
      <c r="G71" s="27">
        <f>SUM(F$5:F71)</f>
        <v>1328000</v>
      </c>
      <c r="H71" s="27">
        <f t="shared" ref="H71:H76" si="98">H70+1</f>
        <v>67</v>
      </c>
      <c r="I71" s="27" t="s">
        <v>149</v>
      </c>
      <c r="J71" s="27">
        <v>2.5000000000000001E-2</v>
      </c>
      <c r="K71" s="27">
        <f>INDEX(其他调用!$BO$5:$BO$61,MATCH(星阵点亮!I71,其他调用!$BM$5:$BM$61,0))*J71</f>
        <v>21930.629497427974</v>
      </c>
      <c r="L71" s="27">
        <f t="shared" ref="L71:L76" si="99">IF(INT(K71)&lt;=L70,INT(L70+50),INT(K71))</f>
        <v>26222</v>
      </c>
      <c r="Q71" s="26">
        <v>67</v>
      </c>
      <c r="R71" s="26">
        <f>总纲!D71</f>
        <v>102.96830673359811</v>
      </c>
      <c r="S71" s="26">
        <f>求节点(将星点产出!$W$6:$W$44,将星点产出!$AO$6:$AO$44,星阵点亮!$Q71)</f>
        <v>135954.56629879249</v>
      </c>
      <c r="T71" s="26">
        <f t="shared" si="87"/>
        <v>22</v>
      </c>
      <c r="U71" s="26">
        <f>总纲!E71</f>
        <v>89.469161720823394</v>
      </c>
      <c r="V71" s="26">
        <f>求节点(将星点产出!$W$51:$W$89,将星点产出!$AO$51:$AO$89,星阵点亮!$Q71)</f>
        <v>163993.08921475054</v>
      </c>
      <c r="W71" s="26">
        <f t="shared" si="88"/>
        <v>25</v>
      </c>
      <c r="X71" s="26">
        <f>总纲!F71</f>
        <v>73.292840732975137</v>
      </c>
      <c r="Y71" s="26">
        <f>求节点(将星点产出!$W$96:$W$134,将星点产出!$AO$96:$AO$134,星阵点亮!$Q71)</f>
        <v>215286.71036883484</v>
      </c>
      <c r="Z71" s="26">
        <f t="shared" si="89"/>
        <v>28</v>
      </c>
      <c r="AA71" s="26">
        <f>总纲!G71</f>
        <v>53.625894146857902</v>
      </c>
      <c r="AB71" s="26">
        <f>求节点(将星点产出!$W$141:$W$179,将星点产出!$AO$141:$AO$179,星阵点亮!$Q71)</f>
        <v>397436.50976498151</v>
      </c>
      <c r="AC71" s="26">
        <f t="shared" si="90"/>
        <v>39</v>
      </c>
      <c r="AD71" s="26">
        <f>总纲!H71</f>
        <v>29.799027968703292</v>
      </c>
      <c r="AE71" s="26">
        <f>求节点(将星点产出!$W$186:$W$224,将星点产出!$AO$186:$AO$224,星阵点亮!$Q71)</f>
        <v>482971.09664839599</v>
      </c>
      <c r="AF71" s="26">
        <f t="shared" si="91"/>
        <v>43</v>
      </c>
      <c r="AG71" s="26">
        <f t="shared" si="76"/>
        <v>1.5</v>
      </c>
      <c r="AH71" s="26">
        <f t="shared" si="76"/>
        <v>0.6</v>
      </c>
      <c r="AI71" s="26">
        <f t="shared" si="76"/>
        <v>0.6</v>
      </c>
      <c r="AJ71" s="26">
        <f t="shared" si="76"/>
        <v>1.5</v>
      </c>
      <c r="AK71" s="26">
        <f t="shared" si="76"/>
        <v>0</v>
      </c>
      <c r="AL71" s="26">
        <f t="shared" si="76"/>
        <v>0</v>
      </c>
      <c r="AM71" s="26">
        <f t="shared" si="76"/>
        <v>1</v>
      </c>
      <c r="AN71" s="26">
        <f t="shared" si="76"/>
        <v>0.6</v>
      </c>
      <c r="AO71" s="26">
        <f t="shared" si="76"/>
        <v>0.6</v>
      </c>
      <c r="AP71" s="26">
        <f t="shared" si="76"/>
        <v>1</v>
      </c>
      <c r="AQ71" s="26">
        <f t="shared" si="77"/>
        <v>0</v>
      </c>
      <c r="AR71" s="26">
        <f t="shared" si="77"/>
        <v>0</v>
      </c>
      <c r="AS71" s="26">
        <f t="shared" si="77"/>
        <v>0</v>
      </c>
      <c r="AT71" s="26">
        <f t="shared" si="77"/>
        <v>0</v>
      </c>
      <c r="AU71" s="26">
        <f t="shared" si="77"/>
        <v>0</v>
      </c>
      <c r="AV71" s="26">
        <f t="shared" si="77"/>
        <v>0</v>
      </c>
      <c r="AW71" s="26">
        <f t="shared" si="77"/>
        <v>0</v>
      </c>
      <c r="AX71" s="26">
        <f t="shared" si="77"/>
        <v>0</v>
      </c>
      <c r="AY71" s="26">
        <f t="shared" si="77"/>
        <v>0</v>
      </c>
      <c r="AZ71" s="26">
        <f t="shared" si="77"/>
        <v>0</v>
      </c>
      <c r="BA71" s="26">
        <f t="shared" si="77"/>
        <v>0</v>
      </c>
      <c r="BB71" s="26">
        <f t="shared" si="77"/>
        <v>0</v>
      </c>
      <c r="BC71" s="26">
        <f t="shared" si="78"/>
        <v>1.5</v>
      </c>
      <c r="BD71" s="26">
        <f t="shared" si="78"/>
        <v>1</v>
      </c>
      <c r="BE71" s="26">
        <f t="shared" si="78"/>
        <v>0.6</v>
      </c>
      <c r="BF71" s="26">
        <f t="shared" si="78"/>
        <v>1.5</v>
      </c>
      <c r="BG71" s="26">
        <f t="shared" si="78"/>
        <v>0</v>
      </c>
      <c r="BH71" s="26">
        <f t="shared" si="78"/>
        <v>0</v>
      </c>
      <c r="BI71" s="26">
        <f t="shared" si="78"/>
        <v>1</v>
      </c>
      <c r="BJ71" s="26">
        <f t="shared" si="78"/>
        <v>1</v>
      </c>
      <c r="BK71" s="26">
        <f t="shared" si="78"/>
        <v>1</v>
      </c>
      <c r="BL71" s="26">
        <f t="shared" si="78"/>
        <v>1</v>
      </c>
      <c r="BM71" s="26">
        <f t="shared" si="79"/>
        <v>0</v>
      </c>
      <c r="BN71" s="26">
        <f t="shared" si="79"/>
        <v>0</v>
      </c>
      <c r="BO71" s="26">
        <f t="shared" si="79"/>
        <v>0</v>
      </c>
      <c r="BP71" s="26">
        <f t="shared" si="79"/>
        <v>0</v>
      </c>
      <c r="BQ71" s="26">
        <f t="shared" si="79"/>
        <v>0</v>
      </c>
      <c r="BR71" s="26">
        <f t="shared" si="79"/>
        <v>0</v>
      </c>
      <c r="BS71" s="26">
        <f t="shared" si="79"/>
        <v>0</v>
      </c>
      <c r="BT71" s="26">
        <f t="shared" si="79"/>
        <v>0</v>
      </c>
      <c r="BU71" s="26">
        <f t="shared" si="79"/>
        <v>0</v>
      </c>
      <c r="BV71" s="26">
        <f t="shared" si="79"/>
        <v>0</v>
      </c>
      <c r="BW71" s="26">
        <f t="shared" si="79"/>
        <v>0</v>
      </c>
      <c r="BX71" s="26">
        <f t="shared" si="79"/>
        <v>0</v>
      </c>
      <c r="BY71" s="26">
        <f t="shared" si="80"/>
        <v>1.5</v>
      </c>
      <c r="BZ71" s="26">
        <f t="shared" si="80"/>
        <v>1.5</v>
      </c>
      <c r="CA71" s="26">
        <f t="shared" si="80"/>
        <v>1</v>
      </c>
      <c r="CB71" s="26">
        <f t="shared" si="80"/>
        <v>1.5</v>
      </c>
      <c r="CC71" s="26">
        <f t="shared" si="80"/>
        <v>0.3</v>
      </c>
      <c r="CD71" s="26">
        <f t="shared" si="80"/>
        <v>0</v>
      </c>
      <c r="CE71" s="26">
        <f t="shared" si="80"/>
        <v>1</v>
      </c>
      <c r="CF71" s="26">
        <f t="shared" si="80"/>
        <v>1</v>
      </c>
      <c r="CG71" s="26">
        <f t="shared" si="80"/>
        <v>1</v>
      </c>
      <c r="CH71" s="26">
        <f t="shared" si="80"/>
        <v>1</v>
      </c>
      <c r="CI71" s="26">
        <f t="shared" si="81"/>
        <v>0</v>
      </c>
      <c r="CJ71" s="26">
        <f t="shared" si="81"/>
        <v>0</v>
      </c>
      <c r="CK71" s="26">
        <f t="shared" si="81"/>
        <v>0</v>
      </c>
      <c r="CL71" s="26">
        <f t="shared" si="81"/>
        <v>0</v>
      </c>
      <c r="CM71" s="26">
        <f t="shared" si="81"/>
        <v>0</v>
      </c>
      <c r="CN71" s="26">
        <f t="shared" si="81"/>
        <v>0</v>
      </c>
      <c r="CO71" s="26">
        <f t="shared" si="81"/>
        <v>0</v>
      </c>
      <c r="CP71" s="26">
        <f t="shared" si="81"/>
        <v>0</v>
      </c>
      <c r="CQ71" s="26">
        <f t="shared" si="81"/>
        <v>0</v>
      </c>
      <c r="CR71" s="26">
        <f t="shared" si="81"/>
        <v>0</v>
      </c>
      <c r="CS71" s="26">
        <f t="shared" si="81"/>
        <v>0</v>
      </c>
      <c r="CT71" s="26">
        <f t="shared" si="81"/>
        <v>0</v>
      </c>
      <c r="CU71" s="26">
        <f t="shared" si="82"/>
        <v>1.5</v>
      </c>
      <c r="CV71" s="26">
        <f t="shared" si="82"/>
        <v>1.5</v>
      </c>
      <c r="CW71" s="26">
        <f t="shared" si="82"/>
        <v>1.5</v>
      </c>
      <c r="CX71" s="26">
        <f t="shared" si="82"/>
        <v>1.5</v>
      </c>
      <c r="CY71" s="26">
        <f t="shared" si="82"/>
        <v>1.5</v>
      </c>
      <c r="CZ71" s="26">
        <f t="shared" si="82"/>
        <v>0</v>
      </c>
      <c r="DA71" s="26">
        <f t="shared" si="82"/>
        <v>1</v>
      </c>
      <c r="DB71" s="26">
        <f t="shared" si="82"/>
        <v>1</v>
      </c>
      <c r="DC71" s="26">
        <f t="shared" si="82"/>
        <v>1</v>
      </c>
      <c r="DD71" s="26">
        <f t="shared" si="82"/>
        <v>1</v>
      </c>
      <c r="DE71" s="26">
        <f t="shared" si="83"/>
        <v>0</v>
      </c>
      <c r="DF71" s="26">
        <f t="shared" si="83"/>
        <v>0.2</v>
      </c>
      <c r="DG71" s="26">
        <f t="shared" si="83"/>
        <v>0.2</v>
      </c>
      <c r="DH71" s="26">
        <f t="shared" si="83"/>
        <v>0.1</v>
      </c>
      <c r="DI71" s="26">
        <f t="shared" si="83"/>
        <v>0.1</v>
      </c>
      <c r="DJ71" s="26">
        <f t="shared" si="83"/>
        <v>0.1</v>
      </c>
      <c r="DK71" s="26">
        <f t="shared" si="83"/>
        <v>0</v>
      </c>
      <c r="DL71" s="26">
        <f t="shared" si="83"/>
        <v>0</v>
      </c>
      <c r="DM71" s="26">
        <f t="shared" si="83"/>
        <v>0</v>
      </c>
      <c r="DN71" s="26">
        <f t="shared" si="83"/>
        <v>0</v>
      </c>
      <c r="DO71" s="26">
        <f t="shared" si="83"/>
        <v>0</v>
      </c>
      <c r="DP71" s="26">
        <f t="shared" si="83"/>
        <v>0</v>
      </c>
      <c r="DQ71" s="26">
        <f t="shared" si="84"/>
        <v>1.5</v>
      </c>
      <c r="DR71" s="26">
        <f t="shared" si="84"/>
        <v>1.5</v>
      </c>
      <c r="DS71" s="26">
        <f t="shared" si="84"/>
        <v>1.5</v>
      </c>
      <c r="DT71" s="26">
        <f t="shared" si="84"/>
        <v>1.5</v>
      </c>
      <c r="DU71" s="26">
        <f t="shared" si="84"/>
        <v>1.5</v>
      </c>
      <c r="DV71" s="26">
        <f t="shared" si="84"/>
        <v>0</v>
      </c>
      <c r="DW71" s="26">
        <f t="shared" si="84"/>
        <v>1</v>
      </c>
      <c r="DX71" s="26">
        <f t="shared" si="84"/>
        <v>1</v>
      </c>
      <c r="DY71" s="26">
        <f t="shared" si="84"/>
        <v>1</v>
      </c>
      <c r="DZ71" s="26">
        <f t="shared" si="84"/>
        <v>1</v>
      </c>
      <c r="EA71" s="26">
        <f t="shared" si="85"/>
        <v>0.3</v>
      </c>
      <c r="EB71" s="26">
        <f t="shared" si="85"/>
        <v>0.2</v>
      </c>
      <c r="EC71" s="26">
        <f t="shared" si="85"/>
        <v>0.2</v>
      </c>
      <c r="ED71" s="26">
        <f t="shared" si="85"/>
        <v>0.2</v>
      </c>
      <c r="EE71" s="26">
        <f t="shared" si="85"/>
        <v>0.2</v>
      </c>
      <c r="EF71" s="26">
        <f t="shared" si="85"/>
        <v>0.2</v>
      </c>
      <c r="EG71" s="26">
        <f t="shared" si="85"/>
        <v>0</v>
      </c>
      <c r="EH71" s="26">
        <f t="shared" si="85"/>
        <v>0</v>
      </c>
      <c r="EI71" s="26">
        <f t="shared" si="85"/>
        <v>0</v>
      </c>
      <c r="EJ71" s="26">
        <f t="shared" si="85"/>
        <v>0</v>
      </c>
      <c r="EK71" s="26">
        <f t="shared" si="85"/>
        <v>0</v>
      </c>
      <c r="EL71" s="26">
        <f t="shared" si="85"/>
        <v>0</v>
      </c>
      <c r="EM71" s="26">
        <f t="shared" si="92"/>
        <v>89990</v>
      </c>
      <c r="EN71" s="26">
        <f t="shared" si="93"/>
        <v>107149</v>
      </c>
      <c r="EO71" s="26">
        <f t="shared" si="94"/>
        <v>125481</v>
      </c>
      <c r="EP71" s="26">
        <f t="shared" si="95"/>
        <v>207341</v>
      </c>
      <c r="EQ71" s="26">
        <f t="shared" si="96"/>
        <v>239757</v>
      </c>
    </row>
    <row r="72" spans="2:147">
      <c r="B72" s="27">
        <v>12</v>
      </c>
      <c r="C72" s="27">
        <v>2</v>
      </c>
      <c r="D72" s="27">
        <v>1000</v>
      </c>
      <c r="E72" s="27">
        <f t="shared" si="97"/>
        <v>48000</v>
      </c>
      <c r="F72" s="27">
        <f t="shared" si="86"/>
        <v>48000</v>
      </c>
      <c r="G72" s="27">
        <f>SUM(F$5:F72)</f>
        <v>1376000</v>
      </c>
      <c r="H72" s="27">
        <f t="shared" si="98"/>
        <v>68</v>
      </c>
      <c r="I72" s="27" t="s">
        <v>150</v>
      </c>
      <c r="J72" s="27">
        <v>2.5000000000000001E-2</v>
      </c>
      <c r="K72" s="27">
        <f>INDEX(其他调用!$BO$5:$BO$61,MATCH(星阵点亮!I72,其他调用!$BM$5:$BM$61,0))*J72</f>
        <v>25672.805927841328</v>
      </c>
      <c r="L72" s="27">
        <f t="shared" si="99"/>
        <v>26272</v>
      </c>
      <c r="Q72" s="26">
        <v>68</v>
      </c>
      <c r="R72" s="26">
        <f>总纲!D72</f>
        <v>110.43047210190386</v>
      </c>
      <c r="S72" s="26">
        <f>求节点(将星点产出!$W$6:$W$44,将星点产出!$AO$6:$AO$44,星阵点亮!$Q72)</f>
        <v>141447.65850097773</v>
      </c>
      <c r="T72" s="26">
        <f t="shared" si="87"/>
        <v>23</v>
      </c>
      <c r="U72" s="26">
        <f>总纲!E72</f>
        <v>95.831563690032169</v>
      </c>
      <c r="V72" s="26">
        <f>求节点(将星点产出!$W$51:$W$89,将星点产出!$AO$51:$AO$89,星阵点亮!$Q72)</f>
        <v>171061.6591729616</v>
      </c>
      <c r="W72" s="26">
        <f t="shared" si="88"/>
        <v>25</v>
      </c>
      <c r="X72" s="26">
        <f>总纲!F72</f>
        <v>78.251032531409081</v>
      </c>
      <c r="Y72" s="26">
        <f>求节点(将星点产出!$W$96:$W$134,将星点产出!$AO$96:$AO$134,星阵点亮!$Q72)</f>
        <v>226437.71187819252</v>
      </c>
      <c r="Z72" s="26">
        <f t="shared" si="89"/>
        <v>29</v>
      </c>
      <c r="AA72" s="26">
        <f>总纲!G72</f>
        <v>57.412802445779818</v>
      </c>
      <c r="AB72" s="26">
        <f>求节点(将星点产出!$W$141:$W$179,将星点产出!$AO$141:$AO$179,星阵点亮!$Q72)</f>
        <v>411856.99816356646</v>
      </c>
      <c r="AC72" s="26">
        <f t="shared" si="90"/>
        <v>40</v>
      </c>
      <c r="AD72" s="26">
        <f>总纲!H72</f>
        <v>31.859191201399263</v>
      </c>
      <c r="AE72" s="26">
        <f>求节点(将星点产出!$W$186:$W$224,将星点产出!$AO$186:$AO$224,星阵点亮!$Q72)</f>
        <v>498272.97834209137</v>
      </c>
      <c r="AF72" s="26">
        <f t="shared" si="91"/>
        <v>43</v>
      </c>
      <c r="AG72" s="26">
        <f t="shared" si="76"/>
        <v>1.5</v>
      </c>
      <c r="AH72" s="26">
        <f t="shared" si="76"/>
        <v>0.6</v>
      </c>
      <c r="AI72" s="26">
        <f t="shared" si="76"/>
        <v>0.6</v>
      </c>
      <c r="AJ72" s="26">
        <f t="shared" si="76"/>
        <v>1.5</v>
      </c>
      <c r="AK72" s="26">
        <f t="shared" si="76"/>
        <v>0</v>
      </c>
      <c r="AL72" s="26">
        <f t="shared" si="76"/>
        <v>0</v>
      </c>
      <c r="AM72" s="26">
        <f t="shared" si="76"/>
        <v>1</v>
      </c>
      <c r="AN72" s="26">
        <f t="shared" si="76"/>
        <v>1</v>
      </c>
      <c r="AO72" s="26">
        <f t="shared" si="76"/>
        <v>0.6</v>
      </c>
      <c r="AP72" s="26">
        <f t="shared" si="76"/>
        <v>1</v>
      </c>
      <c r="AQ72" s="26">
        <f t="shared" si="77"/>
        <v>0</v>
      </c>
      <c r="AR72" s="26">
        <f t="shared" si="77"/>
        <v>0</v>
      </c>
      <c r="AS72" s="26">
        <f t="shared" si="77"/>
        <v>0</v>
      </c>
      <c r="AT72" s="26">
        <f t="shared" si="77"/>
        <v>0</v>
      </c>
      <c r="AU72" s="26">
        <f t="shared" si="77"/>
        <v>0</v>
      </c>
      <c r="AV72" s="26">
        <f t="shared" si="77"/>
        <v>0</v>
      </c>
      <c r="AW72" s="26">
        <f t="shared" si="77"/>
        <v>0</v>
      </c>
      <c r="AX72" s="26">
        <f t="shared" si="77"/>
        <v>0</v>
      </c>
      <c r="AY72" s="26">
        <f t="shared" si="77"/>
        <v>0</v>
      </c>
      <c r="AZ72" s="26">
        <f t="shared" si="77"/>
        <v>0</v>
      </c>
      <c r="BA72" s="26">
        <f t="shared" si="77"/>
        <v>0</v>
      </c>
      <c r="BB72" s="26">
        <f t="shared" si="77"/>
        <v>0</v>
      </c>
      <c r="BC72" s="26">
        <f t="shared" si="78"/>
        <v>1.5</v>
      </c>
      <c r="BD72" s="26">
        <f t="shared" si="78"/>
        <v>1</v>
      </c>
      <c r="BE72" s="26">
        <f t="shared" si="78"/>
        <v>0.6</v>
      </c>
      <c r="BF72" s="26">
        <f t="shared" si="78"/>
        <v>1.5</v>
      </c>
      <c r="BG72" s="26">
        <f t="shared" si="78"/>
        <v>0</v>
      </c>
      <c r="BH72" s="26">
        <f t="shared" si="78"/>
        <v>0</v>
      </c>
      <c r="BI72" s="26">
        <f t="shared" si="78"/>
        <v>1</v>
      </c>
      <c r="BJ72" s="26">
        <f t="shared" si="78"/>
        <v>1</v>
      </c>
      <c r="BK72" s="26">
        <f t="shared" si="78"/>
        <v>1</v>
      </c>
      <c r="BL72" s="26">
        <f t="shared" si="78"/>
        <v>1</v>
      </c>
      <c r="BM72" s="26">
        <f t="shared" si="79"/>
        <v>0</v>
      </c>
      <c r="BN72" s="26">
        <f t="shared" si="79"/>
        <v>0</v>
      </c>
      <c r="BO72" s="26">
        <f t="shared" si="79"/>
        <v>0</v>
      </c>
      <c r="BP72" s="26">
        <f t="shared" si="79"/>
        <v>0</v>
      </c>
      <c r="BQ72" s="26">
        <f t="shared" si="79"/>
        <v>0</v>
      </c>
      <c r="BR72" s="26">
        <f t="shared" si="79"/>
        <v>0</v>
      </c>
      <c r="BS72" s="26">
        <f t="shared" si="79"/>
        <v>0</v>
      </c>
      <c r="BT72" s="26">
        <f t="shared" si="79"/>
        <v>0</v>
      </c>
      <c r="BU72" s="26">
        <f t="shared" si="79"/>
        <v>0</v>
      </c>
      <c r="BV72" s="26">
        <f t="shared" si="79"/>
        <v>0</v>
      </c>
      <c r="BW72" s="26">
        <f t="shared" si="79"/>
        <v>0</v>
      </c>
      <c r="BX72" s="26">
        <f t="shared" si="79"/>
        <v>0</v>
      </c>
      <c r="BY72" s="26">
        <f t="shared" si="80"/>
        <v>1.5</v>
      </c>
      <c r="BZ72" s="26">
        <f t="shared" si="80"/>
        <v>1.5</v>
      </c>
      <c r="CA72" s="26">
        <f t="shared" si="80"/>
        <v>1.5</v>
      </c>
      <c r="CB72" s="26">
        <f t="shared" si="80"/>
        <v>1.5</v>
      </c>
      <c r="CC72" s="26">
        <f t="shared" si="80"/>
        <v>0.3</v>
      </c>
      <c r="CD72" s="26">
        <f t="shared" si="80"/>
        <v>0</v>
      </c>
      <c r="CE72" s="26">
        <f t="shared" si="80"/>
        <v>1</v>
      </c>
      <c r="CF72" s="26">
        <f t="shared" si="80"/>
        <v>1</v>
      </c>
      <c r="CG72" s="26">
        <f t="shared" si="80"/>
        <v>1</v>
      </c>
      <c r="CH72" s="26">
        <f t="shared" si="80"/>
        <v>1</v>
      </c>
      <c r="CI72" s="26">
        <f t="shared" si="81"/>
        <v>0</v>
      </c>
      <c r="CJ72" s="26">
        <f t="shared" si="81"/>
        <v>0</v>
      </c>
      <c r="CK72" s="26">
        <f t="shared" si="81"/>
        <v>0</v>
      </c>
      <c r="CL72" s="26">
        <f t="shared" si="81"/>
        <v>0</v>
      </c>
      <c r="CM72" s="26">
        <f t="shared" si="81"/>
        <v>0</v>
      </c>
      <c r="CN72" s="26">
        <f t="shared" si="81"/>
        <v>0</v>
      </c>
      <c r="CO72" s="26">
        <f t="shared" si="81"/>
        <v>0</v>
      </c>
      <c r="CP72" s="26">
        <f t="shared" si="81"/>
        <v>0</v>
      </c>
      <c r="CQ72" s="26">
        <f t="shared" si="81"/>
        <v>0</v>
      </c>
      <c r="CR72" s="26">
        <f t="shared" si="81"/>
        <v>0</v>
      </c>
      <c r="CS72" s="26">
        <f t="shared" si="81"/>
        <v>0</v>
      </c>
      <c r="CT72" s="26">
        <f t="shared" si="81"/>
        <v>0</v>
      </c>
      <c r="CU72" s="26">
        <f t="shared" si="82"/>
        <v>1.5</v>
      </c>
      <c r="CV72" s="26">
        <f t="shared" si="82"/>
        <v>1.5</v>
      </c>
      <c r="CW72" s="26">
        <f t="shared" si="82"/>
        <v>1.5</v>
      </c>
      <c r="CX72" s="26">
        <f t="shared" si="82"/>
        <v>1.5</v>
      </c>
      <c r="CY72" s="26">
        <f t="shared" si="82"/>
        <v>1.5</v>
      </c>
      <c r="CZ72" s="26">
        <f t="shared" si="82"/>
        <v>0</v>
      </c>
      <c r="DA72" s="26">
        <f t="shared" si="82"/>
        <v>1</v>
      </c>
      <c r="DB72" s="26">
        <f t="shared" si="82"/>
        <v>1</v>
      </c>
      <c r="DC72" s="26">
        <f t="shared" si="82"/>
        <v>1</v>
      </c>
      <c r="DD72" s="26">
        <f t="shared" si="82"/>
        <v>1</v>
      </c>
      <c r="DE72" s="26">
        <f t="shared" si="83"/>
        <v>0</v>
      </c>
      <c r="DF72" s="26">
        <f t="shared" si="83"/>
        <v>0.2</v>
      </c>
      <c r="DG72" s="26">
        <f t="shared" si="83"/>
        <v>0.2</v>
      </c>
      <c r="DH72" s="26">
        <f t="shared" si="83"/>
        <v>0.2</v>
      </c>
      <c r="DI72" s="26">
        <f t="shared" si="83"/>
        <v>0.1</v>
      </c>
      <c r="DJ72" s="26">
        <f t="shared" si="83"/>
        <v>0.1</v>
      </c>
      <c r="DK72" s="26">
        <f t="shared" si="83"/>
        <v>0</v>
      </c>
      <c r="DL72" s="26">
        <f t="shared" si="83"/>
        <v>0</v>
      </c>
      <c r="DM72" s="26">
        <f t="shared" si="83"/>
        <v>0</v>
      </c>
      <c r="DN72" s="26">
        <f t="shared" si="83"/>
        <v>0</v>
      </c>
      <c r="DO72" s="26">
        <f t="shared" si="83"/>
        <v>0</v>
      </c>
      <c r="DP72" s="26">
        <f t="shared" si="83"/>
        <v>0</v>
      </c>
      <c r="DQ72" s="26">
        <f t="shared" si="84"/>
        <v>1.5</v>
      </c>
      <c r="DR72" s="26">
        <f t="shared" si="84"/>
        <v>1.5</v>
      </c>
      <c r="DS72" s="26">
        <f t="shared" si="84"/>
        <v>1.5</v>
      </c>
      <c r="DT72" s="26">
        <f t="shared" si="84"/>
        <v>1.5</v>
      </c>
      <c r="DU72" s="26">
        <f t="shared" si="84"/>
        <v>1.5</v>
      </c>
      <c r="DV72" s="26">
        <f t="shared" si="84"/>
        <v>0</v>
      </c>
      <c r="DW72" s="26">
        <f t="shared" si="84"/>
        <v>1</v>
      </c>
      <c r="DX72" s="26">
        <f t="shared" si="84"/>
        <v>1</v>
      </c>
      <c r="DY72" s="26">
        <f t="shared" si="84"/>
        <v>1</v>
      </c>
      <c r="DZ72" s="26">
        <f t="shared" si="84"/>
        <v>1</v>
      </c>
      <c r="EA72" s="26">
        <f t="shared" si="85"/>
        <v>0.3</v>
      </c>
      <c r="EB72" s="26">
        <f t="shared" si="85"/>
        <v>0.2</v>
      </c>
      <c r="EC72" s="26">
        <f t="shared" si="85"/>
        <v>0.2</v>
      </c>
      <c r="ED72" s="26">
        <f t="shared" si="85"/>
        <v>0.2</v>
      </c>
      <c r="EE72" s="26">
        <f t="shared" si="85"/>
        <v>0.2</v>
      </c>
      <c r="EF72" s="26">
        <f t="shared" si="85"/>
        <v>0.2</v>
      </c>
      <c r="EG72" s="26">
        <f t="shared" si="85"/>
        <v>0</v>
      </c>
      <c r="EH72" s="26">
        <f t="shared" si="85"/>
        <v>0</v>
      </c>
      <c r="EI72" s="26">
        <f t="shared" si="85"/>
        <v>0</v>
      </c>
      <c r="EJ72" s="26">
        <f t="shared" si="85"/>
        <v>0</v>
      </c>
      <c r="EK72" s="26">
        <f t="shared" si="85"/>
        <v>0</v>
      </c>
      <c r="EL72" s="26">
        <f t="shared" si="85"/>
        <v>0</v>
      </c>
      <c r="EM72" s="26">
        <f t="shared" si="92"/>
        <v>95579</v>
      </c>
      <c r="EN72" s="26">
        <f t="shared" si="93"/>
        <v>107149</v>
      </c>
      <c r="EO72" s="26">
        <f t="shared" si="94"/>
        <v>131852</v>
      </c>
      <c r="EP72" s="26">
        <f t="shared" si="95"/>
        <v>215370</v>
      </c>
      <c r="EQ72" s="26">
        <f t="shared" si="96"/>
        <v>239757</v>
      </c>
    </row>
    <row r="73" spans="2:147">
      <c r="B73" s="27">
        <v>12</v>
      </c>
      <c r="C73" s="27">
        <v>3</v>
      </c>
      <c r="D73" s="27">
        <v>1000</v>
      </c>
      <c r="E73" s="27">
        <f t="shared" si="97"/>
        <v>49000</v>
      </c>
      <c r="F73" s="27">
        <f t="shared" si="86"/>
        <v>49000</v>
      </c>
      <c r="G73" s="27">
        <f>SUM(F$5:F73)</f>
        <v>1425000</v>
      </c>
      <c r="H73" s="27">
        <f t="shared" si="98"/>
        <v>69</v>
      </c>
      <c r="I73" s="27" t="s">
        <v>151</v>
      </c>
      <c r="J73" s="27">
        <v>2.5000000000000001E-2</v>
      </c>
      <c r="K73" s="27">
        <f>INDEX(其他调用!$BO$5:$BO$61,MATCH(星阵点亮!I73,其他调用!$BM$5:$BM$61,0))*J73</f>
        <v>25672.805927841328</v>
      </c>
      <c r="L73" s="27">
        <f t="shared" si="99"/>
        <v>26322</v>
      </c>
      <c r="Q73" s="26">
        <v>69</v>
      </c>
      <c r="R73" s="26">
        <f>总纲!D73</f>
        <v>118.42822291671132</v>
      </c>
      <c r="S73" s="26">
        <f>求节点(将星点产出!$W$6:$W$44,将星点产出!$AO$6:$AO$44,星阵点亮!$Q73)</f>
        <v>146940.75070316298</v>
      </c>
      <c r="T73" s="26">
        <f t="shared" si="87"/>
        <v>23</v>
      </c>
      <c r="U73" s="26">
        <f>总纲!E73</f>
        <v>102.51146975670532</v>
      </c>
      <c r="V73" s="26">
        <f>求节点(将星点产出!$W$51:$W$89,将星点产出!$AO$51:$AO$89,星阵点亮!$Q73)</f>
        <v>178316.71623909252</v>
      </c>
      <c r="W73" s="26">
        <f t="shared" si="88"/>
        <v>26</v>
      </c>
      <c r="X73" s="26">
        <f>总纲!F73</f>
        <v>83.894553114198303</v>
      </c>
      <c r="Y73" s="26">
        <f>求节点(将星点产出!$W$96:$W$134,将星点产出!$AO$96:$AO$134,星阵点亮!$Q73)</f>
        <v>237588.7133875502</v>
      </c>
      <c r="Z73" s="26">
        <f t="shared" si="89"/>
        <v>30</v>
      </c>
      <c r="AA73" s="26">
        <f>总纲!G73</f>
        <v>61.535304627523196</v>
      </c>
      <c r="AB73" s="26">
        <f>求节点(将星点产出!$W$141:$W$179,将星点产出!$AO$141:$AO$179,星阵点亮!$Q73)</f>
        <v>425010.52496778301</v>
      </c>
      <c r="AC73" s="26">
        <f t="shared" si="90"/>
        <v>40</v>
      </c>
      <c r="AD73" s="26">
        <f>总纲!H73</f>
        <v>34.059956910846175</v>
      </c>
      <c r="AE73" s="26">
        <f>求节点(将星点产出!$W$186:$W$224,将星点产出!$AO$186:$AO$224,星阵点亮!$Q73)</f>
        <v>514742.85506132164</v>
      </c>
      <c r="AF73" s="26">
        <f t="shared" si="91"/>
        <v>44</v>
      </c>
      <c r="AG73" s="26">
        <f t="shared" si="76"/>
        <v>1.5</v>
      </c>
      <c r="AH73" s="26">
        <f t="shared" si="76"/>
        <v>0.6</v>
      </c>
      <c r="AI73" s="26">
        <f t="shared" si="76"/>
        <v>0.6</v>
      </c>
      <c r="AJ73" s="26">
        <f t="shared" si="76"/>
        <v>1.5</v>
      </c>
      <c r="AK73" s="26">
        <f t="shared" si="76"/>
        <v>0</v>
      </c>
      <c r="AL73" s="26">
        <f t="shared" si="76"/>
        <v>0</v>
      </c>
      <c r="AM73" s="26">
        <f t="shared" si="76"/>
        <v>1</v>
      </c>
      <c r="AN73" s="26">
        <f t="shared" si="76"/>
        <v>1</v>
      </c>
      <c r="AO73" s="26">
        <f t="shared" si="76"/>
        <v>0.6</v>
      </c>
      <c r="AP73" s="26">
        <f t="shared" si="76"/>
        <v>1</v>
      </c>
      <c r="AQ73" s="26">
        <f t="shared" si="77"/>
        <v>0</v>
      </c>
      <c r="AR73" s="26">
        <f t="shared" si="77"/>
        <v>0</v>
      </c>
      <c r="AS73" s="26">
        <f t="shared" si="77"/>
        <v>0</v>
      </c>
      <c r="AT73" s="26">
        <f t="shared" si="77"/>
        <v>0</v>
      </c>
      <c r="AU73" s="26">
        <f t="shared" si="77"/>
        <v>0</v>
      </c>
      <c r="AV73" s="26">
        <f t="shared" si="77"/>
        <v>0</v>
      </c>
      <c r="AW73" s="26">
        <f t="shared" si="77"/>
        <v>0</v>
      </c>
      <c r="AX73" s="26">
        <f t="shared" si="77"/>
        <v>0</v>
      </c>
      <c r="AY73" s="26">
        <f t="shared" si="77"/>
        <v>0</v>
      </c>
      <c r="AZ73" s="26">
        <f t="shared" si="77"/>
        <v>0</v>
      </c>
      <c r="BA73" s="26">
        <f t="shared" si="77"/>
        <v>0</v>
      </c>
      <c r="BB73" s="26">
        <f t="shared" si="77"/>
        <v>0</v>
      </c>
      <c r="BC73" s="26">
        <f t="shared" si="78"/>
        <v>1.5</v>
      </c>
      <c r="BD73" s="26">
        <f t="shared" si="78"/>
        <v>1</v>
      </c>
      <c r="BE73" s="26">
        <f t="shared" si="78"/>
        <v>1</v>
      </c>
      <c r="BF73" s="26">
        <f t="shared" si="78"/>
        <v>1.5</v>
      </c>
      <c r="BG73" s="26">
        <f t="shared" si="78"/>
        <v>0</v>
      </c>
      <c r="BH73" s="26">
        <f t="shared" si="78"/>
        <v>0</v>
      </c>
      <c r="BI73" s="26">
        <f t="shared" si="78"/>
        <v>1</v>
      </c>
      <c r="BJ73" s="26">
        <f t="shared" si="78"/>
        <v>1</v>
      </c>
      <c r="BK73" s="26">
        <f t="shared" si="78"/>
        <v>1</v>
      </c>
      <c r="BL73" s="26">
        <f t="shared" si="78"/>
        <v>1</v>
      </c>
      <c r="BM73" s="26">
        <f t="shared" si="79"/>
        <v>0</v>
      </c>
      <c r="BN73" s="26">
        <f t="shared" si="79"/>
        <v>0</v>
      </c>
      <c r="BO73" s="26">
        <f t="shared" si="79"/>
        <v>0</v>
      </c>
      <c r="BP73" s="26">
        <f t="shared" si="79"/>
        <v>0</v>
      </c>
      <c r="BQ73" s="26">
        <f t="shared" si="79"/>
        <v>0</v>
      </c>
      <c r="BR73" s="26">
        <f t="shared" si="79"/>
        <v>0</v>
      </c>
      <c r="BS73" s="26">
        <f t="shared" si="79"/>
        <v>0</v>
      </c>
      <c r="BT73" s="26">
        <f t="shared" si="79"/>
        <v>0</v>
      </c>
      <c r="BU73" s="26">
        <f t="shared" si="79"/>
        <v>0</v>
      </c>
      <c r="BV73" s="26">
        <f t="shared" si="79"/>
        <v>0</v>
      </c>
      <c r="BW73" s="26">
        <f t="shared" si="79"/>
        <v>0</v>
      </c>
      <c r="BX73" s="26">
        <f t="shared" si="79"/>
        <v>0</v>
      </c>
      <c r="BY73" s="26">
        <f t="shared" si="80"/>
        <v>1.5</v>
      </c>
      <c r="BZ73" s="26">
        <f t="shared" si="80"/>
        <v>1.5</v>
      </c>
      <c r="CA73" s="26">
        <f t="shared" si="80"/>
        <v>1.5</v>
      </c>
      <c r="CB73" s="26">
        <f t="shared" si="80"/>
        <v>1.5</v>
      </c>
      <c r="CC73" s="26">
        <f t="shared" si="80"/>
        <v>0.6</v>
      </c>
      <c r="CD73" s="26">
        <f t="shared" si="80"/>
        <v>0</v>
      </c>
      <c r="CE73" s="26">
        <f t="shared" si="80"/>
        <v>1</v>
      </c>
      <c r="CF73" s="26">
        <f t="shared" si="80"/>
        <v>1</v>
      </c>
      <c r="CG73" s="26">
        <f t="shared" si="80"/>
        <v>1</v>
      </c>
      <c r="CH73" s="26">
        <f t="shared" si="80"/>
        <v>1</v>
      </c>
      <c r="CI73" s="26">
        <f t="shared" si="81"/>
        <v>0</v>
      </c>
      <c r="CJ73" s="26">
        <f t="shared" si="81"/>
        <v>0</v>
      </c>
      <c r="CK73" s="26">
        <f t="shared" si="81"/>
        <v>0</v>
      </c>
      <c r="CL73" s="26">
        <f t="shared" si="81"/>
        <v>0</v>
      </c>
      <c r="CM73" s="26">
        <f t="shared" si="81"/>
        <v>0</v>
      </c>
      <c r="CN73" s="26">
        <f t="shared" si="81"/>
        <v>0</v>
      </c>
      <c r="CO73" s="26">
        <f t="shared" si="81"/>
        <v>0</v>
      </c>
      <c r="CP73" s="26">
        <f t="shared" si="81"/>
        <v>0</v>
      </c>
      <c r="CQ73" s="26">
        <f t="shared" si="81"/>
        <v>0</v>
      </c>
      <c r="CR73" s="26">
        <f t="shared" si="81"/>
        <v>0</v>
      </c>
      <c r="CS73" s="26">
        <f t="shared" si="81"/>
        <v>0</v>
      </c>
      <c r="CT73" s="26">
        <f t="shared" si="81"/>
        <v>0</v>
      </c>
      <c r="CU73" s="26">
        <f t="shared" si="82"/>
        <v>1.5</v>
      </c>
      <c r="CV73" s="26">
        <f t="shared" si="82"/>
        <v>1.5</v>
      </c>
      <c r="CW73" s="26">
        <f t="shared" si="82"/>
        <v>1.5</v>
      </c>
      <c r="CX73" s="26">
        <f t="shared" si="82"/>
        <v>1.5</v>
      </c>
      <c r="CY73" s="26">
        <f t="shared" si="82"/>
        <v>1.5</v>
      </c>
      <c r="CZ73" s="26">
        <f t="shared" si="82"/>
        <v>0</v>
      </c>
      <c r="DA73" s="26">
        <f t="shared" si="82"/>
        <v>1</v>
      </c>
      <c r="DB73" s="26">
        <f t="shared" si="82"/>
        <v>1</v>
      </c>
      <c r="DC73" s="26">
        <f t="shared" si="82"/>
        <v>1</v>
      </c>
      <c r="DD73" s="26">
        <f t="shared" si="82"/>
        <v>1</v>
      </c>
      <c r="DE73" s="26">
        <f t="shared" si="83"/>
        <v>0</v>
      </c>
      <c r="DF73" s="26">
        <f t="shared" si="83"/>
        <v>0.2</v>
      </c>
      <c r="DG73" s="26">
        <f t="shared" si="83"/>
        <v>0.2</v>
      </c>
      <c r="DH73" s="26">
        <f t="shared" si="83"/>
        <v>0.2</v>
      </c>
      <c r="DI73" s="26">
        <f t="shared" si="83"/>
        <v>0.1</v>
      </c>
      <c r="DJ73" s="26">
        <f t="shared" si="83"/>
        <v>0.1</v>
      </c>
      <c r="DK73" s="26">
        <f t="shared" si="83"/>
        <v>0</v>
      </c>
      <c r="DL73" s="26">
        <f t="shared" si="83"/>
        <v>0</v>
      </c>
      <c r="DM73" s="26">
        <f t="shared" si="83"/>
        <v>0</v>
      </c>
      <c r="DN73" s="26">
        <f t="shared" si="83"/>
        <v>0</v>
      </c>
      <c r="DO73" s="26">
        <f t="shared" si="83"/>
        <v>0</v>
      </c>
      <c r="DP73" s="26">
        <f t="shared" si="83"/>
        <v>0</v>
      </c>
      <c r="DQ73" s="26">
        <f t="shared" si="84"/>
        <v>1.5</v>
      </c>
      <c r="DR73" s="26">
        <f t="shared" si="84"/>
        <v>1.5</v>
      </c>
      <c r="DS73" s="26">
        <f t="shared" si="84"/>
        <v>1.5</v>
      </c>
      <c r="DT73" s="26">
        <f t="shared" si="84"/>
        <v>1.5</v>
      </c>
      <c r="DU73" s="26">
        <f t="shared" si="84"/>
        <v>1.5</v>
      </c>
      <c r="DV73" s="26">
        <f t="shared" si="84"/>
        <v>0</v>
      </c>
      <c r="DW73" s="26">
        <f t="shared" si="84"/>
        <v>1</v>
      </c>
      <c r="DX73" s="26">
        <f t="shared" si="84"/>
        <v>1</v>
      </c>
      <c r="DY73" s="26">
        <f t="shared" si="84"/>
        <v>1</v>
      </c>
      <c r="DZ73" s="26">
        <f t="shared" si="84"/>
        <v>1</v>
      </c>
      <c r="EA73" s="26">
        <f t="shared" si="85"/>
        <v>0.3</v>
      </c>
      <c r="EB73" s="26">
        <f t="shared" si="85"/>
        <v>0.2</v>
      </c>
      <c r="EC73" s="26">
        <f t="shared" si="85"/>
        <v>0.2</v>
      </c>
      <c r="ED73" s="26">
        <f t="shared" si="85"/>
        <v>0.2</v>
      </c>
      <c r="EE73" s="26">
        <f t="shared" si="85"/>
        <v>0.2</v>
      </c>
      <c r="EF73" s="26">
        <f t="shared" si="85"/>
        <v>0.2</v>
      </c>
      <c r="EG73" s="26">
        <f t="shared" si="85"/>
        <v>0.03</v>
      </c>
      <c r="EH73" s="26">
        <f t="shared" si="85"/>
        <v>0</v>
      </c>
      <c r="EI73" s="26">
        <f t="shared" si="85"/>
        <v>0</v>
      </c>
      <c r="EJ73" s="26">
        <f t="shared" si="85"/>
        <v>0</v>
      </c>
      <c r="EK73" s="26">
        <f t="shared" si="85"/>
        <v>0</v>
      </c>
      <c r="EL73" s="26">
        <f t="shared" si="85"/>
        <v>0</v>
      </c>
      <c r="EM73" s="26">
        <f t="shared" si="92"/>
        <v>95579</v>
      </c>
      <c r="EN73" s="26">
        <f t="shared" si="93"/>
        <v>113129</v>
      </c>
      <c r="EO73" s="26">
        <f t="shared" si="94"/>
        <v>138354</v>
      </c>
      <c r="EP73" s="26">
        <f t="shared" si="95"/>
        <v>215370</v>
      </c>
      <c r="EQ73" s="26">
        <f t="shared" si="96"/>
        <v>254727</v>
      </c>
    </row>
    <row r="74" spans="2:147">
      <c r="B74" s="27">
        <v>12</v>
      </c>
      <c r="C74" s="27">
        <v>4</v>
      </c>
      <c r="D74" s="27">
        <v>1000</v>
      </c>
      <c r="E74" s="27">
        <f t="shared" si="97"/>
        <v>50000</v>
      </c>
      <c r="F74" s="27">
        <f t="shared" si="86"/>
        <v>50000</v>
      </c>
      <c r="G74" s="27">
        <f>SUM(F$5:F74)</f>
        <v>1475000</v>
      </c>
      <c r="H74" s="27">
        <f t="shared" si="98"/>
        <v>70</v>
      </c>
      <c r="I74" s="27" t="s">
        <v>149</v>
      </c>
      <c r="J74" s="27">
        <v>2.5000000000000001E-2</v>
      </c>
      <c r="K74" s="27">
        <f>INDEX(其他调用!$BO$5:$BO$61,MATCH(星阵点亮!I74,其他调用!$BM$5:$BM$61,0))*J74</f>
        <v>21930.629497427974</v>
      </c>
      <c r="L74" s="27">
        <f t="shared" si="99"/>
        <v>26372</v>
      </c>
      <c r="Q74" s="26">
        <v>70</v>
      </c>
      <c r="R74" s="26">
        <f>总纲!D74</f>
        <v>127</v>
      </c>
      <c r="S74" s="26">
        <f>求节点(将星点产出!$W$6:$W$44,将星点产出!$AO$6:$AO$44,星阵点亮!$Q74)</f>
        <v>153417.45282248594</v>
      </c>
      <c r="T74" s="26">
        <f t="shared" si="87"/>
        <v>24</v>
      </c>
      <c r="U74" s="26">
        <f>总纲!E74</f>
        <v>109.9693</v>
      </c>
      <c r="V74" s="26">
        <f>求节点(将星点产出!$W$51:$W$89,将星点产出!$AO$51:$AO$89,星阵点亮!$Q74)</f>
        <v>187820.8483145528</v>
      </c>
      <c r="W74" s="26">
        <f t="shared" si="88"/>
        <v>26</v>
      </c>
      <c r="X74" s="26">
        <f>总纲!F74</f>
        <v>90.106499999999997</v>
      </c>
      <c r="Y74" s="26">
        <f>求节点(将星点产出!$W$96:$W$134,将星点产出!$AO$96:$AO$134,星阵点亮!$Q74)</f>
        <v>252716.04150641599</v>
      </c>
      <c r="Z74" s="26">
        <f t="shared" si="89"/>
        <v>31</v>
      </c>
      <c r="AA74" s="26">
        <f>总纲!G74</f>
        <v>65.925700000000006</v>
      </c>
      <c r="AB74" s="26">
        <f>求节点(将星点产出!$W$141:$W$179,将星点产出!$AO$141:$AO$179,星阵点亮!$Q74)</f>
        <v>436029.04880289605</v>
      </c>
      <c r="AC74" s="26">
        <f t="shared" si="90"/>
        <v>41</v>
      </c>
      <c r="AD74" s="26">
        <f>总纲!H74</f>
        <v>36.4998</v>
      </c>
      <c r="AE74" s="26">
        <f>求节点(将星点产出!$W$186:$W$224,将星点产出!$AO$186:$AO$224,星阵点亮!$Q74)</f>
        <v>532469.81967555732</v>
      </c>
      <c r="AF74" s="26">
        <f t="shared" si="91"/>
        <v>45</v>
      </c>
      <c r="AG74" s="26">
        <f t="shared" si="76"/>
        <v>1.5</v>
      </c>
      <c r="AH74" s="26">
        <f t="shared" si="76"/>
        <v>0.6</v>
      </c>
      <c r="AI74" s="26">
        <f t="shared" si="76"/>
        <v>0.6</v>
      </c>
      <c r="AJ74" s="26">
        <f t="shared" si="76"/>
        <v>1.5</v>
      </c>
      <c r="AK74" s="26">
        <f t="shared" si="76"/>
        <v>0</v>
      </c>
      <c r="AL74" s="26">
        <f t="shared" si="76"/>
        <v>0</v>
      </c>
      <c r="AM74" s="26">
        <f t="shared" si="76"/>
        <v>1</v>
      </c>
      <c r="AN74" s="26">
        <f t="shared" si="76"/>
        <v>1</v>
      </c>
      <c r="AO74" s="26">
        <f t="shared" si="76"/>
        <v>1</v>
      </c>
      <c r="AP74" s="26">
        <f t="shared" si="76"/>
        <v>1</v>
      </c>
      <c r="AQ74" s="26">
        <f t="shared" si="77"/>
        <v>0</v>
      </c>
      <c r="AR74" s="26">
        <f t="shared" si="77"/>
        <v>0</v>
      </c>
      <c r="AS74" s="26">
        <f t="shared" si="77"/>
        <v>0</v>
      </c>
      <c r="AT74" s="26">
        <f t="shared" si="77"/>
        <v>0</v>
      </c>
      <c r="AU74" s="26">
        <f t="shared" si="77"/>
        <v>0</v>
      </c>
      <c r="AV74" s="26">
        <f t="shared" si="77"/>
        <v>0</v>
      </c>
      <c r="AW74" s="26">
        <f t="shared" si="77"/>
        <v>0</v>
      </c>
      <c r="AX74" s="26">
        <f t="shared" si="77"/>
        <v>0</v>
      </c>
      <c r="AY74" s="26">
        <f t="shared" si="77"/>
        <v>0</v>
      </c>
      <c r="AZ74" s="26">
        <f t="shared" si="77"/>
        <v>0</v>
      </c>
      <c r="BA74" s="26">
        <f t="shared" si="77"/>
        <v>0</v>
      </c>
      <c r="BB74" s="26">
        <f t="shared" si="77"/>
        <v>0</v>
      </c>
      <c r="BC74" s="26">
        <f t="shared" si="78"/>
        <v>1.5</v>
      </c>
      <c r="BD74" s="26">
        <f t="shared" si="78"/>
        <v>1</v>
      </c>
      <c r="BE74" s="26">
        <f t="shared" si="78"/>
        <v>1</v>
      </c>
      <c r="BF74" s="26">
        <f t="shared" si="78"/>
        <v>1.5</v>
      </c>
      <c r="BG74" s="26">
        <f t="shared" si="78"/>
        <v>0</v>
      </c>
      <c r="BH74" s="26">
        <f t="shared" si="78"/>
        <v>0</v>
      </c>
      <c r="BI74" s="26">
        <f t="shared" si="78"/>
        <v>1</v>
      </c>
      <c r="BJ74" s="26">
        <f t="shared" si="78"/>
        <v>1</v>
      </c>
      <c r="BK74" s="26">
        <f t="shared" si="78"/>
        <v>1</v>
      </c>
      <c r="BL74" s="26">
        <f t="shared" si="78"/>
        <v>1</v>
      </c>
      <c r="BM74" s="26">
        <f t="shared" si="79"/>
        <v>0</v>
      </c>
      <c r="BN74" s="26">
        <f t="shared" si="79"/>
        <v>0</v>
      </c>
      <c r="BO74" s="26">
        <f t="shared" si="79"/>
        <v>0</v>
      </c>
      <c r="BP74" s="26">
        <f t="shared" si="79"/>
        <v>0</v>
      </c>
      <c r="BQ74" s="26">
        <f t="shared" si="79"/>
        <v>0</v>
      </c>
      <c r="BR74" s="26">
        <f t="shared" si="79"/>
        <v>0</v>
      </c>
      <c r="BS74" s="26">
        <f t="shared" si="79"/>
        <v>0</v>
      </c>
      <c r="BT74" s="26">
        <f t="shared" si="79"/>
        <v>0</v>
      </c>
      <c r="BU74" s="26">
        <f t="shared" si="79"/>
        <v>0</v>
      </c>
      <c r="BV74" s="26">
        <f t="shared" si="79"/>
        <v>0</v>
      </c>
      <c r="BW74" s="26">
        <f t="shared" si="79"/>
        <v>0</v>
      </c>
      <c r="BX74" s="26">
        <f t="shared" si="79"/>
        <v>0</v>
      </c>
      <c r="BY74" s="26">
        <f t="shared" si="80"/>
        <v>1.5</v>
      </c>
      <c r="BZ74" s="26">
        <f t="shared" si="80"/>
        <v>1.5</v>
      </c>
      <c r="CA74" s="26">
        <f t="shared" si="80"/>
        <v>1.5</v>
      </c>
      <c r="CB74" s="26">
        <f t="shared" si="80"/>
        <v>1.5</v>
      </c>
      <c r="CC74" s="26">
        <f t="shared" si="80"/>
        <v>1</v>
      </c>
      <c r="CD74" s="26">
        <f t="shared" si="80"/>
        <v>0</v>
      </c>
      <c r="CE74" s="26">
        <f t="shared" si="80"/>
        <v>1</v>
      </c>
      <c r="CF74" s="26">
        <f t="shared" si="80"/>
        <v>1</v>
      </c>
      <c r="CG74" s="26">
        <f t="shared" si="80"/>
        <v>1</v>
      </c>
      <c r="CH74" s="26">
        <f t="shared" si="80"/>
        <v>1</v>
      </c>
      <c r="CI74" s="26">
        <f t="shared" si="81"/>
        <v>0</v>
      </c>
      <c r="CJ74" s="26">
        <f t="shared" si="81"/>
        <v>0</v>
      </c>
      <c r="CK74" s="26">
        <f t="shared" si="81"/>
        <v>0</v>
      </c>
      <c r="CL74" s="26">
        <f t="shared" si="81"/>
        <v>0</v>
      </c>
      <c r="CM74" s="26">
        <f t="shared" si="81"/>
        <v>0</v>
      </c>
      <c r="CN74" s="26">
        <f t="shared" si="81"/>
        <v>0</v>
      </c>
      <c r="CO74" s="26">
        <f t="shared" si="81"/>
        <v>0</v>
      </c>
      <c r="CP74" s="26">
        <f t="shared" si="81"/>
        <v>0</v>
      </c>
      <c r="CQ74" s="26">
        <f t="shared" si="81"/>
        <v>0</v>
      </c>
      <c r="CR74" s="26">
        <f t="shared" si="81"/>
        <v>0</v>
      </c>
      <c r="CS74" s="26">
        <f t="shared" si="81"/>
        <v>0</v>
      </c>
      <c r="CT74" s="26">
        <f t="shared" si="81"/>
        <v>0</v>
      </c>
      <c r="CU74" s="26">
        <f t="shared" si="82"/>
        <v>1.5</v>
      </c>
      <c r="CV74" s="26">
        <f t="shared" si="82"/>
        <v>1.5</v>
      </c>
      <c r="CW74" s="26">
        <f t="shared" si="82"/>
        <v>1.5</v>
      </c>
      <c r="CX74" s="26">
        <f t="shared" si="82"/>
        <v>1.5</v>
      </c>
      <c r="CY74" s="26">
        <f t="shared" si="82"/>
        <v>1.5</v>
      </c>
      <c r="CZ74" s="26">
        <f t="shared" si="82"/>
        <v>0</v>
      </c>
      <c r="DA74" s="26">
        <f t="shared" si="82"/>
        <v>1</v>
      </c>
      <c r="DB74" s="26">
        <f t="shared" si="82"/>
        <v>1</v>
      </c>
      <c r="DC74" s="26">
        <f t="shared" si="82"/>
        <v>1</v>
      </c>
      <c r="DD74" s="26">
        <f t="shared" si="82"/>
        <v>1</v>
      </c>
      <c r="DE74" s="26">
        <f t="shared" si="83"/>
        <v>0</v>
      </c>
      <c r="DF74" s="26">
        <f t="shared" si="83"/>
        <v>0.2</v>
      </c>
      <c r="DG74" s="26">
        <f t="shared" si="83"/>
        <v>0.2</v>
      </c>
      <c r="DH74" s="26">
        <f t="shared" si="83"/>
        <v>0.2</v>
      </c>
      <c r="DI74" s="26">
        <f t="shared" si="83"/>
        <v>0.2</v>
      </c>
      <c r="DJ74" s="26">
        <f t="shared" si="83"/>
        <v>0.1</v>
      </c>
      <c r="DK74" s="26">
        <f t="shared" si="83"/>
        <v>0</v>
      </c>
      <c r="DL74" s="26">
        <f t="shared" si="83"/>
        <v>0</v>
      </c>
      <c r="DM74" s="26">
        <f t="shared" si="83"/>
        <v>0</v>
      </c>
      <c r="DN74" s="26">
        <f t="shared" si="83"/>
        <v>0</v>
      </c>
      <c r="DO74" s="26">
        <f t="shared" si="83"/>
        <v>0</v>
      </c>
      <c r="DP74" s="26">
        <f t="shared" si="83"/>
        <v>0</v>
      </c>
      <c r="DQ74" s="26">
        <f t="shared" si="84"/>
        <v>1.5</v>
      </c>
      <c r="DR74" s="26">
        <f t="shared" si="84"/>
        <v>1.5</v>
      </c>
      <c r="DS74" s="26">
        <f t="shared" si="84"/>
        <v>1.5</v>
      </c>
      <c r="DT74" s="26">
        <f t="shared" si="84"/>
        <v>1.5</v>
      </c>
      <c r="DU74" s="26">
        <f t="shared" si="84"/>
        <v>1.5</v>
      </c>
      <c r="DV74" s="26">
        <f t="shared" si="84"/>
        <v>0</v>
      </c>
      <c r="DW74" s="26">
        <f t="shared" si="84"/>
        <v>1</v>
      </c>
      <c r="DX74" s="26">
        <f t="shared" si="84"/>
        <v>1</v>
      </c>
      <c r="DY74" s="26">
        <f t="shared" si="84"/>
        <v>1</v>
      </c>
      <c r="DZ74" s="26">
        <f t="shared" si="84"/>
        <v>1</v>
      </c>
      <c r="EA74" s="26">
        <f t="shared" si="85"/>
        <v>0.6</v>
      </c>
      <c r="EB74" s="26">
        <f t="shared" si="85"/>
        <v>0.2</v>
      </c>
      <c r="EC74" s="26">
        <f t="shared" si="85"/>
        <v>0.2</v>
      </c>
      <c r="ED74" s="26">
        <f t="shared" si="85"/>
        <v>0.2</v>
      </c>
      <c r="EE74" s="26">
        <f t="shared" si="85"/>
        <v>0.2</v>
      </c>
      <c r="EF74" s="26">
        <f t="shared" si="85"/>
        <v>0.2</v>
      </c>
      <c r="EG74" s="26">
        <f t="shared" si="85"/>
        <v>0.03</v>
      </c>
      <c r="EH74" s="26">
        <f t="shared" si="85"/>
        <v>0</v>
      </c>
      <c r="EI74" s="26">
        <f t="shared" si="85"/>
        <v>0</v>
      </c>
      <c r="EJ74" s="26">
        <f t="shared" si="85"/>
        <v>0</v>
      </c>
      <c r="EK74" s="26">
        <f t="shared" si="85"/>
        <v>0</v>
      </c>
      <c r="EL74" s="26">
        <f t="shared" si="85"/>
        <v>0</v>
      </c>
      <c r="EM74" s="26">
        <f t="shared" si="92"/>
        <v>101299</v>
      </c>
      <c r="EN74" s="26">
        <f t="shared" si="93"/>
        <v>113129</v>
      </c>
      <c r="EO74" s="26">
        <f t="shared" si="94"/>
        <v>144986</v>
      </c>
      <c r="EP74" s="26">
        <f t="shared" si="95"/>
        <v>223449</v>
      </c>
      <c r="EQ74" s="26">
        <f t="shared" si="96"/>
        <v>269747</v>
      </c>
    </row>
    <row r="75" spans="2:147">
      <c r="B75" s="27">
        <v>12</v>
      </c>
      <c r="C75" s="27">
        <v>5</v>
      </c>
      <c r="D75" s="27">
        <v>1000</v>
      </c>
      <c r="E75" s="27">
        <f t="shared" si="97"/>
        <v>51000</v>
      </c>
      <c r="F75" s="27">
        <f t="shared" si="86"/>
        <v>51000</v>
      </c>
      <c r="G75" s="27">
        <f>SUM(F$5:F75)</f>
        <v>1526000</v>
      </c>
      <c r="H75" s="27">
        <f t="shared" si="98"/>
        <v>71</v>
      </c>
      <c r="I75" s="27" t="s">
        <v>150</v>
      </c>
      <c r="J75" s="27">
        <v>2.5000000000000001E-2</v>
      </c>
      <c r="K75" s="27">
        <f>INDEX(其他调用!$BO$5:$BO$61,MATCH(星阵点亮!I75,其他调用!$BM$5:$BM$61,0))*J75</f>
        <v>25672.805927841328</v>
      </c>
      <c r="L75" s="27">
        <f t="shared" si="99"/>
        <v>26422</v>
      </c>
      <c r="Q75" s="26">
        <v>71</v>
      </c>
      <c r="R75" s="26">
        <f>总纲!D75</f>
        <v>136.18700320464549</v>
      </c>
      <c r="S75" s="26">
        <f>求节点(将星点产出!$W$6:$W$44,将星点产出!$AO$6:$AO$44,星阵点亮!$Q75)</f>
        <v>160115.01430275926</v>
      </c>
      <c r="T75" s="26">
        <f t="shared" si="87"/>
        <v>24</v>
      </c>
      <c r="U75" s="26">
        <f>总纲!E75</f>
        <v>118.03327567746625</v>
      </c>
      <c r="V75" s="26">
        <f>求节点(将星点产出!$W$51:$W$89,将星点产出!$AO$51:$AO$89,星阵点亮!$Q75)</f>
        <v>197324.98039001305</v>
      </c>
      <c r="W75" s="26">
        <f t="shared" si="88"/>
        <v>27</v>
      </c>
      <c r="X75" s="26">
        <f>总纲!F75</f>
        <v>96.583822672734584</v>
      </c>
      <c r="Y75" s="26">
        <f>求节点(将星点产出!$W$96:$W$134,将星点产出!$AO$96:$AO$134,星阵点亮!$Q75)</f>
        <v>267912.03273146419</v>
      </c>
      <c r="Z75" s="26">
        <f t="shared" si="89"/>
        <v>32</v>
      </c>
      <c r="AA75" s="26">
        <f>总纲!G75</f>
        <v>70.612961161608681</v>
      </c>
      <c r="AB75" s="26">
        <f>求节点(将星点产出!$W$141:$W$179,将星点产出!$AO$141:$AO$179,星阵点亮!$Q75)</f>
        <v>447047.57263800903</v>
      </c>
      <c r="AC75" s="26">
        <f t="shared" si="90"/>
        <v>41</v>
      </c>
      <c r="AD75" s="26">
        <f>总纲!H75</f>
        <v>39.126526020694648</v>
      </c>
      <c r="AE75" s="26">
        <f>求节点(将星点产出!$W$186:$W$224,将星点产出!$AO$186:$AO$224,星阵点亮!$Q75)</f>
        <v>550196.78428979288</v>
      </c>
      <c r="AF75" s="26">
        <f t="shared" si="91"/>
        <v>45</v>
      </c>
      <c r="AG75" s="26">
        <f t="shared" ref="AG75:AP84" si="100">SUMIFS($J$5:$J$76,$I$5:$I$76,AG$4,$H$5:$H$76,"&lt;="&amp;$T75)</f>
        <v>1.5</v>
      </c>
      <c r="AH75" s="26">
        <f t="shared" si="100"/>
        <v>0.6</v>
      </c>
      <c r="AI75" s="26">
        <f t="shared" si="100"/>
        <v>0.6</v>
      </c>
      <c r="AJ75" s="26">
        <f t="shared" si="100"/>
        <v>1.5</v>
      </c>
      <c r="AK75" s="26">
        <f t="shared" si="100"/>
        <v>0</v>
      </c>
      <c r="AL75" s="26">
        <f t="shared" si="100"/>
        <v>0</v>
      </c>
      <c r="AM75" s="26">
        <f t="shared" si="100"/>
        <v>1</v>
      </c>
      <c r="AN75" s="26">
        <f t="shared" si="100"/>
        <v>1</v>
      </c>
      <c r="AO75" s="26">
        <f t="shared" si="100"/>
        <v>1</v>
      </c>
      <c r="AP75" s="26">
        <f t="shared" si="100"/>
        <v>1</v>
      </c>
      <c r="AQ75" s="26">
        <f t="shared" ref="AQ75:BB84" si="101">SUMIFS($J$5:$J$76,$I$5:$I$76,AQ$4,$H$5:$H$76,"&lt;="&amp;$T75)</f>
        <v>0</v>
      </c>
      <c r="AR75" s="26">
        <f t="shared" si="101"/>
        <v>0</v>
      </c>
      <c r="AS75" s="26">
        <f t="shared" si="101"/>
        <v>0</v>
      </c>
      <c r="AT75" s="26">
        <f t="shared" si="101"/>
        <v>0</v>
      </c>
      <c r="AU75" s="26">
        <f t="shared" si="101"/>
        <v>0</v>
      </c>
      <c r="AV75" s="26">
        <f t="shared" si="101"/>
        <v>0</v>
      </c>
      <c r="AW75" s="26">
        <f t="shared" si="101"/>
        <v>0</v>
      </c>
      <c r="AX75" s="26">
        <f t="shared" si="101"/>
        <v>0</v>
      </c>
      <c r="AY75" s="26">
        <f t="shared" si="101"/>
        <v>0</v>
      </c>
      <c r="AZ75" s="26">
        <f t="shared" si="101"/>
        <v>0</v>
      </c>
      <c r="BA75" s="26">
        <f t="shared" si="101"/>
        <v>0</v>
      </c>
      <c r="BB75" s="26">
        <f t="shared" si="101"/>
        <v>0</v>
      </c>
      <c r="BC75" s="26">
        <f t="shared" ref="BC75:BL84" si="102">SUMIFS($J$5:$J$76,$I$5:$I$76,BC$4,$H$5:$H$76,"&lt;="&amp;$W75)</f>
        <v>1.5</v>
      </c>
      <c r="BD75" s="26">
        <f t="shared" si="102"/>
        <v>1</v>
      </c>
      <c r="BE75" s="26">
        <f t="shared" si="102"/>
        <v>1</v>
      </c>
      <c r="BF75" s="26">
        <f t="shared" si="102"/>
        <v>1.5</v>
      </c>
      <c r="BG75" s="26">
        <f t="shared" si="102"/>
        <v>0.3</v>
      </c>
      <c r="BH75" s="26">
        <f t="shared" si="102"/>
        <v>0</v>
      </c>
      <c r="BI75" s="26">
        <f t="shared" si="102"/>
        <v>1</v>
      </c>
      <c r="BJ75" s="26">
        <f t="shared" si="102"/>
        <v>1</v>
      </c>
      <c r="BK75" s="26">
        <f t="shared" si="102"/>
        <v>1</v>
      </c>
      <c r="BL75" s="26">
        <f t="shared" si="102"/>
        <v>1</v>
      </c>
      <c r="BM75" s="26">
        <f t="shared" ref="BM75:BX84" si="103">SUMIFS($J$5:$J$76,$I$5:$I$76,BM$4,$H$5:$H$76,"&lt;="&amp;$W75)</f>
        <v>0</v>
      </c>
      <c r="BN75" s="26">
        <f t="shared" si="103"/>
        <v>0</v>
      </c>
      <c r="BO75" s="26">
        <f t="shared" si="103"/>
        <v>0</v>
      </c>
      <c r="BP75" s="26">
        <f t="shared" si="103"/>
        <v>0</v>
      </c>
      <c r="BQ75" s="26">
        <f t="shared" si="103"/>
        <v>0</v>
      </c>
      <c r="BR75" s="26">
        <f t="shared" si="103"/>
        <v>0</v>
      </c>
      <c r="BS75" s="26">
        <f t="shared" si="103"/>
        <v>0</v>
      </c>
      <c r="BT75" s="26">
        <f t="shared" si="103"/>
        <v>0</v>
      </c>
      <c r="BU75" s="26">
        <f t="shared" si="103"/>
        <v>0</v>
      </c>
      <c r="BV75" s="26">
        <f t="shared" si="103"/>
        <v>0</v>
      </c>
      <c r="BW75" s="26">
        <f t="shared" si="103"/>
        <v>0</v>
      </c>
      <c r="BX75" s="26">
        <f t="shared" si="103"/>
        <v>0</v>
      </c>
      <c r="BY75" s="26">
        <f t="shared" ref="BY75:CH84" si="104">SUMIFS($J$5:$J$76,$I$5:$I$76,BY$4,$H$5:$H$76,"&lt;="&amp;$Z75)</f>
        <v>1.5</v>
      </c>
      <c r="BZ75" s="26">
        <f t="shared" si="104"/>
        <v>1.5</v>
      </c>
      <c r="CA75" s="26">
        <f t="shared" si="104"/>
        <v>1.5</v>
      </c>
      <c r="CB75" s="26">
        <f t="shared" si="104"/>
        <v>1.5</v>
      </c>
      <c r="CC75" s="26">
        <f t="shared" si="104"/>
        <v>1</v>
      </c>
      <c r="CD75" s="26">
        <f t="shared" si="104"/>
        <v>0</v>
      </c>
      <c r="CE75" s="26">
        <f t="shared" si="104"/>
        <v>1</v>
      </c>
      <c r="CF75" s="26">
        <f t="shared" si="104"/>
        <v>1</v>
      </c>
      <c r="CG75" s="26">
        <f t="shared" si="104"/>
        <v>1</v>
      </c>
      <c r="CH75" s="26">
        <f t="shared" si="104"/>
        <v>1</v>
      </c>
      <c r="CI75" s="26">
        <f t="shared" ref="CI75:CT84" si="105">SUMIFS($J$5:$J$76,$I$5:$I$76,CI$4,$H$5:$H$76,"&lt;="&amp;$Z75)</f>
        <v>0</v>
      </c>
      <c r="CJ75" s="26">
        <f t="shared" si="105"/>
        <v>0.1</v>
      </c>
      <c r="CK75" s="26">
        <f t="shared" si="105"/>
        <v>0</v>
      </c>
      <c r="CL75" s="26">
        <f t="shared" si="105"/>
        <v>0</v>
      </c>
      <c r="CM75" s="26">
        <f t="shared" si="105"/>
        <v>0</v>
      </c>
      <c r="CN75" s="26">
        <f t="shared" si="105"/>
        <v>0</v>
      </c>
      <c r="CO75" s="26">
        <f t="shared" si="105"/>
        <v>0</v>
      </c>
      <c r="CP75" s="26">
        <f t="shared" si="105"/>
        <v>0</v>
      </c>
      <c r="CQ75" s="26">
        <f t="shared" si="105"/>
        <v>0</v>
      </c>
      <c r="CR75" s="26">
        <f t="shared" si="105"/>
        <v>0</v>
      </c>
      <c r="CS75" s="26">
        <f t="shared" si="105"/>
        <v>0</v>
      </c>
      <c r="CT75" s="26">
        <f t="shared" si="105"/>
        <v>0</v>
      </c>
      <c r="CU75" s="26">
        <f t="shared" ref="CU75:DD84" si="106">SUMIFS($J$5:$J$76,$I$5:$I$76,CU$4,$H$5:$H$76,"&lt;="&amp;$AC75)</f>
        <v>1.5</v>
      </c>
      <c r="CV75" s="26">
        <f t="shared" si="106"/>
        <v>1.5</v>
      </c>
      <c r="CW75" s="26">
        <f t="shared" si="106"/>
        <v>1.5</v>
      </c>
      <c r="CX75" s="26">
        <f t="shared" si="106"/>
        <v>1.5</v>
      </c>
      <c r="CY75" s="26">
        <f t="shared" si="106"/>
        <v>1.5</v>
      </c>
      <c r="CZ75" s="26">
        <f t="shared" si="106"/>
        <v>0</v>
      </c>
      <c r="DA75" s="26">
        <f t="shared" si="106"/>
        <v>1</v>
      </c>
      <c r="DB75" s="26">
        <f t="shared" si="106"/>
        <v>1</v>
      </c>
      <c r="DC75" s="26">
        <f t="shared" si="106"/>
        <v>1</v>
      </c>
      <c r="DD75" s="26">
        <f t="shared" si="106"/>
        <v>1</v>
      </c>
      <c r="DE75" s="26">
        <f t="shared" ref="DE75:DP84" si="107">SUMIFS($J$5:$J$76,$I$5:$I$76,DE$4,$H$5:$H$76,"&lt;="&amp;$AC75)</f>
        <v>0</v>
      </c>
      <c r="DF75" s="26">
        <f t="shared" si="107"/>
        <v>0.2</v>
      </c>
      <c r="DG75" s="26">
        <f t="shared" si="107"/>
        <v>0.2</v>
      </c>
      <c r="DH75" s="26">
        <f t="shared" si="107"/>
        <v>0.2</v>
      </c>
      <c r="DI75" s="26">
        <f t="shared" si="107"/>
        <v>0.2</v>
      </c>
      <c r="DJ75" s="26">
        <f t="shared" si="107"/>
        <v>0.1</v>
      </c>
      <c r="DK75" s="26">
        <f t="shared" si="107"/>
        <v>0</v>
      </c>
      <c r="DL75" s="26">
        <f t="shared" si="107"/>
        <v>0</v>
      </c>
      <c r="DM75" s="26">
        <f t="shared" si="107"/>
        <v>0</v>
      </c>
      <c r="DN75" s="26">
        <f t="shared" si="107"/>
        <v>0</v>
      </c>
      <c r="DO75" s="26">
        <f t="shared" si="107"/>
        <v>0</v>
      </c>
      <c r="DP75" s="26">
        <f t="shared" si="107"/>
        <v>0</v>
      </c>
      <c r="DQ75" s="26">
        <f t="shared" ref="DQ75:DZ84" si="108">SUMIFS($J$5:$J$76,$I$5:$I$76,DQ$4,$H$5:$H$76,"&lt;="&amp;$AF75)</f>
        <v>1.5</v>
      </c>
      <c r="DR75" s="26">
        <f t="shared" si="108"/>
        <v>1.5</v>
      </c>
      <c r="DS75" s="26">
        <f t="shared" si="108"/>
        <v>1.5</v>
      </c>
      <c r="DT75" s="26">
        <f t="shared" si="108"/>
        <v>1.5</v>
      </c>
      <c r="DU75" s="26">
        <f t="shared" si="108"/>
        <v>1.5</v>
      </c>
      <c r="DV75" s="26">
        <f t="shared" si="108"/>
        <v>0</v>
      </c>
      <c r="DW75" s="26">
        <f t="shared" si="108"/>
        <v>1</v>
      </c>
      <c r="DX75" s="26">
        <f t="shared" si="108"/>
        <v>1</v>
      </c>
      <c r="DY75" s="26">
        <f t="shared" si="108"/>
        <v>1</v>
      </c>
      <c r="DZ75" s="26">
        <f t="shared" si="108"/>
        <v>1</v>
      </c>
      <c r="EA75" s="26">
        <f t="shared" ref="EA75:EL84" si="109">SUMIFS($J$5:$J$76,$I$5:$I$76,EA$4,$H$5:$H$76,"&lt;="&amp;$AF75)</f>
        <v>0.6</v>
      </c>
      <c r="EB75" s="26">
        <f t="shared" si="109"/>
        <v>0.2</v>
      </c>
      <c r="EC75" s="26">
        <f t="shared" si="109"/>
        <v>0.2</v>
      </c>
      <c r="ED75" s="26">
        <f t="shared" si="109"/>
        <v>0.2</v>
      </c>
      <c r="EE75" s="26">
        <f t="shared" si="109"/>
        <v>0.2</v>
      </c>
      <c r="EF75" s="26">
        <f t="shared" si="109"/>
        <v>0.2</v>
      </c>
      <c r="EG75" s="26">
        <f t="shared" si="109"/>
        <v>0.03</v>
      </c>
      <c r="EH75" s="26">
        <f t="shared" si="109"/>
        <v>0</v>
      </c>
      <c r="EI75" s="26">
        <f t="shared" si="109"/>
        <v>0</v>
      </c>
      <c r="EJ75" s="26">
        <f t="shared" si="109"/>
        <v>0</v>
      </c>
      <c r="EK75" s="26">
        <f t="shared" si="109"/>
        <v>0</v>
      </c>
      <c r="EL75" s="26">
        <f t="shared" si="109"/>
        <v>0</v>
      </c>
      <c r="EM75" s="26">
        <f t="shared" si="92"/>
        <v>101299</v>
      </c>
      <c r="EN75" s="26">
        <f t="shared" si="93"/>
        <v>119240</v>
      </c>
      <c r="EO75" s="26">
        <f t="shared" si="94"/>
        <v>152604</v>
      </c>
      <c r="EP75" s="26">
        <f t="shared" si="95"/>
        <v>223449</v>
      </c>
      <c r="EQ75" s="26">
        <f t="shared" si="96"/>
        <v>269747</v>
      </c>
    </row>
    <row r="76" spans="2:147">
      <c r="B76" s="27">
        <v>12</v>
      </c>
      <c r="C76" s="27">
        <v>6</v>
      </c>
      <c r="D76" s="27">
        <v>1000</v>
      </c>
      <c r="E76" s="27">
        <f t="shared" si="97"/>
        <v>52000</v>
      </c>
      <c r="F76" s="27">
        <f t="shared" si="86"/>
        <v>52000</v>
      </c>
      <c r="G76" s="27">
        <f>SUM(F$5:F76)</f>
        <v>1578000</v>
      </c>
      <c r="H76" s="27">
        <f t="shared" si="98"/>
        <v>72</v>
      </c>
      <c r="I76" s="27" t="s">
        <v>151</v>
      </c>
      <c r="J76" s="27">
        <v>2.5000000000000001E-2</v>
      </c>
      <c r="K76" s="27">
        <f>INDEX(其他调用!$BO$5:$BO$61,MATCH(星阵点亮!I76,其他调用!$BM$5:$BM$61,0))*J76</f>
        <v>25672.805927841328</v>
      </c>
      <c r="L76" s="27">
        <f t="shared" si="99"/>
        <v>26472</v>
      </c>
      <c r="Q76" s="26">
        <v>72</v>
      </c>
      <c r="R76" s="26">
        <f>总纲!D76</f>
        <v>146.03338943962044</v>
      </c>
      <c r="S76" s="26">
        <f>求节点(将星点产出!$W$6:$W$44,将星点产出!$AO$6:$AO$44,星阵点亮!$Q76)</f>
        <v>166812.57578303257</v>
      </c>
      <c r="T76" s="26">
        <f t="shared" si="87"/>
        <v>25</v>
      </c>
      <c r="U76" s="26">
        <f>总纲!E76</f>
        <v>126.581741966263</v>
      </c>
      <c r="V76" s="26">
        <f>求节点(将星点产出!$W$51:$W$89,将星点产出!$AO$51:$AO$89,星阵点亮!$Q76)</f>
        <v>206829.11246547333</v>
      </c>
      <c r="W76" s="26">
        <f t="shared" si="88"/>
        <v>28</v>
      </c>
      <c r="X76" s="26">
        <f>总纲!F76</f>
        <v>103.31862302853146</v>
      </c>
      <c r="Y76" s="26">
        <f>求节点(将星点产出!$W$96:$W$134,将星点产出!$AO$96:$AO$134,星阵点亮!$Q76)</f>
        <v>283108.02395651233</v>
      </c>
      <c r="Z76" s="26">
        <f t="shared" si="89"/>
        <v>33</v>
      </c>
      <c r="AA76" s="26">
        <f>总纲!G76</f>
        <v>75.586882373947532</v>
      </c>
      <c r="AB76" s="26">
        <f>求节点(将星点产出!$W$141:$W$179,将星点产出!$AO$141:$AO$179,星阵点亮!$Q76)</f>
        <v>460500.93617827672</v>
      </c>
      <c r="AC76" s="26">
        <f t="shared" si="90"/>
        <v>42</v>
      </c>
      <c r="AD76" s="26">
        <f>总纲!H76</f>
        <v>41.896979430227098</v>
      </c>
      <c r="AE76" s="26">
        <f>求节点(将星点产出!$W$186:$W$224,将星点产出!$AO$186:$AO$224,星阵点亮!$Q76)</f>
        <v>569050.51607309585</v>
      </c>
      <c r="AF76" s="26">
        <f t="shared" si="91"/>
        <v>46</v>
      </c>
      <c r="AG76" s="26">
        <f t="shared" si="100"/>
        <v>1.5</v>
      </c>
      <c r="AH76" s="26">
        <f t="shared" si="100"/>
        <v>1</v>
      </c>
      <c r="AI76" s="26">
        <f t="shared" si="100"/>
        <v>0.6</v>
      </c>
      <c r="AJ76" s="26">
        <f t="shared" si="100"/>
        <v>1.5</v>
      </c>
      <c r="AK76" s="26">
        <f t="shared" si="100"/>
        <v>0</v>
      </c>
      <c r="AL76" s="26">
        <f t="shared" si="100"/>
        <v>0</v>
      </c>
      <c r="AM76" s="26">
        <f t="shared" si="100"/>
        <v>1</v>
      </c>
      <c r="AN76" s="26">
        <f t="shared" si="100"/>
        <v>1</v>
      </c>
      <c r="AO76" s="26">
        <f t="shared" si="100"/>
        <v>1</v>
      </c>
      <c r="AP76" s="26">
        <f t="shared" si="100"/>
        <v>1</v>
      </c>
      <c r="AQ76" s="26">
        <f t="shared" si="101"/>
        <v>0</v>
      </c>
      <c r="AR76" s="26">
        <f t="shared" si="101"/>
        <v>0</v>
      </c>
      <c r="AS76" s="26">
        <f t="shared" si="101"/>
        <v>0</v>
      </c>
      <c r="AT76" s="26">
        <f t="shared" si="101"/>
        <v>0</v>
      </c>
      <c r="AU76" s="26">
        <f t="shared" si="101"/>
        <v>0</v>
      </c>
      <c r="AV76" s="26">
        <f t="shared" si="101"/>
        <v>0</v>
      </c>
      <c r="AW76" s="26">
        <f t="shared" si="101"/>
        <v>0</v>
      </c>
      <c r="AX76" s="26">
        <f t="shared" si="101"/>
        <v>0</v>
      </c>
      <c r="AY76" s="26">
        <f t="shared" si="101"/>
        <v>0</v>
      </c>
      <c r="AZ76" s="26">
        <f t="shared" si="101"/>
        <v>0</v>
      </c>
      <c r="BA76" s="26">
        <f t="shared" si="101"/>
        <v>0</v>
      </c>
      <c r="BB76" s="26">
        <f t="shared" si="101"/>
        <v>0</v>
      </c>
      <c r="BC76" s="26">
        <f t="shared" si="102"/>
        <v>1.5</v>
      </c>
      <c r="BD76" s="26">
        <f t="shared" si="102"/>
        <v>1.5</v>
      </c>
      <c r="BE76" s="26">
        <f t="shared" si="102"/>
        <v>1</v>
      </c>
      <c r="BF76" s="26">
        <f t="shared" si="102"/>
        <v>1.5</v>
      </c>
      <c r="BG76" s="26">
        <f t="shared" si="102"/>
        <v>0.3</v>
      </c>
      <c r="BH76" s="26">
        <f t="shared" si="102"/>
        <v>0</v>
      </c>
      <c r="BI76" s="26">
        <f t="shared" si="102"/>
        <v>1</v>
      </c>
      <c r="BJ76" s="26">
        <f t="shared" si="102"/>
        <v>1</v>
      </c>
      <c r="BK76" s="26">
        <f t="shared" si="102"/>
        <v>1</v>
      </c>
      <c r="BL76" s="26">
        <f t="shared" si="102"/>
        <v>1</v>
      </c>
      <c r="BM76" s="26">
        <f t="shared" si="103"/>
        <v>0</v>
      </c>
      <c r="BN76" s="26">
        <f t="shared" si="103"/>
        <v>0</v>
      </c>
      <c r="BO76" s="26">
        <f t="shared" si="103"/>
        <v>0</v>
      </c>
      <c r="BP76" s="26">
        <f t="shared" si="103"/>
        <v>0</v>
      </c>
      <c r="BQ76" s="26">
        <f t="shared" si="103"/>
        <v>0</v>
      </c>
      <c r="BR76" s="26">
        <f t="shared" si="103"/>
        <v>0</v>
      </c>
      <c r="BS76" s="26">
        <f t="shared" si="103"/>
        <v>0</v>
      </c>
      <c r="BT76" s="26">
        <f t="shared" si="103"/>
        <v>0</v>
      </c>
      <c r="BU76" s="26">
        <f t="shared" si="103"/>
        <v>0</v>
      </c>
      <c r="BV76" s="26">
        <f t="shared" si="103"/>
        <v>0</v>
      </c>
      <c r="BW76" s="26">
        <f t="shared" si="103"/>
        <v>0</v>
      </c>
      <c r="BX76" s="26">
        <f t="shared" si="103"/>
        <v>0</v>
      </c>
      <c r="BY76" s="26">
        <f t="shared" si="104"/>
        <v>1.5</v>
      </c>
      <c r="BZ76" s="26">
        <f t="shared" si="104"/>
        <v>1.5</v>
      </c>
      <c r="CA76" s="26">
        <f t="shared" si="104"/>
        <v>1.5</v>
      </c>
      <c r="CB76" s="26">
        <f t="shared" si="104"/>
        <v>1.5</v>
      </c>
      <c r="CC76" s="26">
        <f t="shared" si="104"/>
        <v>1</v>
      </c>
      <c r="CD76" s="26">
        <f t="shared" si="104"/>
        <v>0</v>
      </c>
      <c r="CE76" s="26">
        <f t="shared" si="104"/>
        <v>1</v>
      </c>
      <c r="CF76" s="26">
        <f t="shared" si="104"/>
        <v>1</v>
      </c>
      <c r="CG76" s="26">
        <f t="shared" si="104"/>
        <v>1</v>
      </c>
      <c r="CH76" s="26">
        <f t="shared" si="104"/>
        <v>1</v>
      </c>
      <c r="CI76" s="26">
        <f t="shared" si="105"/>
        <v>0</v>
      </c>
      <c r="CJ76" s="26">
        <f t="shared" si="105"/>
        <v>0.1</v>
      </c>
      <c r="CK76" s="26">
        <f t="shared" si="105"/>
        <v>0.1</v>
      </c>
      <c r="CL76" s="26">
        <f t="shared" si="105"/>
        <v>0</v>
      </c>
      <c r="CM76" s="26">
        <f t="shared" si="105"/>
        <v>0</v>
      </c>
      <c r="CN76" s="26">
        <f t="shared" si="105"/>
        <v>0</v>
      </c>
      <c r="CO76" s="26">
        <f t="shared" si="105"/>
        <v>0</v>
      </c>
      <c r="CP76" s="26">
        <f t="shared" si="105"/>
        <v>0</v>
      </c>
      <c r="CQ76" s="26">
        <f t="shared" si="105"/>
        <v>0</v>
      </c>
      <c r="CR76" s="26">
        <f t="shared" si="105"/>
        <v>0</v>
      </c>
      <c r="CS76" s="26">
        <f t="shared" si="105"/>
        <v>0</v>
      </c>
      <c r="CT76" s="26">
        <f t="shared" si="105"/>
        <v>0</v>
      </c>
      <c r="CU76" s="26">
        <f t="shared" si="106"/>
        <v>1.5</v>
      </c>
      <c r="CV76" s="26">
        <f t="shared" si="106"/>
        <v>1.5</v>
      </c>
      <c r="CW76" s="26">
        <f t="shared" si="106"/>
        <v>1.5</v>
      </c>
      <c r="CX76" s="26">
        <f t="shared" si="106"/>
        <v>1.5</v>
      </c>
      <c r="CY76" s="26">
        <f t="shared" si="106"/>
        <v>1.5</v>
      </c>
      <c r="CZ76" s="26">
        <f t="shared" si="106"/>
        <v>0</v>
      </c>
      <c r="DA76" s="26">
        <f t="shared" si="106"/>
        <v>1</v>
      </c>
      <c r="DB76" s="26">
        <f t="shared" si="106"/>
        <v>1</v>
      </c>
      <c r="DC76" s="26">
        <f t="shared" si="106"/>
        <v>1</v>
      </c>
      <c r="DD76" s="26">
        <f t="shared" si="106"/>
        <v>1</v>
      </c>
      <c r="DE76" s="26">
        <f t="shared" si="107"/>
        <v>0</v>
      </c>
      <c r="DF76" s="26">
        <f t="shared" si="107"/>
        <v>0.2</v>
      </c>
      <c r="DG76" s="26">
        <f t="shared" si="107"/>
        <v>0.2</v>
      </c>
      <c r="DH76" s="26">
        <f t="shared" si="107"/>
        <v>0.2</v>
      </c>
      <c r="DI76" s="26">
        <f t="shared" si="107"/>
        <v>0.2</v>
      </c>
      <c r="DJ76" s="26">
        <f t="shared" si="107"/>
        <v>0.2</v>
      </c>
      <c r="DK76" s="26">
        <f t="shared" si="107"/>
        <v>0</v>
      </c>
      <c r="DL76" s="26">
        <f t="shared" si="107"/>
        <v>0</v>
      </c>
      <c r="DM76" s="26">
        <f t="shared" si="107"/>
        <v>0</v>
      </c>
      <c r="DN76" s="26">
        <f t="shared" si="107"/>
        <v>0</v>
      </c>
      <c r="DO76" s="26">
        <f t="shared" si="107"/>
        <v>0</v>
      </c>
      <c r="DP76" s="26">
        <f t="shared" si="107"/>
        <v>0</v>
      </c>
      <c r="DQ76" s="26">
        <f t="shared" si="108"/>
        <v>1.5</v>
      </c>
      <c r="DR76" s="26">
        <f t="shared" si="108"/>
        <v>1.5</v>
      </c>
      <c r="DS76" s="26">
        <f t="shared" si="108"/>
        <v>1.5</v>
      </c>
      <c r="DT76" s="26">
        <f t="shared" si="108"/>
        <v>1.5</v>
      </c>
      <c r="DU76" s="26">
        <f t="shared" si="108"/>
        <v>1.5</v>
      </c>
      <c r="DV76" s="26">
        <f t="shared" si="108"/>
        <v>0</v>
      </c>
      <c r="DW76" s="26">
        <f t="shared" si="108"/>
        <v>1</v>
      </c>
      <c r="DX76" s="26">
        <f t="shared" si="108"/>
        <v>1</v>
      </c>
      <c r="DY76" s="26">
        <f t="shared" si="108"/>
        <v>1</v>
      </c>
      <c r="DZ76" s="26">
        <f t="shared" si="108"/>
        <v>1</v>
      </c>
      <c r="EA76" s="26">
        <f t="shared" si="109"/>
        <v>0.6</v>
      </c>
      <c r="EB76" s="26">
        <f t="shared" si="109"/>
        <v>0.2</v>
      </c>
      <c r="EC76" s="26">
        <f t="shared" si="109"/>
        <v>0.2</v>
      </c>
      <c r="ED76" s="26">
        <f t="shared" si="109"/>
        <v>0.2</v>
      </c>
      <c r="EE76" s="26">
        <f t="shared" si="109"/>
        <v>0.2</v>
      </c>
      <c r="EF76" s="26">
        <f t="shared" si="109"/>
        <v>0.2</v>
      </c>
      <c r="EG76" s="26">
        <f t="shared" si="109"/>
        <v>0.06</v>
      </c>
      <c r="EH76" s="26">
        <f t="shared" si="109"/>
        <v>0</v>
      </c>
      <c r="EI76" s="26">
        <f t="shared" si="109"/>
        <v>0</v>
      </c>
      <c r="EJ76" s="26">
        <f t="shared" si="109"/>
        <v>0</v>
      </c>
      <c r="EK76" s="26">
        <f t="shared" si="109"/>
        <v>0</v>
      </c>
      <c r="EL76" s="26">
        <f t="shared" si="109"/>
        <v>0</v>
      </c>
      <c r="EM76" s="26">
        <f t="shared" si="92"/>
        <v>107149</v>
      </c>
      <c r="EN76" s="26">
        <f t="shared" si="93"/>
        <v>125481</v>
      </c>
      <c r="EO76" s="26">
        <f t="shared" si="94"/>
        <v>160272</v>
      </c>
      <c r="EP76" s="26">
        <f t="shared" si="95"/>
        <v>231578</v>
      </c>
      <c r="EQ76" s="26">
        <f t="shared" si="96"/>
        <v>284817</v>
      </c>
    </row>
    <row r="77" spans="2:147">
      <c r="Q77" s="26">
        <v>73</v>
      </c>
      <c r="R77" s="26">
        <f>总纲!D77</f>
        <v>156.58648490814926</v>
      </c>
      <c r="S77" s="26">
        <f>求节点(将星点产出!$W$6:$W$44,将星点产出!$AO$6:$AO$44,星阵点亮!$Q77)</f>
        <v>174600.4553691952</v>
      </c>
      <c r="T77" s="26">
        <f t="shared" si="87"/>
        <v>25</v>
      </c>
      <c r="U77" s="26">
        <f>总纲!E77</f>
        <v>135.41599214856748</v>
      </c>
      <c r="V77" s="26">
        <f>求节点(将星点产出!$W$51:$W$89,将星点产出!$AO$51:$AO$89,星阵点亮!$Q77)</f>
        <v>215569.51727955445</v>
      </c>
      <c r="W77" s="26">
        <f t="shared" si="88"/>
        <v>28</v>
      </c>
      <c r="X77" s="26">
        <f>总纲!F77</f>
        <v>110.58137564213501</v>
      </c>
      <c r="Y77" s="26">
        <f>求节点(将星点产出!$W$96:$W$134,将星点产出!$AO$96:$AO$134,星阵点亮!$Q77)</f>
        <v>301823.65243873466</v>
      </c>
      <c r="Z77" s="26">
        <f t="shared" si="89"/>
        <v>34</v>
      </c>
      <c r="AA77" s="26">
        <f>总纲!G77</f>
        <v>80.955212697513176</v>
      </c>
      <c r="AB77" s="26">
        <f>求节点(将星点产出!$W$141:$W$179,将星点产出!$AO$141:$AO$179,星阵点亮!$Q77)</f>
        <v>492155.11273653049</v>
      </c>
      <c r="AC77" s="26">
        <f t="shared" si="90"/>
        <v>43</v>
      </c>
      <c r="AD77" s="26">
        <f>总纲!H77</f>
        <v>44.877686574675579</v>
      </c>
      <c r="AE77" s="26">
        <f>求节点(将星点产出!$W$186:$W$224,将星点产出!$AO$186:$AO$224,星阵点亮!$Q77)</f>
        <v>591602.45007499191</v>
      </c>
      <c r="AF77" s="26">
        <f t="shared" si="91"/>
        <v>47</v>
      </c>
      <c r="AG77" s="26">
        <f t="shared" si="100"/>
        <v>1.5</v>
      </c>
      <c r="AH77" s="26">
        <f t="shared" si="100"/>
        <v>1</v>
      </c>
      <c r="AI77" s="26">
        <f t="shared" si="100"/>
        <v>0.6</v>
      </c>
      <c r="AJ77" s="26">
        <f t="shared" si="100"/>
        <v>1.5</v>
      </c>
      <c r="AK77" s="26">
        <f t="shared" si="100"/>
        <v>0</v>
      </c>
      <c r="AL77" s="26">
        <f t="shared" si="100"/>
        <v>0</v>
      </c>
      <c r="AM77" s="26">
        <f t="shared" si="100"/>
        <v>1</v>
      </c>
      <c r="AN77" s="26">
        <f t="shared" si="100"/>
        <v>1</v>
      </c>
      <c r="AO77" s="26">
        <f t="shared" si="100"/>
        <v>1</v>
      </c>
      <c r="AP77" s="26">
        <f t="shared" si="100"/>
        <v>1</v>
      </c>
      <c r="AQ77" s="26">
        <f t="shared" si="101"/>
        <v>0</v>
      </c>
      <c r="AR77" s="26">
        <f t="shared" si="101"/>
        <v>0</v>
      </c>
      <c r="AS77" s="26">
        <f t="shared" si="101"/>
        <v>0</v>
      </c>
      <c r="AT77" s="26">
        <f t="shared" si="101"/>
        <v>0</v>
      </c>
      <c r="AU77" s="26">
        <f t="shared" si="101"/>
        <v>0</v>
      </c>
      <c r="AV77" s="26">
        <f t="shared" si="101"/>
        <v>0</v>
      </c>
      <c r="AW77" s="26">
        <f t="shared" si="101"/>
        <v>0</v>
      </c>
      <c r="AX77" s="26">
        <f t="shared" si="101"/>
        <v>0</v>
      </c>
      <c r="AY77" s="26">
        <f t="shared" si="101"/>
        <v>0</v>
      </c>
      <c r="AZ77" s="26">
        <f t="shared" si="101"/>
        <v>0</v>
      </c>
      <c r="BA77" s="26">
        <f t="shared" si="101"/>
        <v>0</v>
      </c>
      <c r="BB77" s="26">
        <f t="shared" si="101"/>
        <v>0</v>
      </c>
      <c r="BC77" s="26">
        <f t="shared" si="102"/>
        <v>1.5</v>
      </c>
      <c r="BD77" s="26">
        <f t="shared" si="102"/>
        <v>1.5</v>
      </c>
      <c r="BE77" s="26">
        <f t="shared" si="102"/>
        <v>1</v>
      </c>
      <c r="BF77" s="26">
        <f t="shared" si="102"/>
        <v>1.5</v>
      </c>
      <c r="BG77" s="26">
        <f t="shared" si="102"/>
        <v>0.3</v>
      </c>
      <c r="BH77" s="26">
        <f t="shared" si="102"/>
        <v>0</v>
      </c>
      <c r="BI77" s="26">
        <f t="shared" si="102"/>
        <v>1</v>
      </c>
      <c r="BJ77" s="26">
        <f t="shared" si="102"/>
        <v>1</v>
      </c>
      <c r="BK77" s="26">
        <f t="shared" si="102"/>
        <v>1</v>
      </c>
      <c r="BL77" s="26">
        <f t="shared" si="102"/>
        <v>1</v>
      </c>
      <c r="BM77" s="26">
        <f t="shared" si="103"/>
        <v>0</v>
      </c>
      <c r="BN77" s="26">
        <f t="shared" si="103"/>
        <v>0</v>
      </c>
      <c r="BO77" s="26">
        <f t="shared" si="103"/>
        <v>0</v>
      </c>
      <c r="BP77" s="26">
        <f t="shared" si="103"/>
        <v>0</v>
      </c>
      <c r="BQ77" s="26">
        <f t="shared" si="103"/>
        <v>0</v>
      </c>
      <c r="BR77" s="26">
        <f t="shared" si="103"/>
        <v>0</v>
      </c>
      <c r="BS77" s="26">
        <f t="shared" si="103"/>
        <v>0</v>
      </c>
      <c r="BT77" s="26">
        <f t="shared" si="103"/>
        <v>0</v>
      </c>
      <c r="BU77" s="26">
        <f t="shared" si="103"/>
        <v>0</v>
      </c>
      <c r="BV77" s="26">
        <f t="shared" si="103"/>
        <v>0</v>
      </c>
      <c r="BW77" s="26">
        <f t="shared" si="103"/>
        <v>0</v>
      </c>
      <c r="BX77" s="26">
        <f t="shared" si="103"/>
        <v>0</v>
      </c>
      <c r="BY77" s="26">
        <f t="shared" si="104"/>
        <v>1.5</v>
      </c>
      <c r="BZ77" s="26">
        <f t="shared" si="104"/>
        <v>1.5</v>
      </c>
      <c r="CA77" s="26">
        <f t="shared" si="104"/>
        <v>1.5</v>
      </c>
      <c r="CB77" s="26">
        <f t="shared" si="104"/>
        <v>1.5</v>
      </c>
      <c r="CC77" s="26">
        <f t="shared" si="104"/>
        <v>1.5</v>
      </c>
      <c r="CD77" s="26">
        <f t="shared" si="104"/>
        <v>0</v>
      </c>
      <c r="CE77" s="26">
        <f t="shared" si="104"/>
        <v>1</v>
      </c>
      <c r="CF77" s="26">
        <f t="shared" si="104"/>
        <v>1</v>
      </c>
      <c r="CG77" s="26">
        <f t="shared" si="104"/>
        <v>1</v>
      </c>
      <c r="CH77" s="26">
        <f t="shared" si="104"/>
        <v>1</v>
      </c>
      <c r="CI77" s="26">
        <f t="shared" si="105"/>
        <v>0</v>
      </c>
      <c r="CJ77" s="26">
        <f t="shared" si="105"/>
        <v>0.1</v>
      </c>
      <c r="CK77" s="26">
        <f t="shared" si="105"/>
        <v>0.1</v>
      </c>
      <c r="CL77" s="26">
        <f t="shared" si="105"/>
        <v>0</v>
      </c>
      <c r="CM77" s="26">
        <f t="shared" si="105"/>
        <v>0</v>
      </c>
      <c r="CN77" s="26">
        <f t="shared" si="105"/>
        <v>0</v>
      </c>
      <c r="CO77" s="26">
        <f t="shared" si="105"/>
        <v>0</v>
      </c>
      <c r="CP77" s="26">
        <f t="shared" si="105"/>
        <v>0</v>
      </c>
      <c r="CQ77" s="26">
        <f t="shared" si="105"/>
        <v>0</v>
      </c>
      <c r="CR77" s="26">
        <f t="shared" si="105"/>
        <v>0</v>
      </c>
      <c r="CS77" s="26">
        <f t="shared" si="105"/>
        <v>0</v>
      </c>
      <c r="CT77" s="26">
        <f t="shared" si="105"/>
        <v>0</v>
      </c>
      <c r="CU77" s="26">
        <f t="shared" si="106"/>
        <v>1.5</v>
      </c>
      <c r="CV77" s="26">
        <f t="shared" si="106"/>
        <v>1.5</v>
      </c>
      <c r="CW77" s="26">
        <f t="shared" si="106"/>
        <v>1.5</v>
      </c>
      <c r="CX77" s="26">
        <f t="shared" si="106"/>
        <v>1.5</v>
      </c>
      <c r="CY77" s="26">
        <f t="shared" si="106"/>
        <v>1.5</v>
      </c>
      <c r="CZ77" s="26">
        <f t="shared" si="106"/>
        <v>0</v>
      </c>
      <c r="DA77" s="26">
        <f t="shared" si="106"/>
        <v>1</v>
      </c>
      <c r="DB77" s="26">
        <f t="shared" si="106"/>
        <v>1</v>
      </c>
      <c r="DC77" s="26">
        <f t="shared" si="106"/>
        <v>1</v>
      </c>
      <c r="DD77" s="26">
        <f t="shared" si="106"/>
        <v>1</v>
      </c>
      <c r="DE77" s="26">
        <f t="shared" si="107"/>
        <v>0.3</v>
      </c>
      <c r="DF77" s="26">
        <f t="shared" si="107"/>
        <v>0.2</v>
      </c>
      <c r="DG77" s="26">
        <f t="shared" si="107"/>
        <v>0.2</v>
      </c>
      <c r="DH77" s="26">
        <f t="shared" si="107"/>
        <v>0.2</v>
      </c>
      <c r="DI77" s="26">
        <f t="shared" si="107"/>
        <v>0.2</v>
      </c>
      <c r="DJ77" s="26">
        <f t="shared" si="107"/>
        <v>0.2</v>
      </c>
      <c r="DK77" s="26">
        <f t="shared" si="107"/>
        <v>0</v>
      </c>
      <c r="DL77" s="26">
        <f t="shared" si="107"/>
        <v>0</v>
      </c>
      <c r="DM77" s="26">
        <f t="shared" si="107"/>
        <v>0</v>
      </c>
      <c r="DN77" s="26">
        <f t="shared" si="107"/>
        <v>0</v>
      </c>
      <c r="DO77" s="26">
        <f t="shared" si="107"/>
        <v>0</v>
      </c>
      <c r="DP77" s="26">
        <f t="shared" si="107"/>
        <v>0</v>
      </c>
      <c r="DQ77" s="26">
        <f t="shared" si="108"/>
        <v>1.5</v>
      </c>
      <c r="DR77" s="26">
        <f t="shared" si="108"/>
        <v>1.5</v>
      </c>
      <c r="DS77" s="26">
        <f t="shared" si="108"/>
        <v>1.5</v>
      </c>
      <c r="DT77" s="26">
        <f t="shared" si="108"/>
        <v>1.5</v>
      </c>
      <c r="DU77" s="26">
        <f t="shared" si="108"/>
        <v>1.5</v>
      </c>
      <c r="DV77" s="26">
        <f t="shared" si="108"/>
        <v>0</v>
      </c>
      <c r="DW77" s="26">
        <f t="shared" si="108"/>
        <v>1</v>
      </c>
      <c r="DX77" s="26">
        <f t="shared" si="108"/>
        <v>1</v>
      </c>
      <c r="DY77" s="26">
        <f t="shared" si="108"/>
        <v>1</v>
      </c>
      <c r="DZ77" s="26">
        <f t="shared" si="108"/>
        <v>1</v>
      </c>
      <c r="EA77" s="26">
        <f t="shared" si="109"/>
        <v>1</v>
      </c>
      <c r="EB77" s="26">
        <f t="shared" si="109"/>
        <v>0.2</v>
      </c>
      <c r="EC77" s="26">
        <f t="shared" si="109"/>
        <v>0.2</v>
      </c>
      <c r="ED77" s="26">
        <f t="shared" si="109"/>
        <v>0.2</v>
      </c>
      <c r="EE77" s="26">
        <f t="shared" si="109"/>
        <v>0.2</v>
      </c>
      <c r="EF77" s="26">
        <f t="shared" si="109"/>
        <v>0.2</v>
      </c>
      <c r="EG77" s="26">
        <f t="shared" si="109"/>
        <v>0.06</v>
      </c>
      <c r="EH77" s="26">
        <f t="shared" si="109"/>
        <v>0</v>
      </c>
      <c r="EI77" s="26">
        <f t="shared" si="109"/>
        <v>0</v>
      </c>
      <c r="EJ77" s="26">
        <f t="shared" si="109"/>
        <v>0</v>
      </c>
      <c r="EK77" s="26">
        <f t="shared" si="109"/>
        <v>0</v>
      </c>
      <c r="EL77" s="26">
        <f t="shared" si="109"/>
        <v>0</v>
      </c>
      <c r="EM77" s="26">
        <f t="shared" si="92"/>
        <v>107149</v>
      </c>
      <c r="EN77" s="26">
        <f t="shared" si="93"/>
        <v>125481</v>
      </c>
      <c r="EO77" s="26">
        <f t="shared" si="94"/>
        <v>167990</v>
      </c>
      <c r="EP77" s="26">
        <f t="shared" si="95"/>
        <v>239757</v>
      </c>
      <c r="EQ77" s="26">
        <f t="shared" si="96"/>
        <v>299937</v>
      </c>
    </row>
    <row r="78" spans="2:147">
      <c r="Q78" s="26">
        <v>74</v>
      </c>
      <c r="R78" s="26">
        <f>总纲!D78</f>
        <v>167.89701257893043</v>
      </c>
      <c r="S78" s="26">
        <f>求节点(将星点产出!$W$6:$W$44,将星点产出!$AO$6:$AO$44,星阵点亮!$Q78)</f>
        <v>183044.96248480721</v>
      </c>
      <c r="T78" s="26">
        <f t="shared" si="87"/>
        <v>26</v>
      </c>
      <c r="U78" s="26">
        <f>总纲!E78</f>
        <v>145.16375707574326</v>
      </c>
      <c r="V78" s="26">
        <f>求节点(将星点产出!$W$51:$W$89,将星点产出!$AO$51:$AO$89,星阵点亮!$Q78)</f>
        <v>224221.3294472328</v>
      </c>
      <c r="W78" s="26">
        <f t="shared" si="88"/>
        <v>29</v>
      </c>
      <c r="X78" s="26">
        <f>总纲!F78</f>
        <v>118.70318789330381</v>
      </c>
      <c r="Y78" s="26">
        <f>求节点(将星点产出!$W$96:$W$134,将星点产出!$AO$96:$AO$134,星阵点亮!$Q78)</f>
        <v>321599.56379951118</v>
      </c>
      <c r="Z78" s="26">
        <f t="shared" si="89"/>
        <v>35</v>
      </c>
      <c r="AA78" s="26">
        <f>总纲!G78</f>
        <v>86.869914308338593</v>
      </c>
      <c r="AB78" s="26">
        <f>求节点(将星点产出!$W$141:$W$179,将星点产出!$AO$141:$AO$179,星阵点亮!$Q78)</f>
        <v>523809.28929478431</v>
      </c>
      <c r="AC78" s="26">
        <f t="shared" si="90"/>
        <v>44</v>
      </c>
      <c r="AD78" s="26">
        <f>总纲!H78</f>
        <v>48.169652908895138</v>
      </c>
      <c r="AE78" s="26">
        <f>求节点(将星点产出!$W$186:$W$224,将星点产出!$AO$186:$AO$224,星阵点亮!$Q78)</f>
        <v>614154.38407688786</v>
      </c>
      <c r="AF78" s="26">
        <f t="shared" si="91"/>
        <v>48</v>
      </c>
      <c r="AG78" s="26">
        <f t="shared" si="100"/>
        <v>1.5</v>
      </c>
      <c r="AH78" s="26">
        <f t="shared" si="100"/>
        <v>1</v>
      </c>
      <c r="AI78" s="26">
        <f t="shared" si="100"/>
        <v>1</v>
      </c>
      <c r="AJ78" s="26">
        <f t="shared" si="100"/>
        <v>1.5</v>
      </c>
      <c r="AK78" s="26">
        <f t="shared" si="100"/>
        <v>0</v>
      </c>
      <c r="AL78" s="26">
        <f t="shared" si="100"/>
        <v>0</v>
      </c>
      <c r="AM78" s="26">
        <f t="shared" si="100"/>
        <v>1</v>
      </c>
      <c r="AN78" s="26">
        <f t="shared" si="100"/>
        <v>1</v>
      </c>
      <c r="AO78" s="26">
        <f t="shared" si="100"/>
        <v>1</v>
      </c>
      <c r="AP78" s="26">
        <f t="shared" si="100"/>
        <v>1</v>
      </c>
      <c r="AQ78" s="26">
        <f t="shared" si="101"/>
        <v>0</v>
      </c>
      <c r="AR78" s="26">
        <f t="shared" si="101"/>
        <v>0</v>
      </c>
      <c r="AS78" s="26">
        <f t="shared" si="101"/>
        <v>0</v>
      </c>
      <c r="AT78" s="26">
        <f t="shared" si="101"/>
        <v>0</v>
      </c>
      <c r="AU78" s="26">
        <f t="shared" si="101"/>
        <v>0</v>
      </c>
      <c r="AV78" s="26">
        <f t="shared" si="101"/>
        <v>0</v>
      </c>
      <c r="AW78" s="26">
        <f t="shared" si="101"/>
        <v>0</v>
      </c>
      <c r="AX78" s="26">
        <f t="shared" si="101"/>
        <v>0</v>
      </c>
      <c r="AY78" s="26">
        <f t="shared" si="101"/>
        <v>0</v>
      </c>
      <c r="AZ78" s="26">
        <f t="shared" si="101"/>
        <v>0</v>
      </c>
      <c r="BA78" s="26">
        <f t="shared" si="101"/>
        <v>0</v>
      </c>
      <c r="BB78" s="26">
        <f t="shared" si="101"/>
        <v>0</v>
      </c>
      <c r="BC78" s="26">
        <f t="shared" si="102"/>
        <v>1.5</v>
      </c>
      <c r="BD78" s="26">
        <f t="shared" si="102"/>
        <v>1.5</v>
      </c>
      <c r="BE78" s="26">
        <f t="shared" si="102"/>
        <v>1.5</v>
      </c>
      <c r="BF78" s="26">
        <f t="shared" si="102"/>
        <v>1.5</v>
      </c>
      <c r="BG78" s="26">
        <f t="shared" si="102"/>
        <v>0.3</v>
      </c>
      <c r="BH78" s="26">
        <f t="shared" si="102"/>
        <v>0</v>
      </c>
      <c r="BI78" s="26">
        <f t="shared" si="102"/>
        <v>1</v>
      </c>
      <c r="BJ78" s="26">
        <f t="shared" si="102"/>
        <v>1</v>
      </c>
      <c r="BK78" s="26">
        <f t="shared" si="102"/>
        <v>1</v>
      </c>
      <c r="BL78" s="26">
        <f t="shared" si="102"/>
        <v>1</v>
      </c>
      <c r="BM78" s="26">
        <f t="shared" si="103"/>
        <v>0</v>
      </c>
      <c r="BN78" s="26">
        <f t="shared" si="103"/>
        <v>0</v>
      </c>
      <c r="BO78" s="26">
        <f t="shared" si="103"/>
        <v>0</v>
      </c>
      <c r="BP78" s="26">
        <f t="shared" si="103"/>
        <v>0</v>
      </c>
      <c r="BQ78" s="26">
        <f t="shared" si="103"/>
        <v>0</v>
      </c>
      <c r="BR78" s="26">
        <f t="shared" si="103"/>
        <v>0</v>
      </c>
      <c r="BS78" s="26">
        <f t="shared" si="103"/>
        <v>0</v>
      </c>
      <c r="BT78" s="26">
        <f t="shared" si="103"/>
        <v>0</v>
      </c>
      <c r="BU78" s="26">
        <f t="shared" si="103"/>
        <v>0</v>
      </c>
      <c r="BV78" s="26">
        <f t="shared" si="103"/>
        <v>0</v>
      </c>
      <c r="BW78" s="26">
        <f t="shared" si="103"/>
        <v>0</v>
      </c>
      <c r="BX78" s="26">
        <f t="shared" si="103"/>
        <v>0</v>
      </c>
      <c r="BY78" s="26">
        <f t="shared" si="104"/>
        <v>1.5</v>
      </c>
      <c r="BZ78" s="26">
        <f t="shared" si="104"/>
        <v>1.5</v>
      </c>
      <c r="CA78" s="26">
        <f t="shared" si="104"/>
        <v>1.5</v>
      </c>
      <c r="CB78" s="26">
        <f t="shared" si="104"/>
        <v>1.5</v>
      </c>
      <c r="CC78" s="26">
        <f t="shared" si="104"/>
        <v>1.5</v>
      </c>
      <c r="CD78" s="26">
        <f t="shared" si="104"/>
        <v>0</v>
      </c>
      <c r="CE78" s="26">
        <f t="shared" si="104"/>
        <v>1</v>
      </c>
      <c r="CF78" s="26">
        <f t="shared" si="104"/>
        <v>1</v>
      </c>
      <c r="CG78" s="26">
        <f t="shared" si="104"/>
        <v>1</v>
      </c>
      <c r="CH78" s="26">
        <f t="shared" si="104"/>
        <v>1</v>
      </c>
      <c r="CI78" s="26">
        <f t="shared" si="105"/>
        <v>0</v>
      </c>
      <c r="CJ78" s="26">
        <f t="shared" si="105"/>
        <v>0.2</v>
      </c>
      <c r="CK78" s="26">
        <f t="shared" si="105"/>
        <v>0.1</v>
      </c>
      <c r="CL78" s="26">
        <f t="shared" si="105"/>
        <v>0</v>
      </c>
      <c r="CM78" s="26">
        <f t="shared" si="105"/>
        <v>0</v>
      </c>
      <c r="CN78" s="26">
        <f t="shared" si="105"/>
        <v>0</v>
      </c>
      <c r="CO78" s="26">
        <f t="shared" si="105"/>
        <v>0</v>
      </c>
      <c r="CP78" s="26">
        <f t="shared" si="105"/>
        <v>0</v>
      </c>
      <c r="CQ78" s="26">
        <f t="shared" si="105"/>
        <v>0</v>
      </c>
      <c r="CR78" s="26">
        <f t="shared" si="105"/>
        <v>0</v>
      </c>
      <c r="CS78" s="26">
        <f t="shared" si="105"/>
        <v>0</v>
      </c>
      <c r="CT78" s="26">
        <f t="shared" si="105"/>
        <v>0</v>
      </c>
      <c r="CU78" s="26">
        <f t="shared" si="106"/>
        <v>1.5</v>
      </c>
      <c r="CV78" s="26">
        <f t="shared" si="106"/>
        <v>1.5</v>
      </c>
      <c r="CW78" s="26">
        <f t="shared" si="106"/>
        <v>1.5</v>
      </c>
      <c r="CX78" s="26">
        <f t="shared" si="106"/>
        <v>1.5</v>
      </c>
      <c r="CY78" s="26">
        <f t="shared" si="106"/>
        <v>1.5</v>
      </c>
      <c r="CZ78" s="26">
        <f t="shared" si="106"/>
        <v>0</v>
      </c>
      <c r="DA78" s="26">
        <f t="shared" si="106"/>
        <v>1</v>
      </c>
      <c r="DB78" s="26">
        <f t="shared" si="106"/>
        <v>1</v>
      </c>
      <c r="DC78" s="26">
        <f t="shared" si="106"/>
        <v>1</v>
      </c>
      <c r="DD78" s="26">
        <f t="shared" si="106"/>
        <v>1</v>
      </c>
      <c r="DE78" s="26">
        <f t="shared" si="107"/>
        <v>0.3</v>
      </c>
      <c r="DF78" s="26">
        <f t="shared" si="107"/>
        <v>0.2</v>
      </c>
      <c r="DG78" s="26">
        <f t="shared" si="107"/>
        <v>0.2</v>
      </c>
      <c r="DH78" s="26">
        <f t="shared" si="107"/>
        <v>0.2</v>
      </c>
      <c r="DI78" s="26">
        <f t="shared" si="107"/>
        <v>0.2</v>
      </c>
      <c r="DJ78" s="26">
        <f t="shared" si="107"/>
        <v>0.2</v>
      </c>
      <c r="DK78" s="26">
        <f t="shared" si="107"/>
        <v>0.03</v>
      </c>
      <c r="DL78" s="26">
        <f t="shared" si="107"/>
        <v>0</v>
      </c>
      <c r="DM78" s="26">
        <f t="shared" si="107"/>
        <v>0</v>
      </c>
      <c r="DN78" s="26">
        <f t="shared" si="107"/>
        <v>0</v>
      </c>
      <c r="DO78" s="26">
        <f t="shared" si="107"/>
        <v>0</v>
      </c>
      <c r="DP78" s="26">
        <f t="shared" si="107"/>
        <v>0</v>
      </c>
      <c r="DQ78" s="26">
        <f t="shared" si="108"/>
        <v>1.5</v>
      </c>
      <c r="DR78" s="26">
        <f t="shared" si="108"/>
        <v>1.5</v>
      </c>
      <c r="DS78" s="26">
        <f t="shared" si="108"/>
        <v>1.5</v>
      </c>
      <c r="DT78" s="26">
        <f t="shared" si="108"/>
        <v>1.5</v>
      </c>
      <c r="DU78" s="26">
        <f t="shared" si="108"/>
        <v>1.5</v>
      </c>
      <c r="DV78" s="26">
        <f t="shared" si="108"/>
        <v>0</v>
      </c>
      <c r="DW78" s="26">
        <f t="shared" si="108"/>
        <v>1</v>
      </c>
      <c r="DX78" s="26">
        <f t="shared" si="108"/>
        <v>1</v>
      </c>
      <c r="DY78" s="26">
        <f t="shared" si="108"/>
        <v>1</v>
      </c>
      <c r="DZ78" s="26">
        <f t="shared" si="108"/>
        <v>1</v>
      </c>
      <c r="EA78" s="26">
        <f t="shared" si="109"/>
        <v>1</v>
      </c>
      <c r="EB78" s="26">
        <f t="shared" si="109"/>
        <v>0.2</v>
      </c>
      <c r="EC78" s="26">
        <f t="shared" si="109"/>
        <v>0.2</v>
      </c>
      <c r="ED78" s="26">
        <f t="shared" si="109"/>
        <v>0.2</v>
      </c>
      <c r="EE78" s="26">
        <f t="shared" si="109"/>
        <v>0.2</v>
      </c>
      <c r="EF78" s="26">
        <f t="shared" si="109"/>
        <v>0.2</v>
      </c>
      <c r="EG78" s="26">
        <f t="shared" si="109"/>
        <v>0.1</v>
      </c>
      <c r="EH78" s="26">
        <f t="shared" si="109"/>
        <v>0</v>
      </c>
      <c r="EI78" s="26">
        <f t="shared" si="109"/>
        <v>0</v>
      </c>
      <c r="EJ78" s="26">
        <f t="shared" si="109"/>
        <v>0</v>
      </c>
      <c r="EK78" s="26">
        <f t="shared" si="109"/>
        <v>0</v>
      </c>
      <c r="EL78" s="26">
        <f t="shared" si="109"/>
        <v>0</v>
      </c>
      <c r="EM78" s="26">
        <f t="shared" si="92"/>
        <v>113129</v>
      </c>
      <c r="EN78" s="26">
        <f t="shared" si="93"/>
        <v>131852</v>
      </c>
      <c r="EO78" s="26">
        <f t="shared" si="94"/>
        <v>175758</v>
      </c>
      <c r="EP78" s="26">
        <f t="shared" si="95"/>
        <v>254727</v>
      </c>
      <c r="EQ78" s="26">
        <f t="shared" si="96"/>
        <v>319898</v>
      </c>
    </row>
    <row r="79" spans="2:147">
      <c r="Q79" s="26">
        <v>75</v>
      </c>
      <c r="R79" s="26">
        <f>总纲!D79</f>
        <v>180.01933598375612</v>
      </c>
      <c r="S79" s="26">
        <f>求节点(将星点产出!$W$6:$W$44,将星点产出!$AO$6:$AO$44,星阵点亮!$Q79)</f>
        <v>191489.45960456293</v>
      </c>
      <c r="T79" s="26">
        <f t="shared" si="87"/>
        <v>27</v>
      </c>
      <c r="U79" s="26">
        <f>总纲!E79</f>
        <v>155.75272949314578</v>
      </c>
      <c r="V79" s="26">
        <f>求节点(将星点产出!$W$51:$W$89,将星点产出!$AO$51:$AO$89,星阵点亮!$Q79)</f>
        <v>234254.63749607329</v>
      </c>
      <c r="W79" s="26">
        <f t="shared" si="88"/>
        <v>30</v>
      </c>
      <c r="X79" s="26">
        <f>总纲!F79</f>
        <v>127.38168214210583</v>
      </c>
      <c r="Y79" s="26">
        <f>求节点(将星点产出!$W$96:$W$134,将星点产出!$AO$96:$AO$134,星阵点亮!$Q79)</f>
        <v>341125.45621867751</v>
      </c>
      <c r="Z79" s="26">
        <f t="shared" si="89"/>
        <v>36</v>
      </c>
      <c r="AA79" s="26">
        <f>总纲!G79</f>
        <v>93.214012172388934</v>
      </c>
      <c r="AB79" s="26">
        <f>求节点(将星点产出!$W$141:$W$179,将星点产出!$AO$141:$AO$179,星阵点亮!$Q79)</f>
        <v>551510.66706953268</v>
      </c>
      <c r="AC79" s="26">
        <f t="shared" si="90"/>
        <v>46</v>
      </c>
      <c r="AD79" s="26">
        <f>总纲!H79</f>
        <v>51.755559095329879</v>
      </c>
      <c r="AE79" s="26">
        <f>求节点(将星点产出!$W$186:$W$224,将星点产出!$AO$186:$AO$224,星阵点亮!$Q79)</f>
        <v>640004.69398358522</v>
      </c>
      <c r="AF79" s="26">
        <f t="shared" si="91"/>
        <v>49</v>
      </c>
      <c r="AG79" s="26">
        <f t="shared" si="100"/>
        <v>1.5</v>
      </c>
      <c r="AH79" s="26">
        <f t="shared" si="100"/>
        <v>1</v>
      </c>
      <c r="AI79" s="26">
        <f t="shared" si="100"/>
        <v>1</v>
      </c>
      <c r="AJ79" s="26">
        <f t="shared" si="100"/>
        <v>1.5</v>
      </c>
      <c r="AK79" s="26">
        <f t="shared" si="100"/>
        <v>0.3</v>
      </c>
      <c r="AL79" s="26">
        <f t="shared" si="100"/>
        <v>0</v>
      </c>
      <c r="AM79" s="26">
        <f t="shared" si="100"/>
        <v>1</v>
      </c>
      <c r="AN79" s="26">
        <f t="shared" si="100"/>
        <v>1</v>
      </c>
      <c r="AO79" s="26">
        <f t="shared" si="100"/>
        <v>1</v>
      </c>
      <c r="AP79" s="26">
        <f t="shared" si="100"/>
        <v>1</v>
      </c>
      <c r="AQ79" s="26">
        <f t="shared" si="101"/>
        <v>0</v>
      </c>
      <c r="AR79" s="26">
        <f t="shared" si="101"/>
        <v>0</v>
      </c>
      <c r="AS79" s="26">
        <f t="shared" si="101"/>
        <v>0</v>
      </c>
      <c r="AT79" s="26">
        <f t="shared" si="101"/>
        <v>0</v>
      </c>
      <c r="AU79" s="26">
        <f t="shared" si="101"/>
        <v>0</v>
      </c>
      <c r="AV79" s="26">
        <f t="shared" si="101"/>
        <v>0</v>
      </c>
      <c r="AW79" s="26">
        <f t="shared" si="101"/>
        <v>0</v>
      </c>
      <c r="AX79" s="26">
        <f t="shared" si="101"/>
        <v>0</v>
      </c>
      <c r="AY79" s="26">
        <f t="shared" si="101"/>
        <v>0</v>
      </c>
      <c r="AZ79" s="26">
        <f t="shared" si="101"/>
        <v>0</v>
      </c>
      <c r="BA79" s="26">
        <f t="shared" si="101"/>
        <v>0</v>
      </c>
      <c r="BB79" s="26">
        <f t="shared" si="101"/>
        <v>0</v>
      </c>
      <c r="BC79" s="26">
        <f t="shared" si="102"/>
        <v>1.5</v>
      </c>
      <c r="BD79" s="26">
        <f t="shared" si="102"/>
        <v>1.5</v>
      </c>
      <c r="BE79" s="26">
        <f t="shared" si="102"/>
        <v>1.5</v>
      </c>
      <c r="BF79" s="26">
        <f t="shared" si="102"/>
        <v>1.5</v>
      </c>
      <c r="BG79" s="26">
        <f t="shared" si="102"/>
        <v>0.6</v>
      </c>
      <c r="BH79" s="26">
        <f t="shared" si="102"/>
        <v>0</v>
      </c>
      <c r="BI79" s="26">
        <f t="shared" si="102"/>
        <v>1</v>
      </c>
      <c r="BJ79" s="26">
        <f t="shared" si="102"/>
        <v>1</v>
      </c>
      <c r="BK79" s="26">
        <f t="shared" si="102"/>
        <v>1</v>
      </c>
      <c r="BL79" s="26">
        <f t="shared" si="102"/>
        <v>1</v>
      </c>
      <c r="BM79" s="26">
        <f t="shared" si="103"/>
        <v>0</v>
      </c>
      <c r="BN79" s="26">
        <f t="shared" si="103"/>
        <v>0</v>
      </c>
      <c r="BO79" s="26">
        <f t="shared" si="103"/>
        <v>0</v>
      </c>
      <c r="BP79" s="26">
        <f t="shared" si="103"/>
        <v>0</v>
      </c>
      <c r="BQ79" s="26">
        <f t="shared" si="103"/>
        <v>0</v>
      </c>
      <c r="BR79" s="26">
        <f t="shared" si="103"/>
        <v>0</v>
      </c>
      <c r="BS79" s="26">
        <f t="shared" si="103"/>
        <v>0</v>
      </c>
      <c r="BT79" s="26">
        <f t="shared" si="103"/>
        <v>0</v>
      </c>
      <c r="BU79" s="26">
        <f t="shared" si="103"/>
        <v>0</v>
      </c>
      <c r="BV79" s="26">
        <f t="shared" si="103"/>
        <v>0</v>
      </c>
      <c r="BW79" s="26">
        <f t="shared" si="103"/>
        <v>0</v>
      </c>
      <c r="BX79" s="26">
        <f t="shared" si="103"/>
        <v>0</v>
      </c>
      <c r="BY79" s="26">
        <f t="shared" si="104"/>
        <v>1.5</v>
      </c>
      <c r="BZ79" s="26">
        <f t="shared" si="104"/>
        <v>1.5</v>
      </c>
      <c r="CA79" s="26">
        <f t="shared" si="104"/>
        <v>1.5</v>
      </c>
      <c r="CB79" s="26">
        <f t="shared" si="104"/>
        <v>1.5</v>
      </c>
      <c r="CC79" s="26">
        <f t="shared" si="104"/>
        <v>1.5</v>
      </c>
      <c r="CD79" s="26">
        <f t="shared" si="104"/>
        <v>0</v>
      </c>
      <c r="CE79" s="26">
        <f t="shared" si="104"/>
        <v>1</v>
      </c>
      <c r="CF79" s="26">
        <f t="shared" si="104"/>
        <v>1</v>
      </c>
      <c r="CG79" s="26">
        <f t="shared" si="104"/>
        <v>1</v>
      </c>
      <c r="CH79" s="26">
        <f t="shared" si="104"/>
        <v>1</v>
      </c>
      <c r="CI79" s="26">
        <f t="shared" si="105"/>
        <v>0</v>
      </c>
      <c r="CJ79" s="26">
        <f t="shared" si="105"/>
        <v>0.2</v>
      </c>
      <c r="CK79" s="26">
        <f t="shared" si="105"/>
        <v>0.2</v>
      </c>
      <c r="CL79" s="26">
        <f t="shared" si="105"/>
        <v>0</v>
      </c>
      <c r="CM79" s="26">
        <f t="shared" si="105"/>
        <v>0</v>
      </c>
      <c r="CN79" s="26">
        <f t="shared" si="105"/>
        <v>0</v>
      </c>
      <c r="CO79" s="26">
        <f t="shared" si="105"/>
        <v>0</v>
      </c>
      <c r="CP79" s="26">
        <f t="shared" si="105"/>
        <v>0</v>
      </c>
      <c r="CQ79" s="26">
        <f t="shared" si="105"/>
        <v>0</v>
      </c>
      <c r="CR79" s="26">
        <f t="shared" si="105"/>
        <v>0</v>
      </c>
      <c r="CS79" s="26">
        <f t="shared" si="105"/>
        <v>0</v>
      </c>
      <c r="CT79" s="26">
        <f t="shared" si="105"/>
        <v>0</v>
      </c>
      <c r="CU79" s="26">
        <f t="shared" si="106"/>
        <v>1.5</v>
      </c>
      <c r="CV79" s="26">
        <f t="shared" si="106"/>
        <v>1.5</v>
      </c>
      <c r="CW79" s="26">
        <f t="shared" si="106"/>
        <v>1.5</v>
      </c>
      <c r="CX79" s="26">
        <f t="shared" si="106"/>
        <v>1.5</v>
      </c>
      <c r="CY79" s="26">
        <f t="shared" si="106"/>
        <v>1.5</v>
      </c>
      <c r="CZ79" s="26">
        <f t="shared" si="106"/>
        <v>0</v>
      </c>
      <c r="DA79" s="26">
        <f t="shared" si="106"/>
        <v>1</v>
      </c>
      <c r="DB79" s="26">
        <f t="shared" si="106"/>
        <v>1</v>
      </c>
      <c r="DC79" s="26">
        <f t="shared" si="106"/>
        <v>1</v>
      </c>
      <c r="DD79" s="26">
        <f t="shared" si="106"/>
        <v>1</v>
      </c>
      <c r="DE79" s="26">
        <f t="shared" si="107"/>
        <v>0.6</v>
      </c>
      <c r="DF79" s="26">
        <f t="shared" si="107"/>
        <v>0.2</v>
      </c>
      <c r="DG79" s="26">
        <f t="shared" si="107"/>
        <v>0.2</v>
      </c>
      <c r="DH79" s="26">
        <f t="shared" si="107"/>
        <v>0.2</v>
      </c>
      <c r="DI79" s="26">
        <f t="shared" si="107"/>
        <v>0.2</v>
      </c>
      <c r="DJ79" s="26">
        <f t="shared" si="107"/>
        <v>0.2</v>
      </c>
      <c r="DK79" s="26">
        <f t="shared" si="107"/>
        <v>0.06</v>
      </c>
      <c r="DL79" s="26">
        <f t="shared" si="107"/>
        <v>0</v>
      </c>
      <c r="DM79" s="26">
        <f t="shared" si="107"/>
        <v>0</v>
      </c>
      <c r="DN79" s="26">
        <f t="shared" si="107"/>
        <v>0</v>
      </c>
      <c r="DO79" s="26">
        <f t="shared" si="107"/>
        <v>0</v>
      </c>
      <c r="DP79" s="26">
        <f t="shared" si="107"/>
        <v>0</v>
      </c>
      <c r="DQ79" s="26">
        <f t="shared" si="108"/>
        <v>1.5</v>
      </c>
      <c r="DR79" s="26">
        <f t="shared" si="108"/>
        <v>1.5</v>
      </c>
      <c r="DS79" s="26">
        <f t="shared" si="108"/>
        <v>1.5</v>
      </c>
      <c r="DT79" s="26">
        <f t="shared" si="108"/>
        <v>1.5</v>
      </c>
      <c r="DU79" s="26">
        <f t="shared" si="108"/>
        <v>1.5</v>
      </c>
      <c r="DV79" s="26">
        <f t="shared" si="108"/>
        <v>0</v>
      </c>
      <c r="DW79" s="26">
        <f t="shared" si="108"/>
        <v>1</v>
      </c>
      <c r="DX79" s="26">
        <f t="shared" si="108"/>
        <v>1</v>
      </c>
      <c r="DY79" s="26">
        <f t="shared" si="108"/>
        <v>1</v>
      </c>
      <c r="DZ79" s="26">
        <f t="shared" si="108"/>
        <v>1</v>
      </c>
      <c r="EA79" s="26">
        <f t="shared" si="109"/>
        <v>1</v>
      </c>
      <c r="EB79" s="26">
        <f t="shared" si="109"/>
        <v>0.2</v>
      </c>
      <c r="EC79" s="26">
        <f t="shared" si="109"/>
        <v>0.2</v>
      </c>
      <c r="ED79" s="26">
        <f t="shared" si="109"/>
        <v>0.2</v>
      </c>
      <c r="EE79" s="26">
        <f t="shared" si="109"/>
        <v>0.2</v>
      </c>
      <c r="EF79" s="26">
        <f t="shared" si="109"/>
        <v>0.2</v>
      </c>
      <c r="EG79" s="26">
        <f t="shared" si="109"/>
        <v>0.1</v>
      </c>
      <c r="EH79" s="26">
        <f t="shared" si="109"/>
        <v>2.5000000000000001E-2</v>
      </c>
      <c r="EI79" s="26">
        <f t="shared" si="109"/>
        <v>0</v>
      </c>
      <c r="EJ79" s="26">
        <f t="shared" si="109"/>
        <v>0</v>
      </c>
      <c r="EK79" s="26">
        <f t="shared" si="109"/>
        <v>0</v>
      </c>
      <c r="EL79" s="26">
        <f t="shared" si="109"/>
        <v>0</v>
      </c>
      <c r="EM79" s="26">
        <f t="shared" si="92"/>
        <v>119240</v>
      </c>
      <c r="EN79" s="26">
        <f t="shared" si="93"/>
        <v>138354</v>
      </c>
      <c r="EO79" s="26">
        <f t="shared" si="94"/>
        <v>183576</v>
      </c>
      <c r="EP79" s="26">
        <f t="shared" si="95"/>
        <v>284817</v>
      </c>
      <c r="EQ79" s="26">
        <f t="shared" si="96"/>
        <v>339909</v>
      </c>
    </row>
    <row r="80" spans="2:147">
      <c r="Q80" s="26">
        <v>76</v>
      </c>
      <c r="R80" s="26">
        <f>总纲!D80</f>
        <v>193.01172051333091</v>
      </c>
      <c r="S80" s="26">
        <f>求节点(将星点产出!$W$6:$W$44,将星点产出!$AO$6:$AO$44,星阵点亮!$Q80)</f>
        <v>199927.70001017218</v>
      </c>
      <c r="T80" s="26">
        <f t="shared" si="87"/>
        <v>27</v>
      </c>
      <c r="U80" s="26">
        <f>总纲!E80</f>
        <v>166.97443941608256</v>
      </c>
      <c r="V80" s="26">
        <f>求节点(将星点产出!$W$51:$W$89,将星点产出!$AO$51:$AO$89,星阵点亮!$Q80)</f>
        <v>248220.67389711924</v>
      </c>
      <c r="W80" s="26">
        <f t="shared" si="88"/>
        <v>31</v>
      </c>
      <c r="X80" s="26">
        <f>总纲!F80</f>
        <v>136.51718991907896</v>
      </c>
      <c r="Y80" s="26">
        <f>求节点(将星点产出!$W$96:$W$134,将星点产出!$AO$96:$AO$134,星阵点亮!$Q80)</f>
        <v>359330.97169697669</v>
      </c>
      <c r="Z80" s="26">
        <f t="shared" si="89"/>
        <v>37</v>
      </c>
      <c r="AA80" s="26">
        <f>总纲!G80</f>
        <v>100.0379747420594</v>
      </c>
      <c r="AB80" s="26">
        <f>求节点(将星点产出!$W$141:$W$179,将星点产出!$AO$141:$AO$179,星阵点亮!$Q80)</f>
        <v>575362.46424201771</v>
      </c>
      <c r="AC80" s="26">
        <f t="shared" si="90"/>
        <v>46</v>
      </c>
      <c r="AD80" s="26">
        <f>总纲!H80</f>
        <v>55.664580196044632</v>
      </c>
      <c r="AE80" s="26">
        <f>求节点(将星点产出!$W$186:$W$224,将星点产出!$AO$186:$AO$224,星阵点亮!$Q80)</f>
        <v>667800.41281324462</v>
      </c>
      <c r="AF80" s="26">
        <f t="shared" si="91"/>
        <v>50</v>
      </c>
      <c r="AG80" s="26">
        <f t="shared" si="100"/>
        <v>1.5</v>
      </c>
      <c r="AH80" s="26">
        <f t="shared" si="100"/>
        <v>1</v>
      </c>
      <c r="AI80" s="26">
        <f t="shared" si="100"/>
        <v>1</v>
      </c>
      <c r="AJ80" s="26">
        <f t="shared" si="100"/>
        <v>1.5</v>
      </c>
      <c r="AK80" s="26">
        <f t="shared" si="100"/>
        <v>0.3</v>
      </c>
      <c r="AL80" s="26">
        <f t="shared" si="100"/>
        <v>0</v>
      </c>
      <c r="AM80" s="26">
        <f t="shared" si="100"/>
        <v>1</v>
      </c>
      <c r="AN80" s="26">
        <f t="shared" si="100"/>
        <v>1</v>
      </c>
      <c r="AO80" s="26">
        <f t="shared" si="100"/>
        <v>1</v>
      </c>
      <c r="AP80" s="26">
        <f t="shared" si="100"/>
        <v>1</v>
      </c>
      <c r="AQ80" s="26">
        <f t="shared" si="101"/>
        <v>0</v>
      </c>
      <c r="AR80" s="26">
        <f t="shared" si="101"/>
        <v>0</v>
      </c>
      <c r="AS80" s="26">
        <f t="shared" si="101"/>
        <v>0</v>
      </c>
      <c r="AT80" s="26">
        <f t="shared" si="101"/>
        <v>0</v>
      </c>
      <c r="AU80" s="26">
        <f t="shared" si="101"/>
        <v>0</v>
      </c>
      <c r="AV80" s="26">
        <f t="shared" si="101"/>
        <v>0</v>
      </c>
      <c r="AW80" s="26">
        <f t="shared" si="101"/>
        <v>0</v>
      </c>
      <c r="AX80" s="26">
        <f t="shared" si="101"/>
        <v>0</v>
      </c>
      <c r="AY80" s="26">
        <f t="shared" si="101"/>
        <v>0</v>
      </c>
      <c r="AZ80" s="26">
        <f t="shared" si="101"/>
        <v>0</v>
      </c>
      <c r="BA80" s="26">
        <f t="shared" si="101"/>
        <v>0</v>
      </c>
      <c r="BB80" s="26">
        <f t="shared" si="101"/>
        <v>0</v>
      </c>
      <c r="BC80" s="26">
        <f t="shared" si="102"/>
        <v>1.5</v>
      </c>
      <c r="BD80" s="26">
        <f t="shared" si="102"/>
        <v>1.5</v>
      </c>
      <c r="BE80" s="26">
        <f t="shared" si="102"/>
        <v>1.5</v>
      </c>
      <c r="BF80" s="26">
        <f t="shared" si="102"/>
        <v>1.5</v>
      </c>
      <c r="BG80" s="26">
        <f t="shared" si="102"/>
        <v>1</v>
      </c>
      <c r="BH80" s="26">
        <f t="shared" si="102"/>
        <v>0</v>
      </c>
      <c r="BI80" s="26">
        <f t="shared" si="102"/>
        <v>1</v>
      </c>
      <c r="BJ80" s="26">
        <f t="shared" si="102"/>
        <v>1</v>
      </c>
      <c r="BK80" s="26">
        <f t="shared" si="102"/>
        <v>1</v>
      </c>
      <c r="BL80" s="26">
        <f t="shared" si="102"/>
        <v>1</v>
      </c>
      <c r="BM80" s="26">
        <f t="shared" si="103"/>
        <v>0</v>
      </c>
      <c r="BN80" s="26">
        <f t="shared" si="103"/>
        <v>0</v>
      </c>
      <c r="BO80" s="26">
        <f t="shared" si="103"/>
        <v>0</v>
      </c>
      <c r="BP80" s="26">
        <f t="shared" si="103"/>
        <v>0</v>
      </c>
      <c r="BQ80" s="26">
        <f t="shared" si="103"/>
        <v>0</v>
      </c>
      <c r="BR80" s="26">
        <f t="shared" si="103"/>
        <v>0</v>
      </c>
      <c r="BS80" s="26">
        <f t="shared" si="103"/>
        <v>0</v>
      </c>
      <c r="BT80" s="26">
        <f t="shared" si="103"/>
        <v>0</v>
      </c>
      <c r="BU80" s="26">
        <f t="shared" si="103"/>
        <v>0</v>
      </c>
      <c r="BV80" s="26">
        <f t="shared" si="103"/>
        <v>0</v>
      </c>
      <c r="BW80" s="26">
        <f t="shared" si="103"/>
        <v>0</v>
      </c>
      <c r="BX80" s="26">
        <f t="shared" si="103"/>
        <v>0</v>
      </c>
      <c r="BY80" s="26">
        <f t="shared" si="104"/>
        <v>1.5</v>
      </c>
      <c r="BZ80" s="26">
        <f t="shared" si="104"/>
        <v>1.5</v>
      </c>
      <c r="CA80" s="26">
        <f t="shared" si="104"/>
        <v>1.5</v>
      </c>
      <c r="CB80" s="26">
        <f t="shared" si="104"/>
        <v>1.5</v>
      </c>
      <c r="CC80" s="26">
        <f t="shared" si="104"/>
        <v>1.5</v>
      </c>
      <c r="CD80" s="26">
        <f t="shared" si="104"/>
        <v>0</v>
      </c>
      <c r="CE80" s="26">
        <f t="shared" si="104"/>
        <v>1</v>
      </c>
      <c r="CF80" s="26">
        <f t="shared" si="104"/>
        <v>1</v>
      </c>
      <c r="CG80" s="26">
        <f t="shared" si="104"/>
        <v>1</v>
      </c>
      <c r="CH80" s="26">
        <f t="shared" si="104"/>
        <v>1</v>
      </c>
      <c r="CI80" s="26">
        <f t="shared" si="105"/>
        <v>0</v>
      </c>
      <c r="CJ80" s="26">
        <f t="shared" si="105"/>
        <v>0.2</v>
      </c>
      <c r="CK80" s="26">
        <f t="shared" si="105"/>
        <v>0.2</v>
      </c>
      <c r="CL80" s="26">
        <f t="shared" si="105"/>
        <v>0.1</v>
      </c>
      <c r="CM80" s="26">
        <f t="shared" si="105"/>
        <v>0</v>
      </c>
      <c r="CN80" s="26">
        <f t="shared" si="105"/>
        <v>0</v>
      </c>
      <c r="CO80" s="26">
        <f t="shared" si="105"/>
        <v>0</v>
      </c>
      <c r="CP80" s="26">
        <f t="shared" si="105"/>
        <v>0</v>
      </c>
      <c r="CQ80" s="26">
        <f t="shared" si="105"/>
        <v>0</v>
      </c>
      <c r="CR80" s="26">
        <f t="shared" si="105"/>
        <v>0</v>
      </c>
      <c r="CS80" s="26">
        <f t="shared" si="105"/>
        <v>0</v>
      </c>
      <c r="CT80" s="26">
        <f t="shared" si="105"/>
        <v>0</v>
      </c>
      <c r="CU80" s="26">
        <f t="shared" si="106"/>
        <v>1.5</v>
      </c>
      <c r="CV80" s="26">
        <f t="shared" si="106"/>
        <v>1.5</v>
      </c>
      <c r="CW80" s="26">
        <f t="shared" si="106"/>
        <v>1.5</v>
      </c>
      <c r="CX80" s="26">
        <f t="shared" si="106"/>
        <v>1.5</v>
      </c>
      <c r="CY80" s="26">
        <f t="shared" si="106"/>
        <v>1.5</v>
      </c>
      <c r="CZ80" s="26">
        <f t="shared" si="106"/>
        <v>0</v>
      </c>
      <c r="DA80" s="26">
        <f t="shared" si="106"/>
        <v>1</v>
      </c>
      <c r="DB80" s="26">
        <f t="shared" si="106"/>
        <v>1</v>
      </c>
      <c r="DC80" s="26">
        <f t="shared" si="106"/>
        <v>1</v>
      </c>
      <c r="DD80" s="26">
        <f t="shared" si="106"/>
        <v>1</v>
      </c>
      <c r="DE80" s="26">
        <f t="shared" si="107"/>
        <v>0.6</v>
      </c>
      <c r="DF80" s="26">
        <f t="shared" si="107"/>
        <v>0.2</v>
      </c>
      <c r="DG80" s="26">
        <f t="shared" si="107"/>
        <v>0.2</v>
      </c>
      <c r="DH80" s="26">
        <f t="shared" si="107"/>
        <v>0.2</v>
      </c>
      <c r="DI80" s="26">
        <f t="shared" si="107"/>
        <v>0.2</v>
      </c>
      <c r="DJ80" s="26">
        <f t="shared" si="107"/>
        <v>0.2</v>
      </c>
      <c r="DK80" s="26">
        <f t="shared" si="107"/>
        <v>0.06</v>
      </c>
      <c r="DL80" s="26">
        <f t="shared" si="107"/>
        <v>0</v>
      </c>
      <c r="DM80" s="26">
        <f t="shared" si="107"/>
        <v>0</v>
      </c>
      <c r="DN80" s="26">
        <f t="shared" si="107"/>
        <v>0</v>
      </c>
      <c r="DO80" s="26">
        <f t="shared" si="107"/>
        <v>0</v>
      </c>
      <c r="DP80" s="26">
        <f t="shared" si="107"/>
        <v>0</v>
      </c>
      <c r="DQ80" s="26">
        <f t="shared" si="108"/>
        <v>1.5</v>
      </c>
      <c r="DR80" s="26">
        <f t="shared" si="108"/>
        <v>1.5</v>
      </c>
      <c r="DS80" s="26">
        <f t="shared" si="108"/>
        <v>1.5</v>
      </c>
      <c r="DT80" s="26">
        <f t="shared" si="108"/>
        <v>1.5</v>
      </c>
      <c r="DU80" s="26">
        <f t="shared" si="108"/>
        <v>1.5</v>
      </c>
      <c r="DV80" s="26">
        <f t="shared" si="108"/>
        <v>0</v>
      </c>
      <c r="DW80" s="26">
        <f t="shared" si="108"/>
        <v>1</v>
      </c>
      <c r="DX80" s="26">
        <f t="shared" si="108"/>
        <v>1</v>
      </c>
      <c r="DY80" s="26">
        <f t="shared" si="108"/>
        <v>1</v>
      </c>
      <c r="DZ80" s="26">
        <f t="shared" si="108"/>
        <v>1</v>
      </c>
      <c r="EA80" s="26">
        <f t="shared" si="109"/>
        <v>1</v>
      </c>
      <c r="EB80" s="26">
        <f t="shared" si="109"/>
        <v>0.2</v>
      </c>
      <c r="EC80" s="26">
        <f t="shared" si="109"/>
        <v>0.2</v>
      </c>
      <c r="ED80" s="26">
        <f t="shared" si="109"/>
        <v>0.2</v>
      </c>
      <c r="EE80" s="26">
        <f t="shared" si="109"/>
        <v>0.2</v>
      </c>
      <c r="EF80" s="26">
        <f t="shared" si="109"/>
        <v>0.2</v>
      </c>
      <c r="EG80" s="26">
        <f t="shared" si="109"/>
        <v>0.1</v>
      </c>
      <c r="EH80" s="26">
        <f t="shared" si="109"/>
        <v>2.5000000000000001E-2</v>
      </c>
      <c r="EI80" s="26">
        <f t="shared" si="109"/>
        <v>2.5000000000000001E-2</v>
      </c>
      <c r="EJ80" s="26">
        <f t="shared" si="109"/>
        <v>0</v>
      </c>
      <c r="EK80" s="26">
        <f t="shared" si="109"/>
        <v>0</v>
      </c>
      <c r="EL80" s="26">
        <f t="shared" si="109"/>
        <v>0</v>
      </c>
      <c r="EM80" s="26">
        <f t="shared" si="92"/>
        <v>119240</v>
      </c>
      <c r="EN80" s="26">
        <f t="shared" si="93"/>
        <v>144986</v>
      </c>
      <c r="EO80" s="26">
        <f t="shared" si="94"/>
        <v>191444</v>
      </c>
      <c r="EP80" s="26">
        <f t="shared" si="95"/>
        <v>284817</v>
      </c>
      <c r="EQ80" s="26">
        <f t="shared" si="96"/>
        <v>361839</v>
      </c>
    </row>
    <row r="81" spans="17:147">
      <c r="Q81" s="26">
        <v>77</v>
      </c>
      <c r="R81" s="26">
        <f>总纲!D81</f>
        <v>206.93661346719625</v>
      </c>
      <c r="S81" s="26">
        <f>求节点(将星点产出!$W$6:$W$44,将星点产出!$AO$6:$AO$44,星阵点亮!$Q81)</f>
        <v>208365.94041578146</v>
      </c>
      <c r="T81" s="26">
        <f t="shared" si="87"/>
        <v>28</v>
      </c>
      <c r="U81" s="26">
        <f>总纲!E81</f>
        <v>179.12433261720508</v>
      </c>
      <c r="V81" s="26">
        <f>求节点(将星点产出!$W$51:$W$89,将星点产出!$AO$51:$AO$89,星阵点亮!$Q81)</f>
        <v>262186.71029816521</v>
      </c>
      <c r="W81" s="26">
        <f t="shared" si="88"/>
        <v>31</v>
      </c>
      <c r="X81" s="26">
        <f>总纲!F81</f>
        <v>146.53181599612165</v>
      </c>
      <c r="Y81" s="26">
        <f>求节点(将星点产出!$W$96:$W$134,将星点产出!$AO$96:$AO$134,星阵点亮!$Q81)</f>
        <v>377536.48717527586</v>
      </c>
      <c r="Z81" s="26">
        <f t="shared" si="89"/>
        <v>38</v>
      </c>
      <c r="AA81" s="26">
        <f>总纲!G81</f>
        <v>107.42079605082158</v>
      </c>
      <c r="AB81" s="26">
        <f>求节点(将星点产出!$W$141:$W$179,将星点产出!$AO$141:$AO$179,星阵点亮!$Q81)</f>
        <v>599214.26141450275</v>
      </c>
      <c r="AC81" s="26">
        <f t="shared" si="90"/>
        <v>47</v>
      </c>
      <c r="AD81" s="26">
        <f>总纲!H81</f>
        <v>59.535663694512365</v>
      </c>
      <c r="AE81" s="26">
        <f>求节点(将星点产出!$W$186:$W$224,将星点产出!$AO$186:$AO$224,星阵点亮!$Q81)</f>
        <v>695596.1316429039</v>
      </c>
      <c r="AF81" s="26">
        <f t="shared" si="91"/>
        <v>50</v>
      </c>
      <c r="AG81" s="26">
        <f t="shared" si="100"/>
        <v>1.5</v>
      </c>
      <c r="AH81" s="26">
        <f t="shared" si="100"/>
        <v>1.5</v>
      </c>
      <c r="AI81" s="26">
        <f t="shared" si="100"/>
        <v>1</v>
      </c>
      <c r="AJ81" s="26">
        <f t="shared" si="100"/>
        <v>1.5</v>
      </c>
      <c r="AK81" s="26">
        <f t="shared" si="100"/>
        <v>0.3</v>
      </c>
      <c r="AL81" s="26">
        <f t="shared" si="100"/>
        <v>0</v>
      </c>
      <c r="AM81" s="26">
        <f t="shared" si="100"/>
        <v>1</v>
      </c>
      <c r="AN81" s="26">
        <f t="shared" si="100"/>
        <v>1</v>
      </c>
      <c r="AO81" s="26">
        <f t="shared" si="100"/>
        <v>1</v>
      </c>
      <c r="AP81" s="26">
        <f t="shared" si="100"/>
        <v>1</v>
      </c>
      <c r="AQ81" s="26">
        <f t="shared" si="101"/>
        <v>0</v>
      </c>
      <c r="AR81" s="26">
        <f t="shared" si="101"/>
        <v>0</v>
      </c>
      <c r="AS81" s="26">
        <f t="shared" si="101"/>
        <v>0</v>
      </c>
      <c r="AT81" s="26">
        <f t="shared" si="101"/>
        <v>0</v>
      </c>
      <c r="AU81" s="26">
        <f t="shared" si="101"/>
        <v>0</v>
      </c>
      <c r="AV81" s="26">
        <f t="shared" si="101"/>
        <v>0</v>
      </c>
      <c r="AW81" s="26">
        <f t="shared" si="101"/>
        <v>0</v>
      </c>
      <c r="AX81" s="26">
        <f t="shared" si="101"/>
        <v>0</v>
      </c>
      <c r="AY81" s="26">
        <f t="shared" si="101"/>
        <v>0</v>
      </c>
      <c r="AZ81" s="26">
        <f t="shared" si="101"/>
        <v>0</v>
      </c>
      <c r="BA81" s="26">
        <f t="shared" si="101"/>
        <v>0</v>
      </c>
      <c r="BB81" s="26">
        <f t="shared" si="101"/>
        <v>0</v>
      </c>
      <c r="BC81" s="26">
        <f t="shared" si="102"/>
        <v>1.5</v>
      </c>
      <c r="BD81" s="26">
        <f t="shared" si="102"/>
        <v>1.5</v>
      </c>
      <c r="BE81" s="26">
        <f t="shared" si="102"/>
        <v>1.5</v>
      </c>
      <c r="BF81" s="26">
        <f t="shared" si="102"/>
        <v>1.5</v>
      </c>
      <c r="BG81" s="26">
        <f t="shared" si="102"/>
        <v>1</v>
      </c>
      <c r="BH81" s="26">
        <f t="shared" si="102"/>
        <v>0</v>
      </c>
      <c r="BI81" s="26">
        <f t="shared" si="102"/>
        <v>1</v>
      </c>
      <c r="BJ81" s="26">
        <f t="shared" si="102"/>
        <v>1</v>
      </c>
      <c r="BK81" s="26">
        <f t="shared" si="102"/>
        <v>1</v>
      </c>
      <c r="BL81" s="26">
        <f t="shared" si="102"/>
        <v>1</v>
      </c>
      <c r="BM81" s="26">
        <f t="shared" si="103"/>
        <v>0</v>
      </c>
      <c r="BN81" s="26">
        <f t="shared" si="103"/>
        <v>0</v>
      </c>
      <c r="BO81" s="26">
        <f t="shared" si="103"/>
        <v>0</v>
      </c>
      <c r="BP81" s="26">
        <f t="shared" si="103"/>
        <v>0</v>
      </c>
      <c r="BQ81" s="26">
        <f t="shared" si="103"/>
        <v>0</v>
      </c>
      <c r="BR81" s="26">
        <f t="shared" si="103"/>
        <v>0</v>
      </c>
      <c r="BS81" s="26">
        <f t="shared" si="103"/>
        <v>0</v>
      </c>
      <c r="BT81" s="26">
        <f t="shared" si="103"/>
        <v>0</v>
      </c>
      <c r="BU81" s="26">
        <f t="shared" si="103"/>
        <v>0</v>
      </c>
      <c r="BV81" s="26">
        <f t="shared" si="103"/>
        <v>0</v>
      </c>
      <c r="BW81" s="26">
        <f t="shared" si="103"/>
        <v>0</v>
      </c>
      <c r="BX81" s="26">
        <f t="shared" si="103"/>
        <v>0</v>
      </c>
      <c r="BY81" s="26">
        <f t="shared" si="104"/>
        <v>1.5</v>
      </c>
      <c r="BZ81" s="26">
        <f t="shared" si="104"/>
        <v>1.5</v>
      </c>
      <c r="CA81" s="26">
        <f t="shared" si="104"/>
        <v>1.5</v>
      </c>
      <c r="CB81" s="26">
        <f t="shared" si="104"/>
        <v>1.5</v>
      </c>
      <c r="CC81" s="26">
        <f t="shared" si="104"/>
        <v>1.5</v>
      </c>
      <c r="CD81" s="26">
        <f t="shared" si="104"/>
        <v>0</v>
      </c>
      <c r="CE81" s="26">
        <f t="shared" si="104"/>
        <v>1</v>
      </c>
      <c r="CF81" s="26">
        <f t="shared" si="104"/>
        <v>1</v>
      </c>
      <c r="CG81" s="26">
        <f t="shared" si="104"/>
        <v>1</v>
      </c>
      <c r="CH81" s="26">
        <f t="shared" si="104"/>
        <v>1</v>
      </c>
      <c r="CI81" s="26">
        <f t="shared" si="105"/>
        <v>0</v>
      </c>
      <c r="CJ81" s="26">
        <f t="shared" si="105"/>
        <v>0.2</v>
      </c>
      <c r="CK81" s="26">
        <f t="shared" si="105"/>
        <v>0.2</v>
      </c>
      <c r="CL81" s="26">
        <f t="shared" si="105"/>
        <v>0.1</v>
      </c>
      <c r="CM81" s="26">
        <f t="shared" si="105"/>
        <v>0.1</v>
      </c>
      <c r="CN81" s="26">
        <f t="shared" si="105"/>
        <v>0</v>
      </c>
      <c r="CO81" s="26">
        <f t="shared" si="105"/>
        <v>0</v>
      </c>
      <c r="CP81" s="26">
        <f t="shared" si="105"/>
        <v>0</v>
      </c>
      <c r="CQ81" s="26">
        <f t="shared" si="105"/>
        <v>0</v>
      </c>
      <c r="CR81" s="26">
        <f t="shared" si="105"/>
        <v>0</v>
      </c>
      <c r="CS81" s="26">
        <f t="shared" si="105"/>
        <v>0</v>
      </c>
      <c r="CT81" s="26">
        <f t="shared" si="105"/>
        <v>0</v>
      </c>
      <c r="CU81" s="26">
        <f t="shared" si="106"/>
        <v>1.5</v>
      </c>
      <c r="CV81" s="26">
        <f t="shared" si="106"/>
        <v>1.5</v>
      </c>
      <c r="CW81" s="26">
        <f t="shared" si="106"/>
        <v>1.5</v>
      </c>
      <c r="CX81" s="26">
        <f t="shared" si="106"/>
        <v>1.5</v>
      </c>
      <c r="CY81" s="26">
        <f t="shared" si="106"/>
        <v>1.5</v>
      </c>
      <c r="CZ81" s="26">
        <f t="shared" si="106"/>
        <v>0</v>
      </c>
      <c r="DA81" s="26">
        <f t="shared" si="106"/>
        <v>1</v>
      </c>
      <c r="DB81" s="26">
        <f t="shared" si="106"/>
        <v>1</v>
      </c>
      <c r="DC81" s="26">
        <f t="shared" si="106"/>
        <v>1</v>
      </c>
      <c r="DD81" s="26">
        <f t="shared" si="106"/>
        <v>1</v>
      </c>
      <c r="DE81" s="26">
        <f t="shared" si="107"/>
        <v>1</v>
      </c>
      <c r="DF81" s="26">
        <f t="shared" si="107"/>
        <v>0.2</v>
      </c>
      <c r="DG81" s="26">
        <f t="shared" si="107"/>
        <v>0.2</v>
      </c>
      <c r="DH81" s="26">
        <f t="shared" si="107"/>
        <v>0.2</v>
      </c>
      <c r="DI81" s="26">
        <f t="shared" si="107"/>
        <v>0.2</v>
      </c>
      <c r="DJ81" s="26">
        <f t="shared" si="107"/>
        <v>0.2</v>
      </c>
      <c r="DK81" s="26">
        <f t="shared" si="107"/>
        <v>0.06</v>
      </c>
      <c r="DL81" s="26">
        <f t="shared" si="107"/>
        <v>0</v>
      </c>
      <c r="DM81" s="26">
        <f t="shared" si="107"/>
        <v>0</v>
      </c>
      <c r="DN81" s="26">
        <f t="shared" si="107"/>
        <v>0</v>
      </c>
      <c r="DO81" s="26">
        <f t="shared" si="107"/>
        <v>0</v>
      </c>
      <c r="DP81" s="26">
        <f t="shared" si="107"/>
        <v>0</v>
      </c>
      <c r="DQ81" s="26">
        <f t="shared" si="108"/>
        <v>1.5</v>
      </c>
      <c r="DR81" s="26">
        <f t="shared" si="108"/>
        <v>1.5</v>
      </c>
      <c r="DS81" s="26">
        <f t="shared" si="108"/>
        <v>1.5</v>
      </c>
      <c r="DT81" s="26">
        <f t="shared" si="108"/>
        <v>1.5</v>
      </c>
      <c r="DU81" s="26">
        <f t="shared" si="108"/>
        <v>1.5</v>
      </c>
      <c r="DV81" s="26">
        <f t="shared" si="108"/>
        <v>0</v>
      </c>
      <c r="DW81" s="26">
        <f t="shared" si="108"/>
        <v>1</v>
      </c>
      <c r="DX81" s="26">
        <f t="shared" si="108"/>
        <v>1</v>
      </c>
      <c r="DY81" s="26">
        <f t="shared" si="108"/>
        <v>1</v>
      </c>
      <c r="DZ81" s="26">
        <f t="shared" si="108"/>
        <v>1</v>
      </c>
      <c r="EA81" s="26">
        <f t="shared" si="109"/>
        <v>1</v>
      </c>
      <c r="EB81" s="26">
        <f t="shared" si="109"/>
        <v>0.2</v>
      </c>
      <c r="EC81" s="26">
        <f t="shared" si="109"/>
        <v>0.2</v>
      </c>
      <c r="ED81" s="26">
        <f t="shared" si="109"/>
        <v>0.2</v>
      </c>
      <c r="EE81" s="26">
        <f t="shared" si="109"/>
        <v>0.2</v>
      </c>
      <c r="EF81" s="26">
        <f t="shared" si="109"/>
        <v>0.2</v>
      </c>
      <c r="EG81" s="26">
        <f t="shared" si="109"/>
        <v>0.1</v>
      </c>
      <c r="EH81" s="26">
        <f t="shared" si="109"/>
        <v>2.5000000000000001E-2</v>
      </c>
      <c r="EI81" s="26">
        <f t="shared" si="109"/>
        <v>2.5000000000000001E-2</v>
      </c>
      <c r="EJ81" s="26">
        <f t="shared" si="109"/>
        <v>0</v>
      </c>
      <c r="EK81" s="26">
        <f t="shared" si="109"/>
        <v>0</v>
      </c>
      <c r="EL81" s="26">
        <f t="shared" si="109"/>
        <v>0</v>
      </c>
      <c r="EM81" s="26">
        <f t="shared" si="92"/>
        <v>125481</v>
      </c>
      <c r="EN81" s="26">
        <f t="shared" si="93"/>
        <v>144986</v>
      </c>
      <c r="EO81" s="26">
        <f t="shared" si="94"/>
        <v>199362</v>
      </c>
      <c r="EP81" s="26">
        <f t="shared" si="95"/>
        <v>299937</v>
      </c>
      <c r="EQ81" s="26">
        <f t="shared" si="96"/>
        <v>361839</v>
      </c>
    </row>
    <row r="82" spans="17:147">
      <c r="Q82" s="26">
        <v>78</v>
      </c>
      <c r="R82" s="26">
        <f>总纲!D82</f>
        <v>221.86094420380775</v>
      </c>
      <c r="S82" s="26">
        <f>求节点(将星点产出!$W$6:$W$44,将星点产出!$AO$6:$AO$44,星阵点亮!$Q82)</f>
        <v>217165.90871626305</v>
      </c>
      <c r="T82" s="26">
        <f t="shared" si="87"/>
        <v>28</v>
      </c>
      <c r="U82" s="26">
        <f>总纲!E82</f>
        <v>192.04283330281601</v>
      </c>
      <c r="V82" s="26">
        <f>求节点(将星点产出!$W$51:$W$89,将星点产出!$AO$51:$AO$89,星阵点亮!$Q82)</f>
        <v>277673.01047755091</v>
      </c>
      <c r="W82" s="26">
        <f t="shared" si="88"/>
        <v>32</v>
      </c>
      <c r="X82" s="26">
        <f>总纲!F82</f>
        <v>157.23285115723854</v>
      </c>
      <c r="Y82" s="26">
        <f>求节点(将星点产出!$W$96:$W$134,将星点产出!$AO$96:$AO$134,星阵点亮!$Q82)</f>
        <v>394856.95011973928</v>
      </c>
      <c r="Z82" s="26">
        <f t="shared" si="89"/>
        <v>39</v>
      </c>
      <c r="AA82" s="26">
        <f>总纲!G82</f>
        <v>115.1680161361966</v>
      </c>
      <c r="AB82" s="26">
        <f>求节点(将星点产出!$W$141:$W$179,将星点产出!$AO$141:$AO$179,星阵点亮!$Q82)</f>
        <v>626834.94118854497</v>
      </c>
      <c r="AC82" s="26">
        <f t="shared" si="90"/>
        <v>48</v>
      </c>
      <c r="AD82" s="26">
        <f>总纲!H82</f>
        <v>63.651904892072437</v>
      </c>
      <c r="AE82" s="26">
        <f>求节点(将星点产出!$W$186:$W$224,将星点产出!$AO$186:$AO$224,星阵点亮!$Q82)</f>
        <v>712815.08544574736</v>
      </c>
      <c r="AF82" s="26">
        <f t="shared" si="91"/>
        <v>51</v>
      </c>
      <c r="AG82" s="26">
        <f t="shared" si="100"/>
        <v>1.5</v>
      </c>
      <c r="AH82" s="26">
        <f t="shared" si="100"/>
        <v>1.5</v>
      </c>
      <c r="AI82" s="26">
        <f t="shared" si="100"/>
        <v>1</v>
      </c>
      <c r="AJ82" s="26">
        <f t="shared" si="100"/>
        <v>1.5</v>
      </c>
      <c r="AK82" s="26">
        <f t="shared" si="100"/>
        <v>0.3</v>
      </c>
      <c r="AL82" s="26">
        <f t="shared" si="100"/>
        <v>0</v>
      </c>
      <c r="AM82" s="26">
        <f t="shared" si="100"/>
        <v>1</v>
      </c>
      <c r="AN82" s="26">
        <f t="shared" si="100"/>
        <v>1</v>
      </c>
      <c r="AO82" s="26">
        <f t="shared" si="100"/>
        <v>1</v>
      </c>
      <c r="AP82" s="26">
        <f t="shared" si="100"/>
        <v>1</v>
      </c>
      <c r="AQ82" s="26">
        <f t="shared" si="101"/>
        <v>0</v>
      </c>
      <c r="AR82" s="26">
        <f t="shared" si="101"/>
        <v>0</v>
      </c>
      <c r="AS82" s="26">
        <f t="shared" si="101"/>
        <v>0</v>
      </c>
      <c r="AT82" s="26">
        <f t="shared" si="101"/>
        <v>0</v>
      </c>
      <c r="AU82" s="26">
        <f t="shared" si="101"/>
        <v>0</v>
      </c>
      <c r="AV82" s="26">
        <f t="shared" si="101"/>
        <v>0</v>
      </c>
      <c r="AW82" s="26">
        <f t="shared" si="101"/>
        <v>0</v>
      </c>
      <c r="AX82" s="26">
        <f t="shared" si="101"/>
        <v>0</v>
      </c>
      <c r="AY82" s="26">
        <f t="shared" si="101"/>
        <v>0</v>
      </c>
      <c r="AZ82" s="26">
        <f t="shared" si="101"/>
        <v>0</v>
      </c>
      <c r="BA82" s="26">
        <f t="shared" si="101"/>
        <v>0</v>
      </c>
      <c r="BB82" s="26">
        <f t="shared" si="101"/>
        <v>0</v>
      </c>
      <c r="BC82" s="26">
        <f t="shared" si="102"/>
        <v>1.5</v>
      </c>
      <c r="BD82" s="26">
        <f t="shared" si="102"/>
        <v>1.5</v>
      </c>
      <c r="BE82" s="26">
        <f t="shared" si="102"/>
        <v>1.5</v>
      </c>
      <c r="BF82" s="26">
        <f t="shared" si="102"/>
        <v>1.5</v>
      </c>
      <c r="BG82" s="26">
        <f t="shared" si="102"/>
        <v>1</v>
      </c>
      <c r="BH82" s="26">
        <f t="shared" si="102"/>
        <v>0</v>
      </c>
      <c r="BI82" s="26">
        <f t="shared" si="102"/>
        <v>1</v>
      </c>
      <c r="BJ82" s="26">
        <f t="shared" si="102"/>
        <v>1</v>
      </c>
      <c r="BK82" s="26">
        <f t="shared" si="102"/>
        <v>1</v>
      </c>
      <c r="BL82" s="26">
        <f t="shared" si="102"/>
        <v>1</v>
      </c>
      <c r="BM82" s="26">
        <f t="shared" si="103"/>
        <v>0</v>
      </c>
      <c r="BN82" s="26">
        <f t="shared" si="103"/>
        <v>0.1</v>
      </c>
      <c r="BO82" s="26">
        <f t="shared" si="103"/>
        <v>0</v>
      </c>
      <c r="BP82" s="26">
        <f t="shared" si="103"/>
        <v>0</v>
      </c>
      <c r="BQ82" s="26">
        <f t="shared" si="103"/>
        <v>0</v>
      </c>
      <c r="BR82" s="26">
        <f t="shared" si="103"/>
        <v>0</v>
      </c>
      <c r="BS82" s="26">
        <f t="shared" si="103"/>
        <v>0</v>
      </c>
      <c r="BT82" s="26">
        <f t="shared" si="103"/>
        <v>0</v>
      </c>
      <c r="BU82" s="26">
        <f t="shared" si="103"/>
        <v>0</v>
      </c>
      <c r="BV82" s="26">
        <f t="shared" si="103"/>
        <v>0</v>
      </c>
      <c r="BW82" s="26">
        <f t="shared" si="103"/>
        <v>0</v>
      </c>
      <c r="BX82" s="26">
        <f t="shared" si="103"/>
        <v>0</v>
      </c>
      <c r="BY82" s="26">
        <f t="shared" si="104"/>
        <v>1.5</v>
      </c>
      <c r="BZ82" s="26">
        <f t="shared" si="104"/>
        <v>1.5</v>
      </c>
      <c r="CA82" s="26">
        <f t="shared" si="104"/>
        <v>1.5</v>
      </c>
      <c r="CB82" s="26">
        <f t="shared" si="104"/>
        <v>1.5</v>
      </c>
      <c r="CC82" s="26">
        <f t="shared" si="104"/>
        <v>1.5</v>
      </c>
      <c r="CD82" s="26">
        <f t="shared" si="104"/>
        <v>0</v>
      </c>
      <c r="CE82" s="26">
        <f t="shared" si="104"/>
        <v>1</v>
      </c>
      <c r="CF82" s="26">
        <f t="shared" si="104"/>
        <v>1</v>
      </c>
      <c r="CG82" s="26">
        <f t="shared" si="104"/>
        <v>1</v>
      </c>
      <c r="CH82" s="26">
        <f t="shared" si="104"/>
        <v>1</v>
      </c>
      <c r="CI82" s="26">
        <f t="shared" si="105"/>
        <v>0</v>
      </c>
      <c r="CJ82" s="26">
        <f t="shared" si="105"/>
        <v>0.2</v>
      </c>
      <c r="CK82" s="26">
        <f t="shared" si="105"/>
        <v>0.2</v>
      </c>
      <c r="CL82" s="26">
        <f t="shared" si="105"/>
        <v>0.1</v>
      </c>
      <c r="CM82" s="26">
        <f t="shared" si="105"/>
        <v>0.1</v>
      </c>
      <c r="CN82" s="26">
        <f t="shared" si="105"/>
        <v>0.1</v>
      </c>
      <c r="CO82" s="26">
        <f t="shared" si="105"/>
        <v>0</v>
      </c>
      <c r="CP82" s="26">
        <f t="shared" si="105"/>
        <v>0</v>
      </c>
      <c r="CQ82" s="26">
        <f t="shared" si="105"/>
        <v>0</v>
      </c>
      <c r="CR82" s="26">
        <f t="shared" si="105"/>
        <v>0</v>
      </c>
      <c r="CS82" s="26">
        <f t="shared" si="105"/>
        <v>0</v>
      </c>
      <c r="CT82" s="26">
        <f t="shared" si="105"/>
        <v>0</v>
      </c>
      <c r="CU82" s="26">
        <f t="shared" si="106"/>
        <v>1.5</v>
      </c>
      <c r="CV82" s="26">
        <f t="shared" si="106"/>
        <v>1.5</v>
      </c>
      <c r="CW82" s="26">
        <f t="shared" si="106"/>
        <v>1.5</v>
      </c>
      <c r="CX82" s="26">
        <f t="shared" si="106"/>
        <v>1.5</v>
      </c>
      <c r="CY82" s="26">
        <f t="shared" si="106"/>
        <v>1.5</v>
      </c>
      <c r="CZ82" s="26">
        <f t="shared" si="106"/>
        <v>0</v>
      </c>
      <c r="DA82" s="26">
        <f t="shared" si="106"/>
        <v>1</v>
      </c>
      <c r="DB82" s="26">
        <f t="shared" si="106"/>
        <v>1</v>
      </c>
      <c r="DC82" s="26">
        <f t="shared" si="106"/>
        <v>1</v>
      </c>
      <c r="DD82" s="26">
        <f t="shared" si="106"/>
        <v>1</v>
      </c>
      <c r="DE82" s="26">
        <f t="shared" si="107"/>
        <v>1</v>
      </c>
      <c r="DF82" s="26">
        <f t="shared" si="107"/>
        <v>0.2</v>
      </c>
      <c r="DG82" s="26">
        <f t="shared" si="107"/>
        <v>0.2</v>
      </c>
      <c r="DH82" s="26">
        <f t="shared" si="107"/>
        <v>0.2</v>
      </c>
      <c r="DI82" s="26">
        <f t="shared" si="107"/>
        <v>0.2</v>
      </c>
      <c r="DJ82" s="26">
        <f t="shared" si="107"/>
        <v>0.2</v>
      </c>
      <c r="DK82" s="26">
        <f t="shared" si="107"/>
        <v>0.1</v>
      </c>
      <c r="DL82" s="26">
        <f t="shared" si="107"/>
        <v>0</v>
      </c>
      <c r="DM82" s="26">
        <f t="shared" si="107"/>
        <v>0</v>
      </c>
      <c r="DN82" s="26">
        <f t="shared" si="107"/>
        <v>0</v>
      </c>
      <c r="DO82" s="26">
        <f t="shared" si="107"/>
        <v>0</v>
      </c>
      <c r="DP82" s="26">
        <f t="shared" si="107"/>
        <v>0</v>
      </c>
      <c r="DQ82" s="26">
        <f t="shared" si="108"/>
        <v>1.5</v>
      </c>
      <c r="DR82" s="26">
        <f t="shared" si="108"/>
        <v>1.5</v>
      </c>
      <c r="DS82" s="26">
        <f t="shared" si="108"/>
        <v>1.5</v>
      </c>
      <c r="DT82" s="26">
        <f t="shared" si="108"/>
        <v>1.5</v>
      </c>
      <c r="DU82" s="26">
        <f t="shared" si="108"/>
        <v>1.5</v>
      </c>
      <c r="DV82" s="26">
        <f t="shared" si="108"/>
        <v>2.5000000000000001E-2</v>
      </c>
      <c r="DW82" s="26">
        <f t="shared" si="108"/>
        <v>1</v>
      </c>
      <c r="DX82" s="26">
        <f t="shared" si="108"/>
        <v>1</v>
      </c>
      <c r="DY82" s="26">
        <f t="shared" si="108"/>
        <v>1</v>
      </c>
      <c r="DZ82" s="26">
        <f t="shared" si="108"/>
        <v>1</v>
      </c>
      <c r="EA82" s="26">
        <f t="shared" si="109"/>
        <v>1</v>
      </c>
      <c r="EB82" s="26">
        <f t="shared" si="109"/>
        <v>0.2</v>
      </c>
      <c r="EC82" s="26">
        <f t="shared" si="109"/>
        <v>0.2</v>
      </c>
      <c r="ED82" s="26">
        <f t="shared" si="109"/>
        <v>0.2</v>
      </c>
      <c r="EE82" s="26">
        <f t="shared" si="109"/>
        <v>0.2</v>
      </c>
      <c r="EF82" s="26">
        <f t="shared" si="109"/>
        <v>0.2</v>
      </c>
      <c r="EG82" s="26">
        <f t="shared" si="109"/>
        <v>0.1</v>
      </c>
      <c r="EH82" s="26">
        <f t="shared" si="109"/>
        <v>2.5000000000000001E-2</v>
      </c>
      <c r="EI82" s="26">
        <f t="shared" si="109"/>
        <v>2.5000000000000001E-2</v>
      </c>
      <c r="EJ82" s="26">
        <f t="shared" si="109"/>
        <v>0</v>
      </c>
      <c r="EK82" s="26">
        <f t="shared" si="109"/>
        <v>0</v>
      </c>
      <c r="EL82" s="26">
        <f t="shared" si="109"/>
        <v>0</v>
      </c>
      <c r="EM82" s="26">
        <f t="shared" si="92"/>
        <v>125481</v>
      </c>
      <c r="EN82" s="26">
        <f t="shared" si="93"/>
        <v>152604</v>
      </c>
      <c r="EO82" s="26">
        <f t="shared" si="94"/>
        <v>207341</v>
      </c>
      <c r="EP82" s="26">
        <f t="shared" si="95"/>
        <v>319898</v>
      </c>
      <c r="EQ82" s="26">
        <f t="shared" si="96"/>
        <v>386625</v>
      </c>
    </row>
    <row r="83" spans="17:147">
      <c r="Q83" s="26">
        <v>79</v>
      </c>
      <c r="R83" s="26">
        <f>总纲!D83</f>
        <v>237.85644583342264</v>
      </c>
      <c r="S83" s="26">
        <f>求节点(将星点产出!$W$6:$W$44,将星点产出!$AO$6:$AO$44,星阵点亮!$Q83)</f>
        <v>228505.12096653419</v>
      </c>
      <c r="T83" s="26">
        <f t="shared" si="87"/>
        <v>29</v>
      </c>
      <c r="U83" s="26">
        <f>总纲!E83</f>
        <v>206.07882467007735</v>
      </c>
      <c r="V83" s="26">
        <f>求节点(将星点产出!$W$51:$W$89,将星点产出!$AO$51:$AO$89,星阵点亮!$Q83)</f>
        <v>295533.58938743302</v>
      </c>
      <c r="W83" s="26">
        <f t="shared" si="88"/>
        <v>33</v>
      </c>
      <c r="X83" s="26">
        <f>总纲!F83</f>
        <v>168.73536267423003</v>
      </c>
      <c r="Y83" s="26">
        <f>求节点(将星点产出!$W$96:$W$134,将星点产出!$AO$96:$AO$134,星阵点亮!$Q83)</f>
        <v>410132.86017441523</v>
      </c>
      <c r="Z83" s="26">
        <f t="shared" si="89"/>
        <v>40</v>
      </c>
      <c r="AA83" s="26">
        <f>总纲!G83</f>
        <v>123.11449636337954</v>
      </c>
      <c r="AB83" s="26">
        <f>求节点(将星点产出!$W$141:$W$179,将星点产出!$AO$141:$AO$179,星阵点亮!$Q83)</f>
        <v>656336.55876033171</v>
      </c>
      <c r="AC83" s="26">
        <f t="shared" si="90"/>
        <v>49</v>
      </c>
      <c r="AD83" s="26">
        <f>总纲!H83</f>
        <v>68.122086086692235</v>
      </c>
      <c r="AE83" s="26">
        <f>求节点(将星点产出!$W$186:$W$224,将星点产出!$AO$186:$AO$224,星阵点亮!$Q83)</f>
        <v>726798.04106361268</v>
      </c>
      <c r="AF83" s="26">
        <f t="shared" si="91"/>
        <v>51</v>
      </c>
      <c r="AG83" s="26">
        <f t="shared" si="100"/>
        <v>1.5</v>
      </c>
      <c r="AH83" s="26">
        <f t="shared" si="100"/>
        <v>1.5</v>
      </c>
      <c r="AI83" s="26">
        <f t="shared" si="100"/>
        <v>1.5</v>
      </c>
      <c r="AJ83" s="26">
        <f t="shared" si="100"/>
        <v>1.5</v>
      </c>
      <c r="AK83" s="26">
        <f t="shared" si="100"/>
        <v>0.3</v>
      </c>
      <c r="AL83" s="26">
        <f t="shared" si="100"/>
        <v>0</v>
      </c>
      <c r="AM83" s="26">
        <f t="shared" si="100"/>
        <v>1</v>
      </c>
      <c r="AN83" s="26">
        <f t="shared" si="100"/>
        <v>1</v>
      </c>
      <c r="AO83" s="26">
        <f t="shared" si="100"/>
        <v>1</v>
      </c>
      <c r="AP83" s="26">
        <f t="shared" si="100"/>
        <v>1</v>
      </c>
      <c r="AQ83" s="26">
        <f t="shared" si="101"/>
        <v>0</v>
      </c>
      <c r="AR83" s="26">
        <f t="shared" si="101"/>
        <v>0</v>
      </c>
      <c r="AS83" s="26">
        <f t="shared" si="101"/>
        <v>0</v>
      </c>
      <c r="AT83" s="26">
        <f t="shared" si="101"/>
        <v>0</v>
      </c>
      <c r="AU83" s="26">
        <f t="shared" si="101"/>
        <v>0</v>
      </c>
      <c r="AV83" s="26">
        <f t="shared" si="101"/>
        <v>0</v>
      </c>
      <c r="AW83" s="26">
        <f t="shared" si="101"/>
        <v>0</v>
      </c>
      <c r="AX83" s="26">
        <f t="shared" si="101"/>
        <v>0</v>
      </c>
      <c r="AY83" s="26">
        <f t="shared" si="101"/>
        <v>0</v>
      </c>
      <c r="AZ83" s="26">
        <f t="shared" si="101"/>
        <v>0</v>
      </c>
      <c r="BA83" s="26">
        <f t="shared" si="101"/>
        <v>0</v>
      </c>
      <c r="BB83" s="26">
        <f t="shared" si="101"/>
        <v>0</v>
      </c>
      <c r="BC83" s="26">
        <f t="shared" si="102"/>
        <v>1.5</v>
      </c>
      <c r="BD83" s="26">
        <f t="shared" si="102"/>
        <v>1.5</v>
      </c>
      <c r="BE83" s="26">
        <f t="shared" si="102"/>
        <v>1.5</v>
      </c>
      <c r="BF83" s="26">
        <f t="shared" si="102"/>
        <v>1.5</v>
      </c>
      <c r="BG83" s="26">
        <f t="shared" si="102"/>
        <v>1</v>
      </c>
      <c r="BH83" s="26">
        <f t="shared" si="102"/>
        <v>0</v>
      </c>
      <c r="BI83" s="26">
        <f t="shared" si="102"/>
        <v>1</v>
      </c>
      <c r="BJ83" s="26">
        <f t="shared" si="102"/>
        <v>1</v>
      </c>
      <c r="BK83" s="26">
        <f t="shared" si="102"/>
        <v>1</v>
      </c>
      <c r="BL83" s="26">
        <f t="shared" si="102"/>
        <v>1</v>
      </c>
      <c r="BM83" s="26">
        <f t="shared" si="103"/>
        <v>0</v>
      </c>
      <c r="BN83" s="26">
        <f t="shared" si="103"/>
        <v>0.1</v>
      </c>
      <c r="BO83" s="26">
        <f t="shared" si="103"/>
        <v>0.1</v>
      </c>
      <c r="BP83" s="26">
        <f t="shared" si="103"/>
        <v>0</v>
      </c>
      <c r="BQ83" s="26">
        <f t="shared" si="103"/>
        <v>0</v>
      </c>
      <c r="BR83" s="26">
        <f t="shared" si="103"/>
        <v>0</v>
      </c>
      <c r="BS83" s="26">
        <f t="shared" si="103"/>
        <v>0</v>
      </c>
      <c r="BT83" s="26">
        <f t="shared" si="103"/>
        <v>0</v>
      </c>
      <c r="BU83" s="26">
        <f t="shared" si="103"/>
        <v>0</v>
      </c>
      <c r="BV83" s="26">
        <f t="shared" si="103"/>
        <v>0</v>
      </c>
      <c r="BW83" s="26">
        <f t="shared" si="103"/>
        <v>0</v>
      </c>
      <c r="BX83" s="26">
        <f t="shared" si="103"/>
        <v>0</v>
      </c>
      <c r="BY83" s="26">
        <f t="shared" si="104"/>
        <v>1.5</v>
      </c>
      <c r="BZ83" s="26">
        <f t="shared" si="104"/>
        <v>1.5</v>
      </c>
      <c r="CA83" s="26">
        <f t="shared" si="104"/>
        <v>1.5</v>
      </c>
      <c r="CB83" s="26">
        <f t="shared" si="104"/>
        <v>1.5</v>
      </c>
      <c r="CC83" s="26">
        <f t="shared" si="104"/>
        <v>1.5</v>
      </c>
      <c r="CD83" s="26">
        <f t="shared" si="104"/>
        <v>0</v>
      </c>
      <c r="CE83" s="26">
        <f t="shared" si="104"/>
        <v>1</v>
      </c>
      <c r="CF83" s="26">
        <f t="shared" si="104"/>
        <v>1</v>
      </c>
      <c r="CG83" s="26">
        <f t="shared" si="104"/>
        <v>1</v>
      </c>
      <c r="CH83" s="26">
        <f t="shared" si="104"/>
        <v>1</v>
      </c>
      <c r="CI83" s="26">
        <f t="shared" si="105"/>
        <v>0</v>
      </c>
      <c r="CJ83" s="26">
        <f t="shared" si="105"/>
        <v>0.2</v>
      </c>
      <c r="CK83" s="26">
        <f t="shared" si="105"/>
        <v>0.2</v>
      </c>
      <c r="CL83" s="26">
        <f t="shared" si="105"/>
        <v>0.2</v>
      </c>
      <c r="CM83" s="26">
        <f t="shared" si="105"/>
        <v>0.1</v>
      </c>
      <c r="CN83" s="26">
        <f t="shared" si="105"/>
        <v>0.1</v>
      </c>
      <c r="CO83" s="26">
        <f t="shared" si="105"/>
        <v>0</v>
      </c>
      <c r="CP83" s="26">
        <f t="shared" si="105"/>
        <v>0</v>
      </c>
      <c r="CQ83" s="26">
        <f t="shared" si="105"/>
        <v>0</v>
      </c>
      <c r="CR83" s="26">
        <f t="shared" si="105"/>
        <v>0</v>
      </c>
      <c r="CS83" s="26">
        <f t="shared" si="105"/>
        <v>0</v>
      </c>
      <c r="CT83" s="26">
        <f t="shared" si="105"/>
        <v>0</v>
      </c>
      <c r="CU83" s="26">
        <f t="shared" si="106"/>
        <v>1.5</v>
      </c>
      <c r="CV83" s="26">
        <f t="shared" si="106"/>
        <v>1.5</v>
      </c>
      <c r="CW83" s="26">
        <f t="shared" si="106"/>
        <v>1.5</v>
      </c>
      <c r="CX83" s="26">
        <f t="shared" si="106"/>
        <v>1.5</v>
      </c>
      <c r="CY83" s="26">
        <f t="shared" si="106"/>
        <v>1.5</v>
      </c>
      <c r="CZ83" s="26">
        <f t="shared" si="106"/>
        <v>0</v>
      </c>
      <c r="DA83" s="26">
        <f t="shared" si="106"/>
        <v>1</v>
      </c>
      <c r="DB83" s="26">
        <f t="shared" si="106"/>
        <v>1</v>
      </c>
      <c r="DC83" s="26">
        <f t="shared" si="106"/>
        <v>1</v>
      </c>
      <c r="DD83" s="26">
        <f t="shared" si="106"/>
        <v>1</v>
      </c>
      <c r="DE83" s="26">
        <f t="shared" si="107"/>
        <v>1</v>
      </c>
      <c r="DF83" s="26">
        <f t="shared" si="107"/>
        <v>0.2</v>
      </c>
      <c r="DG83" s="26">
        <f t="shared" si="107"/>
        <v>0.2</v>
      </c>
      <c r="DH83" s="26">
        <f t="shared" si="107"/>
        <v>0.2</v>
      </c>
      <c r="DI83" s="26">
        <f t="shared" si="107"/>
        <v>0.2</v>
      </c>
      <c r="DJ83" s="26">
        <f t="shared" si="107"/>
        <v>0.2</v>
      </c>
      <c r="DK83" s="26">
        <f t="shared" si="107"/>
        <v>0.1</v>
      </c>
      <c r="DL83" s="26">
        <f t="shared" si="107"/>
        <v>2.5000000000000001E-2</v>
      </c>
      <c r="DM83" s="26">
        <f t="shared" si="107"/>
        <v>0</v>
      </c>
      <c r="DN83" s="26">
        <f t="shared" si="107"/>
        <v>0</v>
      </c>
      <c r="DO83" s="26">
        <f t="shared" si="107"/>
        <v>0</v>
      </c>
      <c r="DP83" s="26">
        <f t="shared" si="107"/>
        <v>0</v>
      </c>
      <c r="DQ83" s="26">
        <f t="shared" si="108"/>
        <v>1.5</v>
      </c>
      <c r="DR83" s="26">
        <f t="shared" si="108"/>
        <v>1.5</v>
      </c>
      <c r="DS83" s="26">
        <f t="shared" si="108"/>
        <v>1.5</v>
      </c>
      <c r="DT83" s="26">
        <f t="shared" si="108"/>
        <v>1.5</v>
      </c>
      <c r="DU83" s="26">
        <f t="shared" si="108"/>
        <v>1.5</v>
      </c>
      <c r="DV83" s="26">
        <f t="shared" si="108"/>
        <v>2.5000000000000001E-2</v>
      </c>
      <c r="DW83" s="26">
        <f t="shared" si="108"/>
        <v>1</v>
      </c>
      <c r="DX83" s="26">
        <f t="shared" si="108"/>
        <v>1</v>
      </c>
      <c r="DY83" s="26">
        <f t="shared" si="108"/>
        <v>1</v>
      </c>
      <c r="DZ83" s="26">
        <f t="shared" si="108"/>
        <v>1</v>
      </c>
      <c r="EA83" s="26">
        <f t="shared" si="109"/>
        <v>1</v>
      </c>
      <c r="EB83" s="26">
        <f t="shared" si="109"/>
        <v>0.2</v>
      </c>
      <c r="EC83" s="26">
        <f t="shared" si="109"/>
        <v>0.2</v>
      </c>
      <c r="ED83" s="26">
        <f t="shared" si="109"/>
        <v>0.2</v>
      </c>
      <c r="EE83" s="26">
        <f t="shared" si="109"/>
        <v>0.2</v>
      </c>
      <c r="EF83" s="26">
        <f t="shared" si="109"/>
        <v>0.2</v>
      </c>
      <c r="EG83" s="26">
        <f t="shared" si="109"/>
        <v>0.1</v>
      </c>
      <c r="EH83" s="26">
        <f t="shared" si="109"/>
        <v>2.5000000000000001E-2</v>
      </c>
      <c r="EI83" s="26">
        <f t="shared" si="109"/>
        <v>2.5000000000000001E-2</v>
      </c>
      <c r="EJ83" s="26">
        <f t="shared" si="109"/>
        <v>0</v>
      </c>
      <c r="EK83" s="26">
        <f t="shared" si="109"/>
        <v>0</v>
      </c>
      <c r="EL83" s="26">
        <f t="shared" si="109"/>
        <v>0</v>
      </c>
      <c r="EM83" s="26">
        <f t="shared" si="92"/>
        <v>131852</v>
      </c>
      <c r="EN83" s="26">
        <f t="shared" si="93"/>
        <v>160272</v>
      </c>
      <c r="EO83" s="26">
        <f t="shared" si="94"/>
        <v>215370</v>
      </c>
      <c r="EP83" s="26">
        <f t="shared" si="95"/>
        <v>339909</v>
      </c>
      <c r="EQ83" s="26">
        <f t="shared" si="96"/>
        <v>386625</v>
      </c>
    </row>
    <row r="84" spans="17:147">
      <c r="Q84" s="26">
        <v>80</v>
      </c>
      <c r="R84" s="26">
        <f>总纲!D84</f>
        <v>255</v>
      </c>
      <c r="S84" s="26">
        <f>求节点(将星点产出!$W$6:$W$44,将星点产出!$AO$6:$AO$44,星阵点亮!$Q84)</f>
        <v>239844.33321680533</v>
      </c>
      <c r="T84" s="26">
        <f t="shared" si="87"/>
        <v>30</v>
      </c>
      <c r="U84" s="26">
        <f>总纲!E84</f>
        <v>221.08500000000001</v>
      </c>
      <c r="V84" s="26">
        <f>求节点(将星点产出!$W$51:$W$89,将星点产出!$AO$51:$AO$89,星阵点亮!$Q84)</f>
        <v>313418.16225611081</v>
      </c>
      <c r="W84" s="26">
        <f t="shared" si="88"/>
        <v>34</v>
      </c>
      <c r="X84" s="26">
        <f>总纲!F84</f>
        <v>180.33600000000001</v>
      </c>
      <c r="Y84" s="26">
        <f>求节点(将星点产出!$W$96:$W$134,将星点产出!$AO$96:$AO$134,星阵点亮!$Q84)</f>
        <v>425408.77022909117</v>
      </c>
      <c r="Z84" s="26">
        <f t="shared" si="89"/>
        <v>40</v>
      </c>
      <c r="AA84" s="26">
        <f>总纲!G84</f>
        <v>131.58000000000001</v>
      </c>
      <c r="AB84" s="26">
        <f>求节点(将星点产出!$W$141:$W$179,将星点产出!$AO$141:$AO$179,星阵点亮!$Q84)</f>
        <v>687974.16862362809</v>
      </c>
      <c r="AC84" s="26">
        <f t="shared" si="90"/>
        <v>50</v>
      </c>
      <c r="AD84" s="26">
        <f>总纲!H84</f>
        <v>72.777000000000001</v>
      </c>
      <c r="AE84" s="26">
        <f>求节点(将星点产出!$W$186:$W$224,将星点产出!$AO$186:$AO$224,星阵点亮!$Q84)</f>
        <v>740816.53680688364</v>
      </c>
      <c r="AF84" s="26">
        <f t="shared" si="91"/>
        <v>52</v>
      </c>
      <c r="AG84" s="26">
        <f t="shared" si="100"/>
        <v>1.5</v>
      </c>
      <c r="AH84" s="26">
        <f t="shared" si="100"/>
        <v>1.5</v>
      </c>
      <c r="AI84" s="26">
        <f t="shared" si="100"/>
        <v>1.5</v>
      </c>
      <c r="AJ84" s="26">
        <f t="shared" si="100"/>
        <v>1.5</v>
      </c>
      <c r="AK84" s="26">
        <f t="shared" si="100"/>
        <v>0.6</v>
      </c>
      <c r="AL84" s="26">
        <f t="shared" si="100"/>
        <v>0</v>
      </c>
      <c r="AM84" s="26">
        <f t="shared" si="100"/>
        <v>1</v>
      </c>
      <c r="AN84" s="26">
        <f t="shared" si="100"/>
        <v>1</v>
      </c>
      <c r="AO84" s="26">
        <f t="shared" si="100"/>
        <v>1</v>
      </c>
      <c r="AP84" s="26">
        <f t="shared" si="100"/>
        <v>1</v>
      </c>
      <c r="AQ84" s="26">
        <f t="shared" si="101"/>
        <v>0</v>
      </c>
      <c r="AR84" s="26">
        <f t="shared" si="101"/>
        <v>0</v>
      </c>
      <c r="AS84" s="26">
        <f t="shared" si="101"/>
        <v>0</v>
      </c>
      <c r="AT84" s="26">
        <f t="shared" si="101"/>
        <v>0</v>
      </c>
      <c r="AU84" s="26">
        <f t="shared" si="101"/>
        <v>0</v>
      </c>
      <c r="AV84" s="26">
        <f t="shared" si="101"/>
        <v>0</v>
      </c>
      <c r="AW84" s="26">
        <f t="shared" si="101"/>
        <v>0</v>
      </c>
      <c r="AX84" s="26">
        <f t="shared" si="101"/>
        <v>0</v>
      </c>
      <c r="AY84" s="26">
        <f t="shared" si="101"/>
        <v>0</v>
      </c>
      <c r="AZ84" s="26">
        <f t="shared" si="101"/>
        <v>0</v>
      </c>
      <c r="BA84" s="26">
        <f t="shared" si="101"/>
        <v>0</v>
      </c>
      <c r="BB84" s="26">
        <f t="shared" si="101"/>
        <v>0</v>
      </c>
      <c r="BC84" s="26">
        <f t="shared" si="102"/>
        <v>1.5</v>
      </c>
      <c r="BD84" s="26">
        <f t="shared" si="102"/>
        <v>1.5</v>
      </c>
      <c r="BE84" s="26">
        <f t="shared" si="102"/>
        <v>1.5</v>
      </c>
      <c r="BF84" s="26">
        <f t="shared" si="102"/>
        <v>1.5</v>
      </c>
      <c r="BG84" s="26">
        <f t="shared" si="102"/>
        <v>1.5</v>
      </c>
      <c r="BH84" s="26">
        <f t="shared" si="102"/>
        <v>0</v>
      </c>
      <c r="BI84" s="26">
        <f t="shared" si="102"/>
        <v>1</v>
      </c>
      <c r="BJ84" s="26">
        <f t="shared" si="102"/>
        <v>1</v>
      </c>
      <c r="BK84" s="26">
        <f t="shared" si="102"/>
        <v>1</v>
      </c>
      <c r="BL84" s="26">
        <f t="shared" si="102"/>
        <v>1</v>
      </c>
      <c r="BM84" s="26">
        <f t="shared" si="103"/>
        <v>0</v>
      </c>
      <c r="BN84" s="26">
        <f t="shared" si="103"/>
        <v>0.1</v>
      </c>
      <c r="BO84" s="26">
        <f t="shared" si="103"/>
        <v>0.1</v>
      </c>
      <c r="BP84" s="26">
        <f t="shared" si="103"/>
        <v>0</v>
      </c>
      <c r="BQ84" s="26">
        <f t="shared" si="103"/>
        <v>0</v>
      </c>
      <c r="BR84" s="26">
        <f t="shared" si="103"/>
        <v>0</v>
      </c>
      <c r="BS84" s="26">
        <f t="shared" si="103"/>
        <v>0</v>
      </c>
      <c r="BT84" s="26">
        <f t="shared" si="103"/>
        <v>0</v>
      </c>
      <c r="BU84" s="26">
        <f t="shared" si="103"/>
        <v>0</v>
      </c>
      <c r="BV84" s="26">
        <f t="shared" si="103"/>
        <v>0</v>
      </c>
      <c r="BW84" s="26">
        <f t="shared" si="103"/>
        <v>0</v>
      </c>
      <c r="BX84" s="26">
        <f t="shared" si="103"/>
        <v>0</v>
      </c>
      <c r="BY84" s="26">
        <f t="shared" si="104"/>
        <v>1.5</v>
      </c>
      <c r="BZ84" s="26">
        <f t="shared" si="104"/>
        <v>1.5</v>
      </c>
      <c r="CA84" s="26">
        <f t="shared" si="104"/>
        <v>1.5</v>
      </c>
      <c r="CB84" s="26">
        <f t="shared" si="104"/>
        <v>1.5</v>
      </c>
      <c r="CC84" s="26">
        <f t="shared" si="104"/>
        <v>1.5</v>
      </c>
      <c r="CD84" s="26">
        <f t="shared" si="104"/>
        <v>0</v>
      </c>
      <c r="CE84" s="26">
        <f t="shared" si="104"/>
        <v>1</v>
      </c>
      <c r="CF84" s="26">
        <f t="shared" si="104"/>
        <v>1</v>
      </c>
      <c r="CG84" s="26">
        <f t="shared" si="104"/>
        <v>1</v>
      </c>
      <c r="CH84" s="26">
        <f t="shared" si="104"/>
        <v>1</v>
      </c>
      <c r="CI84" s="26">
        <f t="shared" si="105"/>
        <v>0</v>
      </c>
      <c r="CJ84" s="26">
        <f t="shared" si="105"/>
        <v>0.2</v>
      </c>
      <c r="CK84" s="26">
        <f t="shared" si="105"/>
        <v>0.2</v>
      </c>
      <c r="CL84" s="26">
        <f t="shared" si="105"/>
        <v>0.2</v>
      </c>
      <c r="CM84" s="26">
        <f t="shared" si="105"/>
        <v>0.1</v>
      </c>
      <c r="CN84" s="26">
        <f t="shared" si="105"/>
        <v>0.1</v>
      </c>
      <c r="CO84" s="26">
        <f t="shared" si="105"/>
        <v>0</v>
      </c>
      <c r="CP84" s="26">
        <f t="shared" si="105"/>
        <v>0</v>
      </c>
      <c r="CQ84" s="26">
        <f t="shared" si="105"/>
        <v>0</v>
      </c>
      <c r="CR84" s="26">
        <f t="shared" si="105"/>
        <v>0</v>
      </c>
      <c r="CS84" s="26">
        <f t="shared" si="105"/>
        <v>0</v>
      </c>
      <c r="CT84" s="26">
        <f t="shared" si="105"/>
        <v>0</v>
      </c>
      <c r="CU84" s="26">
        <f t="shared" si="106"/>
        <v>1.5</v>
      </c>
      <c r="CV84" s="26">
        <f t="shared" si="106"/>
        <v>1.5</v>
      </c>
      <c r="CW84" s="26">
        <f t="shared" si="106"/>
        <v>1.5</v>
      </c>
      <c r="CX84" s="26">
        <f t="shared" si="106"/>
        <v>1.5</v>
      </c>
      <c r="CY84" s="26">
        <f t="shared" si="106"/>
        <v>1.5</v>
      </c>
      <c r="CZ84" s="26">
        <f t="shared" si="106"/>
        <v>0</v>
      </c>
      <c r="DA84" s="26">
        <f t="shared" si="106"/>
        <v>1</v>
      </c>
      <c r="DB84" s="26">
        <f t="shared" si="106"/>
        <v>1</v>
      </c>
      <c r="DC84" s="26">
        <f t="shared" si="106"/>
        <v>1</v>
      </c>
      <c r="DD84" s="26">
        <f t="shared" si="106"/>
        <v>1</v>
      </c>
      <c r="DE84" s="26">
        <f t="shared" si="107"/>
        <v>1</v>
      </c>
      <c r="DF84" s="26">
        <f t="shared" si="107"/>
        <v>0.2</v>
      </c>
      <c r="DG84" s="26">
        <f t="shared" si="107"/>
        <v>0.2</v>
      </c>
      <c r="DH84" s="26">
        <f t="shared" si="107"/>
        <v>0.2</v>
      </c>
      <c r="DI84" s="26">
        <f t="shared" si="107"/>
        <v>0.2</v>
      </c>
      <c r="DJ84" s="26">
        <f t="shared" si="107"/>
        <v>0.2</v>
      </c>
      <c r="DK84" s="26">
        <f t="shared" si="107"/>
        <v>0.1</v>
      </c>
      <c r="DL84" s="26">
        <f t="shared" si="107"/>
        <v>2.5000000000000001E-2</v>
      </c>
      <c r="DM84" s="26">
        <f t="shared" si="107"/>
        <v>2.5000000000000001E-2</v>
      </c>
      <c r="DN84" s="26">
        <f t="shared" si="107"/>
        <v>0</v>
      </c>
      <c r="DO84" s="26">
        <f t="shared" si="107"/>
        <v>0</v>
      </c>
      <c r="DP84" s="26">
        <f t="shared" si="107"/>
        <v>0</v>
      </c>
      <c r="DQ84" s="26">
        <f t="shared" si="108"/>
        <v>1.5</v>
      </c>
      <c r="DR84" s="26">
        <f t="shared" si="108"/>
        <v>1.5</v>
      </c>
      <c r="DS84" s="26">
        <f t="shared" si="108"/>
        <v>1.5</v>
      </c>
      <c r="DT84" s="26">
        <f t="shared" si="108"/>
        <v>1.5</v>
      </c>
      <c r="DU84" s="26">
        <f t="shared" si="108"/>
        <v>1.5</v>
      </c>
      <c r="DV84" s="26">
        <f t="shared" si="108"/>
        <v>2.5000000000000001E-2</v>
      </c>
      <c r="DW84" s="26">
        <f t="shared" si="108"/>
        <v>1</v>
      </c>
      <c r="DX84" s="26">
        <f t="shared" si="108"/>
        <v>1</v>
      </c>
      <c r="DY84" s="26">
        <f t="shared" si="108"/>
        <v>1</v>
      </c>
      <c r="DZ84" s="26">
        <f t="shared" si="108"/>
        <v>1</v>
      </c>
      <c r="EA84" s="26">
        <f t="shared" si="109"/>
        <v>1</v>
      </c>
      <c r="EB84" s="26">
        <f t="shared" si="109"/>
        <v>0.2</v>
      </c>
      <c r="EC84" s="26">
        <f t="shared" si="109"/>
        <v>0.2</v>
      </c>
      <c r="ED84" s="26">
        <f t="shared" si="109"/>
        <v>0.2</v>
      </c>
      <c r="EE84" s="26">
        <f t="shared" si="109"/>
        <v>0.2</v>
      </c>
      <c r="EF84" s="26">
        <f t="shared" si="109"/>
        <v>0.2</v>
      </c>
      <c r="EG84" s="26">
        <f t="shared" si="109"/>
        <v>0.1</v>
      </c>
      <c r="EH84" s="26">
        <f t="shared" si="109"/>
        <v>0.05</v>
      </c>
      <c r="EI84" s="26">
        <f t="shared" si="109"/>
        <v>2.5000000000000001E-2</v>
      </c>
      <c r="EJ84" s="26">
        <f t="shared" si="109"/>
        <v>0</v>
      </c>
      <c r="EK84" s="26">
        <f t="shared" si="109"/>
        <v>0</v>
      </c>
      <c r="EL84" s="26">
        <f t="shared" si="109"/>
        <v>0</v>
      </c>
      <c r="EM84" s="26">
        <f t="shared" si="92"/>
        <v>138354</v>
      </c>
      <c r="EN84" s="26">
        <f t="shared" si="93"/>
        <v>167990</v>
      </c>
      <c r="EO84" s="26">
        <f t="shared" si="94"/>
        <v>215370</v>
      </c>
      <c r="EP84" s="26">
        <f t="shared" si="95"/>
        <v>361839</v>
      </c>
      <c r="EQ84" s="26">
        <f t="shared" si="96"/>
        <v>411461</v>
      </c>
    </row>
    <row r="85" spans="17:147">
      <c r="Q85" s="26">
        <v>81</v>
      </c>
      <c r="R85" s="26">
        <f>总纲!D85</f>
        <v>273.37400640929098</v>
      </c>
      <c r="S85" s="26">
        <f>求节点(将星点产出!$W$6:$W$44,将星点产出!$AO$6:$AO$44,星阵点亮!$Q85)</f>
        <v>254969.66430691216</v>
      </c>
      <c r="T85" s="26">
        <f t="shared" si="87"/>
        <v>31</v>
      </c>
      <c r="U85" s="26">
        <f>总纲!E85</f>
        <v>236.35916594147301</v>
      </c>
      <c r="V85" s="26">
        <f>求节点(将星点产出!$W$51:$W$89,将星点产出!$AO$51:$AO$89,星阵点亮!$Q85)</f>
        <v>335514.71237243037</v>
      </c>
      <c r="W85" s="26">
        <f t="shared" si="88"/>
        <v>36</v>
      </c>
      <c r="X85" s="26">
        <f>总纲!F85</f>
        <v>192.67399971726829</v>
      </c>
      <c r="Y85" s="26">
        <f>求节点(将星点产出!$W$96:$W$134,将星点产出!$AO$96:$AO$134,星阵点亮!$Q85)</f>
        <v>439233.25563512702</v>
      </c>
      <c r="Z85" s="26">
        <f t="shared" si="89"/>
        <v>41</v>
      </c>
      <c r="AA85" s="26">
        <f>总纲!G85</f>
        <v>140.76027590014394</v>
      </c>
      <c r="AB85" s="26">
        <f>求节点(将星点产出!$W$141:$W$179,将星点产出!$AO$141:$AO$179,星阵点亮!$Q85)</f>
        <v>728920.24854450859</v>
      </c>
      <c r="AC85" s="26">
        <f t="shared" si="90"/>
        <v>52</v>
      </c>
      <c r="AD85" s="26">
        <f>总纲!H85</f>
        <v>77.856917025366073</v>
      </c>
      <c r="AE85" s="26">
        <f>求节点(将星点产出!$W$186:$W$224,将星点产出!$AO$186:$AO$224,星阵点亮!$Q85)</f>
        <v>754929.04310934735</v>
      </c>
      <c r="AF85" s="26">
        <f t="shared" si="91"/>
        <v>52</v>
      </c>
      <c r="AG85" s="26">
        <f t="shared" ref="AG85:AP94" si="110">SUMIFS($J$5:$J$76,$I$5:$I$76,AG$4,$H$5:$H$76,"&lt;="&amp;$T85)</f>
        <v>1.5</v>
      </c>
      <c r="AH85" s="26">
        <f t="shared" si="110"/>
        <v>1.5</v>
      </c>
      <c r="AI85" s="26">
        <f t="shared" si="110"/>
        <v>1.5</v>
      </c>
      <c r="AJ85" s="26">
        <f t="shared" si="110"/>
        <v>1.5</v>
      </c>
      <c r="AK85" s="26">
        <f t="shared" si="110"/>
        <v>1</v>
      </c>
      <c r="AL85" s="26">
        <f t="shared" si="110"/>
        <v>0</v>
      </c>
      <c r="AM85" s="26">
        <f t="shared" si="110"/>
        <v>1</v>
      </c>
      <c r="AN85" s="26">
        <f t="shared" si="110"/>
        <v>1</v>
      </c>
      <c r="AO85" s="26">
        <f t="shared" si="110"/>
        <v>1</v>
      </c>
      <c r="AP85" s="26">
        <f t="shared" si="110"/>
        <v>1</v>
      </c>
      <c r="AQ85" s="26">
        <f t="shared" ref="AQ85:BB94" si="111">SUMIFS($J$5:$J$76,$I$5:$I$76,AQ$4,$H$5:$H$76,"&lt;="&amp;$T85)</f>
        <v>0</v>
      </c>
      <c r="AR85" s="26">
        <f t="shared" si="111"/>
        <v>0</v>
      </c>
      <c r="AS85" s="26">
        <f t="shared" si="111"/>
        <v>0</v>
      </c>
      <c r="AT85" s="26">
        <f t="shared" si="111"/>
        <v>0</v>
      </c>
      <c r="AU85" s="26">
        <f t="shared" si="111"/>
        <v>0</v>
      </c>
      <c r="AV85" s="26">
        <f t="shared" si="111"/>
        <v>0</v>
      </c>
      <c r="AW85" s="26">
        <f t="shared" si="111"/>
        <v>0</v>
      </c>
      <c r="AX85" s="26">
        <f t="shared" si="111"/>
        <v>0</v>
      </c>
      <c r="AY85" s="26">
        <f t="shared" si="111"/>
        <v>0</v>
      </c>
      <c r="AZ85" s="26">
        <f t="shared" si="111"/>
        <v>0</v>
      </c>
      <c r="BA85" s="26">
        <f t="shared" si="111"/>
        <v>0</v>
      </c>
      <c r="BB85" s="26">
        <f t="shared" si="111"/>
        <v>0</v>
      </c>
      <c r="BC85" s="26">
        <f t="shared" ref="BC85:BL94" si="112">SUMIFS($J$5:$J$76,$I$5:$I$76,BC$4,$H$5:$H$76,"&lt;="&amp;$W85)</f>
        <v>1.5</v>
      </c>
      <c r="BD85" s="26">
        <f t="shared" si="112"/>
        <v>1.5</v>
      </c>
      <c r="BE85" s="26">
        <f t="shared" si="112"/>
        <v>1.5</v>
      </c>
      <c r="BF85" s="26">
        <f t="shared" si="112"/>
        <v>1.5</v>
      </c>
      <c r="BG85" s="26">
        <f t="shared" si="112"/>
        <v>1.5</v>
      </c>
      <c r="BH85" s="26">
        <f t="shared" si="112"/>
        <v>0</v>
      </c>
      <c r="BI85" s="26">
        <f t="shared" si="112"/>
        <v>1</v>
      </c>
      <c r="BJ85" s="26">
        <f t="shared" si="112"/>
        <v>1</v>
      </c>
      <c r="BK85" s="26">
        <f t="shared" si="112"/>
        <v>1</v>
      </c>
      <c r="BL85" s="26">
        <f t="shared" si="112"/>
        <v>1</v>
      </c>
      <c r="BM85" s="26">
        <f t="shared" ref="BM85:BX94" si="113">SUMIFS($J$5:$J$76,$I$5:$I$76,BM$4,$H$5:$H$76,"&lt;="&amp;$W85)</f>
        <v>0</v>
      </c>
      <c r="BN85" s="26">
        <f t="shared" si="113"/>
        <v>0.2</v>
      </c>
      <c r="BO85" s="26">
        <f t="shared" si="113"/>
        <v>0.2</v>
      </c>
      <c r="BP85" s="26">
        <f t="shared" si="113"/>
        <v>0</v>
      </c>
      <c r="BQ85" s="26">
        <f t="shared" si="113"/>
        <v>0</v>
      </c>
      <c r="BR85" s="26">
        <f t="shared" si="113"/>
        <v>0</v>
      </c>
      <c r="BS85" s="26">
        <f t="shared" si="113"/>
        <v>0</v>
      </c>
      <c r="BT85" s="26">
        <f t="shared" si="113"/>
        <v>0</v>
      </c>
      <c r="BU85" s="26">
        <f t="shared" si="113"/>
        <v>0</v>
      </c>
      <c r="BV85" s="26">
        <f t="shared" si="113"/>
        <v>0</v>
      </c>
      <c r="BW85" s="26">
        <f t="shared" si="113"/>
        <v>0</v>
      </c>
      <c r="BX85" s="26">
        <f t="shared" si="113"/>
        <v>0</v>
      </c>
      <c r="BY85" s="26">
        <f t="shared" ref="BY85:CH94" si="114">SUMIFS($J$5:$J$76,$I$5:$I$76,BY$4,$H$5:$H$76,"&lt;="&amp;$Z85)</f>
        <v>1.5</v>
      </c>
      <c r="BZ85" s="26">
        <f t="shared" si="114"/>
        <v>1.5</v>
      </c>
      <c r="CA85" s="26">
        <f t="shared" si="114"/>
        <v>1.5</v>
      </c>
      <c r="CB85" s="26">
        <f t="shared" si="114"/>
        <v>1.5</v>
      </c>
      <c r="CC85" s="26">
        <f t="shared" si="114"/>
        <v>1.5</v>
      </c>
      <c r="CD85" s="26">
        <f t="shared" si="114"/>
        <v>0</v>
      </c>
      <c r="CE85" s="26">
        <f t="shared" si="114"/>
        <v>1</v>
      </c>
      <c r="CF85" s="26">
        <f t="shared" si="114"/>
        <v>1</v>
      </c>
      <c r="CG85" s="26">
        <f t="shared" si="114"/>
        <v>1</v>
      </c>
      <c r="CH85" s="26">
        <f t="shared" si="114"/>
        <v>1</v>
      </c>
      <c r="CI85" s="26">
        <f t="shared" ref="CI85:CT94" si="115">SUMIFS($J$5:$J$76,$I$5:$I$76,CI$4,$H$5:$H$76,"&lt;="&amp;$Z85)</f>
        <v>0</v>
      </c>
      <c r="CJ85" s="26">
        <f t="shared" si="115"/>
        <v>0.2</v>
      </c>
      <c r="CK85" s="26">
        <f t="shared" si="115"/>
        <v>0.2</v>
      </c>
      <c r="CL85" s="26">
        <f t="shared" si="115"/>
        <v>0.2</v>
      </c>
      <c r="CM85" s="26">
        <f t="shared" si="115"/>
        <v>0.2</v>
      </c>
      <c r="CN85" s="26">
        <f t="shared" si="115"/>
        <v>0.1</v>
      </c>
      <c r="CO85" s="26">
        <f t="shared" si="115"/>
        <v>0</v>
      </c>
      <c r="CP85" s="26">
        <f t="shared" si="115"/>
        <v>0</v>
      </c>
      <c r="CQ85" s="26">
        <f t="shared" si="115"/>
        <v>0</v>
      </c>
      <c r="CR85" s="26">
        <f t="shared" si="115"/>
        <v>0</v>
      </c>
      <c r="CS85" s="26">
        <f t="shared" si="115"/>
        <v>0</v>
      </c>
      <c r="CT85" s="26">
        <f t="shared" si="115"/>
        <v>0</v>
      </c>
      <c r="CU85" s="26">
        <f t="shared" ref="CU85:DD94" si="116">SUMIFS($J$5:$J$76,$I$5:$I$76,CU$4,$H$5:$H$76,"&lt;="&amp;$AC85)</f>
        <v>1.5</v>
      </c>
      <c r="CV85" s="26">
        <f t="shared" si="116"/>
        <v>1.5</v>
      </c>
      <c r="CW85" s="26">
        <f t="shared" si="116"/>
        <v>1.5</v>
      </c>
      <c r="CX85" s="26">
        <f t="shared" si="116"/>
        <v>1.5</v>
      </c>
      <c r="CY85" s="26">
        <f t="shared" si="116"/>
        <v>1.5</v>
      </c>
      <c r="CZ85" s="26">
        <f t="shared" si="116"/>
        <v>2.5000000000000001E-2</v>
      </c>
      <c r="DA85" s="26">
        <f t="shared" si="116"/>
        <v>1</v>
      </c>
      <c r="DB85" s="26">
        <f t="shared" si="116"/>
        <v>1</v>
      </c>
      <c r="DC85" s="26">
        <f t="shared" si="116"/>
        <v>1</v>
      </c>
      <c r="DD85" s="26">
        <f t="shared" si="116"/>
        <v>1</v>
      </c>
      <c r="DE85" s="26">
        <f t="shared" ref="DE85:DP94" si="117">SUMIFS($J$5:$J$76,$I$5:$I$76,DE$4,$H$5:$H$76,"&lt;="&amp;$AC85)</f>
        <v>1</v>
      </c>
      <c r="DF85" s="26">
        <f t="shared" si="117"/>
        <v>0.2</v>
      </c>
      <c r="DG85" s="26">
        <f t="shared" si="117"/>
        <v>0.2</v>
      </c>
      <c r="DH85" s="26">
        <f t="shared" si="117"/>
        <v>0.2</v>
      </c>
      <c r="DI85" s="26">
        <f t="shared" si="117"/>
        <v>0.2</v>
      </c>
      <c r="DJ85" s="26">
        <f t="shared" si="117"/>
        <v>0.2</v>
      </c>
      <c r="DK85" s="26">
        <f t="shared" si="117"/>
        <v>0.1</v>
      </c>
      <c r="DL85" s="26">
        <f t="shared" si="117"/>
        <v>0.05</v>
      </c>
      <c r="DM85" s="26">
        <f t="shared" si="117"/>
        <v>2.5000000000000001E-2</v>
      </c>
      <c r="DN85" s="26">
        <f t="shared" si="117"/>
        <v>0</v>
      </c>
      <c r="DO85" s="26">
        <f t="shared" si="117"/>
        <v>0</v>
      </c>
      <c r="DP85" s="26">
        <f t="shared" si="117"/>
        <v>0</v>
      </c>
      <c r="DQ85" s="26">
        <f t="shared" ref="DQ85:DZ94" si="118">SUMIFS($J$5:$J$76,$I$5:$I$76,DQ$4,$H$5:$H$76,"&lt;="&amp;$AF85)</f>
        <v>1.5</v>
      </c>
      <c r="DR85" s="26">
        <f t="shared" si="118"/>
        <v>1.5</v>
      </c>
      <c r="DS85" s="26">
        <f t="shared" si="118"/>
        <v>1.5</v>
      </c>
      <c r="DT85" s="26">
        <f t="shared" si="118"/>
        <v>1.5</v>
      </c>
      <c r="DU85" s="26">
        <f t="shared" si="118"/>
        <v>1.5</v>
      </c>
      <c r="DV85" s="26">
        <f t="shared" si="118"/>
        <v>2.5000000000000001E-2</v>
      </c>
      <c r="DW85" s="26">
        <f t="shared" si="118"/>
        <v>1</v>
      </c>
      <c r="DX85" s="26">
        <f t="shared" si="118"/>
        <v>1</v>
      </c>
      <c r="DY85" s="26">
        <f t="shared" si="118"/>
        <v>1</v>
      </c>
      <c r="DZ85" s="26">
        <f t="shared" si="118"/>
        <v>1</v>
      </c>
      <c r="EA85" s="26">
        <f t="shared" ref="EA85:EL94" si="119">SUMIFS($J$5:$J$76,$I$5:$I$76,EA$4,$H$5:$H$76,"&lt;="&amp;$AF85)</f>
        <v>1</v>
      </c>
      <c r="EB85" s="26">
        <f t="shared" si="119"/>
        <v>0.2</v>
      </c>
      <c r="EC85" s="26">
        <f t="shared" si="119"/>
        <v>0.2</v>
      </c>
      <c r="ED85" s="26">
        <f t="shared" si="119"/>
        <v>0.2</v>
      </c>
      <c r="EE85" s="26">
        <f t="shared" si="119"/>
        <v>0.2</v>
      </c>
      <c r="EF85" s="26">
        <f t="shared" si="119"/>
        <v>0.2</v>
      </c>
      <c r="EG85" s="26">
        <f t="shared" si="119"/>
        <v>0.1</v>
      </c>
      <c r="EH85" s="26">
        <f t="shared" si="119"/>
        <v>0.05</v>
      </c>
      <c r="EI85" s="26">
        <f t="shared" si="119"/>
        <v>2.5000000000000001E-2</v>
      </c>
      <c r="EJ85" s="26">
        <f t="shared" si="119"/>
        <v>0</v>
      </c>
      <c r="EK85" s="26">
        <f t="shared" si="119"/>
        <v>0</v>
      </c>
      <c r="EL85" s="26">
        <f t="shared" si="119"/>
        <v>0</v>
      </c>
      <c r="EM85" s="26">
        <f t="shared" si="92"/>
        <v>144986</v>
      </c>
      <c r="EN85" s="26">
        <f t="shared" si="93"/>
        <v>183576</v>
      </c>
      <c r="EO85" s="26">
        <f t="shared" si="94"/>
        <v>223449</v>
      </c>
      <c r="EP85" s="26">
        <f t="shared" si="95"/>
        <v>411461</v>
      </c>
      <c r="EQ85" s="26">
        <f t="shared" si="96"/>
        <v>411461</v>
      </c>
    </row>
    <row r="86" spans="17:147">
      <c r="Q86" s="26">
        <v>82</v>
      </c>
      <c r="R86" s="26">
        <f>总纲!D86</f>
        <v>293.06677887924064</v>
      </c>
      <c r="S86" s="26">
        <f>求节点(将星点产出!$W$6:$W$44,将星点产出!$AO$6:$AO$44,星阵点亮!$Q86)</f>
        <v>271510.47207766626</v>
      </c>
      <c r="T86" s="26">
        <f t="shared" si="87"/>
        <v>32</v>
      </c>
      <c r="U86" s="26">
        <f>总纲!E86</f>
        <v>253.15108359588808</v>
      </c>
      <c r="V86" s="26">
        <f>求节点(将星点产出!$W$51:$W$89,将星点产出!$AO$51:$AO$89,星阵点亮!$Q86)</f>
        <v>357611.26248874993</v>
      </c>
      <c r="W86" s="26">
        <f t="shared" si="88"/>
        <v>37</v>
      </c>
      <c r="X86" s="26">
        <f>总纲!F86</f>
        <v>206.37762568676126</v>
      </c>
      <c r="Y86" s="26">
        <f>求节点(将星点产出!$W$96:$W$134,将星点产出!$AO$96:$AO$134,星阵点亮!$Q86)</f>
        <v>452831.47434832889</v>
      </c>
      <c r="Z86" s="26">
        <f t="shared" si="89"/>
        <v>41</v>
      </c>
      <c r="AA86" s="26">
        <f>总纲!G86</f>
        <v>150.81216441125721</v>
      </c>
      <c r="AB86" s="26">
        <f>求节点(将星点产出!$W$141:$W$179,将星点产出!$AO$141:$AO$179,星阵点亮!$Q86)</f>
        <v>768804.90164358215</v>
      </c>
      <c r="AC86" s="26">
        <f t="shared" si="90"/>
        <v>53</v>
      </c>
      <c r="AD86" s="26">
        <f>总纲!H86</f>
        <v>83.230965201704336</v>
      </c>
      <c r="AE86" s="26">
        <f>求节点(将星点产出!$W$186:$W$224,将星点产出!$AO$186:$AO$224,星阵点亮!$Q86)</f>
        <v>769109.16339574801</v>
      </c>
      <c r="AF86" s="26">
        <f t="shared" si="91"/>
        <v>53</v>
      </c>
      <c r="AG86" s="26">
        <f t="shared" si="110"/>
        <v>1.5</v>
      </c>
      <c r="AH86" s="26">
        <f t="shared" si="110"/>
        <v>1.5</v>
      </c>
      <c r="AI86" s="26">
        <f t="shared" si="110"/>
        <v>1.5</v>
      </c>
      <c r="AJ86" s="26">
        <f t="shared" si="110"/>
        <v>1.5</v>
      </c>
      <c r="AK86" s="26">
        <f t="shared" si="110"/>
        <v>1</v>
      </c>
      <c r="AL86" s="26">
        <f t="shared" si="110"/>
        <v>0</v>
      </c>
      <c r="AM86" s="26">
        <f t="shared" si="110"/>
        <v>1</v>
      </c>
      <c r="AN86" s="26">
        <f t="shared" si="110"/>
        <v>1</v>
      </c>
      <c r="AO86" s="26">
        <f t="shared" si="110"/>
        <v>1</v>
      </c>
      <c r="AP86" s="26">
        <f t="shared" si="110"/>
        <v>1</v>
      </c>
      <c r="AQ86" s="26">
        <f t="shared" si="111"/>
        <v>0</v>
      </c>
      <c r="AR86" s="26">
        <f t="shared" si="111"/>
        <v>0.1</v>
      </c>
      <c r="AS86" s="26">
        <f t="shared" si="111"/>
        <v>0</v>
      </c>
      <c r="AT86" s="26">
        <f t="shared" si="111"/>
        <v>0</v>
      </c>
      <c r="AU86" s="26">
        <f t="shared" si="111"/>
        <v>0</v>
      </c>
      <c r="AV86" s="26">
        <f t="shared" si="111"/>
        <v>0</v>
      </c>
      <c r="AW86" s="26">
        <f t="shared" si="111"/>
        <v>0</v>
      </c>
      <c r="AX86" s="26">
        <f t="shared" si="111"/>
        <v>0</v>
      </c>
      <c r="AY86" s="26">
        <f t="shared" si="111"/>
        <v>0</v>
      </c>
      <c r="AZ86" s="26">
        <f t="shared" si="111"/>
        <v>0</v>
      </c>
      <c r="BA86" s="26">
        <f t="shared" si="111"/>
        <v>0</v>
      </c>
      <c r="BB86" s="26">
        <f t="shared" si="111"/>
        <v>0</v>
      </c>
      <c r="BC86" s="26">
        <f t="shared" si="112"/>
        <v>1.5</v>
      </c>
      <c r="BD86" s="26">
        <f t="shared" si="112"/>
        <v>1.5</v>
      </c>
      <c r="BE86" s="26">
        <f t="shared" si="112"/>
        <v>1.5</v>
      </c>
      <c r="BF86" s="26">
        <f t="shared" si="112"/>
        <v>1.5</v>
      </c>
      <c r="BG86" s="26">
        <f t="shared" si="112"/>
        <v>1.5</v>
      </c>
      <c r="BH86" s="26">
        <f t="shared" si="112"/>
        <v>0</v>
      </c>
      <c r="BI86" s="26">
        <f t="shared" si="112"/>
        <v>1</v>
      </c>
      <c r="BJ86" s="26">
        <f t="shared" si="112"/>
        <v>1</v>
      </c>
      <c r="BK86" s="26">
        <f t="shared" si="112"/>
        <v>1</v>
      </c>
      <c r="BL86" s="26">
        <f t="shared" si="112"/>
        <v>1</v>
      </c>
      <c r="BM86" s="26">
        <f t="shared" si="113"/>
        <v>0</v>
      </c>
      <c r="BN86" s="26">
        <f t="shared" si="113"/>
        <v>0.2</v>
      </c>
      <c r="BO86" s="26">
        <f t="shared" si="113"/>
        <v>0.2</v>
      </c>
      <c r="BP86" s="26">
        <f t="shared" si="113"/>
        <v>0.1</v>
      </c>
      <c r="BQ86" s="26">
        <f t="shared" si="113"/>
        <v>0</v>
      </c>
      <c r="BR86" s="26">
        <f t="shared" si="113"/>
        <v>0</v>
      </c>
      <c r="BS86" s="26">
        <f t="shared" si="113"/>
        <v>0</v>
      </c>
      <c r="BT86" s="26">
        <f t="shared" si="113"/>
        <v>0</v>
      </c>
      <c r="BU86" s="26">
        <f t="shared" si="113"/>
        <v>0</v>
      </c>
      <c r="BV86" s="26">
        <f t="shared" si="113"/>
        <v>0</v>
      </c>
      <c r="BW86" s="26">
        <f t="shared" si="113"/>
        <v>0</v>
      </c>
      <c r="BX86" s="26">
        <f t="shared" si="113"/>
        <v>0</v>
      </c>
      <c r="BY86" s="26">
        <f t="shared" si="114"/>
        <v>1.5</v>
      </c>
      <c r="BZ86" s="26">
        <f t="shared" si="114"/>
        <v>1.5</v>
      </c>
      <c r="CA86" s="26">
        <f t="shared" si="114"/>
        <v>1.5</v>
      </c>
      <c r="CB86" s="26">
        <f t="shared" si="114"/>
        <v>1.5</v>
      </c>
      <c r="CC86" s="26">
        <f t="shared" si="114"/>
        <v>1.5</v>
      </c>
      <c r="CD86" s="26">
        <f t="shared" si="114"/>
        <v>0</v>
      </c>
      <c r="CE86" s="26">
        <f t="shared" si="114"/>
        <v>1</v>
      </c>
      <c r="CF86" s="26">
        <f t="shared" si="114"/>
        <v>1</v>
      </c>
      <c r="CG86" s="26">
        <f t="shared" si="114"/>
        <v>1</v>
      </c>
      <c r="CH86" s="26">
        <f t="shared" si="114"/>
        <v>1</v>
      </c>
      <c r="CI86" s="26">
        <f t="shared" si="115"/>
        <v>0</v>
      </c>
      <c r="CJ86" s="26">
        <f t="shared" si="115"/>
        <v>0.2</v>
      </c>
      <c r="CK86" s="26">
        <f t="shared" si="115"/>
        <v>0.2</v>
      </c>
      <c r="CL86" s="26">
        <f t="shared" si="115"/>
        <v>0.2</v>
      </c>
      <c r="CM86" s="26">
        <f t="shared" si="115"/>
        <v>0.2</v>
      </c>
      <c r="CN86" s="26">
        <f t="shared" si="115"/>
        <v>0.1</v>
      </c>
      <c r="CO86" s="26">
        <f t="shared" si="115"/>
        <v>0</v>
      </c>
      <c r="CP86" s="26">
        <f t="shared" si="115"/>
        <v>0</v>
      </c>
      <c r="CQ86" s="26">
        <f t="shared" si="115"/>
        <v>0</v>
      </c>
      <c r="CR86" s="26">
        <f t="shared" si="115"/>
        <v>0</v>
      </c>
      <c r="CS86" s="26">
        <f t="shared" si="115"/>
        <v>0</v>
      </c>
      <c r="CT86" s="26">
        <f t="shared" si="115"/>
        <v>0</v>
      </c>
      <c r="CU86" s="26">
        <f t="shared" si="116"/>
        <v>1.5</v>
      </c>
      <c r="CV86" s="26">
        <f t="shared" si="116"/>
        <v>1.5</v>
      </c>
      <c r="CW86" s="26">
        <f t="shared" si="116"/>
        <v>1.5</v>
      </c>
      <c r="CX86" s="26">
        <f t="shared" si="116"/>
        <v>1.5</v>
      </c>
      <c r="CY86" s="26">
        <f t="shared" si="116"/>
        <v>1.5</v>
      </c>
      <c r="CZ86" s="26">
        <f t="shared" si="116"/>
        <v>2.5000000000000001E-2</v>
      </c>
      <c r="DA86" s="26">
        <f t="shared" si="116"/>
        <v>1</v>
      </c>
      <c r="DB86" s="26">
        <f t="shared" si="116"/>
        <v>1</v>
      </c>
      <c r="DC86" s="26">
        <f t="shared" si="116"/>
        <v>1</v>
      </c>
      <c r="DD86" s="26">
        <f t="shared" si="116"/>
        <v>1</v>
      </c>
      <c r="DE86" s="26">
        <f t="shared" si="117"/>
        <v>1</v>
      </c>
      <c r="DF86" s="26">
        <f t="shared" si="117"/>
        <v>0.2</v>
      </c>
      <c r="DG86" s="26">
        <f t="shared" si="117"/>
        <v>0.2</v>
      </c>
      <c r="DH86" s="26">
        <f t="shared" si="117"/>
        <v>0.2</v>
      </c>
      <c r="DI86" s="26">
        <f t="shared" si="117"/>
        <v>0.2</v>
      </c>
      <c r="DJ86" s="26">
        <f t="shared" si="117"/>
        <v>0.2</v>
      </c>
      <c r="DK86" s="26">
        <f t="shared" si="117"/>
        <v>0.1</v>
      </c>
      <c r="DL86" s="26">
        <f t="shared" si="117"/>
        <v>0.05</v>
      </c>
      <c r="DM86" s="26">
        <f t="shared" si="117"/>
        <v>0.05</v>
      </c>
      <c r="DN86" s="26">
        <f t="shared" si="117"/>
        <v>0</v>
      </c>
      <c r="DO86" s="26">
        <f t="shared" si="117"/>
        <v>0</v>
      </c>
      <c r="DP86" s="26">
        <f t="shared" si="117"/>
        <v>0</v>
      </c>
      <c r="DQ86" s="26">
        <f t="shared" si="118"/>
        <v>1.5</v>
      </c>
      <c r="DR86" s="26">
        <f t="shared" si="118"/>
        <v>1.5</v>
      </c>
      <c r="DS86" s="26">
        <f t="shared" si="118"/>
        <v>1.5</v>
      </c>
      <c r="DT86" s="26">
        <f t="shared" si="118"/>
        <v>1.5</v>
      </c>
      <c r="DU86" s="26">
        <f t="shared" si="118"/>
        <v>1.5</v>
      </c>
      <c r="DV86" s="26">
        <f t="shared" si="118"/>
        <v>2.5000000000000001E-2</v>
      </c>
      <c r="DW86" s="26">
        <f t="shared" si="118"/>
        <v>1</v>
      </c>
      <c r="DX86" s="26">
        <f t="shared" si="118"/>
        <v>1</v>
      </c>
      <c r="DY86" s="26">
        <f t="shared" si="118"/>
        <v>1</v>
      </c>
      <c r="DZ86" s="26">
        <f t="shared" si="118"/>
        <v>1</v>
      </c>
      <c r="EA86" s="26">
        <f t="shared" si="119"/>
        <v>1</v>
      </c>
      <c r="EB86" s="26">
        <f t="shared" si="119"/>
        <v>0.2</v>
      </c>
      <c r="EC86" s="26">
        <f t="shared" si="119"/>
        <v>0.2</v>
      </c>
      <c r="ED86" s="26">
        <f t="shared" si="119"/>
        <v>0.2</v>
      </c>
      <c r="EE86" s="26">
        <f t="shared" si="119"/>
        <v>0.2</v>
      </c>
      <c r="EF86" s="26">
        <f t="shared" si="119"/>
        <v>0.2</v>
      </c>
      <c r="EG86" s="26">
        <f t="shared" si="119"/>
        <v>0.1</v>
      </c>
      <c r="EH86" s="26">
        <f t="shared" si="119"/>
        <v>0.05</v>
      </c>
      <c r="EI86" s="26">
        <f t="shared" si="119"/>
        <v>0.05</v>
      </c>
      <c r="EJ86" s="26">
        <f t="shared" si="119"/>
        <v>0</v>
      </c>
      <c r="EK86" s="26">
        <f t="shared" si="119"/>
        <v>0</v>
      </c>
      <c r="EL86" s="26">
        <f t="shared" si="119"/>
        <v>0</v>
      </c>
      <c r="EM86" s="26">
        <f t="shared" si="92"/>
        <v>152604</v>
      </c>
      <c r="EN86" s="26">
        <f t="shared" si="93"/>
        <v>191444</v>
      </c>
      <c r="EO86" s="26">
        <f t="shared" si="94"/>
        <v>223449</v>
      </c>
      <c r="EP86" s="26">
        <f t="shared" si="95"/>
        <v>436347</v>
      </c>
      <c r="EQ86" s="26">
        <f t="shared" si="96"/>
        <v>436347</v>
      </c>
    </row>
    <row r="87" spans="17:147">
      <c r="Q87" s="26">
        <v>83</v>
      </c>
      <c r="R87" s="26">
        <f>总纲!D87</f>
        <v>314.1729698162988</v>
      </c>
      <c r="S87" s="26">
        <f>求节点(将星点产出!$W$6:$W$44,将星点产出!$AO$6:$AO$44,星阵点亮!$Q87)</f>
        <v>290420.00449042674</v>
      </c>
      <c r="T87" s="26">
        <f t="shared" si="87"/>
        <v>33</v>
      </c>
      <c r="U87" s="26">
        <f>总纲!E87</f>
        <v>271.53969781222702</v>
      </c>
      <c r="V87" s="26">
        <f>求节点(将星点产出!$W$51:$W$89,将星点产出!$AO$51:$AO$89,星阵点亮!$Q87)</f>
        <v>379185.45742966555</v>
      </c>
      <c r="W87" s="26">
        <f t="shared" si="88"/>
        <v>38</v>
      </c>
      <c r="X87" s="26">
        <f>总纲!F87</f>
        <v>221.55477831445393</v>
      </c>
      <c r="Y87" s="26">
        <f>求节点(将星点产出!$W$96:$W$134,将星点产出!$AO$96:$AO$134,星阵点亮!$Q87)</f>
        <v>471928.21951718925</v>
      </c>
      <c r="Z87" s="26">
        <f t="shared" si="89"/>
        <v>42</v>
      </c>
      <c r="AA87" s="26">
        <f>总纲!G87</f>
        <v>161.57915837652246</v>
      </c>
      <c r="AB87" s="26">
        <f>求节点(将星点产出!$W$141:$W$179,将星点产出!$AO$141:$AO$179,星阵点亮!$Q87)</f>
        <v>796614.05518893769</v>
      </c>
      <c r="AC87" s="26">
        <f t="shared" si="90"/>
        <v>54</v>
      </c>
      <c r="AD87" s="26">
        <f>总纲!H87</f>
        <v>89.193706130847232</v>
      </c>
      <c r="AE87" s="26">
        <f>求节点(将星点产出!$W$186:$W$224,将星点产出!$AO$186:$AO$224,星阵点亮!$Q87)</f>
        <v>783718.76696935983</v>
      </c>
      <c r="AF87" s="26">
        <f t="shared" si="91"/>
        <v>53</v>
      </c>
      <c r="AG87" s="26">
        <f t="shared" si="110"/>
        <v>1.5</v>
      </c>
      <c r="AH87" s="26">
        <f t="shared" si="110"/>
        <v>1.5</v>
      </c>
      <c r="AI87" s="26">
        <f t="shared" si="110"/>
        <v>1.5</v>
      </c>
      <c r="AJ87" s="26">
        <f t="shared" si="110"/>
        <v>1.5</v>
      </c>
      <c r="AK87" s="26">
        <f t="shared" si="110"/>
        <v>1</v>
      </c>
      <c r="AL87" s="26">
        <f t="shared" si="110"/>
        <v>0</v>
      </c>
      <c r="AM87" s="26">
        <f t="shared" si="110"/>
        <v>1</v>
      </c>
      <c r="AN87" s="26">
        <f t="shared" si="110"/>
        <v>1</v>
      </c>
      <c r="AO87" s="26">
        <f t="shared" si="110"/>
        <v>1</v>
      </c>
      <c r="AP87" s="26">
        <f t="shared" si="110"/>
        <v>1</v>
      </c>
      <c r="AQ87" s="26">
        <f t="shared" si="111"/>
        <v>0</v>
      </c>
      <c r="AR87" s="26">
        <f t="shared" si="111"/>
        <v>0.1</v>
      </c>
      <c r="AS87" s="26">
        <f t="shared" si="111"/>
        <v>0.1</v>
      </c>
      <c r="AT87" s="26">
        <f t="shared" si="111"/>
        <v>0</v>
      </c>
      <c r="AU87" s="26">
        <f t="shared" si="111"/>
        <v>0</v>
      </c>
      <c r="AV87" s="26">
        <f t="shared" si="111"/>
        <v>0</v>
      </c>
      <c r="AW87" s="26">
        <f t="shared" si="111"/>
        <v>0</v>
      </c>
      <c r="AX87" s="26">
        <f t="shared" si="111"/>
        <v>0</v>
      </c>
      <c r="AY87" s="26">
        <f t="shared" si="111"/>
        <v>0</v>
      </c>
      <c r="AZ87" s="26">
        <f t="shared" si="111"/>
        <v>0</v>
      </c>
      <c r="BA87" s="26">
        <f t="shared" si="111"/>
        <v>0</v>
      </c>
      <c r="BB87" s="26">
        <f t="shared" si="111"/>
        <v>0</v>
      </c>
      <c r="BC87" s="26">
        <f t="shared" si="112"/>
        <v>1.5</v>
      </c>
      <c r="BD87" s="26">
        <f t="shared" si="112"/>
        <v>1.5</v>
      </c>
      <c r="BE87" s="26">
        <f t="shared" si="112"/>
        <v>1.5</v>
      </c>
      <c r="BF87" s="26">
        <f t="shared" si="112"/>
        <v>1.5</v>
      </c>
      <c r="BG87" s="26">
        <f t="shared" si="112"/>
        <v>1.5</v>
      </c>
      <c r="BH87" s="26">
        <f t="shared" si="112"/>
        <v>0</v>
      </c>
      <c r="BI87" s="26">
        <f t="shared" si="112"/>
        <v>1</v>
      </c>
      <c r="BJ87" s="26">
        <f t="shared" si="112"/>
        <v>1</v>
      </c>
      <c r="BK87" s="26">
        <f t="shared" si="112"/>
        <v>1</v>
      </c>
      <c r="BL87" s="26">
        <f t="shared" si="112"/>
        <v>1</v>
      </c>
      <c r="BM87" s="26">
        <f t="shared" si="113"/>
        <v>0</v>
      </c>
      <c r="BN87" s="26">
        <f t="shared" si="113"/>
        <v>0.2</v>
      </c>
      <c r="BO87" s="26">
        <f t="shared" si="113"/>
        <v>0.2</v>
      </c>
      <c r="BP87" s="26">
        <f t="shared" si="113"/>
        <v>0.1</v>
      </c>
      <c r="BQ87" s="26">
        <f t="shared" si="113"/>
        <v>0.1</v>
      </c>
      <c r="BR87" s="26">
        <f t="shared" si="113"/>
        <v>0</v>
      </c>
      <c r="BS87" s="26">
        <f t="shared" si="113"/>
        <v>0</v>
      </c>
      <c r="BT87" s="26">
        <f t="shared" si="113"/>
        <v>0</v>
      </c>
      <c r="BU87" s="26">
        <f t="shared" si="113"/>
        <v>0</v>
      </c>
      <c r="BV87" s="26">
        <f t="shared" si="113"/>
        <v>0</v>
      </c>
      <c r="BW87" s="26">
        <f t="shared" si="113"/>
        <v>0</v>
      </c>
      <c r="BX87" s="26">
        <f t="shared" si="113"/>
        <v>0</v>
      </c>
      <c r="BY87" s="26">
        <f t="shared" si="114"/>
        <v>1.5</v>
      </c>
      <c r="BZ87" s="26">
        <f t="shared" si="114"/>
        <v>1.5</v>
      </c>
      <c r="CA87" s="26">
        <f t="shared" si="114"/>
        <v>1.5</v>
      </c>
      <c r="CB87" s="26">
        <f t="shared" si="114"/>
        <v>1.5</v>
      </c>
      <c r="CC87" s="26">
        <f t="shared" si="114"/>
        <v>1.5</v>
      </c>
      <c r="CD87" s="26">
        <f t="shared" si="114"/>
        <v>0</v>
      </c>
      <c r="CE87" s="26">
        <f t="shared" si="114"/>
        <v>1</v>
      </c>
      <c r="CF87" s="26">
        <f t="shared" si="114"/>
        <v>1</v>
      </c>
      <c r="CG87" s="26">
        <f t="shared" si="114"/>
        <v>1</v>
      </c>
      <c r="CH87" s="26">
        <f t="shared" si="114"/>
        <v>1</v>
      </c>
      <c r="CI87" s="26">
        <f t="shared" si="115"/>
        <v>0</v>
      </c>
      <c r="CJ87" s="26">
        <f t="shared" si="115"/>
        <v>0.2</v>
      </c>
      <c r="CK87" s="26">
        <f t="shared" si="115"/>
        <v>0.2</v>
      </c>
      <c r="CL87" s="26">
        <f t="shared" si="115"/>
        <v>0.2</v>
      </c>
      <c r="CM87" s="26">
        <f t="shared" si="115"/>
        <v>0.2</v>
      </c>
      <c r="CN87" s="26">
        <f t="shared" si="115"/>
        <v>0.2</v>
      </c>
      <c r="CO87" s="26">
        <f t="shared" si="115"/>
        <v>0</v>
      </c>
      <c r="CP87" s="26">
        <f t="shared" si="115"/>
        <v>0</v>
      </c>
      <c r="CQ87" s="26">
        <f t="shared" si="115"/>
        <v>0</v>
      </c>
      <c r="CR87" s="26">
        <f t="shared" si="115"/>
        <v>0</v>
      </c>
      <c r="CS87" s="26">
        <f t="shared" si="115"/>
        <v>0</v>
      </c>
      <c r="CT87" s="26">
        <f t="shared" si="115"/>
        <v>0</v>
      </c>
      <c r="CU87" s="26">
        <f t="shared" si="116"/>
        <v>1.5</v>
      </c>
      <c r="CV87" s="26">
        <f t="shared" si="116"/>
        <v>1.5</v>
      </c>
      <c r="CW87" s="26">
        <f t="shared" si="116"/>
        <v>1.5</v>
      </c>
      <c r="CX87" s="26">
        <f t="shared" si="116"/>
        <v>1.5</v>
      </c>
      <c r="CY87" s="26">
        <f t="shared" si="116"/>
        <v>1.5</v>
      </c>
      <c r="CZ87" s="26">
        <f t="shared" si="116"/>
        <v>0.05</v>
      </c>
      <c r="DA87" s="26">
        <f t="shared" si="116"/>
        <v>1</v>
      </c>
      <c r="DB87" s="26">
        <f t="shared" si="116"/>
        <v>1</v>
      </c>
      <c r="DC87" s="26">
        <f t="shared" si="116"/>
        <v>1</v>
      </c>
      <c r="DD87" s="26">
        <f t="shared" si="116"/>
        <v>1</v>
      </c>
      <c r="DE87" s="26">
        <f t="shared" si="117"/>
        <v>1</v>
      </c>
      <c r="DF87" s="26">
        <f t="shared" si="117"/>
        <v>0.2</v>
      </c>
      <c r="DG87" s="26">
        <f t="shared" si="117"/>
        <v>0.2</v>
      </c>
      <c r="DH87" s="26">
        <f t="shared" si="117"/>
        <v>0.2</v>
      </c>
      <c r="DI87" s="26">
        <f t="shared" si="117"/>
        <v>0.2</v>
      </c>
      <c r="DJ87" s="26">
        <f t="shared" si="117"/>
        <v>0.2</v>
      </c>
      <c r="DK87" s="26">
        <f t="shared" si="117"/>
        <v>0.1</v>
      </c>
      <c r="DL87" s="26">
        <f t="shared" si="117"/>
        <v>0.05</v>
      </c>
      <c r="DM87" s="26">
        <f t="shared" si="117"/>
        <v>0.05</v>
      </c>
      <c r="DN87" s="26">
        <f t="shared" si="117"/>
        <v>0</v>
      </c>
      <c r="DO87" s="26">
        <f t="shared" si="117"/>
        <v>0</v>
      </c>
      <c r="DP87" s="26">
        <f t="shared" si="117"/>
        <v>0</v>
      </c>
      <c r="DQ87" s="26">
        <f t="shared" si="118"/>
        <v>1.5</v>
      </c>
      <c r="DR87" s="26">
        <f t="shared" si="118"/>
        <v>1.5</v>
      </c>
      <c r="DS87" s="26">
        <f t="shared" si="118"/>
        <v>1.5</v>
      </c>
      <c r="DT87" s="26">
        <f t="shared" si="118"/>
        <v>1.5</v>
      </c>
      <c r="DU87" s="26">
        <f t="shared" si="118"/>
        <v>1.5</v>
      </c>
      <c r="DV87" s="26">
        <f t="shared" si="118"/>
        <v>2.5000000000000001E-2</v>
      </c>
      <c r="DW87" s="26">
        <f t="shared" si="118"/>
        <v>1</v>
      </c>
      <c r="DX87" s="26">
        <f t="shared" si="118"/>
        <v>1</v>
      </c>
      <c r="DY87" s="26">
        <f t="shared" si="118"/>
        <v>1</v>
      </c>
      <c r="DZ87" s="26">
        <f t="shared" si="118"/>
        <v>1</v>
      </c>
      <c r="EA87" s="26">
        <f t="shared" si="119"/>
        <v>1</v>
      </c>
      <c r="EB87" s="26">
        <f t="shared" si="119"/>
        <v>0.2</v>
      </c>
      <c r="EC87" s="26">
        <f t="shared" si="119"/>
        <v>0.2</v>
      </c>
      <c r="ED87" s="26">
        <f t="shared" si="119"/>
        <v>0.2</v>
      </c>
      <c r="EE87" s="26">
        <f t="shared" si="119"/>
        <v>0.2</v>
      </c>
      <c r="EF87" s="26">
        <f t="shared" si="119"/>
        <v>0.2</v>
      </c>
      <c r="EG87" s="26">
        <f t="shared" si="119"/>
        <v>0.1</v>
      </c>
      <c r="EH87" s="26">
        <f t="shared" si="119"/>
        <v>0.05</v>
      </c>
      <c r="EI87" s="26">
        <f t="shared" si="119"/>
        <v>0.05</v>
      </c>
      <c r="EJ87" s="26">
        <f t="shared" si="119"/>
        <v>0</v>
      </c>
      <c r="EK87" s="26">
        <f t="shared" si="119"/>
        <v>0</v>
      </c>
      <c r="EL87" s="26">
        <f t="shared" si="119"/>
        <v>0</v>
      </c>
      <c r="EM87" s="26">
        <f t="shared" si="92"/>
        <v>160272</v>
      </c>
      <c r="EN87" s="26">
        <f t="shared" si="93"/>
        <v>199362</v>
      </c>
      <c r="EO87" s="26">
        <f t="shared" si="94"/>
        <v>231578</v>
      </c>
      <c r="EP87" s="26">
        <f t="shared" si="95"/>
        <v>461283</v>
      </c>
      <c r="EQ87" s="26">
        <f t="shared" si="96"/>
        <v>436347</v>
      </c>
    </row>
    <row r="88" spans="17:147">
      <c r="Q88" s="26">
        <v>84</v>
      </c>
      <c r="R88" s="26">
        <f>总纲!D88</f>
        <v>336.79402515786086</v>
      </c>
      <c r="S88" s="26">
        <f>求节点(将星点产出!$W$6:$W$44,将星点产出!$AO$6:$AO$44,星阵点亮!$Q88)</f>
        <v>310488.28428853303</v>
      </c>
      <c r="T88" s="26">
        <f t="shared" si="87"/>
        <v>34</v>
      </c>
      <c r="U88" s="26">
        <f>总纲!E88</f>
        <v>291.2594729565181</v>
      </c>
      <c r="V88" s="26">
        <f>求节点(将星点产出!$W$51:$W$89,将星点产出!$AO$51:$AO$89,星阵点亮!$Q88)</f>
        <v>400394.29226774536</v>
      </c>
      <c r="W88" s="26">
        <f t="shared" si="88"/>
        <v>39</v>
      </c>
      <c r="X88" s="26">
        <f>总纲!F88</f>
        <v>237.27139072371298</v>
      </c>
      <c r="Y88" s="26">
        <f>求节点(将星点产出!$W$96:$W$134,将星点产出!$AO$96:$AO$134,星阵点亮!$Q88)</f>
        <v>492748.72956077044</v>
      </c>
      <c r="Z88" s="26">
        <f t="shared" si="89"/>
        <v>43</v>
      </c>
      <c r="AA88" s="26">
        <f>总纲!G88</f>
        <v>172.97741132107731</v>
      </c>
      <c r="AB88" s="26">
        <f>求节点(将星点产出!$W$141:$W$179,将星点产出!$AO$141:$AO$179,星阵点亮!$Q88)</f>
        <v>822993.9618993022</v>
      </c>
      <c r="AC88" s="26">
        <f t="shared" si="90"/>
        <v>54</v>
      </c>
      <c r="AD88" s="26">
        <f>总纲!H88</f>
        <v>95.64950314483248</v>
      </c>
      <c r="AE88" s="26">
        <f>求节点(将星点产出!$W$186:$W$224,将星点产出!$AO$186:$AO$224,星阵点亮!$Q88)</f>
        <v>798655.89347905386</v>
      </c>
      <c r="AF88" s="26">
        <f t="shared" si="91"/>
        <v>54</v>
      </c>
      <c r="AG88" s="26">
        <f t="shared" si="110"/>
        <v>1.5</v>
      </c>
      <c r="AH88" s="26">
        <f t="shared" si="110"/>
        <v>1.5</v>
      </c>
      <c r="AI88" s="26">
        <f t="shared" si="110"/>
        <v>1.5</v>
      </c>
      <c r="AJ88" s="26">
        <f t="shared" si="110"/>
        <v>1.5</v>
      </c>
      <c r="AK88" s="26">
        <f t="shared" si="110"/>
        <v>1.5</v>
      </c>
      <c r="AL88" s="26">
        <f t="shared" si="110"/>
        <v>0</v>
      </c>
      <c r="AM88" s="26">
        <f t="shared" si="110"/>
        <v>1</v>
      </c>
      <c r="AN88" s="26">
        <f t="shared" si="110"/>
        <v>1</v>
      </c>
      <c r="AO88" s="26">
        <f t="shared" si="110"/>
        <v>1</v>
      </c>
      <c r="AP88" s="26">
        <f t="shared" si="110"/>
        <v>1</v>
      </c>
      <c r="AQ88" s="26">
        <f t="shared" si="111"/>
        <v>0</v>
      </c>
      <c r="AR88" s="26">
        <f t="shared" si="111"/>
        <v>0.1</v>
      </c>
      <c r="AS88" s="26">
        <f t="shared" si="111"/>
        <v>0.1</v>
      </c>
      <c r="AT88" s="26">
        <f t="shared" si="111"/>
        <v>0</v>
      </c>
      <c r="AU88" s="26">
        <f t="shared" si="111"/>
        <v>0</v>
      </c>
      <c r="AV88" s="26">
        <f t="shared" si="111"/>
        <v>0</v>
      </c>
      <c r="AW88" s="26">
        <f t="shared" si="111"/>
        <v>0</v>
      </c>
      <c r="AX88" s="26">
        <f t="shared" si="111"/>
        <v>0</v>
      </c>
      <c r="AY88" s="26">
        <f t="shared" si="111"/>
        <v>0</v>
      </c>
      <c r="AZ88" s="26">
        <f t="shared" si="111"/>
        <v>0</v>
      </c>
      <c r="BA88" s="26">
        <f t="shared" si="111"/>
        <v>0</v>
      </c>
      <c r="BB88" s="26">
        <f t="shared" si="111"/>
        <v>0</v>
      </c>
      <c r="BC88" s="26">
        <f t="shared" si="112"/>
        <v>1.5</v>
      </c>
      <c r="BD88" s="26">
        <f t="shared" si="112"/>
        <v>1.5</v>
      </c>
      <c r="BE88" s="26">
        <f t="shared" si="112"/>
        <v>1.5</v>
      </c>
      <c r="BF88" s="26">
        <f t="shared" si="112"/>
        <v>1.5</v>
      </c>
      <c r="BG88" s="26">
        <f t="shared" si="112"/>
        <v>1.5</v>
      </c>
      <c r="BH88" s="26">
        <f t="shared" si="112"/>
        <v>0</v>
      </c>
      <c r="BI88" s="26">
        <f t="shared" si="112"/>
        <v>1</v>
      </c>
      <c r="BJ88" s="26">
        <f t="shared" si="112"/>
        <v>1</v>
      </c>
      <c r="BK88" s="26">
        <f t="shared" si="112"/>
        <v>1</v>
      </c>
      <c r="BL88" s="26">
        <f t="shared" si="112"/>
        <v>1</v>
      </c>
      <c r="BM88" s="26">
        <f t="shared" si="113"/>
        <v>0</v>
      </c>
      <c r="BN88" s="26">
        <f t="shared" si="113"/>
        <v>0.2</v>
      </c>
      <c r="BO88" s="26">
        <f t="shared" si="113"/>
        <v>0.2</v>
      </c>
      <c r="BP88" s="26">
        <f t="shared" si="113"/>
        <v>0.1</v>
      </c>
      <c r="BQ88" s="26">
        <f t="shared" si="113"/>
        <v>0.1</v>
      </c>
      <c r="BR88" s="26">
        <f t="shared" si="113"/>
        <v>0.1</v>
      </c>
      <c r="BS88" s="26">
        <f t="shared" si="113"/>
        <v>0</v>
      </c>
      <c r="BT88" s="26">
        <f t="shared" si="113"/>
        <v>0</v>
      </c>
      <c r="BU88" s="26">
        <f t="shared" si="113"/>
        <v>0</v>
      </c>
      <c r="BV88" s="26">
        <f t="shared" si="113"/>
        <v>0</v>
      </c>
      <c r="BW88" s="26">
        <f t="shared" si="113"/>
        <v>0</v>
      </c>
      <c r="BX88" s="26">
        <f t="shared" si="113"/>
        <v>0</v>
      </c>
      <c r="BY88" s="26">
        <f t="shared" si="114"/>
        <v>1.5</v>
      </c>
      <c r="BZ88" s="26">
        <f t="shared" si="114"/>
        <v>1.5</v>
      </c>
      <c r="CA88" s="26">
        <f t="shared" si="114"/>
        <v>1.5</v>
      </c>
      <c r="CB88" s="26">
        <f t="shared" si="114"/>
        <v>1.5</v>
      </c>
      <c r="CC88" s="26">
        <f t="shared" si="114"/>
        <v>1.5</v>
      </c>
      <c r="CD88" s="26">
        <f t="shared" si="114"/>
        <v>0</v>
      </c>
      <c r="CE88" s="26">
        <f t="shared" si="114"/>
        <v>1</v>
      </c>
      <c r="CF88" s="26">
        <f t="shared" si="114"/>
        <v>1</v>
      </c>
      <c r="CG88" s="26">
        <f t="shared" si="114"/>
        <v>1</v>
      </c>
      <c r="CH88" s="26">
        <f t="shared" si="114"/>
        <v>1</v>
      </c>
      <c r="CI88" s="26">
        <f t="shared" si="115"/>
        <v>0.3</v>
      </c>
      <c r="CJ88" s="26">
        <f t="shared" si="115"/>
        <v>0.2</v>
      </c>
      <c r="CK88" s="26">
        <f t="shared" si="115"/>
        <v>0.2</v>
      </c>
      <c r="CL88" s="26">
        <f t="shared" si="115"/>
        <v>0.2</v>
      </c>
      <c r="CM88" s="26">
        <f t="shared" si="115"/>
        <v>0.2</v>
      </c>
      <c r="CN88" s="26">
        <f t="shared" si="115"/>
        <v>0.2</v>
      </c>
      <c r="CO88" s="26">
        <f t="shared" si="115"/>
        <v>0</v>
      </c>
      <c r="CP88" s="26">
        <f t="shared" si="115"/>
        <v>0</v>
      </c>
      <c r="CQ88" s="26">
        <f t="shared" si="115"/>
        <v>0</v>
      </c>
      <c r="CR88" s="26">
        <f t="shared" si="115"/>
        <v>0</v>
      </c>
      <c r="CS88" s="26">
        <f t="shared" si="115"/>
        <v>0</v>
      </c>
      <c r="CT88" s="26">
        <f t="shared" si="115"/>
        <v>0</v>
      </c>
      <c r="CU88" s="26">
        <f t="shared" si="116"/>
        <v>1.5</v>
      </c>
      <c r="CV88" s="26">
        <f t="shared" si="116"/>
        <v>1.5</v>
      </c>
      <c r="CW88" s="26">
        <f t="shared" si="116"/>
        <v>1.5</v>
      </c>
      <c r="CX88" s="26">
        <f t="shared" si="116"/>
        <v>1.5</v>
      </c>
      <c r="CY88" s="26">
        <f t="shared" si="116"/>
        <v>1.5</v>
      </c>
      <c r="CZ88" s="26">
        <f t="shared" si="116"/>
        <v>0.05</v>
      </c>
      <c r="DA88" s="26">
        <f t="shared" si="116"/>
        <v>1</v>
      </c>
      <c r="DB88" s="26">
        <f t="shared" si="116"/>
        <v>1</v>
      </c>
      <c r="DC88" s="26">
        <f t="shared" si="116"/>
        <v>1</v>
      </c>
      <c r="DD88" s="26">
        <f t="shared" si="116"/>
        <v>1</v>
      </c>
      <c r="DE88" s="26">
        <f t="shared" si="117"/>
        <v>1</v>
      </c>
      <c r="DF88" s="26">
        <f t="shared" si="117"/>
        <v>0.2</v>
      </c>
      <c r="DG88" s="26">
        <f t="shared" si="117"/>
        <v>0.2</v>
      </c>
      <c r="DH88" s="26">
        <f t="shared" si="117"/>
        <v>0.2</v>
      </c>
      <c r="DI88" s="26">
        <f t="shared" si="117"/>
        <v>0.2</v>
      </c>
      <c r="DJ88" s="26">
        <f t="shared" si="117"/>
        <v>0.2</v>
      </c>
      <c r="DK88" s="26">
        <f t="shared" si="117"/>
        <v>0.1</v>
      </c>
      <c r="DL88" s="26">
        <f t="shared" si="117"/>
        <v>0.05</v>
      </c>
      <c r="DM88" s="26">
        <f t="shared" si="117"/>
        <v>0.05</v>
      </c>
      <c r="DN88" s="26">
        <f t="shared" si="117"/>
        <v>0</v>
      </c>
      <c r="DO88" s="26">
        <f t="shared" si="117"/>
        <v>0</v>
      </c>
      <c r="DP88" s="26">
        <f t="shared" si="117"/>
        <v>0</v>
      </c>
      <c r="DQ88" s="26">
        <f t="shared" si="118"/>
        <v>1.5</v>
      </c>
      <c r="DR88" s="26">
        <f t="shared" si="118"/>
        <v>1.5</v>
      </c>
      <c r="DS88" s="26">
        <f t="shared" si="118"/>
        <v>1.5</v>
      </c>
      <c r="DT88" s="26">
        <f t="shared" si="118"/>
        <v>1.5</v>
      </c>
      <c r="DU88" s="26">
        <f t="shared" si="118"/>
        <v>1.5</v>
      </c>
      <c r="DV88" s="26">
        <f t="shared" si="118"/>
        <v>0.05</v>
      </c>
      <c r="DW88" s="26">
        <f t="shared" si="118"/>
        <v>1</v>
      </c>
      <c r="DX88" s="26">
        <f t="shared" si="118"/>
        <v>1</v>
      </c>
      <c r="DY88" s="26">
        <f t="shared" si="118"/>
        <v>1</v>
      </c>
      <c r="DZ88" s="26">
        <f t="shared" si="118"/>
        <v>1</v>
      </c>
      <c r="EA88" s="26">
        <f t="shared" si="119"/>
        <v>1</v>
      </c>
      <c r="EB88" s="26">
        <f t="shared" si="119"/>
        <v>0.2</v>
      </c>
      <c r="EC88" s="26">
        <f t="shared" si="119"/>
        <v>0.2</v>
      </c>
      <c r="ED88" s="26">
        <f t="shared" si="119"/>
        <v>0.2</v>
      </c>
      <c r="EE88" s="26">
        <f t="shared" si="119"/>
        <v>0.2</v>
      </c>
      <c r="EF88" s="26">
        <f t="shared" si="119"/>
        <v>0.2</v>
      </c>
      <c r="EG88" s="26">
        <f t="shared" si="119"/>
        <v>0.1</v>
      </c>
      <c r="EH88" s="26">
        <f t="shared" si="119"/>
        <v>0.05</v>
      </c>
      <c r="EI88" s="26">
        <f t="shared" si="119"/>
        <v>0.05</v>
      </c>
      <c r="EJ88" s="26">
        <f t="shared" si="119"/>
        <v>0</v>
      </c>
      <c r="EK88" s="26">
        <f t="shared" si="119"/>
        <v>0</v>
      </c>
      <c r="EL88" s="26">
        <f t="shared" si="119"/>
        <v>0</v>
      </c>
      <c r="EM88" s="26">
        <f t="shared" si="92"/>
        <v>167990</v>
      </c>
      <c r="EN88" s="26">
        <f t="shared" si="93"/>
        <v>207341</v>
      </c>
      <c r="EO88" s="26">
        <f t="shared" si="94"/>
        <v>239757</v>
      </c>
      <c r="EP88" s="26">
        <f t="shared" si="95"/>
        <v>461283</v>
      </c>
      <c r="EQ88" s="26">
        <f t="shared" si="96"/>
        <v>461283</v>
      </c>
    </row>
    <row r="89" spans="17:147">
      <c r="Q89" s="26">
        <v>85</v>
      </c>
      <c r="R89" s="26">
        <f>总纲!D89</f>
        <v>361.0386719675123</v>
      </c>
      <c r="S89" s="26">
        <f>求节点(将星点产出!$W$6:$W$44,将星点产出!$AO$6:$AO$44,星阵点亮!$Q89)</f>
        <v>328876.36392277281</v>
      </c>
      <c r="T89" s="26">
        <f t="shared" si="87"/>
        <v>35</v>
      </c>
      <c r="U89" s="26">
        <f>总纲!E89</f>
        <v>311.72078937675008</v>
      </c>
      <c r="V89" s="26">
        <f>求节点(将星点产出!$W$51:$W$89,将星点产出!$AO$51:$AO$89,星阵点亮!$Q89)</f>
        <v>419231.00287887407</v>
      </c>
      <c r="W89" s="26">
        <f t="shared" si="88"/>
        <v>40</v>
      </c>
      <c r="X89" s="26">
        <f>总纲!F89</f>
        <v>253.91849799475142</v>
      </c>
      <c r="Y89" s="26">
        <f>求节点(将星点产出!$W$96:$W$134,将星点产出!$AO$96:$AO$134,星阵点亮!$Q89)</f>
        <v>518701.42133701558</v>
      </c>
      <c r="Z89" s="26">
        <f t="shared" si="89"/>
        <v>44</v>
      </c>
      <c r="AA89" s="26">
        <f>总纲!G89</f>
        <v>185.57387739130132</v>
      </c>
      <c r="AB89" s="26">
        <f>求节点(将星点产出!$W$141:$W$179,将星点产出!$AO$141:$AO$179,星阵点亮!$Q89)</f>
        <v>845331.6117830351</v>
      </c>
      <c r="AC89" s="26">
        <f t="shared" si="90"/>
        <v>55</v>
      </c>
      <c r="AD89" s="26">
        <f>总纲!H89</f>
        <v>102.53498283877349</v>
      </c>
      <c r="AE89" s="26">
        <f>求节点(将星点产出!$W$186:$W$224,将星点产出!$AO$186:$AO$224,星阵点亮!$Q89)</f>
        <v>814249.17628005065</v>
      </c>
      <c r="AF89" s="26">
        <f t="shared" si="91"/>
        <v>54</v>
      </c>
      <c r="AG89" s="26">
        <f t="shared" si="110"/>
        <v>1.5</v>
      </c>
      <c r="AH89" s="26">
        <f t="shared" si="110"/>
        <v>1.5</v>
      </c>
      <c r="AI89" s="26">
        <f t="shared" si="110"/>
        <v>1.5</v>
      </c>
      <c r="AJ89" s="26">
        <f t="shared" si="110"/>
        <v>1.5</v>
      </c>
      <c r="AK89" s="26">
        <f t="shared" si="110"/>
        <v>1.5</v>
      </c>
      <c r="AL89" s="26">
        <f t="shared" si="110"/>
        <v>0</v>
      </c>
      <c r="AM89" s="26">
        <f t="shared" si="110"/>
        <v>1</v>
      </c>
      <c r="AN89" s="26">
        <f t="shared" si="110"/>
        <v>1</v>
      </c>
      <c r="AO89" s="26">
        <f t="shared" si="110"/>
        <v>1</v>
      </c>
      <c r="AP89" s="26">
        <f t="shared" si="110"/>
        <v>1</v>
      </c>
      <c r="AQ89" s="26">
        <f t="shared" si="111"/>
        <v>0</v>
      </c>
      <c r="AR89" s="26">
        <f t="shared" si="111"/>
        <v>0.2</v>
      </c>
      <c r="AS89" s="26">
        <f t="shared" si="111"/>
        <v>0.1</v>
      </c>
      <c r="AT89" s="26">
        <f t="shared" si="111"/>
        <v>0</v>
      </c>
      <c r="AU89" s="26">
        <f t="shared" si="111"/>
        <v>0</v>
      </c>
      <c r="AV89" s="26">
        <f t="shared" si="111"/>
        <v>0</v>
      </c>
      <c r="AW89" s="26">
        <f t="shared" si="111"/>
        <v>0</v>
      </c>
      <c r="AX89" s="26">
        <f t="shared" si="111"/>
        <v>0</v>
      </c>
      <c r="AY89" s="26">
        <f t="shared" si="111"/>
        <v>0</v>
      </c>
      <c r="AZ89" s="26">
        <f t="shared" si="111"/>
        <v>0</v>
      </c>
      <c r="BA89" s="26">
        <f t="shared" si="111"/>
        <v>0</v>
      </c>
      <c r="BB89" s="26">
        <f t="shared" si="111"/>
        <v>0</v>
      </c>
      <c r="BC89" s="26">
        <f t="shared" si="112"/>
        <v>1.5</v>
      </c>
      <c r="BD89" s="26">
        <f t="shared" si="112"/>
        <v>1.5</v>
      </c>
      <c r="BE89" s="26">
        <f t="shared" si="112"/>
        <v>1.5</v>
      </c>
      <c r="BF89" s="26">
        <f t="shared" si="112"/>
        <v>1.5</v>
      </c>
      <c r="BG89" s="26">
        <f t="shared" si="112"/>
        <v>1.5</v>
      </c>
      <c r="BH89" s="26">
        <f t="shared" si="112"/>
        <v>0</v>
      </c>
      <c r="BI89" s="26">
        <f t="shared" si="112"/>
        <v>1</v>
      </c>
      <c r="BJ89" s="26">
        <f t="shared" si="112"/>
        <v>1</v>
      </c>
      <c r="BK89" s="26">
        <f t="shared" si="112"/>
        <v>1</v>
      </c>
      <c r="BL89" s="26">
        <f t="shared" si="112"/>
        <v>1</v>
      </c>
      <c r="BM89" s="26">
        <f t="shared" si="113"/>
        <v>0</v>
      </c>
      <c r="BN89" s="26">
        <f t="shared" si="113"/>
        <v>0.2</v>
      </c>
      <c r="BO89" s="26">
        <f t="shared" si="113"/>
        <v>0.2</v>
      </c>
      <c r="BP89" s="26">
        <f t="shared" si="113"/>
        <v>0.2</v>
      </c>
      <c r="BQ89" s="26">
        <f t="shared" si="113"/>
        <v>0.1</v>
      </c>
      <c r="BR89" s="26">
        <f t="shared" si="113"/>
        <v>0.1</v>
      </c>
      <c r="BS89" s="26">
        <f t="shared" si="113"/>
        <v>0</v>
      </c>
      <c r="BT89" s="26">
        <f t="shared" si="113"/>
        <v>0</v>
      </c>
      <c r="BU89" s="26">
        <f t="shared" si="113"/>
        <v>0</v>
      </c>
      <c r="BV89" s="26">
        <f t="shared" si="113"/>
        <v>0</v>
      </c>
      <c r="BW89" s="26">
        <f t="shared" si="113"/>
        <v>0</v>
      </c>
      <c r="BX89" s="26">
        <f t="shared" si="113"/>
        <v>0</v>
      </c>
      <c r="BY89" s="26">
        <f t="shared" si="114"/>
        <v>1.5</v>
      </c>
      <c r="BZ89" s="26">
        <f t="shared" si="114"/>
        <v>1.5</v>
      </c>
      <c r="CA89" s="26">
        <f t="shared" si="114"/>
        <v>1.5</v>
      </c>
      <c r="CB89" s="26">
        <f t="shared" si="114"/>
        <v>1.5</v>
      </c>
      <c r="CC89" s="26">
        <f t="shared" si="114"/>
        <v>1.5</v>
      </c>
      <c r="CD89" s="26">
        <f t="shared" si="114"/>
        <v>0</v>
      </c>
      <c r="CE89" s="26">
        <f t="shared" si="114"/>
        <v>1</v>
      </c>
      <c r="CF89" s="26">
        <f t="shared" si="114"/>
        <v>1</v>
      </c>
      <c r="CG89" s="26">
        <f t="shared" si="114"/>
        <v>1</v>
      </c>
      <c r="CH89" s="26">
        <f t="shared" si="114"/>
        <v>1</v>
      </c>
      <c r="CI89" s="26">
        <f t="shared" si="115"/>
        <v>0.3</v>
      </c>
      <c r="CJ89" s="26">
        <f t="shared" si="115"/>
        <v>0.2</v>
      </c>
      <c r="CK89" s="26">
        <f t="shared" si="115"/>
        <v>0.2</v>
      </c>
      <c r="CL89" s="26">
        <f t="shared" si="115"/>
        <v>0.2</v>
      </c>
      <c r="CM89" s="26">
        <f t="shared" si="115"/>
        <v>0.2</v>
      </c>
      <c r="CN89" s="26">
        <f t="shared" si="115"/>
        <v>0.2</v>
      </c>
      <c r="CO89" s="26">
        <f t="shared" si="115"/>
        <v>0.03</v>
      </c>
      <c r="CP89" s="26">
        <f t="shared" si="115"/>
        <v>0</v>
      </c>
      <c r="CQ89" s="26">
        <f t="shared" si="115"/>
        <v>0</v>
      </c>
      <c r="CR89" s="26">
        <f t="shared" si="115"/>
        <v>0</v>
      </c>
      <c r="CS89" s="26">
        <f t="shared" si="115"/>
        <v>0</v>
      </c>
      <c r="CT89" s="26">
        <f t="shared" si="115"/>
        <v>0</v>
      </c>
      <c r="CU89" s="26">
        <f t="shared" si="116"/>
        <v>1.5</v>
      </c>
      <c r="CV89" s="26">
        <f t="shared" si="116"/>
        <v>1.5</v>
      </c>
      <c r="CW89" s="26">
        <f t="shared" si="116"/>
        <v>1.5</v>
      </c>
      <c r="CX89" s="26">
        <f t="shared" si="116"/>
        <v>1.5</v>
      </c>
      <c r="CY89" s="26">
        <f t="shared" si="116"/>
        <v>1.5</v>
      </c>
      <c r="CZ89" s="26">
        <f t="shared" si="116"/>
        <v>0.05</v>
      </c>
      <c r="DA89" s="26">
        <f t="shared" si="116"/>
        <v>1</v>
      </c>
      <c r="DB89" s="26">
        <f t="shared" si="116"/>
        <v>1</v>
      </c>
      <c r="DC89" s="26">
        <f t="shared" si="116"/>
        <v>1</v>
      </c>
      <c r="DD89" s="26">
        <f t="shared" si="116"/>
        <v>1</v>
      </c>
      <c r="DE89" s="26">
        <f t="shared" si="117"/>
        <v>1</v>
      </c>
      <c r="DF89" s="26">
        <f t="shared" si="117"/>
        <v>0.2</v>
      </c>
      <c r="DG89" s="26">
        <f t="shared" si="117"/>
        <v>0.2</v>
      </c>
      <c r="DH89" s="26">
        <f t="shared" si="117"/>
        <v>0.2</v>
      </c>
      <c r="DI89" s="26">
        <f t="shared" si="117"/>
        <v>0.2</v>
      </c>
      <c r="DJ89" s="26">
        <f t="shared" si="117"/>
        <v>0.2</v>
      </c>
      <c r="DK89" s="26">
        <f t="shared" si="117"/>
        <v>0.1</v>
      </c>
      <c r="DL89" s="26">
        <f t="shared" si="117"/>
        <v>0.05</v>
      </c>
      <c r="DM89" s="26">
        <f t="shared" si="117"/>
        <v>0.05</v>
      </c>
      <c r="DN89" s="26">
        <f t="shared" si="117"/>
        <v>2.5000000000000001E-2</v>
      </c>
      <c r="DO89" s="26">
        <f t="shared" si="117"/>
        <v>0</v>
      </c>
      <c r="DP89" s="26">
        <f t="shared" si="117"/>
        <v>0</v>
      </c>
      <c r="DQ89" s="26">
        <f t="shared" si="118"/>
        <v>1.5</v>
      </c>
      <c r="DR89" s="26">
        <f t="shared" si="118"/>
        <v>1.5</v>
      </c>
      <c r="DS89" s="26">
        <f t="shared" si="118"/>
        <v>1.5</v>
      </c>
      <c r="DT89" s="26">
        <f t="shared" si="118"/>
        <v>1.5</v>
      </c>
      <c r="DU89" s="26">
        <f t="shared" si="118"/>
        <v>1.5</v>
      </c>
      <c r="DV89" s="26">
        <f t="shared" si="118"/>
        <v>0.05</v>
      </c>
      <c r="DW89" s="26">
        <f t="shared" si="118"/>
        <v>1</v>
      </c>
      <c r="DX89" s="26">
        <f t="shared" si="118"/>
        <v>1</v>
      </c>
      <c r="DY89" s="26">
        <f t="shared" si="118"/>
        <v>1</v>
      </c>
      <c r="DZ89" s="26">
        <f t="shared" si="118"/>
        <v>1</v>
      </c>
      <c r="EA89" s="26">
        <f t="shared" si="119"/>
        <v>1</v>
      </c>
      <c r="EB89" s="26">
        <f t="shared" si="119"/>
        <v>0.2</v>
      </c>
      <c r="EC89" s="26">
        <f t="shared" si="119"/>
        <v>0.2</v>
      </c>
      <c r="ED89" s="26">
        <f t="shared" si="119"/>
        <v>0.2</v>
      </c>
      <c r="EE89" s="26">
        <f t="shared" si="119"/>
        <v>0.2</v>
      </c>
      <c r="EF89" s="26">
        <f t="shared" si="119"/>
        <v>0.2</v>
      </c>
      <c r="EG89" s="26">
        <f t="shared" si="119"/>
        <v>0.1</v>
      </c>
      <c r="EH89" s="26">
        <f t="shared" si="119"/>
        <v>0.05</v>
      </c>
      <c r="EI89" s="26">
        <f t="shared" si="119"/>
        <v>0.05</v>
      </c>
      <c r="EJ89" s="26">
        <f t="shared" si="119"/>
        <v>0</v>
      </c>
      <c r="EK89" s="26">
        <f t="shared" si="119"/>
        <v>0</v>
      </c>
      <c r="EL89" s="26">
        <f t="shared" si="119"/>
        <v>0</v>
      </c>
      <c r="EM89" s="26">
        <f t="shared" si="92"/>
        <v>175758</v>
      </c>
      <c r="EN89" s="26">
        <f t="shared" si="93"/>
        <v>215370</v>
      </c>
      <c r="EO89" s="26">
        <f t="shared" si="94"/>
        <v>254727</v>
      </c>
      <c r="EP89" s="26">
        <f t="shared" si="95"/>
        <v>486269</v>
      </c>
      <c r="EQ89" s="26">
        <f t="shared" si="96"/>
        <v>461283</v>
      </c>
    </row>
    <row r="90" spans="17:147">
      <c r="Q90" s="26">
        <v>86</v>
      </c>
      <c r="R90" s="26">
        <f>总纲!D90</f>
        <v>387.02344102666189</v>
      </c>
      <c r="S90" s="26">
        <f>求节点(将星点产出!$W$6:$W$44,将星点产出!$AO$6:$AO$44,星阵点亮!$Q90)</f>
        <v>347008.40650945413</v>
      </c>
      <c r="T90" s="26">
        <f t="shared" si="87"/>
        <v>36</v>
      </c>
      <c r="U90" s="26">
        <f>总纲!E90</f>
        <v>334.00122960600919</v>
      </c>
      <c r="V90" s="26">
        <f>求节点(将星点产出!$W$51:$W$89,将星点产出!$AO$51:$AO$89,星阵点亮!$Q90)</f>
        <v>438067.71349000273</v>
      </c>
      <c r="W90" s="26">
        <f t="shared" si="88"/>
        <v>41</v>
      </c>
      <c r="X90" s="26">
        <f>总纲!F90</f>
        <v>272.23228841815398</v>
      </c>
      <c r="Y90" s="26">
        <f>求节点(将星点产出!$W$96:$W$134,将星点产出!$AO$96:$AO$134,星阵点亮!$Q90)</f>
        <v>544889.01939771301</v>
      </c>
      <c r="Z90" s="26">
        <f t="shared" si="89"/>
        <v>45</v>
      </c>
      <c r="AA90" s="26">
        <f>总纲!G90</f>
        <v>199.39447681693619</v>
      </c>
      <c r="AB90" s="26">
        <f>求节点(将星点产出!$W$141:$W$179,将星点产出!$AO$141:$AO$179,星阵点亮!$Q90)</f>
        <v>867669.261666768</v>
      </c>
      <c r="AC90" s="26">
        <f t="shared" si="90"/>
        <v>56</v>
      </c>
      <c r="AD90" s="26">
        <f>总纲!H90</f>
        <v>108.94709864900531</v>
      </c>
      <c r="AE90" s="26">
        <f>求节点(将星点产出!$W$186:$W$224,将星点产出!$AO$186:$AO$224,星阵点亮!$Q90)</f>
        <v>829842.45908104756</v>
      </c>
      <c r="AF90" s="26">
        <f t="shared" si="91"/>
        <v>54</v>
      </c>
      <c r="AG90" s="26">
        <f t="shared" si="110"/>
        <v>1.5</v>
      </c>
      <c r="AH90" s="26">
        <f t="shared" si="110"/>
        <v>1.5</v>
      </c>
      <c r="AI90" s="26">
        <f t="shared" si="110"/>
        <v>1.5</v>
      </c>
      <c r="AJ90" s="26">
        <f t="shared" si="110"/>
        <v>1.5</v>
      </c>
      <c r="AK90" s="26">
        <f t="shared" si="110"/>
        <v>1.5</v>
      </c>
      <c r="AL90" s="26">
        <f t="shared" si="110"/>
        <v>0</v>
      </c>
      <c r="AM90" s="26">
        <f t="shared" si="110"/>
        <v>1</v>
      </c>
      <c r="AN90" s="26">
        <f t="shared" si="110"/>
        <v>1</v>
      </c>
      <c r="AO90" s="26">
        <f t="shared" si="110"/>
        <v>1</v>
      </c>
      <c r="AP90" s="26">
        <f t="shared" si="110"/>
        <v>1</v>
      </c>
      <c r="AQ90" s="26">
        <f t="shared" si="111"/>
        <v>0</v>
      </c>
      <c r="AR90" s="26">
        <f t="shared" si="111"/>
        <v>0.2</v>
      </c>
      <c r="AS90" s="26">
        <f t="shared" si="111"/>
        <v>0.2</v>
      </c>
      <c r="AT90" s="26">
        <f t="shared" si="111"/>
        <v>0</v>
      </c>
      <c r="AU90" s="26">
        <f t="shared" si="111"/>
        <v>0</v>
      </c>
      <c r="AV90" s="26">
        <f t="shared" si="111"/>
        <v>0</v>
      </c>
      <c r="AW90" s="26">
        <f t="shared" si="111"/>
        <v>0</v>
      </c>
      <c r="AX90" s="26">
        <f t="shared" si="111"/>
        <v>0</v>
      </c>
      <c r="AY90" s="26">
        <f t="shared" si="111"/>
        <v>0</v>
      </c>
      <c r="AZ90" s="26">
        <f t="shared" si="111"/>
        <v>0</v>
      </c>
      <c r="BA90" s="26">
        <f t="shared" si="111"/>
        <v>0</v>
      </c>
      <c r="BB90" s="26">
        <f t="shared" si="111"/>
        <v>0</v>
      </c>
      <c r="BC90" s="26">
        <f t="shared" si="112"/>
        <v>1.5</v>
      </c>
      <c r="BD90" s="26">
        <f t="shared" si="112"/>
        <v>1.5</v>
      </c>
      <c r="BE90" s="26">
        <f t="shared" si="112"/>
        <v>1.5</v>
      </c>
      <c r="BF90" s="26">
        <f t="shared" si="112"/>
        <v>1.5</v>
      </c>
      <c r="BG90" s="26">
        <f t="shared" si="112"/>
        <v>1.5</v>
      </c>
      <c r="BH90" s="26">
        <f t="shared" si="112"/>
        <v>0</v>
      </c>
      <c r="BI90" s="26">
        <f t="shared" si="112"/>
        <v>1</v>
      </c>
      <c r="BJ90" s="26">
        <f t="shared" si="112"/>
        <v>1</v>
      </c>
      <c r="BK90" s="26">
        <f t="shared" si="112"/>
        <v>1</v>
      </c>
      <c r="BL90" s="26">
        <f t="shared" si="112"/>
        <v>1</v>
      </c>
      <c r="BM90" s="26">
        <f t="shared" si="113"/>
        <v>0</v>
      </c>
      <c r="BN90" s="26">
        <f t="shared" si="113"/>
        <v>0.2</v>
      </c>
      <c r="BO90" s="26">
        <f t="shared" si="113"/>
        <v>0.2</v>
      </c>
      <c r="BP90" s="26">
        <f t="shared" si="113"/>
        <v>0.2</v>
      </c>
      <c r="BQ90" s="26">
        <f t="shared" si="113"/>
        <v>0.2</v>
      </c>
      <c r="BR90" s="26">
        <f t="shared" si="113"/>
        <v>0.1</v>
      </c>
      <c r="BS90" s="26">
        <f t="shared" si="113"/>
        <v>0</v>
      </c>
      <c r="BT90" s="26">
        <f t="shared" si="113"/>
        <v>0</v>
      </c>
      <c r="BU90" s="26">
        <f t="shared" si="113"/>
        <v>0</v>
      </c>
      <c r="BV90" s="26">
        <f t="shared" si="113"/>
        <v>0</v>
      </c>
      <c r="BW90" s="26">
        <f t="shared" si="113"/>
        <v>0</v>
      </c>
      <c r="BX90" s="26">
        <f t="shared" si="113"/>
        <v>0</v>
      </c>
      <c r="BY90" s="26">
        <f t="shared" si="114"/>
        <v>1.5</v>
      </c>
      <c r="BZ90" s="26">
        <f t="shared" si="114"/>
        <v>1.5</v>
      </c>
      <c r="CA90" s="26">
        <f t="shared" si="114"/>
        <v>1.5</v>
      </c>
      <c r="CB90" s="26">
        <f t="shared" si="114"/>
        <v>1.5</v>
      </c>
      <c r="CC90" s="26">
        <f t="shared" si="114"/>
        <v>1.5</v>
      </c>
      <c r="CD90" s="26">
        <f t="shared" si="114"/>
        <v>0</v>
      </c>
      <c r="CE90" s="26">
        <f t="shared" si="114"/>
        <v>1</v>
      </c>
      <c r="CF90" s="26">
        <f t="shared" si="114"/>
        <v>1</v>
      </c>
      <c r="CG90" s="26">
        <f t="shared" si="114"/>
        <v>1</v>
      </c>
      <c r="CH90" s="26">
        <f t="shared" si="114"/>
        <v>1</v>
      </c>
      <c r="CI90" s="26">
        <f t="shared" si="115"/>
        <v>0.6</v>
      </c>
      <c r="CJ90" s="26">
        <f t="shared" si="115"/>
        <v>0.2</v>
      </c>
      <c r="CK90" s="26">
        <f t="shared" si="115"/>
        <v>0.2</v>
      </c>
      <c r="CL90" s="26">
        <f t="shared" si="115"/>
        <v>0.2</v>
      </c>
      <c r="CM90" s="26">
        <f t="shared" si="115"/>
        <v>0.2</v>
      </c>
      <c r="CN90" s="26">
        <f t="shared" si="115"/>
        <v>0.2</v>
      </c>
      <c r="CO90" s="26">
        <f t="shared" si="115"/>
        <v>0.03</v>
      </c>
      <c r="CP90" s="26">
        <f t="shared" si="115"/>
        <v>0</v>
      </c>
      <c r="CQ90" s="26">
        <f t="shared" si="115"/>
        <v>0</v>
      </c>
      <c r="CR90" s="26">
        <f t="shared" si="115"/>
        <v>0</v>
      </c>
      <c r="CS90" s="26">
        <f t="shared" si="115"/>
        <v>0</v>
      </c>
      <c r="CT90" s="26">
        <f t="shared" si="115"/>
        <v>0</v>
      </c>
      <c r="CU90" s="26">
        <f t="shared" si="116"/>
        <v>1.5</v>
      </c>
      <c r="CV90" s="26">
        <f t="shared" si="116"/>
        <v>1.5</v>
      </c>
      <c r="CW90" s="26">
        <f t="shared" si="116"/>
        <v>1.5</v>
      </c>
      <c r="CX90" s="26">
        <f t="shared" si="116"/>
        <v>1.5</v>
      </c>
      <c r="CY90" s="26">
        <f t="shared" si="116"/>
        <v>1.5</v>
      </c>
      <c r="CZ90" s="26">
        <f t="shared" si="116"/>
        <v>0.05</v>
      </c>
      <c r="DA90" s="26">
        <f t="shared" si="116"/>
        <v>1</v>
      </c>
      <c r="DB90" s="26">
        <f t="shared" si="116"/>
        <v>1</v>
      </c>
      <c r="DC90" s="26">
        <f t="shared" si="116"/>
        <v>1</v>
      </c>
      <c r="DD90" s="26">
        <f t="shared" si="116"/>
        <v>1</v>
      </c>
      <c r="DE90" s="26">
        <f t="shared" si="117"/>
        <v>1</v>
      </c>
      <c r="DF90" s="26">
        <f t="shared" si="117"/>
        <v>0.2</v>
      </c>
      <c r="DG90" s="26">
        <f t="shared" si="117"/>
        <v>0.2</v>
      </c>
      <c r="DH90" s="26">
        <f t="shared" si="117"/>
        <v>0.2</v>
      </c>
      <c r="DI90" s="26">
        <f t="shared" si="117"/>
        <v>0.2</v>
      </c>
      <c r="DJ90" s="26">
        <f t="shared" si="117"/>
        <v>0.2</v>
      </c>
      <c r="DK90" s="26">
        <f t="shared" si="117"/>
        <v>0.1</v>
      </c>
      <c r="DL90" s="26">
        <f t="shared" si="117"/>
        <v>0.05</v>
      </c>
      <c r="DM90" s="26">
        <f t="shared" si="117"/>
        <v>0.05</v>
      </c>
      <c r="DN90" s="26">
        <f t="shared" si="117"/>
        <v>2.5000000000000001E-2</v>
      </c>
      <c r="DO90" s="26">
        <f t="shared" si="117"/>
        <v>2.5000000000000001E-2</v>
      </c>
      <c r="DP90" s="26">
        <f t="shared" si="117"/>
        <v>0</v>
      </c>
      <c r="DQ90" s="26">
        <f t="shared" si="118"/>
        <v>1.5</v>
      </c>
      <c r="DR90" s="26">
        <f t="shared" si="118"/>
        <v>1.5</v>
      </c>
      <c r="DS90" s="26">
        <f t="shared" si="118"/>
        <v>1.5</v>
      </c>
      <c r="DT90" s="26">
        <f t="shared" si="118"/>
        <v>1.5</v>
      </c>
      <c r="DU90" s="26">
        <f t="shared" si="118"/>
        <v>1.5</v>
      </c>
      <c r="DV90" s="26">
        <f t="shared" si="118"/>
        <v>0.05</v>
      </c>
      <c r="DW90" s="26">
        <f t="shared" si="118"/>
        <v>1</v>
      </c>
      <c r="DX90" s="26">
        <f t="shared" si="118"/>
        <v>1</v>
      </c>
      <c r="DY90" s="26">
        <f t="shared" si="118"/>
        <v>1</v>
      </c>
      <c r="DZ90" s="26">
        <f t="shared" si="118"/>
        <v>1</v>
      </c>
      <c r="EA90" s="26">
        <f t="shared" si="119"/>
        <v>1</v>
      </c>
      <c r="EB90" s="26">
        <f t="shared" si="119"/>
        <v>0.2</v>
      </c>
      <c r="EC90" s="26">
        <f t="shared" si="119"/>
        <v>0.2</v>
      </c>
      <c r="ED90" s="26">
        <f t="shared" si="119"/>
        <v>0.2</v>
      </c>
      <c r="EE90" s="26">
        <f t="shared" si="119"/>
        <v>0.2</v>
      </c>
      <c r="EF90" s="26">
        <f t="shared" si="119"/>
        <v>0.2</v>
      </c>
      <c r="EG90" s="26">
        <f t="shared" si="119"/>
        <v>0.1</v>
      </c>
      <c r="EH90" s="26">
        <f t="shared" si="119"/>
        <v>0.05</v>
      </c>
      <c r="EI90" s="26">
        <f t="shared" si="119"/>
        <v>0.05</v>
      </c>
      <c r="EJ90" s="26">
        <f t="shared" si="119"/>
        <v>0</v>
      </c>
      <c r="EK90" s="26">
        <f t="shared" si="119"/>
        <v>0</v>
      </c>
      <c r="EL90" s="26">
        <f t="shared" si="119"/>
        <v>0</v>
      </c>
      <c r="EM90" s="26">
        <f t="shared" si="92"/>
        <v>183576</v>
      </c>
      <c r="EN90" s="26">
        <f t="shared" si="93"/>
        <v>223449</v>
      </c>
      <c r="EO90" s="26">
        <f t="shared" si="94"/>
        <v>269747</v>
      </c>
      <c r="EP90" s="26">
        <f t="shared" si="95"/>
        <v>511941</v>
      </c>
      <c r="EQ90" s="26">
        <f t="shared" si="96"/>
        <v>461283</v>
      </c>
    </row>
    <row r="91" spans="17:147">
      <c r="Q91" s="26">
        <v>87</v>
      </c>
      <c r="R91" s="26">
        <f>总纲!D91</f>
        <v>414.87322693439216</v>
      </c>
      <c r="S91" s="26">
        <f>求节点(将星点产出!$W$6:$W$44,将星点产出!$AO$6:$AO$44,星阵点亮!$Q91)</f>
        <v>364467.42745642771</v>
      </c>
      <c r="T91" s="26">
        <f t="shared" si="87"/>
        <v>37</v>
      </c>
      <c r="U91" s="26">
        <f>总纲!E91</f>
        <v>358.28451878054108</v>
      </c>
      <c r="V91" s="26">
        <f>求节点(将星点产出!$W$51:$W$89,将星点产出!$AO$51:$AO$89,星阵点亮!$Q91)</f>
        <v>456031.07841377798</v>
      </c>
      <c r="W91" s="26">
        <f t="shared" si="88"/>
        <v>42</v>
      </c>
      <c r="X91" s="26">
        <f>总纲!F91</f>
        <v>292.4026503433596</v>
      </c>
      <c r="Y91" s="26">
        <f>求节点(将星点产出!$W$96:$W$134,将星点产出!$AO$96:$AO$134,星阵点亮!$Q91)</f>
        <v>572122.94096947834</v>
      </c>
      <c r="Z91" s="26">
        <f t="shared" si="89"/>
        <v>46</v>
      </c>
      <c r="AA91" s="26">
        <f>总纲!G91</f>
        <v>212.58104148118252</v>
      </c>
      <c r="AB91" s="26">
        <f>求节点(将星点产出!$W$141:$W$179,将星点产出!$AO$141:$AO$179,星阵点亮!$Q91)</f>
        <v>897288.06995903817</v>
      </c>
      <c r="AC91" s="26">
        <f t="shared" si="90"/>
        <v>56</v>
      </c>
      <c r="AD91" s="26">
        <f>总纲!H91</f>
        <v>115.74963031469542</v>
      </c>
      <c r="AE91" s="26">
        <f>求节点(将星点产出!$W$186:$W$224,将星点产出!$AO$186:$AO$224,星阵点亮!$Q91)</f>
        <v>851332.91679448576</v>
      </c>
      <c r="AF91" s="26">
        <f t="shared" si="91"/>
        <v>55</v>
      </c>
      <c r="AG91" s="26">
        <f t="shared" si="110"/>
        <v>1.5</v>
      </c>
      <c r="AH91" s="26">
        <f t="shared" si="110"/>
        <v>1.5</v>
      </c>
      <c r="AI91" s="26">
        <f t="shared" si="110"/>
        <v>1.5</v>
      </c>
      <c r="AJ91" s="26">
        <f t="shared" si="110"/>
        <v>1.5</v>
      </c>
      <c r="AK91" s="26">
        <f t="shared" si="110"/>
        <v>1.5</v>
      </c>
      <c r="AL91" s="26">
        <f t="shared" si="110"/>
        <v>0</v>
      </c>
      <c r="AM91" s="26">
        <f t="shared" si="110"/>
        <v>1</v>
      </c>
      <c r="AN91" s="26">
        <f t="shared" si="110"/>
        <v>1</v>
      </c>
      <c r="AO91" s="26">
        <f t="shared" si="110"/>
        <v>1</v>
      </c>
      <c r="AP91" s="26">
        <f t="shared" si="110"/>
        <v>1</v>
      </c>
      <c r="AQ91" s="26">
        <f t="shared" si="111"/>
        <v>0</v>
      </c>
      <c r="AR91" s="26">
        <f t="shared" si="111"/>
        <v>0.2</v>
      </c>
      <c r="AS91" s="26">
        <f t="shared" si="111"/>
        <v>0.2</v>
      </c>
      <c r="AT91" s="26">
        <f t="shared" si="111"/>
        <v>0.1</v>
      </c>
      <c r="AU91" s="26">
        <f t="shared" si="111"/>
        <v>0</v>
      </c>
      <c r="AV91" s="26">
        <f t="shared" si="111"/>
        <v>0</v>
      </c>
      <c r="AW91" s="26">
        <f t="shared" si="111"/>
        <v>0</v>
      </c>
      <c r="AX91" s="26">
        <f t="shared" si="111"/>
        <v>0</v>
      </c>
      <c r="AY91" s="26">
        <f t="shared" si="111"/>
        <v>0</v>
      </c>
      <c r="AZ91" s="26">
        <f t="shared" si="111"/>
        <v>0</v>
      </c>
      <c r="BA91" s="26">
        <f t="shared" si="111"/>
        <v>0</v>
      </c>
      <c r="BB91" s="26">
        <f t="shared" si="111"/>
        <v>0</v>
      </c>
      <c r="BC91" s="26">
        <f t="shared" si="112"/>
        <v>1.5</v>
      </c>
      <c r="BD91" s="26">
        <f t="shared" si="112"/>
        <v>1.5</v>
      </c>
      <c r="BE91" s="26">
        <f t="shared" si="112"/>
        <v>1.5</v>
      </c>
      <c r="BF91" s="26">
        <f t="shared" si="112"/>
        <v>1.5</v>
      </c>
      <c r="BG91" s="26">
        <f t="shared" si="112"/>
        <v>1.5</v>
      </c>
      <c r="BH91" s="26">
        <f t="shared" si="112"/>
        <v>0</v>
      </c>
      <c r="BI91" s="26">
        <f t="shared" si="112"/>
        <v>1</v>
      </c>
      <c r="BJ91" s="26">
        <f t="shared" si="112"/>
        <v>1</v>
      </c>
      <c r="BK91" s="26">
        <f t="shared" si="112"/>
        <v>1</v>
      </c>
      <c r="BL91" s="26">
        <f t="shared" si="112"/>
        <v>1</v>
      </c>
      <c r="BM91" s="26">
        <f t="shared" si="113"/>
        <v>0</v>
      </c>
      <c r="BN91" s="26">
        <f t="shared" si="113"/>
        <v>0.2</v>
      </c>
      <c r="BO91" s="26">
        <f t="shared" si="113"/>
        <v>0.2</v>
      </c>
      <c r="BP91" s="26">
        <f t="shared" si="113"/>
        <v>0.2</v>
      </c>
      <c r="BQ91" s="26">
        <f t="shared" si="113"/>
        <v>0.2</v>
      </c>
      <c r="BR91" s="26">
        <f t="shared" si="113"/>
        <v>0.2</v>
      </c>
      <c r="BS91" s="26">
        <f t="shared" si="113"/>
        <v>0</v>
      </c>
      <c r="BT91" s="26">
        <f t="shared" si="113"/>
        <v>0</v>
      </c>
      <c r="BU91" s="26">
        <f t="shared" si="113"/>
        <v>0</v>
      </c>
      <c r="BV91" s="26">
        <f t="shared" si="113"/>
        <v>0</v>
      </c>
      <c r="BW91" s="26">
        <f t="shared" si="113"/>
        <v>0</v>
      </c>
      <c r="BX91" s="26">
        <f t="shared" si="113"/>
        <v>0</v>
      </c>
      <c r="BY91" s="26">
        <f t="shared" si="114"/>
        <v>1.5</v>
      </c>
      <c r="BZ91" s="26">
        <f t="shared" si="114"/>
        <v>1.5</v>
      </c>
      <c r="CA91" s="26">
        <f t="shared" si="114"/>
        <v>1.5</v>
      </c>
      <c r="CB91" s="26">
        <f t="shared" si="114"/>
        <v>1.5</v>
      </c>
      <c r="CC91" s="26">
        <f t="shared" si="114"/>
        <v>1.5</v>
      </c>
      <c r="CD91" s="26">
        <f t="shared" si="114"/>
        <v>0</v>
      </c>
      <c r="CE91" s="26">
        <f t="shared" si="114"/>
        <v>1</v>
      </c>
      <c r="CF91" s="26">
        <f t="shared" si="114"/>
        <v>1</v>
      </c>
      <c r="CG91" s="26">
        <f t="shared" si="114"/>
        <v>1</v>
      </c>
      <c r="CH91" s="26">
        <f t="shared" si="114"/>
        <v>1</v>
      </c>
      <c r="CI91" s="26">
        <f t="shared" si="115"/>
        <v>0.6</v>
      </c>
      <c r="CJ91" s="26">
        <f t="shared" si="115"/>
        <v>0.2</v>
      </c>
      <c r="CK91" s="26">
        <f t="shared" si="115"/>
        <v>0.2</v>
      </c>
      <c r="CL91" s="26">
        <f t="shared" si="115"/>
        <v>0.2</v>
      </c>
      <c r="CM91" s="26">
        <f t="shared" si="115"/>
        <v>0.2</v>
      </c>
      <c r="CN91" s="26">
        <f t="shared" si="115"/>
        <v>0.2</v>
      </c>
      <c r="CO91" s="26">
        <f t="shared" si="115"/>
        <v>0.06</v>
      </c>
      <c r="CP91" s="26">
        <f t="shared" si="115"/>
        <v>0</v>
      </c>
      <c r="CQ91" s="26">
        <f t="shared" si="115"/>
        <v>0</v>
      </c>
      <c r="CR91" s="26">
        <f t="shared" si="115"/>
        <v>0</v>
      </c>
      <c r="CS91" s="26">
        <f t="shared" si="115"/>
        <v>0</v>
      </c>
      <c r="CT91" s="26">
        <f t="shared" si="115"/>
        <v>0</v>
      </c>
      <c r="CU91" s="26">
        <f t="shared" si="116"/>
        <v>1.5</v>
      </c>
      <c r="CV91" s="26">
        <f t="shared" si="116"/>
        <v>1.5</v>
      </c>
      <c r="CW91" s="26">
        <f t="shared" si="116"/>
        <v>1.5</v>
      </c>
      <c r="CX91" s="26">
        <f t="shared" si="116"/>
        <v>1.5</v>
      </c>
      <c r="CY91" s="26">
        <f t="shared" si="116"/>
        <v>1.5</v>
      </c>
      <c r="CZ91" s="26">
        <f t="shared" si="116"/>
        <v>0.05</v>
      </c>
      <c r="DA91" s="26">
        <f t="shared" si="116"/>
        <v>1</v>
      </c>
      <c r="DB91" s="26">
        <f t="shared" si="116"/>
        <v>1</v>
      </c>
      <c r="DC91" s="26">
        <f t="shared" si="116"/>
        <v>1</v>
      </c>
      <c r="DD91" s="26">
        <f t="shared" si="116"/>
        <v>1</v>
      </c>
      <c r="DE91" s="26">
        <f t="shared" si="117"/>
        <v>1</v>
      </c>
      <c r="DF91" s="26">
        <f t="shared" si="117"/>
        <v>0.2</v>
      </c>
      <c r="DG91" s="26">
        <f t="shared" si="117"/>
        <v>0.2</v>
      </c>
      <c r="DH91" s="26">
        <f t="shared" si="117"/>
        <v>0.2</v>
      </c>
      <c r="DI91" s="26">
        <f t="shared" si="117"/>
        <v>0.2</v>
      </c>
      <c r="DJ91" s="26">
        <f t="shared" si="117"/>
        <v>0.2</v>
      </c>
      <c r="DK91" s="26">
        <f t="shared" si="117"/>
        <v>0.1</v>
      </c>
      <c r="DL91" s="26">
        <f t="shared" si="117"/>
        <v>0.05</v>
      </c>
      <c r="DM91" s="26">
        <f t="shared" si="117"/>
        <v>0.05</v>
      </c>
      <c r="DN91" s="26">
        <f t="shared" si="117"/>
        <v>2.5000000000000001E-2</v>
      </c>
      <c r="DO91" s="26">
        <f t="shared" si="117"/>
        <v>2.5000000000000001E-2</v>
      </c>
      <c r="DP91" s="26">
        <f t="shared" si="117"/>
        <v>0</v>
      </c>
      <c r="DQ91" s="26">
        <f t="shared" si="118"/>
        <v>1.5</v>
      </c>
      <c r="DR91" s="26">
        <f t="shared" si="118"/>
        <v>1.5</v>
      </c>
      <c r="DS91" s="26">
        <f t="shared" si="118"/>
        <v>1.5</v>
      </c>
      <c r="DT91" s="26">
        <f t="shared" si="118"/>
        <v>1.5</v>
      </c>
      <c r="DU91" s="26">
        <f t="shared" si="118"/>
        <v>1.5</v>
      </c>
      <c r="DV91" s="26">
        <f t="shared" si="118"/>
        <v>0.05</v>
      </c>
      <c r="DW91" s="26">
        <f t="shared" si="118"/>
        <v>1</v>
      </c>
      <c r="DX91" s="26">
        <f t="shared" si="118"/>
        <v>1</v>
      </c>
      <c r="DY91" s="26">
        <f t="shared" si="118"/>
        <v>1</v>
      </c>
      <c r="DZ91" s="26">
        <f t="shared" si="118"/>
        <v>1</v>
      </c>
      <c r="EA91" s="26">
        <f t="shared" si="119"/>
        <v>1</v>
      </c>
      <c r="EB91" s="26">
        <f t="shared" si="119"/>
        <v>0.2</v>
      </c>
      <c r="EC91" s="26">
        <f t="shared" si="119"/>
        <v>0.2</v>
      </c>
      <c r="ED91" s="26">
        <f t="shared" si="119"/>
        <v>0.2</v>
      </c>
      <c r="EE91" s="26">
        <f t="shared" si="119"/>
        <v>0.2</v>
      </c>
      <c r="EF91" s="26">
        <f t="shared" si="119"/>
        <v>0.2</v>
      </c>
      <c r="EG91" s="26">
        <f t="shared" si="119"/>
        <v>0.1</v>
      </c>
      <c r="EH91" s="26">
        <f t="shared" si="119"/>
        <v>0.05</v>
      </c>
      <c r="EI91" s="26">
        <f t="shared" si="119"/>
        <v>0.05</v>
      </c>
      <c r="EJ91" s="26">
        <f t="shared" si="119"/>
        <v>2.5000000000000001E-2</v>
      </c>
      <c r="EK91" s="26">
        <f t="shared" si="119"/>
        <v>0</v>
      </c>
      <c r="EL91" s="26">
        <f t="shared" si="119"/>
        <v>0</v>
      </c>
      <c r="EM91" s="26">
        <f t="shared" si="92"/>
        <v>191444</v>
      </c>
      <c r="EN91" s="26">
        <f t="shared" si="93"/>
        <v>231578</v>
      </c>
      <c r="EO91" s="26">
        <f t="shared" si="94"/>
        <v>284817</v>
      </c>
      <c r="EP91" s="26">
        <f t="shared" si="95"/>
        <v>511941</v>
      </c>
      <c r="EQ91" s="26">
        <f t="shared" si="96"/>
        <v>486269</v>
      </c>
    </row>
    <row r="92" spans="17:147">
      <c r="Q92" s="26">
        <v>88</v>
      </c>
      <c r="R92" s="26">
        <f>总纲!D92</f>
        <v>444.72188840761549</v>
      </c>
      <c r="S92" s="26">
        <f>求节点(将星点产出!$W$6:$W$44,将星点产出!$AO$6:$AO$44,星阵点亮!$Q92)</f>
        <v>381339.25202453043</v>
      </c>
      <c r="T92" s="26">
        <f t="shared" si="87"/>
        <v>38</v>
      </c>
      <c r="U92" s="26">
        <f>总纲!E92</f>
        <v>384.7733778502689</v>
      </c>
      <c r="V92" s="26">
        <f>求节点(将星点产出!$W$51:$W$89,将星点产出!$AO$51:$AO$89,星阵点亮!$Q92)</f>
        <v>473707.91677834227</v>
      </c>
      <c r="W92" s="26">
        <f t="shared" si="88"/>
        <v>42</v>
      </c>
      <c r="X92" s="26">
        <f>总纲!F92</f>
        <v>312.90632068359827</v>
      </c>
      <c r="Y92" s="26">
        <f>求节点(将星点产出!$W$96:$W$134,将星点产出!$AO$96:$AO$134,星阵点亮!$Q92)</f>
        <v>600012.16919186048</v>
      </c>
      <c r="Z92" s="26">
        <f t="shared" si="89"/>
        <v>47</v>
      </c>
      <c r="AA92" s="26">
        <f>总纲!G92</f>
        <v>226.0076636887502</v>
      </c>
      <c r="AB92" s="26">
        <f>求节点(将星点产出!$W$141:$W$179,将星点产出!$AO$141:$AO$179,星阵点亮!$Q92)</f>
        <v>927257.31904927606</v>
      </c>
      <c r="AC92" s="26">
        <f t="shared" si="90"/>
        <v>57</v>
      </c>
      <c r="AD92" s="26">
        <f>总纲!H92</f>
        <v>123.1879630889095</v>
      </c>
      <c r="AE92" s="26">
        <f>求节点(将星点产出!$W$186:$W$224,将星点产出!$AO$186:$AO$224,星阵点亮!$Q92)</f>
        <v>873903.29497106967</v>
      </c>
      <c r="AF92" s="26">
        <f t="shared" si="91"/>
        <v>56</v>
      </c>
      <c r="AG92" s="26">
        <f t="shared" si="110"/>
        <v>1.5</v>
      </c>
      <c r="AH92" s="26">
        <f t="shared" si="110"/>
        <v>1.5</v>
      </c>
      <c r="AI92" s="26">
        <f t="shared" si="110"/>
        <v>1.5</v>
      </c>
      <c r="AJ92" s="26">
        <f t="shared" si="110"/>
        <v>1.5</v>
      </c>
      <c r="AK92" s="26">
        <f t="shared" si="110"/>
        <v>1.5</v>
      </c>
      <c r="AL92" s="26">
        <f t="shared" si="110"/>
        <v>0</v>
      </c>
      <c r="AM92" s="26">
        <f t="shared" si="110"/>
        <v>1</v>
      </c>
      <c r="AN92" s="26">
        <f t="shared" si="110"/>
        <v>1</v>
      </c>
      <c r="AO92" s="26">
        <f t="shared" si="110"/>
        <v>1</v>
      </c>
      <c r="AP92" s="26">
        <f t="shared" si="110"/>
        <v>1</v>
      </c>
      <c r="AQ92" s="26">
        <f t="shared" si="111"/>
        <v>0</v>
      </c>
      <c r="AR92" s="26">
        <f t="shared" si="111"/>
        <v>0.2</v>
      </c>
      <c r="AS92" s="26">
        <f t="shared" si="111"/>
        <v>0.2</v>
      </c>
      <c r="AT92" s="26">
        <f t="shared" si="111"/>
        <v>0.1</v>
      </c>
      <c r="AU92" s="26">
        <f t="shared" si="111"/>
        <v>0.1</v>
      </c>
      <c r="AV92" s="26">
        <f t="shared" si="111"/>
        <v>0</v>
      </c>
      <c r="AW92" s="26">
        <f t="shared" si="111"/>
        <v>0</v>
      </c>
      <c r="AX92" s="26">
        <f t="shared" si="111"/>
        <v>0</v>
      </c>
      <c r="AY92" s="26">
        <f t="shared" si="111"/>
        <v>0</v>
      </c>
      <c r="AZ92" s="26">
        <f t="shared" si="111"/>
        <v>0</v>
      </c>
      <c r="BA92" s="26">
        <f t="shared" si="111"/>
        <v>0</v>
      </c>
      <c r="BB92" s="26">
        <f t="shared" si="111"/>
        <v>0</v>
      </c>
      <c r="BC92" s="26">
        <f t="shared" si="112"/>
        <v>1.5</v>
      </c>
      <c r="BD92" s="26">
        <f t="shared" si="112"/>
        <v>1.5</v>
      </c>
      <c r="BE92" s="26">
        <f t="shared" si="112"/>
        <v>1.5</v>
      </c>
      <c r="BF92" s="26">
        <f t="shared" si="112"/>
        <v>1.5</v>
      </c>
      <c r="BG92" s="26">
        <f t="shared" si="112"/>
        <v>1.5</v>
      </c>
      <c r="BH92" s="26">
        <f t="shared" si="112"/>
        <v>0</v>
      </c>
      <c r="BI92" s="26">
        <f t="shared" si="112"/>
        <v>1</v>
      </c>
      <c r="BJ92" s="26">
        <f t="shared" si="112"/>
        <v>1</v>
      </c>
      <c r="BK92" s="26">
        <f t="shared" si="112"/>
        <v>1</v>
      </c>
      <c r="BL92" s="26">
        <f t="shared" si="112"/>
        <v>1</v>
      </c>
      <c r="BM92" s="26">
        <f t="shared" si="113"/>
        <v>0</v>
      </c>
      <c r="BN92" s="26">
        <f t="shared" si="113"/>
        <v>0.2</v>
      </c>
      <c r="BO92" s="26">
        <f t="shared" si="113"/>
        <v>0.2</v>
      </c>
      <c r="BP92" s="26">
        <f t="shared" si="113"/>
        <v>0.2</v>
      </c>
      <c r="BQ92" s="26">
        <f t="shared" si="113"/>
        <v>0.2</v>
      </c>
      <c r="BR92" s="26">
        <f t="shared" si="113"/>
        <v>0.2</v>
      </c>
      <c r="BS92" s="26">
        <f t="shared" si="113"/>
        <v>0</v>
      </c>
      <c r="BT92" s="26">
        <f t="shared" si="113"/>
        <v>0</v>
      </c>
      <c r="BU92" s="26">
        <f t="shared" si="113"/>
        <v>0</v>
      </c>
      <c r="BV92" s="26">
        <f t="shared" si="113"/>
        <v>0</v>
      </c>
      <c r="BW92" s="26">
        <f t="shared" si="113"/>
        <v>0</v>
      </c>
      <c r="BX92" s="26">
        <f t="shared" si="113"/>
        <v>0</v>
      </c>
      <c r="BY92" s="26">
        <f t="shared" si="114"/>
        <v>1.5</v>
      </c>
      <c r="BZ92" s="26">
        <f t="shared" si="114"/>
        <v>1.5</v>
      </c>
      <c r="CA92" s="26">
        <f t="shared" si="114"/>
        <v>1.5</v>
      </c>
      <c r="CB92" s="26">
        <f t="shared" si="114"/>
        <v>1.5</v>
      </c>
      <c r="CC92" s="26">
        <f t="shared" si="114"/>
        <v>1.5</v>
      </c>
      <c r="CD92" s="26">
        <f t="shared" si="114"/>
        <v>0</v>
      </c>
      <c r="CE92" s="26">
        <f t="shared" si="114"/>
        <v>1</v>
      </c>
      <c r="CF92" s="26">
        <f t="shared" si="114"/>
        <v>1</v>
      </c>
      <c r="CG92" s="26">
        <f t="shared" si="114"/>
        <v>1</v>
      </c>
      <c r="CH92" s="26">
        <f t="shared" si="114"/>
        <v>1</v>
      </c>
      <c r="CI92" s="26">
        <f t="shared" si="115"/>
        <v>1</v>
      </c>
      <c r="CJ92" s="26">
        <f t="shared" si="115"/>
        <v>0.2</v>
      </c>
      <c r="CK92" s="26">
        <f t="shared" si="115"/>
        <v>0.2</v>
      </c>
      <c r="CL92" s="26">
        <f t="shared" si="115"/>
        <v>0.2</v>
      </c>
      <c r="CM92" s="26">
        <f t="shared" si="115"/>
        <v>0.2</v>
      </c>
      <c r="CN92" s="26">
        <f t="shared" si="115"/>
        <v>0.2</v>
      </c>
      <c r="CO92" s="26">
        <f t="shared" si="115"/>
        <v>0.06</v>
      </c>
      <c r="CP92" s="26">
        <f t="shared" si="115"/>
        <v>0</v>
      </c>
      <c r="CQ92" s="26">
        <f t="shared" si="115"/>
        <v>0</v>
      </c>
      <c r="CR92" s="26">
        <f t="shared" si="115"/>
        <v>0</v>
      </c>
      <c r="CS92" s="26">
        <f t="shared" si="115"/>
        <v>0</v>
      </c>
      <c r="CT92" s="26">
        <f t="shared" si="115"/>
        <v>0</v>
      </c>
      <c r="CU92" s="26">
        <f t="shared" si="116"/>
        <v>1.5</v>
      </c>
      <c r="CV92" s="26">
        <f t="shared" si="116"/>
        <v>1.5</v>
      </c>
      <c r="CW92" s="26">
        <f t="shared" si="116"/>
        <v>1.5</v>
      </c>
      <c r="CX92" s="26">
        <f t="shared" si="116"/>
        <v>1.5</v>
      </c>
      <c r="CY92" s="26">
        <f t="shared" si="116"/>
        <v>1.5</v>
      </c>
      <c r="CZ92" s="26">
        <f t="shared" si="116"/>
        <v>0.05</v>
      </c>
      <c r="DA92" s="26">
        <f t="shared" si="116"/>
        <v>1</v>
      </c>
      <c r="DB92" s="26">
        <f t="shared" si="116"/>
        <v>1</v>
      </c>
      <c r="DC92" s="26">
        <f t="shared" si="116"/>
        <v>1</v>
      </c>
      <c r="DD92" s="26">
        <f t="shared" si="116"/>
        <v>1</v>
      </c>
      <c r="DE92" s="26">
        <f t="shared" si="117"/>
        <v>1</v>
      </c>
      <c r="DF92" s="26">
        <f t="shared" si="117"/>
        <v>0.2</v>
      </c>
      <c r="DG92" s="26">
        <f t="shared" si="117"/>
        <v>0.2</v>
      </c>
      <c r="DH92" s="26">
        <f t="shared" si="117"/>
        <v>0.2</v>
      </c>
      <c r="DI92" s="26">
        <f t="shared" si="117"/>
        <v>0.2</v>
      </c>
      <c r="DJ92" s="26">
        <f t="shared" si="117"/>
        <v>0.2</v>
      </c>
      <c r="DK92" s="26">
        <f t="shared" si="117"/>
        <v>0.1</v>
      </c>
      <c r="DL92" s="26">
        <f t="shared" si="117"/>
        <v>0.05</v>
      </c>
      <c r="DM92" s="26">
        <f t="shared" si="117"/>
        <v>0.05</v>
      </c>
      <c r="DN92" s="26">
        <f t="shared" si="117"/>
        <v>2.5000000000000001E-2</v>
      </c>
      <c r="DO92" s="26">
        <f t="shared" si="117"/>
        <v>2.5000000000000001E-2</v>
      </c>
      <c r="DP92" s="26">
        <f t="shared" si="117"/>
        <v>2.5000000000000001E-2</v>
      </c>
      <c r="DQ92" s="26">
        <f t="shared" si="118"/>
        <v>1.5</v>
      </c>
      <c r="DR92" s="26">
        <f t="shared" si="118"/>
        <v>1.5</v>
      </c>
      <c r="DS92" s="26">
        <f t="shared" si="118"/>
        <v>1.5</v>
      </c>
      <c r="DT92" s="26">
        <f t="shared" si="118"/>
        <v>1.5</v>
      </c>
      <c r="DU92" s="26">
        <f t="shared" si="118"/>
        <v>1.5</v>
      </c>
      <c r="DV92" s="26">
        <f t="shared" si="118"/>
        <v>0.05</v>
      </c>
      <c r="DW92" s="26">
        <f t="shared" si="118"/>
        <v>1</v>
      </c>
      <c r="DX92" s="26">
        <f t="shared" si="118"/>
        <v>1</v>
      </c>
      <c r="DY92" s="26">
        <f t="shared" si="118"/>
        <v>1</v>
      </c>
      <c r="DZ92" s="26">
        <f t="shared" si="118"/>
        <v>1</v>
      </c>
      <c r="EA92" s="26">
        <f t="shared" si="119"/>
        <v>1</v>
      </c>
      <c r="EB92" s="26">
        <f t="shared" si="119"/>
        <v>0.2</v>
      </c>
      <c r="EC92" s="26">
        <f t="shared" si="119"/>
        <v>0.2</v>
      </c>
      <c r="ED92" s="26">
        <f t="shared" si="119"/>
        <v>0.2</v>
      </c>
      <c r="EE92" s="26">
        <f t="shared" si="119"/>
        <v>0.2</v>
      </c>
      <c r="EF92" s="26">
        <f t="shared" si="119"/>
        <v>0.2</v>
      </c>
      <c r="EG92" s="26">
        <f t="shared" si="119"/>
        <v>0.1</v>
      </c>
      <c r="EH92" s="26">
        <f t="shared" si="119"/>
        <v>0.05</v>
      </c>
      <c r="EI92" s="26">
        <f t="shared" si="119"/>
        <v>0.05</v>
      </c>
      <c r="EJ92" s="26">
        <f t="shared" si="119"/>
        <v>2.5000000000000001E-2</v>
      </c>
      <c r="EK92" s="26">
        <f t="shared" si="119"/>
        <v>2.5000000000000001E-2</v>
      </c>
      <c r="EL92" s="26">
        <f t="shared" si="119"/>
        <v>0</v>
      </c>
      <c r="EM92" s="26">
        <f t="shared" si="92"/>
        <v>199362</v>
      </c>
      <c r="EN92" s="26">
        <f t="shared" si="93"/>
        <v>231578</v>
      </c>
      <c r="EO92" s="26">
        <f t="shared" si="94"/>
        <v>299937</v>
      </c>
      <c r="EP92" s="26">
        <f t="shared" si="95"/>
        <v>537663</v>
      </c>
      <c r="EQ92" s="26">
        <f t="shared" si="96"/>
        <v>511941</v>
      </c>
    </row>
    <row r="93" spans="17:147">
      <c r="Q93" s="26">
        <v>89</v>
      </c>
      <c r="R93" s="26">
        <f>总纲!D93</f>
        <v>476.71289166684534</v>
      </c>
      <c r="S93" s="26">
        <f>求节点(将星点产出!$W$6:$W$44,将星点产出!$AO$6:$AO$44,星阵点亮!$Q93)</f>
        <v>398211.07659263315</v>
      </c>
      <c r="T93" s="26">
        <f t="shared" si="87"/>
        <v>39</v>
      </c>
      <c r="U93" s="26">
        <f>总纲!E93</f>
        <v>411.78459582182103</v>
      </c>
      <c r="V93" s="26">
        <f>求节点(将星点产出!$W$51:$W$89,将星点产出!$AO$51:$AO$89,星阵点亮!$Q93)</f>
        <v>491384.75514290656</v>
      </c>
      <c r="W93" s="26">
        <f t="shared" si="88"/>
        <v>43</v>
      </c>
      <c r="X93" s="26">
        <f>总纲!F93</f>
        <v>332.60258451595797</v>
      </c>
      <c r="Y93" s="26">
        <f>求节点(将星点产出!$W$96:$W$134,将星点产出!$AO$96:$AO$134,星阵点亮!$Q93)</f>
        <v>627901.39741424262</v>
      </c>
      <c r="Z93" s="26">
        <f t="shared" si="89"/>
        <v>48</v>
      </c>
      <c r="AA93" s="26">
        <f>总纲!G93</f>
        <v>240.31096868925673</v>
      </c>
      <c r="AB93" s="26">
        <f>求节点(将星点产出!$W$141:$W$179,将星点产出!$AO$141:$AO$179,星阵点亮!$Q93)</f>
        <v>957226.56813951384</v>
      </c>
      <c r="AC93" s="26">
        <f t="shared" si="90"/>
        <v>58</v>
      </c>
      <c r="AD93" s="26">
        <f>总纲!H93</f>
        <v>130.61933231671563</v>
      </c>
      <c r="AE93" s="26">
        <f>求节点(将星点产出!$W$186:$W$224,将星点产出!$AO$186:$AO$224,星阵点亮!$Q93)</f>
        <v>896473.67314765358</v>
      </c>
      <c r="AF93" s="26">
        <f t="shared" si="91"/>
        <v>56</v>
      </c>
      <c r="AG93" s="26">
        <f t="shared" si="110"/>
        <v>1.5</v>
      </c>
      <c r="AH93" s="26">
        <f t="shared" si="110"/>
        <v>1.5</v>
      </c>
      <c r="AI93" s="26">
        <f t="shared" si="110"/>
        <v>1.5</v>
      </c>
      <c r="AJ93" s="26">
        <f t="shared" si="110"/>
        <v>1.5</v>
      </c>
      <c r="AK93" s="26">
        <f t="shared" si="110"/>
        <v>1.5</v>
      </c>
      <c r="AL93" s="26">
        <f t="shared" si="110"/>
        <v>0</v>
      </c>
      <c r="AM93" s="26">
        <f t="shared" si="110"/>
        <v>1</v>
      </c>
      <c r="AN93" s="26">
        <f t="shared" si="110"/>
        <v>1</v>
      </c>
      <c r="AO93" s="26">
        <f t="shared" si="110"/>
        <v>1</v>
      </c>
      <c r="AP93" s="26">
        <f t="shared" si="110"/>
        <v>1</v>
      </c>
      <c r="AQ93" s="26">
        <f t="shared" si="111"/>
        <v>0</v>
      </c>
      <c r="AR93" s="26">
        <f t="shared" si="111"/>
        <v>0.2</v>
      </c>
      <c r="AS93" s="26">
        <f t="shared" si="111"/>
        <v>0.2</v>
      </c>
      <c r="AT93" s="26">
        <f t="shared" si="111"/>
        <v>0.1</v>
      </c>
      <c r="AU93" s="26">
        <f t="shared" si="111"/>
        <v>0.1</v>
      </c>
      <c r="AV93" s="26">
        <f t="shared" si="111"/>
        <v>0.1</v>
      </c>
      <c r="AW93" s="26">
        <f t="shared" si="111"/>
        <v>0</v>
      </c>
      <c r="AX93" s="26">
        <f t="shared" si="111"/>
        <v>0</v>
      </c>
      <c r="AY93" s="26">
        <f t="shared" si="111"/>
        <v>0</v>
      </c>
      <c r="AZ93" s="26">
        <f t="shared" si="111"/>
        <v>0</v>
      </c>
      <c r="BA93" s="26">
        <f t="shared" si="111"/>
        <v>0</v>
      </c>
      <c r="BB93" s="26">
        <f t="shared" si="111"/>
        <v>0</v>
      </c>
      <c r="BC93" s="26">
        <f t="shared" si="112"/>
        <v>1.5</v>
      </c>
      <c r="BD93" s="26">
        <f t="shared" si="112"/>
        <v>1.5</v>
      </c>
      <c r="BE93" s="26">
        <f t="shared" si="112"/>
        <v>1.5</v>
      </c>
      <c r="BF93" s="26">
        <f t="shared" si="112"/>
        <v>1.5</v>
      </c>
      <c r="BG93" s="26">
        <f t="shared" si="112"/>
        <v>1.5</v>
      </c>
      <c r="BH93" s="26">
        <f t="shared" si="112"/>
        <v>0</v>
      </c>
      <c r="BI93" s="26">
        <f t="shared" si="112"/>
        <v>1</v>
      </c>
      <c r="BJ93" s="26">
        <f t="shared" si="112"/>
        <v>1</v>
      </c>
      <c r="BK93" s="26">
        <f t="shared" si="112"/>
        <v>1</v>
      </c>
      <c r="BL93" s="26">
        <f t="shared" si="112"/>
        <v>1</v>
      </c>
      <c r="BM93" s="26">
        <f t="shared" si="113"/>
        <v>0.3</v>
      </c>
      <c r="BN93" s="26">
        <f t="shared" si="113"/>
        <v>0.2</v>
      </c>
      <c r="BO93" s="26">
        <f t="shared" si="113"/>
        <v>0.2</v>
      </c>
      <c r="BP93" s="26">
        <f t="shared" si="113"/>
        <v>0.2</v>
      </c>
      <c r="BQ93" s="26">
        <f t="shared" si="113"/>
        <v>0.2</v>
      </c>
      <c r="BR93" s="26">
        <f t="shared" si="113"/>
        <v>0.2</v>
      </c>
      <c r="BS93" s="26">
        <f t="shared" si="113"/>
        <v>0</v>
      </c>
      <c r="BT93" s="26">
        <f t="shared" si="113"/>
        <v>0</v>
      </c>
      <c r="BU93" s="26">
        <f t="shared" si="113"/>
        <v>0</v>
      </c>
      <c r="BV93" s="26">
        <f t="shared" si="113"/>
        <v>0</v>
      </c>
      <c r="BW93" s="26">
        <f t="shared" si="113"/>
        <v>0</v>
      </c>
      <c r="BX93" s="26">
        <f t="shared" si="113"/>
        <v>0</v>
      </c>
      <c r="BY93" s="26">
        <f t="shared" si="114"/>
        <v>1.5</v>
      </c>
      <c r="BZ93" s="26">
        <f t="shared" si="114"/>
        <v>1.5</v>
      </c>
      <c r="CA93" s="26">
        <f t="shared" si="114"/>
        <v>1.5</v>
      </c>
      <c r="CB93" s="26">
        <f t="shared" si="114"/>
        <v>1.5</v>
      </c>
      <c r="CC93" s="26">
        <f t="shared" si="114"/>
        <v>1.5</v>
      </c>
      <c r="CD93" s="26">
        <f t="shared" si="114"/>
        <v>0</v>
      </c>
      <c r="CE93" s="26">
        <f t="shared" si="114"/>
        <v>1</v>
      </c>
      <c r="CF93" s="26">
        <f t="shared" si="114"/>
        <v>1</v>
      </c>
      <c r="CG93" s="26">
        <f t="shared" si="114"/>
        <v>1</v>
      </c>
      <c r="CH93" s="26">
        <f t="shared" si="114"/>
        <v>1</v>
      </c>
      <c r="CI93" s="26">
        <f t="shared" si="115"/>
        <v>1</v>
      </c>
      <c r="CJ93" s="26">
        <f t="shared" si="115"/>
        <v>0.2</v>
      </c>
      <c r="CK93" s="26">
        <f t="shared" si="115"/>
        <v>0.2</v>
      </c>
      <c r="CL93" s="26">
        <f t="shared" si="115"/>
        <v>0.2</v>
      </c>
      <c r="CM93" s="26">
        <f t="shared" si="115"/>
        <v>0.2</v>
      </c>
      <c r="CN93" s="26">
        <f t="shared" si="115"/>
        <v>0.2</v>
      </c>
      <c r="CO93" s="26">
        <f t="shared" si="115"/>
        <v>0.1</v>
      </c>
      <c r="CP93" s="26">
        <f t="shared" si="115"/>
        <v>0</v>
      </c>
      <c r="CQ93" s="26">
        <f t="shared" si="115"/>
        <v>0</v>
      </c>
      <c r="CR93" s="26">
        <f t="shared" si="115"/>
        <v>0</v>
      </c>
      <c r="CS93" s="26">
        <f t="shared" si="115"/>
        <v>0</v>
      </c>
      <c r="CT93" s="26">
        <f t="shared" si="115"/>
        <v>0</v>
      </c>
      <c r="CU93" s="26">
        <f t="shared" si="116"/>
        <v>1.5</v>
      </c>
      <c r="CV93" s="26">
        <f t="shared" si="116"/>
        <v>1.5</v>
      </c>
      <c r="CW93" s="26">
        <f t="shared" si="116"/>
        <v>1.5</v>
      </c>
      <c r="CX93" s="26">
        <f t="shared" si="116"/>
        <v>1.5</v>
      </c>
      <c r="CY93" s="26">
        <f t="shared" si="116"/>
        <v>1.5</v>
      </c>
      <c r="CZ93" s="26">
        <f t="shared" si="116"/>
        <v>0.05</v>
      </c>
      <c r="DA93" s="26">
        <f t="shared" si="116"/>
        <v>1</v>
      </c>
      <c r="DB93" s="26">
        <f t="shared" si="116"/>
        <v>1</v>
      </c>
      <c r="DC93" s="26">
        <f t="shared" si="116"/>
        <v>1</v>
      </c>
      <c r="DD93" s="26">
        <f t="shared" si="116"/>
        <v>1</v>
      </c>
      <c r="DE93" s="26">
        <f t="shared" si="117"/>
        <v>1</v>
      </c>
      <c r="DF93" s="26">
        <f t="shared" si="117"/>
        <v>0.2</v>
      </c>
      <c r="DG93" s="26">
        <f t="shared" si="117"/>
        <v>0.2</v>
      </c>
      <c r="DH93" s="26">
        <f t="shared" si="117"/>
        <v>0.2</v>
      </c>
      <c r="DI93" s="26">
        <f t="shared" si="117"/>
        <v>0.2</v>
      </c>
      <c r="DJ93" s="26">
        <f t="shared" si="117"/>
        <v>0.2</v>
      </c>
      <c r="DK93" s="26">
        <f t="shared" si="117"/>
        <v>0.1</v>
      </c>
      <c r="DL93" s="26">
        <f t="shared" si="117"/>
        <v>0.05</v>
      </c>
      <c r="DM93" s="26">
        <f t="shared" si="117"/>
        <v>0.05</v>
      </c>
      <c r="DN93" s="26">
        <f t="shared" si="117"/>
        <v>0.05</v>
      </c>
      <c r="DO93" s="26">
        <f t="shared" si="117"/>
        <v>2.5000000000000001E-2</v>
      </c>
      <c r="DP93" s="26">
        <f t="shared" si="117"/>
        <v>2.5000000000000001E-2</v>
      </c>
      <c r="DQ93" s="26">
        <f t="shared" si="118"/>
        <v>1.5</v>
      </c>
      <c r="DR93" s="26">
        <f t="shared" si="118"/>
        <v>1.5</v>
      </c>
      <c r="DS93" s="26">
        <f t="shared" si="118"/>
        <v>1.5</v>
      </c>
      <c r="DT93" s="26">
        <f t="shared" si="118"/>
        <v>1.5</v>
      </c>
      <c r="DU93" s="26">
        <f t="shared" si="118"/>
        <v>1.5</v>
      </c>
      <c r="DV93" s="26">
        <f t="shared" si="118"/>
        <v>0.05</v>
      </c>
      <c r="DW93" s="26">
        <f t="shared" si="118"/>
        <v>1</v>
      </c>
      <c r="DX93" s="26">
        <f t="shared" si="118"/>
        <v>1</v>
      </c>
      <c r="DY93" s="26">
        <f t="shared" si="118"/>
        <v>1</v>
      </c>
      <c r="DZ93" s="26">
        <f t="shared" si="118"/>
        <v>1</v>
      </c>
      <c r="EA93" s="26">
        <f t="shared" si="119"/>
        <v>1</v>
      </c>
      <c r="EB93" s="26">
        <f t="shared" si="119"/>
        <v>0.2</v>
      </c>
      <c r="EC93" s="26">
        <f t="shared" si="119"/>
        <v>0.2</v>
      </c>
      <c r="ED93" s="26">
        <f t="shared" si="119"/>
        <v>0.2</v>
      </c>
      <c r="EE93" s="26">
        <f t="shared" si="119"/>
        <v>0.2</v>
      </c>
      <c r="EF93" s="26">
        <f t="shared" si="119"/>
        <v>0.2</v>
      </c>
      <c r="EG93" s="26">
        <f t="shared" si="119"/>
        <v>0.1</v>
      </c>
      <c r="EH93" s="26">
        <f t="shared" si="119"/>
        <v>0.05</v>
      </c>
      <c r="EI93" s="26">
        <f t="shared" si="119"/>
        <v>0.05</v>
      </c>
      <c r="EJ93" s="26">
        <f t="shared" si="119"/>
        <v>2.5000000000000001E-2</v>
      </c>
      <c r="EK93" s="26">
        <f t="shared" si="119"/>
        <v>2.5000000000000001E-2</v>
      </c>
      <c r="EL93" s="26">
        <f t="shared" si="119"/>
        <v>0</v>
      </c>
      <c r="EM93" s="26">
        <f t="shared" si="92"/>
        <v>207341</v>
      </c>
      <c r="EN93" s="26">
        <f t="shared" si="93"/>
        <v>239757</v>
      </c>
      <c r="EO93" s="26">
        <f t="shared" si="94"/>
        <v>319898</v>
      </c>
      <c r="EP93" s="26">
        <f t="shared" si="95"/>
        <v>563435</v>
      </c>
      <c r="EQ93" s="26">
        <f t="shared" si="96"/>
        <v>511941</v>
      </c>
    </row>
    <row r="94" spans="17:147">
      <c r="Q94" s="26">
        <v>90</v>
      </c>
      <c r="R94" s="26">
        <f>总纲!D94</f>
        <v>511</v>
      </c>
      <c r="S94" s="26">
        <f>求节点(将星点产出!$W$6:$W$44,将星点产出!$AO$6:$AO$44,星阵点亮!$Q94)</f>
        <v>415082.90116073587</v>
      </c>
      <c r="T94" s="26">
        <f t="shared" si="87"/>
        <v>40</v>
      </c>
      <c r="U94" s="26">
        <f>总纲!E94</f>
        <v>438.13140000000004</v>
      </c>
      <c r="V94" s="26">
        <f>求节点(将星点产出!$W$51:$W$89,将星点产出!$AO$51:$AO$89,星阵点亮!$Q94)</f>
        <v>509061.59350747091</v>
      </c>
      <c r="W94" s="26">
        <f t="shared" si="88"/>
        <v>44</v>
      </c>
      <c r="X94" s="26">
        <f>总纲!F94</f>
        <v>354.12299999999999</v>
      </c>
      <c r="Y94" s="26">
        <f>求节点(将星点产出!$W$96:$W$134,将星点产出!$AO$96:$AO$134,星阵点亮!$Q94)</f>
        <v>655790.62563662464</v>
      </c>
      <c r="Z94" s="26">
        <f t="shared" si="89"/>
        <v>49</v>
      </c>
      <c r="AA94" s="26">
        <f>总纲!G94</f>
        <v>254.88680000000002</v>
      </c>
      <c r="AB94" s="26">
        <f>求节点(将星点产出!$W$141:$W$179,将星点产出!$AO$141:$AO$179,星阵点亮!$Q94)</f>
        <v>987195.81722975161</v>
      </c>
      <c r="AC94" s="26">
        <f t="shared" si="90"/>
        <v>59</v>
      </c>
      <c r="AD94" s="26">
        <f>总纲!H94</f>
        <v>138.48100000000002</v>
      </c>
      <c r="AE94" s="26">
        <f>求节点(将星点产出!$W$186:$W$224,将星点产出!$AO$186:$AO$224,星阵点亮!$Q94)</f>
        <v>919044.05132423737</v>
      </c>
      <c r="AF94" s="26">
        <f t="shared" si="91"/>
        <v>57</v>
      </c>
      <c r="AG94" s="26">
        <f t="shared" si="110"/>
        <v>1.5</v>
      </c>
      <c r="AH94" s="26">
        <f t="shared" si="110"/>
        <v>1.5</v>
      </c>
      <c r="AI94" s="26">
        <f t="shared" si="110"/>
        <v>1.5</v>
      </c>
      <c r="AJ94" s="26">
        <f t="shared" si="110"/>
        <v>1.5</v>
      </c>
      <c r="AK94" s="26">
        <f t="shared" si="110"/>
        <v>1.5</v>
      </c>
      <c r="AL94" s="26">
        <f t="shared" si="110"/>
        <v>0</v>
      </c>
      <c r="AM94" s="26">
        <f t="shared" si="110"/>
        <v>1</v>
      </c>
      <c r="AN94" s="26">
        <f t="shared" si="110"/>
        <v>1</v>
      </c>
      <c r="AO94" s="26">
        <f t="shared" si="110"/>
        <v>1</v>
      </c>
      <c r="AP94" s="26">
        <f t="shared" si="110"/>
        <v>1</v>
      </c>
      <c r="AQ94" s="26">
        <f t="shared" si="111"/>
        <v>0</v>
      </c>
      <c r="AR94" s="26">
        <f t="shared" si="111"/>
        <v>0.2</v>
      </c>
      <c r="AS94" s="26">
        <f t="shared" si="111"/>
        <v>0.2</v>
      </c>
      <c r="AT94" s="26">
        <f t="shared" si="111"/>
        <v>0.2</v>
      </c>
      <c r="AU94" s="26">
        <f t="shared" si="111"/>
        <v>0.1</v>
      </c>
      <c r="AV94" s="26">
        <f t="shared" si="111"/>
        <v>0.1</v>
      </c>
      <c r="AW94" s="26">
        <f t="shared" si="111"/>
        <v>0</v>
      </c>
      <c r="AX94" s="26">
        <f t="shared" si="111"/>
        <v>0</v>
      </c>
      <c r="AY94" s="26">
        <f t="shared" si="111"/>
        <v>0</v>
      </c>
      <c r="AZ94" s="26">
        <f t="shared" si="111"/>
        <v>0</v>
      </c>
      <c r="BA94" s="26">
        <f t="shared" si="111"/>
        <v>0</v>
      </c>
      <c r="BB94" s="26">
        <f t="shared" si="111"/>
        <v>0</v>
      </c>
      <c r="BC94" s="26">
        <f t="shared" si="112"/>
        <v>1.5</v>
      </c>
      <c r="BD94" s="26">
        <f t="shared" si="112"/>
        <v>1.5</v>
      </c>
      <c r="BE94" s="26">
        <f t="shared" si="112"/>
        <v>1.5</v>
      </c>
      <c r="BF94" s="26">
        <f t="shared" si="112"/>
        <v>1.5</v>
      </c>
      <c r="BG94" s="26">
        <f t="shared" si="112"/>
        <v>1.5</v>
      </c>
      <c r="BH94" s="26">
        <f t="shared" si="112"/>
        <v>0</v>
      </c>
      <c r="BI94" s="26">
        <f t="shared" si="112"/>
        <v>1</v>
      </c>
      <c r="BJ94" s="26">
        <f t="shared" si="112"/>
        <v>1</v>
      </c>
      <c r="BK94" s="26">
        <f t="shared" si="112"/>
        <v>1</v>
      </c>
      <c r="BL94" s="26">
        <f t="shared" si="112"/>
        <v>1</v>
      </c>
      <c r="BM94" s="26">
        <f t="shared" si="113"/>
        <v>0.3</v>
      </c>
      <c r="BN94" s="26">
        <f t="shared" si="113"/>
        <v>0.2</v>
      </c>
      <c r="BO94" s="26">
        <f t="shared" si="113"/>
        <v>0.2</v>
      </c>
      <c r="BP94" s="26">
        <f t="shared" si="113"/>
        <v>0.2</v>
      </c>
      <c r="BQ94" s="26">
        <f t="shared" si="113"/>
        <v>0.2</v>
      </c>
      <c r="BR94" s="26">
        <f t="shared" si="113"/>
        <v>0.2</v>
      </c>
      <c r="BS94" s="26">
        <f t="shared" si="113"/>
        <v>0.03</v>
      </c>
      <c r="BT94" s="26">
        <f t="shared" si="113"/>
        <v>0</v>
      </c>
      <c r="BU94" s="26">
        <f t="shared" si="113"/>
        <v>0</v>
      </c>
      <c r="BV94" s="26">
        <f t="shared" si="113"/>
        <v>0</v>
      </c>
      <c r="BW94" s="26">
        <f t="shared" si="113"/>
        <v>0</v>
      </c>
      <c r="BX94" s="26">
        <f t="shared" si="113"/>
        <v>0</v>
      </c>
      <c r="BY94" s="26">
        <f t="shared" si="114"/>
        <v>1.5</v>
      </c>
      <c r="BZ94" s="26">
        <f t="shared" si="114"/>
        <v>1.5</v>
      </c>
      <c r="CA94" s="26">
        <f t="shared" si="114"/>
        <v>1.5</v>
      </c>
      <c r="CB94" s="26">
        <f t="shared" si="114"/>
        <v>1.5</v>
      </c>
      <c r="CC94" s="26">
        <f t="shared" si="114"/>
        <v>1.5</v>
      </c>
      <c r="CD94" s="26">
        <f t="shared" si="114"/>
        <v>0</v>
      </c>
      <c r="CE94" s="26">
        <f t="shared" si="114"/>
        <v>1</v>
      </c>
      <c r="CF94" s="26">
        <f t="shared" si="114"/>
        <v>1</v>
      </c>
      <c r="CG94" s="26">
        <f t="shared" si="114"/>
        <v>1</v>
      </c>
      <c r="CH94" s="26">
        <f t="shared" si="114"/>
        <v>1</v>
      </c>
      <c r="CI94" s="26">
        <f t="shared" si="115"/>
        <v>1</v>
      </c>
      <c r="CJ94" s="26">
        <f t="shared" si="115"/>
        <v>0.2</v>
      </c>
      <c r="CK94" s="26">
        <f t="shared" si="115"/>
        <v>0.2</v>
      </c>
      <c r="CL94" s="26">
        <f t="shared" si="115"/>
        <v>0.2</v>
      </c>
      <c r="CM94" s="26">
        <f t="shared" si="115"/>
        <v>0.2</v>
      </c>
      <c r="CN94" s="26">
        <f t="shared" si="115"/>
        <v>0.2</v>
      </c>
      <c r="CO94" s="26">
        <f t="shared" si="115"/>
        <v>0.1</v>
      </c>
      <c r="CP94" s="26">
        <f t="shared" si="115"/>
        <v>2.5000000000000001E-2</v>
      </c>
      <c r="CQ94" s="26">
        <f t="shared" si="115"/>
        <v>0</v>
      </c>
      <c r="CR94" s="26">
        <f t="shared" si="115"/>
        <v>0</v>
      </c>
      <c r="CS94" s="26">
        <f t="shared" si="115"/>
        <v>0</v>
      </c>
      <c r="CT94" s="26">
        <f t="shared" si="115"/>
        <v>0</v>
      </c>
      <c r="CU94" s="26">
        <f t="shared" si="116"/>
        <v>1.5</v>
      </c>
      <c r="CV94" s="26">
        <f t="shared" si="116"/>
        <v>1.5</v>
      </c>
      <c r="CW94" s="26">
        <f t="shared" si="116"/>
        <v>1.5</v>
      </c>
      <c r="CX94" s="26">
        <f t="shared" si="116"/>
        <v>1.5</v>
      </c>
      <c r="CY94" s="26">
        <f t="shared" si="116"/>
        <v>1.5</v>
      </c>
      <c r="CZ94" s="26">
        <f t="shared" si="116"/>
        <v>0.05</v>
      </c>
      <c r="DA94" s="26">
        <f t="shared" si="116"/>
        <v>1</v>
      </c>
      <c r="DB94" s="26">
        <f t="shared" si="116"/>
        <v>1</v>
      </c>
      <c r="DC94" s="26">
        <f t="shared" si="116"/>
        <v>1</v>
      </c>
      <c r="DD94" s="26">
        <f t="shared" si="116"/>
        <v>1</v>
      </c>
      <c r="DE94" s="26">
        <f t="shared" si="117"/>
        <v>1</v>
      </c>
      <c r="DF94" s="26">
        <f t="shared" si="117"/>
        <v>0.2</v>
      </c>
      <c r="DG94" s="26">
        <f t="shared" si="117"/>
        <v>0.2</v>
      </c>
      <c r="DH94" s="26">
        <f t="shared" si="117"/>
        <v>0.2</v>
      </c>
      <c r="DI94" s="26">
        <f t="shared" si="117"/>
        <v>0.2</v>
      </c>
      <c r="DJ94" s="26">
        <f t="shared" si="117"/>
        <v>0.2</v>
      </c>
      <c r="DK94" s="26">
        <f t="shared" si="117"/>
        <v>0.1</v>
      </c>
      <c r="DL94" s="26">
        <f t="shared" si="117"/>
        <v>0.05</v>
      </c>
      <c r="DM94" s="26">
        <f t="shared" si="117"/>
        <v>0.05</v>
      </c>
      <c r="DN94" s="26">
        <f t="shared" si="117"/>
        <v>0.05</v>
      </c>
      <c r="DO94" s="26">
        <f t="shared" si="117"/>
        <v>0.05</v>
      </c>
      <c r="DP94" s="26">
        <f t="shared" si="117"/>
        <v>2.5000000000000001E-2</v>
      </c>
      <c r="DQ94" s="26">
        <f t="shared" si="118"/>
        <v>1.5</v>
      </c>
      <c r="DR94" s="26">
        <f t="shared" si="118"/>
        <v>1.5</v>
      </c>
      <c r="DS94" s="26">
        <f t="shared" si="118"/>
        <v>1.5</v>
      </c>
      <c r="DT94" s="26">
        <f t="shared" si="118"/>
        <v>1.5</v>
      </c>
      <c r="DU94" s="26">
        <f t="shared" si="118"/>
        <v>1.5</v>
      </c>
      <c r="DV94" s="26">
        <f t="shared" si="118"/>
        <v>0.05</v>
      </c>
      <c r="DW94" s="26">
        <f t="shared" si="118"/>
        <v>1</v>
      </c>
      <c r="DX94" s="26">
        <f t="shared" si="118"/>
        <v>1</v>
      </c>
      <c r="DY94" s="26">
        <f t="shared" si="118"/>
        <v>1</v>
      </c>
      <c r="DZ94" s="26">
        <f t="shared" si="118"/>
        <v>1</v>
      </c>
      <c r="EA94" s="26">
        <f t="shared" si="119"/>
        <v>1</v>
      </c>
      <c r="EB94" s="26">
        <f t="shared" si="119"/>
        <v>0.2</v>
      </c>
      <c r="EC94" s="26">
        <f t="shared" si="119"/>
        <v>0.2</v>
      </c>
      <c r="ED94" s="26">
        <f t="shared" si="119"/>
        <v>0.2</v>
      </c>
      <c r="EE94" s="26">
        <f t="shared" si="119"/>
        <v>0.2</v>
      </c>
      <c r="EF94" s="26">
        <f t="shared" si="119"/>
        <v>0.2</v>
      </c>
      <c r="EG94" s="26">
        <f t="shared" si="119"/>
        <v>0.1</v>
      </c>
      <c r="EH94" s="26">
        <f t="shared" si="119"/>
        <v>0.05</v>
      </c>
      <c r="EI94" s="26">
        <f t="shared" si="119"/>
        <v>0.05</v>
      </c>
      <c r="EJ94" s="26">
        <f t="shared" si="119"/>
        <v>2.5000000000000001E-2</v>
      </c>
      <c r="EK94" s="26">
        <f t="shared" si="119"/>
        <v>2.5000000000000001E-2</v>
      </c>
      <c r="EL94" s="26">
        <f t="shared" si="119"/>
        <v>2.5000000000000001E-2</v>
      </c>
      <c r="EM94" s="26">
        <f t="shared" si="92"/>
        <v>215370</v>
      </c>
      <c r="EN94" s="26">
        <f t="shared" si="93"/>
        <v>254727</v>
      </c>
      <c r="EO94" s="26">
        <f t="shared" si="94"/>
        <v>339909</v>
      </c>
      <c r="EP94" s="26">
        <f t="shared" si="95"/>
        <v>589257</v>
      </c>
      <c r="EQ94" s="26">
        <f t="shared" si="96"/>
        <v>537663</v>
      </c>
    </row>
    <row r="95" spans="17:147">
      <c r="Q95" s="26">
        <v>91</v>
      </c>
      <c r="R95" s="26">
        <f>总纲!D95</f>
        <v>547.74801281858208</v>
      </c>
      <c r="S95" s="26">
        <f>求节点(将星点产出!$W$6:$W$44,将星点产出!$AO$6:$AO$44,星阵点亮!$Q95)</f>
        <v>433909.61843381071</v>
      </c>
      <c r="T95" s="26">
        <f t="shared" si="87"/>
        <v>41</v>
      </c>
      <c r="U95" s="26">
        <f>总纲!E95</f>
        <v>469.6391461906523</v>
      </c>
      <c r="V95" s="26">
        <f>求节点(将星点产出!$W$51:$W$89,将星点产出!$AO$51:$AO$89,星阵点亮!$Q95)</f>
        <v>533032.11876432109</v>
      </c>
      <c r="W95" s="26">
        <f t="shared" si="88"/>
        <v>45</v>
      </c>
      <c r="X95" s="26">
        <f>总纲!F95</f>
        <v>378.43910205635837</v>
      </c>
      <c r="Y95" s="26">
        <f>求节点(将星点产出!$W$96:$W$134,将星点产出!$AO$96:$AO$134,星阵点亮!$Q95)</f>
        <v>684152.36407654826</v>
      </c>
      <c r="Z95" s="26">
        <f t="shared" si="89"/>
        <v>50</v>
      </c>
      <c r="AA95" s="26">
        <f>总纲!G95</f>
        <v>272.61418597980827</v>
      </c>
      <c r="AB95" s="26">
        <f>求节点(将星点产出!$W$141:$W$179,将星点产出!$AO$141:$AO$179,星阵点亮!$Q95)</f>
        <v>1034428.6066951382</v>
      </c>
      <c r="AC95" s="26">
        <f t="shared" si="90"/>
        <v>60</v>
      </c>
      <c r="AD95" s="26">
        <f>总纲!H95</f>
        <v>147.89196346101718</v>
      </c>
      <c r="AE95" s="26">
        <f>求节点(将星点产出!$W$186:$W$224,将星点产出!$AO$186:$AO$224,星阵点亮!$Q95)</f>
        <v>949175.3608086888</v>
      </c>
      <c r="AF95" s="26">
        <f t="shared" si="91"/>
        <v>58</v>
      </c>
      <c r="AG95" s="26">
        <f t="shared" ref="AG95:AP104" si="120">SUMIFS($J$5:$J$76,$I$5:$I$76,AG$4,$H$5:$H$76,"&lt;="&amp;$T95)</f>
        <v>1.5</v>
      </c>
      <c r="AH95" s="26">
        <f t="shared" si="120"/>
        <v>1.5</v>
      </c>
      <c r="AI95" s="26">
        <f t="shared" si="120"/>
        <v>1.5</v>
      </c>
      <c r="AJ95" s="26">
        <f t="shared" si="120"/>
        <v>1.5</v>
      </c>
      <c r="AK95" s="26">
        <f t="shared" si="120"/>
        <v>1.5</v>
      </c>
      <c r="AL95" s="26">
        <f t="shared" si="120"/>
        <v>0</v>
      </c>
      <c r="AM95" s="26">
        <f t="shared" si="120"/>
        <v>1</v>
      </c>
      <c r="AN95" s="26">
        <f t="shared" si="120"/>
        <v>1</v>
      </c>
      <c r="AO95" s="26">
        <f t="shared" si="120"/>
        <v>1</v>
      </c>
      <c r="AP95" s="26">
        <f t="shared" si="120"/>
        <v>1</v>
      </c>
      <c r="AQ95" s="26">
        <f t="shared" ref="AQ95:BB104" si="121">SUMIFS($J$5:$J$76,$I$5:$I$76,AQ$4,$H$5:$H$76,"&lt;="&amp;$T95)</f>
        <v>0</v>
      </c>
      <c r="AR95" s="26">
        <f t="shared" si="121"/>
        <v>0.2</v>
      </c>
      <c r="AS95" s="26">
        <f t="shared" si="121"/>
        <v>0.2</v>
      </c>
      <c r="AT95" s="26">
        <f t="shared" si="121"/>
        <v>0.2</v>
      </c>
      <c r="AU95" s="26">
        <f t="shared" si="121"/>
        <v>0.2</v>
      </c>
      <c r="AV95" s="26">
        <f t="shared" si="121"/>
        <v>0.1</v>
      </c>
      <c r="AW95" s="26">
        <f t="shared" si="121"/>
        <v>0</v>
      </c>
      <c r="AX95" s="26">
        <f t="shared" si="121"/>
        <v>0</v>
      </c>
      <c r="AY95" s="26">
        <f t="shared" si="121"/>
        <v>0</v>
      </c>
      <c r="AZ95" s="26">
        <f t="shared" si="121"/>
        <v>0</v>
      </c>
      <c r="BA95" s="26">
        <f t="shared" si="121"/>
        <v>0</v>
      </c>
      <c r="BB95" s="26">
        <f t="shared" si="121"/>
        <v>0</v>
      </c>
      <c r="BC95" s="26">
        <f t="shared" ref="BC95:BL104" si="122">SUMIFS($J$5:$J$76,$I$5:$I$76,BC$4,$H$5:$H$76,"&lt;="&amp;$W95)</f>
        <v>1.5</v>
      </c>
      <c r="BD95" s="26">
        <f t="shared" si="122"/>
        <v>1.5</v>
      </c>
      <c r="BE95" s="26">
        <f t="shared" si="122"/>
        <v>1.5</v>
      </c>
      <c r="BF95" s="26">
        <f t="shared" si="122"/>
        <v>1.5</v>
      </c>
      <c r="BG95" s="26">
        <f t="shared" si="122"/>
        <v>1.5</v>
      </c>
      <c r="BH95" s="26">
        <f t="shared" si="122"/>
        <v>0</v>
      </c>
      <c r="BI95" s="26">
        <f t="shared" si="122"/>
        <v>1</v>
      </c>
      <c r="BJ95" s="26">
        <f t="shared" si="122"/>
        <v>1</v>
      </c>
      <c r="BK95" s="26">
        <f t="shared" si="122"/>
        <v>1</v>
      </c>
      <c r="BL95" s="26">
        <f t="shared" si="122"/>
        <v>1</v>
      </c>
      <c r="BM95" s="26">
        <f t="shared" ref="BM95:BX104" si="123">SUMIFS($J$5:$J$76,$I$5:$I$76,BM$4,$H$5:$H$76,"&lt;="&amp;$W95)</f>
        <v>0.6</v>
      </c>
      <c r="BN95" s="26">
        <f t="shared" si="123"/>
        <v>0.2</v>
      </c>
      <c r="BO95" s="26">
        <f t="shared" si="123"/>
        <v>0.2</v>
      </c>
      <c r="BP95" s="26">
        <f t="shared" si="123"/>
        <v>0.2</v>
      </c>
      <c r="BQ95" s="26">
        <f t="shared" si="123"/>
        <v>0.2</v>
      </c>
      <c r="BR95" s="26">
        <f t="shared" si="123"/>
        <v>0.2</v>
      </c>
      <c r="BS95" s="26">
        <f t="shared" si="123"/>
        <v>0.03</v>
      </c>
      <c r="BT95" s="26">
        <f t="shared" si="123"/>
        <v>0</v>
      </c>
      <c r="BU95" s="26">
        <f t="shared" si="123"/>
        <v>0</v>
      </c>
      <c r="BV95" s="26">
        <f t="shared" si="123"/>
        <v>0</v>
      </c>
      <c r="BW95" s="26">
        <f t="shared" si="123"/>
        <v>0</v>
      </c>
      <c r="BX95" s="26">
        <f t="shared" si="123"/>
        <v>0</v>
      </c>
      <c r="BY95" s="26">
        <f t="shared" ref="BY95:CH104" si="124">SUMIFS($J$5:$J$76,$I$5:$I$76,BY$4,$H$5:$H$76,"&lt;="&amp;$Z95)</f>
        <v>1.5</v>
      </c>
      <c r="BZ95" s="26">
        <f t="shared" si="124"/>
        <v>1.5</v>
      </c>
      <c r="CA95" s="26">
        <f t="shared" si="124"/>
        <v>1.5</v>
      </c>
      <c r="CB95" s="26">
        <f t="shared" si="124"/>
        <v>1.5</v>
      </c>
      <c r="CC95" s="26">
        <f t="shared" si="124"/>
        <v>1.5</v>
      </c>
      <c r="CD95" s="26">
        <f t="shared" si="124"/>
        <v>0</v>
      </c>
      <c r="CE95" s="26">
        <f t="shared" si="124"/>
        <v>1</v>
      </c>
      <c r="CF95" s="26">
        <f t="shared" si="124"/>
        <v>1</v>
      </c>
      <c r="CG95" s="26">
        <f t="shared" si="124"/>
        <v>1</v>
      </c>
      <c r="CH95" s="26">
        <f t="shared" si="124"/>
        <v>1</v>
      </c>
      <c r="CI95" s="26">
        <f t="shared" ref="CI95:CT104" si="125">SUMIFS($J$5:$J$76,$I$5:$I$76,CI$4,$H$5:$H$76,"&lt;="&amp;$Z95)</f>
        <v>1</v>
      </c>
      <c r="CJ95" s="26">
        <f t="shared" si="125"/>
        <v>0.2</v>
      </c>
      <c r="CK95" s="26">
        <f t="shared" si="125"/>
        <v>0.2</v>
      </c>
      <c r="CL95" s="26">
        <f t="shared" si="125"/>
        <v>0.2</v>
      </c>
      <c r="CM95" s="26">
        <f t="shared" si="125"/>
        <v>0.2</v>
      </c>
      <c r="CN95" s="26">
        <f t="shared" si="125"/>
        <v>0.2</v>
      </c>
      <c r="CO95" s="26">
        <f t="shared" si="125"/>
        <v>0.1</v>
      </c>
      <c r="CP95" s="26">
        <f t="shared" si="125"/>
        <v>2.5000000000000001E-2</v>
      </c>
      <c r="CQ95" s="26">
        <f t="shared" si="125"/>
        <v>2.5000000000000001E-2</v>
      </c>
      <c r="CR95" s="26">
        <f t="shared" si="125"/>
        <v>0</v>
      </c>
      <c r="CS95" s="26">
        <f t="shared" si="125"/>
        <v>0</v>
      </c>
      <c r="CT95" s="26">
        <f t="shared" si="125"/>
        <v>0</v>
      </c>
      <c r="CU95" s="26">
        <f t="shared" ref="CU95:DD104" si="126">SUMIFS($J$5:$J$76,$I$5:$I$76,CU$4,$H$5:$H$76,"&lt;="&amp;$AC95)</f>
        <v>1.5</v>
      </c>
      <c r="CV95" s="26">
        <f t="shared" si="126"/>
        <v>1.5</v>
      </c>
      <c r="CW95" s="26">
        <f t="shared" si="126"/>
        <v>1.5</v>
      </c>
      <c r="CX95" s="26">
        <f t="shared" si="126"/>
        <v>1.5</v>
      </c>
      <c r="CY95" s="26">
        <f t="shared" si="126"/>
        <v>1.5</v>
      </c>
      <c r="CZ95" s="26">
        <f t="shared" si="126"/>
        <v>0.05</v>
      </c>
      <c r="DA95" s="26">
        <f t="shared" si="126"/>
        <v>1</v>
      </c>
      <c r="DB95" s="26">
        <f t="shared" si="126"/>
        <v>1</v>
      </c>
      <c r="DC95" s="26">
        <f t="shared" si="126"/>
        <v>1</v>
      </c>
      <c r="DD95" s="26">
        <f t="shared" si="126"/>
        <v>1</v>
      </c>
      <c r="DE95" s="26">
        <f t="shared" ref="DE95:DP104" si="127">SUMIFS($J$5:$J$76,$I$5:$I$76,DE$4,$H$5:$H$76,"&lt;="&amp;$AC95)</f>
        <v>1</v>
      </c>
      <c r="DF95" s="26">
        <f t="shared" si="127"/>
        <v>0.2</v>
      </c>
      <c r="DG95" s="26">
        <f t="shared" si="127"/>
        <v>0.2</v>
      </c>
      <c r="DH95" s="26">
        <f t="shared" si="127"/>
        <v>0.2</v>
      </c>
      <c r="DI95" s="26">
        <f t="shared" si="127"/>
        <v>0.2</v>
      </c>
      <c r="DJ95" s="26">
        <f t="shared" si="127"/>
        <v>0.2</v>
      </c>
      <c r="DK95" s="26">
        <f t="shared" si="127"/>
        <v>0.1</v>
      </c>
      <c r="DL95" s="26">
        <f t="shared" si="127"/>
        <v>0.05</v>
      </c>
      <c r="DM95" s="26">
        <f t="shared" si="127"/>
        <v>0.05</v>
      </c>
      <c r="DN95" s="26">
        <f t="shared" si="127"/>
        <v>0.05</v>
      </c>
      <c r="DO95" s="26">
        <f t="shared" si="127"/>
        <v>0.05</v>
      </c>
      <c r="DP95" s="26">
        <f t="shared" si="127"/>
        <v>0.05</v>
      </c>
      <c r="DQ95" s="26">
        <f t="shared" ref="DQ95:DZ104" si="128">SUMIFS($J$5:$J$76,$I$5:$I$76,DQ$4,$H$5:$H$76,"&lt;="&amp;$AF95)</f>
        <v>1.5</v>
      </c>
      <c r="DR95" s="26">
        <f t="shared" si="128"/>
        <v>1.5</v>
      </c>
      <c r="DS95" s="26">
        <f t="shared" si="128"/>
        <v>1.5</v>
      </c>
      <c r="DT95" s="26">
        <f t="shared" si="128"/>
        <v>1.5</v>
      </c>
      <c r="DU95" s="26">
        <f t="shared" si="128"/>
        <v>1.5</v>
      </c>
      <c r="DV95" s="26">
        <f t="shared" si="128"/>
        <v>0.05</v>
      </c>
      <c r="DW95" s="26">
        <f t="shared" si="128"/>
        <v>1</v>
      </c>
      <c r="DX95" s="26">
        <f t="shared" si="128"/>
        <v>1</v>
      </c>
      <c r="DY95" s="26">
        <f t="shared" si="128"/>
        <v>1</v>
      </c>
      <c r="DZ95" s="26">
        <f t="shared" si="128"/>
        <v>1</v>
      </c>
      <c r="EA95" s="26">
        <f t="shared" ref="EA95:EL104" si="129">SUMIFS($J$5:$J$76,$I$5:$I$76,EA$4,$H$5:$H$76,"&lt;="&amp;$AF95)</f>
        <v>1</v>
      </c>
      <c r="EB95" s="26">
        <f t="shared" si="129"/>
        <v>0.2</v>
      </c>
      <c r="EC95" s="26">
        <f t="shared" si="129"/>
        <v>0.2</v>
      </c>
      <c r="ED95" s="26">
        <f t="shared" si="129"/>
        <v>0.2</v>
      </c>
      <c r="EE95" s="26">
        <f t="shared" si="129"/>
        <v>0.2</v>
      </c>
      <c r="EF95" s="26">
        <f t="shared" si="129"/>
        <v>0.2</v>
      </c>
      <c r="EG95" s="26">
        <f t="shared" si="129"/>
        <v>0.1</v>
      </c>
      <c r="EH95" s="26">
        <f t="shared" si="129"/>
        <v>0.05</v>
      </c>
      <c r="EI95" s="26">
        <f t="shared" si="129"/>
        <v>0.05</v>
      </c>
      <c r="EJ95" s="26">
        <f t="shared" si="129"/>
        <v>0.05</v>
      </c>
      <c r="EK95" s="26">
        <f t="shared" si="129"/>
        <v>2.5000000000000001E-2</v>
      </c>
      <c r="EL95" s="26">
        <f t="shared" si="129"/>
        <v>2.5000000000000001E-2</v>
      </c>
      <c r="EM95" s="26">
        <f t="shared" si="92"/>
        <v>223449</v>
      </c>
      <c r="EN95" s="26">
        <f t="shared" si="93"/>
        <v>269747</v>
      </c>
      <c r="EO95" s="26">
        <f t="shared" si="94"/>
        <v>361839</v>
      </c>
      <c r="EP95" s="26">
        <f t="shared" si="95"/>
        <v>615129</v>
      </c>
      <c r="EQ95" s="26">
        <f t="shared" si="96"/>
        <v>563435</v>
      </c>
    </row>
    <row r="96" spans="17:147">
      <c r="Q96" s="26">
        <v>92</v>
      </c>
      <c r="R96" s="26">
        <f>总纲!D96</f>
        <v>587.1335577584814</v>
      </c>
      <c r="S96" s="26">
        <f>求节点(将星点产出!$W$6:$W$44,将星点产出!$AO$6:$AO$44,星阵点亮!$Q96)</f>
        <v>453370.40036801202</v>
      </c>
      <c r="T96" s="26">
        <f t="shared" si="87"/>
        <v>42</v>
      </c>
      <c r="U96" s="26">
        <f>总纲!E96</f>
        <v>502.29275866238083</v>
      </c>
      <c r="V96" s="26">
        <f>求节点(将星点产出!$W$51:$W$89,将星点产出!$AO$51:$AO$89,星阵点亮!$Q96)</f>
        <v>557883.5596957563</v>
      </c>
      <c r="W96" s="26">
        <f t="shared" si="88"/>
        <v>46</v>
      </c>
      <c r="X96" s="26">
        <f>总纲!F96</f>
        <v>405.12215485335213</v>
      </c>
      <c r="Y96" s="26">
        <f>求节点(将星点产出!$W$96:$W$134,将星点产出!$AO$96:$AO$134,星阵点亮!$Q96)</f>
        <v>712837.32091332518</v>
      </c>
      <c r="Z96" s="26">
        <f t="shared" si="89"/>
        <v>51</v>
      </c>
      <c r="AA96" s="26">
        <f>总纲!G96</f>
        <v>291.57052478286187</v>
      </c>
      <c r="AB96" s="26">
        <f>求节点(将星点产出!$W$141:$W$179,将星点产出!$AO$141:$AO$179,星阵点亮!$Q96)</f>
        <v>1088659.2266021802</v>
      </c>
      <c r="AC96" s="26">
        <f t="shared" si="90"/>
        <v>61</v>
      </c>
      <c r="AD96" s="26">
        <f>总纲!H96</f>
        <v>157.64536025815227</v>
      </c>
      <c r="AE96" s="26">
        <f>求节点(将星点产出!$W$186:$W$224,将星点产出!$AO$186:$AO$224,星阵点亮!$Q96)</f>
        <v>986291.15594037122</v>
      </c>
      <c r="AF96" s="26">
        <f t="shared" si="91"/>
        <v>59</v>
      </c>
      <c r="AG96" s="26">
        <f t="shared" si="120"/>
        <v>1.5</v>
      </c>
      <c r="AH96" s="26">
        <f t="shared" si="120"/>
        <v>1.5</v>
      </c>
      <c r="AI96" s="26">
        <f t="shared" si="120"/>
        <v>1.5</v>
      </c>
      <c r="AJ96" s="26">
        <f t="shared" si="120"/>
        <v>1.5</v>
      </c>
      <c r="AK96" s="26">
        <f t="shared" si="120"/>
        <v>1.5</v>
      </c>
      <c r="AL96" s="26">
        <f t="shared" si="120"/>
        <v>0</v>
      </c>
      <c r="AM96" s="26">
        <f t="shared" si="120"/>
        <v>1</v>
      </c>
      <c r="AN96" s="26">
        <f t="shared" si="120"/>
        <v>1</v>
      </c>
      <c r="AO96" s="26">
        <f t="shared" si="120"/>
        <v>1</v>
      </c>
      <c r="AP96" s="26">
        <f t="shared" si="120"/>
        <v>1</v>
      </c>
      <c r="AQ96" s="26">
        <f t="shared" si="121"/>
        <v>0</v>
      </c>
      <c r="AR96" s="26">
        <f t="shared" si="121"/>
        <v>0.2</v>
      </c>
      <c r="AS96" s="26">
        <f t="shared" si="121"/>
        <v>0.2</v>
      </c>
      <c r="AT96" s="26">
        <f t="shared" si="121"/>
        <v>0.2</v>
      </c>
      <c r="AU96" s="26">
        <f t="shared" si="121"/>
        <v>0.2</v>
      </c>
      <c r="AV96" s="26">
        <f t="shared" si="121"/>
        <v>0.2</v>
      </c>
      <c r="AW96" s="26">
        <f t="shared" si="121"/>
        <v>0</v>
      </c>
      <c r="AX96" s="26">
        <f t="shared" si="121"/>
        <v>0</v>
      </c>
      <c r="AY96" s="26">
        <f t="shared" si="121"/>
        <v>0</v>
      </c>
      <c r="AZ96" s="26">
        <f t="shared" si="121"/>
        <v>0</v>
      </c>
      <c r="BA96" s="26">
        <f t="shared" si="121"/>
        <v>0</v>
      </c>
      <c r="BB96" s="26">
        <f t="shared" si="121"/>
        <v>0</v>
      </c>
      <c r="BC96" s="26">
        <f t="shared" si="122"/>
        <v>1.5</v>
      </c>
      <c r="BD96" s="26">
        <f t="shared" si="122"/>
        <v>1.5</v>
      </c>
      <c r="BE96" s="26">
        <f t="shared" si="122"/>
        <v>1.5</v>
      </c>
      <c r="BF96" s="26">
        <f t="shared" si="122"/>
        <v>1.5</v>
      </c>
      <c r="BG96" s="26">
        <f t="shared" si="122"/>
        <v>1.5</v>
      </c>
      <c r="BH96" s="26">
        <f t="shared" si="122"/>
        <v>0</v>
      </c>
      <c r="BI96" s="26">
        <f t="shared" si="122"/>
        <v>1</v>
      </c>
      <c r="BJ96" s="26">
        <f t="shared" si="122"/>
        <v>1</v>
      </c>
      <c r="BK96" s="26">
        <f t="shared" si="122"/>
        <v>1</v>
      </c>
      <c r="BL96" s="26">
        <f t="shared" si="122"/>
        <v>1</v>
      </c>
      <c r="BM96" s="26">
        <f t="shared" si="123"/>
        <v>0.6</v>
      </c>
      <c r="BN96" s="26">
        <f t="shared" si="123"/>
        <v>0.2</v>
      </c>
      <c r="BO96" s="26">
        <f t="shared" si="123"/>
        <v>0.2</v>
      </c>
      <c r="BP96" s="26">
        <f t="shared" si="123"/>
        <v>0.2</v>
      </c>
      <c r="BQ96" s="26">
        <f t="shared" si="123"/>
        <v>0.2</v>
      </c>
      <c r="BR96" s="26">
        <f t="shared" si="123"/>
        <v>0.2</v>
      </c>
      <c r="BS96" s="26">
        <f t="shared" si="123"/>
        <v>0.06</v>
      </c>
      <c r="BT96" s="26">
        <f t="shared" si="123"/>
        <v>0</v>
      </c>
      <c r="BU96" s="26">
        <f t="shared" si="123"/>
        <v>0</v>
      </c>
      <c r="BV96" s="26">
        <f t="shared" si="123"/>
        <v>0</v>
      </c>
      <c r="BW96" s="26">
        <f t="shared" si="123"/>
        <v>0</v>
      </c>
      <c r="BX96" s="26">
        <f t="shared" si="123"/>
        <v>0</v>
      </c>
      <c r="BY96" s="26">
        <f t="shared" si="124"/>
        <v>1.5</v>
      </c>
      <c r="BZ96" s="26">
        <f t="shared" si="124"/>
        <v>1.5</v>
      </c>
      <c r="CA96" s="26">
        <f t="shared" si="124"/>
        <v>1.5</v>
      </c>
      <c r="CB96" s="26">
        <f t="shared" si="124"/>
        <v>1.5</v>
      </c>
      <c r="CC96" s="26">
        <f t="shared" si="124"/>
        <v>1.5</v>
      </c>
      <c r="CD96" s="26">
        <f t="shared" si="124"/>
        <v>2.5000000000000001E-2</v>
      </c>
      <c r="CE96" s="26">
        <f t="shared" si="124"/>
        <v>1</v>
      </c>
      <c r="CF96" s="26">
        <f t="shared" si="124"/>
        <v>1</v>
      </c>
      <c r="CG96" s="26">
        <f t="shared" si="124"/>
        <v>1</v>
      </c>
      <c r="CH96" s="26">
        <f t="shared" si="124"/>
        <v>1</v>
      </c>
      <c r="CI96" s="26">
        <f t="shared" si="125"/>
        <v>1</v>
      </c>
      <c r="CJ96" s="26">
        <f t="shared" si="125"/>
        <v>0.2</v>
      </c>
      <c r="CK96" s="26">
        <f t="shared" si="125"/>
        <v>0.2</v>
      </c>
      <c r="CL96" s="26">
        <f t="shared" si="125"/>
        <v>0.2</v>
      </c>
      <c r="CM96" s="26">
        <f t="shared" si="125"/>
        <v>0.2</v>
      </c>
      <c r="CN96" s="26">
        <f t="shared" si="125"/>
        <v>0.2</v>
      </c>
      <c r="CO96" s="26">
        <f t="shared" si="125"/>
        <v>0.1</v>
      </c>
      <c r="CP96" s="26">
        <f t="shared" si="125"/>
        <v>2.5000000000000001E-2</v>
      </c>
      <c r="CQ96" s="26">
        <f t="shared" si="125"/>
        <v>2.5000000000000001E-2</v>
      </c>
      <c r="CR96" s="26">
        <f t="shared" si="125"/>
        <v>0</v>
      </c>
      <c r="CS96" s="26">
        <f t="shared" si="125"/>
        <v>0</v>
      </c>
      <c r="CT96" s="26">
        <f t="shared" si="125"/>
        <v>0</v>
      </c>
      <c r="CU96" s="26">
        <f t="shared" si="126"/>
        <v>1.5</v>
      </c>
      <c r="CV96" s="26">
        <f t="shared" si="126"/>
        <v>1.5</v>
      </c>
      <c r="CW96" s="26">
        <f t="shared" si="126"/>
        <v>1.5</v>
      </c>
      <c r="CX96" s="26">
        <f t="shared" si="126"/>
        <v>1.5</v>
      </c>
      <c r="CY96" s="26">
        <f t="shared" si="126"/>
        <v>1.5</v>
      </c>
      <c r="CZ96" s="26">
        <f t="shared" si="126"/>
        <v>0.05</v>
      </c>
      <c r="DA96" s="26">
        <f t="shared" si="126"/>
        <v>1</v>
      </c>
      <c r="DB96" s="26">
        <f t="shared" si="126"/>
        <v>1</v>
      </c>
      <c r="DC96" s="26">
        <f t="shared" si="126"/>
        <v>1</v>
      </c>
      <c r="DD96" s="26">
        <f t="shared" si="126"/>
        <v>1</v>
      </c>
      <c r="DE96" s="26">
        <f t="shared" si="127"/>
        <v>1</v>
      </c>
      <c r="DF96" s="26">
        <f t="shared" si="127"/>
        <v>0.2</v>
      </c>
      <c r="DG96" s="26">
        <f t="shared" si="127"/>
        <v>0.2</v>
      </c>
      <c r="DH96" s="26">
        <f t="shared" si="127"/>
        <v>0.2</v>
      </c>
      <c r="DI96" s="26">
        <f t="shared" si="127"/>
        <v>0.2</v>
      </c>
      <c r="DJ96" s="26">
        <f t="shared" si="127"/>
        <v>0.2</v>
      </c>
      <c r="DK96" s="26">
        <f t="shared" si="127"/>
        <v>0.1</v>
      </c>
      <c r="DL96" s="26">
        <f t="shared" si="127"/>
        <v>7.5000000000000011E-2</v>
      </c>
      <c r="DM96" s="26">
        <f t="shared" si="127"/>
        <v>0.05</v>
      </c>
      <c r="DN96" s="26">
        <f t="shared" si="127"/>
        <v>0.05</v>
      </c>
      <c r="DO96" s="26">
        <f t="shared" si="127"/>
        <v>0.05</v>
      </c>
      <c r="DP96" s="26">
        <f t="shared" si="127"/>
        <v>0.05</v>
      </c>
      <c r="DQ96" s="26">
        <f t="shared" si="128"/>
        <v>1.5</v>
      </c>
      <c r="DR96" s="26">
        <f t="shared" si="128"/>
        <v>1.5</v>
      </c>
      <c r="DS96" s="26">
        <f t="shared" si="128"/>
        <v>1.5</v>
      </c>
      <c r="DT96" s="26">
        <f t="shared" si="128"/>
        <v>1.5</v>
      </c>
      <c r="DU96" s="26">
        <f t="shared" si="128"/>
        <v>1.5</v>
      </c>
      <c r="DV96" s="26">
        <f t="shared" si="128"/>
        <v>0.05</v>
      </c>
      <c r="DW96" s="26">
        <f t="shared" si="128"/>
        <v>1</v>
      </c>
      <c r="DX96" s="26">
        <f t="shared" si="128"/>
        <v>1</v>
      </c>
      <c r="DY96" s="26">
        <f t="shared" si="128"/>
        <v>1</v>
      </c>
      <c r="DZ96" s="26">
        <f t="shared" si="128"/>
        <v>1</v>
      </c>
      <c r="EA96" s="26">
        <f t="shared" si="129"/>
        <v>1</v>
      </c>
      <c r="EB96" s="26">
        <f t="shared" si="129"/>
        <v>0.2</v>
      </c>
      <c r="EC96" s="26">
        <f t="shared" si="129"/>
        <v>0.2</v>
      </c>
      <c r="ED96" s="26">
        <f t="shared" si="129"/>
        <v>0.2</v>
      </c>
      <c r="EE96" s="26">
        <f t="shared" si="129"/>
        <v>0.2</v>
      </c>
      <c r="EF96" s="26">
        <f t="shared" si="129"/>
        <v>0.2</v>
      </c>
      <c r="EG96" s="26">
        <f t="shared" si="129"/>
        <v>0.1</v>
      </c>
      <c r="EH96" s="26">
        <f t="shared" si="129"/>
        <v>0.05</v>
      </c>
      <c r="EI96" s="26">
        <f t="shared" si="129"/>
        <v>0.05</v>
      </c>
      <c r="EJ96" s="26">
        <f t="shared" si="129"/>
        <v>0.05</v>
      </c>
      <c r="EK96" s="26">
        <f t="shared" si="129"/>
        <v>0.05</v>
      </c>
      <c r="EL96" s="26">
        <f t="shared" si="129"/>
        <v>2.5000000000000001E-2</v>
      </c>
      <c r="EM96" s="26">
        <f t="shared" si="92"/>
        <v>231578</v>
      </c>
      <c r="EN96" s="26">
        <f t="shared" si="93"/>
        <v>284817</v>
      </c>
      <c r="EO96" s="26">
        <f t="shared" si="94"/>
        <v>386625</v>
      </c>
      <c r="EP96" s="26">
        <f t="shared" si="95"/>
        <v>641051</v>
      </c>
      <c r="EQ96" s="26">
        <f t="shared" si="96"/>
        <v>589257</v>
      </c>
    </row>
    <row r="97" spans="17:147">
      <c r="Q97" s="26">
        <v>93</v>
      </c>
      <c r="R97" s="26">
        <f>总纲!D97</f>
        <v>629.34593963259704</v>
      </c>
      <c r="S97" s="26">
        <f>求节点(将星点产出!$W$6:$W$44,将星点产出!$AO$6:$AO$44,星阵点亮!$Q97)</f>
        <v>472831.18230221333</v>
      </c>
      <c r="T97" s="26">
        <f t="shared" si="87"/>
        <v>42</v>
      </c>
      <c r="U97" s="26">
        <f>总纲!E97</f>
        <v>538.34251676172357</v>
      </c>
      <c r="V97" s="26">
        <f>求节点(将星点产出!$W$51:$W$89,将星点产出!$AO$51:$AO$89,星阵点亮!$Q97)</f>
        <v>582735.00062719162</v>
      </c>
      <c r="W97" s="26">
        <f t="shared" si="88"/>
        <v>47</v>
      </c>
      <c r="X97" s="26">
        <f>总纲!F97</f>
        <v>433.68228700082267</v>
      </c>
      <c r="Y97" s="26">
        <f>求节点(将星点产出!$W$96:$W$134,将星点产出!$AO$96:$AO$134,星阵点亮!$Q97)</f>
        <v>741522.27775010199</v>
      </c>
      <c r="Z97" s="26">
        <f t="shared" si="89"/>
        <v>52</v>
      </c>
      <c r="AA97" s="26">
        <f>总纲!G97</f>
        <v>311.52624011813555</v>
      </c>
      <c r="AB97" s="26">
        <f>求节点(将星点产出!$W$141:$W$179,将星点产出!$AO$141:$AO$179,星阵点亮!$Q97)</f>
        <v>1142889.8465092222</v>
      </c>
      <c r="AC97" s="26">
        <f t="shared" si="90"/>
        <v>62</v>
      </c>
      <c r="AD97" s="26">
        <f>总纲!H97</f>
        <v>168.35003885171972</v>
      </c>
      <c r="AE97" s="26">
        <f>求节点(将星点产出!$W$186:$W$224,将星点产出!$AO$186:$AO$224,星阵点亮!$Q97)</f>
        <v>1023406.9510720536</v>
      </c>
      <c r="AF97" s="26">
        <f t="shared" si="91"/>
        <v>60</v>
      </c>
      <c r="AG97" s="26">
        <f t="shared" si="120"/>
        <v>1.5</v>
      </c>
      <c r="AH97" s="26">
        <f t="shared" si="120"/>
        <v>1.5</v>
      </c>
      <c r="AI97" s="26">
        <f t="shared" si="120"/>
        <v>1.5</v>
      </c>
      <c r="AJ97" s="26">
        <f t="shared" si="120"/>
        <v>1.5</v>
      </c>
      <c r="AK97" s="26">
        <f t="shared" si="120"/>
        <v>1.5</v>
      </c>
      <c r="AL97" s="26">
        <f t="shared" si="120"/>
        <v>0</v>
      </c>
      <c r="AM97" s="26">
        <f t="shared" si="120"/>
        <v>1</v>
      </c>
      <c r="AN97" s="26">
        <f t="shared" si="120"/>
        <v>1</v>
      </c>
      <c r="AO97" s="26">
        <f t="shared" si="120"/>
        <v>1</v>
      </c>
      <c r="AP97" s="26">
        <f t="shared" si="120"/>
        <v>1</v>
      </c>
      <c r="AQ97" s="26">
        <f t="shared" si="121"/>
        <v>0</v>
      </c>
      <c r="AR97" s="26">
        <f t="shared" si="121"/>
        <v>0.2</v>
      </c>
      <c r="AS97" s="26">
        <f t="shared" si="121"/>
        <v>0.2</v>
      </c>
      <c r="AT97" s="26">
        <f t="shared" si="121"/>
        <v>0.2</v>
      </c>
      <c r="AU97" s="26">
        <f t="shared" si="121"/>
        <v>0.2</v>
      </c>
      <c r="AV97" s="26">
        <f t="shared" si="121"/>
        <v>0.2</v>
      </c>
      <c r="AW97" s="26">
        <f t="shared" si="121"/>
        <v>0</v>
      </c>
      <c r="AX97" s="26">
        <f t="shared" si="121"/>
        <v>0</v>
      </c>
      <c r="AY97" s="26">
        <f t="shared" si="121"/>
        <v>0</v>
      </c>
      <c r="AZ97" s="26">
        <f t="shared" si="121"/>
        <v>0</v>
      </c>
      <c r="BA97" s="26">
        <f t="shared" si="121"/>
        <v>0</v>
      </c>
      <c r="BB97" s="26">
        <f t="shared" si="121"/>
        <v>0</v>
      </c>
      <c r="BC97" s="26">
        <f t="shared" si="122"/>
        <v>1.5</v>
      </c>
      <c r="BD97" s="26">
        <f t="shared" si="122"/>
        <v>1.5</v>
      </c>
      <c r="BE97" s="26">
        <f t="shared" si="122"/>
        <v>1.5</v>
      </c>
      <c r="BF97" s="26">
        <f t="shared" si="122"/>
        <v>1.5</v>
      </c>
      <c r="BG97" s="26">
        <f t="shared" si="122"/>
        <v>1.5</v>
      </c>
      <c r="BH97" s="26">
        <f t="shared" si="122"/>
        <v>0</v>
      </c>
      <c r="BI97" s="26">
        <f t="shared" si="122"/>
        <v>1</v>
      </c>
      <c r="BJ97" s="26">
        <f t="shared" si="122"/>
        <v>1</v>
      </c>
      <c r="BK97" s="26">
        <f t="shared" si="122"/>
        <v>1</v>
      </c>
      <c r="BL97" s="26">
        <f t="shared" si="122"/>
        <v>1</v>
      </c>
      <c r="BM97" s="26">
        <f t="shared" si="123"/>
        <v>1</v>
      </c>
      <c r="BN97" s="26">
        <f t="shared" si="123"/>
        <v>0.2</v>
      </c>
      <c r="BO97" s="26">
        <f t="shared" si="123"/>
        <v>0.2</v>
      </c>
      <c r="BP97" s="26">
        <f t="shared" si="123"/>
        <v>0.2</v>
      </c>
      <c r="BQ97" s="26">
        <f t="shared" si="123"/>
        <v>0.2</v>
      </c>
      <c r="BR97" s="26">
        <f t="shared" si="123"/>
        <v>0.2</v>
      </c>
      <c r="BS97" s="26">
        <f t="shared" si="123"/>
        <v>0.06</v>
      </c>
      <c r="BT97" s="26">
        <f t="shared" si="123"/>
        <v>0</v>
      </c>
      <c r="BU97" s="26">
        <f t="shared" si="123"/>
        <v>0</v>
      </c>
      <c r="BV97" s="26">
        <f t="shared" si="123"/>
        <v>0</v>
      </c>
      <c r="BW97" s="26">
        <f t="shared" si="123"/>
        <v>0</v>
      </c>
      <c r="BX97" s="26">
        <f t="shared" si="123"/>
        <v>0</v>
      </c>
      <c r="BY97" s="26">
        <f t="shared" si="124"/>
        <v>1.5</v>
      </c>
      <c r="BZ97" s="26">
        <f t="shared" si="124"/>
        <v>1.5</v>
      </c>
      <c r="CA97" s="26">
        <f t="shared" si="124"/>
        <v>1.5</v>
      </c>
      <c r="CB97" s="26">
        <f t="shared" si="124"/>
        <v>1.5</v>
      </c>
      <c r="CC97" s="26">
        <f t="shared" si="124"/>
        <v>1.5</v>
      </c>
      <c r="CD97" s="26">
        <f t="shared" si="124"/>
        <v>2.5000000000000001E-2</v>
      </c>
      <c r="CE97" s="26">
        <f t="shared" si="124"/>
        <v>1</v>
      </c>
      <c r="CF97" s="26">
        <f t="shared" si="124"/>
        <v>1</v>
      </c>
      <c r="CG97" s="26">
        <f t="shared" si="124"/>
        <v>1</v>
      </c>
      <c r="CH97" s="26">
        <f t="shared" si="124"/>
        <v>1</v>
      </c>
      <c r="CI97" s="26">
        <f t="shared" si="125"/>
        <v>1</v>
      </c>
      <c r="CJ97" s="26">
        <f t="shared" si="125"/>
        <v>0.2</v>
      </c>
      <c r="CK97" s="26">
        <f t="shared" si="125"/>
        <v>0.2</v>
      </c>
      <c r="CL97" s="26">
        <f t="shared" si="125"/>
        <v>0.2</v>
      </c>
      <c r="CM97" s="26">
        <f t="shared" si="125"/>
        <v>0.2</v>
      </c>
      <c r="CN97" s="26">
        <f t="shared" si="125"/>
        <v>0.2</v>
      </c>
      <c r="CO97" s="26">
        <f t="shared" si="125"/>
        <v>0.1</v>
      </c>
      <c r="CP97" s="26">
        <f t="shared" si="125"/>
        <v>0.05</v>
      </c>
      <c r="CQ97" s="26">
        <f t="shared" si="125"/>
        <v>2.5000000000000001E-2</v>
      </c>
      <c r="CR97" s="26">
        <f t="shared" si="125"/>
        <v>0</v>
      </c>
      <c r="CS97" s="26">
        <f t="shared" si="125"/>
        <v>0</v>
      </c>
      <c r="CT97" s="26">
        <f t="shared" si="125"/>
        <v>0</v>
      </c>
      <c r="CU97" s="26">
        <f t="shared" si="126"/>
        <v>1.5</v>
      </c>
      <c r="CV97" s="26">
        <f t="shared" si="126"/>
        <v>1.5</v>
      </c>
      <c r="CW97" s="26">
        <f t="shared" si="126"/>
        <v>1.5</v>
      </c>
      <c r="CX97" s="26">
        <f t="shared" si="126"/>
        <v>1.5</v>
      </c>
      <c r="CY97" s="26">
        <f t="shared" si="126"/>
        <v>1.5</v>
      </c>
      <c r="CZ97" s="26">
        <f t="shared" si="126"/>
        <v>0.05</v>
      </c>
      <c r="DA97" s="26">
        <f t="shared" si="126"/>
        <v>1</v>
      </c>
      <c r="DB97" s="26">
        <f t="shared" si="126"/>
        <v>1</v>
      </c>
      <c r="DC97" s="26">
        <f t="shared" si="126"/>
        <v>1</v>
      </c>
      <c r="DD97" s="26">
        <f t="shared" si="126"/>
        <v>1</v>
      </c>
      <c r="DE97" s="26">
        <f t="shared" si="127"/>
        <v>1</v>
      </c>
      <c r="DF97" s="26">
        <f t="shared" si="127"/>
        <v>0.2</v>
      </c>
      <c r="DG97" s="26">
        <f t="shared" si="127"/>
        <v>0.2</v>
      </c>
      <c r="DH97" s="26">
        <f t="shared" si="127"/>
        <v>0.2</v>
      </c>
      <c r="DI97" s="26">
        <f t="shared" si="127"/>
        <v>0.2</v>
      </c>
      <c r="DJ97" s="26">
        <f t="shared" si="127"/>
        <v>0.2</v>
      </c>
      <c r="DK97" s="26">
        <f t="shared" si="127"/>
        <v>0.1</v>
      </c>
      <c r="DL97" s="26">
        <f t="shared" si="127"/>
        <v>7.5000000000000011E-2</v>
      </c>
      <c r="DM97" s="26">
        <f t="shared" si="127"/>
        <v>7.5000000000000011E-2</v>
      </c>
      <c r="DN97" s="26">
        <f t="shared" si="127"/>
        <v>0.05</v>
      </c>
      <c r="DO97" s="26">
        <f t="shared" si="127"/>
        <v>0.05</v>
      </c>
      <c r="DP97" s="26">
        <f t="shared" si="127"/>
        <v>0.05</v>
      </c>
      <c r="DQ97" s="26">
        <f t="shared" si="128"/>
        <v>1.5</v>
      </c>
      <c r="DR97" s="26">
        <f t="shared" si="128"/>
        <v>1.5</v>
      </c>
      <c r="DS97" s="26">
        <f t="shared" si="128"/>
        <v>1.5</v>
      </c>
      <c r="DT97" s="26">
        <f t="shared" si="128"/>
        <v>1.5</v>
      </c>
      <c r="DU97" s="26">
        <f t="shared" si="128"/>
        <v>1.5</v>
      </c>
      <c r="DV97" s="26">
        <f t="shared" si="128"/>
        <v>0.05</v>
      </c>
      <c r="DW97" s="26">
        <f t="shared" si="128"/>
        <v>1</v>
      </c>
      <c r="DX97" s="26">
        <f t="shared" si="128"/>
        <v>1</v>
      </c>
      <c r="DY97" s="26">
        <f t="shared" si="128"/>
        <v>1</v>
      </c>
      <c r="DZ97" s="26">
        <f t="shared" si="128"/>
        <v>1</v>
      </c>
      <c r="EA97" s="26">
        <f t="shared" si="129"/>
        <v>1</v>
      </c>
      <c r="EB97" s="26">
        <f t="shared" si="129"/>
        <v>0.2</v>
      </c>
      <c r="EC97" s="26">
        <f t="shared" si="129"/>
        <v>0.2</v>
      </c>
      <c r="ED97" s="26">
        <f t="shared" si="129"/>
        <v>0.2</v>
      </c>
      <c r="EE97" s="26">
        <f t="shared" si="129"/>
        <v>0.2</v>
      </c>
      <c r="EF97" s="26">
        <f t="shared" si="129"/>
        <v>0.2</v>
      </c>
      <c r="EG97" s="26">
        <f t="shared" si="129"/>
        <v>0.1</v>
      </c>
      <c r="EH97" s="26">
        <f t="shared" si="129"/>
        <v>0.05</v>
      </c>
      <c r="EI97" s="26">
        <f t="shared" si="129"/>
        <v>0.05</v>
      </c>
      <c r="EJ97" s="26">
        <f t="shared" si="129"/>
        <v>0.05</v>
      </c>
      <c r="EK97" s="26">
        <f t="shared" si="129"/>
        <v>0.05</v>
      </c>
      <c r="EL97" s="26">
        <f t="shared" si="129"/>
        <v>0.05</v>
      </c>
      <c r="EM97" s="26">
        <f t="shared" si="92"/>
        <v>231578</v>
      </c>
      <c r="EN97" s="26">
        <f t="shared" si="93"/>
        <v>299937</v>
      </c>
      <c r="EO97" s="26">
        <f t="shared" si="94"/>
        <v>411461</v>
      </c>
      <c r="EP97" s="26">
        <f t="shared" si="95"/>
        <v>667023</v>
      </c>
      <c r="EQ97" s="26">
        <f t="shared" si="96"/>
        <v>615129</v>
      </c>
    </row>
    <row r="98" spans="17:147">
      <c r="Q98" s="26">
        <v>94</v>
      </c>
      <c r="R98" s="26">
        <f>总纲!D98</f>
        <v>674.58805031572183</v>
      </c>
      <c r="S98" s="26">
        <f>求节点(将星点产出!$W$6:$W$44,将星点产出!$AO$6:$AO$44,星阵点亮!$Q98)</f>
        <v>496764.70522755693</v>
      </c>
      <c r="T98" s="26">
        <f t="shared" si="87"/>
        <v>43</v>
      </c>
      <c r="U98" s="26">
        <f>总纲!E98</f>
        <v>576.30057138472114</v>
      </c>
      <c r="V98" s="26">
        <f>求节点(将星点产出!$W$51:$W$89,将星点产出!$AO$51:$AO$89,星阵点亮!$Q98)</f>
        <v>610623.54837933264</v>
      </c>
      <c r="W98" s="26">
        <f t="shared" si="88"/>
        <v>48</v>
      </c>
      <c r="X98" s="26">
        <f>总纲!F98</f>
        <v>464.04911981218504</v>
      </c>
      <c r="Y98" s="26">
        <f>求节点(将星点产出!$W$96:$W$134,将星点产出!$AO$96:$AO$134,星阵点亮!$Q98)</f>
        <v>767337.51371115772</v>
      </c>
      <c r="Z98" s="26">
        <f t="shared" si="89"/>
        <v>53</v>
      </c>
      <c r="AA98" s="26">
        <f>总纲!G98</f>
        <v>332.70682641571403</v>
      </c>
      <c r="AB98" s="26">
        <f>求节点(将星点产出!$W$141:$W$179,将星点产出!$AO$141:$AO$179,星阵点亮!$Q98)</f>
        <v>1187776.8465032554</v>
      </c>
      <c r="AC98" s="26">
        <f t="shared" si="90"/>
        <v>63</v>
      </c>
      <c r="AD98" s="26">
        <f>总纲!H98</f>
        <v>179.6427977990767</v>
      </c>
      <c r="AE98" s="26">
        <f>求节点(将星点产出!$W$186:$W$224,将星点产出!$AO$186:$AO$224,星阵点亮!$Q98)</f>
        <v>1058129.4020972329</v>
      </c>
      <c r="AF98" s="26">
        <f t="shared" si="91"/>
        <v>60</v>
      </c>
      <c r="AG98" s="26">
        <f t="shared" si="120"/>
        <v>1.5</v>
      </c>
      <c r="AH98" s="26">
        <f t="shared" si="120"/>
        <v>1.5</v>
      </c>
      <c r="AI98" s="26">
        <f t="shared" si="120"/>
        <v>1.5</v>
      </c>
      <c r="AJ98" s="26">
        <f t="shared" si="120"/>
        <v>1.5</v>
      </c>
      <c r="AK98" s="26">
        <f t="shared" si="120"/>
        <v>1.5</v>
      </c>
      <c r="AL98" s="26">
        <f t="shared" si="120"/>
        <v>0</v>
      </c>
      <c r="AM98" s="26">
        <f t="shared" si="120"/>
        <v>1</v>
      </c>
      <c r="AN98" s="26">
        <f t="shared" si="120"/>
        <v>1</v>
      </c>
      <c r="AO98" s="26">
        <f t="shared" si="120"/>
        <v>1</v>
      </c>
      <c r="AP98" s="26">
        <f t="shared" si="120"/>
        <v>1</v>
      </c>
      <c r="AQ98" s="26">
        <f t="shared" si="121"/>
        <v>0.3</v>
      </c>
      <c r="AR98" s="26">
        <f t="shared" si="121"/>
        <v>0.2</v>
      </c>
      <c r="AS98" s="26">
        <f t="shared" si="121"/>
        <v>0.2</v>
      </c>
      <c r="AT98" s="26">
        <f t="shared" si="121"/>
        <v>0.2</v>
      </c>
      <c r="AU98" s="26">
        <f t="shared" si="121"/>
        <v>0.2</v>
      </c>
      <c r="AV98" s="26">
        <f t="shared" si="121"/>
        <v>0.2</v>
      </c>
      <c r="AW98" s="26">
        <f t="shared" si="121"/>
        <v>0</v>
      </c>
      <c r="AX98" s="26">
        <f t="shared" si="121"/>
        <v>0</v>
      </c>
      <c r="AY98" s="26">
        <f t="shared" si="121"/>
        <v>0</v>
      </c>
      <c r="AZ98" s="26">
        <f t="shared" si="121"/>
        <v>0</v>
      </c>
      <c r="BA98" s="26">
        <f t="shared" si="121"/>
        <v>0</v>
      </c>
      <c r="BB98" s="26">
        <f t="shared" si="121"/>
        <v>0</v>
      </c>
      <c r="BC98" s="26">
        <f t="shared" si="122"/>
        <v>1.5</v>
      </c>
      <c r="BD98" s="26">
        <f t="shared" si="122"/>
        <v>1.5</v>
      </c>
      <c r="BE98" s="26">
        <f t="shared" si="122"/>
        <v>1.5</v>
      </c>
      <c r="BF98" s="26">
        <f t="shared" si="122"/>
        <v>1.5</v>
      </c>
      <c r="BG98" s="26">
        <f t="shared" si="122"/>
        <v>1.5</v>
      </c>
      <c r="BH98" s="26">
        <f t="shared" si="122"/>
        <v>0</v>
      </c>
      <c r="BI98" s="26">
        <f t="shared" si="122"/>
        <v>1</v>
      </c>
      <c r="BJ98" s="26">
        <f t="shared" si="122"/>
        <v>1</v>
      </c>
      <c r="BK98" s="26">
        <f t="shared" si="122"/>
        <v>1</v>
      </c>
      <c r="BL98" s="26">
        <f t="shared" si="122"/>
        <v>1</v>
      </c>
      <c r="BM98" s="26">
        <f t="shared" si="123"/>
        <v>1</v>
      </c>
      <c r="BN98" s="26">
        <f t="shared" si="123"/>
        <v>0.2</v>
      </c>
      <c r="BO98" s="26">
        <f t="shared" si="123"/>
        <v>0.2</v>
      </c>
      <c r="BP98" s="26">
        <f t="shared" si="123"/>
        <v>0.2</v>
      </c>
      <c r="BQ98" s="26">
        <f t="shared" si="123"/>
        <v>0.2</v>
      </c>
      <c r="BR98" s="26">
        <f t="shared" si="123"/>
        <v>0.2</v>
      </c>
      <c r="BS98" s="26">
        <f t="shared" si="123"/>
        <v>0.1</v>
      </c>
      <c r="BT98" s="26">
        <f t="shared" si="123"/>
        <v>0</v>
      </c>
      <c r="BU98" s="26">
        <f t="shared" si="123"/>
        <v>0</v>
      </c>
      <c r="BV98" s="26">
        <f t="shared" si="123"/>
        <v>0</v>
      </c>
      <c r="BW98" s="26">
        <f t="shared" si="123"/>
        <v>0</v>
      </c>
      <c r="BX98" s="26">
        <f t="shared" si="123"/>
        <v>0</v>
      </c>
      <c r="BY98" s="26">
        <f t="shared" si="124"/>
        <v>1.5</v>
      </c>
      <c r="BZ98" s="26">
        <f t="shared" si="124"/>
        <v>1.5</v>
      </c>
      <c r="CA98" s="26">
        <f t="shared" si="124"/>
        <v>1.5</v>
      </c>
      <c r="CB98" s="26">
        <f t="shared" si="124"/>
        <v>1.5</v>
      </c>
      <c r="CC98" s="26">
        <f t="shared" si="124"/>
        <v>1.5</v>
      </c>
      <c r="CD98" s="26">
        <f t="shared" si="124"/>
        <v>2.5000000000000001E-2</v>
      </c>
      <c r="CE98" s="26">
        <f t="shared" si="124"/>
        <v>1</v>
      </c>
      <c r="CF98" s="26">
        <f t="shared" si="124"/>
        <v>1</v>
      </c>
      <c r="CG98" s="26">
        <f t="shared" si="124"/>
        <v>1</v>
      </c>
      <c r="CH98" s="26">
        <f t="shared" si="124"/>
        <v>1</v>
      </c>
      <c r="CI98" s="26">
        <f t="shared" si="125"/>
        <v>1</v>
      </c>
      <c r="CJ98" s="26">
        <f t="shared" si="125"/>
        <v>0.2</v>
      </c>
      <c r="CK98" s="26">
        <f t="shared" si="125"/>
        <v>0.2</v>
      </c>
      <c r="CL98" s="26">
        <f t="shared" si="125"/>
        <v>0.2</v>
      </c>
      <c r="CM98" s="26">
        <f t="shared" si="125"/>
        <v>0.2</v>
      </c>
      <c r="CN98" s="26">
        <f t="shared" si="125"/>
        <v>0.2</v>
      </c>
      <c r="CO98" s="26">
        <f t="shared" si="125"/>
        <v>0.1</v>
      </c>
      <c r="CP98" s="26">
        <f t="shared" si="125"/>
        <v>0.05</v>
      </c>
      <c r="CQ98" s="26">
        <f t="shared" si="125"/>
        <v>0.05</v>
      </c>
      <c r="CR98" s="26">
        <f t="shared" si="125"/>
        <v>0</v>
      </c>
      <c r="CS98" s="26">
        <f t="shared" si="125"/>
        <v>0</v>
      </c>
      <c r="CT98" s="26">
        <f t="shared" si="125"/>
        <v>0</v>
      </c>
      <c r="CU98" s="26">
        <f t="shared" si="126"/>
        <v>1.5</v>
      </c>
      <c r="CV98" s="26">
        <f t="shared" si="126"/>
        <v>1.5</v>
      </c>
      <c r="CW98" s="26">
        <f t="shared" si="126"/>
        <v>1.5</v>
      </c>
      <c r="CX98" s="26">
        <f t="shared" si="126"/>
        <v>1.5</v>
      </c>
      <c r="CY98" s="26">
        <f t="shared" si="126"/>
        <v>1.5</v>
      </c>
      <c r="CZ98" s="26">
        <f t="shared" si="126"/>
        <v>7.5000000000000011E-2</v>
      </c>
      <c r="DA98" s="26">
        <f t="shared" si="126"/>
        <v>1</v>
      </c>
      <c r="DB98" s="26">
        <f t="shared" si="126"/>
        <v>1</v>
      </c>
      <c r="DC98" s="26">
        <f t="shared" si="126"/>
        <v>1</v>
      </c>
      <c r="DD98" s="26">
        <f t="shared" si="126"/>
        <v>1</v>
      </c>
      <c r="DE98" s="26">
        <f t="shared" si="127"/>
        <v>1</v>
      </c>
      <c r="DF98" s="26">
        <f t="shared" si="127"/>
        <v>0.2</v>
      </c>
      <c r="DG98" s="26">
        <f t="shared" si="127"/>
        <v>0.2</v>
      </c>
      <c r="DH98" s="26">
        <f t="shared" si="127"/>
        <v>0.2</v>
      </c>
      <c r="DI98" s="26">
        <f t="shared" si="127"/>
        <v>0.2</v>
      </c>
      <c r="DJ98" s="26">
        <f t="shared" si="127"/>
        <v>0.2</v>
      </c>
      <c r="DK98" s="26">
        <f t="shared" si="127"/>
        <v>0.1</v>
      </c>
      <c r="DL98" s="26">
        <f t="shared" si="127"/>
        <v>7.5000000000000011E-2</v>
      </c>
      <c r="DM98" s="26">
        <f t="shared" si="127"/>
        <v>7.5000000000000011E-2</v>
      </c>
      <c r="DN98" s="26">
        <f t="shared" si="127"/>
        <v>0.05</v>
      </c>
      <c r="DO98" s="26">
        <f t="shared" si="127"/>
        <v>0.05</v>
      </c>
      <c r="DP98" s="26">
        <f t="shared" si="127"/>
        <v>0.05</v>
      </c>
      <c r="DQ98" s="26">
        <f t="shared" si="128"/>
        <v>1.5</v>
      </c>
      <c r="DR98" s="26">
        <f t="shared" si="128"/>
        <v>1.5</v>
      </c>
      <c r="DS98" s="26">
        <f t="shared" si="128"/>
        <v>1.5</v>
      </c>
      <c r="DT98" s="26">
        <f t="shared" si="128"/>
        <v>1.5</v>
      </c>
      <c r="DU98" s="26">
        <f t="shared" si="128"/>
        <v>1.5</v>
      </c>
      <c r="DV98" s="26">
        <f t="shared" si="128"/>
        <v>0.05</v>
      </c>
      <c r="DW98" s="26">
        <f t="shared" si="128"/>
        <v>1</v>
      </c>
      <c r="DX98" s="26">
        <f t="shared" si="128"/>
        <v>1</v>
      </c>
      <c r="DY98" s="26">
        <f t="shared" si="128"/>
        <v>1</v>
      </c>
      <c r="DZ98" s="26">
        <f t="shared" si="128"/>
        <v>1</v>
      </c>
      <c r="EA98" s="26">
        <f t="shared" si="129"/>
        <v>1</v>
      </c>
      <c r="EB98" s="26">
        <f t="shared" si="129"/>
        <v>0.2</v>
      </c>
      <c r="EC98" s="26">
        <f t="shared" si="129"/>
        <v>0.2</v>
      </c>
      <c r="ED98" s="26">
        <f t="shared" si="129"/>
        <v>0.2</v>
      </c>
      <c r="EE98" s="26">
        <f t="shared" si="129"/>
        <v>0.2</v>
      </c>
      <c r="EF98" s="26">
        <f t="shared" si="129"/>
        <v>0.2</v>
      </c>
      <c r="EG98" s="26">
        <f t="shared" si="129"/>
        <v>0.1</v>
      </c>
      <c r="EH98" s="26">
        <f t="shared" si="129"/>
        <v>0.05</v>
      </c>
      <c r="EI98" s="26">
        <f t="shared" si="129"/>
        <v>0.05</v>
      </c>
      <c r="EJ98" s="26">
        <f t="shared" si="129"/>
        <v>0.05</v>
      </c>
      <c r="EK98" s="26">
        <f t="shared" si="129"/>
        <v>0.05</v>
      </c>
      <c r="EL98" s="26">
        <f t="shared" si="129"/>
        <v>0.05</v>
      </c>
      <c r="EM98" s="26">
        <f t="shared" si="92"/>
        <v>239757</v>
      </c>
      <c r="EN98" s="26">
        <f t="shared" si="93"/>
        <v>319898</v>
      </c>
      <c r="EO98" s="26">
        <f t="shared" si="94"/>
        <v>436347</v>
      </c>
      <c r="EP98" s="26">
        <f t="shared" si="95"/>
        <v>693045</v>
      </c>
      <c r="EQ98" s="26">
        <f t="shared" si="96"/>
        <v>615129</v>
      </c>
    </row>
    <row r="99" spans="17:147">
      <c r="Q99" s="26">
        <v>95</v>
      </c>
      <c r="R99" s="26">
        <f>总纲!D99</f>
        <v>723.0773439350246</v>
      </c>
      <c r="S99" s="26">
        <f>求节点(将星点产出!$W$6:$W$44,将星点产出!$AO$6:$AO$44,星阵点亮!$Q99)</f>
        <v>522075.95404645073</v>
      </c>
      <c r="T99" s="26">
        <f t="shared" si="87"/>
        <v>44</v>
      </c>
      <c r="U99" s="26">
        <f>总纲!E99</f>
        <v>618.15882133005255</v>
      </c>
      <c r="V99" s="26">
        <f>求节点(将星点产出!$W$51:$W$89,将星点产出!$AO$51:$AO$89,星阵点亮!$Q99)</f>
        <v>639044.04897919099</v>
      </c>
      <c r="W99" s="26">
        <f t="shared" si="88"/>
        <v>49</v>
      </c>
      <c r="X99" s="26">
        <f>总纲!F99</f>
        <v>495.95875020503337</v>
      </c>
      <c r="Y99" s="26">
        <f>求节点(将星点产出!$W$96:$W$134,将星点产出!$AO$96:$AO$134,星阵点亮!$Q99)</f>
        <v>790592.61924966343</v>
      </c>
      <c r="Z99" s="26">
        <f t="shared" si="89"/>
        <v>53</v>
      </c>
      <c r="AA99" s="26">
        <f>总纲!G99</f>
        <v>355.39251454406457</v>
      </c>
      <c r="AB99" s="26">
        <f>求节点(将星点产出!$W$141:$W$179,将星点产出!$AO$141:$AO$179,星阵点亮!$Q99)</f>
        <v>1226432.8971650202</v>
      </c>
      <c r="AC99" s="26">
        <f t="shared" si="90"/>
        <v>64</v>
      </c>
      <c r="AD99" s="26">
        <f>总纲!H99</f>
        <v>192.84472762747106</v>
      </c>
      <c r="AE99" s="26">
        <f>求节点(将星点产出!$W$186:$W$224,将星点产出!$AO$186:$AO$224,星阵点亮!$Q99)</f>
        <v>1087825.7741471103</v>
      </c>
      <c r="AF99" s="26">
        <f t="shared" si="91"/>
        <v>61</v>
      </c>
      <c r="AG99" s="26">
        <f t="shared" si="120"/>
        <v>1.5</v>
      </c>
      <c r="AH99" s="26">
        <f t="shared" si="120"/>
        <v>1.5</v>
      </c>
      <c r="AI99" s="26">
        <f t="shared" si="120"/>
        <v>1.5</v>
      </c>
      <c r="AJ99" s="26">
        <f t="shared" si="120"/>
        <v>1.5</v>
      </c>
      <c r="AK99" s="26">
        <f t="shared" si="120"/>
        <v>1.5</v>
      </c>
      <c r="AL99" s="26">
        <f t="shared" si="120"/>
        <v>0</v>
      </c>
      <c r="AM99" s="26">
        <f t="shared" si="120"/>
        <v>1</v>
      </c>
      <c r="AN99" s="26">
        <f t="shared" si="120"/>
        <v>1</v>
      </c>
      <c r="AO99" s="26">
        <f t="shared" si="120"/>
        <v>1</v>
      </c>
      <c r="AP99" s="26">
        <f t="shared" si="120"/>
        <v>1</v>
      </c>
      <c r="AQ99" s="26">
        <f t="shared" si="121"/>
        <v>0.3</v>
      </c>
      <c r="AR99" s="26">
        <f t="shared" si="121"/>
        <v>0.2</v>
      </c>
      <c r="AS99" s="26">
        <f t="shared" si="121"/>
        <v>0.2</v>
      </c>
      <c r="AT99" s="26">
        <f t="shared" si="121"/>
        <v>0.2</v>
      </c>
      <c r="AU99" s="26">
        <f t="shared" si="121"/>
        <v>0.2</v>
      </c>
      <c r="AV99" s="26">
        <f t="shared" si="121"/>
        <v>0.2</v>
      </c>
      <c r="AW99" s="26">
        <f t="shared" si="121"/>
        <v>0.03</v>
      </c>
      <c r="AX99" s="26">
        <f t="shared" si="121"/>
        <v>0</v>
      </c>
      <c r="AY99" s="26">
        <f t="shared" si="121"/>
        <v>0</v>
      </c>
      <c r="AZ99" s="26">
        <f t="shared" si="121"/>
        <v>0</v>
      </c>
      <c r="BA99" s="26">
        <f t="shared" si="121"/>
        <v>0</v>
      </c>
      <c r="BB99" s="26">
        <f t="shared" si="121"/>
        <v>0</v>
      </c>
      <c r="BC99" s="26">
        <f t="shared" si="122"/>
        <v>1.5</v>
      </c>
      <c r="BD99" s="26">
        <f t="shared" si="122"/>
        <v>1.5</v>
      </c>
      <c r="BE99" s="26">
        <f t="shared" si="122"/>
        <v>1.5</v>
      </c>
      <c r="BF99" s="26">
        <f t="shared" si="122"/>
        <v>1.5</v>
      </c>
      <c r="BG99" s="26">
        <f t="shared" si="122"/>
        <v>1.5</v>
      </c>
      <c r="BH99" s="26">
        <f t="shared" si="122"/>
        <v>0</v>
      </c>
      <c r="BI99" s="26">
        <f t="shared" si="122"/>
        <v>1</v>
      </c>
      <c r="BJ99" s="26">
        <f t="shared" si="122"/>
        <v>1</v>
      </c>
      <c r="BK99" s="26">
        <f t="shared" si="122"/>
        <v>1</v>
      </c>
      <c r="BL99" s="26">
        <f t="shared" si="122"/>
        <v>1</v>
      </c>
      <c r="BM99" s="26">
        <f t="shared" si="123"/>
        <v>1</v>
      </c>
      <c r="BN99" s="26">
        <f t="shared" si="123"/>
        <v>0.2</v>
      </c>
      <c r="BO99" s="26">
        <f t="shared" si="123"/>
        <v>0.2</v>
      </c>
      <c r="BP99" s="26">
        <f t="shared" si="123"/>
        <v>0.2</v>
      </c>
      <c r="BQ99" s="26">
        <f t="shared" si="123"/>
        <v>0.2</v>
      </c>
      <c r="BR99" s="26">
        <f t="shared" si="123"/>
        <v>0.2</v>
      </c>
      <c r="BS99" s="26">
        <f t="shared" si="123"/>
        <v>0.1</v>
      </c>
      <c r="BT99" s="26">
        <f t="shared" si="123"/>
        <v>2.5000000000000001E-2</v>
      </c>
      <c r="BU99" s="26">
        <f t="shared" si="123"/>
        <v>0</v>
      </c>
      <c r="BV99" s="26">
        <f t="shared" si="123"/>
        <v>0</v>
      </c>
      <c r="BW99" s="26">
        <f t="shared" si="123"/>
        <v>0</v>
      </c>
      <c r="BX99" s="26">
        <f t="shared" si="123"/>
        <v>0</v>
      </c>
      <c r="BY99" s="26">
        <f t="shared" si="124"/>
        <v>1.5</v>
      </c>
      <c r="BZ99" s="26">
        <f t="shared" si="124"/>
        <v>1.5</v>
      </c>
      <c r="CA99" s="26">
        <f t="shared" si="124"/>
        <v>1.5</v>
      </c>
      <c r="CB99" s="26">
        <f t="shared" si="124"/>
        <v>1.5</v>
      </c>
      <c r="CC99" s="26">
        <f t="shared" si="124"/>
        <v>1.5</v>
      </c>
      <c r="CD99" s="26">
        <f t="shared" si="124"/>
        <v>2.5000000000000001E-2</v>
      </c>
      <c r="CE99" s="26">
        <f t="shared" si="124"/>
        <v>1</v>
      </c>
      <c r="CF99" s="26">
        <f t="shared" si="124"/>
        <v>1</v>
      </c>
      <c r="CG99" s="26">
        <f t="shared" si="124"/>
        <v>1</v>
      </c>
      <c r="CH99" s="26">
        <f t="shared" si="124"/>
        <v>1</v>
      </c>
      <c r="CI99" s="26">
        <f t="shared" si="125"/>
        <v>1</v>
      </c>
      <c r="CJ99" s="26">
        <f t="shared" si="125"/>
        <v>0.2</v>
      </c>
      <c r="CK99" s="26">
        <f t="shared" si="125"/>
        <v>0.2</v>
      </c>
      <c r="CL99" s="26">
        <f t="shared" si="125"/>
        <v>0.2</v>
      </c>
      <c r="CM99" s="26">
        <f t="shared" si="125"/>
        <v>0.2</v>
      </c>
      <c r="CN99" s="26">
        <f t="shared" si="125"/>
        <v>0.2</v>
      </c>
      <c r="CO99" s="26">
        <f t="shared" si="125"/>
        <v>0.1</v>
      </c>
      <c r="CP99" s="26">
        <f t="shared" si="125"/>
        <v>0.05</v>
      </c>
      <c r="CQ99" s="26">
        <f t="shared" si="125"/>
        <v>0.05</v>
      </c>
      <c r="CR99" s="26">
        <f t="shared" si="125"/>
        <v>0</v>
      </c>
      <c r="CS99" s="26">
        <f t="shared" si="125"/>
        <v>0</v>
      </c>
      <c r="CT99" s="26">
        <f t="shared" si="125"/>
        <v>0</v>
      </c>
      <c r="CU99" s="26">
        <f t="shared" si="126"/>
        <v>1.5</v>
      </c>
      <c r="CV99" s="26">
        <f t="shared" si="126"/>
        <v>1.5</v>
      </c>
      <c r="CW99" s="26">
        <f t="shared" si="126"/>
        <v>1.5</v>
      </c>
      <c r="CX99" s="26">
        <f t="shared" si="126"/>
        <v>1.5</v>
      </c>
      <c r="CY99" s="26">
        <f t="shared" si="126"/>
        <v>1.5</v>
      </c>
      <c r="CZ99" s="26">
        <f t="shared" si="126"/>
        <v>7.5000000000000011E-2</v>
      </c>
      <c r="DA99" s="26">
        <f t="shared" si="126"/>
        <v>1</v>
      </c>
      <c r="DB99" s="26">
        <f t="shared" si="126"/>
        <v>1</v>
      </c>
      <c r="DC99" s="26">
        <f t="shared" si="126"/>
        <v>1</v>
      </c>
      <c r="DD99" s="26">
        <f t="shared" si="126"/>
        <v>1</v>
      </c>
      <c r="DE99" s="26">
        <f t="shared" si="127"/>
        <v>1</v>
      </c>
      <c r="DF99" s="26">
        <f t="shared" si="127"/>
        <v>0.2</v>
      </c>
      <c r="DG99" s="26">
        <f t="shared" si="127"/>
        <v>0.2</v>
      </c>
      <c r="DH99" s="26">
        <f t="shared" si="127"/>
        <v>0.2</v>
      </c>
      <c r="DI99" s="26">
        <f t="shared" si="127"/>
        <v>0.2</v>
      </c>
      <c r="DJ99" s="26">
        <f t="shared" si="127"/>
        <v>0.2</v>
      </c>
      <c r="DK99" s="26">
        <f t="shared" si="127"/>
        <v>0.1</v>
      </c>
      <c r="DL99" s="26">
        <f t="shared" si="127"/>
        <v>0.1</v>
      </c>
      <c r="DM99" s="26">
        <f t="shared" si="127"/>
        <v>7.5000000000000011E-2</v>
      </c>
      <c r="DN99" s="26">
        <f t="shared" si="127"/>
        <v>0.05</v>
      </c>
      <c r="DO99" s="26">
        <f t="shared" si="127"/>
        <v>0.05</v>
      </c>
      <c r="DP99" s="26">
        <f t="shared" si="127"/>
        <v>0.05</v>
      </c>
      <c r="DQ99" s="26">
        <f t="shared" si="128"/>
        <v>1.5</v>
      </c>
      <c r="DR99" s="26">
        <f t="shared" si="128"/>
        <v>1.5</v>
      </c>
      <c r="DS99" s="26">
        <f t="shared" si="128"/>
        <v>1.5</v>
      </c>
      <c r="DT99" s="26">
        <f t="shared" si="128"/>
        <v>1.5</v>
      </c>
      <c r="DU99" s="26">
        <f t="shared" si="128"/>
        <v>1.5</v>
      </c>
      <c r="DV99" s="26">
        <f t="shared" si="128"/>
        <v>0.05</v>
      </c>
      <c r="DW99" s="26">
        <f t="shared" si="128"/>
        <v>1</v>
      </c>
      <c r="DX99" s="26">
        <f t="shared" si="128"/>
        <v>1</v>
      </c>
      <c r="DY99" s="26">
        <f t="shared" si="128"/>
        <v>1</v>
      </c>
      <c r="DZ99" s="26">
        <f t="shared" si="128"/>
        <v>1</v>
      </c>
      <c r="EA99" s="26">
        <f t="shared" si="129"/>
        <v>1</v>
      </c>
      <c r="EB99" s="26">
        <f t="shared" si="129"/>
        <v>0.2</v>
      </c>
      <c r="EC99" s="26">
        <f t="shared" si="129"/>
        <v>0.2</v>
      </c>
      <c r="ED99" s="26">
        <f t="shared" si="129"/>
        <v>0.2</v>
      </c>
      <c r="EE99" s="26">
        <f t="shared" si="129"/>
        <v>0.2</v>
      </c>
      <c r="EF99" s="26">
        <f t="shared" si="129"/>
        <v>0.2</v>
      </c>
      <c r="EG99" s="26">
        <f t="shared" si="129"/>
        <v>0.1</v>
      </c>
      <c r="EH99" s="26">
        <f t="shared" si="129"/>
        <v>7.5000000000000011E-2</v>
      </c>
      <c r="EI99" s="26">
        <f t="shared" si="129"/>
        <v>0.05</v>
      </c>
      <c r="EJ99" s="26">
        <f t="shared" si="129"/>
        <v>0.05</v>
      </c>
      <c r="EK99" s="26">
        <f t="shared" si="129"/>
        <v>0.05</v>
      </c>
      <c r="EL99" s="26">
        <f t="shared" si="129"/>
        <v>0.05</v>
      </c>
      <c r="EM99" s="26">
        <f t="shared" si="92"/>
        <v>254727</v>
      </c>
      <c r="EN99" s="26">
        <f t="shared" si="93"/>
        <v>339909</v>
      </c>
      <c r="EO99" s="26">
        <f t="shared" si="94"/>
        <v>436347</v>
      </c>
      <c r="EP99" s="26">
        <f t="shared" si="95"/>
        <v>719117</v>
      </c>
      <c r="EQ99" s="26">
        <f t="shared" si="96"/>
        <v>641051</v>
      </c>
    </row>
    <row r="100" spans="17:147">
      <c r="Q100" s="26">
        <v>96</v>
      </c>
      <c r="R100" s="26">
        <f>总纲!D100</f>
        <v>775.04688205332377</v>
      </c>
      <c r="S100" s="26">
        <f>求节点(将星点产出!$W$6:$W$44,将星点产出!$AO$6:$AO$44,星阵点亮!$Q100)</f>
        <v>547387.20286534459</v>
      </c>
      <c r="T100" s="26">
        <f t="shared" si="87"/>
        <v>45</v>
      </c>
      <c r="U100" s="26">
        <f>总纲!E100</f>
        <v>661.0374857032798</v>
      </c>
      <c r="V100" s="26">
        <f>求节点(将星点产出!$W$51:$W$89,将星点产出!$AO$51:$AO$89,星阵点亮!$Q100)</f>
        <v>667464.54957904923</v>
      </c>
      <c r="W100" s="26">
        <f t="shared" si="88"/>
        <v>50</v>
      </c>
      <c r="X100" s="26">
        <f>总纲!F100</f>
        <v>529.97705794806279</v>
      </c>
      <c r="Y100" s="26">
        <f>求节点(将星点产出!$W$96:$W$134,将星点产出!$AO$96:$AO$134,星阵点亮!$Q100)</f>
        <v>813847.72478816914</v>
      </c>
      <c r="Z100" s="26">
        <f t="shared" si="89"/>
        <v>54</v>
      </c>
      <c r="AA100" s="26">
        <f>总纲!G100</f>
        <v>380.70302846459265</v>
      </c>
      <c r="AB100" s="26">
        <f>求节点(将星点产出!$W$141:$W$179,将星点产出!$AO$141:$AO$179,星阵点亮!$Q100)</f>
        <v>1265088.9478267853</v>
      </c>
      <c r="AC100" s="26">
        <f t="shared" si="90"/>
        <v>65</v>
      </c>
      <c r="AD100" s="26">
        <f>总纲!H100</f>
        <v>206.86001282003213</v>
      </c>
      <c r="AE100" s="26">
        <f>求节点(将星点产出!$W$186:$W$224,将星点产出!$AO$186:$AO$224,星阵点亮!$Q100)</f>
        <v>1117522.1461969877</v>
      </c>
      <c r="AF100" s="26">
        <f t="shared" si="91"/>
        <v>62</v>
      </c>
      <c r="AG100" s="26">
        <f t="shared" si="120"/>
        <v>1.5</v>
      </c>
      <c r="AH100" s="26">
        <f t="shared" si="120"/>
        <v>1.5</v>
      </c>
      <c r="AI100" s="26">
        <f t="shared" si="120"/>
        <v>1.5</v>
      </c>
      <c r="AJ100" s="26">
        <f t="shared" si="120"/>
        <v>1.5</v>
      </c>
      <c r="AK100" s="26">
        <f t="shared" si="120"/>
        <v>1.5</v>
      </c>
      <c r="AL100" s="26">
        <f t="shared" si="120"/>
        <v>0</v>
      </c>
      <c r="AM100" s="26">
        <f t="shared" si="120"/>
        <v>1</v>
      </c>
      <c r="AN100" s="26">
        <f t="shared" si="120"/>
        <v>1</v>
      </c>
      <c r="AO100" s="26">
        <f t="shared" si="120"/>
        <v>1</v>
      </c>
      <c r="AP100" s="26">
        <f t="shared" si="120"/>
        <v>1</v>
      </c>
      <c r="AQ100" s="26">
        <f t="shared" si="121"/>
        <v>0.6</v>
      </c>
      <c r="AR100" s="26">
        <f t="shared" si="121"/>
        <v>0.2</v>
      </c>
      <c r="AS100" s="26">
        <f t="shared" si="121"/>
        <v>0.2</v>
      </c>
      <c r="AT100" s="26">
        <f t="shared" si="121"/>
        <v>0.2</v>
      </c>
      <c r="AU100" s="26">
        <f t="shared" si="121"/>
        <v>0.2</v>
      </c>
      <c r="AV100" s="26">
        <f t="shared" si="121"/>
        <v>0.2</v>
      </c>
      <c r="AW100" s="26">
        <f t="shared" si="121"/>
        <v>0.03</v>
      </c>
      <c r="AX100" s="26">
        <f t="shared" si="121"/>
        <v>0</v>
      </c>
      <c r="AY100" s="26">
        <f t="shared" si="121"/>
        <v>0</v>
      </c>
      <c r="AZ100" s="26">
        <f t="shared" si="121"/>
        <v>0</v>
      </c>
      <c r="BA100" s="26">
        <f t="shared" si="121"/>
        <v>0</v>
      </c>
      <c r="BB100" s="26">
        <f t="shared" si="121"/>
        <v>0</v>
      </c>
      <c r="BC100" s="26">
        <f t="shared" si="122"/>
        <v>1.5</v>
      </c>
      <c r="BD100" s="26">
        <f t="shared" si="122"/>
        <v>1.5</v>
      </c>
      <c r="BE100" s="26">
        <f t="shared" si="122"/>
        <v>1.5</v>
      </c>
      <c r="BF100" s="26">
        <f t="shared" si="122"/>
        <v>1.5</v>
      </c>
      <c r="BG100" s="26">
        <f t="shared" si="122"/>
        <v>1.5</v>
      </c>
      <c r="BH100" s="26">
        <f t="shared" si="122"/>
        <v>0</v>
      </c>
      <c r="BI100" s="26">
        <f t="shared" si="122"/>
        <v>1</v>
      </c>
      <c r="BJ100" s="26">
        <f t="shared" si="122"/>
        <v>1</v>
      </c>
      <c r="BK100" s="26">
        <f t="shared" si="122"/>
        <v>1</v>
      </c>
      <c r="BL100" s="26">
        <f t="shared" si="122"/>
        <v>1</v>
      </c>
      <c r="BM100" s="26">
        <f t="shared" si="123"/>
        <v>1</v>
      </c>
      <c r="BN100" s="26">
        <f t="shared" si="123"/>
        <v>0.2</v>
      </c>
      <c r="BO100" s="26">
        <f t="shared" si="123"/>
        <v>0.2</v>
      </c>
      <c r="BP100" s="26">
        <f t="shared" si="123"/>
        <v>0.2</v>
      </c>
      <c r="BQ100" s="26">
        <f t="shared" si="123"/>
        <v>0.2</v>
      </c>
      <c r="BR100" s="26">
        <f t="shared" si="123"/>
        <v>0.2</v>
      </c>
      <c r="BS100" s="26">
        <f t="shared" si="123"/>
        <v>0.1</v>
      </c>
      <c r="BT100" s="26">
        <f t="shared" si="123"/>
        <v>2.5000000000000001E-2</v>
      </c>
      <c r="BU100" s="26">
        <f t="shared" si="123"/>
        <v>2.5000000000000001E-2</v>
      </c>
      <c r="BV100" s="26">
        <f t="shared" si="123"/>
        <v>0</v>
      </c>
      <c r="BW100" s="26">
        <f t="shared" si="123"/>
        <v>0</v>
      </c>
      <c r="BX100" s="26">
        <f t="shared" si="123"/>
        <v>0</v>
      </c>
      <c r="BY100" s="26">
        <f t="shared" si="124"/>
        <v>1.5</v>
      </c>
      <c r="BZ100" s="26">
        <f t="shared" si="124"/>
        <v>1.5</v>
      </c>
      <c r="CA100" s="26">
        <f t="shared" si="124"/>
        <v>1.5</v>
      </c>
      <c r="CB100" s="26">
        <f t="shared" si="124"/>
        <v>1.5</v>
      </c>
      <c r="CC100" s="26">
        <f t="shared" si="124"/>
        <v>1.5</v>
      </c>
      <c r="CD100" s="26">
        <f t="shared" si="124"/>
        <v>0.05</v>
      </c>
      <c r="CE100" s="26">
        <f t="shared" si="124"/>
        <v>1</v>
      </c>
      <c r="CF100" s="26">
        <f t="shared" si="124"/>
        <v>1</v>
      </c>
      <c r="CG100" s="26">
        <f t="shared" si="124"/>
        <v>1</v>
      </c>
      <c r="CH100" s="26">
        <f t="shared" si="124"/>
        <v>1</v>
      </c>
      <c r="CI100" s="26">
        <f t="shared" si="125"/>
        <v>1</v>
      </c>
      <c r="CJ100" s="26">
        <f t="shared" si="125"/>
        <v>0.2</v>
      </c>
      <c r="CK100" s="26">
        <f t="shared" si="125"/>
        <v>0.2</v>
      </c>
      <c r="CL100" s="26">
        <f t="shared" si="125"/>
        <v>0.2</v>
      </c>
      <c r="CM100" s="26">
        <f t="shared" si="125"/>
        <v>0.2</v>
      </c>
      <c r="CN100" s="26">
        <f t="shared" si="125"/>
        <v>0.2</v>
      </c>
      <c r="CO100" s="26">
        <f t="shared" si="125"/>
        <v>0.1</v>
      </c>
      <c r="CP100" s="26">
        <f t="shared" si="125"/>
        <v>0.05</v>
      </c>
      <c r="CQ100" s="26">
        <f t="shared" si="125"/>
        <v>0.05</v>
      </c>
      <c r="CR100" s="26">
        <f t="shared" si="125"/>
        <v>0</v>
      </c>
      <c r="CS100" s="26">
        <f t="shared" si="125"/>
        <v>0</v>
      </c>
      <c r="CT100" s="26">
        <f t="shared" si="125"/>
        <v>0</v>
      </c>
      <c r="CU100" s="26">
        <f t="shared" si="126"/>
        <v>1.5</v>
      </c>
      <c r="CV100" s="26">
        <f t="shared" si="126"/>
        <v>1.5</v>
      </c>
      <c r="CW100" s="26">
        <f t="shared" si="126"/>
        <v>1.5</v>
      </c>
      <c r="CX100" s="26">
        <f t="shared" si="126"/>
        <v>1.5</v>
      </c>
      <c r="CY100" s="26">
        <f t="shared" si="126"/>
        <v>1.5</v>
      </c>
      <c r="CZ100" s="26">
        <f t="shared" si="126"/>
        <v>7.5000000000000011E-2</v>
      </c>
      <c r="DA100" s="26">
        <f t="shared" si="126"/>
        <v>1</v>
      </c>
      <c r="DB100" s="26">
        <f t="shared" si="126"/>
        <v>1</v>
      </c>
      <c r="DC100" s="26">
        <f t="shared" si="126"/>
        <v>1</v>
      </c>
      <c r="DD100" s="26">
        <f t="shared" si="126"/>
        <v>1</v>
      </c>
      <c r="DE100" s="26">
        <f t="shared" si="127"/>
        <v>1</v>
      </c>
      <c r="DF100" s="26">
        <f t="shared" si="127"/>
        <v>0.2</v>
      </c>
      <c r="DG100" s="26">
        <f t="shared" si="127"/>
        <v>0.2</v>
      </c>
      <c r="DH100" s="26">
        <f t="shared" si="127"/>
        <v>0.2</v>
      </c>
      <c r="DI100" s="26">
        <f t="shared" si="127"/>
        <v>0.2</v>
      </c>
      <c r="DJ100" s="26">
        <f t="shared" si="127"/>
        <v>0.2</v>
      </c>
      <c r="DK100" s="26">
        <f t="shared" si="127"/>
        <v>0.1</v>
      </c>
      <c r="DL100" s="26">
        <f t="shared" si="127"/>
        <v>0.1</v>
      </c>
      <c r="DM100" s="26">
        <f t="shared" si="127"/>
        <v>0.1</v>
      </c>
      <c r="DN100" s="26">
        <f t="shared" si="127"/>
        <v>0.05</v>
      </c>
      <c r="DO100" s="26">
        <f t="shared" si="127"/>
        <v>0.05</v>
      </c>
      <c r="DP100" s="26">
        <f t="shared" si="127"/>
        <v>0.05</v>
      </c>
      <c r="DQ100" s="26">
        <f t="shared" si="128"/>
        <v>1.5</v>
      </c>
      <c r="DR100" s="26">
        <f t="shared" si="128"/>
        <v>1.5</v>
      </c>
      <c r="DS100" s="26">
        <f t="shared" si="128"/>
        <v>1.5</v>
      </c>
      <c r="DT100" s="26">
        <f t="shared" si="128"/>
        <v>1.5</v>
      </c>
      <c r="DU100" s="26">
        <f t="shared" si="128"/>
        <v>1.5</v>
      </c>
      <c r="DV100" s="26">
        <f t="shared" si="128"/>
        <v>0.05</v>
      </c>
      <c r="DW100" s="26">
        <f t="shared" si="128"/>
        <v>1</v>
      </c>
      <c r="DX100" s="26">
        <f t="shared" si="128"/>
        <v>1</v>
      </c>
      <c r="DY100" s="26">
        <f t="shared" si="128"/>
        <v>1</v>
      </c>
      <c r="DZ100" s="26">
        <f t="shared" si="128"/>
        <v>1</v>
      </c>
      <c r="EA100" s="26">
        <f t="shared" si="129"/>
        <v>1</v>
      </c>
      <c r="EB100" s="26">
        <f t="shared" si="129"/>
        <v>0.2</v>
      </c>
      <c r="EC100" s="26">
        <f t="shared" si="129"/>
        <v>0.2</v>
      </c>
      <c r="ED100" s="26">
        <f t="shared" si="129"/>
        <v>0.2</v>
      </c>
      <c r="EE100" s="26">
        <f t="shared" si="129"/>
        <v>0.2</v>
      </c>
      <c r="EF100" s="26">
        <f t="shared" si="129"/>
        <v>0.2</v>
      </c>
      <c r="EG100" s="26">
        <f t="shared" si="129"/>
        <v>0.1</v>
      </c>
      <c r="EH100" s="26">
        <f t="shared" si="129"/>
        <v>7.5000000000000011E-2</v>
      </c>
      <c r="EI100" s="26">
        <f t="shared" si="129"/>
        <v>7.5000000000000011E-2</v>
      </c>
      <c r="EJ100" s="26">
        <f t="shared" si="129"/>
        <v>0.05</v>
      </c>
      <c r="EK100" s="26">
        <f t="shared" si="129"/>
        <v>0.05</v>
      </c>
      <c r="EL100" s="26">
        <f t="shared" si="129"/>
        <v>0.05</v>
      </c>
      <c r="EM100" s="26">
        <f t="shared" si="92"/>
        <v>269747</v>
      </c>
      <c r="EN100" s="26">
        <f t="shared" si="93"/>
        <v>361839</v>
      </c>
      <c r="EO100" s="26">
        <f t="shared" si="94"/>
        <v>461283</v>
      </c>
      <c r="EP100" s="26">
        <f t="shared" si="95"/>
        <v>745239</v>
      </c>
      <c r="EQ100" s="26">
        <f t="shared" si="96"/>
        <v>667023</v>
      </c>
    </row>
    <row r="101" spans="17:147">
      <c r="Q101" s="26">
        <v>97</v>
      </c>
      <c r="R101" s="26">
        <f>总纲!D101</f>
        <v>830.74645386878444</v>
      </c>
      <c r="S101" s="26">
        <f>求节点(将星点产出!$W$6:$W$44,将星点产出!$AO$6:$AO$44,星阵点亮!$Q101)</f>
        <v>573991.42331710202</v>
      </c>
      <c r="T101" s="26">
        <f t="shared" si="87"/>
        <v>46</v>
      </c>
      <c r="U101" s="26">
        <f>总纲!E101</f>
        <v>707.71290405081743</v>
      </c>
      <c r="V101" s="26">
        <f>求节点(将星点产出!$W$51:$W$89,将星点产出!$AO$51:$AO$89,星阵点亮!$Q101)</f>
        <v>695368.6182419809</v>
      </c>
      <c r="W101" s="26">
        <f t="shared" si="88"/>
        <v>50</v>
      </c>
      <c r="X101" s="26">
        <f>总纲!F101</f>
        <v>569.31054483627804</v>
      </c>
      <c r="Y101" s="26">
        <f>求节点(将星点产出!$W$96:$W$134,将星点产出!$AO$96:$AO$134,星阵点亮!$Q101)</f>
        <v>837102.83032667486</v>
      </c>
      <c r="Z101" s="26">
        <f t="shared" si="89"/>
        <v>55</v>
      </c>
      <c r="AA101" s="26">
        <f>总纲!G101</f>
        <v>409.80722569347137</v>
      </c>
      <c r="AB101" s="26">
        <f>求节点(将星点产出!$W$141:$W$179,将星点产出!$AO$141:$AO$179,星阵点亮!$Q101)</f>
        <v>1303744.9984885501</v>
      </c>
      <c r="AC101" s="26">
        <f t="shared" si="90"/>
        <v>66</v>
      </c>
      <c r="AD101" s="26">
        <f>总纲!H101</f>
        <v>223.30464679992923</v>
      </c>
      <c r="AE101" s="26">
        <f>求节点(将星点产出!$W$186:$W$224,将星点产出!$AO$186:$AO$224,星阵点亮!$Q101)</f>
        <v>1147218.5182468651</v>
      </c>
      <c r="AF101" s="26">
        <f t="shared" si="91"/>
        <v>63</v>
      </c>
      <c r="AG101" s="26">
        <f t="shared" si="120"/>
        <v>1.5</v>
      </c>
      <c r="AH101" s="26">
        <f t="shared" si="120"/>
        <v>1.5</v>
      </c>
      <c r="AI101" s="26">
        <f t="shared" si="120"/>
        <v>1.5</v>
      </c>
      <c r="AJ101" s="26">
        <f t="shared" si="120"/>
        <v>1.5</v>
      </c>
      <c r="AK101" s="26">
        <f t="shared" si="120"/>
        <v>1.5</v>
      </c>
      <c r="AL101" s="26">
        <f t="shared" si="120"/>
        <v>0</v>
      </c>
      <c r="AM101" s="26">
        <f t="shared" si="120"/>
        <v>1</v>
      </c>
      <c r="AN101" s="26">
        <f t="shared" si="120"/>
        <v>1</v>
      </c>
      <c r="AO101" s="26">
        <f t="shared" si="120"/>
        <v>1</v>
      </c>
      <c r="AP101" s="26">
        <f t="shared" si="120"/>
        <v>1</v>
      </c>
      <c r="AQ101" s="26">
        <f t="shared" si="121"/>
        <v>0.6</v>
      </c>
      <c r="AR101" s="26">
        <f t="shared" si="121"/>
        <v>0.2</v>
      </c>
      <c r="AS101" s="26">
        <f t="shared" si="121"/>
        <v>0.2</v>
      </c>
      <c r="AT101" s="26">
        <f t="shared" si="121"/>
        <v>0.2</v>
      </c>
      <c r="AU101" s="26">
        <f t="shared" si="121"/>
        <v>0.2</v>
      </c>
      <c r="AV101" s="26">
        <f t="shared" si="121"/>
        <v>0.2</v>
      </c>
      <c r="AW101" s="26">
        <f t="shared" si="121"/>
        <v>0.06</v>
      </c>
      <c r="AX101" s="26">
        <f t="shared" si="121"/>
        <v>0</v>
      </c>
      <c r="AY101" s="26">
        <f t="shared" si="121"/>
        <v>0</v>
      </c>
      <c r="AZ101" s="26">
        <f t="shared" si="121"/>
        <v>0</v>
      </c>
      <c r="BA101" s="26">
        <f t="shared" si="121"/>
        <v>0</v>
      </c>
      <c r="BB101" s="26">
        <f t="shared" si="121"/>
        <v>0</v>
      </c>
      <c r="BC101" s="26">
        <f t="shared" si="122"/>
        <v>1.5</v>
      </c>
      <c r="BD101" s="26">
        <f t="shared" si="122"/>
        <v>1.5</v>
      </c>
      <c r="BE101" s="26">
        <f t="shared" si="122"/>
        <v>1.5</v>
      </c>
      <c r="BF101" s="26">
        <f t="shared" si="122"/>
        <v>1.5</v>
      </c>
      <c r="BG101" s="26">
        <f t="shared" si="122"/>
        <v>1.5</v>
      </c>
      <c r="BH101" s="26">
        <f t="shared" si="122"/>
        <v>0</v>
      </c>
      <c r="BI101" s="26">
        <f t="shared" si="122"/>
        <v>1</v>
      </c>
      <c r="BJ101" s="26">
        <f t="shared" si="122"/>
        <v>1</v>
      </c>
      <c r="BK101" s="26">
        <f t="shared" si="122"/>
        <v>1</v>
      </c>
      <c r="BL101" s="26">
        <f t="shared" si="122"/>
        <v>1</v>
      </c>
      <c r="BM101" s="26">
        <f t="shared" si="123"/>
        <v>1</v>
      </c>
      <c r="BN101" s="26">
        <f t="shared" si="123"/>
        <v>0.2</v>
      </c>
      <c r="BO101" s="26">
        <f t="shared" si="123"/>
        <v>0.2</v>
      </c>
      <c r="BP101" s="26">
        <f t="shared" si="123"/>
        <v>0.2</v>
      </c>
      <c r="BQ101" s="26">
        <f t="shared" si="123"/>
        <v>0.2</v>
      </c>
      <c r="BR101" s="26">
        <f t="shared" si="123"/>
        <v>0.2</v>
      </c>
      <c r="BS101" s="26">
        <f t="shared" si="123"/>
        <v>0.1</v>
      </c>
      <c r="BT101" s="26">
        <f t="shared" si="123"/>
        <v>2.5000000000000001E-2</v>
      </c>
      <c r="BU101" s="26">
        <f t="shared" si="123"/>
        <v>2.5000000000000001E-2</v>
      </c>
      <c r="BV101" s="26">
        <f t="shared" si="123"/>
        <v>0</v>
      </c>
      <c r="BW101" s="26">
        <f t="shared" si="123"/>
        <v>0</v>
      </c>
      <c r="BX101" s="26">
        <f t="shared" si="123"/>
        <v>0</v>
      </c>
      <c r="BY101" s="26">
        <f t="shared" si="124"/>
        <v>1.5</v>
      </c>
      <c r="BZ101" s="26">
        <f t="shared" si="124"/>
        <v>1.5</v>
      </c>
      <c r="CA101" s="26">
        <f t="shared" si="124"/>
        <v>1.5</v>
      </c>
      <c r="CB101" s="26">
        <f t="shared" si="124"/>
        <v>1.5</v>
      </c>
      <c r="CC101" s="26">
        <f t="shared" si="124"/>
        <v>1.5</v>
      </c>
      <c r="CD101" s="26">
        <f t="shared" si="124"/>
        <v>0.05</v>
      </c>
      <c r="CE101" s="26">
        <f t="shared" si="124"/>
        <v>1</v>
      </c>
      <c r="CF101" s="26">
        <f t="shared" si="124"/>
        <v>1</v>
      </c>
      <c r="CG101" s="26">
        <f t="shared" si="124"/>
        <v>1</v>
      </c>
      <c r="CH101" s="26">
        <f t="shared" si="124"/>
        <v>1</v>
      </c>
      <c r="CI101" s="26">
        <f t="shared" si="125"/>
        <v>1</v>
      </c>
      <c r="CJ101" s="26">
        <f t="shared" si="125"/>
        <v>0.2</v>
      </c>
      <c r="CK101" s="26">
        <f t="shared" si="125"/>
        <v>0.2</v>
      </c>
      <c r="CL101" s="26">
        <f t="shared" si="125"/>
        <v>0.2</v>
      </c>
      <c r="CM101" s="26">
        <f t="shared" si="125"/>
        <v>0.2</v>
      </c>
      <c r="CN101" s="26">
        <f t="shared" si="125"/>
        <v>0.2</v>
      </c>
      <c r="CO101" s="26">
        <f t="shared" si="125"/>
        <v>0.1</v>
      </c>
      <c r="CP101" s="26">
        <f t="shared" si="125"/>
        <v>0.05</v>
      </c>
      <c r="CQ101" s="26">
        <f t="shared" si="125"/>
        <v>0.05</v>
      </c>
      <c r="CR101" s="26">
        <f t="shared" si="125"/>
        <v>2.5000000000000001E-2</v>
      </c>
      <c r="CS101" s="26">
        <f t="shared" si="125"/>
        <v>0</v>
      </c>
      <c r="CT101" s="26">
        <f t="shared" si="125"/>
        <v>0</v>
      </c>
      <c r="CU101" s="26">
        <f t="shared" si="126"/>
        <v>1.5</v>
      </c>
      <c r="CV101" s="26">
        <f t="shared" si="126"/>
        <v>1.5</v>
      </c>
      <c r="CW101" s="26">
        <f t="shared" si="126"/>
        <v>1.5</v>
      </c>
      <c r="CX101" s="26">
        <f t="shared" si="126"/>
        <v>1.5</v>
      </c>
      <c r="CY101" s="26">
        <f t="shared" si="126"/>
        <v>1.5</v>
      </c>
      <c r="CZ101" s="26">
        <f t="shared" si="126"/>
        <v>0.1</v>
      </c>
      <c r="DA101" s="26">
        <f t="shared" si="126"/>
        <v>1</v>
      </c>
      <c r="DB101" s="26">
        <f t="shared" si="126"/>
        <v>1</v>
      </c>
      <c r="DC101" s="26">
        <f t="shared" si="126"/>
        <v>1</v>
      </c>
      <c r="DD101" s="26">
        <f t="shared" si="126"/>
        <v>1</v>
      </c>
      <c r="DE101" s="26">
        <f t="shared" si="127"/>
        <v>1</v>
      </c>
      <c r="DF101" s="26">
        <f t="shared" si="127"/>
        <v>0.2</v>
      </c>
      <c r="DG101" s="26">
        <f t="shared" si="127"/>
        <v>0.2</v>
      </c>
      <c r="DH101" s="26">
        <f t="shared" si="127"/>
        <v>0.2</v>
      </c>
      <c r="DI101" s="26">
        <f t="shared" si="127"/>
        <v>0.2</v>
      </c>
      <c r="DJ101" s="26">
        <f t="shared" si="127"/>
        <v>0.2</v>
      </c>
      <c r="DK101" s="26">
        <f t="shared" si="127"/>
        <v>0.1</v>
      </c>
      <c r="DL101" s="26">
        <f t="shared" si="127"/>
        <v>0.1</v>
      </c>
      <c r="DM101" s="26">
        <f t="shared" si="127"/>
        <v>0.1</v>
      </c>
      <c r="DN101" s="26">
        <f t="shared" si="127"/>
        <v>0.05</v>
      </c>
      <c r="DO101" s="26">
        <f t="shared" si="127"/>
        <v>0.05</v>
      </c>
      <c r="DP101" s="26">
        <f t="shared" si="127"/>
        <v>0.05</v>
      </c>
      <c r="DQ101" s="26">
        <f t="shared" si="128"/>
        <v>1.5</v>
      </c>
      <c r="DR101" s="26">
        <f t="shared" si="128"/>
        <v>1.5</v>
      </c>
      <c r="DS101" s="26">
        <f t="shared" si="128"/>
        <v>1.5</v>
      </c>
      <c r="DT101" s="26">
        <f t="shared" si="128"/>
        <v>1.5</v>
      </c>
      <c r="DU101" s="26">
        <f t="shared" si="128"/>
        <v>1.5</v>
      </c>
      <c r="DV101" s="26">
        <f t="shared" si="128"/>
        <v>7.5000000000000011E-2</v>
      </c>
      <c r="DW101" s="26">
        <f t="shared" si="128"/>
        <v>1</v>
      </c>
      <c r="DX101" s="26">
        <f t="shared" si="128"/>
        <v>1</v>
      </c>
      <c r="DY101" s="26">
        <f t="shared" si="128"/>
        <v>1</v>
      </c>
      <c r="DZ101" s="26">
        <f t="shared" si="128"/>
        <v>1</v>
      </c>
      <c r="EA101" s="26">
        <f t="shared" si="129"/>
        <v>1</v>
      </c>
      <c r="EB101" s="26">
        <f t="shared" si="129"/>
        <v>0.2</v>
      </c>
      <c r="EC101" s="26">
        <f t="shared" si="129"/>
        <v>0.2</v>
      </c>
      <c r="ED101" s="26">
        <f t="shared" si="129"/>
        <v>0.2</v>
      </c>
      <c r="EE101" s="26">
        <f t="shared" si="129"/>
        <v>0.2</v>
      </c>
      <c r="EF101" s="26">
        <f t="shared" si="129"/>
        <v>0.2</v>
      </c>
      <c r="EG101" s="26">
        <f t="shared" si="129"/>
        <v>0.1</v>
      </c>
      <c r="EH101" s="26">
        <f t="shared" si="129"/>
        <v>7.5000000000000011E-2</v>
      </c>
      <c r="EI101" s="26">
        <f t="shared" si="129"/>
        <v>7.5000000000000011E-2</v>
      </c>
      <c r="EJ101" s="26">
        <f t="shared" si="129"/>
        <v>0.05</v>
      </c>
      <c r="EK101" s="26">
        <f t="shared" si="129"/>
        <v>0.05</v>
      </c>
      <c r="EL101" s="26">
        <f t="shared" si="129"/>
        <v>0.05</v>
      </c>
      <c r="EM101" s="26">
        <f t="shared" si="92"/>
        <v>284817</v>
      </c>
      <c r="EN101" s="26">
        <f t="shared" si="93"/>
        <v>361839</v>
      </c>
      <c r="EO101" s="26">
        <f t="shared" si="94"/>
        <v>486269</v>
      </c>
      <c r="EP101" s="26">
        <f t="shared" si="95"/>
        <v>771411</v>
      </c>
      <c r="EQ101" s="26">
        <f t="shared" si="96"/>
        <v>693045</v>
      </c>
    </row>
    <row r="102" spans="17:147">
      <c r="Q102" s="26">
        <v>98</v>
      </c>
      <c r="R102" s="26">
        <f>总纲!D102</f>
        <v>890.4437768152311</v>
      </c>
      <c r="S102" s="26">
        <f>求节点(将星点产出!$W$6:$W$44,将星点产出!$AO$6:$AO$44,星阵点亮!$Q102)</f>
        <v>606004.22850048507</v>
      </c>
      <c r="T102" s="26">
        <f t="shared" si="87"/>
        <v>48</v>
      </c>
      <c r="U102" s="26">
        <f>总纲!E102</f>
        <v>760.34994102252585</v>
      </c>
      <c r="V102" s="26">
        <f>求节点(将星点产出!$W$51:$W$89,将星点产出!$AO$51:$AO$89,星阵点亮!$Q102)</f>
        <v>721539.0588590618</v>
      </c>
      <c r="W102" s="26">
        <f t="shared" si="88"/>
        <v>51</v>
      </c>
      <c r="X102" s="26">
        <f>总纲!F102</f>
        <v>612.98149595960513</v>
      </c>
      <c r="Y102" s="26">
        <f>求节点(将星点产出!$W$96:$W$134,将星点产出!$AO$96:$AO$134,星阵点亮!$Q102)</f>
        <v>851286.82580894174</v>
      </c>
      <c r="Z102" s="26">
        <f t="shared" si="89"/>
        <v>55</v>
      </c>
      <c r="AA102" s="26">
        <f>总纲!G102</f>
        <v>441.9272464333992</v>
      </c>
      <c r="AB102" s="26">
        <f>求节点(将星点产出!$W$141:$W$179,将星点产出!$AO$141:$AO$179,星阵点亮!$Q102)</f>
        <v>1304133.5274383263</v>
      </c>
      <c r="AC102" s="26">
        <f t="shared" si="90"/>
        <v>66</v>
      </c>
      <c r="AD102" s="26">
        <f>总纲!H102</f>
        <v>240.77599725083846</v>
      </c>
      <c r="AE102" s="26">
        <f>求节点(将星点产出!$W$186:$W$224,将星点产出!$AO$186:$AO$224,星阵点亮!$Q102)</f>
        <v>1174690.9868550387</v>
      </c>
      <c r="AF102" s="26">
        <f t="shared" si="91"/>
        <v>63</v>
      </c>
      <c r="AG102" s="26">
        <f t="shared" si="120"/>
        <v>1.5</v>
      </c>
      <c r="AH102" s="26">
        <f t="shared" si="120"/>
        <v>1.5</v>
      </c>
      <c r="AI102" s="26">
        <f t="shared" si="120"/>
        <v>1.5</v>
      </c>
      <c r="AJ102" s="26">
        <f t="shared" si="120"/>
        <v>1.5</v>
      </c>
      <c r="AK102" s="26">
        <f t="shared" si="120"/>
        <v>1.5</v>
      </c>
      <c r="AL102" s="26">
        <f t="shared" si="120"/>
        <v>0</v>
      </c>
      <c r="AM102" s="26">
        <f t="shared" si="120"/>
        <v>1</v>
      </c>
      <c r="AN102" s="26">
        <f t="shared" si="120"/>
        <v>1</v>
      </c>
      <c r="AO102" s="26">
        <f t="shared" si="120"/>
        <v>1</v>
      </c>
      <c r="AP102" s="26">
        <f t="shared" si="120"/>
        <v>1</v>
      </c>
      <c r="AQ102" s="26">
        <f t="shared" si="121"/>
        <v>1</v>
      </c>
      <c r="AR102" s="26">
        <f t="shared" si="121"/>
        <v>0.2</v>
      </c>
      <c r="AS102" s="26">
        <f t="shared" si="121"/>
        <v>0.2</v>
      </c>
      <c r="AT102" s="26">
        <f t="shared" si="121"/>
        <v>0.2</v>
      </c>
      <c r="AU102" s="26">
        <f t="shared" si="121"/>
        <v>0.2</v>
      </c>
      <c r="AV102" s="26">
        <f t="shared" si="121"/>
        <v>0.2</v>
      </c>
      <c r="AW102" s="26">
        <f t="shared" si="121"/>
        <v>0.1</v>
      </c>
      <c r="AX102" s="26">
        <f t="shared" si="121"/>
        <v>0</v>
      </c>
      <c r="AY102" s="26">
        <f t="shared" si="121"/>
        <v>0</v>
      </c>
      <c r="AZ102" s="26">
        <f t="shared" si="121"/>
        <v>0</v>
      </c>
      <c r="BA102" s="26">
        <f t="shared" si="121"/>
        <v>0</v>
      </c>
      <c r="BB102" s="26">
        <f t="shared" si="121"/>
        <v>0</v>
      </c>
      <c r="BC102" s="26">
        <f t="shared" si="122"/>
        <v>1.5</v>
      </c>
      <c r="BD102" s="26">
        <f t="shared" si="122"/>
        <v>1.5</v>
      </c>
      <c r="BE102" s="26">
        <f t="shared" si="122"/>
        <v>1.5</v>
      </c>
      <c r="BF102" s="26">
        <f t="shared" si="122"/>
        <v>1.5</v>
      </c>
      <c r="BG102" s="26">
        <f t="shared" si="122"/>
        <v>1.5</v>
      </c>
      <c r="BH102" s="26">
        <f t="shared" si="122"/>
        <v>2.5000000000000001E-2</v>
      </c>
      <c r="BI102" s="26">
        <f t="shared" si="122"/>
        <v>1</v>
      </c>
      <c r="BJ102" s="26">
        <f t="shared" si="122"/>
        <v>1</v>
      </c>
      <c r="BK102" s="26">
        <f t="shared" si="122"/>
        <v>1</v>
      </c>
      <c r="BL102" s="26">
        <f t="shared" si="122"/>
        <v>1</v>
      </c>
      <c r="BM102" s="26">
        <f t="shared" si="123"/>
        <v>1</v>
      </c>
      <c r="BN102" s="26">
        <f t="shared" si="123"/>
        <v>0.2</v>
      </c>
      <c r="BO102" s="26">
        <f t="shared" si="123"/>
        <v>0.2</v>
      </c>
      <c r="BP102" s="26">
        <f t="shared" si="123"/>
        <v>0.2</v>
      </c>
      <c r="BQ102" s="26">
        <f t="shared" si="123"/>
        <v>0.2</v>
      </c>
      <c r="BR102" s="26">
        <f t="shared" si="123"/>
        <v>0.2</v>
      </c>
      <c r="BS102" s="26">
        <f t="shared" si="123"/>
        <v>0.1</v>
      </c>
      <c r="BT102" s="26">
        <f t="shared" si="123"/>
        <v>2.5000000000000001E-2</v>
      </c>
      <c r="BU102" s="26">
        <f t="shared" si="123"/>
        <v>2.5000000000000001E-2</v>
      </c>
      <c r="BV102" s="26">
        <f t="shared" si="123"/>
        <v>0</v>
      </c>
      <c r="BW102" s="26">
        <f t="shared" si="123"/>
        <v>0</v>
      </c>
      <c r="BX102" s="26">
        <f t="shared" si="123"/>
        <v>0</v>
      </c>
      <c r="BY102" s="26">
        <f t="shared" si="124"/>
        <v>1.5</v>
      </c>
      <c r="BZ102" s="26">
        <f t="shared" si="124"/>
        <v>1.5</v>
      </c>
      <c r="CA102" s="26">
        <f t="shared" si="124"/>
        <v>1.5</v>
      </c>
      <c r="CB102" s="26">
        <f t="shared" si="124"/>
        <v>1.5</v>
      </c>
      <c r="CC102" s="26">
        <f t="shared" si="124"/>
        <v>1.5</v>
      </c>
      <c r="CD102" s="26">
        <f t="shared" si="124"/>
        <v>0.05</v>
      </c>
      <c r="CE102" s="26">
        <f t="shared" si="124"/>
        <v>1</v>
      </c>
      <c r="CF102" s="26">
        <f t="shared" si="124"/>
        <v>1</v>
      </c>
      <c r="CG102" s="26">
        <f t="shared" si="124"/>
        <v>1</v>
      </c>
      <c r="CH102" s="26">
        <f t="shared" si="124"/>
        <v>1</v>
      </c>
      <c r="CI102" s="26">
        <f t="shared" si="125"/>
        <v>1</v>
      </c>
      <c r="CJ102" s="26">
        <f t="shared" si="125"/>
        <v>0.2</v>
      </c>
      <c r="CK102" s="26">
        <f t="shared" si="125"/>
        <v>0.2</v>
      </c>
      <c r="CL102" s="26">
        <f t="shared" si="125"/>
        <v>0.2</v>
      </c>
      <c r="CM102" s="26">
        <f t="shared" si="125"/>
        <v>0.2</v>
      </c>
      <c r="CN102" s="26">
        <f t="shared" si="125"/>
        <v>0.2</v>
      </c>
      <c r="CO102" s="26">
        <f t="shared" si="125"/>
        <v>0.1</v>
      </c>
      <c r="CP102" s="26">
        <f t="shared" si="125"/>
        <v>0.05</v>
      </c>
      <c r="CQ102" s="26">
        <f t="shared" si="125"/>
        <v>0.05</v>
      </c>
      <c r="CR102" s="26">
        <f t="shared" si="125"/>
        <v>2.5000000000000001E-2</v>
      </c>
      <c r="CS102" s="26">
        <f t="shared" si="125"/>
        <v>0</v>
      </c>
      <c r="CT102" s="26">
        <f t="shared" si="125"/>
        <v>0</v>
      </c>
      <c r="CU102" s="26">
        <f t="shared" si="126"/>
        <v>1.5</v>
      </c>
      <c r="CV102" s="26">
        <f t="shared" si="126"/>
        <v>1.5</v>
      </c>
      <c r="CW102" s="26">
        <f t="shared" si="126"/>
        <v>1.5</v>
      </c>
      <c r="CX102" s="26">
        <f t="shared" si="126"/>
        <v>1.5</v>
      </c>
      <c r="CY102" s="26">
        <f t="shared" si="126"/>
        <v>1.5</v>
      </c>
      <c r="CZ102" s="26">
        <f t="shared" si="126"/>
        <v>0.1</v>
      </c>
      <c r="DA102" s="26">
        <f t="shared" si="126"/>
        <v>1</v>
      </c>
      <c r="DB102" s="26">
        <f t="shared" si="126"/>
        <v>1</v>
      </c>
      <c r="DC102" s="26">
        <f t="shared" si="126"/>
        <v>1</v>
      </c>
      <c r="DD102" s="26">
        <f t="shared" si="126"/>
        <v>1</v>
      </c>
      <c r="DE102" s="26">
        <f t="shared" si="127"/>
        <v>1</v>
      </c>
      <c r="DF102" s="26">
        <f t="shared" si="127"/>
        <v>0.2</v>
      </c>
      <c r="DG102" s="26">
        <f t="shared" si="127"/>
        <v>0.2</v>
      </c>
      <c r="DH102" s="26">
        <f t="shared" si="127"/>
        <v>0.2</v>
      </c>
      <c r="DI102" s="26">
        <f t="shared" si="127"/>
        <v>0.2</v>
      </c>
      <c r="DJ102" s="26">
        <f t="shared" si="127"/>
        <v>0.2</v>
      </c>
      <c r="DK102" s="26">
        <f t="shared" si="127"/>
        <v>0.1</v>
      </c>
      <c r="DL102" s="26">
        <f t="shared" si="127"/>
        <v>0.1</v>
      </c>
      <c r="DM102" s="26">
        <f t="shared" si="127"/>
        <v>0.1</v>
      </c>
      <c r="DN102" s="26">
        <f t="shared" si="127"/>
        <v>0.05</v>
      </c>
      <c r="DO102" s="26">
        <f t="shared" si="127"/>
        <v>0.05</v>
      </c>
      <c r="DP102" s="26">
        <f t="shared" si="127"/>
        <v>0.05</v>
      </c>
      <c r="DQ102" s="26">
        <f t="shared" si="128"/>
        <v>1.5</v>
      </c>
      <c r="DR102" s="26">
        <f t="shared" si="128"/>
        <v>1.5</v>
      </c>
      <c r="DS102" s="26">
        <f t="shared" si="128"/>
        <v>1.5</v>
      </c>
      <c r="DT102" s="26">
        <f t="shared" si="128"/>
        <v>1.5</v>
      </c>
      <c r="DU102" s="26">
        <f t="shared" si="128"/>
        <v>1.5</v>
      </c>
      <c r="DV102" s="26">
        <f t="shared" si="128"/>
        <v>7.5000000000000011E-2</v>
      </c>
      <c r="DW102" s="26">
        <f t="shared" si="128"/>
        <v>1</v>
      </c>
      <c r="DX102" s="26">
        <f t="shared" si="128"/>
        <v>1</v>
      </c>
      <c r="DY102" s="26">
        <f t="shared" si="128"/>
        <v>1</v>
      </c>
      <c r="DZ102" s="26">
        <f t="shared" si="128"/>
        <v>1</v>
      </c>
      <c r="EA102" s="26">
        <f t="shared" si="129"/>
        <v>1</v>
      </c>
      <c r="EB102" s="26">
        <f t="shared" si="129"/>
        <v>0.2</v>
      </c>
      <c r="EC102" s="26">
        <f t="shared" si="129"/>
        <v>0.2</v>
      </c>
      <c r="ED102" s="26">
        <f t="shared" si="129"/>
        <v>0.2</v>
      </c>
      <c r="EE102" s="26">
        <f t="shared" si="129"/>
        <v>0.2</v>
      </c>
      <c r="EF102" s="26">
        <f t="shared" si="129"/>
        <v>0.2</v>
      </c>
      <c r="EG102" s="26">
        <f t="shared" si="129"/>
        <v>0.1</v>
      </c>
      <c r="EH102" s="26">
        <f t="shared" si="129"/>
        <v>7.5000000000000011E-2</v>
      </c>
      <c r="EI102" s="26">
        <f t="shared" si="129"/>
        <v>7.5000000000000011E-2</v>
      </c>
      <c r="EJ102" s="26">
        <f t="shared" si="129"/>
        <v>0.05</v>
      </c>
      <c r="EK102" s="26">
        <f t="shared" si="129"/>
        <v>0.05</v>
      </c>
      <c r="EL102" s="26">
        <f t="shared" si="129"/>
        <v>0.05</v>
      </c>
      <c r="EM102" s="26">
        <f t="shared" si="92"/>
        <v>319898</v>
      </c>
      <c r="EN102" s="26">
        <f t="shared" si="93"/>
        <v>386625</v>
      </c>
      <c r="EO102" s="26">
        <f t="shared" si="94"/>
        <v>486269</v>
      </c>
      <c r="EP102" s="26">
        <f t="shared" si="95"/>
        <v>771411</v>
      </c>
      <c r="EQ102" s="26">
        <f t="shared" si="96"/>
        <v>693045</v>
      </c>
    </row>
    <row r="103" spans="17:147">
      <c r="Q103" s="26">
        <v>99</v>
      </c>
      <c r="R103" s="26">
        <f>总纲!D103</f>
        <v>954.42578333369079</v>
      </c>
      <c r="S103" s="26">
        <f>求节点(将星点产出!$W$6:$W$44,将星点产出!$AO$6:$AO$44,星阵点亮!$Q103)</f>
        <v>638017.03368386801</v>
      </c>
      <c r="T103" s="26">
        <f t="shared" si="87"/>
        <v>49</v>
      </c>
      <c r="U103" s="26">
        <f>总纲!E103</f>
        <v>816.51125764197252</v>
      </c>
      <c r="V103" s="26">
        <f>求节点(将星点产出!$W$51:$W$89,将星点产出!$AO$51:$AO$89,星阵点亮!$Q103)</f>
        <v>747709.49947614269</v>
      </c>
      <c r="W103" s="26">
        <f t="shared" si="88"/>
        <v>52</v>
      </c>
      <c r="X103" s="26">
        <f>总纲!F103</f>
        <v>658.6492330785801</v>
      </c>
      <c r="Y103" s="26">
        <f>求节点(将星点产出!$W$96:$W$134,将星点产出!$AO$96:$AO$134,星阵点亮!$Q103)</f>
        <v>864379.57112630981</v>
      </c>
      <c r="Z103" s="26">
        <f t="shared" si="89"/>
        <v>55</v>
      </c>
      <c r="AA103" s="26">
        <f>总纲!G103</f>
        <v>475.39948267851139</v>
      </c>
      <c r="AB103" s="26">
        <f>求节点(将星点产出!$W$141:$W$179,将星点产出!$AO$141:$AO$179,星阵点亮!$Q103)</f>
        <v>1304290.9999775225</v>
      </c>
      <c r="AC103" s="26">
        <f t="shared" si="90"/>
        <v>66</v>
      </c>
      <c r="AD103" s="26">
        <f>总纲!H103</f>
        <v>257.59951892176309</v>
      </c>
      <c r="AE103" s="26">
        <f>求节点(将星点产出!$W$186:$W$224,将星点产出!$AO$186:$AO$224,星阵点亮!$Q103)</f>
        <v>1201843.8525294578</v>
      </c>
      <c r="AF103" s="26">
        <f t="shared" si="91"/>
        <v>64</v>
      </c>
      <c r="AG103" s="26">
        <f t="shared" si="120"/>
        <v>1.5</v>
      </c>
      <c r="AH103" s="26">
        <f t="shared" si="120"/>
        <v>1.5</v>
      </c>
      <c r="AI103" s="26">
        <f t="shared" si="120"/>
        <v>1.5</v>
      </c>
      <c r="AJ103" s="26">
        <f t="shared" si="120"/>
        <v>1.5</v>
      </c>
      <c r="AK103" s="26">
        <f t="shared" si="120"/>
        <v>1.5</v>
      </c>
      <c r="AL103" s="26">
        <f t="shared" si="120"/>
        <v>0</v>
      </c>
      <c r="AM103" s="26">
        <f t="shared" si="120"/>
        <v>1</v>
      </c>
      <c r="AN103" s="26">
        <f t="shared" si="120"/>
        <v>1</v>
      </c>
      <c r="AO103" s="26">
        <f t="shared" si="120"/>
        <v>1</v>
      </c>
      <c r="AP103" s="26">
        <f t="shared" si="120"/>
        <v>1</v>
      </c>
      <c r="AQ103" s="26">
        <f t="shared" si="121"/>
        <v>1</v>
      </c>
      <c r="AR103" s="26">
        <f t="shared" si="121"/>
        <v>0.2</v>
      </c>
      <c r="AS103" s="26">
        <f t="shared" si="121"/>
        <v>0.2</v>
      </c>
      <c r="AT103" s="26">
        <f t="shared" si="121"/>
        <v>0.2</v>
      </c>
      <c r="AU103" s="26">
        <f t="shared" si="121"/>
        <v>0.2</v>
      </c>
      <c r="AV103" s="26">
        <f t="shared" si="121"/>
        <v>0.2</v>
      </c>
      <c r="AW103" s="26">
        <f t="shared" si="121"/>
        <v>0.1</v>
      </c>
      <c r="AX103" s="26">
        <f t="shared" si="121"/>
        <v>2.5000000000000001E-2</v>
      </c>
      <c r="AY103" s="26">
        <f t="shared" si="121"/>
        <v>0</v>
      </c>
      <c r="AZ103" s="26">
        <f t="shared" si="121"/>
        <v>0</v>
      </c>
      <c r="BA103" s="26">
        <f t="shared" si="121"/>
        <v>0</v>
      </c>
      <c r="BB103" s="26">
        <f t="shared" si="121"/>
        <v>0</v>
      </c>
      <c r="BC103" s="26">
        <f t="shared" si="122"/>
        <v>1.5</v>
      </c>
      <c r="BD103" s="26">
        <f t="shared" si="122"/>
        <v>1.5</v>
      </c>
      <c r="BE103" s="26">
        <f t="shared" si="122"/>
        <v>1.5</v>
      </c>
      <c r="BF103" s="26">
        <f t="shared" si="122"/>
        <v>1.5</v>
      </c>
      <c r="BG103" s="26">
        <f t="shared" si="122"/>
        <v>1.5</v>
      </c>
      <c r="BH103" s="26">
        <f t="shared" si="122"/>
        <v>2.5000000000000001E-2</v>
      </c>
      <c r="BI103" s="26">
        <f t="shared" si="122"/>
        <v>1</v>
      </c>
      <c r="BJ103" s="26">
        <f t="shared" si="122"/>
        <v>1</v>
      </c>
      <c r="BK103" s="26">
        <f t="shared" si="122"/>
        <v>1</v>
      </c>
      <c r="BL103" s="26">
        <f t="shared" si="122"/>
        <v>1</v>
      </c>
      <c r="BM103" s="26">
        <f t="shared" si="123"/>
        <v>1</v>
      </c>
      <c r="BN103" s="26">
        <f t="shared" si="123"/>
        <v>0.2</v>
      </c>
      <c r="BO103" s="26">
        <f t="shared" si="123"/>
        <v>0.2</v>
      </c>
      <c r="BP103" s="26">
        <f t="shared" si="123"/>
        <v>0.2</v>
      </c>
      <c r="BQ103" s="26">
        <f t="shared" si="123"/>
        <v>0.2</v>
      </c>
      <c r="BR103" s="26">
        <f t="shared" si="123"/>
        <v>0.2</v>
      </c>
      <c r="BS103" s="26">
        <f t="shared" si="123"/>
        <v>0.1</v>
      </c>
      <c r="BT103" s="26">
        <f t="shared" si="123"/>
        <v>0.05</v>
      </c>
      <c r="BU103" s="26">
        <f t="shared" si="123"/>
        <v>2.5000000000000001E-2</v>
      </c>
      <c r="BV103" s="26">
        <f t="shared" si="123"/>
        <v>0</v>
      </c>
      <c r="BW103" s="26">
        <f t="shared" si="123"/>
        <v>0</v>
      </c>
      <c r="BX103" s="26">
        <f t="shared" si="123"/>
        <v>0</v>
      </c>
      <c r="BY103" s="26">
        <f t="shared" si="124"/>
        <v>1.5</v>
      </c>
      <c r="BZ103" s="26">
        <f t="shared" si="124"/>
        <v>1.5</v>
      </c>
      <c r="CA103" s="26">
        <f t="shared" si="124"/>
        <v>1.5</v>
      </c>
      <c r="CB103" s="26">
        <f t="shared" si="124"/>
        <v>1.5</v>
      </c>
      <c r="CC103" s="26">
        <f t="shared" si="124"/>
        <v>1.5</v>
      </c>
      <c r="CD103" s="26">
        <f t="shared" si="124"/>
        <v>0.05</v>
      </c>
      <c r="CE103" s="26">
        <f t="shared" si="124"/>
        <v>1</v>
      </c>
      <c r="CF103" s="26">
        <f t="shared" si="124"/>
        <v>1</v>
      </c>
      <c r="CG103" s="26">
        <f t="shared" si="124"/>
        <v>1</v>
      </c>
      <c r="CH103" s="26">
        <f t="shared" si="124"/>
        <v>1</v>
      </c>
      <c r="CI103" s="26">
        <f t="shared" si="125"/>
        <v>1</v>
      </c>
      <c r="CJ103" s="26">
        <f t="shared" si="125"/>
        <v>0.2</v>
      </c>
      <c r="CK103" s="26">
        <f t="shared" si="125"/>
        <v>0.2</v>
      </c>
      <c r="CL103" s="26">
        <f t="shared" si="125"/>
        <v>0.2</v>
      </c>
      <c r="CM103" s="26">
        <f t="shared" si="125"/>
        <v>0.2</v>
      </c>
      <c r="CN103" s="26">
        <f t="shared" si="125"/>
        <v>0.2</v>
      </c>
      <c r="CO103" s="26">
        <f t="shared" si="125"/>
        <v>0.1</v>
      </c>
      <c r="CP103" s="26">
        <f t="shared" si="125"/>
        <v>0.05</v>
      </c>
      <c r="CQ103" s="26">
        <f t="shared" si="125"/>
        <v>0.05</v>
      </c>
      <c r="CR103" s="26">
        <f t="shared" si="125"/>
        <v>2.5000000000000001E-2</v>
      </c>
      <c r="CS103" s="26">
        <f t="shared" si="125"/>
        <v>0</v>
      </c>
      <c r="CT103" s="26">
        <f t="shared" si="125"/>
        <v>0</v>
      </c>
      <c r="CU103" s="26">
        <f t="shared" si="126"/>
        <v>1.5</v>
      </c>
      <c r="CV103" s="26">
        <f t="shared" si="126"/>
        <v>1.5</v>
      </c>
      <c r="CW103" s="26">
        <f t="shared" si="126"/>
        <v>1.5</v>
      </c>
      <c r="CX103" s="26">
        <f t="shared" si="126"/>
        <v>1.5</v>
      </c>
      <c r="CY103" s="26">
        <f t="shared" si="126"/>
        <v>1.5</v>
      </c>
      <c r="CZ103" s="26">
        <f t="shared" si="126"/>
        <v>0.1</v>
      </c>
      <c r="DA103" s="26">
        <f t="shared" si="126"/>
        <v>1</v>
      </c>
      <c r="DB103" s="26">
        <f t="shared" si="126"/>
        <v>1</v>
      </c>
      <c r="DC103" s="26">
        <f t="shared" si="126"/>
        <v>1</v>
      </c>
      <c r="DD103" s="26">
        <f t="shared" si="126"/>
        <v>1</v>
      </c>
      <c r="DE103" s="26">
        <f t="shared" si="127"/>
        <v>1</v>
      </c>
      <c r="DF103" s="26">
        <f t="shared" si="127"/>
        <v>0.2</v>
      </c>
      <c r="DG103" s="26">
        <f t="shared" si="127"/>
        <v>0.2</v>
      </c>
      <c r="DH103" s="26">
        <f t="shared" si="127"/>
        <v>0.2</v>
      </c>
      <c r="DI103" s="26">
        <f t="shared" si="127"/>
        <v>0.2</v>
      </c>
      <c r="DJ103" s="26">
        <f t="shared" si="127"/>
        <v>0.2</v>
      </c>
      <c r="DK103" s="26">
        <f t="shared" si="127"/>
        <v>0.1</v>
      </c>
      <c r="DL103" s="26">
        <f t="shared" si="127"/>
        <v>0.1</v>
      </c>
      <c r="DM103" s="26">
        <f t="shared" si="127"/>
        <v>0.1</v>
      </c>
      <c r="DN103" s="26">
        <f t="shared" si="127"/>
        <v>0.05</v>
      </c>
      <c r="DO103" s="26">
        <f t="shared" si="127"/>
        <v>0.05</v>
      </c>
      <c r="DP103" s="26">
        <f t="shared" si="127"/>
        <v>0.05</v>
      </c>
      <c r="DQ103" s="26">
        <f t="shared" si="128"/>
        <v>1.5</v>
      </c>
      <c r="DR103" s="26">
        <f t="shared" si="128"/>
        <v>1.5</v>
      </c>
      <c r="DS103" s="26">
        <f t="shared" si="128"/>
        <v>1.5</v>
      </c>
      <c r="DT103" s="26">
        <f t="shared" si="128"/>
        <v>1.5</v>
      </c>
      <c r="DU103" s="26">
        <f t="shared" si="128"/>
        <v>1.5</v>
      </c>
      <c r="DV103" s="26">
        <f t="shared" si="128"/>
        <v>7.5000000000000011E-2</v>
      </c>
      <c r="DW103" s="26">
        <f t="shared" si="128"/>
        <v>1</v>
      </c>
      <c r="DX103" s="26">
        <f t="shared" si="128"/>
        <v>1</v>
      </c>
      <c r="DY103" s="26">
        <f t="shared" si="128"/>
        <v>1</v>
      </c>
      <c r="DZ103" s="26">
        <f t="shared" si="128"/>
        <v>1</v>
      </c>
      <c r="EA103" s="26">
        <f t="shared" si="129"/>
        <v>1</v>
      </c>
      <c r="EB103" s="26">
        <f t="shared" si="129"/>
        <v>0.2</v>
      </c>
      <c r="EC103" s="26">
        <f t="shared" si="129"/>
        <v>0.2</v>
      </c>
      <c r="ED103" s="26">
        <f t="shared" si="129"/>
        <v>0.2</v>
      </c>
      <c r="EE103" s="26">
        <f t="shared" si="129"/>
        <v>0.2</v>
      </c>
      <c r="EF103" s="26">
        <f t="shared" si="129"/>
        <v>0.2</v>
      </c>
      <c r="EG103" s="26">
        <f t="shared" si="129"/>
        <v>0.1</v>
      </c>
      <c r="EH103" s="26">
        <f t="shared" si="129"/>
        <v>0.1</v>
      </c>
      <c r="EI103" s="26">
        <f t="shared" si="129"/>
        <v>7.5000000000000011E-2</v>
      </c>
      <c r="EJ103" s="26">
        <f t="shared" si="129"/>
        <v>0.05</v>
      </c>
      <c r="EK103" s="26">
        <f t="shared" si="129"/>
        <v>0.05</v>
      </c>
      <c r="EL103" s="26">
        <f t="shared" si="129"/>
        <v>0.05</v>
      </c>
      <c r="EM103" s="26">
        <f t="shared" si="92"/>
        <v>339909</v>
      </c>
      <c r="EN103" s="26">
        <f t="shared" si="93"/>
        <v>411461</v>
      </c>
      <c r="EO103" s="26">
        <f t="shared" si="94"/>
        <v>486269</v>
      </c>
      <c r="EP103" s="26">
        <f t="shared" si="95"/>
        <v>771411</v>
      </c>
      <c r="EQ103" s="26">
        <f t="shared" si="96"/>
        <v>719117</v>
      </c>
    </row>
    <row r="104" spans="17:147">
      <c r="Q104" s="26">
        <v>100</v>
      </c>
      <c r="R104" s="26">
        <f>总纲!D104</f>
        <v>1023</v>
      </c>
      <c r="S104" s="26">
        <f>求节点(将星点产出!$W$6:$W$44,将星点产出!$AO$6:$AO$44,星阵点亮!$Q104)</f>
        <v>670029.83886725095</v>
      </c>
      <c r="T104" s="26">
        <f t="shared" si="87"/>
        <v>50</v>
      </c>
      <c r="U104" s="26">
        <f>总纲!E104</f>
        <v>875.38110000000006</v>
      </c>
      <c r="V104" s="26">
        <f>求节点(将星点产出!$W$51:$W$89,将星点产出!$AO$51:$AO$89,星阵点亮!$Q104)</f>
        <v>773879.94009322359</v>
      </c>
      <c r="W104" s="26">
        <f t="shared" si="88"/>
        <v>53</v>
      </c>
      <c r="X104" s="26">
        <f>总纲!F104</f>
        <v>706.6884</v>
      </c>
      <c r="Y104" s="26">
        <f>求节点(将星点产出!$W$96:$W$134,将星点产出!$AO$96:$AO$134,星阵点亮!$Q104)</f>
        <v>877472.31644367799</v>
      </c>
      <c r="Z104" s="26">
        <f t="shared" si="89"/>
        <v>56</v>
      </c>
      <c r="AA104" s="26">
        <f>总纲!G104</f>
        <v>508.22640000000001</v>
      </c>
      <c r="AB104" s="26">
        <f>求节点(将星点产出!$W$141:$W$179,将星点产出!$AO$141:$AO$179,星阵点亮!$Q104)</f>
        <v>1304448.4725167186</v>
      </c>
      <c r="AC104" s="26">
        <f t="shared" si="90"/>
        <v>66</v>
      </c>
      <c r="AD104" s="26">
        <f>总纲!H104</f>
        <v>274.77780000000001</v>
      </c>
      <c r="AE104" s="26">
        <f>求节点(将星点产出!$W$186:$W$224,将星点产出!$AO$186:$AO$224,星阵点亮!$Q104)</f>
        <v>1228996.7182038769</v>
      </c>
      <c r="AF104" s="26">
        <f t="shared" si="91"/>
        <v>64</v>
      </c>
      <c r="AG104" s="26">
        <f t="shared" si="120"/>
        <v>1.5</v>
      </c>
      <c r="AH104" s="26">
        <f t="shared" si="120"/>
        <v>1.5</v>
      </c>
      <c r="AI104" s="26">
        <f t="shared" si="120"/>
        <v>1.5</v>
      </c>
      <c r="AJ104" s="26">
        <f t="shared" si="120"/>
        <v>1.5</v>
      </c>
      <c r="AK104" s="26">
        <f t="shared" si="120"/>
        <v>1.5</v>
      </c>
      <c r="AL104" s="26">
        <f t="shared" si="120"/>
        <v>0</v>
      </c>
      <c r="AM104" s="26">
        <f t="shared" si="120"/>
        <v>1</v>
      </c>
      <c r="AN104" s="26">
        <f t="shared" si="120"/>
        <v>1</v>
      </c>
      <c r="AO104" s="26">
        <f t="shared" si="120"/>
        <v>1</v>
      </c>
      <c r="AP104" s="26">
        <f t="shared" si="120"/>
        <v>1</v>
      </c>
      <c r="AQ104" s="26">
        <f t="shared" si="121"/>
        <v>1</v>
      </c>
      <c r="AR104" s="26">
        <f t="shared" si="121"/>
        <v>0.2</v>
      </c>
      <c r="AS104" s="26">
        <f t="shared" si="121"/>
        <v>0.2</v>
      </c>
      <c r="AT104" s="26">
        <f t="shared" si="121"/>
        <v>0.2</v>
      </c>
      <c r="AU104" s="26">
        <f t="shared" si="121"/>
        <v>0.2</v>
      </c>
      <c r="AV104" s="26">
        <f t="shared" si="121"/>
        <v>0.2</v>
      </c>
      <c r="AW104" s="26">
        <f t="shared" si="121"/>
        <v>0.1</v>
      </c>
      <c r="AX104" s="26">
        <f t="shared" si="121"/>
        <v>2.5000000000000001E-2</v>
      </c>
      <c r="AY104" s="26">
        <f t="shared" si="121"/>
        <v>2.5000000000000001E-2</v>
      </c>
      <c r="AZ104" s="26">
        <f t="shared" si="121"/>
        <v>0</v>
      </c>
      <c r="BA104" s="26">
        <f t="shared" si="121"/>
        <v>0</v>
      </c>
      <c r="BB104" s="26">
        <f t="shared" si="121"/>
        <v>0</v>
      </c>
      <c r="BC104" s="26">
        <f t="shared" si="122"/>
        <v>1.5</v>
      </c>
      <c r="BD104" s="26">
        <f t="shared" si="122"/>
        <v>1.5</v>
      </c>
      <c r="BE104" s="26">
        <f t="shared" si="122"/>
        <v>1.5</v>
      </c>
      <c r="BF104" s="26">
        <f t="shared" si="122"/>
        <v>1.5</v>
      </c>
      <c r="BG104" s="26">
        <f t="shared" si="122"/>
        <v>1.5</v>
      </c>
      <c r="BH104" s="26">
        <f t="shared" si="122"/>
        <v>2.5000000000000001E-2</v>
      </c>
      <c r="BI104" s="26">
        <f t="shared" si="122"/>
        <v>1</v>
      </c>
      <c r="BJ104" s="26">
        <f t="shared" si="122"/>
        <v>1</v>
      </c>
      <c r="BK104" s="26">
        <f t="shared" si="122"/>
        <v>1</v>
      </c>
      <c r="BL104" s="26">
        <f t="shared" si="122"/>
        <v>1</v>
      </c>
      <c r="BM104" s="26">
        <f t="shared" si="123"/>
        <v>1</v>
      </c>
      <c r="BN104" s="26">
        <f t="shared" si="123"/>
        <v>0.2</v>
      </c>
      <c r="BO104" s="26">
        <f t="shared" si="123"/>
        <v>0.2</v>
      </c>
      <c r="BP104" s="26">
        <f t="shared" si="123"/>
        <v>0.2</v>
      </c>
      <c r="BQ104" s="26">
        <f t="shared" si="123"/>
        <v>0.2</v>
      </c>
      <c r="BR104" s="26">
        <f t="shared" si="123"/>
        <v>0.2</v>
      </c>
      <c r="BS104" s="26">
        <f t="shared" si="123"/>
        <v>0.1</v>
      </c>
      <c r="BT104" s="26">
        <f t="shared" si="123"/>
        <v>0.05</v>
      </c>
      <c r="BU104" s="26">
        <f t="shared" si="123"/>
        <v>0.05</v>
      </c>
      <c r="BV104" s="26">
        <f t="shared" si="123"/>
        <v>0</v>
      </c>
      <c r="BW104" s="26">
        <f t="shared" si="123"/>
        <v>0</v>
      </c>
      <c r="BX104" s="26">
        <f t="shared" si="123"/>
        <v>0</v>
      </c>
      <c r="BY104" s="26">
        <f t="shared" si="124"/>
        <v>1.5</v>
      </c>
      <c r="BZ104" s="26">
        <f t="shared" si="124"/>
        <v>1.5</v>
      </c>
      <c r="CA104" s="26">
        <f t="shared" si="124"/>
        <v>1.5</v>
      </c>
      <c r="CB104" s="26">
        <f t="shared" si="124"/>
        <v>1.5</v>
      </c>
      <c r="CC104" s="26">
        <f t="shared" si="124"/>
        <v>1.5</v>
      </c>
      <c r="CD104" s="26">
        <f t="shared" si="124"/>
        <v>0.05</v>
      </c>
      <c r="CE104" s="26">
        <f t="shared" si="124"/>
        <v>1</v>
      </c>
      <c r="CF104" s="26">
        <f t="shared" si="124"/>
        <v>1</v>
      </c>
      <c r="CG104" s="26">
        <f t="shared" si="124"/>
        <v>1</v>
      </c>
      <c r="CH104" s="26">
        <f t="shared" si="124"/>
        <v>1</v>
      </c>
      <c r="CI104" s="26">
        <f t="shared" si="125"/>
        <v>1</v>
      </c>
      <c r="CJ104" s="26">
        <f t="shared" si="125"/>
        <v>0.2</v>
      </c>
      <c r="CK104" s="26">
        <f t="shared" si="125"/>
        <v>0.2</v>
      </c>
      <c r="CL104" s="26">
        <f t="shared" si="125"/>
        <v>0.2</v>
      </c>
      <c r="CM104" s="26">
        <f t="shared" si="125"/>
        <v>0.2</v>
      </c>
      <c r="CN104" s="26">
        <f t="shared" si="125"/>
        <v>0.2</v>
      </c>
      <c r="CO104" s="26">
        <f t="shared" si="125"/>
        <v>0.1</v>
      </c>
      <c r="CP104" s="26">
        <f t="shared" si="125"/>
        <v>0.05</v>
      </c>
      <c r="CQ104" s="26">
        <f t="shared" si="125"/>
        <v>0.05</v>
      </c>
      <c r="CR104" s="26">
        <f t="shared" si="125"/>
        <v>2.5000000000000001E-2</v>
      </c>
      <c r="CS104" s="26">
        <f t="shared" si="125"/>
        <v>2.5000000000000001E-2</v>
      </c>
      <c r="CT104" s="26">
        <f t="shared" si="125"/>
        <v>0</v>
      </c>
      <c r="CU104" s="26">
        <f t="shared" si="126"/>
        <v>1.5</v>
      </c>
      <c r="CV104" s="26">
        <f t="shared" si="126"/>
        <v>1.5</v>
      </c>
      <c r="CW104" s="26">
        <f t="shared" si="126"/>
        <v>1.5</v>
      </c>
      <c r="CX104" s="26">
        <f t="shared" si="126"/>
        <v>1.5</v>
      </c>
      <c r="CY104" s="26">
        <f t="shared" si="126"/>
        <v>1.5</v>
      </c>
      <c r="CZ104" s="26">
        <f t="shared" si="126"/>
        <v>0.1</v>
      </c>
      <c r="DA104" s="26">
        <f t="shared" si="126"/>
        <v>1</v>
      </c>
      <c r="DB104" s="26">
        <f t="shared" si="126"/>
        <v>1</v>
      </c>
      <c r="DC104" s="26">
        <f t="shared" si="126"/>
        <v>1</v>
      </c>
      <c r="DD104" s="26">
        <f t="shared" si="126"/>
        <v>1</v>
      </c>
      <c r="DE104" s="26">
        <f t="shared" si="127"/>
        <v>1</v>
      </c>
      <c r="DF104" s="26">
        <f t="shared" si="127"/>
        <v>0.2</v>
      </c>
      <c r="DG104" s="26">
        <f t="shared" si="127"/>
        <v>0.2</v>
      </c>
      <c r="DH104" s="26">
        <f t="shared" si="127"/>
        <v>0.2</v>
      </c>
      <c r="DI104" s="26">
        <f t="shared" si="127"/>
        <v>0.2</v>
      </c>
      <c r="DJ104" s="26">
        <f t="shared" si="127"/>
        <v>0.2</v>
      </c>
      <c r="DK104" s="26">
        <f t="shared" si="127"/>
        <v>0.1</v>
      </c>
      <c r="DL104" s="26">
        <f t="shared" si="127"/>
        <v>0.1</v>
      </c>
      <c r="DM104" s="26">
        <f t="shared" si="127"/>
        <v>0.1</v>
      </c>
      <c r="DN104" s="26">
        <f t="shared" si="127"/>
        <v>0.05</v>
      </c>
      <c r="DO104" s="26">
        <f t="shared" si="127"/>
        <v>0.05</v>
      </c>
      <c r="DP104" s="26">
        <f t="shared" si="127"/>
        <v>0.05</v>
      </c>
      <c r="DQ104" s="26">
        <f t="shared" si="128"/>
        <v>1.5</v>
      </c>
      <c r="DR104" s="26">
        <f t="shared" si="128"/>
        <v>1.5</v>
      </c>
      <c r="DS104" s="26">
        <f t="shared" si="128"/>
        <v>1.5</v>
      </c>
      <c r="DT104" s="26">
        <f t="shared" si="128"/>
        <v>1.5</v>
      </c>
      <c r="DU104" s="26">
        <f t="shared" si="128"/>
        <v>1.5</v>
      </c>
      <c r="DV104" s="26">
        <f t="shared" si="128"/>
        <v>7.5000000000000011E-2</v>
      </c>
      <c r="DW104" s="26">
        <f t="shared" si="128"/>
        <v>1</v>
      </c>
      <c r="DX104" s="26">
        <f t="shared" si="128"/>
        <v>1</v>
      </c>
      <c r="DY104" s="26">
        <f t="shared" si="128"/>
        <v>1</v>
      </c>
      <c r="DZ104" s="26">
        <f t="shared" si="128"/>
        <v>1</v>
      </c>
      <c r="EA104" s="26">
        <f t="shared" si="129"/>
        <v>1</v>
      </c>
      <c r="EB104" s="26">
        <f t="shared" si="129"/>
        <v>0.2</v>
      </c>
      <c r="EC104" s="26">
        <f t="shared" si="129"/>
        <v>0.2</v>
      </c>
      <c r="ED104" s="26">
        <f t="shared" si="129"/>
        <v>0.2</v>
      </c>
      <c r="EE104" s="26">
        <f t="shared" si="129"/>
        <v>0.2</v>
      </c>
      <c r="EF104" s="26">
        <f t="shared" si="129"/>
        <v>0.2</v>
      </c>
      <c r="EG104" s="26">
        <f t="shared" si="129"/>
        <v>0.1</v>
      </c>
      <c r="EH104" s="26">
        <f t="shared" si="129"/>
        <v>0.1</v>
      </c>
      <c r="EI104" s="26">
        <f t="shared" si="129"/>
        <v>7.5000000000000011E-2</v>
      </c>
      <c r="EJ104" s="26">
        <f t="shared" si="129"/>
        <v>0.05</v>
      </c>
      <c r="EK104" s="26">
        <f t="shared" si="129"/>
        <v>0.05</v>
      </c>
      <c r="EL104" s="26">
        <f t="shared" si="129"/>
        <v>0.05</v>
      </c>
      <c r="EM104" s="26">
        <f t="shared" si="92"/>
        <v>361839</v>
      </c>
      <c r="EN104" s="26">
        <f t="shared" si="93"/>
        <v>436347</v>
      </c>
      <c r="EO104" s="26">
        <f t="shared" si="94"/>
        <v>511941</v>
      </c>
      <c r="EP104" s="26">
        <f t="shared" si="95"/>
        <v>771411</v>
      </c>
      <c r="EQ104" s="26">
        <f t="shared" si="96"/>
        <v>719117</v>
      </c>
    </row>
    <row r="105" spans="17:147">
      <c r="Q105" s="26">
        <v>101</v>
      </c>
      <c r="R105" s="26">
        <f>总纲!D105</f>
        <v>1096.4960256371633</v>
      </c>
      <c r="S105" s="26">
        <f>求节点(将星点产出!$W$6:$W$44,将星点产出!$AO$6:$AO$44,星阵点亮!$Q105)</f>
        <v>695984.89798556594</v>
      </c>
      <c r="T105" s="26">
        <f t="shared" si="87"/>
        <v>50</v>
      </c>
      <c r="U105" s="26">
        <f>总纲!E105</f>
        <v>939.14884595823037</v>
      </c>
      <c r="V105" s="26">
        <f>求节点(将星点产出!$W$51:$W$89,将星点产出!$AO$51:$AO$89,星阵点亮!$Q105)</f>
        <v>795888.55455922137</v>
      </c>
      <c r="W105" s="26">
        <f t="shared" si="88"/>
        <v>54</v>
      </c>
      <c r="X105" s="26">
        <f>总纲!F105</f>
        <v>756.25330888195151</v>
      </c>
      <c r="Y105" s="26">
        <f>求节点(将星点产出!$W$96:$W$134,将星点产出!$AO$96:$AO$134,星阵点亮!$Q105)</f>
        <v>892067.17175964278</v>
      </c>
      <c r="Z105" s="26">
        <f t="shared" si="89"/>
        <v>56</v>
      </c>
      <c r="AA105" s="26">
        <f>总纲!G105</f>
        <v>541.99798547244984</v>
      </c>
      <c r="AB105" s="26">
        <f>求节点(将星点产出!$W$141:$W$179,将星点产出!$AO$141:$AO$179,星阵点亮!$Q105)</f>
        <v>1304550</v>
      </c>
      <c r="AC105" s="26">
        <f t="shared" si="90"/>
        <v>66</v>
      </c>
      <c r="AD105" s="26">
        <f>总纲!H105</f>
        <v>293.42233646050488</v>
      </c>
      <c r="AE105" s="26">
        <f>求节点(将星点产出!$W$186:$W$224,将星点产出!$AO$186:$AO$224,星阵点亮!$Q105)</f>
        <v>1254806.4273835379</v>
      </c>
      <c r="AF105" s="26">
        <f t="shared" si="91"/>
        <v>65</v>
      </c>
      <c r="AG105" s="26">
        <f t="shared" ref="AG105:AP114" si="130">SUMIFS($J$5:$J$76,$I$5:$I$76,AG$4,$H$5:$H$76,"&lt;="&amp;$T105)</f>
        <v>1.5</v>
      </c>
      <c r="AH105" s="26">
        <f t="shared" si="130"/>
        <v>1.5</v>
      </c>
      <c r="AI105" s="26">
        <f t="shared" si="130"/>
        <v>1.5</v>
      </c>
      <c r="AJ105" s="26">
        <f t="shared" si="130"/>
        <v>1.5</v>
      </c>
      <c r="AK105" s="26">
        <f t="shared" si="130"/>
        <v>1.5</v>
      </c>
      <c r="AL105" s="26">
        <f t="shared" si="130"/>
        <v>0</v>
      </c>
      <c r="AM105" s="26">
        <f t="shared" si="130"/>
        <v>1</v>
      </c>
      <c r="AN105" s="26">
        <f t="shared" si="130"/>
        <v>1</v>
      </c>
      <c r="AO105" s="26">
        <f t="shared" si="130"/>
        <v>1</v>
      </c>
      <c r="AP105" s="26">
        <f t="shared" si="130"/>
        <v>1</v>
      </c>
      <c r="AQ105" s="26">
        <f t="shared" ref="AQ105:BB114" si="131">SUMIFS($J$5:$J$76,$I$5:$I$76,AQ$4,$H$5:$H$76,"&lt;="&amp;$T105)</f>
        <v>1</v>
      </c>
      <c r="AR105" s="26">
        <f t="shared" si="131"/>
        <v>0.2</v>
      </c>
      <c r="AS105" s="26">
        <f t="shared" si="131"/>
        <v>0.2</v>
      </c>
      <c r="AT105" s="26">
        <f t="shared" si="131"/>
        <v>0.2</v>
      </c>
      <c r="AU105" s="26">
        <f t="shared" si="131"/>
        <v>0.2</v>
      </c>
      <c r="AV105" s="26">
        <f t="shared" si="131"/>
        <v>0.2</v>
      </c>
      <c r="AW105" s="26">
        <f t="shared" si="131"/>
        <v>0.1</v>
      </c>
      <c r="AX105" s="26">
        <f t="shared" si="131"/>
        <v>2.5000000000000001E-2</v>
      </c>
      <c r="AY105" s="26">
        <f t="shared" si="131"/>
        <v>2.5000000000000001E-2</v>
      </c>
      <c r="AZ105" s="26">
        <f t="shared" si="131"/>
        <v>0</v>
      </c>
      <c r="BA105" s="26">
        <f t="shared" si="131"/>
        <v>0</v>
      </c>
      <c r="BB105" s="26">
        <f t="shared" si="131"/>
        <v>0</v>
      </c>
      <c r="BC105" s="26">
        <f t="shared" ref="BC105:BL114" si="132">SUMIFS($J$5:$J$76,$I$5:$I$76,BC$4,$H$5:$H$76,"&lt;="&amp;$W105)</f>
        <v>1.5</v>
      </c>
      <c r="BD105" s="26">
        <f t="shared" si="132"/>
        <v>1.5</v>
      </c>
      <c r="BE105" s="26">
        <f t="shared" si="132"/>
        <v>1.5</v>
      </c>
      <c r="BF105" s="26">
        <f t="shared" si="132"/>
        <v>1.5</v>
      </c>
      <c r="BG105" s="26">
        <f t="shared" si="132"/>
        <v>1.5</v>
      </c>
      <c r="BH105" s="26">
        <f t="shared" si="132"/>
        <v>0.05</v>
      </c>
      <c r="BI105" s="26">
        <f t="shared" si="132"/>
        <v>1</v>
      </c>
      <c r="BJ105" s="26">
        <f t="shared" si="132"/>
        <v>1</v>
      </c>
      <c r="BK105" s="26">
        <f t="shared" si="132"/>
        <v>1</v>
      </c>
      <c r="BL105" s="26">
        <f t="shared" si="132"/>
        <v>1</v>
      </c>
      <c r="BM105" s="26">
        <f t="shared" ref="BM105:BX114" si="133">SUMIFS($J$5:$J$76,$I$5:$I$76,BM$4,$H$5:$H$76,"&lt;="&amp;$W105)</f>
        <v>1</v>
      </c>
      <c r="BN105" s="26">
        <f t="shared" si="133"/>
        <v>0.2</v>
      </c>
      <c r="BO105" s="26">
        <f t="shared" si="133"/>
        <v>0.2</v>
      </c>
      <c r="BP105" s="26">
        <f t="shared" si="133"/>
        <v>0.2</v>
      </c>
      <c r="BQ105" s="26">
        <f t="shared" si="133"/>
        <v>0.2</v>
      </c>
      <c r="BR105" s="26">
        <f t="shared" si="133"/>
        <v>0.2</v>
      </c>
      <c r="BS105" s="26">
        <f t="shared" si="133"/>
        <v>0.1</v>
      </c>
      <c r="BT105" s="26">
        <f t="shared" si="133"/>
        <v>0.05</v>
      </c>
      <c r="BU105" s="26">
        <f t="shared" si="133"/>
        <v>0.05</v>
      </c>
      <c r="BV105" s="26">
        <f t="shared" si="133"/>
        <v>0</v>
      </c>
      <c r="BW105" s="26">
        <f t="shared" si="133"/>
        <v>0</v>
      </c>
      <c r="BX105" s="26">
        <f t="shared" si="133"/>
        <v>0</v>
      </c>
      <c r="BY105" s="26">
        <f t="shared" ref="BY105:CH114" si="134">SUMIFS($J$5:$J$76,$I$5:$I$76,BY$4,$H$5:$H$76,"&lt;="&amp;$Z105)</f>
        <v>1.5</v>
      </c>
      <c r="BZ105" s="26">
        <f t="shared" si="134"/>
        <v>1.5</v>
      </c>
      <c r="CA105" s="26">
        <f t="shared" si="134"/>
        <v>1.5</v>
      </c>
      <c r="CB105" s="26">
        <f t="shared" si="134"/>
        <v>1.5</v>
      </c>
      <c r="CC105" s="26">
        <f t="shared" si="134"/>
        <v>1.5</v>
      </c>
      <c r="CD105" s="26">
        <f t="shared" si="134"/>
        <v>0.05</v>
      </c>
      <c r="CE105" s="26">
        <f t="shared" si="134"/>
        <v>1</v>
      </c>
      <c r="CF105" s="26">
        <f t="shared" si="134"/>
        <v>1</v>
      </c>
      <c r="CG105" s="26">
        <f t="shared" si="134"/>
        <v>1</v>
      </c>
      <c r="CH105" s="26">
        <f t="shared" si="134"/>
        <v>1</v>
      </c>
      <c r="CI105" s="26">
        <f t="shared" ref="CI105:CT114" si="135">SUMIFS($J$5:$J$76,$I$5:$I$76,CI$4,$H$5:$H$76,"&lt;="&amp;$Z105)</f>
        <v>1</v>
      </c>
      <c r="CJ105" s="26">
        <f t="shared" si="135"/>
        <v>0.2</v>
      </c>
      <c r="CK105" s="26">
        <f t="shared" si="135"/>
        <v>0.2</v>
      </c>
      <c r="CL105" s="26">
        <f t="shared" si="135"/>
        <v>0.2</v>
      </c>
      <c r="CM105" s="26">
        <f t="shared" si="135"/>
        <v>0.2</v>
      </c>
      <c r="CN105" s="26">
        <f t="shared" si="135"/>
        <v>0.2</v>
      </c>
      <c r="CO105" s="26">
        <f t="shared" si="135"/>
        <v>0.1</v>
      </c>
      <c r="CP105" s="26">
        <f t="shared" si="135"/>
        <v>0.05</v>
      </c>
      <c r="CQ105" s="26">
        <f t="shared" si="135"/>
        <v>0.05</v>
      </c>
      <c r="CR105" s="26">
        <f t="shared" si="135"/>
        <v>2.5000000000000001E-2</v>
      </c>
      <c r="CS105" s="26">
        <f t="shared" si="135"/>
        <v>2.5000000000000001E-2</v>
      </c>
      <c r="CT105" s="26">
        <f t="shared" si="135"/>
        <v>0</v>
      </c>
      <c r="CU105" s="26">
        <f t="shared" ref="CU105:DD114" si="136">SUMIFS($J$5:$J$76,$I$5:$I$76,CU$4,$H$5:$H$76,"&lt;="&amp;$AC105)</f>
        <v>1.5</v>
      </c>
      <c r="CV105" s="26">
        <f t="shared" si="136"/>
        <v>1.5</v>
      </c>
      <c r="CW105" s="26">
        <f t="shared" si="136"/>
        <v>1.5</v>
      </c>
      <c r="CX105" s="26">
        <f t="shared" si="136"/>
        <v>1.5</v>
      </c>
      <c r="CY105" s="26">
        <f t="shared" si="136"/>
        <v>1.5</v>
      </c>
      <c r="CZ105" s="26">
        <f t="shared" si="136"/>
        <v>0.1</v>
      </c>
      <c r="DA105" s="26">
        <f t="shared" si="136"/>
        <v>1</v>
      </c>
      <c r="DB105" s="26">
        <f t="shared" si="136"/>
        <v>1</v>
      </c>
      <c r="DC105" s="26">
        <f t="shared" si="136"/>
        <v>1</v>
      </c>
      <c r="DD105" s="26">
        <f t="shared" si="136"/>
        <v>1</v>
      </c>
      <c r="DE105" s="26">
        <f t="shared" ref="DE105:DP114" si="137">SUMIFS($J$5:$J$76,$I$5:$I$76,DE$4,$H$5:$H$76,"&lt;="&amp;$AC105)</f>
        <v>1</v>
      </c>
      <c r="DF105" s="26">
        <f t="shared" si="137"/>
        <v>0.2</v>
      </c>
      <c r="DG105" s="26">
        <f t="shared" si="137"/>
        <v>0.2</v>
      </c>
      <c r="DH105" s="26">
        <f t="shared" si="137"/>
        <v>0.2</v>
      </c>
      <c r="DI105" s="26">
        <f t="shared" si="137"/>
        <v>0.2</v>
      </c>
      <c r="DJ105" s="26">
        <f t="shared" si="137"/>
        <v>0.2</v>
      </c>
      <c r="DK105" s="26">
        <f t="shared" si="137"/>
        <v>0.1</v>
      </c>
      <c r="DL105" s="26">
        <f t="shared" si="137"/>
        <v>0.1</v>
      </c>
      <c r="DM105" s="26">
        <f t="shared" si="137"/>
        <v>0.1</v>
      </c>
      <c r="DN105" s="26">
        <f t="shared" si="137"/>
        <v>0.05</v>
      </c>
      <c r="DO105" s="26">
        <f t="shared" si="137"/>
        <v>0.05</v>
      </c>
      <c r="DP105" s="26">
        <f t="shared" si="137"/>
        <v>0.05</v>
      </c>
      <c r="DQ105" s="26">
        <f t="shared" ref="DQ105:DZ114" si="138">SUMIFS($J$5:$J$76,$I$5:$I$76,DQ$4,$H$5:$H$76,"&lt;="&amp;$AF105)</f>
        <v>1.5</v>
      </c>
      <c r="DR105" s="26">
        <f t="shared" si="138"/>
        <v>1.5</v>
      </c>
      <c r="DS105" s="26">
        <f t="shared" si="138"/>
        <v>1.5</v>
      </c>
      <c r="DT105" s="26">
        <f t="shared" si="138"/>
        <v>1.5</v>
      </c>
      <c r="DU105" s="26">
        <f t="shared" si="138"/>
        <v>1.5</v>
      </c>
      <c r="DV105" s="26">
        <f t="shared" si="138"/>
        <v>7.5000000000000011E-2</v>
      </c>
      <c r="DW105" s="26">
        <f t="shared" si="138"/>
        <v>1</v>
      </c>
      <c r="DX105" s="26">
        <f t="shared" si="138"/>
        <v>1</v>
      </c>
      <c r="DY105" s="26">
        <f t="shared" si="138"/>
        <v>1</v>
      </c>
      <c r="DZ105" s="26">
        <f t="shared" si="138"/>
        <v>1</v>
      </c>
      <c r="EA105" s="26">
        <f t="shared" ref="EA105:EL114" si="139">SUMIFS($J$5:$J$76,$I$5:$I$76,EA$4,$H$5:$H$76,"&lt;="&amp;$AF105)</f>
        <v>1</v>
      </c>
      <c r="EB105" s="26">
        <f t="shared" si="139"/>
        <v>0.2</v>
      </c>
      <c r="EC105" s="26">
        <f t="shared" si="139"/>
        <v>0.2</v>
      </c>
      <c r="ED105" s="26">
        <f t="shared" si="139"/>
        <v>0.2</v>
      </c>
      <c r="EE105" s="26">
        <f t="shared" si="139"/>
        <v>0.2</v>
      </c>
      <c r="EF105" s="26">
        <f t="shared" si="139"/>
        <v>0.2</v>
      </c>
      <c r="EG105" s="26">
        <f t="shared" si="139"/>
        <v>0.1</v>
      </c>
      <c r="EH105" s="26">
        <f t="shared" si="139"/>
        <v>0.1</v>
      </c>
      <c r="EI105" s="26">
        <f t="shared" si="139"/>
        <v>0.1</v>
      </c>
      <c r="EJ105" s="26">
        <f t="shared" si="139"/>
        <v>0.05</v>
      </c>
      <c r="EK105" s="26">
        <f t="shared" si="139"/>
        <v>0.05</v>
      </c>
      <c r="EL105" s="26">
        <f t="shared" si="139"/>
        <v>0.05</v>
      </c>
      <c r="EM105" s="26">
        <f t="shared" si="92"/>
        <v>361839</v>
      </c>
      <c r="EN105" s="26">
        <f t="shared" si="93"/>
        <v>461283</v>
      </c>
      <c r="EO105" s="26">
        <f t="shared" si="94"/>
        <v>511941</v>
      </c>
      <c r="EP105" s="26">
        <f t="shared" si="95"/>
        <v>771411</v>
      </c>
      <c r="EQ105" s="26">
        <f t="shared" si="96"/>
        <v>745239</v>
      </c>
    </row>
    <row r="106" spans="17:147">
      <c r="Q106" s="26">
        <v>102</v>
      </c>
      <c r="R106" s="26">
        <f>总纲!D106</f>
        <v>1175.2671155169628</v>
      </c>
      <c r="S106" s="26">
        <f>求节点(将星点产出!$W$6:$W$44,将星点产出!$AO$6:$AO$44,星阵点亮!$Q106)</f>
        <v>715798.55949977343</v>
      </c>
      <c r="T106" s="26">
        <f t="shared" si="87"/>
        <v>51</v>
      </c>
      <c r="U106" s="26">
        <f>总纲!E106</f>
        <v>1004.2657502092447</v>
      </c>
      <c r="V106" s="26">
        <f>求节点(将星点产出!$W$51:$W$89,将星点产出!$AO$51:$AO$89,星阵点亮!$Q106)</f>
        <v>815102.29003730125</v>
      </c>
      <c r="W106" s="26">
        <f t="shared" si="88"/>
        <v>54</v>
      </c>
      <c r="X106" s="26">
        <f>总纲!F106</f>
        <v>806.23324124463659</v>
      </c>
      <c r="Y106" s="26">
        <f>求节点(将星点产出!$W$96:$W$134,将星点产出!$AO$96:$AO$134,星阵点亮!$Q106)</f>
        <v>910383.40208163217</v>
      </c>
      <c r="Z106" s="26">
        <f t="shared" si="89"/>
        <v>57</v>
      </c>
      <c r="AA106" s="26">
        <f>总纲!G106</f>
        <v>577.99636741124232</v>
      </c>
      <c r="AB106" s="26">
        <f>求节点(将星点产出!$W$141:$W$179,将星点产出!$AO$141:$AO$179,星阵点亮!$Q106)</f>
        <v>1304550</v>
      </c>
      <c r="AC106" s="26">
        <f t="shared" si="90"/>
        <v>66</v>
      </c>
      <c r="AD106" s="26">
        <f>总纲!H106</f>
        <v>313.56126641992563</v>
      </c>
      <c r="AE106" s="26">
        <f>求节点(将星点产出!$W$186:$W$224,将星点产出!$AO$186:$AO$224,星阵点亮!$Q106)</f>
        <v>1268932.1613600545</v>
      </c>
      <c r="AF106" s="26">
        <f t="shared" si="91"/>
        <v>65</v>
      </c>
      <c r="AG106" s="26">
        <f t="shared" si="130"/>
        <v>1.5</v>
      </c>
      <c r="AH106" s="26">
        <f t="shared" si="130"/>
        <v>1.5</v>
      </c>
      <c r="AI106" s="26">
        <f t="shared" si="130"/>
        <v>1.5</v>
      </c>
      <c r="AJ106" s="26">
        <f t="shared" si="130"/>
        <v>1.5</v>
      </c>
      <c r="AK106" s="26">
        <f t="shared" si="130"/>
        <v>1.5</v>
      </c>
      <c r="AL106" s="26">
        <f t="shared" si="130"/>
        <v>2.5000000000000001E-2</v>
      </c>
      <c r="AM106" s="26">
        <f t="shared" si="130"/>
        <v>1</v>
      </c>
      <c r="AN106" s="26">
        <f t="shared" si="130"/>
        <v>1</v>
      </c>
      <c r="AO106" s="26">
        <f t="shared" si="130"/>
        <v>1</v>
      </c>
      <c r="AP106" s="26">
        <f t="shared" si="130"/>
        <v>1</v>
      </c>
      <c r="AQ106" s="26">
        <f t="shared" si="131"/>
        <v>1</v>
      </c>
      <c r="AR106" s="26">
        <f t="shared" si="131"/>
        <v>0.2</v>
      </c>
      <c r="AS106" s="26">
        <f t="shared" si="131"/>
        <v>0.2</v>
      </c>
      <c r="AT106" s="26">
        <f t="shared" si="131"/>
        <v>0.2</v>
      </c>
      <c r="AU106" s="26">
        <f t="shared" si="131"/>
        <v>0.2</v>
      </c>
      <c r="AV106" s="26">
        <f t="shared" si="131"/>
        <v>0.2</v>
      </c>
      <c r="AW106" s="26">
        <f t="shared" si="131"/>
        <v>0.1</v>
      </c>
      <c r="AX106" s="26">
        <f t="shared" si="131"/>
        <v>2.5000000000000001E-2</v>
      </c>
      <c r="AY106" s="26">
        <f t="shared" si="131"/>
        <v>2.5000000000000001E-2</v>
      </c>
      <c r="AZ106" s="26">
        <f t="shared" si="131"/>
        <v>0</v>
      </c>
      <c r="BA106" s="26">
        <f t="shared" si="131"/>
        <v>0</v>
      </c>
      <c r="BB106" s="26">
        <f t="shared" si="131"/>
        <v>0</v>
      </c>
      <c r="BC106" s="26">
        <f t="shared" si="132"/>
        <v>1.5</v>
      </c>
      <c r="BD106" s="26">
        <f t="shared" si="132"/>
        <v>1.5</v>
      </c>
      <c r="BE106" s="26">
        <f t="shared" si="132"/>
        <v>1.5</v>
      </c>
      <c r="BF106" s="26">
        <f t="shared" si="132"/>
        <v>1.5</v>
      </c>
      <c r="BG106" s="26">
        <f t="shared" si="132"/>
        <v>1.5</v>
      </c>
      <c r="BH106" s="26">
        <f t="shared" si="132"/>
        <v>0.05</v>
      </c>
      <c r="BI106" s="26">
        <f t="shared" si="132"/>
        <v>1</v>
      </c>
      <c r="BJ106" s="26">
        <f t="shared" si="132"/>
        <v>1</v>
      </c>
      <c r="BK106" s="26">
        <f t="shared" si="132"/>
        <v>1</v>
      </c>
      <c r="BL106" s="26">
        <f t="shared" si="132"/>
        <v>1</v>
      </c>
      <c r="BM106" s="26">
        <f t="shared" si="133"/>
        <v>1</v>
      </c>
      <c r="BN106" s="26">
        <f t="shared" si="133"/>
        <v>0.2</v>
      </c>
      <c r="BO106" s="26">
        <f t="shared" si="133"/>
        <v>0.2</v>
      </c>
      <c r="BP106" s="26">
        <f t="shared" si="133"/>
        <v>0.2</v>
      </c>
      <c r="BQ106" s="26">
        <f t="shared" si="133"/>
        <v>0.2</v>
      </c>
      <c r="BR106" s="26">
        <f t="shared" si="133"/>
        <v>0.2</v>
      </c>
      <c r="BS106" s="26">
        <f t="shared" si="133"/>
        <v>0.1</v>
      </c>
      <c r="BT106" s="26">
        <f t="shared" si="133"/>
        <v>0.05</v>
      </c>
      <c r="BU106" s="26">
        <f t="shared" si="133"/>
        <v>0.05</v>
      </c>
      <c r="BV106" s="26">
        <f t="shared" si="133"/>
        <v>0</v>
      </c>
      <c r="BW106" s="26">
        <f t="shared" si="133"/>
        <v>0</v>
      </c>
      <c r="BX106" s="26">
        <f t="shared" si="133"/>
        <v>0</v>
      </c>
      <c r="BY106" s="26">
        <f t="shared" si="134"/>
        <v>1.5</v>
      </c>
      <c r="BZ106" s="26">
        <f t="shared" si="134"/>
        <v>1.5</v>
      </c>
      <c r="CA106" s="26">
        <f t="shared" si="134"/>
        <v>1.5</v>
      </c>
      <c r="CB106" s="26">
        <f t="shared" si="134"/>
        <v>1.5</v>
      </c>
      <c r="CC106" s="26">
        <f t="shared" si="134"/>
        <v>1.5</v>
      </c>
      <c r="CD106" s="26">
        <f t="shared" si="134"/>
        <v>0.05</v>
      </c>
      <c r="CE106" s="26">
        <f t="shared" si="134"/>
        <v>1</v>
      </c>
      <c r="CF106" s="26">
        <f t="shared" si="134"/>
        <v>1</v>
      </c>
      <c r="CG106" s="26">
        <f t="shared" si="134"/>
        <v>1</v>
      </c>
      <c r="CH106" s="26">
        <f t="shared" si="134"/>
        <v>1</v>
      </c>
      <c r="CI106" s="26">
        <f t="shared" si="135"/>
        <v>1</v>
      </c>
      <c r="CJ106" s="26">
        <f t="shared" si="135"/>
        <v>0.2</v>
      </c>
      <c r="CK106" s="26">
        <f t="shared" si="135"/>
        <v>0.2</v>
      </c>
      <c r="CL106" s="26">
        <f t="shared" si="135"/>
        <v>0.2</v>
      </c>
      <c r="CM106" s="26">
        <f t="shared" si="135"/>
        <v>0.2</v>
      </c>
      <c r="CN106" s="26">
        <f t="shared" si="135"/>
        <v>0.2</v>
      </c>
      <c r="CO106" s="26">
        <f t="shared" si="135"/>
        <v>0.1</v>
      </c>
      <c r="CP106" s="26">
        <f t="shared" si="135"/>
        <v>0.05</v>
      </c>
      <c r="CQ106" s="26">
        <f t="shared" si="135"/>
        <v>0.05</v>
      </c>
      <c r="CR106" s="26">
        <f t="shared" si="135"/>
        <v>2.5000000000000001E-2</v>
      </c>
      <c r="CS106" s="26">
        <f t="shared" si="135"/>
        <v>2.5000000000000001E-2</v>
      </c>
      <c r="CT106" s="26">
        <f t="shared" si="135"/>
        <v>2.5000000000000001E-2</v>
      </c>
      <c r="CU106" s="26">
        <f t="shared" si="136"/>
        <v>1.5</v>
      </c>
      <c r="CV106" s="26">
        <f t="shared" si="136"/>
        <v>1.5</v>
      </c>
      <c r="CW106" s="26">
        <f t="shared" si="136"/>
        <v>1.5</v>
      </c>
      <c r="CX106" s="26">
        <f t="shared" si="136"/>
        <v>1.5</v>
      </c>
      <c r="CY106" s="26">
        <f t="shared" si="136"/>
        <v>1.5</v>
      </c>
      <c r="CZ106" s="26">
        <f t="shared" si="136"/>
        <v>0.1</v>
      </c>
      <c r="DA106" s="26">
        <f t="shared" si="136"/>
        <v>1</v>
      </c>
      <c r="DB106" s="26">
        <f t="shared" si="136"/>
        <v>1</v>
      </c>
      <c r="DC106" s="26">
        <f t="shared" si="136"/>
        <v>1</v>
      </c>
      <c r="DD106" s="26">
        <f t="shared" si="136"/>
        <v>1</v>
      </c>
      <c r="DE106" s="26">
        <f t="shared" si="137"/>
        <v>1</v>
      </c>
      <c r="DF106" s="26">
        <f t="shared" si="137"/>
        <v>0.2</v>
      </c>
      <c r="DG106" s="26">
        <f t="shared" si="137"/>
        <v>0.2</v>
      </c>
      <c r="DH106" s="26">
        <f t="shared" si="137"/>
        <v>0.2</v>
      </c>
      <c r="DI106" s="26">
        <f t="shared" si="137"/>
        <v>0.2</v>
      </c>
      <c r="DJ106" s="26">
        <f t="shared" si="137"/>
        <v>0.2</v>
      </c>
      <c r="DK106" s="26">
        <f t="shared" si="137"/>
        <v>0.1</v>
      </c>
      <c r="DL106" s="26">
        <f t="shared" si="137"/>
        <v>0.1</v>
      </c>
      <c r="DM106" s="26">
        <f t="shared" si="137"/>
        <v>0.1</v>
      </c>
      <c r="DN106" s="26">
        <f t="shared" si="137"/>
        <v>0.05</v>
      </c>
      <c r="DO106" s="26">
        <f t="shared" si="137"/>
        <v>0.05</v>
      </c>
      <c r="DP106" s="26">
        <f t="shared" si="137"/>
        <v>0.05</v>
      </c>
      <c r="DQ106" s="26">
        <f t="shared" si="138"/>
        <v>1.5</v>
      </c>
      <c r="DR106" s="26">
        <f t="shared" si="138"/>
        <v>1.5</v>
      </c>
      <c r="DS106" s="26">
        <f t="shared" si="138"/>
        <v>1.5</v>
      </c>
      <c r="DT106" s="26">
        <f t="shared" si="138"/>
        <v>1.5</v>
      </c>
      <c r="DU106" s="26">
        <f t="shared" si="138"/>
        <v>1.5</v>
      </c>
      <c r="DV106" s="26">
        <f t="shared" si="138"/>
        <v>7.5000000000000011E-2</v>
      </c>
      <c r="DW106" s="26">
        <f t="shared" si="138"/>
        <v>1</v>
      </c>
      <c r="DX106" s="26">
        <f t="shared" si="138"/>
        <v>1</v>
      </c>
      <c r="DY106" s="26">
        <f t="shared" si="138"/>
        <v>1</v>
      </c>
      <c r="DZ106" s="26">
        <f t="shared" si="138"/>
        <v>1</v>
      </c>
      <c r="EA106" s="26">
        <f t="shared" si="139"/>
        <v>1</v>
      </c>
      <c r="EB106" s="26">
        <f t="shared" si="139"/>
        <v>0.2</v>
      </c>
      <c r="EC106" s="26">
        <f t="shared" si="139"/>
        <v>0.2</v>
      </c>
      <c r="ED106" s="26">
        <f t="shared" si="139"/>
        <v>0.2</v>
      </c>
      <c r="EE106" s="26">
        <f t="shared" si="139"/>
        <v>0.2</v>
      </c>
      <c r="EF106" s="26">
        <f t="shared" si="139"/>
        <v>0.2</v>
      </c>
      <c r="EG106" s="26">
        <f t="shared" si="139"/>
        <v>0.1</v>
      </c>
      <c r="EH106" s="26">
        <f t="shared" si="139"/>
        <v>0.1</v>
      </c>
      <c r="EI106" s="26">
        <f t="shared" si="139"/>
        <v>0.1</v>
      </c>
      <c r="EJ106" s="26">
        <f t="shared" si="139"/>
        <v>0.05</v>
      </c>
      <c r="EK106" s="26">
        <f t="shared" si="139"/>
        <v>0.05</v>
      </c>
      <c r="EL106" s="26">
        <f t="shared" si="139"/>
        <v>0.05</v>
      </c>
      <c r="EM106" s="26">
        <f t="shared" si="92"/>
        <v>386625</v>
      </c>
      <c r="EN106" s="26">
        <f t="shared" si="93"/>
        <v>461283</v>
      </c>
      <c r="EO106" s="26">
        <f t="shared" si="94"/>
        <v>537663</v>
      </c>
      <c r="EP106" s="26">
        <f t="shared" si="95"/>
        <v>771411</v>
      </c>
      <c r="EQ106" s="26">
        <f t="shared" si="96"/>
        <v>745239</v>
      </c>
    </row>
    <row r="107" spans="17:147">
      <c r="Q107" s="26">
        <v>103</v>
      </c>
      <c r="R107" s="26">
        <f>总纲!D107</f>
        <v>1259.6918792651943</v>
      </c>
      <c r="S107" s="26">
        <f>求节点(将星点产出!$W$6:$W$44,将星点产出!$AO$6:$AO$44,星阵点亮!$Q107)</f>
        <v>735612.22101398092</v>
      </c>
      <c r="T107" s="26">
        <f t="shared" si="87"/>
        <v>52</v>
      </c>
      <c r="U107" s="26">
        <f>总纲!E107</f>
        <v>1073.383450321872</v>
      </c>
      <c r="V107" s="26">
        <f>求节点(将星点产出!$W$51:$W$89,将星点产出!$AO$51:$AO$89,星阵点亮!$Q107)</f>
        <v>834316.02551538101</v>
      </c>
      <c r="W107" s="26">
        <f t="shared" si="88"/>
        <v>55</v>
      </c>
      <c r="X107" s="26">
        <f>总纲!F107</f>
        <v>861.50327622946634</v>
      </c>
      <c r="Y107" s="26">
        <f>求节点(将星点产出!$W$96:$W$134,将星点产出!$AO$96:$AO$134,星阵点亮!$Q107)</f>
        <v>928699.63240362157</v>
      </c>
      <c r="Z107" s="26">
        <f t="shared" si="89"/>
        <v>57</v>
      </c>
      <c r="AA107" s="26">
        <f>总纲!G107</f>
        <v>619.01258947091651</v>
      </c>
      <c r="AB107" s="26">
        <f>求节点(将星点产出!$W$141:$W$179,将星点产出!$AO$141:$AO$179,星阵点亮!$Q107)</f>
        <v>1304550</v>
      </c>
      <c r="AC107" s="26">
        <f t="shared" si="90"/>
        <v>66</v>
      </c>
      <c r="AD107" s="26">
        <f>总纲!H107</f>
        <v>335.8338550121008</v>
      </c>
      <c r="AE107" s="26">
        <f>求节点(将星点产出!$W$186:$W$224,将星点产出!$AO$186:$AO$224,星阵点亮!$Q107)</f>
        <v>1283057.8953365709</v>
      </c>
      <c r="AF107" s="26">
        <f t="shared" si="91"/>
        <v>66</v>
      </c>
      <c r="AG107" s="26">
        <f t="shared" si="130"/>
        <v>1.5</v>
      </c>
      <c r="AH107" s="26">
        <f t="shared" si="130"/>
        <v>1.5</v>
      </c>
      <c r="AI107" s="26">
        <f t="shared" si="130"/>
        <v>1.5</v>
      </c>
      <c r="AJ107" s="26">
        <f t="shared" si="130"/>
        <v>1.5</v>
      </c>
      <c r="AK107" s="26">
        <f t="shared" si="130"/>
        <v>1.5</v>
      </c>
      <c r="AL107" s="26">
        <f t="shared" si="130"/>
        <v>2.5000000000000001E-2</v>
      </c>
      <c r="AM107" s="26">
        <f t="shared" si="130"/>
        <v>1</v>
      </c>
      <c r="AN107" s="26">
        <f t="shared" si="130"/>
        <v>1</v>
      </c>
      <c r="AO107" s="26">
        <f t="shared" si="130"/>
        <v>1</v>
      </c>
      <c r="AP107" s="26">
        <f t="shared" si="130"/>
        <v>1</v>
      </c>
      <c r="AQ107" s="26">
        <f t="shared" si="131"/>
        <v>1</v>
      </c>
      <c r="AR107" s="26">
        <f t="shared" si="131"/>
        <v>0.2</v>
      </c>
      <c r="AS107" s="26">
        <f t="shared" si="131"/>
        <v>0.2</v>
      </c>
      <c r="AT107" s="26">
        <f t="shared" si="131"/>
        <v>0.2</v>
      </c>
      <c r="AU107" s="26">
        <f t="shared" si="131"/>
        <v>0.2</v>
      </c>
      <c r="AV107" s="26">
        <f t="shared" si="131"/>
        <v>0.2</v>
      </c>
      <c r="AW107" s="26">
        <f t="shared" si="131"/>
        <v>0.1</v>
      </c>
      <c r="AX107" s="26">
        <f t="shared" si="131"/>
        <v>0.05</v>
      </c>
      <c r="AY107" s="26">
        <f t="shared" si="131"/>
        <v>2.5000000000000001E-2</v>
      </c>
      <c r="AZ107" s="26">
        <f t="shared" si="131"/>
        <v>0</v>
      </c>
      <c r="BA107" s="26">
        <f t="shared" si="131"/>
        <v>0</v>
      </c>
      <c r="BB107" s="26">
        <f t="shared" si="131"/>
        <v>0</v>
      </c>
      <c r="BC107" s="26">
        <f t="shared" si="132"/>
        <v>1.5</v>
      </c>
      <c r="BD107" s="26">
        <f t="shared" si="132"/>
        <v>1.5</v>
      </c>
      <c r="BE107" s="26">
        <f t="shared" si="132"/>
        <v>1.5</v>
      </c>
      <c r="BF107" s="26">
        <f t="shared" si="132"/>
        <v>1.5</v>
      </c>
      <c r="BG107" s="26">
        <f t="shared" si="132"/>
        <v>1.5</v>
      </c>
      <c r="BH107" s="26">
        <f t="shared" si="132"/>
        <v>0.05</v>
      </c>
      <c r="BI107" s="26">
        <f t="shared" si="132"/>
        <v>1</v>
      </c>
      <c r="BJ107" s="26">
        <f t="shared" si="132"/>
        <v>1</v>
      </c>
      <c r="BK107" s="26">
        <f t="shared" si="132"/>
        <v>1</v>
      </c>
      <c r="BL107" s="26">
        <f t="shared" si="132"/>
        <v>1</v>
      </c>
      <c r="BM107" s="26">
        <f t="shared" si="133"/>
        <v>1</v>
      </c>
      <c r="BN107" s="26">
        <f t="shared" si="133"/>
        <v>0.2</v>
      </c>
      <c r="BO107" s="26">
        <f t="shared" si="133"/>
        <v>0.2</v>
      </c>
      <c r="BP107" s="26">
        <f t="shared" si="133"/>
        <v>0.2</v>
      </c>
      <c r="BQ107" s="26">
        <f t="shared" si="133"/>
        <v>0.2</v>
      </c>
      <c r="BR107" s="26">
        <f t="shared" si="133"/>
        <v>0.2</v>
      </c>
      <c r="BS107" s="26">
        <f t="shared" si="133"/>
        <v>0.1</v>
      </c>
      <c r="BT107" s="26">
        <f t="shared" si="133"/>
        <v>0.05</v>
      </c>
      <c r="BU107" s="26">
        <f t="shared" si="133"/>
        <v>0.05</v>
      </c>
      <c r="BV107" s="26">
        <f t="shared" si="133"/>
        <v>2.5000000000000001E-2</v>
      </c>
      <c r="BW107" s="26">
        <f t="shared" si="133"/>
        <v>0</v>
      </c>
      <c r="BX107" s="26">
        <f t="shared" si="133"/>
        <v>0</v>
      </c>
      <c r="BY107" s="26">
        <f t="shared" si="134"/>
        <v>1.5</v>
      </c>
      <c r="BZ107" s="26">
        <f t="shared" si="134"/>
        <v>1.5</v>
      </c>
      <c r="CA107" s="26">
        <f t="shared" si="134"/>
        <v>1.5</v>
      </c>
      <c r="CB107" s="26">
        <f t="shared" si="134"/>
        <v>1.5</v>
      </c>
      <c r="CC107" s="26">
        <f t="shared" si="134"/>
        <v>1.5</v>
      </c>
      <c r="CD107" s="26">
        <f t="shared" si="134"/>
        <v>0.05</v>
      </c>
      <c r="CE107" s="26">
        <f t="shared" si="134"/>
        <v>1</v>
      </c>
      <c r="CF107" s="26">
        <f t="shared" si="134"/>
        <v>1</v>
      </c>
      <c r="CG107" s="26">
        <f t="shared" si="134"/>
        <v>1</v>
      </c>
      <c r="CH107" s="26">
        <f t="shared" si="134"/>
        <v>1</v>
      </c>
      <c r="CI107" s="26">
        <f t="shared" si="135"/>
        <v>1</v>
      </c>
      <c r="CJ107" s="26">
        <f t="shared" si="135"/>
        <v>0.2</v>
      </c>
      <c r="CK107" s="26">
        <f t="shared" si="135"/>
        <v>0.2</v>
      </c>
      <c r="CL107" s="26">
        <f t="shared" si="135"/>
        <v>0.2</v>
      </c>
      <c r="CM107" s="26">
        <f t="shared" si="135"/>
        <v>0.2</v>
      </c>
      <c r="CN107" s="26">
        <f t="shared" si="135"/>
        <v>0.2</v>
      </c>
      <c r="CO107" s="26">
        <f t="shared" si="135"/>
        <v>0.1</v>
      </c>
      <c r="CP107" s="26">
        <f t="shared" si="135"/>
        <v>0.05</v>
      </c>
      <c r="CQ107" s="26">
        <f t="shared" si="135"/>
        <v>0.05</v>
      </c>
      <c r="CR107" s="26">
        <f t="shared" si="135"/>
        <v>2.5000000000000001E-2</v>
      </c>
      <c r="CS107" s="26">
        <f t="shared" si="135"/>
        <v>2.5000000000000001E-2</v>
      </c>
      <c r="CT107" s="26">
        <f t="shared" si="135"/>
        <v>2.5000000000000001E-2</v>
      </c>
      <c r="CU107" s="26">
        <f t="shared" si="136"/>
        <v>1.5</v>
      </c>
      <c r="CV107" s="26">
        <f t="shared" si="136"/>
        <v>1.5</v>
      </c>
      <c r="CW107" s="26">
        <f t="shared" si="136"/>
        <v>1.5</v>
      </c>
      <c r="CX107" s="26">
        <f t="shared" si="136"/>
        <v>1.5</v>
      </c>
      <c r="CY107" s="26">
        <f t="shared" si="136"/>
        <v>1.5</v>
      </c>
      <c r="CZ107" s="26">
        <f t="shared" si="136"/>
        <v>0.1</v>
      </c>
      <c r="DA107" s="26">
        <f t="shared" si="136"/>
        <v>1</v>
      </c>
      <c r="DB107" s="26">
        <f t="shared" si="136"/>
        <v>1</v>
      </c>
      <c r="DC107" s="26">
        <f t="shared" si="136"/>
        <v>1</v>
      </c>
      <c r="DD107" s="26">
        <f t="shared" si="136"/>
        <v>1</v>
      </c>
      <c r="DE107" s="26">
        <f t="shared" si="137"/>
        <v>1</v>
      </c>
      <c r="DF107" s="26">
        <f t="shared" si="137"/>
        <v>0.2</v>
      </c>
      <c r="DG107" s="26">
        <f t="shared" si="137"/>
        <v>0.2</v>
      </c>
      <c r="DH107" s="26">
        <f t="shared" si="137"/>
        <v>0.2</v>
      </c>
      <c r="DI107" s="26">
        <f t="shared" si="137"/>
        <v>0.2</v>
      </c>
      <c r="DJ107" s="26">
        <f t="shared" si="137"/>
        <v>0.2</v>
      </c>
      <c r="DK107" s="26">
        <f t="shared" si="137"/>
        <v>0.1</v>
      </c>
      <c r="DL107" s="26">
        <f t="shared" si="137"/>
        <v>0.1</v>
      </c>
      <c r="DM107" s="26">
        <f t="shared" si="137"/>
        <v>0.1</v>
      </c>
      <c r="DN107" s="26">
        <f t="shared" si="137"/>
        <v>0.05</v>
      </c>
      <c r="DO107" s="26">
        <f t="shared" si="137"/>
        <v>0.05</v>
      </c>
      <c r="DP107" s="26">
        <f t="shared" si="137"/>
        <v>0.05</v>
      </c>
      <c r="DQ107" s="26">
        <f t="shared" si="138"/>
        <v>1.5</v>
      </c>
      <c r="DR107" s="26">
        <f t="shared" si="138"/>
        <v>1.5</v>
      </c>
      <c r="DS107" s="26">
        <f t="shared" si="138"/>
        <v>1.5</v>
      </c>
      <c r="DT107" s="26">
        <f t="shared" si="138"/>
        <v>1.5</v>
      </c>
      <c r="DU107" s="26">
        <f t="shared" si="138"/>
        <v>1.5</v>
      </c>
      <c r="DV107" s="26">
        <f t="shared" si="138"/>
        <v>0.1</v>
      </c>
      <c r="DW107" s="26">
        <f t="shared" si="138"/>
        <v>1</v>
      </c>
      <c r="DX107" s="26">
        <f t="shared" si="138"/>
        <v>1</v>
      </c>
      <c r="DY107" s="26">
        <f t="shared" si="138"/>
        <v>1</v>
      </c>
      <c r="DZ107" s="26">
        <f t="shared" si="138"/>
        <v>1</v>
      </c>
      <c r="EA107" s="26">
        <f t="shared" si="139"/>
        <v>1</v>
      </c>
      <c r="EB107" s="26">
        <f t="shared" si="139"/>
        <v>0.2</v>
      </c>
      <c r="EC107" s="26">
        <f t="shared" si="139"/>
        <v>0.2</v>
      </c>
      <c r="ED107" s="26">
        <f t="shared" si="139"/>
        <v>0.2</v>
      </c>
      <c r="EE107" s="26">
        <f t="shared" si="139"/>
        <v>0.2</v>
      </c>
      <c r="EF107" s="26">
        <f t="shared" si="139"/>
        <v>0.2</v>
      </c>
      <c r="EG107" s="26">
        <f t="shared" si="139"/>
        <v>0.1</v>
      </c>
      <c r="EH107" s="26">
        <f t="shared" si="139"/>
        <v>0.1</v>
      </c>
      <c r="EI107" s="26">
        <f t="shared" si="139"/>
        <v>0.1</v>
      </c>
      <c r="EJ107" s="26">
        <f t="shared" si="139"/>
        <v>0.05</v>
      </c>
      <c r="EK107" s="26">
        <f t="shared" si="139"/>
        <v>0.05</v>
      </c>
      <c r="EL107" s="26">
        <f t="shared" si="139"/>
        <v>0.05</v>
      </c>
      <c r="EM107" s="26">
        <f t="shared" si="92"/>
        <v>411461</v>
      </c>
      <c r="EN107" s="26">
        <f t="shared" si="93"/>
        <v>486269</v>
      </c>
      <c r="EO107" s="26">
        <f t="shared" si="94"/>
        <v>537663</v>
      </c>
      <c r="EP107" s="26">
        <f t="shared" si="95"/>
        <v>771411</v>
      </c>
      <c r="EQ107" s="26">
        <f t="shared" si="96"/>
        <v>771411</v>
      </c>
    </row>
    <row r="108" spans="17:147">
      <c r="Q108" s="26">
        <v>104</v>
      </c>
      <c r="R108" s="26">
        <f>总纲!D108</f>
        <v>1350.1761006314437</v>
      </c>
      <c r="S108" s="26">
        <f>求节点(将星点产出!$W$6:$W$44,将星点产出!$AO$6:$AO$44,星阵点亮!$Q108)</f>
        <v>755425.88252818829</v>
      </c>
      <c r="T108" s="26">
        <f t="shared" si="87"/>
        <v>52</v>
      </c>
      <c r="U108" s="26">
        <f>总纲!E108</f>
        <v>1150.7550905681794</v>
      </c>
      <c r="V108" s="26">
        <f>求节点(将星点产出!$W$51:$W$89,将星点产出!$AO$51:$AO$89,星阵点亮!$Q108)</f>
        <v>853529.76099346078</v>
      </c>
      <c r="W108" s="26">
        <f t="shared" si="88"/>
        <v>55</v>
      </c>
      <c r="X108" s="26">
        <f>总纲!F108</f>
        <v>925.41069937279144</v>
      </c>
      <c r="Y108" s="26">
        <f>求节点(将星点产出!$W$96:$W$134,将星点产出!$AO$96:$AO$134,星阵点亮!$Q108)</f>
        <v>947015.86272561084</v>
      </c>
      <c r="Z108" s="26">
        <f t="shared" si="89"/>
        <v>58</v>
      </c>
      <c r="AA108" s="26">
        <f>总纲!G108</f>
        <v>665.09674717104917</v>
      </c>
      <c r="AB108" s="26">
        <f>求节点(将星点产出!$W$141:$W$179,将星点产出!$AO$141:$AO$179,星阵点亮!$Q108)</f>
        <v>1304550</v>
      </c>
      <c r="AC108" s="26">
        <f t="shared" si="90"/>
        <v>66</v>
      </c>
      <c r="AD108" s="26">
        <f>总纲!H108</f>
        <v>360.49701886859549</v>
      </c>
      <c r="AE108" s="26">
        <f>求节点(将星点产出!$W$186:$W$224,将星点产出!$AO$186:$AO$224,星阵点亮!$Q108)</f>
        <v>1297183.6293130873</v>
      </c>
      <c r="AF108" s="26">
        <f t="shared" si="91"/>
        <v>66</v>
      </c>
      <c r="AG108" s="26">
        <f t="shared" si="130"/>
        <v>1.5</v>
      </c>
      <c r="AH108" s="26">
        <f t="shared" si="130"/>
        <v>1.5</v>
      </c>
      <c r="AI108" s="26">
        <f t="shared" si="130"/>
        <v>1.5</v>
      </c>
      <c r="AJ108" s="26">
        <f t="shared" si="130"/>
        <v>1.5</v>
      </c>
      <c r="AK108" s="26">
        <f t="shared" si="130"/>
        <v>1.5</v>
      </c>
      <c r="AL108" s="26">
        <f t="shared" si="130"/>
        <v>2.5000000000000001E-2</v>
      </c>
      <c r="AM108" s="26">
        <f t="shared" si="130"/>
        <v>1</v>
      </c>
      <c r="AN108" s="26">
        <f t="shared" si="130"/>
        <v>1</v>
      </c>
      <c r="AO108" s="26">
        <f t="shared" si="130"/>
        <v>1</v>
      </c>
      <c r="AP108" s="26">
        <f t="shared" si="130"/>
        <v>1</v>
      </c>
      <c r="AQ108" s="26">
        <f t="shared" si="131"/>
        <v>1</v>
      </c>
      <c r="AR108" s="26">
        <f t="shared" si="131"/>
        <v>0.2</v>
      </c>
      <c r="AS108" s="26">
        <f t="shared" si="131"/>
        <v>0.2</v>
      </c>
      <c r="AT108" s="26">
        <f t="shared" si="131"/>
        <v>0.2</v>
      </c>
      <c r="AU108" s="26">
        <f t="shared" si="131"/>
        <v>0.2</v>
      </c>
      <c r="AV108" s="26">
        <f t="shared" si="131"/>
        <v>0.2</v>
      </c>
      <c r="AW108" s="26">
        <f t="shared" si="131"/>
        <v>0.1</v>
      </c>
      <c r="AX108" s="26">
        <f t="shared" si="131"/>
        <v>0.05</v>
      </c>
      <c r="AY108" s="26">
        <f t="shared" si="131"/>
        <v>2.5000000000000001E-2</v>
      </c>
      <c r="AZ108" s="26">
        <f t="shared" si="131"/>
        <v>0</v>
      </c>
      <c r="BA108" s="26">
        <f t="shared" si="131"/>
        <v>0</v>
      </c>
      <c r="BB108" s="26">
        <f t="shared" si="131"/>
        <v>0</v>
      </c>
      <c r="BC108" s="26">
        <f t="shared" si="132"/>
        <v>1.5</v>
      </c>
      <c r="BD108" s="26">
        <f t="shared" si="132"/>
        <v>1.5</v>
      </c>
      <c r="BE108" s="26">
        <f t="shared" si="132"/>
        <v>1.5</v>
      </c>
      <c r="BF108" s="26">
        <f t="shared" si="132"/>
        <v>1.5</v>
      </c>
      <c r="BG108" s="26">
        <f t="shared" si="132"/>
        <v>1.5</v>
      </c>
      <c r="BH108" s="26">
        <f t="shared" si="132"/>
        <v>0.05</v>
      </c>
      <c r="BI108" s="26">
        <f t="shared" si="132"/>
        <v>1</v>
      </c>
      <c r="BJ108" s="26">
        <f t="shared" si="132"/>
        <v>1</v>
      </c>
      <c r="BK108" s="26">
        <f t="shared" si="132"/>
        <v>1</v>
      </c>
      <c r="BL108" s="26">
        <f t="shared" si="132"/>
        <v>1</v>
      </c>
      <c r="BM108" s="26">
        <f t="shared" si="133"/>
        <v>1</v>
      </c>
      <c r="BN108" s="26">
        <f t="shared" si="133"/>
        <v>0.2</v>
      </c>
      <c r="BO108" s="26">
        <f t="shared" si="133"/>
        <v>0.2</v>
      </c>
      <c r="BP108" s="26">
        <f t="shared" si="133"/>
        <v>0.2</v>
      </c>
      <c r="BQ108" s="26">
        <f t="shared" si="133"/>
        <v>0.2</v>
      </c>
      <c r="BR108" s="26">
        <f t="shared" si="133"/>
        <v>0.2</v>
      </c>
      <c r="BS108" s="26">
        <f t="shared" si="133"/>
        <v>0.1</v>
      </c>
      <c r="BT108" s="26">
        <f t="shared" si="133"/>
        <v>0.05</v>
      </c>
      <c r="BU108" s="26">
        <f t="shared" si="133"/>
        <v>0.05</v>
      </c>
      <c r="BV108" s="26">
        <f t="shared" si="133"/>
        <v>2.5000000000000001E-2</v>
      </c>
      <c r="BW108" s="26">
        <f t="shared" si="133"/>
        <v>0</v>
      </c>
      <c r="BX108" s="26">
        <f t="shared" si="133"/>
        <v>0</v>
      </c>
      <c r="BY108" s="26">
        <f t="shared" si="134"/>
        <v>1.5</v>
      </c>
      <c r="BZ108" s="26">
        <f t="shared" si="134"/>
        <v>1.5</v>
      </c>
      <c r="CA108" s="26">
        <f t="shared" si="134"/>
        <v>1.5</v>
      </c>
      <c r="CB108" s="26">
        <f t="shared" si="134"/>
        <v>1.5</v>
      </c>
      <c r="CC108" s="26">
        <f t="shared" si="134"/>
        <v>1.5</v>
      </c>
      <c r="CD108" s="26">
        <f t="shared" si="134"/>
        <v>0.05</v>
      </c>
      <c r="CE108" s="26">
        <f t="shared" si="134"/>
        <v>1</v>
      </c>
      <c r="CF108" s="26">
        <f t="shared" si="134"/>
        <v>1</v>
      </c>
      <c r="CG108" s="26">
        <f t="shared" si="134"/>
        <v>1</v>
      </c>
      <c r="CH108" s="26">
        <f t="shared" si="134"/>
        <v>1</v>
      </c>
      <c r="CI108" s="26">
        <f t="shared" si="135"/>
        <v>1</v>
      </c>
      <c r="CJ108" s="26">
        <f t="shared" si="135"/>
        <v>0.2</v>
      </c>
      <c r="CK108" s="26">
        <f t="shared" si="135"/>
        <v>0.2</v>
      </c>
      <c r="CL108" s="26">
        <f t="shared" si="135"/>
        <v>0.2</v>
      </c>
      <c r="CM108" s="26">
        <f t="shared" si="135"/>
        <v>0.2</v>
      </c>
      <c r="CN108" s="26">
        <f t="shared" si="135"/>
        <v>0.2</v>
      </c>
      <c r="CO108" s="26">
        <f t="shared" si="135"/>
        <v>0.1</v>
      </c>
      <c r="CP108" s="26">
        <f t="shared" si="135"/>
        <v>0.05</v>
      </c>
      <c r="CQ108" s="26">
        <f t="shared" si="135"/>
        <v>0.05</v>
      </c>
      <c r="CR108" s="26">
        <f t="shared" si="135"/>
        <v>0.05</v>
      </c>
      <c r="CS108" s="26">
        <f t="shared" si="135"/>
        <v>2.5000000000000001E-2</v>
      </c>
      <c r="CT108" s="26">
        <f t="shared" si="135"/>
        <v>2.5000000000000001E-2</v>
      </c>
      <c r="CU108" s="26">
        <f t="shared" si="136"/>
        <v>1.5</v>
      </c>
      <c r="CV108" s="26">
        <f t="shared" si="136"/>
        <v>1.5</v>
      </c>
      <c r="CW108" s="26">
        <f t="shared" si="136"/>
        <v>1.5</v>
      </c>
      <c r="CX108" s="26">
        <f t="shared" si="136"/>
        <v>1.5</v>
      </c>
      <c r="CY108" s="26">
        <f t="shared" si="136"/>
        <v>1.5</v>
      </c>
      <c r="CZ108" s="26">
        <f t="shared" si="136"/>
        <v>0.1</v>
      </c>
      <c r="DA108" s="26">
        <f t="shared" si="136"/>
        <v>1</v>
      </c>
      <c r="DB108" s="26">
        <f t="shared" si="136"/>
        <v>1</v>
      </c>
      <c r="DC108" s="26">
        <f t="shared" si="136"/>
        <v>1</v>
      </c>
      <c r="DD108" s="26">
        <f t="shared" si="136"/>
        <v>1</v>
      </c>
      <c r="DE108" s="26">
        <f t="shared" si="137"/>
        <v>1</v>
      </c>
      <c r="DF108" s="26">
        <f t="shared" si="137"/>
        <v>0.2</v>
      </c>
      <c r="DG108" s="26">
        <f t="shared" si="137"/>
        <v>0.2</v>
      </c>
      <c r="DH108" s="26">
        <f t="shared" si="137"/>
        <v>0.2</v>
      </c>
      <c r="DI108" s="26">
        <f t="shared" si="137"/>
        <v>0.2</v>
      </c>
      <c r="DJ108" s="26">
        <f t="shared" si="137"/>
        <v>0.2</v>
      </c>
      <c r="DK108" s="26">
        <f t="shared" si="137"/>
        <v>0.1</v>
      </c>
      <c r="DL108" s="26">
        <f t="shared" si="137"/>
        <v>0.1</v>
      </c>
      <c r="DM108" s="26">
        <f t="shared" si="137"/>
        <v>0.1</v>
      </c>
      <c r="DN108" s="26">
        <f t="shared" si="137"/>
        <v>0.05</v>
      </c>
      <c r="DO108" s="26">
        <f t="shared" si="137"/>
        <v>0.05</v>
      </c>
      <c r="DP108" s="26">
        <f t="shared" si="137"/>
        <v>0.05</v>
      </c>
      <c r="DQ108" s="26">
        <f t="shared" si="138"/>
        <v>1.5</v>
      </c>
      <c r="DR108" s="26">
        <f t="shared" si="138"/>
        <v>1.5</v>
      </c>
      <c r="DS108" s="26">
        <f t="shared" si="138"/>
        <v>1.5</v>
      </c>
      <c r="DT108" s="26">
        <f t="shared" si="138"/>
        <v>1.5</v>
      </c>
      <c r="DU108" s="26">
        <f t="shared" si="138"/>
        <v>1.5</v>
      </c>
      <c r="DV108" s="26">
        <f t="shared" si="138"/>
        <v>0.1</v>
      </c>
      <c r="DW108" s="26">
        <f t="shared" si="138"/>
        <v>1</v>
      </c>
      <c r="DX108" s="26">
        <f t="shared" si="138"/>
        <v>1</v>
      </c>
      <c r="DY108" s="26">
        <f t="shared" si="138"/>
        <v>1</v>
      </c>
      <c r="DZ108" s="26">
        <f t="shared" si="138"/>
        <v>1</v>
      </c>
      <c r="EA108" s="26">
        <f t="shared" si="139"/>
        <v>1</v>
      </c>
      <c r="EB108" s="26">
        <f t="shared" si="139"/>
        <v>0.2</v>
      </c>
      <c r="EC108" s="26">
        <f t="shared" si="139"/>
        <v>0.2</v>
      </c>
      <c r="ED108" s="26">
        <f t="shared" si="139"/>
        <v>0.2</v>
      </c>
      <c r="EE108" s="26">
        <f t="shared" si="139"/>
        <v>0.2</v>
      </c>
      <c r="EF108" s="26">
        <f t="shared" si="139"/>
        <v>0.2</v>
      </c>
      <c r="EG108" s="26">
        <f t="shared" si="139"/>
        <v>0.1</v>
      </c>
      <c r="EH108" s="26">
        <f t="shared" si="139"/>
        <v>0.1</v>
      </c>
      <c r="EI108" s="26">
        <f t="shared" si="139"/>
        <v>0.1</v>
      </c>
      <c r="EJ108" s="26">
        <f t="shared" si="139"/>
        <v>0.05</v>
      </c>
      <c r="EK108" s="26">
        <f t="shared" si="139"/>
        <v>0.05</v>
      </c>
      <c r="EL108" s="26">
        <f t="shared" si="139"/>
        <v>0.05</v>
      </c>
      <c r="EM108" s="26">
        <f t="shared" si="92"/>
        <v>411461</v>
      </c>
      <c r="EN108" s="26">
        <f t="shared" si="93"/>
        <v>486269</v>
      </c>
      <c r="EO108" s="26">
        <f t="shared" si="94"/>
        <v>563435</v>
      </c>
      <c r="EP108" s="26">
        <f t="shared" si="95"/>
        <v>771411</v>
      </c>
      <c r="EQ108" s="26">
        <f t="shared" si="96"/>
        <v>771411</v>
      </c>
    </row>
    <row r="109" spans="17:147">
      <c r="Q109" s="26">
        <v>105</v>
      </c>
      <c r="R109" s="26">
        <f>总纲!D109</f>
        <v>1447.1546878700494</v>
      </c>
      <c r="S109" s="26">
        <f>求节点(将星点产出!$W$6:$W$44,将星点产出!$AO$6:$AO$44,星阵点亮!$Q109)</f>
        <v>776738.40060503385</v>
      </c>
      <c r="T109" s="26">
        <f t="shared" si="87"/>
        <v>53</v>
      </c>
      <c r="U109" s="26">
        <f>总纲!E109</f>
        <v>1234.8570951595132</v>
      </c>
      <c r="V109" s="26">
        <f>求节点(将星点产出!$W$51:$W$89,将星点产出!$AO$51:$AO$89,星阵点亮!$Q109)</f>
        <v>868165.75197869947</v>
      </c>
      <c r="W109" s="26">
        <f t="shared" si="88"/>
        <v>56</v>
      </c>
      <c r="X109" s="26">
        <f>总纲!F109</f>
        <v>993.18226228521496</v>
      </c>
      <c r="Y109" s="26">
        <f>求节点(将星点产出!$W$96:$W$134,将星点产出!$AO$96:$AO$134,星阵点亮!$Q109)</f>
        <v>961861.14474761661</v>
      </c>
      <c r="Z109" s="26">
        <f t="shared" si="89"/>
        <v>58</v>
      </c>
      <c r="AA109" s="26">
        <f>总纲!G109</f>
        <v>713.59197658872131</v>
      </c>
      <c r="AB109" s="26">
        <f>求节点(将星点产出!$W$141:$W$179,将星点产出!$AO$141:$AO$179,星阵点亮!$Q109)</f>
        <v>1304550</v>
      </c>
      <c r="AC109" s="26">
        <f t="shared" si="90"/>
        <v>66</v>
      </c>
      <c r="AD109" s="26">
        <f>总纲!H109</f>
        <v>386.39030166130323</v>
      </c>
      <c r="AE109" s="26">
        <f>求节点(将星点产出!$W$186:$W$224,将星点产出!$AO$186:$AO$224,星阵点亮!$Q109)</f>
        <v>1304550</v>
      </c>
      <c r="AF109" s="26">
        <f t="shared" si="91"/>
        <v>66</v>
      </c>
      <c r="AG109" s="26">
        <f t="shared" si="130"/>
        <v>1.5</v>
      </c>
      <c r="AH109" s="26">
        <f t="shared" si="130"/>
        <v>1.5</v>
      </c>
      <c r="AI109" s="26">
        <f t="shared" si="130"/>
        <v>1.5</v>
      </c>
      <c r="AJ109" s="26">
        <f t="shared" si="130"/>
        <v>1.5</v>
      </c>
      <c r="AK109" s="26">
        <f t="shared" si="130"/>
        <v>1.5</v>
      </c>
      <c r="AL109" s="26">
        <f t="shared" si="130"/>
        <v>2.5000000000000001E-2</v>
      </c>
      <c r="AM109" s="26">
        <f t="shared" si="130"/>
        <v>1</v>
      </c>
      <c r="AN109" s="26">
        <f t="shared" si="130"/>
        <v>1</v>
      </c>
      <c r="AO109" s="26">
        <f t="shared" si="130"/>
        <v>1</v>
      </c>
      <c r="AP109" s="26">
        <f t="shared" si="130"/>
        <v>1</v>
      </c>
      <c r="AQ109" s="26">
        <f t="shared" si="131"/>
        <v>1</v>
      </c>
      <c r="AR109" s="26">
        <f t="shared" si="131"/>
        <v>0.2</v>
      </c>
      <c r="AS109" s="26">
        <f t="shared" si="131"/>
        <v>0.2</v>
      </c>
      <c r="AT109" s="26">
        <f t="shared" si="131"/>
        <v>0.2</v>
      </c>
      <c r="AU109" s="26">
        <f t="shared" si="131"/>
        <v>0.2</v>
      </c>
      <c r="AV109" s="26">
        <f t="shared" si="131"/>
        <v>0.2</v>
      </c>
      <c r="AW109" s="26">
        <f t="shared" si="131"/>
        <v>0.1</v>
      </c>
      <c r="AX109" s="26">
        <f t="shared" si="131"/>
        <v>0.05</v>
      </c>
      <c r="AY109" s="26">
        <f t="shared" si="131"/>
        <v>0.05</v>
      </c>
      <c r="AZ109" s="26">
        <f t="shared" si="131"/>
        <v>0</v>
      </c>
      <c r="BA109" s="26">
        <f t="shared" si="131"/>
        <v>0</v>
      </c>
      <c r="BB109" s="26">
        <f t="shared" si="131"/>
        <v>0</v>
      </c>
      <c r="BC109" s="26">
        <f t="shared" si="132"/>
        <v>1.5</v>
      </c>
      <c r="BD109" s="26">
        <f t="shared" si="132"/>
        <v>1.5</v>
      </c>
      <c r="BE109" s="26">
        <f t="shared" si="132"/>
        <v>1.5</v>
      </c>
      <c r="BF109" s="26">
        <f t="shared" si="132"/>
        <v>1.5</v>
      </c>
      <c r="BG109" s="26">
        <f t="shared" si="132"/>
        <v>1.5</v>
      </c>
      <c r="BH109" s="26">
        <f t="shared" si="132"/>
        <v>0.05</v>
      </c>
      <c r="BI109" s="26">
        <f t="shared" si="132"/>
        <v>1</v>
      </c>
      <c r="BJ109" s="26">
        <f t="shared" si="132"/>
        <v>1</v>
      </c>
      <c r="BK109" s="26">
        <f t="shared" si="132"/>
        <v>1</v>
      </c>
      <c r="BL109" s="26">
        <f t="shared" si="132"/>
        <v>1</v>
      </c>
      <c r="BM109" s="26">
        <f t="shared" si="133"/>
        <v>1</v>
      </c>
      <c r="BN109" s="26">
        <f t="shared" si="133"/>
        <v>0.2</v>
      </c>
      <c r="BO109" s="26">
        <f t="shared" si="133"/>
        <v>0.2</v>
      </c>
      <c r="BP109" s="26">
        <f t="shared" si="133"/>
        <v>0.2</v>
      </c>
      <c r="BQ109" s="26">
        <f t="shared" si="133"/>
        <v>0.2</v>
      </c>
      <c r="BR109" s="26">
        <f t="shared" si="133"/>
        <v>0.2</v>
      </c>
      <c r="BS109" s="26">
        <f t="shared" si="133"/>
        <v>0.1</v>
      </c>
      <c r="BT109" s="26">
        <f t="shared" si="133"/>
        <v>0.05</v>
      </c>
      <c r="BU109" s="26">
        <f t="shared" si="133"/>
        <v>0.05</v>
      </c>
      <c r="BV109" s="26">
        <f t="shared" si="133"/>
        <v>2.5000000000000001E-2</v>
      </c>
      <c r="BW109" s="26">
        <f t="shared" si="133"/>
        <v>2.5000000000000001E-2</v>
      </c>
      <c r="BX109" s="26">
        <f t="shared" si="133"/>
        <v>0</v>
      </c>
      <c r="BY109" s="26">
        <f t="shared" si="134"/>
        <v>1.5</v>
      </c>
      <c r="BZ109" s="26">
        <f t="shared" si="134"/>
        <v>1.5</v>
      </c>
      <c r="CA109" s="26">
        <f t="shared" si="134"/>
        <v>1.5</v>
      </c>
      <c r="CB109" s="26">
        <f t="shared" si="134"/>
        <v>1.5</v>
      </c>
      <c r="CC109" s="26">
        <f t="shared" si="134"/>
        <v>1.5</v>
      </c>
      <c r="CD109" s="26">
        <f t="shared" si="134"/>
        <v>0.05</v>
      </c>
      <c r="CE109" s="26">
        <f t="shared" si="134"/>
        <v>1</v>
      </c>
      <c r="CF109" s="26">
        <f t="shared" si="134"/>
        <v>1</v>
      </c>
      <c r="CG109" s="26">
        <f t="shared" si="134"/>
        <v>1</v>
      </c>
      <c r="CH109" s="26">
        <f t="shared" si="134"/>
        <v>1</v>
      </c>
      <c r="CI109" s="26">
        <f t="shared" si="135"/>
        <v>1</v>
      </c>
      <c r="CJ109" s="26">
        <f t="shared" si="135"/>
        <v>0.2</v>
      </c>
      <c r="CK109" s="26">
        <f t="shared" si="135"/>
        <v>0.2</v>
      </c>
      <c r="CL109" s="26">
        <f t="shared" si="135"/>
        <v>0.2</v>
      </c>
      <c r="CM109" s="26">
        <f t="shared" si="135"/>
        <v>0.2</v>
      </c>
      <c r="CN109" s="26">
        <f t="shared" si="135"/>
        <v>0.2</v>
      </c>
      <c r="CO109" s="26">
        <f t="shared" si="135"/>
        <v>0.1</v>
      </c>
      <c r="CP109" s="26">
        <f t="shared" si="135"/>
        <v>0.05</v>
      </c>
      <c r="CQ109" s="26">
        <f t="shared" si="135"/>
        <v>0.05</v>
      </c>
      <c r="CR109" s="26">
        <f t="shared" si="135"/>
        <v>0.05</v>
      </c>
      <c r="CS109" s="26">
        <f t="shared" si="135"/>
        <v>2.5000000000000001E-2</v>
      </c>
      <c r="CT109" s="26">
        <f t="shared" si="135"/>
        <v>2.5000000000000001E-2</v>
      </c>
      <c r="CU109" s="26">
        <f t="shared" si="136"/>
        <v>1.5</v>
      </c>
      <c r="CV109" s="26">
        <f t="shared" si="136"/>
        <v>1.5</v>
      </c>
      <c r="CW109" s="26">
        <f t="shared" si="136"/>
        <v>1.5</v>
      </c>
      <c r="CX109" s="26">
        <f t="shared" si="136"/>
        <v>1.5</v>
      </c>
      <c r="CY109" s="26">
        <f t="shared" si="136"/>
        <v>1.5</v>
      </c>
      <c r="CZ109" s="26">
        <f t="shared" si="136"/>
        <v>0.1</v>
      </c>
      <c r="DA109" s="26">
        <f t="shared" si="136"/>
        <v>1</v>
      </c>
      <c r="DB109" s="26">
        <f t="shared" si="136"/>
        <v>1</v>
      </c>
      <c r="DC109" s="26">
        <f t="shared" si="136"/>
        <v>1</v>
      </c>
      <c r="DD109" s="26">
        <f t="shared" si="136"/>
        <v>1</v>
      </c>
      <c r="DE109" s="26">
        <f t="shared" si="137"/>
        <v>1</v>
      </c>
      <c r="DF109" s="26">
        <f t="shared" si="137"/>
        <v>0.2</v>
      </c>
      <c r="DG109" s="26">
        <f t="shared" si="137"/>
        <v>0.2</v>
      </c>
      <c r="DH109" s="26">
        <f t="shared" si="137"/>
        <v>0.2</v>
      </c>
      <c r="DI109" s="26">
        <f t="shared" si="137"/>
        <v>0.2</v>
      </c>
      <c r="DJ109" s="26">
        <f t="shared" si="137"/>
        <v>0.2</v>
      </c>
      <c r="DK109" s="26">
        <f t="shared" si="137"/>
        <v>0.1</v>
      </c>
      <c r="DL109" s="26">
        <f t="shared" si="137"/>
        <v>0.1</v>
      </c>
      <c r="DM109" s="26">
        <f t="shared" si="137"/>
        <v>0.1</v>
      </c>
      <c r="DN109" s="26">
        <f t="shared" si="137"/>
        <v>0.05</v>
      </c>
      <c r="DO109" s="26">
        <f t="shared" si="137"/>
        <v>0.05</v>
      </c>
      <c r="DP109" s="26">
        <f t="shared" si="137"/>
        <v>0.05</v>
      </c>
      <c r="DQ109" s="26">
        <f t="shared" si="138"/>
        <v>1.5</v>
      </c>
      <c r="DR109" s="26">
        <f t="shared" si="138"/>
        <v>1.5</v>
      </c>
      <c r="DS109" s="26">
        <f t="shared" si="138"/>
        <v>1.5</v>
      </c>
      <c r="DT109" s="26">
        <f t="shared" si="138"/>
        <v>1.5</v>
      </c>
      <c r="DU109" s="26">
        <f t="shared" si="138"/>
        <v>1.5</v>
      </c>
      <c r="DV109" s="26">
        <f t="shared" si="138"/>
        <v>0.1</v>
      </c>
      <c r="DW109" s="26">
        <f t="shared" si="138"/>
        <v>1</v>
      </c>
      <c r="DX109" s="26">
        <f t="shared" si="138"/>
        <v>1</v>
      </c>
      <c r="DY109" s="26">
        <f t="shared" si="138"/>
        <v>1</v>
      </c>
      <c r="DZ109" s="26">
        <f t="shared" si="138"/>
        <v>1</v>
      </c>
      <c r="EA109" s="26">
        <f t="shared" si="139"/>
        <v>1</v>
      </c>
      <c r="EB109" s="26">
        <f t="shared" si="139"/>
        <v>0.2</v>
      </c>
      <c r="EC109" s="26">
        <f t="shared" si="139"/>
        <v>0.2</v>
      </c>
      <c r="ED109" s="26">
        <f t="shared" si="139"/>
        <v>0.2</v>
      </c>
      <c r="EE109" s="26">
        <f t="shared" si="139"/>
        <v>0.2</v>
      </c>
      <c r="EF109" s="26">
        <f t="shared" si="139"/>
        <v>0.2</v>
      </c>
      <c r="EG109" s="26">
        <f t="shared" si="139"/>
        <v>0.1</v>
      </c>
      <c r="EH109" s="26">
        <f t="shared" si="139"/>
        <v>0.1</v>
      </c>
      <c r="EI109" s="26">
        <f t="shared" si="139"/>
        <v>0.1</v>
      </c>
      <c r="EJ109" s="26">
        <f t="shared" si="139"/>
        <v>0.05</v>
      </c>
      <c r="EK109" s="26">
        <f t="shared" si="139"/>
        <v>0.05</v>
      </c>
      <c r="EL109" s="26">
        <f t="shared" si="139"/>
        <v>0.05</v>
      </c>
      <c r="EM109" s="26">
        <f t="shared" si="92"/>
        <v>436347</v>
      </c>
      <c r="EN109" s="26">
        <f t="shared" si="93"/>
        <v>511941</v>
      </c>
      <c r="EO109" s="26">
        <f t="shared" si="94"/>
        <v>563435</v>
      </c>
      <c r="EP109" s="26">
        <f t="shared" si="95"/>
        <v>771411</v>
      </c>
      <c r="EQ109" s="26">
        <f t="shared" si="96"/>
        <v>771411</v>
      </c>
    </row>
    <row r="110" spans="17:147">
      <c r="Q110" s="26">
        <v>106</v>
      </c>
      <c r="R110" s="26">
        <f>总纲!D110</f>
        <v>1551.0937641066464</v>
      </c>
      <c r="S110" s="26">
        <f>求节点(将星点产出!$W$6:$W$44,将星点产出!$AO$6:$AO$44,星阵点亮!$Q110)</f>
        <v>798219.86674880632</v>
      </c>
      <c r="T110" s="26">
        <f t="shared" si="87"/>
        <v>54</v>
      </c>
      <c r="U110" s="26">
        <f>总纲!E110</f>
        <v>1324.4789651706653</v>
      </c>
      <c r="V110" s="26">
        <f>求节点(将星点产出!$W$51:$W$89,将星点产出!$AO$51:$AO$89,星阵点亮!$Q110)</f>
        <v>882497.26997747587</v>
      </c>
      <c r="W110" s="26">
        <f t="shared" si="88"/>
        <v>56</v>
      </c>
      <c r="X110" s="26">
        <f>总纲!F110</f>
        <v>1064.6707596828021</v>
      </c>
      <c r="Y110" s="26">
        <f>求节点(将星点产出!$W$96:$W$134,将星点产出!$AO$96:$AO$134,星阵点亮!$Q110)</f>
        <v>974465.41127682116</v>
      </c>
      <c r="Z110" s="26">
        <f t="shared" si="89"/>
        <v>58</v>
      </c>
      <c r="AA110" s="26">
        <f>总纲!G110</f>
        <v>764.3790069517554</v>
      </c>
      <c r="AB110" s="26">
        <f>求节点(将星点产出!$W$141:$W$179,将星点产出!$AO$141:$AO$179,星阵点亮!$Q110)</f>
        <v>1304550</v>
      </c>
      <c r="AC110" s="26">
        <f t="shared" si="90"/>
        <v>66</v>
      </c>
      <c r="AD110" s="26">
        <f>总纲!H110</f>
        <v>412.59094125236794</v>
      </c>
      <c r="AE110" s="26">
        <f>求节点(将星点产出!$W$186:$W$224,将星点产出!$AO$186:$AO$224,星阵点亮!$Q110)</f>
        <v>1304550</v>
      </c>
      <c r="AF110" s="26">
        <f t="shared" si="91"/>
        <v>66</v>
      </c>
      <c r="AG110" s="26">
        <f t="shared" si="130"/>
        <v>1.5</v>
      </c>
      <c r="AH110" s="26">
        <f t="shared" si="130"/>
        <v>1.5</v>
      </c>
      <c r="AI110" s="26">
        <f t="shared" si="130"/>
        <v>1.5</v>
      </c>
      <c r="AJ110" s="26">
        <f t="shared" si="130"/>
        <v>1.5</v>
      </c>
      <c r="AK110" s="26">
        <f t="shared" si="130"/>
        <v>1.5</v>
      </c>
      <c r="AL110" s="26">
        <f t="shared" si="130"/>
        <v>0.05</v>
      </c>
      <c r="AM110" s="26">
        <f t="shared" si="130"/>
        <v>1</v>
      </c>
      <c r="AN110" s="26">
        <f t="shared" si="130"/>
        <v>1</v>
      </c>
      <c r="AO110" s="26">
        <f t="shared" si="130"/>
        <v>1</v>
      </c>
      <c r="AP110" s="26">
        <f t="shared" si="130"/>
        <v>1</v>
      </c>
      <c r="AQ110" s="26">
        <f t="shared" si="131"/>
        <v>1</v>
      </c>
      <c r="AR110" s="26">
        <f t="shared" si="131"/>
        <v>0.2</v>
      </c>
      <c r="AS110" s="26">
        <f t="shared" si="131"/>
        <v>0.2</v>
      </c>
      <c r="AT110" s="26">
        <f t="shared" si="131"/>
        <v>0.2</v>
      </c>
      <c r="AU110" s="26">
        <f t="shared" si="131"/>
        <v>0.2</v>
      </c>
      <c r="AV110" s="26">
        <f t="shared" si="131"/>
        <v>0.2</v>
      </c>
      <c r="AW110" s="26">
        <f t="shared" si="131"/>
        <v>0.1</v>
      </c>
      <c r="AX110" s="26">
        <f t="shared" si="131"/>
        <v>0.05</v>
      </c>
      <c r="AY110" s="26">
        <f t="shared" si="131"/>
        <v>0.05</v>
      </c>
      <c r="AZ110" s="26">
        <f t="shared" si="131"/>
        <v>0</v>
      </c>
      <c r="BA110" s="26">
        <f t="shared" si="131"/>
        <v>0</v>
      </c>
      <c r="BB110" s="26">
        <f t="shared" si="131"/>
        <v>0</v>
      </c>
      <c r="BC110" s="26">
        <f t="shared" si="132"/>
        <v>1.5</v>
      </c>
      <c r="BD110" s="26">
        <f t="shared" si="132"/>
        <v>1.5</v>
      </c>
      <c r="BE110" s="26">
        <f t="shared" si="132"/>
        <v>1.5</v>
      </c>
      <c r="BF110" s="26">
        <f t="shared" si="132"/>
        <v>1.5</v>
      </c>
      <c r="BG110" s="26">
        <f t="shared" si="132"/>
        <v>1.5</v>
      </c>
      <c r="BH110" s="26">
        <f t="shared" si="132"/>
        <v>0.05</v>
      </c>
      <c r="BI110" s="26">
        <f t="shared" si="132"/>
        <v>1</v>
      </c>
      <c r="BJ110" s="26">
        <f t="shared" si="132"/>
        <v>1</v>
      </c>
      <c r="BK110" s="26">
        <f t="shared" si="132"/>
        <v>1</v>
      </c>
      <c r="BL110" s="26">
        <f t="shared" si="132"/>
        <v>1</v>
      </c>
      <c r="BM110" s="26">
        <f t="shared" si="133"/>
        <v>1</v>
      </c>
      <c r="BN110" s="26">
        <f t="shared" si="133"/>
        <v>0.2</v>
      </c>
      <c r="BO110" s="26">
        <f t="shared" si="133"/>
        <v>0.2</v>
      </c>
      <c r="BP110" s="26">
        <f t="shared" si="133"/>
        <v>0.2</v>
      </c>
      <c r="BQ110" s="26">
        <f t="shared" si="133"/>
        <v>0.2</v>
      </c>
      <c r="BR110" s="26">
        <f t="shared" si="133"/>
        <v>0.2</v>
      </c>
      <c r="BS110" s="26">
        <f t="shared" si="133"/>
        <v>0.1</v>
      </c>
      <c r="BT110" s="26">
        <f t="shared" si="133"/>
        <v>0.05</v>
      </c>
      <c r="BU110" s="26">
        <f t="shared" si="133"/>
        <v>0.05</v>
      </c>
      <c r="BV110" s="26">
        <f t="shared" si="133"/>
        <v>2.5000000000000001E-2</v>
      </c>
      <c r="BW110" s="26">
        <f t="shared" si="133"/>
        <v>2.5000000000000001E-2</v>
      </c>
      <c r="BX110" s="26">
        <f t="shared" si="133"/>
        <v>0</v>
      </c>
      <c r="BY110" s="26">
        <f t="shared" si="134"/>
        <v>1.5</v>
      </c>
      <c r="BZ110" s="26">
        <f t="shared" si="134"/>
        <v>1.5</v>
      </c>
      <c r="CA110" s="26">
        <f t="shared" si="134"/>
        <v>1.5</v>
      </c>
      <c r="CB110" s="26">
        <f t="shared" si="134"/>
        <v>1.5</v>
      </c>
      <c r="CC110" s="26">
        <f t="shared" si="134"/>
        <v>1.5</v>
      </c>
      <c r="CD110" s="26">
        <f t="shared" si="134"/>
        <v>0.05</v>
      </c>
      <c r="CE110" s="26">
        <f t="shared" si="134"/>
        <v>1</v>
      </c>
      <c r="CF110" s="26">
        <f t="shared" si="134"/>
        <v>1</v>
      </c>
      <c r="CG110" s="26">
        <f t="shared" si="134"/>
        <v>1</v>
      </c>
      <c r="CH110" s="26">
        <f t="shared" si="134"/>
        <v>1</v>
      </c>
      <c r="CI110" s="26">
        <f t="shared" si="135"/>
        <v>1</v>
      </c>
      <c r="CJ110" s="26">
        <f t="shared" si="135"/>
        <v>0.2</v>
      </c>
      <c r="CK110" s="26">
        <f t="shared" si="135"/>
        <v>0.2</v>
      </c>
      <c r="CL110" s="26">
        <f t="shared" si="135"/>
        <v>0.2</v>
      </c>
      <c r="CM110" s="26">
        <f t="shared" si="135"/>
        <v>0.2</v>
      </c>
      <c r="CN110" s="26">
        <f t="shared" si="135"/>
        <v>0.2</v>
      </c>
      <c r="CO110" s="26">
        <f t="shared" si="135"/>
        <v>0.1</v>
      </c>
      <c r="CP110" s="26">
        <f t="shared" si="135"/>
        <v>0.05</v>
      </c>
      <c r="CQ110" s="26">
        <f t="shared" si="135"/>
        <v>0.05</v>
      </c>
      <c r="CR110" s="26">
        <f t="shared" si="135"/>
        <v>0.05</v>
      </c>
      <c r="CS110" s="26">
        <f t="shared" si="135"/>
        <v>2.5000000000000001E-2</v>
      </c>
      <c r="CT110" s="26">
        <f t="shared" si="135"/>
        <v>2.5000000000000001E-2</v>
      </c>
      <c r="CU110" s="26">
        <f t="shared" si="136"/>
        <v>1.5</v>
      </c>
      <c r="CV110" s="26">
        <f t="shared" si="136"/>
        <v>1.5</v>
      </c>
      <c r="CW110" s="26">
        <f t="shared" si="136"/>
        <v>1.5</v>
      </c>
      <c r="CX110" s="26">
        <f t="shared" si="136"/>
        <v>1.5</v>
      </c>
      <c r="CY110" s="26">
        <f t="shared" si="136"/>
        <v>1.5</v>
      </c>
      <c r="CZ110" s="26">
        <f t="shared" si="136"/>
        <v>0.1</v>
      </c>
      <c r="DA110" s="26">
        <f t="shared" si="136"/>
        <v>1</v>
      </c>
      <c r="DB110" s="26">
        <f t="shared" si="136"/>
        <v>1</v>
      </c>
      <c r="DC110" s="26">
        <f t="shared" si="136"/>
        <v>1</v>
      </c>
      <c r="DD110" s="26">
        <f t="shared" si="136"/>
        <v>1</v>
      </c>
      <c r="DE110" s="26">
        <f t="shared" si="137"/>
        <v>1</v>
      </c>
      <c r="DF110" s="26">
        <f t="shared" si="137"/>
        <v>0.2</v>
      </c>
      <c r="DG110" s="26">
        <f t="shared" si="137"/>
        <v>0.2</v>
      </c>
      <c r="DH110" s="26">
        <f t="shared" si="137"/>
        <v>0.2</v>
      </c>
      <c r="DI110" s="26">
        <f t="shared" si="137"/>
        <v>0.2</v>
      </c>
      <c r="DJ110" s="26">
        <f t="shared" si="137"/>
        <v>0.2</v>
      </c>
      <c r="DK110" s="26">
        <f t="shared" si="137"/>
        <v>0.1</v>
      </c>
      <c r="DL110" s="26">
        <f t="shared" si="137"/>
        <v>0.1</v>
      </c>
      <c r="DM110" s="26">
        <f t="shared" si="137"/>
        <v>0.1</v>
      </c>
      <c r="DN110" s="26">
        <f t="shared" si="137"/>
        <v>0.05</v>
      </c>
      <c r="DO110" s="26">
        <f t="shared" si="137"/>
        <v>0.05</v>
      </c>
      <c r="DP110" s="26">
        <f t="shared" si="137"/>
        <v>0.05</v>
      </c>
      <c r="DQ110" s="26">
        <f t="shared" si="138"/>
        <v>1.5</v>
      </c>
      <c r="DR110" s="26">
        <f t="shared" si="138"/>
        <v>1.5</v>
      </c>
      <c r="DS110" s="26">
        <f t="shared" si="138"/>
        <v>1.5</v>
      </c>
      <c r="DT110" s="26">
        <f t="shared" si="138"/>
        <v>1.5</v>
      </c>
      <c r="DU110" s="26">
        <f t="shared" si="138"/>
        <v>1.5</v>
      </c>
      <c r="DV110" s="26">
        <f t="shared" si="138"/>
        <v>0.1</v>
      </c>
      <c r="DW110" s="26">
        <f t="shared" si="138"/>
        <v>1</v>
      </c>
      <c r="DX110" s="26">
        <f t="shared" si="138"/>
        <v>1</v>
      </c>
      <c r="DY110" s="26">
        <f t="shared" si="138"/>
        <v>1</v>
      </c>
      <c r="DZ110" s="26">
        <f t="shared" si="138"/>
        <v>1</v>
      </c>
      <c r="EA110" s="26">
        <f t="shared" si="139"/>
        <v>1</v>
      </c>
      <c r="EB110" s="26">
        <f t="shared" si="139"/>
        <v>0.2</v>
      </c>
      <c r="EC110" s="26">
        <f t="shared" si="139"/>
        <v>0.2</v>
      </c>
      <c r="ED110" s="26">
        <f t="shared" si="139"/>
        <v>0.2</v>
      </c>
      <c r="EE110" s="26">
        <f t="shared" si="139"/>
        <v>0.2</v>
      </c>
      <c r="EF110" s="26">
        <f t="shared" si="139"/>
        <v>0.2</v>
      </c>
      <c r="EG110" s="26">
        <f t="shared" si="139"/>
        <v>0.1</v>
      </c>
      <c r="EH110" s="26">
        <f t="shared" si="139"/>
        <v>0.1</v>
      </c>
      <c r="EI110" s="26">
        <f t="shared" si="139"/>
        <v>0.1</v>
      </c>
      <c r="EJ110" s="26">
        <f t="shared" si="139"/>
        <v>0.05</v>
      </c>
      <c r="EK110" s="26">
        <f t="shared" si="139"/>
        <v>0.05</v>
      </c>
      <c r="EL110" s="26">
        <f t="shared" si="139"/>
        <v>0.05</v>
      </c>
      <c r="EM110" s="26">
        <f t="shared" si="92"/>
        <v>461283</v>
      </c>
      <c r="EN110" s="26">
        <f t="shared" si="93"/>
        <v>511941</v>
      </c>
      <c r="EO110" s="26">
        <f t="shared" si="94"/>
        <v>563435</v>
      </c>
      <c r="EP110" s="26">
        <f t="shared" si="95"/>
        <v>771411</v>
      </c>
      <c r="EQ110" s="26">
        <f t="shared" si="96"/>
        <v>771411</v>
      </c>
    </row>
    <row r="111" spans="17:147">
      <c r="Q111" s="26">
        <v>107</v>
      </c>
      <c r="R111" s="26">
        <f>总纲!D111</f>
        <v>1662.4929077375689</v>
      </c>
      <c r="S111" s="26">
        <f>求节点(将星点产出!$W$6:$W$44,将星点产出!$AO$6:$AO$44,星阵点亮!$Q111)</f>
        <v>819701.33289257868</v>
      </c>
      <c r="T111" s="26">
        <f t="shared" si="87"/>
        <v>54</v>
      </c>
      <c r="U111" s="26">
        <f>总纲!E111</f>
        <v>1418.9376967540152</v>
      </c>
      <c r="V111" s="26">
        <f>求节点(将星点产出!$W$51:$W$89,将星点产出!$AO$51:$AO$89,星阵点亮!$Q111)</f>
        <v>896828.78797625226</v>
      </c>
      <c r="W111" s="26">
        <f t="shared" si="88"/>
        <v>56</v>
      </c>
      <c r="X111" s="26">
        <f>总纲!F111</f>
        <v>1141.6338797433884</v>
      </c>
      <c r="Y111" s="26">
        <f>求节点(将星点产出!$W$96:$W$134,将星点产出!$AO$96:$AO$134,星阵点亮!$Q111)</f>
        <v>987069.67780602584</v>
      </c>
      <c r="Z111" s="26">
        <f t="shared" si="89"/>
        <v>59</v>
      </c>
      <c r="AA111" s="26">
        <f>总纲!G111</f>
        <v>816.11776840837263</v>
      </c>
      <c r="AB111" s="26">
        <f>求节点(将星点产出!$W$141:$W$179,将星点产出!$AO$141:$AO$179,星阵点亮!$Q111)</f>
        <v>1304550</v>
      </c>
      <c r="AC111" s="26">
        <f t="shared" si="90"/>
        <v>66</v>
      </c>
      <c r="AD111" s="26">
        <f>总纲!H111</f>
        <v>440.22812196890823</v>
      </c>
      <c r="AE111" s="26">
        <f>求节点(将星点产出!$W$186:$W$224,将星点产出!$AO$186:$AO$224,星阵点亮!$Q111)</f>
        <v>1304550</v>
      </c>
      <c r="AF111" s="26">
        <f t="shared" si="91"/>
        <v>66</v>
      </c>
      <c r="AG111" s="26">
        <f t="shared" si="130"/>
        <v>1.5</v>
      </c>
      <c r="AH111" s="26">
        <f t="shared" si="130"/>
        <v>1.5</v>
      </c>
      <c r="AI111" s="26">
        <f t="shared" si="130"/>
        <v>1.5</v>
      </c>
      <c r="AJ111" s="26">
        <f t="shared" si="130"/>
        <v>1.5</v>
      </c>
      <c r="AK111" s="26">
        <f t="shared" si="130"/>
        <v>1.5</v>
      </c>
      <c r="AL111" s="26">
        <f t="shared" si="130"/>
        <v>0.05</v>
      </c>
      <c r="AM111" s="26">
        <f t="shared" si="130"/>
        <v>1</v>
      </c>
      <c r="AN111" s="26">
        <f t="shared" si="130"/>
        <v>1</v>
      </c>
      <c r="AO111" s="26">
        <f t="shared" si="130"/>
        <v>1</v>
      </c>
      <c r="AP111" s="26">
        <f t="shared" si="130"/>
        <v>1</v>
      </c>
      <c r="AQ111" s="26">
        <f t="shared" si="131"/>
        <v>1</v>
      </c>
      <c r="AR111" s="26">
        <f t="shared" si="131"/>
        <v>0.2</v>
      </c>
      <c r="AS111" s="26">
        <f t="shared" si="131"/>
        <v>0.2</v>
      </c>
      <c r="AT111" s="26">
        <f t="shared" si="131"/>
        <v>0.2</v>
      </c>
      <c r="AU111" s="26">
        <f t="shared" si="131"/>
        <v>0.2</v>
      </c>
      <c r="AV111" s="26">
        <f t="shared" si="131"/>
        <v>0.2</v>
      </c>
      <c r="AW111" s="26">
        <f t="shared" si="131"/>
        <v>0.1</v>
      </c>
      <c r="AX111" s="26">
        <f t="shared" si="131"/>
        <v>0.05</v>
      </c>
      <c r="AY111" s="26">
        <f t="shared" si="131"/>
        <v>0.05</v>
      </c>
      <c r="AZ111" s="26">
        <f t="shared" si="131"/>
        <v>0</v>
      </c>
      <c r="BA111" s="26">
        <f t="shared" si="131"/>
        <v>0</v>
      </c>
      <c r="BB111" s="26">
        <f t="shared" si="131"/>
        <v>0</v>
      </c>
      <c r="BC111" s="26">
        <f t="shared" si="132"/>
        <v>1.5</v>
      </c>
      <c r="BD111" s="26">
        <f t="shared" si="132"/>
        <v>1.5</v>
      </c>
      <c r="BE111" s="26">
        <f t="shared" si="132"/>
        <v>1.5</v>
      </c>
      <c r="BF111" s="26">
        <f t="shared" si="132"/>
        <v>1.5</v>
      </c>
      <c r="BG111" s="26">
        <f t="shared" si="132"/>
        <v>1.5</v>
      </c>
      <c r="BH111" s="26">
        <f t="shared" si="132"/>
        <v>0.05</v>
      </c>
      <c r="BI111" s="26">
        <f t="shared" si="132"/>
        <v>1</v>
      </c>
      <c r="BJ111" s="26">
        <f t="shared" si="132"/>
        <v>1</v>
      </c>
      <c r="BK111" s="26">
        <f t="shared" si="132"/>
        <v>1</v>
      </c>
      <c r="BL111" s="26">
        <f t="shared" si="132"/>
        <v>1</v>
      </c>
      <c r="BM111" s="26">
        <f t="shared" si="133"/>
        <v>1</v>
      </c>
      <c r="BN111" s="26">
        <f t="shared" si="133"/>
        <v>0.2</v>
      </c>
      <c r="BO111" s="26">
        <f t="shared" si="133"/>
        <v>0.2</v>
      </c>
      <c r="BP111" s="26">
        <f t="shared" si="133"/>
        <v>0.2</v>
      </c>
      <c r="BQ111" s="26">
        <f t="shared" si="133"/>
        <v>0.2</v>
      </c>
      <c r="BR111" s="26">
        <f t="shared" si="133"/>
        <v>0.2</v>
      </c>
      <c r="BS111" s="26">
        <f t="shared" si="133"/>
        <v>0.1</v>
      </c>
      <c r="BT111" s="26">
        <f t="shared" si="133"/>
        <v>0.05</v>
      </c>
      <c r="BU111" s="26">
        <f t="shared" si="133"/>
        <v>0.05</v>
      </c>
      <c r="BV111" s="26">
        <f t="shared" si="133"/>
        <v>2.5000000000000001E-2</v>
      </c>
      <c r="BW111" s="26">
        <f t="shared" si="133"/>
        <v>2.5000000000000001E-2</v>
      </c>
      <c r="BX111" s="26">
        <f t="shared" si="133"/>
        <v>0</v>
      </c>
      <c r="BY111" s="26">
        <f t="shared" si="134"/>
        <v>1.5</v>
      </c>
      <c r="BZ111" s="26">
        <f t="shared" si="134"/>
        <v>1.5</v>
      </c>
      <c r="CA111" s="26">
        <f t="shared" si="134"/>
        <v>1.5</v>
      </c>
      <c r="CB111" s="26">
        <f t="shared" si="134"/>
        <v>1.5</v>
      </c>
      <c r="CC111" s="26">
        <f t="shared" si="134"/>
        <v>1.5</v>
      </c>
      <c r="CD111" s="26">
        <f t="shared" si="134"/>
        <v>0.05</v>
      </c>
      <c r="CE111" s="26">
        <f t="shared" si="134"/>
        <v>1</v>
      </c>
      <c r="CF111" s="26">
        <f t="shared" si="134"/>
        <v>1</v>
      </c>
      <c r="CG111" s="26">
        <f t="shared" si="134"/>
        <v>1</v>
      </c>
      <c r="CH111" s="26">
        <f t="shared" si="134"/>
        <v>1</v>
      </c>
      <c r="CI111" s="26">
        <f t="shared" si="135"/>
        <v>1</v>
      </c>
      <c r="CJ111" s="26">
        <f t="shared" si="135"/>
        <v>0.2</v>
      </c>
      <c r="CK111" s="26">
        <f t="shared" si="135"/>
        <v>0.2</v>
      </c>
      <c r="CL111" s="26">
        <f t="shared" si="135"/>
        <v>0.2</v>
      </c>
      <c r="CM111" s="26">
        <f t="shared" si="135"/>
        <v>0.2</v>
      </c>
      <c r="CN111" s="26">
        <f t="shared" si="135"/>
        <v>0.2</v>
      </c>
      <c r="CO111" s="26">
        <f t="shared" si="135"/>
        <v>0.1</v>
      </c>
      <c r="CP111" s="26">
        <f t="shared" si="135"/>
        <v>0.05</v>
      </c>
      <c r="CQ111" s="26">
        <f t="shared" si="135"/>
        <v>0.05</v>
      </c>
      <c r="CR111" s="26">
        <f t="shared" si="135"/>
        <v>0.05</v>
      </c>
      <c r="CS111" s="26">
        <f t="shared" si="135"/>
        <v>0.05</v>
      </c>
      <c r="CT111" s="26">
        <f t="shared" si="135"/>
        <v>2.5000000000000001E-2</v>
      </c>
      <c r="CU111" s="26">
        <f t="shared" si="136"/>
        <v>1.5</v>
      </c>
      <c r="CV111" s="26">
        <f t="shared" si="136"/>
        <v>1.5</v>
      </c>
      <c r="CW111" s="26">
        <f t="shared" si="136"/>
        <v>1.5</v>
      </c>
      <c r="CX111" s="26">
        <f t="shared" si="136"/>
        <v>1.5</v>
      </c>
      <c r="CY111" s="26">
        <f t="shared" si="136"/>
        <v>1.5</v>
      </c>
      <c r="CZ111" s="26">
        <f t="shared" si="136"/>
        <v>0.1</v>
      </c>
      <c r="DA111" s="26">
        <f t="shared" si="136"/>
        <v>1</v>
      </c>
      <c r="DB111" s="26">
        <f t="shared" si="136"/>
        <v>1</v>
      </c>
      <c r="DC111" s="26">
        <f t="shared" si="136"/>
        <v>1</v>
      </c>
      <c r="DD111" s="26">
        <f t="shared" si="136"/>
        <v>1</v>
      </c>
      <c r="DE111" s="26">
        <f t="shared" si="137"/>
        <v>1</v>
      </c>
      <c r="DF111" s="26">
        <f t="shared" si="137"/>
        <v>0.2</v>
      </c>
      <c r="DG111" s="26">
        <f t="shared" si="137"/>
        <v>0.2</v>
      </c>
      <c r="DH111" s="26">
        <f t="shared" si="137"/>
        <v>0.2</v>
      </c>
      <c r="DI111" s="26">
        <f t="shared" si="137"/>
        <v>0.2</v>
      </c>
      <c r="DJ111" s="26">
        <f t="shared" si="137"/>
        <v>0.2</v>
      </c>
      <c r="DK111" s="26">
        <f t="shared" si="137"/>
        <v>0.1</v>
      </c>
      <c r="DL111" s="26">
        <f t="shared" si="137"/>
        <v>0.1</v>
      </c>
      <c r="DM111" s="26">
        <f t="shared" si="137"/>
        <v>0.1</v>
      </c>
      <c r="DN111" s="26">
        <f t="shared" si="137"/>
        <v>0.05</v>
      </c>
      <c r="DO111" s="26">
        <f t="shared" si="137"/>
        <v>0.05</v>
      </c>
      <c r="DP111" s="26">
        <f t="shared" si="137"/>
        <v>0.05</v>
      </c>
      <c r="DQ111" s="26">
        <f t="shared" si="138"/>
        <v>1.5</v>
      </c>
      <c r="DR111" s="26">
        <f t="shared" si="138"/>
        <v>1.5</v>
      </c>
      <c r="DS111" s="26">
        <f t="shared" si="138"/>
        <v>1.5</v>
      </c>
      <c r="DT111" s="26">
        <f t="shared" si="138"/>
        <v>1.5</v>
      </c>
      <c r="DU111" s="26">
        <f t="shared" si="138"/>
        <v>1.5</v>
      </c>
      <c r="DV111" s="26">
        <f t="shared" si="138"/>
        <v>0.1</v>
      </c>
      <c r="DW111" s="26">
        <f t="shared" si="138"/>
        <v>1</v>
      </c>
      <c r="DX111" s="26">
        <f t="shared" si="138"/>
        <v>1</v>
      </c>
      <c r="DY111" s="26">
        <f t="shared" si="138"/>
        <v>1</v>
      </c>
      <c r="DZ111" s="26">
        <f t="shared" si="138"/>
        <v>1</v>
      </c>
      <c r="EA111" s="26">
        <f t="shared" si="139"/>
        <v>1</v>
      </c>
      <c r="EB111" s="26">
        <f t="shared" si="139"/>
        <v>0.2</v>
      </c>
      <c r="EC111" s="26">
        <f t="shared" si="139"/>
        <v>0.2</v>
      </c>
      <c r="ED111" s="26">
        <f t="shared" si="139"/>
        <v>0.2</v>
      </c>
      <c r="EE111" s="26">
        <f t="shared" si="139"/>
        <v>0.2</v>
      </c>
      <c r="EF111" s="26">
        <f t="shared" si="139"/>
        <v>0.2</v>
      </c>
      <c r="EG111" s="26">
        <f t="shared" si="139"/>
        <v>0.1</v>
      </c>
      <c r="EH111" s="26">
        <f t="shared" si="139"/>
        <v>0.1</v>
      </c>
      <c r="EI111" s="26">
        <f t="shared" si="139"/>
        <v>0.1</v>
      </c>
      <c r="EJ111" s="26">
        <f t="shared" si="139"/>
        <v>0.05</v>
      </c>
      <c r="EK111" s="26">
        <f t="shared" si="139"/>
        <v>0.05</v>
      </c>
      <c r="EL111" s="26">
        <f t="shared" si="139"/>
        <v>0.05</v>
      </c>
      <c r="EM111" s="26">
        <f t="shared" si="92"/>
        <v>461283</v>
      </c>
      <c r="EN111" s="26">
        <f t="shared" si="93"/>
        <v>511941</v>
      </c>
      <c r="EO111" s="26">
        <f t="shared" si="94"/>
        <v>589257</v>
      </c>
      <c r="EP111" s="26">
        <f t="shared" si="95"/>
        <v>771411</v>
      </c>
      <c r="EQ111" s="26">
        <f t="shared" si="96"/>
        <v>771411</v>
      </c>
    </row>
    <row r="112" spans="17:147">
      <c r="Q112" s="26">
        <v>108</v>
      </c>
      <c r="R112" s="26">
        <f>总纲!D112</f>
        <v>1781.8875536304624</v>
      </c>
      <c r="S112" s="26">
        <f>求节点(将星点产出!$W$6:$W$44,将星点产出!$AO$6:$AO$44,星阵点亮!$Q112)</f>
        <v>836889.63163816649</v>
      </c>
      <c r="T112" s="26">
        <f t="shared" si="87"/>
        <v>55</v>
      </c>
      <c r="U112" s="26">
        <f>总纲!E112</f>
        <v>1520.8410270235997</v>
      </c>
      <c r="V112" s="26">
        <f>求节点(将星点产出!$W$51:$W$89,将星点产出!$AO$51:$AO$89,星阵点亮!$Q112)</f>
        <v>912313.58751666127</v>
      </c>
      <c r="W112" s="26">
        <f t="shared" si="88"/>
        <v>57</v>
      </c>
      <c r="X112" s="26">
        <f>总纲!F112</f>
        <v>1218.0983316617842</v>
      </c>
      <c r="Y112" s="26">
        <f>求节点(将星点产出!$W$96:$W$134,将星点产出!$AO$96:$AO$134,星阵点亮!$Q112)</f>
        <v>997350</v>
      </c>
      <c r="Z112" s="26">
        <f t="shared" si="89"/>
        <v>59</v>
      </c>
      <c r="AA112" s="26">
        <f>总纲!G112</f>
        <v>871.69939123602228</v>
      </c>
      <c r="AB112" s="26">
        <f>求节点(将星点产出!$W$141:$W$179,将星点产出!$AO$141:$AO$179,星阵点亮!$Q112)</f>
        <v>1304550</v>
      </c>
      <c r="AC112" s="26">
        <f t="shared" si="90"/>
        <v>66</v>
      </c>
      <c r="AD112" s="26">
        <f>总纲!H112</f>
        <v>471.13106917989433</v>
      </c>
      <c r="AE112" s="26">
        <f>求节点(将星点产出!$W$186:$W$224,将星点产出!$AO$186:$AO$224,星阵点亮!$Q112)</f>
        <v>1304550</v>
      </c>
      <c r="AF112" s="26">
        <f t="shared" si="91"/>
        <v>66</v>
      </c>
      <c r="AG112" s="26">
        <f t="shared" si="130"/>
        <v>1.5</v>
      </c>
      <c r="AH112" s="26">
        <f t="shared" si="130"/>
        <v>1.5</v>
      </c>
      <c r="AI112" s="26">
        <f t="shared" si="130"/>
        <v>1.5</v>
      </c>
      <c r="AJ112" s="26">
        <f t="shared" si="130"/>
        <v>1.5</v>
      </c>
      <c r="AK112" s="26">
        <f t="shared" si="130"/>
        <v>1.5</v>
      </c>
      <c r="AL112" s="26">
        <f t="shared" si="130"/>
        <v>0.05</v>
      </c>
      <c r="AM112" s="26">
        <f t="shared" si="130"/>
        <v>1</v>
      </c>
      <c r="AN112" s="26">
        <f t="shared" si="130"/>
        <v>1</v>
      </c>
      <c r="AO112" s="26">
        <f t="shared" si="130"/>
        <v>1</v>
      </c>
      <c r="AP112" s="26">
        <f t="shared" si="130"/>
        <v>1</v>
      </c>
      <c r="AQ112" s="26">
        <f t="shared" si="131"/>
        <v>1</v>
      </c>
      <c r="AR112" s="26">
        <f t="shared" si="131"/>
        <v>0.2</v>
      </c>
      <c r="AS112" s="26">
        <f t="shared" si="131"/>
        <v>0.2</v>
      </c>
      <c r="AT112" s="26">
        <f t="shared" si="131"/>
        <v>0.2</v>
      </c>
      <c r="AU112" s="26">
        <f t="shared" si="131"/>
        <v>0.2</v>
      </c>
      <c r="AV112" s="26">
        <f t="shared" si="131"/>
        <v>0.2</v>
      </c>
      <c r="AW112" s="26">
        <f t="shared" si="131"/>
        <v>0.1</v>
      </c>
      <c r="AX112" s="26">
        <f t="shared" si="131"/>
        <v>0.05</v>
      </c>
      <c r="AY112" s="26">
        <f t="shared" si="131"/>
        <v>0.05</v>
      </c>
      <c r="AZ112" s="26">
        <f t="shared" si="131"/>
        <v>2.5000000000000001E-2</v>
      </c>
      <c r="BA112" s="26">
        <f t="shared" si="131"/>
        <v>0</v>
      </c>
      <c r="BB112" s="26">
        <f t="shared" si="131"/>
        <v>0</v>
      </c>
      <c r="BC112" s="26">
        <f t="shared" si="132"/>
        <v>1.5</v>
      </c>
      <c r="BD112" s="26">
        <f t="shared" si="132"/>
        <v>1.5</v>
      </c>
      <c r="BE112" s="26">
        <f t="shared" si="132"/>
        <v>1.5</v>
      </c>
      <c r="BF112" s="26">
        <f t="shared" si="132"/>
        <v>1.5</v>
      </c>
      <c r="BG112" s="26">
        <f t="shared" si="132"/>
        <v>1.5</v>
      </c>
      <c r="BH112" s="26">
        <f t="shared" si="132"/>
        <v>0.05</v>
      </c>
      <c r="BI112" s="26">
        <f t="shared" si="132"/>
        <v>1</v>
      </c>
      <c r="BJ112" s="26">
        <f t="shared" si="132"/>
        <v>1</v>
      </c>
      <c r="BK112" s="26">
        <f t="shared" si="132"/>
        <v>1</v>
      </c>
      <c r="BL112" s="26">
        <f t="shared" si="132"/>
        <v>1</v>
      </c>
      <c r="BM112" s="26">
        <f t="shared" si="133"/>
        <v>1</v>
      </c>
      <c r="BN112" s="26">
        <f t="shared" si="133"/>
        <v>0.2</v>
      </c>
      <c r="BO112" s="26">
        <f t="shared" si="133"/>
        <v>0.2</v>
      </c>
      <c r="BP112" s="26">
        <f t="shared" si="133"/>
        <v>0.2</v>
      </c>
      <c r="BQ112" s="26">
        <f t="shared" si="133"/>
        <v>0.2</v>
      </c>
      <c r="BR112" s="26">
        <f t="shared" si="133"/>
        <v>0.2</v>
      </c>
      <c r="BS112" s="26">
        <f t="shared" si="133"/>
        <v>0.1</v>
      </c>
      <c r="BT112" s="26">
        <f t="shared" si="133"/>
        <v>0.05</v>
      </c>
      <c r="BU112" s="26">
        <f t="shared" si="133"/>
        <v>0.05</v>
      </c>
      <c r="BV112" s="26">
        <f t="shared" si="133"/>
        <v>2.5000000000000001E-2</v>
      </c>
      <c r="BW112" s="26">
        <f t="shared" si="133"/>
        <v>2.5000000000000001E-2</v>
      </c>
      <c r="BX112" s="26">
        <f t="shared" si="133"/>
        <v>2.5000000000000001E-2</v>
      </c>
      <c r="BY112" s="26">
        <f t="shared" si="134"/>
        <v>1.5</v>
      </c>
      <c r="BZ112" s="26">
        <f t="shared" si="134"/>
        <v>1.5</v>
      </c>
      <c r="CA112" s="26">
        <f t="shared" si="134"/>
        <v>1.5</v>
      </c>
      <c r="CB112" s="26">
        <f t="shared" si="134"/>
        <v>1.5</v>
      </c>
      <c r="CC112" s="26">
        <f t="shared" si="134"/>
        <v>1.5</v>
      </c>
      <c r="CD112" s="26">
        <f t="shared" si="134"/>
        <v>0.05</v>
      </c>
      <c r="CE112" s="26">
        <f t="shared" si="134"/>
        <v>1</v>
      </c>
      <c r="CF112" s="26">
        <f t="shared" si="134"/>
        <v>1</v>
      </c>
      <c r="CG112" s="26">
        <f t="shared" si="134"/>
        <v>1</v>
      </c>
      <c r="CH112" s="26">
        <f t="shared" si="134"/>
        <v>1</v>
      </c>
      <c r="CI112" s="26">
        <f t="shared" si="135"/>
        <v>1</v>
      </c>
      <c r="CJ112" s="26">
        <f t="shared" si="135"/>
        <v>0.2</v>
      </c>
      <c r="CK112" s="26">
        <f t="shared" si="135"/>
        <v>0.2</v>
      </c>
      <c r="CL112" s="26">
        <f t="shared" si="135"/>
        <v>0.2</v>
      </c>
      <c r="CM112" s="26">
        <f t="shared" si="135"/>
        <v>0.2</v>
      </c>
      <c r="CN112" s="26">
        <f t="shared" si="135"/>
        <v>0.2</v>
      </c>
      <c r="CO112" s="26">
        <f t="shared" si="135"/>
        <v>0.1</v>
      </c>
      <c r="CP112" s="26">
        <f t="shared" si="135"/>
        <v>0.05</v>
      </c>
      <c r="CQ112" s="26">
        <f t="shared" si="135"/>
        <v>0.05</v>
      </c>
      <c r="CR112" s="26">
        <f t="shared" si="135"/>
        <v>0.05</v>
      </c>
      <c r="CS112" s="26">
        <f t="shared" si="135"/>
        <v>0.05</v>
      </c>
      <c r="CT112" s="26">
        <f t="shared" si="135"/>
        <v>2.5000000000000001E-2</v>
      </c>
      <c r="CU112" s="26">
        <f t="shared" si="136"/>
        <v>1.5</v>
      </c>
      <c r="CV112" s="26">
        <f t="shared" si="136"/>
        <v>1.5</v>
      </c>
      <c r="CW112" s="26">
        <f t="shared" si="136"/>
        <v>1.5</v>
      </c>
      <c r="CX112" s="26">
        <f t="shared" si="136"/>
        <v>1.5</v>
      </c>
      <c r="CY112" s="26">
        <f t="shared" si="136"/>
        <v>1.5</v>
      </c>
      <c r="CZ112" s="26">
        <f t="shared" si="136"/>
        <v>0.1</v>
      </c>
      <c r="DA112" s="26">
        <f t="shared" si="136"/>
        <v>1</v>
      </c>
      <c r="DB112" s="26">
        <f t="shared" si="136"/>
        <v>1</v>
      </c>
      <c r="DC112" s="26">
        <f t="shared" si="136"/>
        <v>1</v>
      </c>
      <c r="DD112" s="26">
        <f t="shared" si="136"/>
        <v>1</v>
      </c>
      <c r="DE112" s="26">
        <f t="shared" si="137"/>
        <v>1</v>
      </c>
      <c r="DF112" s="26">
        <f t="shared" si="137"/>
        <v>0.2</v>
      </c>
      <c r="DG112" s="26">
        <f t="shared" si="137"/>
        <v>0.2</v>
      </c>
      <c r="DH112" s="26">
        <f t="shared" si="137"/>
        <v>0.2</v>
      </c>
      <c r="DI112" s="26">
        <f t="shared" si="137"/>
        <v>0.2</v>
      </c>
      <c r="DJ112" s="26">
        <f t="shared" si="137"/>
        <v>0.2</v>
      </c>
      <c r="DK112" s="26">
        <f t="shared" si="137"/>
        <v>0.1</v>
      </c>
      <c r="DL112" s="26">
        <f t="shared" si="137"/>
        <v>0.1</v>
      </c>
      <c r="DM112" s="26">
        <f t="shared" si="137"/>
        <v>0.1</v>
      </c>
      <c r="DN112" s="26">
        <f t="shared" si="137"/>
        <v>0.05</v>
      </c>
      <c r="DO112" s="26">
        <f t="shared" si="137"/>
        <v>0.05</v>
      </c>
      <c r="DP112" s="26">
        <f t="shared" si="137"/>
        <v>0.05</v>
      </c>
      <c r="DQ112" s="26">
        <f t="shared" si="138"/>
        <v>1.5</v>
      </c>
      <c r="DR112" s="26">
        <f t="shared" si="138"/>
        <v>1.5</v>
      </c>
      <c r="DS112" s="26">
        <f t="shared" si="138"/>
        <v>1.5</v>
      </c>
      <c r="DT112" s="26">
        <f t="shared" si="138"/>
        <v>1.5</v>
      </c>
      <c r="DU112" s="26">
        <f t="shared" si="138"/>
        <v>1.5</v>
      </c>
      <c r="DV112" s="26">
        <f t="shared" si="138"/>
        <v>0.1</v>
      </c>
      <c r="DW112" s="26">
        <f t="shared" si="138"/>
        <v>1</v>
      </c>
      <c r="DX112" s="26">
        <f t="shared" si="138"/>
        <v>1</v>
      </c>
      <c r="DY112" s="26">
        <f t="shared" si="138"/>
        <v>1</v>
      </c>
      <c r="DZ112" s="26">
        <f t="shared" si="138"/>
        <v>1</v>
      </c>
      <c r="EA112" s="26">
        <f t="shared" si="139"/>
        <v>1</v>
      </c>
      <c r="EB112" s="26">
        <f t="shared" si="139"/>
        <v>0.2</v>
      </c>
      <c r="EC112" s="26">
        <f t="shared" si="139"/>
        <v>0.2</v>
      </c>
      <c r="ED112" s="26">
        <f t="shared" si="139"/>
        <v>0.2</v>
      </c>
      <c r="EE112" s="26">
        <f t="shared" si="139"/>
        <v>0.2</v>
      </c>
      <c r="EF112" s="26">
        <f t="shared" si="139"/>
        <v>0.2</v>
      </c>
      <c r="EG112" s="26">
        <f t="shared" si="139"/>
        <v>0.1</v>
      </c>
      <c r="EH112" s="26">
        <f t="shared" si="139"/>
        <v>0.1</v>
      </c>
      <c r="EI112" s="26">
        <f t="shared" si="139"/>
        <v>0.1</v>
      </c>
      <c r="EJ112" s="26">
        <f t="shared" si="139"/>
        <v>0.05</v>
      </c>
      <c r="EK112" s="26">
        <f t="shared" si="139"/>
        <v>0.05</v>
      </c>
      <c r="EL112" s="26">
        <f t="shared" si="139"/>
        <v>0.05</v>
      </c>
      <c r="EM112" s="26">
        <f t="shared" si="92"/>
        <v>486269</v>
      </c>
      <c r="EN112" s="26">
        <f t="shared" si="93"/>
        <v>537663</v>
      </c>
      <c r="EO112" s="26">
        <f t="shared" si="94"/>
        <v>589257</v>
      </c>
      <c r="EP112" s="26">
        <f t="shared" si="95"/>
        <v>771411</v>
      </c>
      <c r="EQ112" s="26">
        <f t="shared" si="96"/>
        <v>771411</v>
      </c>
    </row>
    <row r="113" spans="17:147">
      <c r="Q113" s="26">
        <v>109</v>
      </c>
      <c r="R113" s="26">
        <f>总纲!D113</f>
        <v>1909.8515666673818</v>
      </c>
      <c r="S113" s="26">
        <f>求节点(将星点产出!$W$6:$W$44,将星点产出!$AO$6:$AO$44,星阵点亮!$Q113)</f>
        <v>850088.63755858212</v>
      </c>
      <c r="T113" s="26">
        <f t="shared" si="87"/>
        <v>55</v>
      </c>
      <c r="U113" s="26">
        <f>总纲!E113</f>
        <v>1624.7107277639418</v>
      </c>
      <c r="V113" s="26">
        <f>求节点(将星点产出!$W$51:$W$89,将星点产出!$AO$51:$AO$89,星阵点亮!$Q113)</f>
        <v>928642.40630666399</v>
      </c>
      <c r="W113" s="26">
        <f t="shared" si="88"/>
        <v>57</v>
      </c>
      <c r="X113" s="26">
        <f>总纲!F113</f>
        <v>1301.5638426838207</v>
      </c>
      <c r="Y113" s="26">
        <f>求节点(将星点产出!$W$96:$W$134,将星点产出!$AO$96:$AO$134,星阵点亮!$Q113)</f>
        <v>997350</v>
      </c>
      <c r="Z113" s="26">
        <f t="shared" si="89"/>
        <v>59</v>
      </c>
      <c r="AA113" s="26">
        <f>总纲!G113</f>
        <v>931.81657937701561</v>
      </c>
      <c r="AB113" s="26">
        <f>求节点(将星点产出!$W$141:$W$179,将星点产出!$AO$141:$AO$179,星阵点亮!$Q113)</f>
        <v>1304550</v>
      </c>
      <c r="AC113" s="26">
        <f t="shared" si="90"/>
        <v>66</v>
      </c>
      <c r="AD113" s="26">
        <f>总纲!H113</f>
        <v>504.58278391352223</v>
      </c>
      <c r="AE113" s="26">
        <f>求节点(将星点产出!$W$186:$W$224,将星点产出!$AO$186:$AO$224,星阵点亮!$Q113)</f>
        <v>1304550</v>
      </c>
      <c r="AF113" s="26">
        <f t="shared" si="91"/>
        <v>66</v>
      </c>
      <c r="AG113" s="26">
        <f t="shared" si="130"/>
        <v>1.5</v>
      </c>
      <c r="AH113" s="26">
        <f t="shared" si="130"/>
        <v>1.5</v>
      </c>
      <c r="AI113" s="26">
        <f t="shared" si="130"/>
        <v>1.5</v>
      </c>
      <c r="AJ113" s="26">
        <f t="shared" si="130"/>
        <v>1.5</v>
      </c>
      <c r="AK113" s="26">
        <f t="shared" si="130"/>
        <v>1.5</v>
      </c>
      <c r="AL113" s="26">
        <f t="shared" si="130"/>
        <v>0.05</v>
      </c>
      <c r="AM113" s="26">
        <f t="shared" si="130"/>
        <v>1</v>
      </c>
      <c r="AN113" s="26">
        <f t="shared" si="130"/>
        <v>1</v>
      </c>
      <c r="AO113" s="26">
        <f t="shared" si="130"/>
        <v>1</v>
      </c>
      <c r="AP113" s="26">
        <f t="shared" si="130"/>
        <v>1</v>
      </c>
      <c r="AQ113" s="26">
        <f t="shared" si="131"/>
        <v>1</v>
      </c>
      <c r="AR113" s="26">
        <f t="shared" si="131"/>
        <v>0.2</v>
      </c>
      <c r="AS113" s="26">
        <f t="shared" si="131"/>
        <v>0.2</v>
      </c>
      <c r="AT113" s="26">
        <f t="shared" si="131"/>
        <v>0.2</v>
      </c>
      <c r="AU113" s="26">
        <f t="shared" si="131"/>
        <v>0.2</v>
      </c>
      <c r="AV113" s="26">
        <f t="shared" si="131"/>
        <v>0.2</v>
      </c>
      <c r="AW113" s="26">
        <f t="shared" si="131"/>
        <v>0.1</v>
      </c>
      <c r="AX113" s="26">
        <f t="shared" si="131"/>
        <v>0.05</v>
      </c>
      <c r="AY113" s="26">
        <f t="shared" si="131"/>
        <v>0.05</v>
      </c>
      <c r="AZ113" s="26">
        <f t="shared" si="131"/>
        <v>2.5000000000000001E-2</v>
      </c>
      <c r="BA113" s="26">
        <f t="shared" si="131"/>
        <v>0</v>
      </c>
      <c r="BB113" s="26">
        <f t="shared" si="131"/>
        <v>0</v>
      </c>
      <c r="BC113" s="26">
        <f t="shared" si="132"/>
        <v>1.5</v>
      </c>
      <c r="BD113" s="26">
        <f t="shared" si="132"/>
        <v>1.5</v>
      </c>
      <c r="BE113" s="26">
        <f t="shared" si="132"/>
        <v>1.5</v>
      </c>
      <c r="BF113" s="26">
        <f t="shared" si="132"/>
        <v>1.5</v>
      </c>
      <c r="BG113" s="26">
        <f t="shared" si="132"/>
        <v>1.5</v>
      </c>
      <c r="BH113" s="26">
        <f t="shared" si="132"/>
        <v>0.05</v>
      </c>
      <c r="BI113" s="26">
        <f t="shared" si="132"/>
        <v>1</v>
      </c>
      <c r="BJ113" s="26">
        <f t="shared" si="132"/>
        <v>1</v>
      </c>
      <c r="BK113" s="26">
        <f t="shared" si="132"/>
        <v>1</v>
      </c>
      <c r="BL113" s="26">
        <f t="shared" si="132"/>
        <v>1</v>
      </c>
      <c r="BM113" s="26">
        <f t="shared" si="133"/>
        <v>1</v>
      </c>
      <c r="BN113" s="26">
        <f t="shared" si="133"/>
        <v>0.2</v>
      </c>
      <c r="BO113" s="26">
        <f t="shared" si="133"/>
        <v>0.2</v>
      </c>
      <c r="BP113" s="26">
        <f t="shared" si="133"/>
        <v>0.2</v>
      </c>
      <c r="BQ113" s="26">
        <f t="shared" si="133"/>
        <v>0.2</v>
      </c>
      <c r="BR113" s="26">
        <f t="shared" si="133"/>
        <v>0.2</v>
      </c>
      <c r="BS113" s="26">
        <f t="shared" si="133"/>
        <v>0.1</v>
      </c>
      <c r="BT113" s="26">
        <f t="shared" si="133"/>
        <v>0.05</v>
      </c>
      <c r="BU113" s="26">
        <f t="shared" si="133"/>
        <v>0.05</v>
      </c>
      <c r="BV113" s="26">
        <f t="shared" si="133"/>
        <v>2.5000000000000001E-2</v>
      </c>
      <c r="BW113" s="26">
        <f t="shared" si="133"/>
        <v>2.5000000000000001E-2</v>
      </c>
      <c r="BX113" s="26">
        <f t="shared" si="133"/>
        <v>2.5000000000000001E-2</v>
      </c>
      <c r="BY113" s="26">
        <f t="shared" si="134"/>
        <v>1.5</v>
      </c>
      <c r="BZ113" s="26">
        <f t="shared" si="134"/>
        <v>1.5</v>
      </c>
      <c r="CA113" s="26">
        <f t="shared" si="134"/>
        <v>1.5</v>
      </c>
      <c r="CB113" s="26">
        <f t="shared" si="134"/>
        <v>1.5</v>
      </c>
      <c r="CC113" s="26">
        <f t="shared" si="134"/>
        <v>1.5</v>
      </c>
      <c r="CD113" s="26">
        <f t="shared" si="134"/>
        <v>0.05</v>
      </c>
      <c r="CE113" s="26">
        <f t="shared" si="134"/>
        <v>1</v>
      </c>
      <c r="CF113" s="26">
        <f t="shared" si="134"/>
        <v>1</v>
      </c>
      <c r="CG113" s="26">
        <f t="shared" si="134"/>
        <v>1</v>
      </c>
      <c r="CH113" s="26">
        <f t="shared" si="134"/>
        <v>1</v>
      </c>
      <c r="CI113" s="26">
        <f t="shared" si="135"/>
        <v>1</v>
      </c>
      <c r="CJ113" s="26">
        <f t="shared" si="135"/>
        <v>0.2</v>
      </c>
      <c r="CK113" s="26">
        <f t="shared" si="135"/>
        <v>0.2</v>
      </c>
      <c r="CL113" s="26">
        <f t="shared" si="135"/>
        <v>0.2</v>
      </c>
      <c r="CM113" s="26">
        <f t="shared" si="135"/>
        <v>0.2</v>
      </c>
      <c r="CN113" s="26">
        <f t="shared" si="135"/>
        <v>0.2</v>
      </c>
      <c r="CO113" s="26">
        <f t="shared" si="135"/>
        <v>0.1</v>
      </c>
      <c r="CP113" s="26">
        <f t="shared" si="135"/>
        <v>0.05</v>
      </c>
      <c r="CQ113" s="26">
        <f t="shared" si="135"/>
        <v>0.05</v>
      </c>
      <c r="CR113" s="26">
        <f t="shared" si="135"/>
        <v>0.05</v>
      </c>
      <c r="CS113" s="26">
        <f t="shared" si="135"/>
        <v>0.05</v>
      </c>
      <c r="CT113" s="26">
        <f t="shared" si="135"/>
        <v>2.5000000000000001E-2</v>
      </c>
      <c r="CU113" s="26">
        <f t="shared" si="136"/>
        <v>1.5</v>
      </c>
      <c r="CV113" s="26">
        <f t="shared" si="136"/>
        <v>1.5</v>
      </c>
      <c r="CW113" s="26">
        <f t="shared" si="136"/>
        <v>1.5</v>
      </c>
      <c r="CX113" s="26">
        <f t="shared" si="136"/>
        <v>1.5</v>
      </c>
      <c r="CY113" s="26">
        <f t="shared" si="136"/>
        <v>1.5</v>
      </c>
      <c r="CZ113" s="26">
        <f t="shared" si="136"/>
        <v>0.1</v>
      </c>
      <c r="DA113" s="26">
        <f t="shared" si="136"/>
        <v>1</v>
      </c>
      <c r="DB113" s="26">
        <f t="shared" si="136"/>
        <v>1</v>
      </c>
      <c r="DC113" s="26">
        <f t="shared" si="136"/>
        <v>1</v>
      </c>
      <c r="DD113" s="26">
        <f t="shared" si="136"/>
        <v>1</v>
      </c>
      <c r="DE113" s="26">
        <f t="shared" si="137"/>
        <v>1</v>
      </c>
      <c r="DF113" s="26">
        <f t="shared" si="137"/>
        <v>0.2</v>
      </c>
      <c r="DG113" s="26">
        <f t="shared" si="137"/>
        <v>0.2</v>
      </c>
      <c r="DH113" s="26">
        <f t="shared" si="137"/>
        <v>0.2</v>
      </c>
      <c r="DI113" s="26">
        <f t="shared" si="137"/>
        <v>0.2</v>
      </c>
      <c r="DJ113" s="26">
        <f t="shared" si="137"/>
        <v>0.2</v>
      </c>
      <c r="DK113" s="26">
        <f t="shared" si="137"/>
        <v>0.1</v>
      </c>
      <c r="DL113" s="26">
        <f t="shared" si="137"/>
        <v>0.1</v>
      </c>
      <c r="DM113" s="26">
        <f t="shared" si="137"/>
        <v>0.1</v>
      </c>
      <c r="DN113" s="26">
        <f t="shared" si="137"/>
        <v>0.05</v>
      </c>
      <c r="DO113" s="26">
        <f t="shared" si="137"/>
        <v>0.05</v>
      </c>
      <c r="DP113" s="26">
        <f t="shared" si="137"/>
        <v>0.05</v>
      </c>
      <c r="DQ113" s="26">
        <f t="shared" si="138"/>
        <v>1.5</v>
      </c>
      <c r="DR113" s="26">
        <f t="shared" si="138"/>
        <v>1.5</v>
      </c>
      <c r="DS113" s="26">
        <f t="shared" si="138"/>
        <v>1.5</v>
      </c>
      <c r="DT113" s="26">
        <f t="shared" si="138"/>
        <v>1.5</v>
      </c>
      <c r="DU113" s="26">
        <f t="shared" si="138"/>
        <v>1.5</v>
      </c>
      <c r="DV113" s="26">
        <f t="shared" si="138"/>
        <v>0.1</v>
      </c>
      <c r="DW113" s="26">
        <f t="shared" si="138"/>
        <v>1</v>
      </c>
      <c r="DX113" s="26">
        <f t="shared" si="138"/>
        <v>1</v>
      </c>
      <c r="DY113" s="26">
        <f t="shared" si="138"/>
        <v>1</v>
      </c>
      <c r="DZ113" s="26">
        <f t="shared" si="138"/>
        <v>1</v>
      </c>
      <c r="EA113" s="26">
        <f t="shared" si="139"/>
        <v>1</v>
      </c>
      <c r="EB113" s="26">
        <f t="shared" si="139"/>
        <v>0.2</v>
      </c>
      <c r="EC113" s="26">
        <f t="shared" si="139"/>
        <v>0.2</v>
      </c>
      <c r="ED113" s="26">
        <f t="shared" si="139"/>
        <v>0.2</v>
      </c>
      <c r="EE113" s="26">
        <f t="shared" si="139"/>
        <v>0.2</v>
      </c>
      <c r="EF113" s="26">
        <f t="shared" si="139"/>
        <v>0.2</v>
      </c>
      <c r="EG113" s="26">
        <f t="shared" si="139"/>
        <v>0.1</v>
      </c>
      <c r="EH113" s="26">
        <f t="shared" si="139"/>
        <v>0.1</v>
      </c>
      <c r="EI113" s="26">
        <f t="shared" si="139"/>
        <v>0.1</v>
      </c>
      <c r="EJ113" s="26">
        <f t="shared" si="139"/>
        <v>0.05</v>
      </c>
      <c r="EK113" s="26">
        <f t="shared" si="139"/>
        <v>0.05</v>
      </c>
      <c r="EL113" s="26">
        <f t="shared" si="139"/>
        <v>0.05</v>
      </c>
      <c r="EM113" s="26">
        <f t="shared" si="92"/>
        <v>486269</v>
      </c>
      <c r="EN113" s="26">
        <f t="shared" si="93"/>
        <v>537663</v>
      </c>
      <c r="EO113" s="26">
        <f t="shared" si="94"/>
        <v>589257</v>
      </c>
      <c r="EP113" s="26">
        <f t="shared" si="95"/>
        <v>771411</v>
      </c>
      <c r="EQ113" s="26">
        <f t="shared" si="96"/>
        <v>771411</v>
      </c>
    </row>
    <row r="114" spans="17:147">
      <c r="Q114" s="26">
        <v>110</v>
      </c>
      <c r="R114" s="26">
        <f>总纲!D114</f>
        <v>2047</v>
      </c>
      <c r="S114" s="26">
        <f>求节点(将星点产出!$W$6:$W$44,将星点产出!$AO$6:$AO$44,星阵点亮!$Q114)</f>
        <v>863287.64347899775</v>
      </c>
      <c r="T114" s="26">
        <f t="shared" si="87"/>
        <v>55</v>
      </c>
      <c r="U114" s="26">
        <f>总纲!E114</f>
        <v>1741.3829000000001</v>
      </c>
      <c r="V114" s="26">
        <f>求节点(将星点产出!$W$51:$W$89,将星点产出!$AO$51:$AO$89,星阵点亮!$Q114)</f>
        <v>944971.2250966666</v>
      </c>
      <c r="W114" s="26">
        <f t="shared" si="88"/>
        <v>58</v>
      </c>
      <c r="X114" s="26">
        <f>总纲!F114</f>
        <v>1397.2821999999999</v>
      </c>
      <c r="Y114" s="26">
        <f>求节点(将星点产出!$W$96:$W$134,将星点产出!$AO$96:$AO$134,星阵点亮!$Q114)</f>
        <v>997350</v>
      </c>
      <c r="Z114" s="26">
        <f t="shared" si="89"/>
        <v>59</v>
      </c>
      <c r="AA114" s="26">
        <f>总纲!G114</f>
        <v>1001.3924000000001</v>
      </c>
      <c r="AB114" s="26">
        <f>求节点(将星点产出!$W$141:$W$179,将星点产出!$AO$141:$AO$179,星阵点亮!$Q114)</f>
        <v>1304550</v>
      </c>
      <c r="AC114" s="26">
        <f t="shared" si="90"/>
        <v>66</v>
      </c>
      <c r="AD114" s="26">
        <f>总纲!H114</f>
        <v>542.04559999999992</v>
      </c>
      <c r="AE114" s="26">
        <f>求节点(将星点产出!$W$186:$W$224,将星点产出!$AO$186:$AO$224,星阵点亮!$Q114)</f>
        <v>1304550</v>
      </c>
      <c r="AF114" s="26">
        <f t="shared" si="91"/>
        <v>66</v>
      </c>
      <c r="AG114" s="26">
        <f t="shared" si="130"/>
        <v>1.5</v>
      </c>
      <c r="AH114" s="26">
        <f t="shared" si="130"/>
        <v>1.5</v>
      </c>
      <c r="AI114" s="26">
        <f t="shared" si="130"/>
        <v>1.5</v>
      </c>
      <c r="AJ114" s="26">
        <f t="shared" si="130"/>
        <v>1.5</v>
      </c>
      <c r="AK114" s="26">
        <f t="shared" si="130"/>
        <v>1.5</v>
      </c>
      <c r="AL114" s="26">
        <f t="shared" si="130"/>
        <v>0.05</v>
      </c>
      <c r="AM114" s="26">
        <f t="shared" si="130"/>
        <v>1</v>
      </c>
      <c r="AN114" s="26">
        <f t="shared" si="130"/>
        <v>1</v>
      </c>
      <c r="AO114" s="26">
        <f t="shared" si="130"/>
        <v>1</v>
      </c>
      <c r="AP114" s="26">
        <f t="shared" si="130"/>
        <v>1</v>
      </c>
      <c r="AQ114" s="26">
        <f t="shared" si="131"/>
        <v>1</v>
      </c>
      <c r="AR114" s="26">
        <f t="shared" si="131"/>
        <v>0.2</v>
      </c>
      <c r="AS114" s="26">
        <f t="shared" si="131"/>
        <v>0.2</v>
      </c>
      <c r="AT114" s="26">
        <f t="shared" si="131"/>
        <v>0.2</v>
      </c>
      <c r="AU114" s="26">
        <f t="shared" si="131"/>
        <v>0.2</v>
      </c>
      <c r="AV114" s="26">
        <f t="shared" si="131"/>
        <v>0.2</v>
      </c>
      <c r="AW114" s="26">
        <f t="shared" si="131"/>
        <v>0.1</v>
      </c>
      <c r="AX114" s="26">
        <f t="shared" si="131"/>
        <v>0.05</v>
      </c>
      <c r="AY114" s="26">
        <f t="shared" si="131"/>
        <v>0.05</v>
      </c>
      <c r="AZ114" s="26">
        <f t="shared" si="131"/>
        <v>2.5000000000000001E-2</v>
      </c>
      <c r="BA114" s="26">
        <f t="shared" si="131"/>
        <v>0</v>
      </c>
      <c r="BB114" s="26">
        <f t="shared" si="131"/>
        <v>0</v>
      </c>
      <c r="BC114" s="26">
        <f t="shared" si="132"/>
        <v>1.5</v>
      </c>
      <c r="BD114" s="26">
        <f t="shared" si="132"/>
        <v>1.5</v>
      </c>
      <c r="BE114" s="26">
        <f t="shared" si="132"/>
        <v>1.5</v>
      </c>
      <c r="BF114" s="26">
        <f t="shared" si="132"/>
        <v>1.5</v>
      </c>
      <c r="BG114" s="26">
        <f t="shared" si="132"/>
        <v>1.5</v>
      </c>
      <c r="BH114" s="26">
        <f t="shared" si="132"/>
        <v>0.05</v>
      </c>
      <c r="BI114" s="26">
        <f t="shared" si="132"/>
        <v>1</v>
      </c>
      <c r="BJ114" s="26">
        <f t="shared" si="132"/>
        <v>1</v>
      </c>
      <c r="BK114" s="26">
        <f t="shared" si="132"/>
        <v>1</v>
      </c>
      <c r="BL114" s="26">
        <f t="shared" si="132"/>
        <v>1</v>
      </c>
      <c r="BM114" s="26">
        <f t="shared" si="133"/>
        <v>1</v>
      </c>
      <c r="BN114" s="26">
        <f t="shared" si="133"/>
        <v>0.2</v>
      </c>
      <c r="BO114" s="26">
        <f t="shared" si="133"/>
        <v>0.2</v>
      </c>
      <c r="BP114" s="26">
        <f t="shared" si="133"/>
        <v>0.2</v>
      </c>
      <c r="BQ114" s="26">
        <f t="shared" si="133"/>
        <v>0.2</v>
      </c>
      <c r="BR114" s="26">
        <f t="shared" si="133"/>
        <v>0.2</v>
      </c>
      <c r="BS114" s="26">
        <f t="shared" si="133"/>
        <v>0.1</v>
      </c>
      <c r="BT114" s="26">
        <f t="shared" si="133"/>
        <v>0.05</v>
      </c>
      <c r="BU114" s="26">
        <f t="shared" si="133"/>
        <v>0.05</v>
      </c>
      <c r="BV114" s="26">
        <f t="shared" si="133"/>
        <v>0.05</v>
      </c>
      <c r="BW114" s="26">
        <f t="shared" si="133"/>
        <v>2.5000000000000001E-2</v>
      </c>
      <c r="BX114" s="26">
        <f t="shared" si="133"/>
        <v>2.5000000000000001E-2</v>
      </c>
      <c r="BY114" s="26">
        <f t="shared" si="134"/>
        <v>1.5</v>
      </c>
      <c r="BZ114" s="26">
        <f t="shared" si="134"/>
        <v>1.5</v>
      </c>
      <c r="CA114" s="26">
        <f t="shared" si="134"/>
        <v>1.5</v>
      </c>
      <c r="CB114" s="26">
        <f t="shared" si="134"/>
        <v>1.5</v>
      </c>
      <c r="CC114" s="26">
        <f t="shared" si="134"/>
        <v>1.5</v>
      </c>
      <c r="CD114" s="26">
        <f t="shared" si="134"/>
        <v>0.05</v>
      </c>
      <c r="CE114" s="26">
        <f t="shared" si="134"/>
        <v>1</v>
      </c>
      <c r="CF114" s="26">
        <f t="shared" si="134"/>
        <v>1</v>
      </c>
      <c r="CG114" s="26">
        <f t="shared" si="134"/>
        <v>1</v>
      </c>
      <c r="CH114" s="26">
        <f t="shared" si="134"/>
        <v>1</v>
      </c>
      <c r="CI114" s="26">
        <f t="shared" si="135"/>
        <v>1</v>
      </c>
      <c r="CJ114" s="26">
        <f t="shared" si="135"/>
        <v>0.2</v>
      </c>
      <c r="CK114" s="26">
        <f t="shared" si="135"/>
        <v>0.2</v>
      </c>
      <c r="CL114" s="26">
        <f t="shared" si="135"/>
        <v>0.2</v>
      </c>
      <c r="CM114" s="26">
        <f t="shared" si="135"/>
        <v>0.2</v>
      </c>
      <c r="CN114" s="26">
        <f t="shared" si="135"/>
        <v>0.2</v>
      </c>
      <c r="CO114" s="26">
        <f t="shared" si="135"/>
        <v>0.1</v>
      </c>
      <c r="CP114" s="26">
        <f t="shared" si="135"/>
        <v>0.05</v>
      </c>
      <c r="CQ114" s="26">
        <f t="shared" si="135"/>
        <v>0.05</v>
      </c>
      <c r="CR114" s="26">
        <f t="shared" si="135"/>
        <v>0.05</v>
      </c>
      <c r="CS114" s="26">
        <f t="shared" si="135"/>
        <v>0.05</v>
      </c>
      <c r="CT114" s="26">
        <f t="shared" si="135"/>
        <v>2.5000000000000001E-2</v>
      </c>
      <c r="CU114" s="26">
        <f t="shared" si="136"/>
        <v>1.5</v>
      </c>
      <c r="CV114" s="26">
        <f t="shared" si="136"/>
        <v>1.5</v>
      </c>
      <c r="CW114" s="26">
        <f t="shared" si="136"/>
        <v>1.5</v>
      </c>
      <c r="CX114" s="26">
        <f t="shared" si="136"/>
        <v>1.5</v>
      </c>
      <c r="CY114" s="26">
        <f t="shared" si="136"/>
        <v>1.5</v>
      </c>
      <c r="CZ114" s="26">
        <f t="shared" si="136"/>
        <v>0.1</v>
      </c>
      <c r="DA114" s="26">
        <f t="shared" si="136"/>
        <v>1</v>
      </c>
      <c r="DB114" s="26">
        <f t="shared" si="136"/>
        <v>1</v>
      </c>
      <c r="DC114" s="26">
        <f t="shared" si="136"/>
        <v>1</v>
      </c>
      <c r="DD114" s="26">
        <f t="shared" si="136"/>
        <v>1</v>
      </c>
      <c r="DE114" s="26">
        <f t="shared" si="137"/>
        <v>1</v>
      </c>
      <c r="DF114" s="26">
        <f t="shared" si="137"/>
        <v>0.2</v>
      </c>
      <c r="DG114" s="26">
        <f t="shared" si="137"/>
        <v>0.2</v>
      </c>
      <c r="DH114" s="26">
        <f t="shared" si="137"/>
        <v>0.2</v>
      </c>
      <c r="DI114" s="26">
        <f t="shared" si="137"/>
        <v>0.2</v>
      </c>
      <c r="DJ114" s="26">
        <f t="shared" si="137"/>
        <v>0.2</v>
      </c>
      <c r="DK114" s="26">
        <f t="shared" si="137"/>
        <v>0.1</v>
      </c>
      <c r="DL114" s="26">
        <f t="shared" si="137"/>
        <v>0.1</v>
      </c>
      <c r="DM114" s="26">
        <f t="shared" si="137"/>
        <v>0.1</v>
      </c>
      <c r="DN114" s="26">
        <f t="shared" si="137"/>
        <v>0.05</v>
      </c>
      <c r="DO114" s="26">
        <f t="shared" si="137"/>
        <v>0.05</v>
      </c>
      <c r="DP114" s="26">
        <f t="shared" si="137"/>
        <v>0.05</v>
      </c>
      <c r="DQ114" s="26">
        <f t="shared" si="138"/>
        <v>1.5</v>
      </c>
      <c r="DR114" s="26">
        <f t="shared" si="138"/>
        <v>1.5</v>
      </c>
      <c r="DS114" s="26">
        <f t="shared" si="138"/>
        <v>1.5</v>
      </c>
      <c r="DT114" s="26">
        <f t="shared" si="138"/>
        <v>1.5</v>
      </c>
      <c r="DU114" s="26">
        <f t="shared" si="138"/>
        <v>1.5</v>
      </c>
      <c r="DV114" s="26">
        <f t="shared" si="138"/>
        <v>0.1</v>
      </c>
      <c r="DW114" s="26">
        <f t="shared" si="138"/>
        <v>1</v>
      </c>
      <c r="DX114" s="26">
        <f t="shared" si="138"/>
        <v>1</v>
      </c>
      <c r="DY114" s="26">
        <f t="shared" si="138"/>
        <v>1</v>
      </c>
      <c r="DZ114" s="26">
        <f t="shared" si="138"/>
        <v>1</v>
      </c>
      <c r="EA114" s="26">
        <f t="shared" si="139"/>
        <v>1</v>
      </c>
      <c r="EB114" s="26">
        <f t="shared" si="139"/>
        <v>0.2</v>
      </c>
      <c r="EC114" s="26">
        <f t="shared" si="139"/>
        <v>0.2</v>
      </c>
      <c r="ED114" s="26">
        <f t="shared" si="139"/>
        <v>0.2</v>
      </c>
      <c r="EE114" s="26">
        <f t="shared" si="139"/>
        <v>0.2</v>
      </c>
      <c r="EF114" s="26">
        <f t="shared" si="139"/>
        <v>0.2</v>
      </c>
      <c r="EG114" s="26">
        <f t="shared" si="139"/>
        <v>0.1</v>
      </c>
      <c r="EH114" s="26">
        <f t="shared" si="139"/>
        <v>0.1</v>
      </c>
      <c r="EI114" s="26">
        <f t="shared" si="139"/>
        <v>0.1</v>
      </c>
      <c r="EJ114" s="26">
        <f t="shared" si="139"/>
        <v>0.05</v>
      </c>
      <c r="EK114" s="26">
        <f t="shared" si="139"/>
        <v>0.05</v>
      </c>
      <c r="EL114" s="26">
        <f t="shared" si="139"/>
        <v>0.05</v>
      </c>
      <c r="EM114" s="26">
        <f t="shared" si="92"/>
        <v>486269</v>
      </c>
      <c r="EN114" s="26">
        <f t="shared" si="93"/>
        <v>563435</v>
      </c>
      <c r="EO114" s="26">
        <f t="shared" si="94"/>
        <v>589257</v>
      </c>
      <c r="EP114" s="26">
        <f t="shared" si="95"/>
        <v>771411</v>
      </c>
      <c r="EQ114" s="26">
        <f t="shared" si="96"/>
        <v>771411</v>
      </c>
    </row>
    <row r="115" spans="17:147">
      <c r="Q115" s="26">
        <v>111</v>
      </c>
      <c r="R115" s="26">
        <f>总纲!D115</f>
        <v>2193.9920512743265</v>
      </c>
      <c r="S115" s="26">
        <f>求节点(将星点产出!$W$6:$W$44,将星点产出!$AO$6:$AO$44,星阵点亮!$Q115)</f>
        <v>876486.64939941326</v>
      </c>
      <c r="T115" s="26">
        <f t="shared" si="87"/>
        <v>56</v>
      </c>
      <c r="U115" s="26">
        <f>总纲!E115</f>
        <v>1869.0618284805987</v>
      </c>
      <c r="V115" s="26">
        <f>求节点(将星点产出!$W$51:$W$89,将星点产出!$AO$51:$AO$89,星阵点亮!$Q115)</f>
        <v>961300.04388666921</v>
      </c>
      <c r="W115" s="26">
        <f t="shared" si="88"/>
        <v>58</v>
      </c>
      <c r="X115" s="26">
        <f>总纲!F115</f>
        <v>1500.4711638665117</v>
      </c>
      <c r="Y115" s="26">
        <f>求节点(将星点产出!$W$96:$W$134,将星点产出!$AO$96:$AO$134,星阵点亮!$Q115)</f>
        <v>997350</v>
      </c>
      <c r="Z115" s="26">
        <f t="shared" si="89"/>
        <v>59</v>
      </c>
      <c r="AA115" s="26">
        <f>总纲!G115</f>
        <v>1076.5918995603122</v>
      </c>
      <c r="AB115" s="26">
        <f>求节点(将星点产出!$W$141:$W$179,将星点产出!$AO$141:$AO$179,星阵点亮!$Q115)</f>
        <v>1304550</v>
      </c>
      <c r="AC115" s="26">
        <f t="shared" si="90"/>
        <v>66</v>
      </c>
      <c r="AD115" s="26">
        <f>总纲!H115</f>
        <v>583.16308722871599</v>
      </c>
      <c r="AE115" s="26">
        <f>求节点(将星点产出!$W$186:$W$224,将星点产出!$AO$186:$AO$224,星阵点亮!$Q115)</f>
        <v>1304550</v>
      </c>
      <c r="AF115" s="26">
        <f t="shared" si="91"/>
        <v>66</v>
      </c>
      <c r="AG115" s="26">
        <f t="shared" ref="AG115:AP124" si="140">SUMIFS($J$5:$J$76,$I$5:$I$76,AG$4,$H$5:$H$76,"&lt;="&amp;$T115)</f>
        <v>1.5</v>
      </c>
      <c r="AH115" s="26">
        <f t="shared" si="140"/>
        <v>1.5</v>
      </c>
      <c r="AI115" s="26">
        <f t="shared" si="140"/>
        <v>1.5</v>
      </c>
      <c r="AJ115" s="26">
        <f t="shared" si="140"/>
        <v>1.5</v>
      </c>
      <c r="AK115" s="26">
        <f t="shared" si="140"/>
        <v>1.5</v>
      </c>
      <c r="AL115" s="26">
        <f t="shared" si="140"/>
        <v>0.05</v>
      </c>
      <c r="AM115" s="26">
        <f t="shared" si="140"/>
        <v>1</v>
      </c>
      <c r="AN115" s="26">
        <f t="shared" si="140"/>
        <v>1</v>
      </c>
      <c r="AO115" s="26">
        <f t="shared" si="140"/>
        <v>1</v>
      </c>
      <c r="AP115" s="26">
        <f t="shared" si="140"/>
        <v>1</v>
      </c>
      <c r="AQ115" s="26">
        <f t="shared" ref="AQ115:BB124" si="141">SUMIFS($J$5:$J$76,$I$5:$I$76,AQ$4,$H$5:$H$76,"&lt;="&amp;$T115)</f>
        <v>1</v>
      </c>
      <c r="AR115" s="26">
        <f t="shared" si="141"/>
        <v>0.2</v>
      </c>
      <c r="AS115" s="26">
        <f t="shared" si="141"/>
        <v>0.2</v>
      </c>
      <c r="AT115" s="26">
        <f t="shared" si="141"/>
        <v>0.2</v>
      </c>
      <c r="AU115" s="26">
        <f t="shared" si="141"/>
        <v>0.2</v>
      </c>
      <c r="AV115" s="26">
        <f t="shared" si="141"/>
        <v>0.2</v>
      </c>
      <c r="AW115" s="26">
        <f t="shared" si="141"/>
        <v>0.1</v>
      </c>
      <c r="AX115" s="26">
        <f t="shared" si="141"/>
        <v>0.05</v>
      </c>
      <c r="AY115" s="26">
        <f t="shared" si="141"/>
        <v>0.05</v>
      </c>
      <c r="AZ115" s="26">
        <f t="shared" si="141"/>
        <v>2.5000000000000001E-2</v>
      </c>
      <c r="BA115" s="26">
        <f t="shared" si="141"/>
        <v>2.5000000000000001E-2</v>
      </c>
      <c r="BB115" s="26">
        <f t="shared" si="141"/>
        <v>0</v>
      </c>
      <c r="BC115" s="26">
        <f t="shared" ref="BC115:BL124" si="142">SUMIFS($J$5:$J$76,$I$5:$I$76,BC$4,$H$5:$H$76,"&lt;="&amp;$W115)</f>
        <v>1.5</v>
      </c>
      <c r="BD115" s="26">
        <f t="shared" si="142"/>
        <v>1.5</v>
      </c>
      <c r="BE115" s="26">
        <f t="shared" si="142"/>
        <v>1.5</v>
      </c>
      <c r="BF115" s="26">
        <f t="shared" si="142"/>
        <v>1.5</v>
      </c>
      <c r="BG115" s="26">
        <f t="shared" si="142"/>
        <v>1.5</v>
      </c>
      <c r="BH115" s="26">
        <f t="shared" si="142"/>
        <v>0.05</v>
      </c>
      <c r="BI115" s="26">
        <f t="shared" si="142"/>
        <v>1</v>
      </c>
      <c r="BJ115" s="26">
        <f t="shared" si="142"/>
        <v>1</v>
      </c>
      <c r="BK115" s="26">
        <f t="shared" si="142"/>
        <v>1</v>
      </c>
      <c r="BL115" s="26">
        <f t="shared" si="142"/>
        <v>1</v>
      </c>
      <c r="BM115" s="26">
        <f t="shared" ref="BM115:BX124" si="143">SUMIFS($J$5:$J$76,$I$5:$I$76,BM$4,$H$5:$H$76,"&lt;="&amp;$W115)</f>
        <v>1</v>
      </c>
      <c r="BN115" s="26">
        <f t="shared" si="143"/>
        <v>0.2</v>
      </c>
      <c r="BO115" s="26">
        <f t="shared" si="143"/>
        <v>0.2</v>
      </c>
      <c r="BP115" s="26">
        <f t="shared" si="143"/>
        <v>0.2</v>
      </c>
      <c r="BQ115" s="26">
        <f t="shared" si="143"/>
        <v>0.2</v>
      </c>
      <c r="BR115" s="26">
        <f t="shared" si="143"/>
        <v>0.2</v>
      </c>
      <c r="BS115" s="26">
        <f t="shared" si="143"/>
        <v>0.1</v>
      </c>
      <c r="BT115" s="26">
        <f t="shared" si="143"/>
        <v>0.05</v>
      </c>
      <c r="BU115" s="26">
        <f t="shared" si="143"/>
        <v>0.05</v>
      </c>
      <c r="BV115" s="26">
        <f t="shared" si="143"/>
        <v>0.05</v>
      </c>
      <c r="BW115" s="26">
        <f t="shared" si="143"/>
        <v>2.5000000000000001E-2</v>
      </c>
      <c r="BX115" s="26">
        <f t="shared" si="143"/>
        <v>2.5000000000000001E-2</v>
      </c>
      <c r="BY115" s="26">
        <f t="shared" ref="BY115:CH124" si="144">SUMIFS($J$5:$J$76,$I$5:$I$76,BY$4,$H$5:$H$76,"&lt;="&amp;$Z115)</f>
        <v>1.5</v>
      </c>
      <c r="BZ115" s="26">
        <f t="shared" si="144"/>
        <v>1.5</v>
      </c>
      <c r="CA115" s="26">
        <f t="shared" si="144"/>
        <v>1.5</v>
      </c>
      <c r="CB115" s="26">
        <f t="shared" si="144"/>
        <v>1.5</v>
      </c>
      <c r="CC115" s="26">
        <f t="shared" si="144"/>
        <v>1.5</v>
      </c>
      <c r="CD115" s="26">
        <f t="shared" si="144"/>
        <v>0.05</v>
      </c>
      <c r="CE115" s="26">
        <f t="shared" si="144"/>
        <v>1</v>
      </c>
      <c r="CF115" s="26">
        <f t="shared" si="144"/>
        <v>1</v>
      </c>
      <c r="CG115" s="26">
        <f t="shared" si="144"/>
        <v>1</v>
      </c>
      <c r="CH115" s="26">
        <f t="shared" si="144"/>
        <v>1</v>
      </c>
      <c r="CI115" s="26">
        <f t="shared" ref="CI115:CT124" si="145">SUMIFS($J$5:$J$76,$I$5:$I$76,CI$4,$H$5:$H$76,"&lt;="&amp;$Z115)</f>
        <v>1</v>
      </c>
      <c r="CJ115" s="26">
        <f t="shared" si="145"/>
        <v>0.2</v>
      </c>
      <c r="CK115" s="26">
        <f t="shared" si="145"/>
        <v>0.2</v>
      </c>
      <c r="CL115" s="26">
        <f t="shared" si="145"/>
        <v>0.2</v>
      </c>
      <c r="CM115" s="26">
        <f t="shared" si="145"/>
        <v>0.2</v>
      </c>
      <c r="CN115" s="26">
        <f t="shared" si="145"/>
        <v>0.2</v>
      </c>
      <c r="CO115" s="26">
        <f t="shared" si="145"/>
        <v>0.1</v>
      </c>
      <c r="CP115" s="26">
        <f t="shared" si="145"/>
        <v>0.05</v>
      </c>
      <c r="CQ115" s="26">
        <f t="shared" si="145"/>
        <v>0.05</v>
      </c>
      <c r="CR115" s="26">
        <f t="shared" si="145"/>
        <v>0.05</v>
      </c>
      <c r="CS115" s="26">
        <f t="shared" si="145"/>
        <v>0.05</v>
      </c>
      <c r="CT115" s="26">
        <f t="shared" si="145"/>
        <v>2.5000000000000001E-2</v>
      </c>
      <c r="CU115" s="26">
        <f t="shared" ref="CU115:DD124" si="146">SUMIFS($J$5:$J$76,$I$5:$I$76,CU$4,$H$5:$H$76,"&lt;="&amp;$AC115)</f>
        <v>1.5</v>
      </c>
      <c r="CV115" s="26">
        <f t="shared" si="146"/>
        <v>1.5</v>
      </c>
      <c r="CW115" s="26">
        <f t="shared" si="146"/>
        <v>1.5</v>
      </c>
      <c r="CX115" s="26">
        <f t="shared" si="146"/>
        <v>1.5</v>
      </c>
      <c r="CY115" s="26">
        <f t="shared" si="146"/>
        <v>1.5</v>
      </c>
      <c r="CZ115" s="26">
        <f t="shared" si="146"/>
        <v>0.1</v>
      </c>
      <c r="DA115" s="26">
        <f t="shared" si="146"/>
        <v>1</v>
      </c>
      <c r="DB115" s="26">
        <f t="shared" si="146"/>
        <v>1</v>
      </c>
      <c r="DC115" s="26">
        <f t="shared" si="146"/>
        <v>1</v>
      </c>
      <c r="DD115" s="26">
        <f t="shared" si="146"/>
        <v>1</v>
      </c>
      <c r="DE115" s="26">
        <f t="shared" ref="DE115:DP124" si="147">SUMIFS($J$5:$J$76,$I$5:$I$76,DE$4,$H$5:$H$76,"&lt;="&amp;$AC115)</f>
        <v>1</v>
      </c>
      <c r="DF115" s="26">
        <f t="shared" si="147"/>
        <v>0.2</v>
      </c>
      <c r="DG115" s="26">
        <f t="shared" si="147"/>
        <v>0.2</v>
      </c>
      <c r="DH115" s="26">
        <f t="shared" si="147"/>
        <v>0.2</v>
      </c>
      <c r="DI115" s="26">
        <f t="shared" si="147"/>
        <v>0.2</v>
      </c>
      <c r="DJ115" s="26">
        <f t="shared" si="147"/>
        <v>0.2</v>
      </c>
      <c r="DK115" s="26">
        <f t="shared" si="147"/>
        <v>0.1</v>
      </c>
      <c r="DL115" s="26">
        <f t="shared" si="147"/>
        <v>0.1</v>
      </c>
      <c r="DM115" s="26">
        <f t="shared" si="147"/>
        <v>0.1</v>
      </c>
      <c r="DN115" s="26">
        <f t="shared" si="147"/>
        <v>0.05</v>
      </c>
      <c r="DO115" s="26">
        <f t="shared" si="147"/>
        <v>0.05</v>
      </c>
      <c r="DP115" s="26">
        <f t="shared" si="147"/>
        <v>0.05</v>
      </c>
      <c r="DQ115" s="26">
        <f t="shared" ref="DQ115:DZ124" si="148">SUMIFS($J$5:$J$76,$I$5:$I$76,DQ$4,$H$5:$H$76,"&lt;="&amp;$AF115)</f>
        <v>1.5</v>
      </c>
      <c r="DR115" s="26">
        <f t="shared" si="148"/>
        <v>1.5</v>
      </c>
      <c r="DS115" s="26">
        <f t="shared" si="148"/>
        <v>1.5</v>
      </c>
      <c r="DT115" s="26">
        <f t="shared" si="148"/>
        <v>1.5</v>
      </c>
      <c r="DU115" s="26">
        <f t="shared" si="148"/>
        <v>1.5</v>
      </c>
      <c r="DV115" s="26">
        <f t="shared" si="148"/>
        <v>0.1</v>
      </c>
      <c r="DW115" s="26">
        <f t="shared" si="148"/>
        <v>1</v>
      </c>
      <c r="DX115" s="26">
        <f t="shared" si="148"/>
        <v>1</v>
      </c>
      <c r="DY115" s="26">
        <f t="shared" si="148"/>
        <v>1</v>
      </c>
      <c r="DZ115" s="26">
        <f t="shared" si="148"/>
        <v>1</v>
      </c>
      <c r="EA115" s="26">
        <f t="shared" ref="EA115:EL124" si="149">SUMIFS($J$5:$J$76,$I$5:$I$76,EA$4,$H$5:$H$76,"&lt;="&amp;$AF115)</f>
        <v>1</v>
      </c>
      <c r="EB115" s="26">
        <f t="shared" si="149"/>
        <v>0.2</v>
      </c>
      <c r="EC115" s="26">
        <f t="shared" si="149"/>
        <v>0.2</v>
      </c>
      <c r="ED115" s="26">
        <f t="shared" si="149"/>
        <v>0.2</v>
      </c>
      <c r="EE115" s="26">
        <f t="shared" si="149"/>
        <v>0.2</v>
      </c>
      <c r="EF115" s="26">
        <f t="shared" si="149"/>
        <v>0.2</v>
      </c>
      <c r="EG115" s="26">
        <f t="shared" si="149"/>
        <v>0.1</v>
      </c>
      <c r="EH115" s="26">
        <f t="shared" si="149"/>
        <v>0.1</v>
      </c>
      <c r="EI115" s="26">
        <f t="shared" si="149"/>
        <v>0.1</v>
      </c>
      <c r="EJ115" s="26">
        <f t="shared" si="149"/>
        <v>0.05</v>
      </c>
      <c r="EK115" s="26">
        <f t="shared" si="149"/>
        <v>0.05</v>
      </c>
      <c r="EL115" s="26">
        <f t="shared" si="149"/>
        <v>0.05</v>
      </c>
      <c r="EM115" s="26">
        <f t="shared" si="92"/>
        <v>511941</v>
      </c>
      <c r="EN115" s="26">
        <f t="shared" si="93"/>
        <v>563435</v>
      </c>
      <c r="EO115" s="26">
        <f t="shared" si="94"/>
        <v>589257</v>
      </c>
      <c r="EP115" s="26">
        <f t="shared" si="95"/>
        <v>771411</v>
      </c>
      <c r="EQ115" s="26">
        <f t="shared" si="96"/>
        <v>771411</v>
      </c>
    </row>
    <row r="116" spans="17:147">
      <c r="Q116" s="26">
        <v>112</v>
      </c>
      <c r="R116" s="26">
        <f>总纲!D116</f>
        <v>2351.5342310339256</v>
      </c>
      <c r="S116" s="26">
        <f>求节点(将星点产出!$W$6:$W$44,将星点产出!$AO$6:$AO$44,星阵点亮!$Q116)</f>
        <v>892623.86050939432</v>
      </c>
      <c r="T116" s="26">
        <f t="shared" si="87"/>
        <v>56</v>
      </c>
      <c r="U116" s="26">
        <f>总纲!E116</f>
        <v>2004.6829319564217</v>
      </c>
      <c r="V116" s="26">
        <f>求节点(将星点产出!$W$51:$W$89,将星点产出!$AO$51:$AO$89,星阵点亮!$Q116)</f>
        <v>971700.13679294253</v>
      </c>
      <c r="W116" s="26">
        <f t="shared" si="88"/>
        <v>58</v>
      </c>
      <c r="X116" s="26">
        <f>总纲!F116</f>
        <v>1609.3900277196187</v>
      </c>
      <c r="Y116" s="26">
        <f>求节点(将星点产出!$W$96:$W$134,将星点产出!$AO$96:$AO$134,星阵点亮!$Q116)</f>
        <v>997350</v>
      </c>
      <c r="Z116" s="26">
        <f t="shared" si="89"/>
        <v>59</v>
      </c>
      <c r="AA116" s="26">
        <f>总纲!G116</f>
        <v>1155.3087677069677</v>
      </c>
      <c r="AB116" s="26">
        <f>求节点(将星点产出!$W$141:$W$179,将星点产出!$AO$141:$AO$179,星阵点亮!$Q116)</f>
        <v>1304550</v>
      </c>
      <c r="AC116" s="26">
        <f t="shared" si="90"/>
        <v>66</v>
      </c>
      <c r="AD116" s="26">
        <f>总纲!H116</f>
        <v>623.15657122399034</v>
      </c>
      <c r="AE116" s="26">
        <f>求节点(将星点产出!$W$186:$W$224,将星点产出!$AO$186:$AO$224,星阵点亮!$Q116)</f>
        <v>1304550</v>
      </c>
      <c r="AF116" s="26">
        <f t="shared" si="91"/>
        <v>66</v>
      </c>
      <c r="AG116" s="26">
        <f t="shared" si="140"/>
        <v>1.5</v>
      </c>
      <c r="AH116" s="26">
        <f t="shared" si="140"/>
        <v>1.5</v>
      </c>
      <c r="AI116" s="26">
        <f t="shared" si="140"/>
        <v>1.5</v>
      </c>
      <c r="AJ116" s="26">
        <f t="shared" si="140"/>
        <v>1.5</v>
      </c>
      <c r="AK116" s="26">
        <f t="shared" si="140"/>
        <v>1.5</v>
      </c>
      <c r="AL116" s="26">
        <f t="shared" si="140"/>
        <v>0.05</v>
      </c>
      <c r="AM116" s="26">
        <f t="shared" si="140"/>
        <v>1</v>
      </c>
      <c r="AN116" s="26">
        <f t="shared" si="140"/>
        <v>1</v>
      </c>
      <c r="AO116" s="26">
        <f t="shared" si="140"/>
        <v>1</v>
      </c>
      <c r="AP116" s="26">
        <f t="shared" si="140"/>
        <v>1</v>
      </c>
      <c r="AQ116" s="26">
        <f t="shared" si="141"/>
        <v>1</v>
      </c>
      <c r="AR116" s="26">
        <f t="shared" si="141"/>
        <v>0.2</v>
      </c>
      <c r="AS116" s="26">
        <f t="shared" si="141"/>
        <v>0.2</v>
      </c>
      <c r="AT116" s="26">
        <f t="shared" si="141"/>
        <v>0.2</v>
      </c>
      <c r="AU116" s="26">
        <f t="shared" si="141"/>
        <v>0.2</v>
      </c>
      <c r="AV116" s="26">
        <f t="shared" si="141"/>
        <v>0.2</v>
      </c>
      <c r="AW116" s="26">
        <f t="shared" si="141"/>
        <v>0.1</v>
      </c>
      <c r="AX116" s="26">
        <f t="shared" si="141"/>
        <v>0.05</v>
      </c>
      <c r="AY116" s="26">
        <f t="shared" si="141"/>
        <v>0.05</v>
      </c>
      <c r="AZ116" s="26">
        <f t="shared" si="141"/>
        <v>2.5000000000000001E-2</v>
      </c>
      <c r="BA116" s="26">
        <f t="shared" si="141"/>
        <v>2.5000000000000001E-2</v>
      </c>
      <c r="BB116" s="26">
        <f t="shared" si="141"/>
        <v>0</v>
      </c>
      <c r="BC116" s="26">
        <f t="shared" si="142"/>
        <v>1.5</v>
      </c>
      <c r="BD116" s="26">
        <f t="shared" si="142"/>
        <v>1.5</v>
      </c>
      <c r="BE116" s="26">
        <f t="shared" si="142"/>
        <v>1.5</v>
      </c>
      <c r="BF116" s="26">
        <f t="shared" si="142"/>
        <v>1.5</v>
      </c>
      <c r="BG116" s="26">
        <f t="shared" si="142"/>
        <v>1.5</v>
      </c>
      <c r="BH116" s="26">
        <f t="shared" si="142"/>
        <v>0.05</v>
      </c>
      <c r="BI116" s="26">
        <f t="shared" si="142"/>
        <v>1</v>
      </c>
      <c r="BJ116" s="26">
        <f t="shared" si="142"/>
        <v>1</v>
      </c>
      <c r="BK116" s="26">
        <f t="shared" si="142"/>
        <v>1</v>
      </c>
      <c r="BL116" s="26">
        <f t="shared" si="142"/>
        <v>1</v>
      </c>
      <c r="BM116" s="26">
        <f t="shared" si="143"/>
        <v>1</v>
      </c>
      <c r="BN116" s="26">
        <f t="shared" si="143"/>
        <v>0.2</v>
      </c>
      <c r="BO116" s="26">
        <f t="shared" si="143"/>
        <v>0.2</v>
      </c>
      <c r="BP116" s="26">
        <f t="shared" si="143"/>
        <v>0.2</v>
      </c>
      <c r="BQ116" s="26">
        <f t="shared" si="143"/>
        <v>0.2</v>
      </c>
      <c r="BR116" s="26">
        <f t="shared" si="143"/>
        <v>0.2</v>
      </c>
      <c r="BS116" s="26">
        <f t="shared" si="143"/>
        <v>0.1</v>
      </c>
      <c r="BT116" s="26">
        <f t="shared" si="143"/>
        <v>0.05</v>
      </c>
      <c r="BU116" s="26">
        <f t="shared" si="143"/>
        <v>0.05</v>
      </c>
      <c r="BV116" s="26">
        <f t="shared" si="143"/>
        <v>0.05</v>
      </c>
      <c r="BW116" s="26">
        <f t="shared" si="143"/>
        <v>2.5000000000000001E-2</v>
      </c>
      <c r="BX116" s="26">
        <f t="shared" si="143"/>
        <v>2.5000000000000001E-2</v>
      </c>
      <c r="BY116" s="26">
        <f t="shared" si="144"/>
        <v>1.5</v>
      </c>
      <c r="BZ116" s="26">
        <f t="shared" si="144"/>
        <v>1.5</v>
      </c>
      <c r="CA116" s="26">
        <f t="shared" si="144"/>
        <v>1.5</v>
      </c>
      <c r="CB116" s="26">
        <f t="shared" si="144"/>
        <v>1.5</v>
      </c>
      <c r="CC116" s="26">
        <f t="shared" si="144"/>
        <v>1.5</v>
      </c>
      <c r="CD116" s="26">
        <f t="shared" si="144"/>
        <v>0.05</v>
      </c>
      <c r="CE116" s="26">
        <f t="shared" si="144"/>
        <v>1</v>
      </c>
      <c r="CF116" s="26">
        <f t="shared" si="144"/>
        <v>1</v>
      </c>
      <c r="CG116" s="26">
        <f t="shared" si="144"/>
        <v>1</v>
      </c>
      <c r="CH116" s="26">
        <f t="shared" si="144"/>
        <v>1</v>
      </c>
      <c r="CI116" s="26">
        <f t="shared" si="145"/>
        <v>1</v>
      </c>
      <c r="CJ116" s="26">
        <f t="shared" si="145"/>
        <v>0.2</v>
      </c>
      <c r="CK116" s="26">
        <f t="shared" si="145"/>
        <v>0.2</v>
      </c>
      <c r="CL116" s="26">
        <f t="shared" si="145"/>
        <v>0.2</v>
      </c>
      <c r="CM116" s="26">
        <f t="shared" si="145"/>
        <v>0.2</v>
      </c>
      <c r="CN116" s="26">
        <f t="shared" si="145"/>
        <v>0.2</v>
      </c>
      <c r="CO116" s="26">
        <f t="shared" si="145"/>
        <v>0.1</v>
      </c>
      <c r="CP116" s="26">
        <f t="shared" si="145"/>
        <v>0.05</v>
      </c>
      <c r="CQ116" s="26">
        <f t="shared" si="145"/>
        <v>0.05</v>
      </c>
      <c r="CR116" s="26">
        <f t="shared" si="145"/>
        <v>0.05</v>
      </c>
      <c r="CS116" s="26">
        <f t="shared" si="145"/>
        <v>0.05</v>
      </c>
      <c r="CT116" s="26">
        <f t="shared" si="145"/>
        <v>2.5000000000000001E-2</v>
      </c>
      <c r="CU116" s="26">
        <f t="shared" si="146"/>
        <v>1.5</v>
      </c>
      <c r="CV116" s="26">
        <f t="shared" si="146"/>
        <v>1.5</v>
      </c>
      <c r="CW116" s="26">
        <f t="shared" si="146"/>
        <v>1.5</v>
      </c>
      <c r="CX116" s="26">
        <f t="shared" si="146"/>
        <v>1.5</v>
      </c>
      <c r="CY116" s="26">
        <f t="shared" si="146"/>
        <v>1.5</v>
      </c>
      <c r="CZ116" s="26">
        <f t="shared" si="146"/>
        <v>0.1</v>
      </c>
      <c r="DA116" s="26">
        <f t="shared" si="146"/>
        <v>1</v>
      </c>
      <c r="DB116" s="26">
        <f t="shared" si="146"/>
        <v>1</v>
      </c>
      <c r="DC116" s="26">
        <f t="shared" si="146"/>
        <v>1</v>
      </c>
      <c r="DD116" s="26">
        <f t="shared" si="146"/>
        <v>1</v>
      </c>
      <c r="DE116" s="26">
        <f t="shared" si="147"/>
        <v>1</v>
      </c>
      <c r="DF116" s="26">
        <f t="shared" si="147"/>
        <v>0.2</v>
      </c>
      <c r="DG116" s="26">
        <f t="shared" si="147"/>
        <v>0.2</v>
      </c>
      <c r="DH116" s="26">
        <f t="shared" si="147"/>
        <v>0.2</v>
      </c>
      <c r="DI116" s="26">
        <f t="shared" si="147"/>
        <v>0.2</v>
      </c>
      <c r="DJ116" s="26">
        <f t="shared" si="147"/>
        <v>0.2</v>
      </c>
      <c r="DK116" s="26">
        <f t="shared" si="147"/>
        <v>0.1</v>
      </c>
      <c r="DL116" s="26">
        <f t="shared" si="147"/>
        <v>0.1</v>
      </c>
      <c r="DM116" s="26">
        <f t="shared" si="147"/>
        <v>0.1</v>
      </c>
      <c r="DN116" s="26">
        <f t="shared" si="147"/>
        <v>0.05</v>
      </c>
      <c r="DO116" s="26">
        <f t="shared" si="147"/>
        <v>0.05</v>
      </c>
      <c r="DP116" s="26">
        <f t="shared" si="147"/>
        <v>0.05</v>
      </c>
      <c r="DQ116" s="26">
        <f t="shared" si="148"/>
        <v>1.5</v>
      </c>
      <c r="DR116" s="26">
        <f t="shared" si="148"/>
        <v>1.5</v>
      </c>
      <c r="DS116" s="26">
        <f t="shared" si="148"/>
        <v>1.5</v>
      </c>
      <c r="DT116" s="26">
        <f t="shared" si="148"/>
        <v>1.5</v>
      </c>
      <c r="DU116" s="26">
        <f t="shared" si="148"/>
        <v>1.5</v>
      </c>
      <c r="DV116" s="26">
        <f t="shared" si="148"/>
        <v>0.1</v>
      </c>
      <c r="DW116" s="26">
        <f t="shared" si="148"/>
        <v>1</v>
      </c>
      <c r="DX116" s="26">
        <f t="shared" si="148"/>
        <v>1</v>
      </c>
      <c r="DY116" s="26">
        <f t="shared" si="148"/>
        <v>1</v>
      </c>
      <c r="DZ116" s="26">
        <f t="shared" si="148"/>
        <v>1</v>
      </c>
      <c r="EA116" s="26">
        <f t="shared" si="149"/>
        <v>1</v>
      </c>
      <c r="EB116" s="26">
        <f t="shared" si="149"/>
        <v>0.2</v>
      </c>
      <c r="EC116" s="26">
        <f t="shared" si="149"/>
        <v>0.2</v>
      </c>
      <c r="ED116" s="26">
        <f t="shared" si="149"/>
        <v>0.2</v>
      </c>
      <c r="EE116" s="26">
        <f t="shared" si="149"/>
        <v>0.2</v>
      </c>
      <c r="EF116" s="26">
        <f t="shared" si="149"/>
        <v>0.2</v>
      </c>
      <c r="EG116" s="26">
        <f t="shared" si="149"/>
        <v>0.1</v>
      </c>
      <c r="EH116" s="26">
        <f t="shared" si="149"/>
        <v>0.1</v>
      </c>
      <c r="EI116" s="26">
        <f t="shared" si="149"/>
        <v>0.1</v>
      </c>
      <c r="EJ116" s="26">
        <f t="shared" si="149"/>
        <v>0.05</v>
      </c>
      <c r="EK116" s="26">
        <f t="shared" si="149"/>
        <v>0.05</v>
      </c>
      <c r="EL116" s="26">
        <f t="shared" si="149"/>
        <v>0.05</v>
      </c>
      <c r="EM116" s="26">
        <f t="shared" si="92"/>
        <v>511941</v>
      </c>
      <c r="EN116" s="26">
        <f t="shared" si="93"/>
        <v>563435</v>
      </c>
      <c r="EO116" s="26">
        <f t="shared" si="94"/>
        <v>589257</v>
      </c>
      <c r="EP116" s="26">
        <f t="shared" si="95"/>
        <v>771411</v>
      </c>
      <c r="EQ116" s="26">
        <f t="shared" si="96"/>
        <v>771411</v>
      </c>
    </row>
    <row r="117" spans="17:147">
      <c r="Q117" s="26">
        <v>113</v>
      </c>
      <c r="R117" s="26">
        <f>总纲!D117</f>
        <v>2520.3837585303886</v>
      </c>
      <c r="S117" s="26">
        <f>求节点(将星点产出!$W$6:$W$44,将星点产出!$AO$6:$AO$44,星阵点亮!$Q117)</f>
        <v>908877.56401851168</v>
      </c>
      <c r="T117" s="26">
        <f t="shared" si="87"/>
        <v>57</v>
      </c>
      <c r="U117" s="26">
        <f>总纲!E117</f>
        <v>2149.6353076505684</v>
      </c>
      <c r="V117" s="26">
        <f>求节点(将星点产出!$W$51:$W$89,将星点产出!$AO$51:$AO$89,星阵点亮!$Q117)</f>
        <v>982058.93150582432</v>
      </c>
      <c r="W117" s="26">
        <f t="shared" si="88"/>
        <v>59</v>
      </c>
      <c r="X117" s="26">
        <f>总纲!F117</f>
        <v>1726.7149129691693</v>
      </c>
      <c r="Y117" s="26">
        <f>求节点(将星点产出!$W$96:$W$134,将星点产出!$AO$96:$AO$134,星阵点亮!$Q117)</f>
        <v>997350</v>
      </c>
      <c r="Z117" s="26">
        <f t="shared" si="89"/>
        <v>59</v>
      </c>
      <c r="AA117" s="26">
        <f>总纲!G117</f>
        <v>1235.7441568074496</v>
      </c>
      <c r="AB117" s="26">
        <f>求节点(将星点产出!$W$141:$W$179,将星点产出!$AO$141:$AO$179,星阵点亮!$Q117)</f>
        <v>1304550</v>
      </c>
      <c r="AC117" s="26">
        <f t="shared" si="90"/>
        <v>66</v>
      </c>
      <c r="AD117" s="26">
        <f>总纲!H117</f>
        <v>665.63335062787564</v>
      </c>
      <c r="AE117" s="26">
        <f>求节点(将星点产出!$W$186:$W$224,将星点产出!$AO$186:$AO$224,星阵点亮!$Q117)</f>
        <v>1304550</v>
      </c>
      <c r="AF117" s="26">
        <f t="shared" si="91"/>
        <v>66</v>
      </c>
      <c r="AG117" s="26">
        <f t="shared" si="140"/>
        <v>1.5</v>
      </c>
      <c r="AH117" s="26">
        <f t="shared" si="140"/>
        <v>1.5</v>
      </c>
      <c r="AI117" s="26">
        <f t="shared" si="140"/>
        <v>1.5</v>
      </c>
      <c r="AJ117" s="26">
        <f t="shared" si="140"/>
        <v>1.5</v>
      </c>
      <c r="AK117" s="26">
        <f t="shared" si="140"/>
        <v>1.5</v>
      </c>
      <c r="AL117" s="26">
        <f t="shared" si="140"/>
        <v>0.05</v>
      </c>
      <c r="AM117" s="26">
        <f t="shared" si="140"/>
        <v>1</v>
      </c>
      <c r="AN117" s="26">
        <f t="shared" si="140"/>
        <v>1</v>
      </c>
      <c r="AO117" s="26">
        <f t="shared" si="140"/>
        <v>1</v>
      </c>
      <c r="AP117" s="26">
        <f t="shared" si="140"/>
        <v>1</v>
      </c>
      <c r="AQ117" s="26">
        <f t="shared" si="141"/>
        <v>1</v>
      </c>
      <c r="AR117" s="26">
        <f t="shared" si="141"/>
        <v>0.2</v>
      </c>
      <c r="AS117" s="26">
        <f t="shared" si="141"/>
        <v>0.2</v>
      </c>
      <c r="AT117" s="26">
        <f t="shared" si="141"/>
        <v>0.2</v>
      </c>
      <c r="AU117" s="26">
        <f t="shared" si="141"/>
        <v>0.2</v>
      </c>
      <c r="AV117" s="26">
        <f t="shared" si="141"/>
        <v>0.2</v>
      </c>
      <c r="AW117" s="26">
        <f t="shared" si="141"/>
        <v>0.1</v>
      </c>
      <c r="AX117" s="26">
        <f t="shared" si="141"/>
        <v>0.05</v>
      </c>
      <c r="AY117" s="26">
        <f t="shared" si="141"/>
        <v>0.05</v>
      </c>
      <c r="AZ117" s="26">
        <f t="shared" si="141"/>
        <v>2.5000000000000001E-2</v>
      </c>
      <c r="BA117" s="26">
        <f t="shared" si="141"/>
        <v>2.5000000000000001E-2</v>
      </c>
      <c r="BB117" s="26">
        <f t="shared" si="141"/>
        <v>2.5000000000000001E-2</v>
      </c>
      <c r="BC117" s="26">
        <f t="shared" si="142"/>
        <v>1.5</v>
      </c>
      <c r="BD117" s="26">
        <f t="shared" si="142"/>
        <v>1.5</v>
      </c>
      <c r="BE117" s="26">
        <f t="shared" si="142"/>
        <v>1.5</v>
      </c>
      <c r="BF117" s="26">
        <f t="shared" si="142"/>
        <v>1.5</v>
      </c>
      <c r="BG117" s="26">
        <f t="shared" si="142"/>
        <v>1.5</v>
      </c>
      <c r="BH117" s="26">
        <f t="shared" si="142"/>
        <v>0.05</v>
      </c>
      <c r="BI117" s="26">
        <f t="shared" si="142"/>
        <v>1</v>
      </c>
      <c r="BJ117" s="26">
        <f t="shared" si="142"/>
        <v>1</v>
      </c>
      <c r="BK117" s="26">
        <f t="shared" si="142"/>
        <v>1</v>
      </c>
      <c r="BL117" s="26">
        <f t="shared" si="142"/>
        <v>1</v>
      </c>
      <c r="BM117" s="26">
        <f t="shared" si="143"/>
        <v>1</v>
      </c>
      <c r="BN117" s="26">
        <f t="shared" si="143"/>
        <v>0.2</v>
      </c>
      <c r="BO117" s="26">
        <f t="shared" si="143"/>
        <v>0.2</v>
      </c>
      <c r="BP117" s="26">
        <f t="shared" si="143"/>
        <v>0.2</v>
      </c>
      <c r="BQ117" s="26">
        <f t="shared" si="143"/>
        <v>0.2</v>
      </c>
      <c r="BR117" s="26">
        <f t="shared" si="143"/>
        <v>0.2</v>
      </c>
      <c r="BS117" s="26">
        <f t="shared" si="143"/>
        <v>0.1</v>
      </c>
      <c r="BT117" s="26">
        <f t="shared" si="143"/>
        <v>0.05</v>
      </c>
      <c r="BU117" s="26">
        <f t="shared" si="143"/>
        <v>0.05</v>
      </c>
      <c r="BV117" s="26">
        <f t="shared" si="143"/>
        <v>0.05</v>
      </c>
      <c r="BW117" s="26">
        <f t="shared" si="143"/>
        <v>0.05</v>
      </c>
      <c r="BX117" s="26">
        <f t="shared" si="143"/>
        <v>2.5000000000000001E-2</v>
      </c>
      <c r="BY117" s="26">
        <f t="shared" si="144"/>
        <v>1.5</v>
      </c>
      <c r="BZ117" s="26">
        <f t="shared" si="144"/>
        <v>1.5</v>
      </c>
      <c r="CA117" s="26">
        <f t="shared" si="144"/>
        <v>1.5</v>
      </c>
      <c r="CB117" s="26">
        <f t="shared" si="144"/>
        <v>1.5</v>
      </c>
      <c r="CC117" s="26">
        <f t="shared" si="144"/>
        <v>1.5</v>
      </c>
      <c r="CD117" s="26">
        <f t="shared" si="144"/>
        <v>0.05</v>
      </c>
      <c r="CE117" s="26">
        <f t="shared" si="144"/>
        <v>1</v>
      </c>
      <c r="CF117" s="26">
        <f t="shared" si="144"/>
        <v>1</v>
      </c>
      <c r="CG117" s="26">
        <f t="shared" si="144"/>
        <v>1</v>
      </c>
      <c r="CH117" s="26">
        <f t="shared" si="144"/>
        <v>1</v>
      </c>
      <c r="CI117" s="26">
        <f t="shared" si="145"/>
        <v>1</v>
      </c>
      <c r="CJ117" s="26">
        <f t="shared" si="145"/>
        <v>0.2</v>
      </c>
      <c r="CK117" s="26">
        <f t="shared" si="145"/>
        <v>0.2</v>
      </c>
      <c r="CL117" s="26">
        <f t="shared" si="145"/>
        <v>0.2</v>
      </c>
      <c r="CM117" s="26">
        <f t="shared" si="145"/>
        <v>0.2</v>
      </c>
      <c r="CN117" s="26">
        <f t="shared" si="145"/>
        <v>0.2</v>
      </c>
      <c r="CO117" s="26">
        <f t="shared" si="145"/>
        <v>0.1</v>
      </c>
      <c r="CP117" s="26">
        <f t="shared" si="145"/>
        <v>0.05</v>
      </c>
      <c r="CQ117" s="26">
        <f t="shared" si="145"/>
        <v>0.05</v>
      </c>
      <c r="CR117" s="26">
        <f t="shared" si="145"/>
        <v>0.05</v>
      </c>
      <c r="CS117" s="26">
        <f t="shared" si="145"/>
        <v>0.05</v>
      </c>
      <c r="CT117" s="26">
        <f t="shared" si="145"/>
        <v>2.5000000000000001E-2</v>
      </c>
      <c r="CU117" s="26">
        <f t="shared" si="146"/>
        <v>1.5</v>
      </c>
      <c r="CV117" s="26">
        <f t="shared" si="146"/>
        <v>1.5</v>
      </c>
      <c r="CW117" s="26">
        <f t="shared" si="146"/>
        <v>1.5</v>
      </c>
      <c r="CX117" s="26">
        <f t="shared" si="146"/>
        <v>1.5</v>
      </c>
      <c r="CY117" s="26">
        <f t="shared" si="146"/>
        <v>1.5</v>
      </c>
      <c r="CZ117" s="26">
        <f t="shared" si="146"/>
        <v>0.1</v>
      </c>
      <c r="DA117" s="26">
        <f t="shared" si="146"/>
        <v>1</v>
      </c>
      <c r="DB117" s="26">
        <f t="shared" si="146"/>
        <v>1</v>
      </c>
      <c r="DC117" s="26">
        <f t="shared" si="146"/>
        <v>1</v>
      </c>
      <c r="DD117" s="26">
        <f t="shared" si="146"/>
        <v>1</v>
      </c>
      <c r="DE117" s="26">
        <f t="shared" si="147"/>
        <v>1</v>
      </c>
      <c r="DF117" s="26">
        <f t="shared" si="147"/>
        <v>0.2</v>
      </c>
      <c r="DG117" s="26">
        <f t="shared" si="147"/>
        <v>0.2</v>
      </c>
      <c r="DH117" s="26">
        <f t="shared" si="147"/>
        <v>0.2</v>
      </c>
      <c r="DI117" s="26">
        <f t="shared" si="147"/>
        <v>0.2</v>
      </c>
      <c r="DJ117" s="26">
        <f t="shared" si="147"/>
        <v>0.2</v>
      </c>
      <c r="DK117" s="26">
        <f t="shared" si="147"/>
        <v>0.1</v>
      </c>
      <c r="DL117" s="26">
        <f t="shared" si="147"/>
        <v>0.1</v>
      </c>
      <c r="DM117" s="26">
        <f t="shared" si="147"/>
        <v>0.1</v>
      </c>
      <c r="DN117" s="26">
        <f t="shared" si="147"/>
        <v>0.05</v>
      </c>
      <c r="DO117" s="26">
        <f t="shared" si="147"/>
        <v>0.05</v>
      </c>
      <c r="DP117" s="26">
        <f t="shared" si="147"/>
        <v>0.05</v>
      </c>
      <c r="DQ117" s="26">
        <f t="shared" si="148"/>
        <v>1.5</v>
      </c>
      <c r="DR117" s="26">
        <f t="shared" si="148"/>
        <v>1.5</v>
      </c>
      <c r="DS117" s="26">
        <f t="shared" si="148"/>
        <v>1.5</v>
      </c>
      <c r="DT117" s="26">
        <f t="shared" si="148"/>
        <v>1.5</v>
      </c>
      <c r="DU117" s="26">
        <f t="shared" si="148"/>
        <v>1.5</v>
      </c>
      <c r="DV117" s="26">
        <f t="shared" si="148"/>
        <v>0.1</v>
      </c>
      <c r="DW117" s="26">
        <f t="shared" si="148"/>
        <v>1</v>
      </c>
      <c r="DX117" s="26">
        <f t="shared" si="148"/>
        <v>1</v>
      </c>
      <c r="DY117" s="26">
        <f t="shared" si="148"/>
        <v>1</v>
      </c>
      <c r="DZ117" s="26">
        <f t="shared" si="148"/>
        <v>1</v>
      </c>
      <c r="EA117" s="26">
        <f t="shared" si="149"/>
        <v>1</v>
      </c>
      <c r="EB117" s="26">
        <f t="shared" si="149"/>
        <v>0.2</v>
      </c>
      <c r="EC117" s="26">
        <f t="shared" si="149"/>
        <v>0.2</v>
      </c>
      <c r="ED117" s="26">
        <f t="shared" si="149"/>
        <v>0.2</v>
      </c>
      <c r="EE117" s="26">
        <f t="shared" si="149"/>
        <v>0.2</v>
      </c>
      <c r="EF117" s="26">
        <f t="shared" si="149"/>
        <v>0.2</v>
      </c>
      <c r="EG117" s="26">
        <f t="shared" si="149"/>
        <v>0.1</v>
      </c>
      <c r="EH117" s="26">
        <f t="shared" si="149"/>
        <v>0.1</v>
      </c>
      <c r="EI117" s="26">
        <f t="shared" si="149"/>
        <v>0.1</v>
      </c>
      <c r="EJ117" s="26">
        <f t="shared" si="149"/>
        <v>0.05</v>
      </c>
      <c r="EK117" s="26">
        <f t="shared" si="149"/>
        <v>0.05</v>
      </c>
      <c r="EL117" s="26">
        <f t="shared" si="149"/>
        <v>0.05</v>
      </c>
      <c r="EM117" s="26">
        <f t="shared" si="92"/>
        <v>537663</v>
      </c>
      <c r="EN117" s="26">
        <f t="shared" si="93"/>
        <v>589257</v>
      </c>
      <c r="EO117" s="26">
        <f t="shared" si="94"/>
        <v>589257</v>
      </c>
      <c r="EP117" s="26">
        <f t="shared" si="95"/>
        <v>771411</v>
      </c>
      <c r="EQ117" s="26">
        <f t="shared" si="96"/>
        <v>771411</v>
      </c>
    </row>
    <row r="118" spans="17:147">
      <c r="Q118" s="26">
        <v>114</v>
      </c>
      <c r="R118" s="26">
        <f>总纲!D118</f>
        <v>2701.3522012628878</v>
      </c>
      <c r="S118" s="26">
        <f>求节点(将星点产出!$W$6:$W$44,将星点产出!$AO$6:$AO$44,星阵点亮!$Q118)</f>
        <v>925131.26752762904</v>
      </c>
      <c r="T118" s="26">
        <f t="shared" si="87"/>
        <v>57</v>
      </c>
      <c r="U118" s="26">
        <f>总纲!E118</f>
        <v>2304.5235628973696</v>
      </c>
      <c r="V118" s="26">
        <f>求节点(将星点产出!$W$51:$W$89,将星点产出!$AO$51:$AO$89,星阵点亮!$Q118)</f>
        <v>992417.72621870623</v>
      </c>
      <c r="W118" s="26">
        <f t="shared" si="88"/>
        <v>59</v>
      </c>
      <c r="X118" s="26">
        <f>总纲!F118</f>
        <v>1846.3742295631837</v>
      </c>
      <c r="Y118" s="26">
        <f>求节点(将星点产出!$W$96:$W$134,将星点产出!$AO$96:$AO$134,星阵点亮!$Q118)</f>
        <v>997350</v>
      </c>
      <c r="Z118" s="26">
        <f t="shared" si="89"/>
        <v>59</v>
      </c>
      <c r="AA118" s="26">
        <f>总纲!G118</f>
        <v>1319.3404150967945</v>
      </c>
      <c r="AB118" s="26">
        <f>求节点(将星点产出!$W$141:$W$179,将星点产出!$AO$141:$AO$179,星阵点亮!$Q118)</f>
        <v>1304550</v>
      </c>
      <c r="AC118" s="26">
        <f t="shared" si="90"/>
        <v>66</v>
      </c>
      <c r="AD118" s="26">
        <f>总纲!H118</f>
        <v>710.99589937239205</v>
      </c>
      <c r="AE118" s="26">
        <f>求节点(将星点产出!$W$186:$W$224,将星点产出!$AO$186:$AO$224,星阵点亮!$Q118)</f>
        <v>1304550</v>
      </c>
      <c r="AF118" s="26">
        <f t="shared" si="91"/>
        <v>66</v>
      </c>
      <c r="AG118" s="26">
        <f t="shared" si="140"/>
        <v>1.5</v>
      </c>
      <c r="AH118" s="26">
        <f t="shared" si="140"/>
        <v>1.5</v>
      </c>
      <c r="AI118" s="26">
        <f t="shared" si="140"/>
        <v>1.5</v>
      </c>
      <c r="AJ118" s="26">
        <f t="shared" si="140"/>
        <v>1.5</v>
      </c>
      <c r="AK118" s="26">
        <f t="shared" si="140"/>
        <v>1.5</v>
      </c>
      <c r="AL118" s="26">
        <f t="shared" si="140"/>
        <v>0.05</v>
      </c>
      <c r="AM118" s="26">
        <f t="shared" si="140"/>
        <v>1</v>
      </c>
      <c r="AN118" s="26">
        <f t="shared" si="140"/>
        <v>1</v>
      </c>
      <c r="AO118" s="26">
        <f t="shared" si="140"/>
        <v>1</v>
      </c>
      <c r="AP118" s="26">
        <f t="shared" si="140"/>
        <v>1</v>
      </c>
      <c r="AQ118" s="26">
        <f t="shared" si="141"/>
        <v>1</v>
      </c>
      <c r="AR118" s="26">
        <f t="shared" si="141"/>
        <v>0.2</v>
      </c>
      <c r="AS118" s="26">
        <f t="shared" si="141"/>
        <v>0.2</v>
      </c>
      <c r="AT118" s="26">
        <f t="shared" si="141"/>
        <v>0.2</v>
      </c>
      <c r="AU118" s="26">
        <f t="shared" si="141"/>
        <v>0.2</v>
      </c>
      <c r="AV118" s="26">
        <f t="shared" si="141"/>
        <v>0.2</v>
      </c>
      <c r="AW118" s="26">
        <f t="shared" si="141"/>
        <v>0.1</v>
      </c>
      <c r="AX118" s="26">
        <f t="shared" si="141"/>
        <v>0.05</v>
      </c>
      <c r="AY118" s="26">
        <f t="shared" si="141"/>
        <v>0.05</v>
      </c>
      <c r="AZ118" s="26">
        <f t="shared" si="141"/>
        <v>2.5000000000000001E-2</v>
      </c>
      <c r="BA118" s="26">
        <f t="shared" si="141"/>
        <v>2.5000000000000001E-2</v>
      </c>
      <c r="BB118" s="26">
        <f t="shared" si="141"/>
        <v>2.5000000000000001E-2</v>
      </c>
      <c r="BC118" s="26">
        <f t="shared" si="142"/>
        <v>1.5</v>
      </c>
      <c r="BD118" s="26">
        <f t="shared" si="142"/>
        <v>1.5</v>
      </c>
      <c r="BE118" s="26">
        <f t="shared" si="142"/>
        <v>1.5</v>
      </c>
      <c r="BF118" s="26">
        <f t="shared" si="142"/>
        <v>1.5</v>
      </c>
      <c r="BG118" s="26">
        <f t="shared" si="142"/>
        <v>1.5</v>
      </c>
      <c r="BH118" s="26">
        <f t="shared" si="142"/>
        <v>0.05</v>
      </c>
      <c r="BI118" s="26">
        <f t="shared" si="142"/>
        <v>1</v>
      </c>
      <c r="BJ118" s="26">
        <f t="shared" si="142"/>
        <v>1</v>
      </c>
      <c r="BK118" s="26">
        <f t="shared" si="142"/>
        <v>1</v>
      </c>
      <c r="BL118" s="26">
        <f t="shared" si="142"/>
        <v>1</v>
      </c>
      <c r="BM118" s="26">
        <f t="shared" si="143"/>
        <v>1</v>
      </c>
      <c r="BN118" s="26">
        <f t="shared" si="143"/>
        <v>0.2</v>
      </c>
      <c r="BO118" s="26">
        <f t="shared" si="143"/>
        <v>0.2</v>
      </c>
      <c r="BP118" s="26">
        <f t="shared" si="143"/>
        <v>0.2</v>
      </c>
      <c r="BQ118" s="26">
        <f t="shared" si="143"/>
        <v>0.2</v>
      </c>
      <c r="BR118" s="26">
        <f t="shared" si="143"/>
        <v>0.2</v>
      </c>
      <c r="BS118" s="26">
        <f t="shared" si="143"/>
        <v>0.1</v>
      </c>
      <c r="BT118" s="26">
        <f t="shared" si="143"/>
        <v>0.05</v>
      </c>
      <c r="BU118" s="26">
        <f t="shared" si="143"/>
        <v>0.05</v>
      </c>
      <c r="BV118" s="26">
        <f t="shared" si="143"/>
        <v>0.05</v>
      </c>
      <c r="BW118" s="26">
        <f t="shared" si="143"/>
        <v>0.05</v>
      </c>
      <c r="BX118" s="26">
        <f t="shared" si="143"/>
        <v>2.5000000000000001E-2</v>
      </c>
      <c r="BY118" s="26">
        <f t="shared" si="144"/>
        <v>1.5</v>
      </c>
      <c r="BZ118" s="26">
        <f t="shared" si="144"/>
        <v>1.5</v>
      </c>
      <c r="CA118" s="26">
        <f t="shared" si="144"/>
        <v>1.5</v>
      </c>
      <c r="CB118" s="26">
        <f t="shared" si="144"/>
        <v>1.5</v>
      </c>
      <c r="CC118" s="26">
        <f t="shared" si="144"/>
        <v>1.5</v>
      </c>
      <c r="CD118" s="26">
        <f t="shared" si="144"/>
        <v>0.05</v>
      </c>
      <c r="CE118" s="26">
        <f t="shared" si="144"/>
        <v>1</v>
      </c>
      <c r="CF118" s="26">
        <f t="shared" si="144"/>
        <v>1</v>
      </c>
      <c r="CG118" s="26">
        <f t="shared" si="144"/>
        <v>1</v>
      </c>
      <c r="CH118" s="26">
        <f t="shared" si="144"/>
        <v>1</v>
      </c>
      <c r="CI118" s="26">
        <f t="shared" si="145"/>
        <v>1</v>
      </c>
      <c r="CJ118" s="26">
        <f t="shared" si="145"/>
        <v>0.2</v>
      </c>
      <c r="CK118" s="26">
        <f t="shared" si="145"/>
        <v>0.2</v>
      </c>
      <c r="CL118" s="26">
        <f t="shared" si="145"/>
        <v>0.2</v>
      </c>
      <c r="CM118" s="26">
        <f t="shared" si="145"/>
        <v>0.2</v>
      </c>
      <c r="CN118" s="26">
        <f t="shared" si="145"/>
        <v>0.2</v>
      </c>
      <c r="CO118" s="26">
        <f t="shared" si="145"/>
        <v>0.1</v>
      </c>
      <c r="CP118" s="26">
        <f t="shared" si="145"/>
        <v>0.05</v>
      </c>
      <c r="CQ118" s="26">
        <f t="shared" si="145"/>
        <v>0.05</v>
      </c>
      <c r="CR118" s="26">
        <f t="shared" si="145"/>
        <v>0.05</v>
      </c>
      <c r="CS118" s="26">
        <f t="shared" si="145"/>
        <v>0.05</v>
      </c>
      <c r="CT118" s="26">
        <f t="shared" si="145"/>
        <v>2.5000000000000001E-2</v>
      </c>
      <c r="CU118" s="26">
        <f t="shared" si="146"/>
        <v>1.5</v>
      </c>
      <c r="CV118" s="26">
        <f t="shared" si="146"/>
        <v>1.5</v>
      </c>
      <c r="CW118" s="26">
        <f t="shared" si="146"/>
        <v>1.5</v>
      </c>
      <c r="CX118" s="26">
        <f t="shared" si="146"/>
        <v>1.5</v>
      </c>
      <c r="CY118" s="26">
        <f t="shared" si="146"/>
        <v>1.5</v>
      </c>
      <c r="CZ118" s="26">
        <f t="shared" si="146"/>
        <v>0.1</v>
      </c>
      <c r="DA118" s="26">
        <f t="shared" si="146"/>
        <v>1</v>
      </c>
      <c r="DB118" s="26">
        <f t="shared" si="146"/>
        <v>1</v>
      </c>
      <c r="DC118" s="26">
        <f t="shared" si="146"/>
        <v>1</v>
      </c>
      <c r="DD118" s="26">
        <f t="shared" si="146"/>
        <v>1</v>
      </c>
      <c r="DE118" s="26">
        <f t="shared" si="147"/>
        <v>1</v>
      </c>
      <c r="DF118" s="26">
        <f t="shared" si="147"/>
        <v>0.2</v>
      </c>
      <c r="DG118" s="26">
        <f t="shared" si="147"/>
        <v>0.2</v>
      </c>
      <c r="DH118" s="26">
        <f t="shared" si="147"/>
        <v>0.2</v>
      </c>
      <c r="DI118" s="26">
        <f t="shared" si="147"/>
        <v>0.2</v>
      </c>
      <c r="DJ118" s="26">
        <f t="shared" si="147"/>
        <v>0.2</v>
      </c>
      <c r="DK118" s="26">
        <f t="shared" si="147"/>
        <v>0.1</v>
      </c>
      <c r="DL118" s="26">
        <f t="shared" si="147"/>
        <v>0.1</v>
      </c>
      <c r="DM118" s="26">
        <f t="shared" si="147"/>
        <v>0.1</v>
      </c>
      <c r="DN118" s="26">
        <f t="shared" si="147"/>
        <v>0.05</v>
      </c>
      <c r="DO118" s="26">
        <f t="shared" si="147"/>
        <v>0.05</v>
      </c>
      <c r="DP118" s="26">
        <f t="shared" si="147"/>
        <v>0.05</v>
      </c>
      <c r="DQ118" s="26">
        <f t="shared" si="148"/>
        <v>1.5</v>
      </c>
      <c r="DR118" s="26">
        <f t="shared" si="148"/>
        <v>1.5</v>
      </c>
      <c r="DS118" s="26">
        <f t="shared" si="148"/>
        <v>1.5</v>
      </c>
      <c r="DT118" s="26">
        <f t="shared" si="148"/>
        <v>1.5</v>
      </c>
      <c r="DU118" s="26">
        <f t="shared" si="148"/>
        <v>1.5</v>
      </c>
      <c r="DV118" s="26">
        <f t="shared" si="148"/>
        <v>0.1</v>
      </c>
      <c r="DW118" s="26">
        <f t="shared" si="148"/>
        <v>1</v>
      </c>
      <c r="DX118" s="26">
        <f t="shared" si="148"/>
        <v>1</v>
      </c>
      <c r="DY118" s="26">
        <f t="shared" si="148"/>
        <v>1</v>
      </c>
      <c r="DZ118" s="26">
        <f t="shared" si="148"/>
        <v>1</v>
      </c>
      <c r="EA118" s="26">
        <f t="shared" si="149"/>
        <v>1</v>
      </c>
      <c r="EB118" s="26">
        <f t="shared" si="149"/>
        <v>0.2</v>
      </c>
      <c r="EC118" s="26">
        <f t="shared" si="149"/>
        <v>0.2</v>
      </c>
      <c r="ED118" s="26">
        <f t="shared" si="149"/>
        <v>0.2</v>
      </c>
      <c r="EE118" s="26">
        <f t="shared" si="149"/>
        <v>0.2</v>
      </c>
      <c r="EF118" s="26">
        <f t="shared" si="149"/>
        <v>0.2</v>
      </c>
      <c r="EG118" s="26">
        <f t="shared" si="149"/>
        <v>0.1</v>
      </c>
      <c r="EH118" s="26">
        <f t="shared" si="149"/>
        <v>0.1</v>
      </c>
      <c r="EI118" s="26">
        <f t="shared" si="149"/>
        <v>0.1</v>
      </c>
      <c r="EJ118" s="26">
        <f t="shared" si="149"/>
        <v>0.05</v>
      </c>
      <c r="EK118" s="26">
        <f t="shared" si="149"/>
        <v>0.05</v>
      </c>
      <c r="EL118" s="26">
        <f t="shared" si="149"/>
        <v>0.05</v>
      </c>
      <c r="EM118" s="26">
        <f t="shared" si="92"/>
        <v>537663</v>
      </c>
      <c r="EN118" s="26">
        <f t="shared" si="93"/>
        <v>589257</v>
      </c>
      <c r="EO118" s="26">
        <f t="shared" si="94"/>
        <v>589257</v>
      </c>
      <c r="EP118" s="26">
        <f t="shared" si="95"/>
        <v>771411</v>
      </c>
      <c r="EQ118" s="26">
        <f t="shared" si="96"/>
        <v>771411</v>
      </c>
    </row>
    <row r="119" spans="17:147">
      <c r="Q119" s="26">
        <v>115</v>
      </c>
      <c r="R119" s="26">
        <f>总纲!D119</f>
        <v>2895.3093757400989</v>
      </c>
      <c r="S119" s="26">
        <f>求节点(将星点产出!$W$6:$W$44,将星点产出!$AO$6:$AO$44,星阵点亮!$Q119)</f>
        <v>940832.53284983675</v>
      </c>
      <c r="T119" s="26">
        <f t="shared" si="87"/>
        <v>57</v>
      </c>
      <c r="U119" s="26">
        <f>总纲!E119</f>
        <v>2463.0396859421021</v>
      </c>
      <c r="V119" s="26">
        <f>求节点(将星点产出!$W$51:$W$89,将星点产出!$AO$51:$AO$89,星阵点亮!$Q119)</f>
        <v>997350</v>
      </c>
      <c r="W119" s="26">
        <f t="shared" si="88"/>
        <v>59</v>
      </c>
      <c r="X119" s="26">
        <f>总纲!F119</f>
        <v>1969.9684992535633</v>
      </c>
      <c r="Y119" s="26">
        <f>求节点(将星点产出!$W$96:$W$134,将星点产出!$AO$96:$AO$134,星阵点亮!$Q119)</f>
        <v>997350</v>
      </c>
      <c r="Z119" s="26">
        <f t="shared" si="89"/>
        <v>59</v>
      </c>
      <c r="AA119" s="26">
        <f>总纲!G119</f>
        <v>1407.1203566096881</v>
      </c>
      <c r="AB119" s="26">
        <f>求节点(将星点产出!$W$141:$W$179,将星点产出!$AO$141:$AO$179,星阵点亮!$Q119)</f>
        <v>1304550</v>
      </c>
      <c r="AC119" s="26">
        <f t="shared" si="90"/>
        <v>66</v>
      </c>
      <c r="AD119" s="26">
        <f>总纲!H119</f>
        <v>758.86058738147995</v>
      </c>
      <c r="AE119" s="26">
        <f>求节点(将星点产出!$W$186:$W$224,将星点产出!$AO$186:$AO$224,星阵点亮!$Q119)</f>
        <v>1304550</v>
      </c>
      <c r="AF119" s="26">
        <f t="shared" si="91"/>
        <v>66</v>
      </c>
      <c r="AG119" s="26">
        <f t="shared" si="140"/>
        <v>1.5</v>
      </c>
      <c r="AH119" s="26">
        <f t="shared" si="140"/>
        <v>1.5</v>
      </c>
      <c r="AI119" s="26">
        <f t="shared" si="140"/>
        <v>1.5</v>
      </c>
      <c r="AJ119" s="26">
        <f t="shared" si="140"/>
        <v>1.5</v>
      </c>
      <c r="AK119" s="26">
        <f t="shared" si="140"/>
        <v>1.5</v>
      </c>
      <c r="AL119" s="26">
        <f t="shared" si="140"/>
        <v>0.05</v>
      </c>
      <c r="AM119" s="26">
        <f t="shared" si="140"/>
        <v>1</v>
      </c>
      <c r="AN119" s="26">
        <f t="shared" si="140"/>
        <v>1</v>
      </c>
      <c r="AO119" s="26">
        <f t="shared" si="140"/>
        <v>1</v>
      </c>
      <c r="AP119" s="26">
        <f t="shared" si="140"/>
        <v>1</v>
      </c>
      <c r="AQ119" s="26">
        <f t="shared" si="141"/>
        <v>1</v>
      </c>
      <c r="AR119" s="26">
        <f t="shared" si="141"/>
        <v>0.2</v>
      </c>
      <c r="AS119" s="26">
        <f t="shared" si="141"/>
        <v>0.2</v>
      </c>
      <c r="AT119" s="26">
        <f t="shared" si="141"/>
        <v>0.2</v>
      </c>
      <c r="AU119" s="26">
        <f t="shared" si="141"/>
        <v>0.2</v>
      </c>
      <c r="AV119" s="26">
        <f t="shared" si="141"/>
        <v>0.2</v>
      </c>
      <c r="AW119" s="26">
        <f t="shared" si="141"/>
        <v>0.1</v>
      </c>
      <c r="AX119" s="26">
        <f t="shared" si="141"/>
        <v>0.05</v>
      </c>
      <c r="AY119" s="26">
        <f t="shared" si="141"/>
        <v>0.05</v>
      </c>
      <c r="AZ119" s="26">
        <f t="shared" si="141"/>
        <v>2.5000000000000001E-2</v>
      </c>
      <c r="BA119" s="26">
        <f t="shared" si="141"/>
        <v>2.5000000000000001E-2</v>
      </c>
      <c r="BB119" s="26">
        <f t="shared" si="141"/>
        <v>2.5000000000000001E-2</v>
      </c>
      <c r="BC119" s="26">
        <f t="shared" si="142"/>
        <v>1.5</v>
      </c>
      <c r="BD119" s="26">
        <f t="shared" si="142"/>
        <v>1.5</v>
      </c>
      <c r="BE119" s="26">
        <f t="shared" si="142"/>
        <v>1.5</v>
      </c>
      <c r="BF119" s="26">
        <f t="shared" si="142"/>
        <v>1.5</v>
      </c>
      <c r="BG119" s="26">
        <f t="shared" si="142"/>
        <v>1.5</v>
      </c>
      <c r="BH119" s="26">
        <f t="shared" si="142"/>
        <v>0.05</v>
      </c>
      <c r="BI119" s="26">
        <f t="shared" si="142"/>
        <v>1</v>
      </c>
      <c r="BJ119" s="26">
        <f t="shared" si="142"/>
        <v>1</v>
      </c>
      <c r="BK119" s="26">
        <f t="shared" si="142"/>
        <v>1</v>
      </c>
      <c r="BL119" s="26">
        <f t="shared" si="142"/>
        <v>1</v>
      </c>
      <c r="BM119" s="26">
        <f t="shared" si="143"/>
        <v>1</v>
      </c>
      <c r="BN119" s="26">
        <f t="shared" si="143"/>
        <v>0.2</v>
      </c>
      <c r="BO119" s="26">
        <f t="shared" si="143"/>
        <v>0.2</v>
      </c>
      <c r="BP119" s="26">
        <f t="shared" si="143"/>
        <v>0.2</v>
      </c>
      <c r="BQ119" s="26">
        <f t="shared" si="143"/>
        <v>0.2</v>
      </c>
      <c r="BR119" s="26">
        <f t="shared" si="143"/>
        <v>0.2</v>
      </c>
      <c r="BS119" s="26">
        <f t="shared" si="143"/>
        <v>0.1</v>
      </c>
      <c r="BT119" s="26">
        <f t="shared" si="143"/>
        <v>0.05</v>
      </c>
      <c r="BU119" s="26">
        <f t="shared" si="143"/>
        <v>0.05</v>
      </c>
      <c r="BV119" s="26">
        <f t="shared" si="143"/>
        <v>0.05</v>
      </c>
      <c r="BW119" s="26">
        <f t="shared" si="143"/>
        <v>0.05</v>
      </c>
      <c r="BX119" s="26">
        <f t="shared" si="143"/>
        <v>2.5000000000000001E-2</v>
      </c>
      <c r="BY119" s="26">
        <f t="shared" si="144"/>
        <v>1.5</v>
      </c>
      <c r="BZ119" s="26">
        <f t="shared" si="144"/>
        <v>1.5</v>
      </c>
      <c r="CA119" s="26">
        <f t="shared" si="144"/>
        <v>1.5</v>
      </c>
      <c r="CB119" s="26">
        <f t="shared" si="144"/>
        <v>1.5</v>
      </c>
      <c r="CC119" s="26">
        <f t="shared" si="144"/>
        <v>1.5</v>
      </c>
      <c r="CD119" s="26">
        <f t="shared" si="144"/>
        <v>0.05</v>
      </c>
      <c r="CE119" s="26">
        <f t="shared" si="144"/>
        <v>1</v>
      </c>
      <c r="CF119" s="26">
        <f t="shared" si="144"/>
        <v>1</v>
      </c>
      <c r="CG119" s="26">
        <f t="shared" si="144"/>
        <v>1</v>
      </c>
      <c r="CH119" s="26">
        <f t="shared" si="144"/>
        <v>1</v>
      </c>
      <c r="CI119" s="26">
        <f t="shared" si="145"/>
        <v>1</v>
      </c>
      <c r="CJ119" s="26">
        <f t="shared" si="145"/>
        <v>0.2</v>
      </c>
      <c r="CK119" s="26">
        <f t="shared" si="145"/>
        <v>0.2</v>
      </c>
      <c r="CL119" s="26">
        <f t="shared" si="145"/>
        <v>0.2</v>
      </c>
      <c r="CM119" s="26">
        <f t="shared" si="145"/>
        <v>0.2</v>
      </c>
      <c r="CN119" s="26">
        <f t="shared" si="145"/>
        <v>0.2</v>
      </c>
      <c r="CO119" s="26">
        <f t="shared" si="145"/>
        <v>0.1</v>
      </c>
      <c r="CP119" s="26">
        <f t="shared" si="145"/>
        <v>0.05</v>
      </c>
      <c r="CQ119" s="26">
        <f t="shared" si="145"/>
        <v>0.05</v>
      </c>
      <c r="CR119" s="26">
        <f t="shared" si="145"/>
        <v>0.05</v>
      </c>
      <c r="CS119" s="26">
        <f t="shared" si="145"/>
        <v>0.05</v>
      </c>
      <c r="CT119" s="26">
        <f t="shared" si="145"/>
        <v>2.5000000000000001E-2</v>
      </c>
      <c r="CU119" s="26">
        <f t="shared" si="146"/>
        <v>1.5</v>
      </c>
      <c r="CV119" s="26">
        <f t="shared" si="146"/>
        <v>1.5</v>
      </c>
      <c r="CW119" s="26">
        <f t="shared" si="146"/>
        <v>1.5</v>
      </c>
      <c r="CX119" s="26">
        <f t="shared" si="146"/>
        <v>1.5</v>
      </c>
      <c r="CY119" s="26">
        <f t="shared" si="146"/>
        <v>1.5</v>
      </c>
      <c r="CZ119" s="26">
        <f t="shared" si="146"/>
        <v>0.1</v>
      </c>
      <c r="DA119" s="26">
        <f t="shared" si="146"/>
        <v>1</v>
      </c>
      <c r="DB119" s="26">
        <f t="shared" si="146"/>
        <v>1</v>
      </c>
      <c r="DC119" s="26">
        <f t="shared" si="146"/>
        <v>1</v>
      </c>
      <c r="DD119" s="26">
        <f t="shared" si="146"/>
        <v>1</v>
      </c>
      <c r="DE119" s="26">
        <f t="shared" si="147"/>
        <v>1</v>
      </c>
      <c r="DF119" s="26">
        <f t="shared" si="147"/>
        <v>0.2</v>
      </c>
      <c r="DG119" s="26">
        <f t="shared" si="147"/>
        <v>0.2</v>
      </c>
      <c r="DH119" s="26">
        <f t="shared" si="147"/>
        <v>0.2</v>
      </c>
      <c r="DI119" s="26">
        <f t="shared" si="147"/>
        <v>0.2</v>
      </c>
      <c r="DJ119" s="26">
        <f t="shared" si="147"/>
        <v>0.2</v>
      </c>
      <c r="DK119" s="26">
        <f t="shared" si="147"/>
        <v>0.1</v>
      </c>
      <c r="DL119" s="26">
        <f t="shared" si="147"/>
        <v>0.1</v>
      </c>
      <c r="DM119" s="26">
        <f t="shared" si="147"/>
        <v>0.1</v>
      </c>
      <c r="DN119" s="26">
        <f t="shared" si="147"/>
        <v>0.05</v>
      </c>
      <c r="DO119" s="26">
        <f t="shared" si="147"/>
        <v>0.05</v>
      </c>
      <c r="DP119" s="26">
        <f t="shared" si="147"/>
        <v>0.05</v>
      </c>
      <c r="DQ119" s="26">
        <f t="shared" si="148"/>
        <v>1.5</v>
      </c>
      <c r="DR119" s="26">
        <f t="shared" si="148"/>
        <v>1.5</v>
      </c>
      <c r="DS119" s="26">
        <f t="shared" si="148"/>
        <v>1.5</v>
      </c>
      <c r="DT119" s="26">
        <f t="shared" si="148"/>
        <v>1.5</v>
      </c>
      <c r="DU119" s="26">
        <f t="shared" si="148"/>
        <v>1.5</v>
      </c>
      <c r="DV119" s="26">
        <f t="shared" si="148"/>
        <v>0.1</v>
      </c>
      <c r="DW119" s="26">
        <f t="shared" si="148"/>
        <v>1</v>
      </c>
      <c r="DX119" s="26">
        <f t="shared" si="148"/>
        <v>1</v>
      </c>
      <c r="DY119" s="26">
        <f t="shared" si="148"/>
        <v>1</v>
      </c>
      <c r="DZ119" s="26">
        <f t="shared" si="148"/>
        <v>1</v>
      </c>
      <c r="EA119" s="26">
        <f t="shared" si="149"/>
        <v>1</v>
      </c>
      <c r="EB119" s="26">
        <f t="shared" si="149"/>
        <v>0.2</v>
      </c>
      <c r="EC119" s="26">
        <f t="shared" si="149"/>
        <v>0.2</v>
      </c>
      <c r="ED119" s="26">
        <f t="shared" si="149"/>
        <v>0.2</v>
      </c>
      <c r="EE119" s="26">
        <f t="shared" si="149"/>
        <v>0.2</v>
      </c>
      <c r="EF119" s="26">
        <f t="shared" si="149"/>
        <v>0.2</v>
      </c>
      <c r="EG119" s="26">
        <f t="shared" si="149"/>
        <v>0.1</v>
      </c>
      <c r="EH119" s="26">
        <f t="shared" si="149"/>
        <v>0.1</v>
      </c>
      <c r="EI119" s="26">
        <f t="shared" si="149"/>
        <v>0.1</v>
      </c>
      <c r="EJ119" s="26">
        <f t="shared" si="149"/>
        <v>0.05</v>
      </c>
      <c r="EK119" s="26">
        <f t="shared" si="149"/>
        <v>0.05</v>
      </c>
      <c r="EL119" s="26">
        <f t="shared" si="149"/>
        <v>0.05</v>
      </c>
      <c r="EM119" s="26">
        <f t="shared" si="92"/>
        <v>537663</v>
      </c>
      <c r="EN119" s="26">
        <f t="shared" si="93"/>
        <v>589257</v>
      </c>
      <c r="EO119" s="26">
        <f t="shared" si="94"/>
        <v>589257</v>
      </c>
      <c r="EP119" s="26">
        <f t="shared" si="95"/>
        <v>771411</v>
      </c>
      <c r="EQ119" s="26">
        <f t="shared" si="96"/>
        <v>771411</v>
      </c>
    </row>
    <row r="120" spans="17:147">
      <c r="Q120" s="26">
        <v>116</v>
      </c>
      <c r="R120" s="26">
        <f>总纲!D120</f>
        <v>3103.1875282132928</v>
      </c>
      <c r="S120" s="26">
        <f>求节点(将星点产出!$W$6:$W$44,将星点产出!$AO$6:$AO$44,星阵点亮!$Q120)</f>
        <v>955962.00960818329</v>
      </c>
      <c r="T120" s="26">
        <f t="shared" si="87"/>
        <v>58</v>
      </c>
      <c r="U120" s="26">
        <f>总纲!E120</f>
        <v>2636.7784427228348</v>
      </c>
      <c r="V120" s="26">
        <f>求节点(将星点产出!$W$51:$W$89,将星点产出!$AO$51:$AO$89,星阵点亮!$Q120)</f>
        <v>997350</v>
      </c>
      <c r="W120" s="26">
        <f t="shared" si="88"/>
        <v>59</v>
      </c>
      <c r="X120" s="26">
        <f>总纲!F120</f>
        <v>2108.9262441737537</v>
      </c>
      <c r="Y120" s="26">
        <f>求节点(将星点产出!$W$96:$W$134,将星点产出!$AO$96:$AO$134,星阵点亮!$Q120)</f>
        <v>997350</v>
      </c>
      <c r="Z120" s="26">
        <f t="shared" si="89"/>
        <v>59</v>
      </c>
      <c r="AA120" s="26">
        <f>总纲!G120</f>
        <v>1509.0800949701243</v>
      </c>
      <c r="AB120" s="26">
        <f>求节点(将星点产出!$W$141:$W$179,将星点产出!$AO$141:$AO$179,星阵点亮!$Q120)</f>
        <v>1304550</v>
      </c>
      <c r="AC120" s="26">
        <f t="shared" si="90"/>
        <v>66</v>
      </c>
      <c r="AD120" s="26">
        <f>总纲!H120</f>
        <v>813.34545114470404</v>
      </c>
      <c r="AE120" s="26">
        <f>求节点(将星点产出!$W$186:$W$224,将星点产出!$AO$186:$AO$224,星阵点亮!$Q120)</f>
        <v>1304550</v>
      </c>
      <c r="AF120" s="26">
        <f t="shared" si="91"/>
        <v>66</v>
      </c>
      <c r="AG120" s="26">
        <f t="shared" si="140"/>
        <v>1.5</v>
      </c>
      <c r="AH120" s="26">
        <f t="shared" si="140"/>
        <v>1.5</v>
      </c>
      <c r="AI120" s="26">
        <f t="shared" si="140"/>
        <v>1.5</v>
      </c>
      <c r="AJ120" s="26">
        <f t="shared" si="140"/>
        <v>1.5</v>
      </c>
      <c r="AK120" s="26">
        <f t="shared" si="140"/>
        <v>1.5</v>
      </c>
      <c r="AL120" s="26">
        <f t="shared" si="140"/>
        <v>0.05</v>
      </c>
      <c r="AM120" s="26">
        <f t="shared" si="140"/>
        <v>1</v>
      </c>
      <c r="AN120" s="26">
        <f t="shared" si="140"/>
        <v>1</v>
      </c>
      <c r="AO120" s="26">
        <f t="shared" si="140"/>
        <v>1</v>
      </c>
      <c r="AP120" s="26">
        <f t="shared" si="140"/>
        <v>1</v>
      </c>
      <c r="AQ120" s="26">
        <f t="shared" si="141"/>
        <v>1</v>
      </c>
      <c r="AR120" s="26">
        <f t="shared" si="141"/>
        <v>0.2</v>
      </c>
      <c r="AS120" s="26">
        <f t="shared" si="141"/>
        <v>0.2</v>
      </c>
      <c r="AT120" s="26">
        <f t="shared" si="141"/>
        <v>0.2</v>
      </c>
      <c r="AU120" s="26">
        <f t="shared" si="141"/>
        <v>0.2</v>
      </c>
      <c r="AV120" s="26">
        <f t="shared" si="141"/>
        <v>0.2</v>
      </c>
      <c r="AW120" s="26">
        <f t="shared" si="141"/>
        <v>0.1</v>
      </c>
      <c r="AX120" s="26">
        <f t="shared" si="141"/>
        <v>0.05</v>
      </c>
      <c r="AY120" s="26">
        <f t="shared" si="141"/>
        <v>0.05</v>
      </c>
      <c r="AZ120" s="26">
        <f t="shared" si="141"/>
        <v>0.05</v>
      </c>
      <c r="BA120" s="26">
        <f t="shared" si="141"/>
        <v>2.5000000000000001E-2</v>
      </c>
      <c r="BB120" s="26">
        <f t="shared" si="141"/>
        <v>2.5000000000000001E-2</v>
      </c>
      <c r="BC120" s="26">
        <f t="shared" si="142"/>
        <v>1.5</v>
      </c>
      <c r="BD120" s="26">
        <f t="shared" si="142"/>
        <v>1.5</v>
      </c>
      <c r="BE120" s="26">
        <f t="shared" si="142"/>
        <v>1.5</v>
      </c>
      <c r="BF120" s="26">
        <f t="shared" si="142"/>
        <v>1.5</v>
      </c>
      <c r="BG120" s="26">
        <f t="shared" si="142"/>
        <v>1.5</v>
      </c>
      <c r="BH120" s="26">
        <f t="shared" si="142"/>
        <v>0.05</v>
      </c>
      <c r="BI120" s="26">
        <f t="shared" si="142"/>
        <v>1</v>
      </c>
      <c r="BJ120" s="26">
        <f t="shared" si="142"/>
        <v>1</v>
      </c>
      <c r="BK120" s="26">
        <f t="shared" si="142"/>
        <v>1</v>
      </c>
      <c r="BL120" s="26">
        <f t="shared" si="142"/>
        <v>1</v>
      </c>
      <c r="BM120" s="26">
        <f t="shared" si="143"/>
        <v>1</v>
      </c>
      <c r="BN120" s="26">
        <f t="shared" si="143"/>
        <v>0.2</v>
      </c>
      <c r="BO120" s="26">
        <f t="shared" si="143"/>
        <v>0.2</v>
      </c>
      <c r="BP120" s="26">
        <f t="shared" si="143"/>
        <v>0.2</v>
      </c>
      <c r="BQ120" s="26">
        <f t="shared" si="143"/>
        <v>0.2</v>
      </c>
      <c r="BR120" s="26">
        <f t="shared" si="143"/>
        <v>0.2</v>
      </c>
      <c r="BS120" s="26">
        <f t="shared" si="143"/>
        <v>0.1</v>
      </c>
      <c r="BT120" s="26">
        <f t="shared" si="143"/>
        <v>0.05</v>
      </c>
      <c r="BU120" s="26">
        <f t="shared" si="143"/>
        <v>0.05</v>
      </c>
      <c r="BV120" s="26">
        <f t="shared" si="143"/>
        <v>0.05</v>
      </c>
      <c r="BW120" s="26">
        <f t="shared" si="143"/>
        <v>0.05</v>
      </c>
      <c r="BX120" s="26">
        <f t="shared" si="143"/>
        <v>2.5000000000000001E-2</v>
      </c>
      <c r="BY120" s="26">
        <f t="shared" si="144"/>
        <v>1.5</v>
      </c>
      <c r="BZ120" s="26">
        <f t="shared" si="144"/>
        <v>1.5</v>
      </c>
      <c r="CA120" s="26">
        <f t="shared" si="144"/>
        <v>1.5</v>
      </c>
      <c r="CB120" s="26">
        <f t="shared" si="144"/>
        <v>1.5</v>
      </c>
      <c r="CC120" s="26">
        <f t="shared" si="144"/>
        <v>1.5</v>
      </c>
      <c r="CD120" s="26">
        <f t="shared" si="144"/>
        <v>0.05</v>
      </c>
      <c r="CE120" s="26">
        <f t="shared" si="144"/>
        <v>1</v>
      </c>
      <c r="CF120" s="26">
        <f t="shared" si="144"/>
        <v>1</v>
      </c>
      <c r="CG120" s="26">
        <f t="shared" si="144"/>
        <v>1</v>
      </c>
      <c r="CH120" s="26">
        <f t="shared" si="144"/>
        <v>1</v>
      </c>
      <c r="CI120" s="26">
        <f t="shared" si="145"/>
        <v>1</v>
      </c>
      <c r="CJ120" s="26">
        <f t="shared" si="145"/>
        <v>0.2</v>
      </c>
      <c r="CK120" s="26">
        <f t="shared" si="145"/>
        <v>0.2</v>
      </c>
      <c r="CL120" s="26">
        <f t="shared" si="145"/>
        <v>0.2</v>
      </c>
      <c r="CM120" s="26">
        <f t="shared" si="145"/>
        <v>0.2</v>
      </c>
      <c r="CN120" s="26">
        <f t="shared" si="145"/>
        <v>0.2</v>
      </c>
      <c r="CO120" s="26">
        <f t="shared" si="145"/>
        <v>0.1</v>
      </c>
      <c r="CP120" s="26">
        <f t="shared" si="145"/>
        <v>0.05</v>
      </c>
      <c r="CQ120" s="26">
        <f t="shared" si="145"/>
        <v>0.05</v>
      </c>
      <c r="CR120" s="26">
        <f t="shared" si="145"/>
        <v>0.05</v>
      </c>
      <c r="CS120" s="26">
        <f t="shared" si="145"/>
        <v>0.05</v>
      </c>
      <c r="CT120" s="26">
        <f t="shared" si="145"/>
        <v>2.5000000000000001E-2</v>
      </c>
      <c r="CU120" s="26">
        <f t="shared" si="146"/>
        <v>1.5</v>
      </c>
      <c r="CV120" s="26">
        <f t="shared" si="146"/>
        <v>1.5</v>
      </c>
      <c r="CW120" s="26">
        <f t="shared" si="146"/>
        <v>1.5</v>
      </c>
      <c r="CX120" s="26">
        <f t="shared" si="146"/>
        <v>1.5</v>
      </c>
      <c r="CY120" s="26">
        <f t="shared" si="146"/>
        <v>1.5</v>
      </c>
      <c r="CZ120" s="26">
        <f t="shared" si="146"/>
        <v>0.1</v>
      </c>
      <c r="DA120" s="26">
        <f t="shared" si="146"/>
        <v>1</v>
      </c>
      <c r="DB120" s="26">
        <f t="shared" si="146"/>
        <v>1</v>
      </c>
      <c r="DC120" s="26">
        <f t="shared" si="146"/>
        <v>1</v>
      </c>
      <c r="DD120" s="26">
        <f t="shared" si="146"/>
        <v>1</v>
      </c>
      <c r="DE120" s="26">
        <f t="shared" si="147"/>
        <v>1</v>
      </c>
      <c r="DF120" s="26">
        <f t="shared" si="147"/>
        <v>0.2</v>
      </c>
      <c r="DG120" s="26">
        <f t="shared" si="147"/>
        <v>0.2</v>
      </c>
      <c r="DH120" s="26">
        <f t="shared" si="147"/>
        <v>0.2</v>
      </c>
      <c r="DI120" s="26">
        <f t="shared" si="147"/>
        <v>0.2</v>
      </c>
      <c r="DJ120" s="26">
        <f t="shared" si="147"/>
        <v>0.2</v>
      </c>
      <c r="DK120" s="26">
        <f t="shared" si="147"/>
        <v>0.1</v>
      </c>
      <c r="DL120" s="26">
        <f t="shared" si="147"/>
        <v>0.1</v>
      </c>
      <c r="DM120" s="26">
        <f t="shared" si="147"/>
        <v>0.1</v>
      </c>
      <c r="DN120" s="26">
        <f t="shared" si="147"/>
        <v>0.05</v>
      </c>
      <c r="DO120" s="26">
        <f t="shared" si="147"/>
        <v>0.05</v>
      </c>
      <c r="DP120" s="26">
        <f t="shared" si="147"/>
        <v>0.05</v>
      </c>
      <c r="DQ120" s="26">
        <f t="shared" si="148"/>
        <v>1.5</v>
      </c>
      <c r="DR120" s="26">
        <f t="shared" si="148"/>
        <v>1.5</v>
      </c>
      <c r="DS120" s="26">
        <f t="shared" si="148"/>
        <v>1.5</v>
      </c>
      <c r="DT120" s="26">
        <f t="shared" si="148"/>
        <v>1.5</v>
      </c>
      <c r="DU120" s="26">
        <f t="shared" si="148"/>
        <v>1.5</v>
      </c>
      <c r="DV120" s="26">
        <f t="shared" si="148"/>
        <v>0.1</v>
      </c>
      <c r="DW120" s="26">
        <f t="shared" si="148"/>
        <v>1</v>
      </c>
      <c r="DX120" s="26">
        <f t="shared" si="148"/>
        <v>1</v>
      </c>
      <c r="DY120" s="26">
        <f t="shared" si="148"/>
        <v>1</v>
      </c>
      <c r="DZ120" s="26">
        <f t="shared" si="148"/>
        <v>1</v>
      </c>
      <c r="EA120" s="26">
        <f t="shared" si="149"/>
        <v>1</v>
      </c>
      <c r="EB120" s="26">
        <f t="shared" si="149"/>
        <v>0.2</v>
      </c>
      <c r="EC120" s="26">
        <f t="shared" si="149"/>
        <v>0.2</v>
      </c>
      <c r="ED120" s="26">
        <f t="shared" si="149"/>
        <v>0.2</v>
      </c>
      <c r="EE120" s="26">
        <f t="shared" si="149"/>
        <v>0.2</v>
      </c>
      <c r="EF120" s="26">
        <f t="shared" si="149"/>
        <v>0.2</v>
      </c>
      <c r="EG120" s="26">
        <f t="shared" si="149"/>
        <v>0.1</v>
      </c>
      <c r="EH120" s="26">
        <f t="shared" si="149"/>
        <v>0.1</v>
      </c>
      <c r="EI120" s="26">
        <f t="shared" si="149"/>
        <v>0.1</v>
      </c>
      <c r="EJ120" s="26">
        <f t="shared" si="149"/>
        <v>0.05</v>
      </c>
      <c r="EK120" s="26">
        <f t="shared" si="149"/>
        <v>0.05</v>
      </c>
      <c r="EL120" s="26">
        <f t="shared" si="149"/>
        <v>0.05</v>
      </c>
      <c r="EM120" s="26">
        <f t="shared" si="92"/>
        <v>563435</v>
      </c>
      <c r="EN120" s="26">
        <f t="shared" si="93"/>
        <v>589257</v>
      </c>
      <c r="EO120" s="26">
        <f t="shared" si="94"/>
        <v>589257</v>
      </c>
      <c r="EP120" s="26">
        <f t="shared" si="95"/>
        <v>771411</v>
      </c>
      <c r="EQ120" s="26">
        <f t="shared" si="96"/>
        <v>771411</v>
      </c>
    </row>
    <row r="121" spans="17:147">
      <c r="Q121" s="26">
        <v>117</v>
      </c>
      <c r="R121" s="26">
        <f>总纲!D121</f>
        <v>3325.985815475135</v>
      </c>
      <c r="S121" s="26">
        <f>求节点(将星点产出!$W$6:$W$44,将星点产出!$AO$6:$AO$44,星阵点亮!$Q121)</f>
        <v>971091.48636652972</v>
      </c>
      <c r="T121" s="26">
        <f t="shared" si="87"/>
        <v>58</v>
      </c>
      <c r="U121" s="26">
        <f>总纲!E121</f>
        <v>2826.7553445723174</v>
      </c>
      <c r="V121" s="26">
        <f>求节点(将星点产出!$W$51:$W$89,将星点产出!$AO$51:$AO$89,星阵点亮!$Q121)</f>
        <v>997350</v>
      </c>
      <c r="W121" s="26">
        <f t="shared" si="88"/>
        <v>59</v>
      </c>
      <c r="X121" s="26">
        <f>总纲!F121</f>
        <v>2262.6681502677343</v>
      </c>
      <c r="Y121" s="26">
        <f>求节点(将星点产出!$W$96:$W$134,将星点产出!$AO$96:$AO$134,星阵点亮!$Q121)</f>
        <v>997350</v>
      </c>
      <c r="Z121" s="26">
        <f t="shared" si="89"/>
        <v>59</v>
      </c>
      <c r="AA121" s="26">
        <f>总纲!G121</f>
        <v>1618.0920992286531</v>
      </c>
      <c r="AB121" s="26">
        <f>求节点(将星点产出!$W$141:$W$179,将星点产出!$AO$141:$AO$179,星阵点亮!$Q121)</f>
        <v>1304550</v>
      </c>
      <c r="AC121" s="26">
        <f t="shared" si="90"/>
        <v>66</v>
      </c>
      <c r="AD121" s="26">
        <f>总纲!H121</f>
        <v>873.07127656222303</v>
      </c>
      <c r="AE121" s="26">
        <f>求节点(将星点产出!$W$186:$W$224,将星点产出!$AO$186:$AO$224,星阵点亮!$Q121)</f>
        <v>1304550</v>
      </c>
      <c r="AF121" s="26">
        <f t="shared" si="91"/>
        <v>66</v>
      </c>
      <c r="AG121" s="26">
        <f t="shared" si="140"/>
        <v>1.5</v>
      </c>
      <c r="AH121" s="26">
        <f t="shared" si="140"/>
        <v>1.5</v>
      </c>
      <c r="AI121" s="26">
        <f t="shared" si="140"/>
        <v>1.5</v>
      </c>
      <c r="AJ121" s="26">
        <f t="shared" si="140"/>
        <v>1.5</v>
      </c>
      <c r="AK121" s="26">
        <f t="shared" si="140"/>
        <v>1.5</v>
      </c>
      <c r="AL121" s="26">
        <f t="shared" si="140"/>
        <v>0.05</v>
      </c>
      <c r="AM121" s="26">
        <f t="shared" si="140"/>
        <v>1</v>
      </c>
      <c r="AN121" s="26">
        <f t="shared" si="140"/>
        <v>1</v>
      </c>
      <c r="AO121" s="26">
        <f t="shared" si="140"/>
        <v>1</v>
      </c>
      <c r="AP121" s="26">
        <f t="shared" si="140"/>
        <v>1</v>
      </c>
      <c r="AQ121" s="26">
        <f t="shared" si="141"/>
        <v>1</v>
      </c>
      <c r="AR121" s="26">
        <f t="shared" si="141"/>
        <v>0.2</v>
      </c>
      <c r="AS121" s="26">
        <f t="shared" si="141"/>
        <v>0.2</v>
      </c>
      <c r="AT121" s="26">
        <f t="shared" si="141"/>
        <v>0.2</v>
      </c>
      <c r="AU121" s="26">
        <f t="shared" si="141"/>
        <v>0.2</v>
      </c>
      <c r="AV121" s="26">
        <f t="shared" si="141"/>
        <v>0.2</v>
      </c>
      <c r="AW121" s="26">
        <f t="shared" si="141"/>
        <v>0.1</v>
      </c>
      <c r="AX121" s="26">
        <f t="shared" si="141"/>
        <v>0.05</v>
      </c>
      <c r="AY121" s="26">
        <f t="shared" si="141"/>
        <v>0.05</v>
      </c>
      <c r="AZ121" s="26">
        <f t="shared" si="141"/>
        <v>0.05</v>
      </c>
      <c r="BA121" s="26">
        <f t="shared" si="141"/>
        <v>2.5000000000000001E-2</v>
      </c>
      <c r="BB121" s="26">
        <f t="shared" si="141"/>
        <v>2.5000000000000001E-2</v>
      </c>
      <c r="BC121" s="26">
        <f t="shared" si="142"/>
        <v>1.5</v>
      </c>
      <c r="BD121" s="26">
        <f t="shared" si="142"/>
        <v>1.5</v>
      </c>
      <c r="BE121" s="26">
        <f t="shared" si="142"/>
        <v>1.5</v>
      </c>
      <c r="BF121" s="26">
        <f t="shared" si="142"/>
        <v>1.5</v>
      </c>
      <c r="BG121" s="26">
        <f t="shared" si="142"/>
        <v>1.5</v>
      </c>
      <c r="BH121" s="26">
        <f t="shared" si="142"/>
        <v>0.05</v>
      </c>
      <c r="BI121" s="26">
        <f t="shared" si="142"/>
        <v>1</v>
      </c>
      <c r="BJ121" s="26">
        <f t="shared" si="142"/>
        <v>1</v>
      </c>
      <c r="BK121" s="26">
        <f t="shared" si="142"/>
        <v>1</v>
      </c>
      <c r="BL121" s="26">
        <f t="shared" si="142"/>
        <v>1</v>
      </c>
      <c r="BM121" s="26">
        <f t="shared" si="143"/>
        <v>1</v>
      </c>
      <c r="BN121" s="26">
        <f t="shared" si="143"/>
        <v>0.2</v>
      </c>
      <c r="BO121" s="26">
        <f t="shared" si="143"/>
        <v>0.2</v>
      </c>
      <c r="BP121" s="26">
        <f t="shared" si="143"/>
        <v>0.2</v>
      </c>
      <c r="BQ121" s="26">
        <f t="shared" si="143"/>
        <v>0.2</v>
      </c>
      <c r="BR121" s="26">
        <f t="shared" si="143"/>
        <v>0.2</v>
      </c>
      <c r="BS121" s="26">
        <f t="shared" si="143"/>
        <v>0.1</v>
      </c>
      <c r="BT121" s="26">
        <f t="shared" si="143"/>
        <v>0.05</v>
      </c>
      <c r="BU121" s="26">
        <f t="shared" si="143"/>
        <v>0.05</v>
      </c>
      <c r="BV121" s="26">
        <f t="shared" si="143"/>
        <v>0.05</v>
      </c>
      <c r="BW121" s="26">
        <f t="shared" si="143"/>
        <v>0.05</v>
      </c>
      <c r="BX121" s="26">
        <f t="shared" si="143"/>
        <v>2.5000000000000001E-2</v>
      </c>
      <c r="BY121" s="26">
        <f t="shared" si="144"/>
        <v>1.5</v>
      </c>
      <c r="BZ121" s="26">
        <f t="shared" si="144"/>
        <v>1.5</v>
      </c>
      <c r="CA121" s="26">
        <f t="shared" si="144"/>
        <v>1.5</v>
      </c>
      <c r="CB121" s="26">
        <f t="shared" si="144"/>
        <v>1.5</v>
      </c>
      <c r="CC121" s="26">
        <f t="shared" si="144"/>
        <v>1.5</v>
      </c>
      <c r="CD121" s="26">
        <f t="shared" si="144"/>
        <v>0.05</v>
      </c>
      <c r="CE121" s="26">
        <f t="shared" si="144"/>
        <v>1</v>
      </c>
      <c r="CF121" s="26">
        <f t="shared" si="144"/>
        <v>1</v>
      </c>
      <c r="CG121" s="26">
        <f t="shared" si="144"/>
        <v>1</v>
      </c>
      <c r="CH121" s="26">
        <f t="shared" si="144"/>
        <v>1</v>
      </c>
      <c r="CI121" s="26">
        <f t="shared" si="145"/>
        <v>1</v>
      </c>
      <c r="CJ121" s="26">
        <f t="shared" si="145"/>
        <v>0.2</v>
      </c>
      <c r="CK121" s="26">
        <f t="shared" si="145"/>
        <v>0.2</v>
      </c>
      <c r="CL121" s="26">
        <f t="shared" si="145"/>
        <v>0.2</v>
      </c>
      <c r="CM121" s="26">
        <f t="shared" si="145"/>
        <v>0.2</v>
      </c>
      <c r="CN121" s="26">
        <f t="shared" si="145"/>
        <v>0.2</v>
      </c>
      <c r="CO121" s="26">
        <f t="shared" si="145"/>
        <v>0.1</v>
      </c>
      <c r="CP121" s="26">
        <f t="shared" si="145"/>
        <v>0.05</v>
      </c>
      <c r="CQ121" s="26">
        <f t="shared" si="145"/>
        <v>0.05</v>
      </c>
      <c r="CR121" s="26">
        <f t="shared" si="145"/>
        <v>0.05</v>
      </c>
      <c r="CS121" s="26">
        <f t="shared" si="145"/>
        <v>0.05</v>
      </c>
      <c r="CT121" s="26">
        <f t="shared" si="145"/>
        <v>2.5000000000000001E-2</v>
      </c>
      <c r="CU121" s="26">
        <f t="shared" si="146"/>
        <v>1.5</v>
      </c>
      <c r="CV121" s="26">
        <f t="shared" si="146"/>
        <v>1.5</v>
      </c>
      <c r="CW121" s="26">
        <f t="shared" si="146"/>
        <v>1.5</v>
      </c>
      <c r="CX121" s="26">
        <f t="shared" si="146"/>
        <v>1.5</v>
      </c>
      <c r="CY121" s="26">
        <f t="shared" si="146"/>
        <v>1.5</v>
      </c>
      <c r="CZ121" s="26">
        <f t="shared" si="146"/>
        <v>0.1</v>
      </c>
      <c r="DA121" s="26">
        <f t="shared" si="146"/>
        <v>1</v>
      </c>
      <c r="DB121" s="26">
        <f t="shared" si="146"/>
        <v>1</v>
      </c>
      <c r="DC121" s="26">
        <f t="shared" si="146"/>
        <v>1</v>
      </c>
      <c r="DD121" s="26">
        <f t="shared" si="146"/>
        <v>1</v>
      </c>
      <c r="DE121" s="26">
        <f t="shared" si="147"/>
        <v>1</v>
      </c>
      <c r="DF121" s="26">
        <f t="shared" si="147"/>
        <v>0.2</v>
      </c>
      <c r="DG121" s="26">
        <f t="shared" si="147"/>
        <v>0.2</v>
      </c>
      <c r="DH121" s="26">
        <f t="shared" si="147"/>
        <v>0.2</v>
      </c>
      <c r="DI121" s="26">
        <f t="shared" si="147"/>
        <v>0.2</v>
      </c>
      <c r="DJ121" s="26">
        <f t="shared" si="147"/>
        <v>0.2</v>
      </c>
      <c r="DK121" s="26">
        <f t="shared" si="147"/>
        <v>0.1</v>
      </c>
      <c r="DL121" s="26">
        <f t="shared" si="147"/>
        <v>0.1</v>
      </c>
      <c r="DM121" s="26">
        <f t="shared" si="147"/>
        <v>0.1</v>
      </c>
      <c r="DN121" s="26">
        <f t="shared" si="147"/>
        <v>0.05</v>
      </c>
      <c r="DO121" s="26">
        <f t="shared" si="147"/>
        <v>0.05</v>
      </c>
      <c r="DP121" s="26">
        <f t="shared" si="147"/>
        <v>0.05</v>
      </c>
      <c r="DQ121" s="26">
        <f t="shared" si="148"/>
        <v>1.5</v>
      </c>
      <c r="DR121" s="26">
        <f t="shared" si="148"/>
        <v>1.5</v>
      </c>
      <c r="DS121" s="26">
        <f t="shared" si="148"/>
        <v>1.5</v>
      </c>
      <c r="DT121" s="26">
        <f t="shared" si="148"/>
        <v>1.5</v>
      </c>
      <c r="DU121" s="26">
        <f t="shared" si="148"/>
        <v>1.5</v>
      </c>
      <c r="DV121" s="26">
        <f t="shared" si="148"/>
        <v>0.1</v>
      </c>
      <c r="DW121" s="26">
        <f t="shared" si="148"/>
        <v>1</v>
      </c>
      <c r="DX121" s="26">
        <f t="shared" si="148"/>
        <v>1</v>
      </c>
      <c r="DY121" s="26">
        <f t="shared" si="148"/>
        <v>1</v>
      </c>
      <c r="DZ121" s="26">
        <f t="shared" si="148"/>
        <v>1</v>
      </c>
      <c r="EA121" s="26">
        <f t="shared" si="149"/>
        <v>1</v>
      </c>
      <c r="EB121" s="26">
        <f t="shared" si="149"/>
        <v>0.2</v>
      </c>
      <c r="EC121" s="26">
        <f t="shared" si="149"/>
        <v>0.2</v>
      </c>
      <c r="ED121" s="26">
        <f t="shared" si="149"/>
        <v>0.2</v>
      </c>
      <c r="EE121" s="26">
        <f t="shared" si="149"/>
        <v>0.2</v>
      </c>
      <c r="EF121" s="26">
        <f t="shared" si="149"/>
        <v>0.2</v>
      </c>
      <c r="EG121" s="26">
        <f t="shared" si="149"/>
        <v>0.1</v>
      </c>
      <c r="EH121" s="26">
        <f t="shared" si="149"/>
        <v>0.1</v>
      </c>
      <c r="EI121" s="26">
        <f t="shared" si="149"/>
        <v>0.1</v>
      </c>
      <c r="EJ121" s="26">
        <f t="shared" si="149"/>
        <v>0.05</v>
      </c>
      <c r="EK121" s="26">
        <f t="shared" si="149"/>
        <v>0.05</v>
      </c>
      <c r="EL121" s="26">
        <f t="shared" si="149"/>
        <v>0.05</v>
      </c>
      <c r="EM121" s="26">
        <f t="shared" si="92"/>
        <v>563435</v>
      </c>
      <c r="EN121" s="26">
        <f t="shared" si="93"/>
        <v>589257</v>
      </c>
      <c r="EO121" s="26">
        <f t="shared" si="94"/>
        <v>589257</v>
      </c>
      <c r="EP121" s="26">
        <f t="shared" si="95"/>
        <v>771411</v>
      </c>
      <c r="EQ121" s="26">
        <f t="shared" si="96"/>
        <v>771411</v>
      </c>
    </row>
    <row r="122" spans="17:147">
      <c r="Q122" s="26">
        <v>118</v>
      </c>
      <c r="R122" s="26">
        <f>总纲!D122</f>
        <v>3564.7751072609281</v>
      </c>
      <c r="S122" s="26">
        <f>求节点(将星点产出!$W$6:$W$44,将星点产出!$AO$6:$AO$44,星阵点亮!$Q122)</f>
        <v>986220.96312487614</v>
      </c>
      <c r="T122" s="26">
        <f t="shared" si="87"/>
        <v>59</v>
      </c>
      <c r="U122" s="26">
        <f>总纲!E122</f>
        <v>3030.4153186825147</v>
      </c>
      <c r="V122" s="26">
        <f>求节点(将星点产出!$W$51:$W$89,将星点产出!$AO$51:$AO$89,星阵点亮!$Q122)</f>
        <v>997350</v>
      </c>
      <c r="W122" s="26">
        <f t="shared" si="88"/>
        <v>59</v>
      </c>
      <c r="X122" s="26">
        <f>总纲!F122</f>
        <v>2426.1859380017877</v>
      </c>
      <c r="Y122" s="26">
        <f>求节点(将星点产出!$W$96:$W$134,将星点产出!$AO$96:$AO$134,星阵点亮!$Q122)</f>
        <v>997350</v>
      </c>
      <c r="Z122" s="26">
        <f t="shared" si="89"/>
        <v>59</v>
      </c>
      <c r="AA122" s="26">
        <f>总纲!G122</f>
        <v>1737.4713872789764</v>
      </c>
      <c r="AB122" s="26">
        <f>求节点(将星点产出!$W$141:$W$179,将星点产出!$AO$141:$AO$179,星阵点亮!$Q122)</f>
        <v>1304550</v>
      </c>
      <c r="AC122" s="26">
        <f t="shared" si="90"/>
        <v>66</v>
      </c>
      <c r="AD122" s="26">
        <f>总纲!H122</f>
        <v>936.10994316671975</v>
      </c>
      <c r="AE122" s="26">
        <f>求节点(将星点产出!$W$186:$W$224,将星点产出!$AO$186:$AO$224,星阵点亮!$Q122)</f>
        <v>1304550</v>
      </c>
      <c r="AF122" s="26">
        <f t="shared" si="91"/>
        <v>66</v>
      </c>
      <c r="AG122" s="26">
        <f t="shared" si="140"/>
        <v>1.5</v>
      </c>
      <c r="AH122" s="26">
        <f t="shared" si="140"/>
        <v>1.5</v>
      </c>
      <c r="AI122" s="26">
        <f t="shared" si="140"/>
        <v>1.5</v>
      </c>
      <c r="AJ122" s="26">
        <f t="shared" si="140"/>
        <v>1.5</v>
      </c>
      <c r="AK122" s="26">
        <f t="shared" si="140"/>
        <v>1.5</v>
      </c>
      <c r="AL122" s="26">
        <f t="shared" si="140"/>
        <v>0.05</v>
      </c>
      <c r="AM122" s="26">
        <f t="shared" si="140"/>
        <v>1</v>
      </c>
      <c r="AN122" s="26">
        <f t="shared" si="140"/>
        <v>1</v>
      </c>
      <c r="AO122" s="26">
        <f t="shared" si="140"/>
        <v>1</v>
      </c>
      <c r="AP122" s="26">
        <f t="shared" si="140"/>
        <v>1</v>
      </c>
      <c r="AQ122" s="26">
        <f t="shared" si="141"/>
        <v>1</v>
      </c>
      <c r="AR122" s="26">
        <f t="shared" si="141"/>
        <v>0.2</v>
      </c>
      <c r="AS122" s="26">
        <f t="shared" si="141"/>
        <v>0.2</v>
      </c>
      <c r="AT122" s="26">
        <f t="shared" si="141"/>
        <v>0.2</v>
      </c>
      <c r="AU122" s="26">
        <f t="shared" si="141"/>
        <v>0.2</v>
      </c>
      <c r="AV122" s="26">
        <f t="shared" si="141"/>
        <v>0.2</v>
      </c>
      <c r="AW122" s="26">
        <f t="shared" si="141"/>
        <v>0.1</v>
      </c>
      <c r="AX122" s="26">
        <f t="shared" si="141"/>
        <v>0.05</v>
      </c>
      <c r="AY122" s="26">
        <f t="shared" si="141"/>
        <v>0.05</v>
      </c>
      <c r="AZ122" s="26">
        <f t="shared" si="141"/>
        <v>0.05</v>
      </c>
      <c r="BA122" s="26">
        <f t="shared" si="141"/>
        <v>0.05</v>
      </c>
      <c r="BB122" s="26">
        <f t="shared" si="141"/>
        <v>2.5000000000000001E-2</v>
      </c>
      <c r="BC122" s="26">
        <f t="shared" si="142"/>
        <v>1.5</v>
      </c>
      <c r="BD122" s="26">
        <f t="shared" si="142"/>
        <v>1.5</v>
      </c>
      <c r="BE122" s="26">
        <f t="shared" si="142"/>
        <v>1.5</v>
      </c>
      <c r="BF122" s="26">
        <f t="shared" si="142"/>
        <v>1.5</v>
      </c>
      <c r="BG122" s="26">
        <f t="shared" si="142"/>
        <v>1.5</v>
      </c>
      <c r="BH122" s="26">
        <f t="shared" si="142"/>
        <v>0.05</v>
      </c>
      <c r="BI122" s="26">
        <f t="shared" si="142"/>
        <v>1</v>
      </c>
      <c r="BJ122" s="26">
        <f t="shared" si="142"/>
        <v>1</v>
      </c>
      <c r="BK122" s="26">
        <f t="shared" si="142"/>
        <v>1</v>
      </c>
      <c r="BL122" s="26">
        <f t="shared" si="142"/>
        <v>1</v>
      </c>
      <c r="BM122" s="26">
        <f t="shared" si="143"/>
        <v>1</v>
      </c>
      <c r="BN122" s="26">
        <f t="shared" si="143"/>
        <v>0.2</v>
      </c>
      <c r="BO122" s="26">
        <f t="shared" si="143"/>
        <v>0.2</v>
      </c>
      <c r="BP122" s="26">
        <f t="shared" si="143"/>
        <v>0.2</v>
      </c>
      <c r="BQ122" s="26">
        <f t="shared" si="143"/>
        <v>0.2</v>
      </c>
      <c r="BR122" s="26">
        <f t="shared" si="143"/>
        <v>0.2</v>
      </c>
      <c r="BS122" s="26">
        <f t="shared" si="143"/>
        <v>0.1</v>
      </c>
      <c r="BT122" s="26">
        <f t="shared" si="143"/>
        <v>0.05</v>
      </c>
      <c r="BU122" s="26">
        <f t="shared" si="143"/>
        <v>0.05</v>
      </c>
      <c r="BV122" s="26">
        <f t="shared" si="143"/>
        <v>0.05</v>
      </c>
      <c r="BW122" s="26">
        <f t="shared" si="143"/>
        <v>0.05</v>
      </c>
      <c r="BX122" s="26">
        <f t="shared" si="143"/>
        <v>2.5000000000000001E-2</v>
      </c>
      <c r="BY122" s="26">
        <f t="shared" si="144"/>
        <v>1.5</v>
      </c>
      <c r="BZ122" s="26">
        <f t="shared" si="144"/>
        <v>1.5</v>
      </c>
      <c r="CA122" s="26">
        <f t="shared" si="144"/>
        <v>1.5</v>
      </c>
      <c r="CB122" s="26">
        <f t="shared" si="144"/>
        <v>1.5</v>
      </c>
      <c r="CC122" s="26">
        <f t="shared" si="144"/>
        <v>1.5</v>
      </c>
      <c r="CD122" s="26">
        <f t="shared" si="144"/>
        <v>0.05</v>
      </c>
      <c r="CE122" s="26">
        <f t="shared" si="144"/>
        <v>1</v>
      </c>
      <c r="CF122" s="26">
        <f t="shared" si="144"/>
        <v>1</v>
      </c>
      <c r="CG122" s="26">
        <f t="shared" si="144"/>
        <v>1</v>
      </c>
      <c r="CH122" s="26">
        <f t="shared" si="144"/>
        <v>1</v>
      </c>
      <c r="CI122" s="26">
        <f t="shared" si="145"/>
        <v>1</v>
      </c>
      <c r="CJ122" s="26">
        <f t="shared" si="145"/>
        <v>0.2</v>
      </c>
      <c r="CK122" s="26">
        <f t="shared" si="145"/>
        <v>0.2</v>
      </c>
      <c r="CL122" s="26">
        <f t="shared" si="145"/>
        <v>0.2</v>
      </c>
      <c r="CM122" s="26">
        <f t="shared" si="145"/>
        <v>0.2</v>
      </c>
      <c r="CN122" s="26">
        <f t="shared" si="145"/>
        <v>0.2</v>
      </c>
      <c r="CO122" s="26">
        <f t="shared" si="145"/>
        <v>0.1</v>
      </c>
      <c r="CP122" s="26">
        <f t="shared" si="145"/>
        <v>0.05</v>
      </c>
      <c r="CQ122" s="26">
        <f t="shared" si="145"/>
        <v>0.05</v>
      </c>
      <c r="CR122" s="26">
        <f t="shared" si="145"/>
        <v>0.05</v>
      </c>
      <c r="CS122" s="26">
        <f t="shared" si="145"/>
        <v>0.05</v>
      </c>
      <c r="CT122" s="26">
        <f t="shared" si="145"/>
        <v>2.5000000000000001E-2</v>
      </c>
      <c r="CU122" s="26">
        <f t="shared" si="146"/>
        <v>1.5</v>
      </c>
      <c r="CV122" s="26">
        <f t="shared" si="146"/>
        <v>1.5</v>
      </c>
      <c r="CW122" s="26">
        <f t="shared" si="146"/>
        <v>1.5</v>
      </c>
      <c r="CX122" s="26">
        <f t="shared" si="146"/>
        <v>1.5</v>
      </c>
      <c r="CY122" s="26">
        <f t="shared" si="146"/>
        <v>1.5</v>
      </c>
      <c r="CZ122" s="26">
        <f t="shared" si="146"/>
        <v>0.1</v>
      </c>
      <c r="DA122" s="26">
        <f t="shared" si="146"/>
        <v>1</v>
      </c>
      <c r="DB122" s="26">
        <f t="shared" si="146"/>
        <v>1</v>
      </c>
      <c r="DC122" s="26">
        <f t="shared" si="146"/>
        <v>1</v>
      </c>
      <c r="DD122" s="26">
        <f t="shared" si="146"/>
        <v>1</v>
      </c>
      <c r="DE122" s="26">
        <f t="shared" si="147"/>
        <v>1</v>
      </c>
      <c r="DF122" s="26">
        <f t="shared" si="147"/>
        <v>0.2</v>
      </c>
      <c r="DG122" s="26">
        <f t="shared" si="147"/>
        <v>0.2</v>
      </c>
      <c r="DH122" s="26">
        <f t="shared" si="147"/>
        <v>0.2</v>
      </c>
      <c r="DI122" s="26">
        <f t="shared" si="147"/>
        <v>0.2</v>
      </c>
      <c r="DJ122" s="26">
        <f t="shared" si="147"/>
        <v>0.2</v>
      </c>
      <c r="DK122" s="26">
        <f t="shared" si="147"/>
        <v>0.1</v>
      </c>
      <c r="DL122" s="26">
        <f t="shared" si="147"/>
        <v>0.1</v>
      </c>
      <c r="DM122" s="26">
        <f t="shared" si="147"/>
        <v>0.1</v>
      </c>
      <c r="DN122" s="26">
        <f t="shared" si="147"/>
        <v>0.05</v>
      </c>
      <c r="DO122" s="26">
        <f t="shared" si="147"/>
        <v>0.05</v>
      </c>
      <c r="DP122" s="26">
        <f t="shared" si="147"/>
        <v>0.05</v>
      </c>
      <c r="DQ122" s="26">
        <f t="shared" si="148"/>
        <v>1.5</v>
      </c>
      <c r="DR122" s="26">
        <f t="shared" si="148"/>
        <v>1.5</v>
      </c>
      <c r="DS122" s="26">
        <f t="shared" si="148"/>
        <v>1.5</v>
      </c>
      <c r="DT122" s="26">
        <f t="shared" si="148"/>
        <v>1.5</v>
      </c>
      <c r="DU122" s="26">
        <f t="shared" si="148"/>
        <v>1.5</v>
      </c>
      <c r="DV122" s="26">
        <f t="shared" si="148"/>
        <v>0.1</v>
      </c>
      <c r="DW122" s="26">
        <f t="shared" si="148"/>
        <v>1</v>
      </c>
      <c r="DX122" s="26">
        <f t="shared" si="148"/>
        <v>1</v>
      </c>
      <c r="DY122" s="26">
        <f t="shared" si="148"/>
        <v>1</v>
      </c>
      <c r="DZ122" s="26">
        <f t="shared" si="148"/>
        <v>1</v>
      </c>
      <c r="EA122" s="26">
        <f t="shared" si="149"/>
        <v>1</v>
      </c>
      <c r="EB122" s="26">
        <f t="shared" si="149"/>
        <v>0.2</v>
      </c>
      <c r="EC122" s="26">
        <f t="shared" si="149"/>
        <v>0.2</v>
      </c>
      <c r="ED122" s="26">
        <f t="shared" si="149"/>
        <v>0.2</v>
      </c>
      <c r="EE122" s="26">
        <f t="shared" si="149"/>
        <v>0.2</v>
      </c>
      <c r="EF122" s="26">
        <f t="shared" si="149"/>
        <v>0.2</v>
      </c>
      <c r="EG122" s="26">
        <f t="shared" si="149"/>
        <v>0.1</v>
      </c>
      <c r="EH122" s="26">
        <f t="shared" si="149"/>
        <v>0.1</v>
      </c>
      <c r="EI122" s="26">
        <f t="shared" si="149"/>
        <v>0.1</v>
      </c>
      <c r="EJ122" s="26">
        <f t="shared" si="149"/>
        <v>0.05</v>
      </c>
      <c r="EK122" s="26">
        <f t="shared" si="149"/>
        <v>0.05</v>
      </c>
      <c r="EL122" s="26">
        <f t="shared" si="149"/>
        <v>0.05</v>
      </c>
      <c r="EM122" s="26">
        <f t="shared" si="92"/>
        <v>589257</v>
      </c>
      <c r="EN122" s="26">
        <f t="shared" si="93"/>
        <v>589257</v>
      </c>
      <c r="EO122" s="26">
        <f t="shared" si="94"/>
        <v>589257</v>
      </c>
      <c r="EP122" s="26">
        <f t="shared" si="95"/>
        <v>771411</v>
      </c>
      <c r="EQ122" s="26">
        <f t="shared" si="96"/>
        <v>771411</v>
      </c>
    </row>
    <row r="123" spans="17:147">
      <c r="Q123" s="26">
        <v>119</v>
      </c>
      <c r="R123" s="26">
        <f>总纲!D123</f>
        <v>3820.7031333347636</v>
      </c>
      <c r="S123" s="26">
        <f>求节点(将星点产出!$W$6:$W$44,将星点产出!$AO$6:$AO$44,星阵点亮!$Q123)</f>
        <v>989934.17398317601</v>
      </c>
      <c r="T123" s="26">
        <f t="shared" si="87"/>
        <v>59</v>
      </c>
      <c r="U123" s="26">
        <f>总纲!E123</f>
        <v>3250.2721555278836</v>
      </c>
      <c r="V123" s="26">
        <f>求节点(将星点产出!$W$51:$W$89,将星点产出!$AO$51:$AO$89,星阵点亮!$Q123)</f>
        <v>997350</v>
      </c>
      <c r="W123" s="26">
        <f t="shared" si="88"/>
        <v>59</v>
      </c>
      <c r="X123" s="26">
        <f>总纲!F123</f>
        <v>2604.5733259943081</v>
      </c>
      <c r="Y123" s="26">
        <f>求节点(将星点产出!$W$96:$W$134,将星点产出!$AO$96:$AO$134,星阵点亮!$Q123)</f>
        <v>997350</v>
      </c>
      <c r="Z123" s="26">
        <f t="shared" si="89"/>
        <v>59</v>
      </c>
      <c r="AA123" s="26">
        <f>总纲!G123</f>
        <v>1863.3569181273642</v>
      </c>
      <c r="AB123" s="26">
        <f>求节点(将星点产出!$W$141:$W$179,将星点产出!$AO$141:$AO$179,星阵点亮!$Q123)</f>
        <v>1304550</v>
      </c>
      <c r="AC123" s="26">
        <f t="shared" si="90"/>
        <v>66</v>
      </c>
      <c r="AD123" s="26">
        <f>总纲!H123</f>
        <v>1000.260080307041</v>
      </c>
      <c r="AE123" s="26">
        <f>求节点(将星点产出!$W$186:$W$224,将星点产出!$AO$186:$AO$224,星阵点亮!$Q123)</f>
        <v>1304550</v>
      </c>
      <c r="AF123" s="26">
        <f t="shared" si="91"/>
        <v>66</v>
      </c>
      <c r="AG123" s="26">
        <f t="shared" si="140"/>
        <v>1.5</v>
      </c>
      <c r="AH123" s="26">
        <f t="shared" si="140"/>
        <v>1.5</v>
      </c>
      <c r="AI123" s="26">
        <f t="shared" si="140"/>
        <v>1.5</v>
      </c>
      <c r="AJ123" s="26">
        <f t="shared" si="140"/>
        <v>1.5</v>
      </c>
      <c r="AK123" s="26">
        <f t="shared" si="140"/>
        <v>1.5</v>
      </c>
      <c r="AL123" s="26">
        <f t="shared" si="140"/>
        <v>0.05</v>
      </c>
      <c r="AM123" s="26">
        <f t="shared" si="140"/>
        <v>1</v>
      </c>
      <c r="AN123" s="26">
        <f t="shared" si="140"/>
        <v>1</v>
      </c>
      <c r="AO123" s="26">
        <f t="shared" si="140"/>
        <v>1</v>
      </c>
      <c r="AP123" s="26">
        <f t="shared" si="140"/>
        <v>1</v>
      </c>
      <c r="AQ123" s="26">
        <f t="shared" si="141"/>
        <v>1</v>
      </c>
      <c r="AR123" s="26">
        <f t="shared" si="141"/>
        <v>0.2</v>
      </c>
      <c r="AS123" s="26">
        <f t="shared" si="141"/>
        <v>0.2</v>
      </c>
      <c r="AT123" s="26">
        <f t="shared" si="141"/>
        <v>0.2</v>
      </c>
      <c r="AU123" s="26">
        <f t="shared" si="141"/>
        <v>0.2</v>
      </c>
      <c r="AV123" s="26">
        <f t="shared" si="141"/>
        <v>0.2</v>
      </c>
      <c r="AW123" s="26">
        <f t="shared" si="141"/>
        <v>0.1</v>
      </c>
      <c r="AX123" s="26">
        <f t="shared" si="141"/>
        <v>0.05</v>
      </c>
      <c r="AY123" s="26">
        <f t="shared" si="141"/>
        <v>0.05</v>
      </c>
      <c r="AZ123" s="26">
        <f t="shared" si="141"/>
        <v>0.05</v>
      </c>
      <c r="BA123" s="26">
        <f t="shared" si="141"/>
        <v>0.05</v>
      </c>
      <c r="BB123" s="26">
        <f t="shared" si="141"/>
        <v>2.5000000000000001E-2</v>
      </c>
      <c r="BC123" s="26">
        <f t="shared" si="142"/>
        <v>1.5</v>
      </c>
      <c r="BD123" s="26">
        <f t="shared" si="142"/>
        <v>1.5</v>
      </c>
      <c r="BE123" s="26">
        <f t="shared" si="142"/>
        <v>1.5</v>
      </c>
      <c r="BF123" s="26">
        <f t="shared" si="142"/>
        <v>1.5</v>
      </c>
      <c r="BG123" s="26">
        <f t="shared" si="142"/>
        <v>1.5</v>
      </c>
      <c r="BH123" s="26">
        <f t="shared" si="142"/>
        <v>0.05</v>
      </c>
      <c r="BI123" s="26">
        <f t="shared" si="142"/>
        <v>1</v>
      </c>
      <c r="BJ123" s="26">
        <f t="shared" si="142"/>
        <v>1</v>
      </c>
      <c r="BK123" s="26">
        <f t="shared" si="142"/>
        <v>1</v>
      </c>
      <c r="BL123" s="26">
        <f t="shared" si="142"/>
        <v>1</v>
      </c>
      <c r="BM123" s="26">
        <f t="shared" si="143"/>
        <v>1</v>
      </c>
      <c r="BN123" s="26">
        <f t="shared" si="143"/>
        <v>0.2</v>
      </c>
      <c r="BO123" s="26">
        <f t="shared" si="143"/>
        <v>0.2</v>
      </c>
      <c r="BP123" s="26">
        <f t="shared" si="143"/>
        <v>0.2</v>
      </c>
      <c r="BQ123" s="26">
        <f t="shared" si="143"/>
        <v>0.2</v>
      </c>
      <c r="BR123" s="26">
        <f t="shared" si="143"/>
        <v>0.2</v>
      </c>
      <c r="BS123" s="26">
        <f t="shared" si="143"/>
        <v>0.1</v>
      </c>
      <c r="BT123" s="26">
        <f t="shared" si="143"/>
        <v>0.05</v>
      </c>
      <c r="BU123" s="26">
        <f t="shared" si="143"/>
        <v>0.05</v>
      </c>
      <c r="BV123" s="26">
        <f t="shared" si="143"/>
        <v>0.05</v>
      </c>
      <c r="BW123" s="26">
        <f t="shared" si="143"/>
        <v>0.05</v>
      </c>
      <c r="BX123" s="26">
        <f t="shared" si="143"/>
        <v>2.5000000000000001E-2</v>
      </c>
      <c r="BY123" s="26">
        <f t="shared" si="144"/>
        <v>1.5</v>
      </c>
      <c r="BZ123" s="26">
        <f t="shared" si="144"/>
        <v>1.5</v>
      </c>
      <c r="CA123" s="26">
        <f t="shared" si="144"/>
        <v>1.5</v>
      </c>
      <c r="CB123" s="26">
        <f t="shared" si="144"/>
        <v>1.5</v>
      </c>
      <c r="CC123" s="26">
        <f t="shared" si="144"/>
        <v>1.5</v>
      </c>
      <c r="CD123" s="26">
        <f t="shared" si="144"/>
        <v>0.05</v>
      </c>
      <c r="CE123" s="26">
        <f t="shared" si="144"/>
        <v>1</v>
      </c>
      <c r="CF123" s="26">
        <f t="shared" si="144"/>
        <v>1</v>
      </c>
      <c r="CG123" s="26">
        <f t="shared" si="144"/>
        <v>1</v>
      </c>
      <c r="CH123" s="26">
        <f t="shared" si="144"/>
        <v>1</v>
      </c>
      <c r="CI123" s="26">
        <f t="shared" si="145"/>
        <v>1</v>
      </c>
      <c r="CJ123" s="26">
        <f t="shared" si="145"/>
        <v>0.2</v>
      </c>
      <c r="CK123" s="26">
        <f t="shared" si="145"/>
        <v>0.2</v>
      </c>
      <c r="CL123" s="26">
        <f t="shared" si="145"/>
        <v>0.2</v>
      </c>
      <c r="CM123" s="26">
        <f t="shared" si="145"/>
        <v>0.2</v>
      </c>
      <c r="CN123" s="26">
        <f t="shared" si="145"/>
        <v>0.2</v>
      </c>
      <c r="CO123" s="26">
        <f t="shared" si="145"/>
        <v>0.1</v>
      </c>
      <c r="CP123" s="26">
        <f t="shared" si="145"/>
        <v>0.05</v>
      </c>
      <c r="CQ123" s="26">
        <f t="shared" si="145"/>
        <v>0.05</v>
      </c>
      <c r="CR123" s="26">
        <f t="shared" si="145"/>
        <v>0.05</v>
      </c>
      <c r="CS123" s="26">
        <f t="shared" si="145"/>
        <v>0.05</v>
      </c>
      <c r="CT123" s="26">
        <f t="shared" si="145"/>
        <v>2.5000000000000001E-2</v>
      </c>
      <c r="CU123" s="26">
        <f t="shared" si="146"/>
        <v>1.5</v>
      </c>
      <c r="CV123" s="26">
        <f t="shared" si="146"/>
        <v>1.5</v>
      </c>
      <c r="CW123" s="26">
        <f t="shared" si="146"/>
        <v>1.5</v>
      </c>
      <c r="CX123" s="26">
        <f t="shared" si="146"/>
        <v>1.5</v>
      </c>
      <c r="CY123" s="26">
        <f t="shared" si="146"/>
        <v>1.5</v>
      </c>
      <c r="CZ123" s="26">
        <f t="shared" si="146"/>
        <v>0.1</v>
      </c>
      <c r="DA123" s="26">
        <f t="shared" si="146"/>
        <v>1</v>
      </c>
      <c r="DB123" s="26">
        <f t="shared" si="146"/>
        <v>1</v>
      </c>
      <c r="DC123" s="26">
        <f t="shared" si="146"/>
        <v>1</v>
      </c>
      <c r="DD123" s="26">
        <f t="shared" si="146"/>
        <v>1</v>
      </c>
      <c r="DE123" s="26">
        <f t="shared" si="147"/>
        <v>1</v>
      </c>
      <c r="DF123" s="26">
        <f t="shared" si="147"/>
        <v>0.2</v>
      </c>
      <c r="DG123" s="26">
        <f t="shared" si="147"/>
        <v>0.2</v>
      </c>
      <c r="DH123" s="26">
        <f t="shared" si="147"/>
        <v>0.2</v>
      </c>
      <c r="DI123" s="26">
        <f t="shared" si="147"/>
        <v>0.2</v>
      </c>
      <c r="DJ123" s="26">
        <f t="shared" si="147"/>
        <v>0.2</v>
      </c>
      <c r="DK123" s="26">
        <f t="shared" si="147"/>
        <v>0.1</v>
      </c>
      <c r="DL123" s="26">
        <f t="shared" si="147"/>
        <v>0.1</v>
      </c>
      <c r="DM123" s="26">
        <f t="shared" si="147"/>
        <v>0.1</v>
      </c>
      <c r="DN123" s="26">
        <f t="shared" si="147"/>
        <v>0.05</v>
      </c>
      <c r="DO123" s="26">
        <f t="shared" si="147"/>
        <v>0.05</v>
      </c>
      <c r="DP123" s="26">
        <f t="shared" si="147"/>
        <v>0.05</v>
      </c>
      <c r="DQ123" s="26">
        <f t="shared" si="148"/>
        <v>1.5</v>
      </c>
      <c r="DR123" s="26">
        <f t="shared" si="148"/>
        <v>1.5</v>
      </c>
      <c r="DS123" s="26">
        <f t="shared" si="148"/>
        <v>1.5</v>
      </c>
      <c r="DT123" s="26">
        <f t="shared" si="148"/>
        <v>1.5</v>
      </c>
      <c r="DU123" s="26">
        <f t="shared" si="148"/>
        <v>1.5</v>
      </c>
      <c r="DV123" s="26">
        <f t="shared" si="148"/>
        <v>0.1</v>
      </c>
      <c r="DW123" s="26">
        <f t="shared" si="148"/>
        <v>1</v>
      </c>
      <c r="DX123" s="26">
        <f t="shared" si="148"/>
        <v>1</v>
      </c>
      <c r="DY123" s="26">
        <f t="shared" si="148"/>
        <v>1</v>
      </c>
      <c r="DZ123" s="26">
        <f t="shared" si="148"/>
        <v>1</v>
      </c>
      <c r="EA123" s="26">
        <f t="shared" si="149"/>
        <v>1</v>
      </c>
      <c r="EB123" s="26">
        <f t="shared" si="149"/>
        <v>0.2</v>
      </c>
      <c r="EC123" s="26">
        <f t="shared" si="149"/>
        <v>0.2</v>
      </c>
      <c r="ED123" s="26">
        <f t="shared" si="149"/>
        <v>0.2</v>
      </c>
      <c r="EE123" s="26">
        <f t="shared" si="149"/>
        <v>0.2</v>
      </c>
      <c r="EF123" s="26">
        <f t="shared" si="149"/>
        <v>0.2</v>
      </c>
      <c r="EG123" s="26">
        <f t="shared" si="149"/>
        <v>0.1</v>
      </c>
      <c r="EH123" s="26">
        <f t="shared" si="149"/>
        <v>0.1</v>
      </c>
      <c r="EI123" s="26">
        <f t="shared" si="149"/>
        <v>0.1</v>
      </c>
      <c r="EJ123" s="26">
        <f t="shared" si="149"/>
        <v>0.05</v>
      </c>
      <c r="EK123" s="26">
        <f t="shared" si="149"/>
        <v>0.05</v>
      </c>
      <c r="EL123" s="26">
        <f t="shared" si="149"/>
        <v>0.05</v>
      </c>
      <c r="EM123" s="26">
        <f t="shared" si="92"/>
        <v>589257</v>
      </c>
      <c r="EN123" s="26">
        <f t="shared" si="93"/>
        <v>589257</v>
      </c>
      <c r="EO123" s="26">
        <f t="shared" si="94"/>
        <v>589257</v>
      </c>
      <c r="EP123" s="26">
        <f t="shared" si="95"/>
        <v>771411</v>
      </c>
      <c r="EQ123" s="26">
        <f t="shared" si="96"/>
        <v>771411</v>
      </c>
    </row>
    <row r="124" spans="17:147">
      <c r="Q124" s="26">
        <v>120</v>
      </c>
      <c r="R124" s="26">
        <f>总纲!D124</f>
        <v>4095</v>
      </c>
      <c r="S124" s="26">
        <f>求节点(将星点产出!$W$6:$W$44,将星点产出!$AO$6:$AO$44,星阵点亮!$Q124)</f>
        <v>992925.28612426808</v>
      </c>
      <c r="T124" s="26">
        <f t="shared" si="87"/>
        <v>59</v>
      </c>
      <c r="U124" s="26">
        <f>总纲!E124</f>
        <v>3486.0735</v>
      </c>
      <c r="V124" s="26">
        <f>求节点(将星点产出!$W$51:$W$89,将星点产出!$AO$51:$AO$89,星阵点亮!$Q124)</f>
        <v>997350</v>
      </c>
      <c r="W124" s="26">
        <f t="shared" si="88"/>
        <v>59</v>
      </c>
      <c r="X124" s="26">
        <f>总纲!F124</f>
        <v>2791.971</v>
      </c>
      <c r="Y124" s="26">
        <f>求节点(将星点产出!$W$96:$W$134,将星点产出!$AO$96:$AO$134,星阵点亮!$Q124)</f>
        <v>997350</v>
      </c>
      <c r="Z124" s="26">
        <f t="shared" si="89"/>
        <v>59</v>
      </c>
      <c r="AA124" s="26">
        <f>总纲!G124</f>
        <v>1988.5319999999999</v>
      </c>
      <c r="AB124" s="26">
        <f>求节点(将星点产出!$W$141:$W$179,将星点产出!$AO$141:$AO$179,星阵点亮!$Q124)</f>
        <v>1304550</v>
      </c>
      <c r="AC124" s="26">
        <f t="shared" si="90"/>
        <v>66</v>
      </c>
      <c r="AD124" s="26">
        <f>总纲!H124</f>
        <v>1067.9759999999999</v>
      </c>
      <c r="AE124" s="26">
        <f>求节点(将星点产出!$W$186:$W$224,将星点产出!$AO$186:$AO$224,星阵点亮!$Q124)</f>
        <v>1304550</v>
      </c>
      <c r="AF124" s="26">
        <f t="shared" si="91"/>
        <v>66</v>
      </c>
      <c r="AG124" s="26">
        <f t="shared" si="140"/>
        <v>1.5</v>
      </c>
      <c r="AH124" s="26">
        <f t="shared" si="140"/>
        <v>1.5</v>
      </c>
      <c r="AI124" s="26">
        <f t="shared" si="140"/>
        <v>1.5</v>
      </c>
      <c r="AJ124" s="26">
        <f t="shared" si="140"/>
        <v>1.5</v>
      </c>
      <c r="AK124" s="26">
        <f t="shared" si="140"/>
        <v>1.5</v>
      </c>
      <c r="AL124" s="26">
        <f t="shared" si="140"/>
        <v>0.05</v>
      </c>
      <c r="AM124" s="26">
        <f t="shared" si="140"/>
        <v>1</v>
      </c>
      <c r="AN124" s="26">
        <f t="shared" si="140"/>
        <v>1</v>
      </c>
      <c r="AO124" s="26">
        <f t="shared" si="140"/>
        <v>1</v>
      </c>
      <c r="AP124" s="26">
        <f t="shared" si="140"/>
        <v>1</v>
      </c>
      <c r="AQ124" s="26">
        <f t="shared" si="141"/>
        <v>1</v>
      </c>
      <c r="AR124" s="26">
        <f t="shared" si="141"/>
        <v>0.2</v>
      </c>
      <c r="AS124" s="26">
        <f t="shared" si="141"/>
        <v>0.2</v>
      </c>
      <c r="AT124" s="26">
        <f t="shared" si="141"/>
        <v>0.2</v>
      </c>
      <c r="AU124" s="26">
        <f t="shared" si="141"/>
        <v>0.2</v>
      </c>
      <c r="AV124" s="26">
        <f t="shared" si="141"/>
        <v>0.2</v>
      </c>
      <c r="AW124" s="26">
        <f t="shared" si="141"/>
        <v>0.1</v>
      </c>
      <c r="AX124" s="26">
        <f t="shared" si="141"/>
        <v>0.05</v>
      </c>
      <c r="AY124" s="26">
        <f t="shared" si="141"/>
        <v>0.05</v>
      </c>
      <c r="AZ124" s="26">
        <f t="shared" si="141"/>
        <v>0.05</v>
      </c>
      <c r="BA124" s="26">
        <f t="shared" si="141"/>
        <v>0.05</v>
      </c>
      <c r="BB124" s="26">
        <f t="shared" si="141"/>
        <v>2.5000000000000001E-2</v>
      </c>
      <c r="BC124" s="26">
        <f t="shared" si="142"/>
        <v>1.5</v>
      </c>
      <c r="BD124" s="26">
        <f t="shared" si="142"/>
        <v>1.5</v>
      </c>
      <c r="BE124" s="26">
        <f t="shared" si="142"/>
        <v>1.5</v>
      </c>
      <c r="BF124" s="26">
        <f t="shared" si="142"/>
        <v>1.5</v>
      </c>
      <c r="BG124" s="26">
        <f t="shared" si="142"/>
        <v>1.5</v>
      </c>
      <c r="BH124" s="26">
        <f t="shared" si="142"/>
        <v>0.05</v>
      </c>
      <c r="BI124" s="26">
        <f t="shared" si="142"/>
        <v>1</v>
      </c>
      <c r="BJ124" s="26">
        <f t="shared" si="142"/>
        <v>1</v>
      </c>
      <c r="BK124" s="26">
        <f t="shared" si="142"/>
        <v>1</v>
      </c>
      <c r="BL124" s="26">
        <f t="shared" si="142"/>
        <v>1</v>
      </c>
      <c r="BM124" s="26">
        <f t="shared" si="143"/>
        <v>1</v>
      </c>
      <c r="BN124" s="26">
        <f t="shared" si="143"/>
        <v>0.2</v>
      </c>
      <c r="BO124" s="26">
        <f t="shared" si="143"/>
        <v>0.2</v>
      </c>
      <c r="BP124" s="26">
        <f t="shared" si="143"/>
        <v>0.2</v>
      </c>
      <c r="BQ124" s="26">
        <f t="shared" si="143"/>
        <v>0.2</v>
      </c>
      <c r="BR124" s="26">
        <f t="shared" si="143"/>
        <v>0.2</v>
      </c>
      <c r="BS124" s="26">
        <f t="shared" si="143"/>
        <v>0.1</v>
      </c>
      <c r="BT124" s="26">
        <f t="shared" si="143"/>
        <v>0.05</v>
      </c>
      <c r="BU124" s="26">
        <f t="shared" si="143"/>
        <v>0.05</v>
      </c>
      <c r="BV124" s="26">
        <f t="shared" si="143"/>
        <v>0.05</v>
      </c>
      <c r="BW124" s="26">
        <f t="shared" si="143"/>
        <v>0.05</v>
      </c>
      <c r="BX124" s="26">
        <f t="shared" si="143"/>
        <v>2.5000000000000001E-2</v>
      </c>
      <c r="BY124" s="26">
        <f t="shared" si="144"/>
        <v>1.5</v>
      </c>
      <c r="BZ124" s="26">
        <f t="shared" si="144"/>
        <v>1.5</v>
      </c>
      <c r="CA124" s="26">
        <f t="shared" si="144"/>
        <v>1.5</v>
      </c>
      <c r="CB124" s="26">
        <f t="shared" si="144"/>
        <v>1.5</v>
      </c>
      <c r="CC124" s="26">
        <f t="shared" si="144"/>
        <v>1.5</v>
      </c>
      <c r="CD124" s="26">
        <f t="shared" si="144"/>
        <v>0.05</v>
      </c>
      <c r="CE124" s="26">
        <f t="shared" si="144"/>
        <v>1</v>
      </c>
      <c r="CF124" s="26">
        <f t="shared" si="144"/>
        <v>1</v>
      </c>
      <c r="CG124" s="26">
        <f t="shared" si="144"/>
        <v>1</v>
      </c>
      <c r="CH124" s="26">
        <f t="shared" si="144"/>
        <v>1</v>
      </c>
      <c r="CI124" s="26">
        <f t="shared" si="145"/>
        <v>1</v>
      </c>
      <c r="CJ124" s="26">
        <f t="shared" si="145"/>
        <v>0.2</v>
      </c>
      <c r="CK124" s="26">
        <f t="shared" si="145"/>
        <v>0.2</v>
      </c>
      <c r="CL124" s="26">
        <f t="shared" si="145"/>
        <v>0.2</v>
      </c>
      <c r="CM124" s="26">
        <f t="shared" si="145"/>
        <v>0.2</v>
      </c>
      <c r="CN124" s="26">
        <f t="shared" si="145"/>
        <v>0.2</v>
      </c>
      <c r="CO124" s="26">
        <f t="shared" si="145"/>
        <v>0.1</v>
      </c>
      <c r="CP124" s="26">
        <f t="shared" si="145"/>
        <v>0.05</v>
      </c>
      <c r="CQ124" s="26">
        <f t="shared" si="145"/>
        <v>0.05</v>
      </c>
      <c r="CR124" s="26">
        <f t="shared" si="145"/>
        <v>0.05</v>
      </c>
      <c r="CS124" s="26">
        <f t="shared" si="145"/>
        <v>0.05</v>
      </c>
      <c r="CT124" s="26">
        <f t="shared" si="145"/>
        <v>2.5000000000000001E-2</v>
      </c>
      <c r="CU124" s="26">
        <f t="shared" si="146"/>
        <v>1.5</v>
      </c>
      <c r="CV124" s="26">
        <f t="shared" si="146"/>
        <v>1.5</v>
      </c>
      <c r="CW124" s="26">
        <f t="shared" si="146"/>
        <v>1.5</v>
      </c>
      <c r="CX124" s="26">
        <f t="shared" si="146"/>
        <v>1.5</v>
      </c>
      <c r="CY124" s="26">
        <f t="shared" si="146"/>
        <v>1.5</v>
      </c>
      <c r="CZ124" s="26">
        <f t="shared" si="146"/>
        <v>0.1</v>
      </c>
      <c r="DA124" s="26">
        <f t="shared" si="146"/>
        <v>1</v>
      </c>
      <c r="DB124" s="26">
        <f t="shared" si="146"/>
        <v>1</v>
      </c>
      <c r="DC124" s="26">
        <f t="shared" si="146"/>
        <v>1</v>
      </c>
      <c r="DD124" s="26">
        <f t="shared" si="146"/>
        <v>1</v>
      </c>
      <c r="DE124" s="26">
        <f t="shared" si="147"/>
        <v>1</v>
      </c>
      <c r="DF124" s="26">
        <f t="shared" si="147"/>
        <v>0.2</v>
      </c>
      <c r="DG124" s="26">
        <f t="shared" si="147"/>
        <v>0.2</v>
      </c>
      <c r="DH124" s="26">
        <f t="shared" si="147"/>
        <v>0.2</v>
      </c>
      <c r="DI124" s="26">
        <f t="shared" si="147"/>
        <v>0.2</v>
      </c>
      <c r="DJ124" s="26">
        <f t="shared" si="147"/>
        <v>0.2</v>
      </c>
      <c r="DK124" s="26">
        <f t="shared" si="147"/>
        <v>0.1</v>
      </c>
      <c r="DL124" s="26">
        <f t="shared" si="147"/>
        <v>0.1</v>
      </c>
      <c r="DM124" s="26">
        <f t="shared" si="147"/>
        <v>0.1</v>
      </c>
      <c r="DN124" s="26">
        <f t="shared" si="147"/>
        <v>0.05</v>
      </c>
      <c r="DO124" s="26">
        <f t="shared" si="147"/>
        <v>0.05</v>
      </c>
      <c r="DP124" s="26">
        <f t="shared" si="147"/>
        <v>0.05</v>
      </c>
      <c r="DQ124" s="26">
        <f t="shared" si="148"/>
        <v>1.5</v>
      </c>
      <c r="DR124" s="26">
        <f t="shared" si="148"/>
        <v>1.5</v>
      </c>
      <c r="DS124" s="26">
        <f t="shared" si="148"/>
        <v>1.5</v>
      </c>
      <c r="DT124" s="26">
        <f t="shared" si="148"/>
        <v>1.5</v>
      </c>
      <c r="DU124" s="26">
        <f t="shared" si="148"/>
        <v>1.5</v>
      </c>
      <c r="DV124" s="26">
        <f t="shared" si="148"/>
        <v>0.1</v>
      </c>
      <c r="DW124" s="26">
        <f t="shared" si="148"/>
        <v>1</v>
      </c>
      <c r="DX124" s="26">
        <f t="shared" si="148"/>
        <v>1</v>
      </c>
      <c r="DY124" s="26">
        <f t="shared" si="148"/>
        <v>1</v>
      </c>
      <c r="DZ124" s="26">
        <f t="shared" si="148"/>
        <v>1</v>
      </c>
      <c r="EA124" s="26">
        <f t="shared" si="149"/>
        <v>1</v>
      </c>
      <c r="EB124" s="26">
        <f t="shared" si="149"/>
        <v>0.2</v>
      </c>
      <c r="EC124" s="26">
        <f t="shared" si="149"/>
        <v>0.2</v>
      </c>
      <c r="ED124" s="26">
        <f t="shared" si="149"/>
        <v>0.2</v>
      </c>
      <c r="EE124" s="26">
        <f t="shared" si="149"/>
        <v>0.2</v>
      </c>
      <c r="EF124" s="26">
        <f t="shared" si="149"/>
        <v>0.2</v>
      </c>
      <c r="EG124" s="26">
        <f t="shared" si="149"/>
        <v>0.1</v>
      </c>
      <c r="EH124" s="26">
        <f t="shared" si="149"/>
        <v>0.1</v>
      </c>
      <c r="EI124" s="26">
        <f t="shared" si="149"/>
        <v>0.1</v>
      </c>
      <c r="EJ124" s="26">
        <f t="shared" si="149"/>
        <v>0.05</v>
      </c>
      <c r="EK124" s="26">
        <f t="shared" si="149"/>
        <v>0.05</v>
      </c>
      <c r="EL124" s="26">
        <f t="shared" si="149"/>
        <v>0.05</v>
      </c>
      <c r="EM124" s="26">
        <f t="shared" si="92"/>
        <v>589257</v>
      </c>
      <c r="EN124" s="26">
        <f t="shared" si="93"/>
        <v>589257</v>
      </c>
      <c r="EO124" s="26">
        <f t="shared" si="94"/>
        <v>589257</v>
      </c>
      <c r="EP124" s="26">
        <f t="shared" si="95"/>
        <v>771411</v>
      </c>
      <c r="EQ124" s="26">
        <f t="shared" si="96"/>
        <v>771411</v>
      </c>
    </row>
    <row r="125" spans="17:147">
      <c r="Q125" s="26">
        <v>121</v>
      </c>
      <c r="R125" s="26">
        <f>总纲!D125</f>
        <v>4388.9841025486576</v>
      </c>
      <c r="S125" s="26">
        <f>求节点(将星点产出!$W$6:$W$44,将星点产出!$AO$6:$AO$44,星阵点亮!$Q125)</f>
        <v>995916.39826536004</v>
      </c>
      <c r="T125" s="26">
        <f t="shared" si="87"/>
        <v>59</v>
      </c>
      <c r="U125" s="26">
        <f>总纲!E125</f>
        <v>3731.5142839868686</v>
      </c>
      <c r="V125" s="26">
        <f>求节点(将星点产出!$W$51:$W$89,将星点产出!$AO$51:$AO$89,星阵点亮!$Q125)</f>
        <v>997350</v>
      </c>
      <c r="W125" s="26">
        <f t="shared" si="88"/>
        <v>59</v>
      </c>
      <c r="X125" s="26">
        <f>总纲!F125</f>
        <v>2978.8035103997736</v>
      </c>
      <c r="Y125" s="26">
        <f>求节点(将星点产出!$W$96:$W$134,将星点产出!$AO$96:$AO$134,星阵点亮!$Q125)</f>
        <v>997350</v>
      </c>
      <c r="Z125" s="26">
        <f t="shared" si="89"/>
        <v>59</v>
      </c>
      <c r="AA125" s="26">
        <f>总纲!G125</f>
        <v>2122.0738135822758</v>
      </c>
      <c r="AB125" s="26">
        <f>求节点(将星点产出!$W$141:$W$179,将星点产出!$AO$141:$AO$179,星阵点亮!$Q125)</f>
        <v>1304550</v>
      </c>
      <c r="AC125" s="26">
        <f t="shared" si="90"/>
        <v>66</v>
      </c>
      <c r="AD125" s="26">
        <f>总纲!H125</f>
        <v>1143.3303587139253</v>
      </c>
      <c r="AE125" s="26">
        <f>求节点(将星点产出!$W$186:$W$224,将星点产出!$AO$186:$AO$224,星阵点亮!$Q125)</f>
        <v>1304550</v>
      </c>
      <c r="AF125" s="26">
        <f t="shared" si="91"/>
        <v>66</v>
      </c>
      <c r="AG125" s="26">
        <f t="shared" ref="AG125:AP134" si="150">SUMIFS($J$5:$J$76,$I$5:$I$76,AG$4,$H$5:$H$76,"&lt;="&amp;$T125)</f>
        <v>1.5</v>
      </c>
      <c r="AH125" s="26">
        <f t="shared" si="150"/>
        <v>1.5</v>
      </c>
      <c r="AI125" s="26">
        <f t="shared" si="150"/>
        <v>1.5</v>
      </c>
      <c r="AJ125" s="26">
        <f t="shared" si="150"/>
        <v>1.5</v>
      </c>
      <c r="AK125" s="26">
        <f t="shared" si="150"/>
        <v>1.5</v>
      </c>
      <c r="AL125" s="26">
        <f t="shared" si="150"/>
        <v>0.05</v>
      </c>
      <c r="AM125" s="26">
        <f t="shared" si="150"/>
        <v>1</v>
      </c>
      <c r="AN125" s="26">
        <f t="shared" si="150"/>
        <v>1</v>
      </c>
      <c r="AO125" s="26">
        <f t="shared" si="150"/>
        <v>1</v>
      </c>
      <c r="AP125" s="26">
        <f t="shared" si="150"/>
        <v>1</v>
      </c>
      <c r="AQ125" s="26">
        <f t="shared" ref="AQ125:BB134" si="151">SUMIFS($J$5:$J$76,$I$5:$I$76,AQ$4,$H$5:$H$76,"&lt;="&amp;$T125)</f>
        <v>1</v>
      </c>
      <c r="AR125" s="26">
        <f t="shared" si="151"/>
        <v>0.2</v>
      </c>
      <c r="AS125" s="26">
        <f t="shared" si="151"/>
        <v>0.2</v>
      </c>
      <c r="AT125" s="26">
        <f t="shared" si="151"/>
        <v>0.2</v>
      </c>
      <c r="AU125" s="26">
        <f t="shared" si="151"/>
        <v>0.2</v>
      </c>
      <c r="AV125" s="26">
        <f t="shared" si="151"/>
        <v>0.2</v>
      </c>
      <c r="AW125" s="26">
        <f t="shared" si="151"/>
        <v>0.1</v>
      </c>
      <c r="AX125" s="26">
        <f t="shared" si="151"/>
        <v>0.05</v>
      </c>
      <c r="AY125" s="26">
        <f t="shared" si="151"/>
        <v>0.05</v>
      </c>
      <c r="AZ125" s="26">
        <f t="shared" si="151"/>
        <v>0.05</v>
      </c>
      <c r="BA125" s="26">
        <f t="shared" si="151"/>
        <v>0.05</v>
      </c>
      <c r="BB125" s="26">
        <f t="shared" si="151"/>
        <v>2.5000000000000001E-2</v>
      </c>
      <c r="BC125" s="26">
        <f t="shared" ref="BC125:BL134" si="152">SUMIFS($J$5:$J$76,$I$5:$I$76,BC$4,$H$5:$H$76,"&lt;="&amp;$W125)</f>
        <v>1.5</v>
      </c>
      <c r="BD125" s="26">
        <f t="shared" si="152"/>
        <v>1.5</v>
      </c>
      <c r="BE125" s="26">
        <f t="shared" si="152"/>
        <v>1.5</v>
      </c>
      <c r="BF125" s="26">
        <f t="shared" si="152"/>
        <v>1.5</v>
      </c>
      <c r="BG125" s="26">
        <f t="shared" si="152"/>
        <v>1.5</v>
      </c>
      <c r="BH125" s="26">
        <f t="shared" si="152"/>
        <v>0.05</v>
      </c>
      <c r="BI125" s="26">
        <f t="shared" si="152"/>
        <v>1</v>
      </c>
      <c r="BJ125" s="26">
        <f t="shared" si="152"/>
        <v>1</v>
      </c>
      <c r="BK125" s="26">
        <f t="shared" si="152"/>
        <v>1</v>
      </c>
      <c r="BL125" s="26">
        <f t="shared" si="152"/>
        <v>1</v>
      </c>
      <c r="BM125" s="26">
        <f t="shared" ref="BM125:BX134" si="153">SUMIFS($J$5:$J$76,$I$5:$I$76,BM$4,$H$5:$H$76,"&lt;="&amp;$W125)</f>
        <v>1</v>
      </c>
      <c r="BN125" s="26">
        <f t="shared" si="153"/>
        <v>0.2</v>
      </c>
      <c r="BO125" s="26">
        <f t="shared" si="153"/>
        <v>0.2</v>
      </c>
      <c r="BP125" s="26">
        <f t="shared" si="153"/>
        <v>0.2</v>
      </c>
      <c r="BQ125" s="26">
        <f t="shared" si="153"/>
        <v>0.2</v>
      </c>
      <c r="BR125" s="26">
        <f t="shared" si="153"/>
        <v>0.2</v>
      </c>
      <c r="BS125" s="26">
        <f t="shared" si="153"/>
        <v>0.1</v>
      </c>
      <c r="BT125" s="26">
        <f t="shared" si="153"/>
        <v>0.05</v>
      </c>
      <c r="BU125" s="26">
        <f t="shared" si="153"/>
        <v>0.05</v>
      </c>
      <c r="BV125" s="26">
        <f t="shared" si="153"/>
        <v>0.05</v>
      </c>
      <c r="BW125" s="26">
        <f t="shared" si="153"/>
        <v>0.05</v>
      </c>
      <c r="BX125" s="26">
        <f t="shared" si="153"/>
        <v>2.5000000000000001E-2</v>
      </c>
      <c r="BY125" s="26">
        <f t="shared" ref="BY125:CH134" si="154">SUMIFS($J$5:$J$76,$I$5:$I$76,BY$4,$H$5:$H$76,"&lt;="&amp;$Z125)</f>
        <v>1.5</v>
      </c>
      <c r="BZ125" s="26">
        <f t="shared" si="154"/>
        <v>1.5</v>
      </c>
      <c r="CA125" s="26">
        <f t="shared" si="154"/>
        <v>1.5</v>
      </c>
      <c r="CB125" s="26">
        <f t="shared" si="154"/>
        <v>1.5</v>
      </c>
      <c r="CC125" s="26">
        <f t="shared" si="154"/>
        <v>1.5</v>
      </c>
      <c r="CD125" s="26">
        <f t="shared" si="154"/>
        <v>0.05</v>
      </c>
      <c r="CE125" s="26">
        <f t="shared" si="154"/>
        <v>1</v>
      </c>
      <c r="CF125" s="26">
        <f t="shared" si="154"/>
        <v>1</v>
      </c>
      <c r="CG125" s="26">
        <f t="shared" si="154"/>
        <v>1</v>
      </c>
      <c r="CH125" s="26">
        <f t="shared" si="154"/>
        <v>1</v>
      </c>
      <c r="CI125" s="26">
        <f t="shared" ref="CI125:CT134" si="155">SUMIFS($J$5:$J$76,$I$5:$I$76,CI$4,$H$5:$H$76,"&lt;="&amp;$Z125)</f>
        <v>1</v>
      </c>
      <c r="CJ125" s="26">
        <f t="shared" si="155"/>
        <v>0.2</v>
      </c>
      <c r="CK125" s="26">
        <f t="shared" si="155"/>
        <v>0.2</v>
      </c>
      <c r="CL125" s="26">
        <f t="shared" si="155"/>
        <v>0.2</v>
      </c>
      <c r="CM125" s="26">
        <f t="shared" si="155"/>
        <v>0.2</v>
      </c>
      <c r="CN125" s="26">
        <f t="shared" si="155"/>
        <v>0.2</v>
      </c>
      <c r="CO125" s="26">
        <f t="shared" si="155"/>
        <v>0.1</v>
      </c>
      <c r="CP125" s="26">
        <f t="shared" si="155"/>
        <v>0.05</v>
      </c>
      <c r="CQ125" s="26">
        <f t="shared" si="155"/>
        <v>0.05</v>
      </c>
      <c r="CR125" s="26">
        <f t="shared" si="155"/>
        <v>0.05</v>
      </c>
      <c r="CS125" s="26">
        <f t="shared" si="155"/>
        <v>0.05</v>
      </c>
      <c r="CT125" s="26">
        <f t="shared" si="155"/>
        <v>2.5000000000000001E-2</v>
      </c>
      <c r="CU125" s="26">
        <f t="shared" ref="CU125:DD134" si="156">SUMIFS($J$5:$J$76,$I$5:$I$76,CU$4,$H$5:$H$76,"&lt;="&amp;$AC125)</f>
        <v>1.5</v>
      </c>
      <c r="CV125" s="26">
        <f t="shared" si="156"/>
        <v>1.5</v>
      </c>
      <c r="CW125" s="26">
        <f t="shared" si="156"/>
        <v>1.5</v>
      </c>
      <c r="CX125" s="26">
        <f t="shared" si="156"/>
        <v>1.5</v>
      </c>
      <c r="CY125" s="26">
        <f t="shared" si="156"/>
        <v>1.5</v>
      </c>
      <c r="CZ125" s="26">
        <f t="shared" si="156"/>
        <v>0.1</v>
      </c>
      <c r="DA125" s="26">
        <f t="shared" si="156"/>
        <v>1</v>
      </c>
      <c r="DB125" s="26">
        <f t="shared" si="156"/>
        <v>1</v>
      </c>
      <c r="DC125" s="26">
        <f t="shared" si="156"/>
        <v>1</v>
      </c>
      <c r="DD125" s="26">
        <f t="shared" si="156"/>
        <v>1</v>
      </c>
      <c r="DE125" s="26">
        <f t="shared" ref="DE125:DP134" si="157">SUMIFS($J$5:$J$76,$I$5:$I$76,DE$4,$H$5:$H$76,"&lt;="&amp;$AC125)</f>
        <v>1</v>
      </c>
      <c r="DF125" s="26">
        <f t="shared" si="157"/>
        <v>0.2</v>
      </c>
      <c r="DG125" s="26">
        <f t="shared" si="157"/>
        <v>0.2</v>
      </c>
      <c r="DH125" s="26">
        <f t="shared" si="157"/>
        <v>0.2</v>
      </c>
      <c r="DI125" s="26">
        <f t="shared" si="157"/>
        <v>0.2</v>
      </c>
      <c r="DJ125" s="26">
        <f t="shared" si="157"/>
        <v>0.2</v>
      </c>
      <c r="DK125" s="26">
        <f t="shared" si="157"/>
        <v>0.1</v>
      </c>
      <c r="DL125" s="26">
        <f t="shared" si="157"/>
        <v>0.1</v>
      </c>
      <c r="DM125" s="26">
        <f t="shared" si="157"/>
        <v>0.1</v>
      </c>
      <c r="DN125" s="26">
        <f t="shared" si="157"/>
        <v>0.05</v>
      </c>
      <c r="DO125" s="26">
        <f t="shared" si="157"/>
        <v>0.05</v>
      </c>
      <c r="DP125" s="26">
        <f t="shared" si="157"/>
        <v>0.05</v>
      </c>
      <c r="DQ125" s="26">
        <f t="shared" ref="DQ125:DZ134" si="158">SUMIFS($J$5:$J$76,$I$5:$I$76,DQ$4,$H$5:$H$76,"&lt;="&amp;$AF125)</f>
        <v>1.5</v>
      </c>
      <c r="DR125" s="26">
        <f t="shared" si="158"/>
        <v>1.5</v>
      </c>
      <c r="DS125" s="26">
        <f t="shared" si="158"/>
        <v>1.5</v>
      </c>
      <c r="DT125" s="26">
        <f t="shared" si="158"/>
        <v>1.5</v>
      </c>
      <c r="DU125" s="26">
        <f t="shared" si="158"/>
        <v>1.5</v>
      </c>
      <c r="DV125" s="26">
        <f t="shared" si="158"/>
        <v>0.1</v>
      </c>
      <c r="DW125" s="26">
        <f t="shared" si="158"/>
        <v>1</v>
      </c>
      <c r="DX125" s="26">
        <f t="shared" si="158"/>
        <v>1</v>
      </c>
      <c r="DY125" s="26">
        <f t="shared" si="158"/>
        <v>1</v>
      </c>
      <c r="DZ125" s="26">
        <f t="shared" si="158"/>
        <v>1</v>
      </c>
      <c r="EA125" s="26">
        <f t="shared" ref="EA125:EL134" si="159">SUMIFS($J$5:$J$76,$I$5:$I$76,EA$4,$H$5:$H$76,"&lt;="&amp;$AF125)</f>
        <v>1</v>
      </c>
      <c r="EB125" s="26">
        <f t="shared" si="159"/>
        <v>0.2</v>
      </c>
      <c r="EC125" s="26">
        <f t="shared" si="159"/>
        <v>0.2</v>
      </c>
      <c r="ED125" s="26">
        <f t="shared" si="159"/>
        <v>0.2</v>
      </c>
      <c r="EE125" s="26">
        <f t="shared" si="159"/>
        <v>0.2</v>
      </c>
      <c r="EF125" s="26">
        <f t="shared" si="159"/>
        <v>0.2</v>
      </c>
      <c r="EG125" s="26">
        <f t="shared" si="159"/>
        <v>0.1</v>
      </c>
      <c r="EH125" s="26">
        <f t="shared" si="159"/>
        <v>0.1</v>
      </c>
      <c r="EI125" s="26">
        <f t="shared" si="159"/>
        <v>0.1</v>
      </c>
      <c r="EJ125" s="26">
        <f t="shared" si="159"/>
        <v>0.05</v>
      </c>
      <c r="EK125" s="26">
        <f t="shared" si="159"/>
        <v>0.05</v>
      </c>
      <c r="EL125" s="26">
        <f t="shared" si="159"/>
        <v>0.05</v>
      </c>
      <c r="EM125" s="26">
        <f t="shared" si="92"/>
        <v>589257</v>
      </c>
      <c r="EN125" s="26">
        <f t="shared" si="93"/>
        <v>589257</v>
      </c>
      <c r="EO125" s="26">
        <f t="shared" si="94"/>
        <v>589257</v>
      </c>
      <c r="EP125" s="26">
        <f t="shared" si="95"/>
        <v>771411</v>
      </c>
      <c r="EQ125" s="26">
        <f t="shared" si="96"/>
        <v>771411</v>
      </c>
    </row>
    <row r="126" spans="17:147">
      <c r="Q126" s="26">
        <v>122</v>
      </c>
      <c r="R126" s="26">
        <f>总纲!D126</f>
        <v>4704.0684620678521</v>
      </c>
      <c r="S126" s="26">
        <f>求节点(将星点产出!$W$6:$W$44,将星点产出!$AO$6:$AO$44,星阵点亮!$Q126)</f>
        <v>997350</v>
      </c>
      <c r="T126" s="26">
        <f t="shared" si="87"/>
        <v>59</v>
      </c>
      <c r="U126" s="26">
        <f>总纲!E126</f>
        <v>3989.5204626797454</v>
      </c>
      <c r="V126" s="26">
        <f>求节点(将星点产出!$W$51:$W$89,将星点产出!$AO$51:$AO$89,星阵点亮!$Q126)</f>
        <v>997350</v>
      </c>
      <c r="W126" s="26">
        <f t="shared" si="88"/>
        <v>59</v>
      </c>
      <c r="X126" s="26">
        <f>总纲!F126</f>
        <v>3183.7135351275219</v>
      </c>
      <c r="Y126" s="26">
        <f>求节点(将星点产出!$W$96:$W$134,将星点产出!$AO$96:$AO$134,星阵点亮!$Q126)</f>
        <v>997350</v>
      </c>
      <c r="Z126" s="26">
        <f t="shared" si="89"/>
        <v>59</v>
      </c>
      <c r="AA126" s="26">
        <f>总纲!G126</f>
        <v>2271.1242534863591</v>
      </c>
      <c r="AB126" s="26">
        <f>求节点(将星点产出!$W$141:$W$179,将星点产出!$AO$141:$AO$179,星阵点亮!$Q126)</f>
        <v>1304550</v>
      </c>
      <c r="AC126" s="26">
        <f t="shared" si="90"/>
        <v>66</v>
      </c>
      <c r="AD126" s="26">
        <f>总纲!H126</f>
        <v>1223.9986138300551</v>
      </c>
      <c r="AE126" s="26">
        <f>求节点(将星点产出!$W$186:$W$224,将星点产出!$AO$186:$AO$224,星阵点亮!$Q126)</f>
        <v>1304550</v>
      </c>
      <c r="AF126" s="26">
        <f t="shared" si="91"/>
        <v>66</v>
      </c>
      <c r="AG126" s="26">
        <f t="shared" si="150"/>
        <v>1.5</v>
      </c>
      <c r="AH126" s="26">
        <f t="shared" si="150"/>
        <v>1.5</v>
      </c>
      <c r="AI126" s="26">
        <f t="shared" si="150"/>
        <v>1.5</v>
      </c>
      <c r="AJ126" s="26">
        <f t="shared" si="150"/>
        <v>1.5</v>
      </c>
      <c r="AK126" s="26">
        <f t="shared" si="150"/>
        <v>1.5</v>
      </c>
      <c r="AL126" s="26">
        <f t="shared" si="150"/>
        <v>0.05</v>
      </c>
      <c r="AM126" s="26">
        <f t="shared" si="150"/>
        <v>1</v>
      </c>
      <c r="AN126" s="26">
        <f t="shared" si="150"/>
        <v>1</v>
      </c>
      <c r="AO126" s="26">
        <f t="shared" si="150"/>
        <v>1</v>
      </c>
      <c r="AP126" s="26">
        <f t="shared" si="150"/>
        <v>1</v>
      </c>
      <c r="AQ126" s="26">
        <f t="shared" si="151"/>
        <v>1</v>
      </c>
      <c r="AR126" s="26">
        <f t="shared" si="151"/>
        <v>0.2</v>
      </c>
      <c r="AS126" s="26">
        <f t="shared" si="151"/>
        <v>0.2</v>
      </c>
      <c r="AT126" s="26">
        <f t="shared" si="151"/>
        <v>0.2</v>
      </c>
      <c r="AU126" s="26">
        <f t="shared" si="151"/>
        <v>0.2</v>
      </c>
      <c r="AV126" s="26">
        <f t="shared" si="151"/>
        <v>0.2</v>
      </c>
      <c r="AW126" s="26">
        <f t="shared" si="151"/>
        <v>0.1</v>
      </c>
      <c r="AX126" s="26">
        <f t="shared" si="151"/>
        <v>0.05</v>
      </c>
      <c r="AY126" s="26">
        <f t="shared" si="151"/>
        <v>0.05</v>
      </c>
      <c r="AZ126" s="26">
        <f t="shared" si="151"/>
        <v>0.05</v>
      </c>
      <c r="BA126" s="26">
        <f t="shared" si="151"/>
        <v>0.05</v>
      </c>
      <c r="BB126" s="26">
        <f t="shared" si="151"/>
        <v>2.5000000000000001E-2</v>
      </c>
      <c r="BC126" s="26">
        <f t="shared" si="152"/>
        <v>1.5</v>
      </c>
      <c r="BD126" s="26">
        <f t="shared" si="152"/>
        <v>1.5</v>
      </c>
      <c r="BE126" s="26">
        <f t="shared" si="152"/>
        <v>1.5</v>
      </c>
      <c r="BF126" s="26">
        <f t="shared" si="152"/>
        <v>1.5</v>
      </c>
      <c r="BG126" s="26">
        <f t="shared" si="152"/>
        <v>1.5</v>
      </c>
      <c r="BH126" s="26">
        <f t="shared" si="152"/>
        <v>0.05</v>
      </c>
      <c r="BI126" s="26">
        <f t="shared" si="152"/>
        <v>1</v>
      </c>
      <c r="BJ126" s="26">
        <f t="shared" si="152"/>
        <v>1</v>
      </c>
      <c r="BK126" s="26">
        <f t="shared" si="152"/>
        <v>1</v>
      </c>
      <c r="BL126" s="26">
        <f t="shared" si="152"/>
        <v>1</v>
      </c>
      <c r="BM126" s="26">
        <f t="shared" si="153"/>
        <v>1</v>
      </c>
      <c r="BN126" s="26">
        <f t="shared" si="153"/>
        <v>0.2</v>
      </c>
      <c r="BO126" s="26">
        <f t="shared" si="153"/>
        <v>0.2</v>
      </c>
      <c r="BP126" s="26">
        <f t="shared" si="153"/>
        <v>0.2</v>
      </c>
      <c r="BQ126" s="26">
        <f t="shared" si="153"/>
        <v>0.2</v>
      </c>
      <c r="BR126" s="26">
        <f t="shared" si="153"/>
        <v>0.2</v>
      </c>
      <c r="BS126" s="26">
        <f t="shared" si="153"/>
        <v>0.1</v>
      </c>
      <c r="BT126" s="26">
        <f t="shared" si="153"/>
        <v>0.05</v>
      </c>
      <c r="BU126" s="26">
        <f t="shared" si="153"/>
        <v>0.05</v>
      </c>
      <c r="BV126" s="26">
        <f t="shared" si="153"/>
        <v>0.05</v>
      </c>
      <c r="BW126" s="26">
        <f t="shared" si="153"/>
        <v>0.05</v>
      </c>
      <c r="BX126" s="26">
        <f t="shared" si="153"/>
        <v>2.5000000000000001E-2</v>
      </c>
      <c r="BY126" s="26">
        <f t="shared" si="154"/>
        <v>1.5</v>
      </c>
      <c r="BZ126" s="26">
        <f t="shared" si="154"/>
        <v>1.5</v>
      </c>
      <c r="CA126" s="26">
        <f t="shared" si="154"/>
        <v>1.5</v>
      </c>
      <c r="CB126" s="26">
        <f t="shared" si="154"/>
        <v>1.5</v>
      </c>
      <c r="CC126" s="26">
        <f t="shared" si="154"/>
        <v>1.5</v>
      </c>
      <c r="CD126" s="26">
        <f t="shared" si="154"/>
        <v>0.05</v>
      </c>
      <c r="CE126" s="26">
        <f t="shared" si="154"/>
        <v>1</v>
      </c>
      <c r="CF126" s="26">
        <f t="shared" si="154"/>
        <v>1</v>
      </c>
      <c r="CG126" s="26">
        <f t="shared" si="154"/>
        <v>1</v>
      </c>
      <c r="CH126" s="26">
        <f t="shared" si="154"/>
        <v>1</v>
      </c>
      <c r="CI126" s="26">
        <f t="shared" si="155"/>
        <v>1</v>
      </c>
      <c r="CJ126" s="26">
        <f t="shared" si="155"/>
        <v>0.2</v>
      </c>
      <c r="CK126" s="26">
        <f t="shared" si="155"/>
        <v>0.2</v>
      </c>
      <c r="CL126" s="26">
        <f t="shared" si="155"/>
        <v>0.2</v>
      </c>
      <c r="CM126" s="26">
        <f t="shared" si="155"/>
        <v>0.2</v>
      </c>
      <c r="CN126" s="26">
        <f t="shared" si="155"/>
        <v>0.2</v>
      </c>
      <c r="CO126" s="26">
        <f t="shared" si="155"/>
        <v>0.1</v>
      </c>
      <c r="CP126" s="26">
        <f t="shared" si="155"/>
        <v>0.05</v>
      </c>
      <c r="CQ126" s="26">
        <f t="shared" si="155"/>
        <v>0.05</v>
      </c>
      <c r="CR126" s="26">
        <f t="shared" si="155"/>
        <v>0.05</v>
      </c>
      <c r="CS126" s="26">
        <f t="shared" si="155"/>
        <v>0.05</v>
      </c>
      <c r="CT126" s="26">
        <f t="shared" si="155"/>
        <v>2.5000000000000001E-2</v>
      </c>
      <c r="CU126" s="26">
        <f t="shared" si="156"/>
        <v>1.5</v>
      </c>
      <c r="CV126" s="26">
        <f t="shared" si="156"/>
        <v>1.5</v>
      </c>
      <c r="CW126" s="26">
        <f t="shared" si="156"/>
        <v>1.5</v>
      </c>
      <c r="CX126" s="26">
        <f t="shared" si="156"/>
        <v>1.5</v>
      </c>
      <c r="CY126" s="26">
        <f t="shared" si="156"/>
        <v>1.5</v>
      </c>
      <c r="CZ126" s="26">
        <f t="shared" si="156"/>
        <v>0.1</v>
      </c>
      <c r="DA126" s="26">
        <f t="shared" si="156"/>
        <v>1</v>
      </c>
      <c r="DB126" s="26">
        <f t="shared" si="156"/>
        <v>1</v>
      </c>
      <c r="DC126" s="26">
        <f t="shared" si="156"/>
        <v>1</v>
      </c>
      <c r="DD126" s="26">
        <f t="shared" si="156"/>
        <v>1</v>
      </c>
      <c r="DE126" s="26">
        <f t="shared" si="157"/>
        <v>1</v>
      </c>
      <c r="DF126" s="26">
        <f t="shared" si="157"/>
        <v>0.2</v>
      </c>
      <c r="DG126" s="26">
        <f t="shared" si="157"/>
        <v>0.2</v>
      </c>
      <c r="DH126" s="26">
        <f t="shared" si="157"/>
        <v>0.2</v>
      </c>
      <c r="DI126" s="26">
        <f t="shared" si="157"/>
        <v>0.2</v>
      </c>
      <c r="DJ126" s="26">
        <f t="shared" si="157"/>
        <v>0.2</v>
      </c>
      <c r="DK126" s="26">
        <f t="shared" si="157"/>
        <v>0.1</v>
      </c>
      <c r="DL126" s="26">
        <f t="shared" si="157"/>
        <v>0.1</v>
      </c>
      <c r="DM126" s="26">
        <f t="shared" si="157"/>
        <v>0.1</v>
      </c>
      <c r="DN126" s="26">
        <f t="shared" si="157"/>
        <v>0.05</v>
      </c>
      <c r="DO126" s="26">
        <f t="shared" si="157"/>
        <v>0.05</v>
      </c>
      <c r="DP126" s="26">
        <f t="shared" si="157"/>
        <v>0.05</v>
      </c>
      <c r="DQ126" s="26">
        <f t="shared" si="158"/>
        <v>1.5</v>
      </c>
      <c r="DR126" s="26">
        <f t="shared" si="158"/>
        <v>1.5</v>
      </c>
      <c r="DS126" s="26">
        <f t="shared" si="158"/>
        <v>1.5</v>
      </c>
      <c r="DT126" s="26">
        <f t="shared" si="158"/>
        <v>1.5</v>
      </c>
      <c r="DU126" s="26">
        <f t="shared" si="158"/>
        <v>1.5</v>
      </c>
      <c r="DV126" s="26">
        <f t="shared" si="158"/>
        <v>0.1</v>
      </c>
      <c r="DW126" s="26">
        <f t="shared" si="158"/>
        <v>1</v>
      </c>
      <c r="DX126" s="26">
        <f t="shared" si="158"/>
        <v>1</v>
      </c>
      <c r="DY126" s="26">
        <f t="shared" si="158"/>
        <v>1</v>
      </c>
      <c r="DZ126" s="26">
        <f t="shared" si="158"/>
        <v>1</v>
      </c>
      <c r="EA126" s="26">
        <f t="shared" si="159"/>
        <v>1</v>
      </c>
      <c r="EB126" s="26">
        <f t="shared" si="159"/>
        <v>0.2</v>
      </c>
      <c r="EC126" s="26">
        <f t="shared" si="159"/>
        <v>0.2</v>
      </c>
      <c r="ED126" s="26">
        <f t="shared" si="159"/>
        <v>0.2</v>
      </c>
      <c r="EE126" s="26">
        <f t="shared" si="159"/>
        <v>0.2</v>
      </c>
      <c r="EF126" s="26">
        <f t="shared" si="159"/>
        <v>0.2</v>
      </c>
      <c r="EG126" s="26">
        <f t="shared" si="159"/>
        <v>0.1</v>
      </c>
      <c r="EH126" s="26">
        <f t="shared" si="159"/>
        <v>0.1</v>
      </c>
      <c r="EI126" s="26">
        <f t="shared" si="159"/>
        <v>0.1</v>
      </c>
      <c r="EJ126" s="26">
        <f t="shared" si="159"/>
        <v>0.05</v>
      </c>
      <c r="EK126" s="26">
        <f t="shared" si="159"/>
        <v>0.05</v>
      </c>
      <c r="EL126" s="26">
        <f t="shared" si="159"/>
        <v>0.05</v>
      </c>
      <c r="EM126" s="26">
        <f t="shared" si="92"/>
        <v>589257</v>
      </c>
      <c r="EN126" s="26">
        <f t="shared" si="93"/>
        <v>589257</v>
      </c>
      <c r="EO126" s="26">
        <f t="shared" si="94"/>
        <v>589257</v>
      </c>
      <c r="EP126" s="26">
        <f t="shared" si="95"/>
        <v>771411</v>
      </c>
      <c r="EQ126" s="26">
        <f t="shared" si="96"/>
        <v>771411</v>
      </c>
    </row>
    <row r="127" spans="17:147">
      <c r="Q127" s="26">
        <v>123</v>
      </c>
      <c r="R127" s="26">
        <f>总纲!D127</f>
        <v>5041.7675170607781</v>
      </c>
      <c r="S127" s="26">
        <f>求节点(将星点产出!$W$6:$W$44,将星点产出!$AO$6:$AO$44,星阵点亮!$Q127)</f>
        <v>997350</v>
      </c>
      <c r="T127" s="26">
        <f t="shared" si="87"/>
        <v>59</v>
      </c>
      <c r="U127" s="26">
        <f>总纲!E127</f>
        <v>4275.9230312192458</v>
      </c>
      <c r="V127" s="26">
        <f>求节点(将星点产出!$W$51:$W$89,将星点产出!$AO$51:$AO$89,星阵点亮!$Q127)</f>
        <v>997350</v>
      </c>
      <c r="W127" s="26">
        <f t="shared" si="88"/>
        <v>59</v>
      </c>
      <c r="X127" s="26">
        <f>总纲!F127</f>
        <v>3419.8309068223257</v>
      </c>
      <c r="Y127" s="26">
        <f>求节点(将星点产出!$W$96:$W$134,将星点产出!$AO$96:$AO$134,星阵点亮!$Q127)</f>
        <v>997350</v>
      </c>
      <c r="Z127" s="26">
        <f t="shared" si="89"/>
        <v>59</v>
      </c>
      <c r="AA127" s="26">
        <f>总纲!G127</f>
        <v>2442.7363620159467</v>
      </c>
      <c r="AB127" s="26">
        <f>求节点(将星点产出!$W$141:$W$179,将星点产出!$AO$141:$AO$179,星阵点亮!$Q127)</f>
        <v>1304550</v>
      </c>
      <c r="AC127" s="26">
        <f t="shared" si="90"/>
        <v>66</v>
      </c>
      <c r="AD127" s="26">
        <f>总纲!H127</f>
        <v>1316.4054987045693</v>
      </c>
      <c r="AE127" s="26">
        <f>求节点(将星点产出!$W$186:$W$224,将星点产出!$AO$186:$AO$224,星阵点亮!$Q127)</f>
        <v>1304550</v>
      </c>
      <c r="AF127" s="26">
        <f t="shared" si="91"/>
        <v>66</v>
      </c>
      <c r="AG127" s="26">
        <f t="shared" si="150"/>
        <v>1.5</v>
      </c>
      <c r="AH127" s="26">
        <f t="shared" si="150"/>
        <v>1.5</v>
      </c>
      <c r="AI127" s="26">
        <f t="shared" si="150"/>
        <v>1.5</v>
      </c>
      <c r="AJ127" s="26">
        <f t="shared" si="150"/>
        <v>1.5</v>
      </c>
      <c r="AK127" s="26">
        <f t="shared" si="150"/>
        <v>1.5</v>
      </c>
      <c r="AL127" s="26">
        <f t="shared" si="150"/>
        <v>0.05</v>
      </c>
      <c r="AM127" s="26">
        <f t="shared" si="150"/>
        <v>1</v>
      </c>
      <c r="AN127" s="26">
        <f t="shared" si="150"/>
        <v>1</v>
      </c>
      <c r="AO127" s="26">
        <f t="shared" si="150"/>
        <v>1</v>
      </c>
      <c r="AP127" s="26">
        <f t="shared" si="150"/>
        <v>1</v>
      </c>
      <c r="AQ127" s="26">
        <f t="shared" si="151"/>
        <v>1</v>
      </c>
      <c r="AR127" s="26">
        <f t="shared" si="151"/>
        <v>0.2</v>
      </c>
      <c r="AS127" s="26">
        <f t="shared" si="151"/>
        <v>0.2</v>
      </c>
      <c r="AT127" s="26">
        <f t="shared" si="151"/>
        <v>0.2</v>
      </c>
      <c r="AU127" s="26">
        <f t="shared" si="151"/>
        <v>0.2</v>
      </c>
      <c r="AV127" s="26">
        <f t="shared" si="151"/>
        <v>0.2</v>
      </c>
      <c r="AW127" s="26">
        <f t="shared" si="151"/>
        <v>0.1</v>
      </c>
      <c r="AX127" s="26">
        <f t="shared" si="151"/>
        <v>0.05</v>
      </c>
      <c r="AY127" s="26">
        <f t="shared" si="151"/>
        <v>0.05</v>
      </c>
      <c r="AZ127" s="26">
        <f t="shared" si="151"/>
        <v>0.05</v>
      </c>
      <c r="BA127" s="26">
        <f t="shared" si="151"/>
        <v>0.05</v>
      </c>
      <c r="BB127" s="26">
        <f t="shared" si="151"/>
        <v>2.5000000000000001E-2</v>
      </c>
      <c r="BC127" s="26">
        <f t="shared" si="152"/>
        <v>1.5</v>
      </c>
      <c r="BD127" s="26">
        <f t="shared" si="152"/>
        <v>1.5</v>
      </c>
      <c r="BE127" s="26">
        <f t="shared" si="152"/>
        <v>1.5</v>
      </c>
      <c r="BF127" s="26">
        <f t="shared" si="152"/>
        <v>1.5</v>
      </c>
      <c r="BG127" s="26">
        <f t="shared" si="152"/>
        <v>1.5</v>
      </c>
      <c r="BH127" s="26">
        <f t="shared" si="152"/>
        <v>0.05</v>
      </c>
      <c r="BI127" s="26">
        <f t="shared" si="152"/>
        <v>1</v>
      </c>
      <c r="BJ127" s="26">
        <f t="shared" si="152"/>
        <v>1</v>
      </c>
      <c r="BK127" s="26">
        <f t="shared" si="152"/>
        <v>1</v>
      </c>
      <c r="BL127" s="26">
        <f t="shared" si="152"/>
        <v>1</v>
      </c>
      <c r="BM127" s="26">
        <f t="shared" si="153"/>
        <v>1</v>
      </c>
      <c r="BN127" s="26">
        <f t="shared" si="153"/>
        <v>0.2</v>
      </c>
      <c r="BO127" s="26">
        <f t="shared" si="153"/>
        <v>0.2</v>
      </c>
      <c r="BP127" s="26">
        <f t="shared" si="153"/>
        <v>0.2</v>
      </c>
      <c r="BQ127" s="26">
        <f t="shared" si="153"/>
        <v>0.2</v>
      </c>
      <c r="BR127" s="26">
        <f t="shared" si="153"/>
        <v>0.2</v>
      </c>
      <c r="BS127" s="26">
        <f t="shared" si="153"/>
        <v>0.1</v>
      </c>
      <c r="BT127" s="26">
        <f t="shared" si="153"/>
        <v>0.05</v>
      </c>
      <c r="BU127" s="26">
        <f t="shared" si="153"/>
        <v>0.05</v>
      </c>
      <c r="BV127" s="26">
        <f t="shared" si="153"/>
        <v>0.05</v>
      </c>
      <c r="BW127" s="26">
        <f t="shared" si="153"/>
        <v>0.05</v>
      </c>
      <c r="BX127" s="26">
        <f t="shared" si="153"/>
        <v>2.5000000000000001E-2</v>
      </c>
      <c r="BY127" s="26">
        <f t="shared" si="154"/>
        <v>1.5</v>
      </c>
      <c r="BZ127" s="26">
        <f t="shared" si="154"/>
        <v>1.5</v>
      </c>
      <c r="CA127" s="26">
        <f t="shared" si="154"/>
        <v>1.5</v>
      </c>
      <c r="CB127" s="26">
        <f t="shared" si="154"/>
        <v>1.5</v>
      </c>
      <c r="CC127" s="26">
        <f t="shared" si="154"/>
        <v>1.5</v>
      </c>
      <c r="CD127" s="26">
        <f t="shared" si="154"/>
        <v>0.05</v>
      </c>
      <c r="CE127" s="26">
        <f t="shared" si="154"/>
        <v>1</v>
      </c>
      <c r="CF127" s="26">
        <f t="shared" si="154"/>
        <v>1</v>
      </c>
      <c r="CG127" s="26">
        <f t="shared" si="154"/>
        <v>1</v>
      </c>
      <c r="CH127" s="26">
        <f t="shared" si="154"/>
        <v>1</v>
      </c>
      <c r="CI127" s="26">
        <f t="shared" si="155"/>
        <v>1</v>
      </c>
      <c r="CJ127" s="26">
        <f t="shared" si="155"/>
        <v>0.2</v>
      </c>
      <c r="CK127" s="26">
        <f t="shared" si="155"/>
        <v>0.2</v>
      </c>
      <c r="CL127" s="26">
        <f t="shared" si="155"/>
        <v>0.2</v>
      </c>
      <c r="CM127" s="26">
        <f t="shared" si="155"/>
        <v>0.2</v>
      </c>
      <c r="CN127" s="26">
        <f t="shared" si="155"/>
        <v>0.2</v>
      </c>
      <c r="CO127" s="26">
        <f t="shared" si="155"/>
        <v>0.1</v>
      </c>
      <c r="CP127" s="26">
        <f t="shared" si="155"/>
        <v>0.05</v>
      </c>
      <c r="CQ127" s="26">
        <f t="shared" si="155"/>
        <v>0.05</v>
      </c>
      <c r="CR127" s="26">
        <f t="shared" si="155"/>
        <v>0.05</v>
      </c>
      <c r="CS127" s="26">
        <f t="shared" si="155"/>
        <v>0.05</v>
      </c>
      <c r="CT127" s="26">
        <f t="shared" si="155"/>
        <v>2.5000000000000001E-2</v>
      </c>
      <c r="CU127" s="26">
        <f t="shared" si="156"/>
        <v>1.5</v>
      </c>
      <c r="CV127" s="26">
        <f t="shared" si="156"/>
        <v>1.5</v>
      </c>
      <c r="CW127" s="26">
        <f t="shared" si="156"/>
        <v>1.5</v>
      </c>
      <c r="CX127" s="26">
        <f t="shared" si="156"/>
        <v>1.5</v>
      </c>
      <c r="CY127" s="26">
        <f t="shared" si="156"/>
        <v>1.5</v>
      </c>
      <c r="CZ127" s="26">
        <f t="shared" si="156"/>
        <v>0.1</v>
      </c>
      <c r="DA127" s="26">
        <f t="shared" si="156"/>
        <v>1</v>
      </c>
      <c r="DB127" s="26">
        <f t="shared" si="156"/>
        <v>1</v>
      </c>
      <c r="DC127" s="26">
        <f t="shared" si="156"/>
        <v>1</v>
      </c>
      <c r="DD127" s="26">
        <f t="shared" si="156"/>
        <v>1</v>
      </c>
      <c r="DE127" s="26">
        <f t="shared" si="157"/>
        <v>1</v>
      </c>
      <c r="DF127" s="26">
        <f t="shared" si="157"/>
        <v>0.2</v>
      </c>
      <c r="DG127" s="26">
        <f t="shared" si="157"/>
        <v>0.2</v>
      </c>
      <c r="DH127" s="26">
        <f t="shared" si="157"/>
        <v>0.2</v>
      </c>
      <c r="DI127" s="26">
        <f t="shared" si="157"/>
        <v>0.2</v>
      </c>
      <c r="DJ127" s="26">
        <f t="shared" si="157"/>
        <v>0.2</v>
      </c>
      <c r="DK127" s="26">
        <f t="shared" si="157"/>
        <v>0.1</v>
      </c>
      <c r="DL127" s="26">
        <f t="shared" si="157"/>
        <v>0.1</v>
      </c>
      <c r="DM127" s="26">
        <f t="shared" si="157"/>
        <v>0.1</v>
      </c>
      <c r="DN127" s="26">
        <f t="shared" si="157"/>
        <v>0.05</v>
      </c>
      <c r="DO127" s="26">
        <f t="shared" si="157"/>
        <v>0.05</v>
      </c>
      <c r="DP127" s="26">
        <f t="shared" si="157"/>
        <v>0.05</v>
      </c>
      <c r="DQ127" s="26">
        <f t="shared" si="158"/>
        <v>1.5</v>
      </c>
      <c r="DR127" s="26">
        <f t="shared" si="158"/>
        <v>1.5</v>
      </c>
      <c r="DS127" s="26">
        <f t="shared" si="158"/>
        <v>1.5</v>
      </c>
      <c r="DT127" s="26">
        <f t="shared" si="158"/>
        <v>1.5</v>
      </c>
      <c r="DU127" s="26">
        <f t="shared" si="158"/>
        <v>1.5</v>
      </c>
      <c r="DV127" s="26">
        <f t="shared" si="158"/>
        <v>0.1</v>
      </c>
      <c r="DW127" s="26">
        <f t="shared" si="158"/>
        <v>1</v>
      </c>
      <c r="DX127" s="26">
        <f t="shared" si="158"/>
        <v>1</v>
      </c>
      <c r="DY127" s="26">
        <f t="shared" si="158"/>
        <v>1</v>
      </c>
      <c r="DZ127" s="26">
        <f t="shared" si="158"/>
        <v>1</v>
      </c>
      <c r="EA127" s="26">
        <f t="shared" si="159"/>
        <v>1</v>
      </c>
      <c r="EB127" s="26">
        <f t="shared" si="159"/>
        <v>0.2</v>
      </c>
      <c r="EC127" s="26">
        <f t="shared" si="159"/>
        <v>0.2</v>
      </c>
      <c r="ED127" s="26">
        <f t="shared" si="159"/>
        <v>0.2</v>
      </c>
      <c r="EE127" s="26">
        <f t="shared" si="159"/>
        <v>0.2</v>
      </c>
      <c r="EF127" s="26">
        <f t="shared" si="159"/>
        <v>0.2</v>
      </c>
      <c r="EG127" s="26">
        <f t="shared" si="159"/>
        <v>0.1</v>
      </c>
      <c r="EH127" s="26">
        <f t="shared" si="159"/>
        <v>0.1</v>
      </c>
      <c r="EI127" s="26">
        <f t="shared" si="159"/>
        <v>0.1</v>
      </c>
      <c r="EJ127" s="26">
        <f t="shared" si="159"/>
        <v>0.05</v>
      </c>
      <c r="EK127" s="26">
        <f t="shared" si="159"/>
        <v>0.05</v>
      </c>
      <c r="EL127" s="26">
        <f t="shared" si="159"/>
        <v>0.05</v>
      </c>
      <c r="EM127" s="26">
        <f t="shared" si="92"/>
        <v>589257</v>
      </c>
      <c r="EN127" s="26">
        <f t="shared" si="93"/>
        <v>589257</v>
      </c>
      <c r="EO127" s="26">
        <f t="shared" si="94"/>
        <v>589257</v>
      </c>
      <c r="EP127" s="26">
        <f t="shared" si="95"/>
        <v>771411</v>
      </c>
      <c r="EQ127" s="26">
        <f t="shared" si="96"/>
        <v>771411</v>
      </c>
    </row>
    <row r="128" spans="17:147">
      <c r="Q128" s="26">
        <v>124</v>
      </c>
      <c r="R128" s="26">
        <f>总纲!D128</f>
        <v>5403.704402525771</v>
      </c>
      <c r="S128" s="26">
        <f>求节点(将星点产出!$W$6:$W$44,将星点产出!$AO$6:$AO$44,星阵点亮!$Q128)</f>
        <v>997350</v>
      </c>
      <c r="T128" s="26">
        <f t="shared" si="87"/>
        <v>59</v>
      </c>
      <c r="U128" s="26">
        <f>总纲!E128</f>
        <v>4591.5276308261473</v>
      </c>
      <c r="V128" s="26">
        <f>求节点(将星点产出!$W$51:$W$89,将星点产出!$AO$51:$AO$89,星阵点亮!$Q128)</f>
        <v>997350</v>
      </c>
      <c r="W128" s="26">
        <f t="shared" si="88"/>
        <v>59</v>
      </c>
      <c r="X128" s="26">
        <f>总纲!F128</f>
        <v>3671.276771076009</v>
      </c>
      <c r="Y128" s="26">
        <f>求节点(将星点产出!$W$96:$W$134,将星点产出!$AO$96:$AO$134,星阵点亮!$Q128)</f>
        <v>997350</v>
      </c>
      <c r="Z128" s="26">
        <f t="shared" si="89"/>
        <v>59</v>
      </c>
      <c r="AA128" s="26">
        <f>总纲!G128</f>
        <v>2624.0388578665143</v>
      </c>
      <c r="AB128" s="26">
        <f>求节点(将星点产出!$W$141:$W$179,将星点产出!$AO$141:$AO$179,星阵点亮!$Q128)</f>
        <v>1304550</v>
      </c>
      <c r="AC128" s="26">
        <f t="shared" si="90"/>
        <v>66</v>
      </c>
      <c r="AD128" s="26">
        <f>总纲!H128</f>
        <v>1415.7705534617521</v>
      </c>
      <c r="AE128" s="26">
        <f>求节点(将星点产出!$W$186:$W$224,将星点产出!$AO$186:$AO$224,星阵点亮!$Q128)</f>
        <v>1304550</v>
      </c>
      <c r="AF128" s="26">
        <f t="shared" si="91"/>
        <v>66</v>
      </c>
      <c r="AG128" s="26">
        <f t="shared" si="150"/>
        <v>1.5</v>
      </c>
      <c r="AH128" s="26">
        <f t="shared" si="150"/>
        <v>1.5</v>
      </c>
      <c r="AI128" s="26">
        <f t="shared" si="150"/>
        <v>1.5</v>
      </c>
      <c r="AJ128" s="26">
        <f t="shared" si="150"/>
        <v>1.5</v>
      </c>
      <c r="AK128" s="26">
        <f t="shared" si="150"/>
        <v>1.5</v>
      </c>
      <c r="AL128" s="26">
        <f t="shared" si="150"/>
        <v>0.05</v>
      </c>
      <c r="AM128" s="26">
        <f t="shared" si="150"/>
        <v>1</v>
      </c>
      <c r="AN128" s="26">
        <f t="shared" si="150"/>
        <v>1</v>
      </c>
      <c r="AO128" s="26">
        <f t="shared" si="150"/>
        <v>1</v>
      </c>
      <c r="AP128" s="26">
        <f t="shared" si="150"/>
        <v>1</v>
      </c>
      <c r="AQ128" s="26">
        <f t="shared" si="151"/>
        <v>1</v>
      </c>
      <c r="AR128" s="26">
        <f t="shared" si="151"/>
        <v>0.2</v>
      </c>
      <c r="AS128" s="26">
        <f t="shared" si="151"/>
        <v>0.2</v>
      </c>
      <c r="AT128" s="26">
        <f t="shared" si="151"/>
        <v>0.2</v>
      </c>
      <c r="AU128" s="26">
        <f t="shared" si="151"/>
        <v>0.2</v>
      </c>
      <c r="AV128" s="26">
        <f t="shared" si="151"/>
        <v>0.2</v>
      </c>
      <c r="AW128" s="26">
        <f t="shared" si="151"/>
        <v>0.1</v>
      </c>
      <c r="AX128" s="26">
        <f t="shared" si="151"/>
        <v>0.05</v>
      </c>
      <c r="AY128" s="26">
        <f t="shared" si="151"/>
        <v>0.05</v>
      </c>
      <c r="AZ128" s="26">
        <f t="shared" si="151"/>
        <v>0.05</v>
      </c>
      <c r="BA128" s="26">
        <f t="shared" si="151"/>
        <v>0.05</v>
      </c>
      <c r="BB128" s="26">
        <f t="shared" si="151"/>
        <v>2.5000000000000001E-2</v>
      </c>
      <c r="BC128" s="26">
        <f t="shared" si="152"/>
        <v>1.5</v>
      </c>
      <c r="BD128" s="26">
        <f t="shared" si="152"/>
        <v>1.5</v>
      </c>
      <c r="BE128" s="26">
        <f t="shared" si="152"/>
        <v>1.5</v>
      </c>
      <c r="BF128" s="26">
        <f t="shared" si="152"/>
        <v>1.5</v>
      </c>
      <c r="BG128" s="26">
        <f t="shared" si="152"/>
        <v>1.5</v>
      </c>
      <c r="BH128" s="26">
        <f t="shared" si="152"/>
        <v>0.05</v>
      </c>
      <c r="BI128" s="26">
        <f t="shared" si="152"/>
        <v>1</v>
      </c>
      <c r="BJ128" s="26">
        <f t="shared" si="152"/>
        <v>1</v>
      </c>
      <c r="BK128" s="26">
        <f t="shared" si="152"/>
        <v>1</v>
      </c>
      <c r="BL128" s="26">
        <f t="shared" si="152"/>
        <v>1</v>
      </c>
      <c r="BM128" s="26">
        <f t="shared" si="153"/>
        <v>1</v>
      </c>
      <c r="BN128" s="26">
        <f t="shared" si="153"/>
        <v>0.2</v>
      </c>
      <c r="BO128" s="26">
        <f t="shared" si="153"/>
        <v>0.2</v>
      </c>
      <c r="BP128" s="26">
        <f t="shared" si="153"/>
        <v>0.2</v>
      </c>
      <c r="BQ128" s="26">
        <f t="shared" si="153"/>
        <v>0.2</v>
      </c>
      <c r="BR128" s="26">
        <f t="shared" si="153"/>
        <v>0.2</v>
      </c>
      <c r="BS128" s="26">
        <f t="shared" si="153"/>
        <v>0.1</v>
      </c>
      <c r="BT128" s="26">
        <f t="shared" si="153"/>
        <v>0.05</v>
      </c>
      <c r="BU128" s="26">
        <f t="shared" si="153"/>
        <v>0.05</v>
      </c>
      <c r="BV128" s="26">
        <f t="shared" si="153"/>
        <v>0.05</v>
      </c>
      <c r="BW128" s="26">
        <f t="shared" si="153"/>
        <v>0.05</v>
      </c>
      <c r="BX128" s="26">
        <f t="shared" si="153"/>
        <v>2.5000000000000001E-2</v>
      </c>
      <c r="BY128" s="26">
        <f t="shared" si="154"/>
        <v>1.5</v>
      </c>
      <c r="BZ128" s="26">
        <f t="shared" si="154"/>
        <v>1.5</v>
      </c>
      <c r="CA128" s="26">
        <f t="shared" si="154"/>
        <v>1.5</v>
      </c>
      <c r="CB128" s="26">
        <f t="shared" si="154"/>
        <v>1.5</v>
      </c>
      <c r="CC128" s="26">
        <f t="shared" si="154"/>
        <v>1.5</v>
      </c>
      <c r="CD128" s="26">
        <f t="shared" si="154"/>
        <v>0.05</v>
      </c>
      <c r="CE128" s="26">
        <f t="shared" si="154"/>
        <v>1</v>
      </c>
      <c r="CF128" s="26">
        <f t="shared" si="154"/>
        <v>1</v>
      </c>
      <c r="CG128" s="26">
        <f t="shared" si="154"/>
        <v>1</v>
      </c>
      <c r="CH128" s="26">
        <f t="shared" si="154"/>
        <v>1</v>
      </c>
      <c r="CI128" s="26">
        <f t="shared" si="155"/>
        <v>1</v>
      </c>
      <c r="CJ128" s="26">
        <f t="shared" si="155"/>
        <v>0.2</v>
      </c>
      <c r="CK128" s="26">
        <f t="shared" si="155"/>
        <v>0.2</v>
      </c>
      <c r="CL128" s="26">
        <f t="shared" si="155"/>
        <v>0.2</v>
      </c>
      <c r="CM128" s="26">
        <f t="shared" si="155"/>
        <v>0.2</v>
      </c>
      <c r="CN128" s="26">
        <f t="shared" si="155"/>
        <v>0.2</v>
      </c>
      <c r="CO128" s="26">
        <f t="shared" si="155"/>
        <v>0.1</v>
      </c>
      <c r="CP128" s="26">
        <f t="shared" si="155"/>
        <v>0.05</v>
      </c>
      <c r="CQ128" s="26">
        <f t="shared" si="155"/>
        <v>0.05</v>
      </c>
      <c r="CR128" s="26">
        <f t="shared" si="155"/>
        <v>0.05</v>
      </c>
      <c r="CS128" s="26">
        <f t="shared" si="155"/>
        <v>0.05</v>
      </c>
      <c r="CT128" s="26">
        <f t="shared" si="155"/>
        <v>2.5000000000000001E-2</v>
      </c>
      <c r="CU128" s="26">
        <f t="shared" si="156"/>
        <v>1.5</v>
      </c>
      <c r="CV128" s="26">
        <f t="shared" si="156"/>
        <v>1.5</v>
      </c>
      <c r="CW128" s="26">
        <f t="shared" si="156"/>
        <v>1.5</v>
      </c>
      <c r="CX128" s="26">
        <f t="shared" si="156"/>
        <v>1.5</v>
      </c>
      <c r="CY128" s="26">
        <f t="shared" si="156"/>
        <v>1.5</v>
      </c>
      <c r="CZ128" s="26">
        <f t="shared" si="156"/>
        <v>0.1</v>
      </c>
      <c r="DA128" s="26">
        <f t="shared" si="156"/>
        <v>1</v>
      </c>
      <c r="DB128" s="26">
        <f t="shared" si="156"/>
        <v>1</v>
      </c>
      <c r="DC128" s="26">
        <f t="shared" si="156"/>
        <v>1</v>
      </c>
      <c r="DD128" s="26">
        <f t="shared" si="156"/>
        <v>1</v>
      </c>
      <c r="DE128" s="26">
        <f t="shared" si="157"/>
        <v>1</v>
      </c>
      <c r="DF128" s="26">
        <f t="shared" si="157"/>
        <v>0.2</v>
      </c>
      <c r="DG128" s="26">
        <f t="shared" si="157"/>
        <v>0.2</v>
      </c>
      <c r="DH128" s="26">
        <f t="shared" si="157"/>
        <v>0.2</v>
      </c>
      <c r="DI128" s="26">
        <f t="shared" si="157"/>
        <v>0.2</v>
      </c>
      <c r="DJ128" s="26">
        <f t="shared" si="157"/>
        <v>0.2</v>
      </c>
      <c r="DK128" s="26">
        <f t="shared" si="157"/>
        <v>0.1</v>
      </c>
      <c r="DL128" s="26">
        <f t="shared" si="157"/>
        <v>0.1</v>
      </c>
      <c r="DM128" s="26">
        <f t="shared" si="157"/>
        <v>0.1</v>
      </c>
      <c r="DN128" s="26">
        <f t="shared" si="157"/>
        <v>0.05</v>
      </c>
      <c r="DO128" s="26">
        <f t="shared" si="157"/>
        <v>0.05</v>
      </c>
      <c r="DP128" s="26">
        <f t="shared" si="157"/>
        <v>0.05</v>
      </c>
      <c r="DQ128" s="26">
        <f t="shared" si="158"/>
        <v>1.5</v>
      </c>
      <c r="DR128" s="26">
        <f t="shared" si="158"/>
        <v>1.5</v>
      </c>
      <c r="DS128" s="26">
        <f t="shared" si="158"/>
        <v>1.5</v>
      </c>
      <c r="DT128" s="26">
        <f t="shared" si="158"/>
        <v>1.5</v>
      </c>
      <c r="DU128" s="26">
        <f t="shared" si="158"/>
        <v>1.5</v>
      </c>
      <c r="DV128" s="26">
        <f t="shared" si="158"/>
        <v>0.1</v>
      </c>
      <c r="DW128" s="26">
        <f t="shared" si="158"/>
        <v>1</v>
      </c>
      <c r="DX128" s="26">
        <f t="shared" si="158"/>
        <v>1</v>
      </c>
      <c r="DY128" s="26">
        <f t="shared" si="158"/>
        <v>1</v>
      </c>
      <c r="DZ128" s="26">
        <f t="shared" si="158"/>
        <v>1</v>
      </c>
      <c r="EA128" s="26">
        <f t="shared" si="159"/>
        <v>1</v>
      </c>
      <c r="EB128" s="26">
        <f t="shared" si="159"/>
        <v>0.2</v>
      </c>
      <c r="EC128" s="26">
        <f t="shared" si="159"/>
        <v>0.2</v>
      </c>
      <c r="ED128" s="26">
        <f t="shared" si="159"/>
        <v>0.2</v>
      </c>
      <c r="EE128" s="26">
        <f t="shared" si="159"/>
        <v>0.2</v>
      </c>
      <c r="EF128" s="26">
        <f t="shared" si="159"/>
        <v>0.2</v>
      </c>
      <c r="EG128" s="26">
        <f t="shared" si="159"/>
        <v>0.1</v>
      </c>
      <c r="EH128" s="26">
        <f t="shared" si="159"/>
        <v>0.1</v>
      </c>
      <c r="EI128" s="26">
        <f t="shared" si="159"/>
        <v>0.1</v>
      </c>
      <c r="EJ128" s="26">
        <f t="shared" si="159"/>
        <v>0.05</v>
      </c>
      <c r="EK128" s="26">
        <f t="shared" si="159"/>
        <v>0.05</v>
      </c>
      <c r="EL128" s="26">
        <f t="shared" si="159"/>
        <v>0.05</v>
      </c>
      <c r="EM128" s="26">
        <f t="shared" si="92"/>
        <v>589257</v>
      </c>
      <c r="EN128" s="26">
        <f t="shared" si="93"/>
        <v>589257</v>
      </c>
      <c r="EO128" s="26">
        <f t="shared" si="94"/>
        <v>589257</v>
      </c>
      <c r="EP128" s="26">
        <f t="shared" si="95"/>
        <v>771411</v>
      </c>
      <c r="EQ128" s="26">
        <f t="shared" si="96"/>
        <v>771411</v>
      </c>
    </row>
    <row r="129" spans="17:147">
      <c r="Q129" s="26">
        <v>125</v>
      </c>
      <c r="R129" s="26">
        <f>总纲!D129</f>
        <v>5791.6187514801986</v>
      </c>
      <c r="S129" s="26">
        <f>求节点(将星点产出!$W$6:$W$44,将星点产出!$AO$6:$AO$44,星阵点亮!$Q129)</f>
        <v>997350</v>
      </c>
      <c r="T129" s="26">
        <f t="shared" si="87"/>
        <v>59</v>
      </c>
      <c r="U129" s="26">
        <f>总纲!E129</f>
        <v>4918.821805632133</v>
      </c>
      <c r="V129" s="26">
        <f>求节点(将星点产出!$W$51:$W$89,将星点产出!$AO$51:$AO$89,星阵点亮!$Q129)</f>
        <v>997350</v>
      </c>
      <c r="W129" s="26">
        <f t="shared" si="88"/>
        <v>59</v>
      </c>
      <c r="X129" s="26">
        <f>总纲!F129</f>
        <v>3940.0382366319791</v>
      </c>
      <c r="Y129" s="26">
        <f>求节点(将星点产出!$W$96:$W$134,将星点产出!$AO$96:$AO$134,星阵点亮!$Q129)</f>
        <v>997350</v>
      </c>
      <c r="Z129" s="26">
        <f t="shared" si="89"/>
        <v>59</v>
      </c>
      <c r="AA129" s="26">
        <f>总纲!G129</f>
        <v>2816.4641988448207</v>
      </c>
      <c r="AB129" s="26">
        <f>求节点(将星点产出!$W$141:$W$179,将星点产出!$AO$141:$AO$179,星阵点亮!$Q129)</f>
        <v>1304550</v>
      </c>
      <c r="AC129" s="26">
        <f t="shared" si="90"/>
        <v>66</v>
      </c>
      <c r="AD129" s="26">
        <f>总纲!H129</f>
        <v>1509.8750085108877</v>
      </c>
      <c r="AE129" s="26">
        <f>求节点(将星点产出!$W$186:$W$224,将星点产出!$AO$186:$AO$224,星阵点亮!$Q129)</f>
        <v>1304550</v>
      </c>
      <c r="AF129" s="26">
        <f t="shared" si="91"/>
        <v>66</v>
      </c>
      <c r="AG129" s="26">
        <f t="shared" si="150"/>
        <v>1.5</v>
      </c>
      <c r="AH129" s="26">
        <f t="shared" si="150"/>
        <v>1.5</v>
      </c>
      <c r="AI129" s="26">
        <f t="shared" si="150"/>
        <v>1.5</v>
      </c>
      <c r="AJ129" s="26">
        <f t="shared" si="150"/>
        <v>1.5</v>
      </c>
      <c r="AK129" s="26">
        <f t="shared" si="150"/>
        <v>1.5</v>
      </c>
      <c r="AL129" s="26">
        <f t="shared" si="150"/>
        <v>0.05</v>
      </c>
      <c r="AM129" s="26">
        <f t="shared" si="150"/>
        <v>1</v>
      </c>
      <c r="AN129" s="26">
        <f t="shared" si="150"/>
        <v>1</v>
      </c>
      <c r="AO129" s="26">
        <f t="shared" si="150"/>
        <v>1</v>
      </c>
      <c r="AP129" s="26">
        <f t="shared" si="150"/>
        <v>1</v>
      </c>
      <c r="AQ129" s="26">
        <f t="shared" si="151"/>
        <v>1</v>
      </c>
      <c r="AR129" s="26">
        <f t="shared" si="151"/>
        <v>0.2</v>
      </c>
      <c r="AS129" s="26">
        <f t="shared" si="151"/>
        <v>0.2</v>
      </c>
      <c r="AT129" s="26">
        <f t="shared" si="151"/>
        <v>0.2</v>
      </c>
      <c r="AU129" s="26">
        <f t="shared" si="151"/>
        <v>0.2</v>
      </c>
      <c r="AV129" s="26">
        <f t="shared" si="151"/>
        <v>0.2</v>
      </c>
      <c r="AW129" s="26">
        <f t="shared" si="151"/>
        <v>0.1</v>
      </c>
      <c r="AX129" s="26">
        <f t="shared" si="151"/>
        <v>0.05</v>
      </c>
      <c r="AY129" s="26">
        <f t="shared" si="151"/>
        <v>0.05</v>
      </c>
      <c r="AZ129" s="26">
        <f t="shared" si="151"/>
        <v>0.05</v>
      </c>
      <c r="BA129" s="26">
        <f t="shared" si="151"/>
        <v>0.05</v>
      </c>
      <c r="BB129" s="26">
        <f t="shared" si="151"/>
        <v>2.5000000000000001E-2</v>
      </c>
      <c r="BC129" s="26">
        <f t="shared" si="152"/>
        <v>1.5</v>
      </c>
      <c r="BD129" s="26">
        <f t="shared" si="152"/>
        <v>1.5</v>
      </c>
      <c r="BE129" s="26">
        <f t="shared" si="152"/>
        <v>1.5</v>
      </c>
      <c r="BF129" s="26">
        <f t="shared" si="152"/>
        <v>1.5</v>
      </c>
      <c r="BG129" s="26">
        <f t="shared" si="152"/>
        <v>1.5</v>
      </c>
      <c r="BH129" s="26">
        <f t="shared" si="152"/>
        <v>0.05</v>
      </c>
      <c r="BI129" s="26">
        <f t="shared" si="152"/>
        <v>1</v>
      </c>
      <c r="BJ129" s="26">
        <f t="shared" si="152"/>
        <v>1</v>
      </c>
      <c r="BK129" s="26">
        <f t="shared" si="152"/>
        <v>1</v>
      </c>
      <c r="BL129" s="26">
        <f t="shared" si="152"/>
        <v>1</v>
      </c>
      <c r="BM129" s="26">
        <f t="shared" si="153"/>
        <v>1</v>
      </c>
      <c r="BN129" s="26">
        <f t="shared" si="153"/>
        <v>0.2</v>
      </c>
      <c r="BO129" s="26">
        <f t="shared" si="153"/>
        <v>0.2</v>
      </c>
      <c r="BP129" s="26">
        <f t="shared" si="153"/>
        <v>0.2</v>
      </c>
      <c r="BQ129" s="26">
        <f t="shared" si="153"/>
        <v>0.2</v>
      </c>
      <c r="BR129" s="26">
        <f t="shared" si="153"/>
        <v>0.2</v>
      </c>
      <c r="BS129" s="26">
        <f t="shared" si="153"/>
        <v>0.1</v>
      </c>
      <c r="BT129" s="26">
        <f t="shared" si="153"/>
        <v>0.05</v>
      </c>
      <c r="BU129" s="26">
        <f t="shared" si="153"/>
        <v>0.05</v>
      </c>
      <c r="BV129" s="26">
        <f t="shared" si="153"/>
        <v>0.05</v>
      </c>
      <c r="BW129" s="26">
        <f t="shared" si="153"/>
        <v>0.05</v>
      </c>
      <c r="BX129" s="26">
        <f t="shared" si="153"/>
        <v>2.5000000000000001E-2</v>
      </c>
      <c r="BY129" s="26">
        <f t="shared" si="154"/>
        <v>1.5</v>
      </c>
      <c r="BZ129" s="26">
        <f t="shared" si="154"/>
        <v>1.5</v>
      </c>
      <c r="CA129" s="26">
        <f t="shared" si="154"/>
        <v>1.5</v>
      </c>
      <c r="CB129" s="26">
        <f t="shared" si="154"/>
        <v>1.5</v>
      </c>
      <c r="CC129" s="26">
        <f t="shared" si="154"/>
        <v>1.5</v>
      </c>
      <c r="CD129" s="26">
        <f t="shared" si="154"/>
        <v>0.05</v>
      </c>
      <c r="CE129" s="26">
        <f t="shared" si="154"/>
        <v>1</v>
      </c>
      <c r="CF129" s="26">
        <f t="shared" si="154"/>
        <v>1</v>
      </c>
      <c r="CG129" s="26">
        <f t="shared" si="154"/>
        <v>1</v>
      </c>
      <c r="CH129" s="26">
        <f t="shared" si="154"/>
        <v>1</v>
      </c>
      <c r="CI129" s="26">
        <f t="shared" si="155"/>
        <v>1</v>
      </c>
      <c r="CJ129" s="26">
        <f t="shared" si="155"/>
        <v>0.2</v>
      </c>
      <c r="CK129" s="26">
        <f t="shared" si="155"/>
        <v>0.2</v>
      </c>
      <c r="CL129" s="26">
        <f t="shared" si="155"/>
        <v>0.2</v>
      </c>
      <c r="CM129" s="26">
        <f t="shared" si="155"/>
        <v>0.2</v>
      </c>
      <c r="CN129" s="26">
        <f t="shared" si="155"/>
        <v>0.2</v>
      </c>
      <c r="CO129" s="26">
        <f t="shared" si="155"/>
        <v>0.1</v>
      </c>
      <c r="CP129" s="26">
        <f t="shared" si="155"/>
        <v>0.05</v>
      </c>
      <c r="CQ129" s="26">
        <f t="shared" si="155"/>
        <v>0.05</v>
      </c>
      <c r="CR129" s="26">
        <f t="shared" si="155"/>
        <v>0.05</v>
      </c>
      <c r="CS129" s="26">
        <f t="shared" si="155"/>
        <v>0.05</v>
      </c>
      <c r="CT129" s="26">
        <f t="shared" si="155"/>
        <v>2.5000000000000001E-2</v>
      </c>
      <c r="CU129" s="26">
        <f t="shared" si="156"/>
        <v>1.5</v>
      </c>
      <c r="CV129" s="26">
        <f t="shared" si="156"/>
        <v>1.5</v>
      </c>
      <c r="CW129" s="26">
        <f t="shared" si="156"/>
        <v>1.5</v>
      </c>
      <c r="CX129" s="26">
        <f t="shared" si="156"/>
        <v>1.5</v>
      </c>
      <c r="CY129" s="26">
        <f t="shared" si="156"/>
        <v>1.5</v>
      </c>
      <c r="CZ129" s="26">
        <f t="shared" si="156"/>
        <v>0.1</v>
      </c>
      <c r="DA129" s="26">
        <f t="shared" si="156"/>
        <v>1</v>
      </c>
      <c r="DB129" s="26">
        <f t="shared" si="156"/>
        <v>1</v>
      </c>
      <c r="DC129" s="26">
        <f t="shared" si="156"/>
        <v>1</v>
      </c>
      <c r="DD129" s="26">
        <f t="shared" si="156"/>
        <v>1</v>
      </c>
      <c r="DE129" s="26">
        <f t="shared" si="157"/>
        <v>1</v>
      </c>
      <c r="DF129" s="26">
        <f t="shared" si="157"/>
        <v>0.2</v>
      </c>
      <c r="DG129" s="26">
        <f t="shared" si="157"/>
        <v>0.2</v>
      </c>
      <c r="DH129" s="26">
        <f t="shared" si="157"/>
        <v>0.2</v>
      </c>
      <c r="DI129" s="26">
        <f t="shared" si="157"/>
        <v>0.2</v>
      </c>
      <c r="DJ129" s="26">
        <f t="shared" si="157"/>
        <v>0.2</v>
      </c>
      <c r="DK129" s="26">
        <f t="shared" si="157"/>
        <v>0.1</v>
      </c>
      <c r="DL129" s="26">
        <f t="shared" si="157"/>
        <v>0.1</v>
      </c>
      <c r="DM129" s="26">
        <f t="shared" si="157"/>
        <v>0.1</v>
      </c>
      <c r="DN129" s="26">
        <f t="shared" si="157"/>
        <v>0.05</v>
      </c>
      <c r="DO129" s="26">
        <f t="shared" si="157"/>
        <v>0.05</v>
      </c>
      <c r="DP129" s="26">
        <f t="shared" si="157"/>
        <v>0.05</v>
      </c>
      <c r="DQ129" s="26">
        <f t="shared" si="158"/>
        <v>1.5</v>
      </c>
      <c r="DR129" s="26">
        <f t="shared" si="158"/>
        <v>1.5</v>
      </c>
      <c r="DS129" s="26">
        <f t="shared" si="158"/>
        <v>1.5</v>
      </c>
      <c r="DT129" s="26">
        <f t="shared" si="158"/>
        <v>1.5</v>
      </c>
      <c r="DU129" s="26">
        <f t="shared" si="158"/>
        <v>1.5</v>
      </c>
      <c r="DV129" s="26">
        <f t="shared" si="158"/>
        <v>0.1</v>
      </c>
      <c r="DW129" s="26">
        <f t="shared" si="158"/>
        <v>1</v>
      </c>
      <c r="DX129" s="26">
        <f t="shared" si="158"/>
        <v>1</v>
      </c>
      <c r="DY129" s="26">
        <f t="shared" si="158"/>
        <v>1</v>
      </c>
      <c r="DZ129" s="26">
        <f t="shared" si="158"/>
        <v>1</v>
      </c>
      <c r="EA129" s="26">
        <f t="shared" si="159"/>
        <v>1</v>
      </c>
      <c r="EB129" s="26">
        <f t="shared" si="159"/>
        <v>0.2</v>
      </c>
      <c r="EC129" s="26">
        <f t="shared" si="159"/>
        <v>0.2</v>
      </c>
      <c r="ED129" s="26">
        <f t="shared" si="159"/>
        <v>0.2</v>
      </c>
      <c r="EE129" s="26">
        <f t="shared" si="159"/>
        <v>0.2</v>
      </c>
      <c r="EF129" s="26">
        <f t="shared" si="159"/>
        <v>0.2</v>
      </c>
      <c r="EG129" s="26">
        <f t="shared" si="159"/>
        <v>0.1</v>
      </c>
      <c r="EH129" s="26">
        <f t="shared" si="159"/>
        <v>0.1</v>
      </c>
      <c r="EI129" s="26">
        <f t="shared" si="159"/>
        <v>0.1</v>
      </c>
      <c r="EJ129" s="26">
        <f t="shared" si="159"/>
        <v>0.05</v>
      </c>
      <c r="EK129" s="26">
        <f t="shared" si="159"/>
        <v>0.05</v>
      </c>
      <c r="EL129" s="26">
        <f t="shared" si="159"/>
        <v>0.05</v>
      </c>
      <c r="EM129" s="26">
        <f t="shared" si="92"/>
        <v>589257</v>
      </c>
      <c r="EN129" s="26">
        <f t="shared" si="93"/>
        <v>589257</v>
      </c>
      <c r="EO129" s="26">
        <f t="shared" si="94"/>
        <v>589257</v>
      </c>
      <c r="EP129" s="26">
        <f t="shared" si="95"/>
        <v>771411</v>
      </c>
      <c r="EQ129" s="26">
        <f t="shared" si="96"/>
        <v>771411</v>
      </c>
    </row>
    <row r="130" spans="17:147">
      <c r="Q130" s="26">
        <v>126</v>
      </c>
      <c r="R130" s="26">
        <f>总纲!D130</f>
        <v>6207.3750564265865</v>
      </c>
      <c r="S130" s="26">
        <f>求节点(将星点产出!$W$6:$W$44,将星点产出!$AO$6:$AO$44,星阵点亮!$Q130)</f>
        <v>997350</v>
      </c>
      <c r="T130" s="26">
        <f t="shared" si="87"/>
        <v>59</v>
      </c>
      <c r="U130" s="26">
        <f>总纲!E130</f>
        <v>5279.3724854908123</v>
      </c>
      <c r="V130" s="26">
        <f>求节点(将星点产出!$W$51:$W$89,将星点产出!$AO$51:$AO$89,星阵点亮!$Q130)</f>
        <v>997350</v>
      </c>
      <c r="W130" s="26">
        <f t="shared" si="88"/>
        <v>59</v>
      </c>
      <c r="X130" s="26">
        <f>总纲!F130</f>
        <v>4225.9809384152195</v>
      </c>
      <c r="Y130" s="26">
        <f>求节点(将星点产出!$W$96:$W$134,将星点产出!$AO$96:$AO$134,星阵点亮!$Q130)</f>
        <v>997350</v>
      </c>
      <c r="Z130" s="26">
        <f t="shared" si="89"/>
        <v>59</v>
      </c>
      <c r="AA130" s="26">
        <f>总纲!G130</f>
        <v>3006.8524773330387</v>
      </c>
      <c r="AB130" s="26">
        <f>求节点(将星点产出!$W$141:$W$179,将星点产出!$AO$141:$AO$179,星阵点亮!$Q130)</f>
        <v>1304550</v>
      </c>
      <c r="AC130" s="26">
        <f t="shared" si="90"/>
        <v>66</v>
      </c>
      <c r="AD130" s="26">
        <f>总纲!H130</f>
        <v>1610.1930896370566</v>
      </c>
      <c r="AE130" s="26">
        <f>求节点(将星点产出!$W$186:$W$224,将星点产出!$AO$186:$AO$224,星阵点亮!$Q130)</f>
        <v>1304550</v>
      </c>
      <c r="AF130" s="26">
        <f t="shared" si="91"/>
        <v>66</v>
      </c>
      <c r="AG130" s="26">
        <f t="shared" si="150"/>
        <v>1.5</v>
      </c>
      <c r="AH130" s="26">
        <f t="shared" si="150"/>
        <v>1.5</v>
      </c>
      <c r="AI130" s="26">
        <f t="shared" si="150"/>
        <v>1.5</v>
      </c>
      <c r="AJ130" s="26">
        <f t="shared" si="150"/>
        <v>1.5</v>
      </c>
      <c r="AK130" s="26">
        <f t="shared" si="150"/>
        <v>1.5</v>
      </c>
      <c r="AL130" s="26">
        <f t="shared" si="150"/>
        <v>0.05</v>
      </c>
      <c r="AM130" s="26">
        <f t="shared" si="150"/>
        <v>1</v>
      </c>
      <c r="AN130" s="26">
        <f t="shared" si="150"/>
        <v>1</v>
      </c>
      <c r="AO130" s="26">
        <f t="shared" si="150"/>
        <v>1</v>
      </c>
      <c r="AP130" s="26">
        <f t="shared" si="150"/>
        <v>1</v>
      </c>
      <c r="AQ130" s="26">
        <f t="shared" si="151"/>
        <v>1</v>
      </c>
      <c r="AR130" s="26">
        <f t="shared" si="151"/>
        <v>0.2</v>
      </c>
      <c r="AS130" s="26">
        <f t="shared" si="151"/>
        <v>0.2</v>
      </c>
      <c r="AT130" s="26">
        <f t="shared" si="151"/>
        <v>0.2</v>
      </c>
      <c r="AU130" s="26">
        <f t="shared" si="151"/>
        <v>0.2</v>
      </c>
      <c r="AV130" s="26">
        <f t="shared" si="151"/>
        <v>0.2</v>
      </c>
      <c r="AW130" s="26">
        <f t="shared" si="151"/>
        <v>0.1</v>
      </c>
      <c r="AX130" s="26">
        <f t="shared" si="151"/>
        <v>0.05</v>
      </c>
      <c r="AY130" s="26">
        <f t="shared" si="151"/>
        <v>0.05</v>
      </c>
      <c r="AZ130" s="26">
        <f t="shared" si="151"/>
        <v>0.05</v>
      </c>
      <c r="BA130" s="26">
        <f t="shared" si="151"/>
        <v>0.05</v>
      </c>
      <c r="BB130" s="26">
        <f t="shared" si="151"/>
        <v>2.5000000000000001E-2</v>
      </c>
      <c r="BC130" s="26">
        <f t="shared" si="152"/>
        <v>1.5</v>
      </c>
      <c r="BD130" s="26">
        <f t="shared" si="152"/>
        <v>1.5</v>
      </c>
      <c r="BE130" s="26">
        <f t="shared" si="152"/>
        <v>1.5</v>
      </c>
      <c r="BF130" s="26">
        <f t="shared" si="152"/>
        <v>1.5</v>
      </c>
      <c r="BG130" s="26">
        <f t="shared" si="152"/>
        <v>1.5</v>
      </c>
      <c r="BH130" s="26">
        <f t="shared" si="152"/>
        <v>0.05</v>
      </c>
      <c r="BI130" s="26">
        <f t="shared" si="152"/>
        <v>1</v>
      </c>
      <c r="BJ130" s="26">
        <f t="shared" si="152"/>
        <v>1</v>
      </c>
      <c r="BK130" s="26">
        <f t="shared" si="152"/>
        <v>1</v>
      </c>
      <c r="BL130" s="26">
        <f t="shared" si="152"/>
        <v>1</v>
      </c>
      <c r="BM130" s="26">
        <f t="shared" si="153"/>
        <v>1</v>
      </c>
      <c r="BN130" s="26">
        <f t="shared" si="153"/>
        <v>0.2</v>
      </c>
      <c r="BO130" s="26">
        <f t="shared" si="153"/>
        <v>0.2</v>
      </c>
      <c r="BP130" s="26">
        <f t="shared" si="153"/>
        <v>0.2</v>
      </c>
      <c r="BQ130" s="26">
        <f t="shared" si="153"/>
        <v>0.2</v>
      </c>
      <c r="BR130" s="26">
        <f t="shared" si="153"/>
        <v>0.2</v>
      </c>
      <c r="BS130" s="26">
        <f t="shared" si="153"/>
        <v>0.1</v>
      </c>
      <c r="BT130" s="26">
        <f t="shared" si="153"/>
        <v>0.05</v>
      </c>
      <c r="BU130" s="26">
        <f t="shared" si="153"/>
        <v>0.05</v>
      </c>
      <c r="BV130" s="26">
        <f t="shared" si="153"/>
        <v>0.05</v>
      </c>
      <c r="BW130" s="26">
        <f t="shared" si="153"/>
        <v>0.05</v>
      </c>
      <c r="BX130" s="26">
        <f t="shared" si="153"/>
        <v>2.5000000000000001E-2</v>
      </c>
      <c r="BY130" s="26">
        <f t="shared" si="154"/>
        <v>1.5</v>
      </c>
      <c r="BZ130" s="26">
        <f t="shared" si="154"/>
        <v>1.5</v>
      </c>
      <c r="CA130" s="26">
        <f t="shared" si="154"/>
        <v>1.5</v>
      </c>
      <c r="CB130" s="26">
        <f t="shared" si="154"/>
        <v>1.5</v>
      </c>
      <c r="CC130" s="26">
        <f t="shared" si="154"/>
        <v>1.5</v>
      </c>
      <c r="CD130" s="26">
        <f t="shared" si="154"/>
        <v>0.05</v>
      </c>
      <c r="CE130" s="26">
        <f t="shared" si="154"/>
        <v>1</v>
      </c>
      <c r="CF130" s="26">
        <f t="shared" si="154"/>
        <v>1</v>
      </c>
      <c r="CG130" s="26">
        <f t="shared" si="154"/>
        <v>1</v>
      </c>
      <c r="CH130" s="26">
        <f t="shared" si="154"/>
        <v>1</v>
      </c>
      <c r="CI130" s="26">
        <f t="shared" si="155"/>
        <v>1</v>
      </c>
      <c r="CJ130" s="26">
        <f t="shared" si="155"/>
        <v>0.2</v>
      </c>
      <c r="CK130" s="26">
        <f t="shared" si="155"/>
        <v>0.2</v>
      </c>
      <c r="CL130" s="26">
        <f t="shared" si="155"/>
        <v>0.2</v>
      </c>
      <c r="CM130" s="26">
        <f t="shared" si="155"/>
        <v>0.2</v>
      </c>
      <c r="CN130" s="26">
        <f t="shared" si="155"/>
        <v>0.2</v>
      </c>
      <c r="CO130" s="26">
        <f t="shared" si="155"/>
        <v>0.1</v>
      </c>
      <c r="CP130" s="26">
        <f t="shared" si="155"/>
        <v>0.05</v>
      </c>
      <c r="CQ130" s="26">
        <f t="shared" si="155"/>
        <v>0.05</v>
      </c>
      <c r="CR130" s="26">
        <f t="shared" si="155"/>
        <v>0.05</v>
      </c>
      <c r="CS130" s="26">
        <f t="shared" si="155"/>
        <v>0.05</v>
      </c>
      <c r="CT130" s="26">
        <f t="shared" si="155"/>
        <v>2.5000000000000001E-2</v>
      </c>
      <c r="CU130" s="26">
        <f t="shared" si="156"/>
        <v>1.5</v>
      </c>
      <c r="CV130" s="26">
        <f t="shared" si="156"/>
        <v>1.5</v>
      </c>
      <c r="CW130" s="26">
        <f t="shared" si="156"/>
        <v>1.5</v>
      </c>
      <c r="CX130" s="26">
        <f t="shared" si="156"/>
        <v>1.5</v>
      </c>
      <c r="CY130" s="26">
        <f t="shared" si="156"/>
        <v>1.5</v>
      </c>
      <c r="CZ130" s="26">
        <f t="shared" si="156"/>
        <v>0.1</v>
      </c>
      <c r="DA130" s="26">
        <f t="shared" si="156"/>
        <v>1</v>
      </c>
      <c r="DB130" s="26">
        <f t="shared" si="156"/>
        <v>1</v>
      </c>
      <c r="DC130" s="26">
        <f t="shared" si="156"/>
        <v>1</v>
      </c>
      <c r="DD130" s="26">
        <f t="shared" si="156"/>
        <v>1</v>
      </c>
      <c r="DE130" s="26">
        <f t="shared" si="157"/>
        <v>1</v>
      </c>
      <c r="DF130" s="26">
        <f t="shared" si="157"/>
        <v>0.2</v>
      </c>
      <c r="DG130" s="26">
        <f t="shared" si="157"/>
        <v>0.2</v>
      </c>
      <c r="DH130" s="26">
        <f t="shared" si="157"/>
        <v>0.2</v>
      </c>
      <c r="DI130" s="26">
        <f t="shared" si="157"/>
        <v>0.2</v>
      </c>
      <c r="DJ130" s="26">
        <f t="shared" si="157"/>
        <v>0.2</v>
      </c>
      <c r="DK130" s="26">
        <f t="shared" si="157"/>
        <v>0.1</v>
      </c>
      <c r="DL130" s="26">
        <f t="shared" si="157"/>
        <v>0.1</v>
      </c>
      <c r="DM130" s="26">
        <f t="shared" si="157"/>
        <v>0.1</v>
      </c>
      <c r="DN130" s="26">
        <f t="shared" si="157"/>
        <v>0.05</v>
      </c>
      <c r="DO130" s="26">
        <f t="shared" si="157"/>
        <v>0.05</v>
      </c>
      <c r="DP130" s="26">
        <f t="shared" si="157"/>
        <v>0.05</v>
      </c>
      <c r="DQ130" s="26">
        <f t="shared" si="158"/>
        <v>1.5</v>
      </c>
      <c r="DR130" s="26">
        <f t="shared" si="158"/>
        <v>1.5</v>
      </c>
      <c r="DS130" s="26">
        <f t="shared" si="158"/>
        <v>1.5</v>
      </c>
      <c r="DT130" s="26">
        <f t="shared" si="158"/>
        <v>1.5</v>
      </c>
      <c r="DU130" s="26">
        <f t="shared" si="158"/>
        <v>1.5</v>
      </c>
      <c r="DV130" s="26">
        <f t="shared" si="158"/>
        <v>0.1</v>
      </c>
      <c r="DW130" s="26">
        <f t="shared" si="158"/>
        <v>1</v>
      </c>
      <c r="DX130" s="26">
        <f t="shared" si="158"/>
        <v>1</v>
      </c>
      <c r="DY130" s="26">
        <f t="shared" si="158"/>
        <v>1</v>
      </c>
      <c r="DZ130" s="26">
        <f t="shared" si="158"/>
        <v>1</v>
      </c>
      <c r="EA130" s="26">
        <f t="shared" si="159"/>
        <v>1</v>
      </c>
      <c r="EB130" s="26">
        <f t="shared" si="159"/>
        <v>0.2</v>
      </c>
      <c r="EC130" s="26">
        <f t="shared" si="159"/>
        <v>0.2</v>
      </c>
      <c r="ED130" s="26">
        <f t="shared" si="159"/>
        <v>0.2</v>
      </c>
      <c r="EE130" s="26">
        <f t="shared" si="159"/>
        <v>0.2</v>
      </c>
      <c r="EF130" s="26">
        <f t="shared" si="159"/>
        <v>0.2</v>
      </c>
      <c r="EG130" s="26">
        <f t="shared" si="159"/>
        <v>0.1</v>
      </c>
      <c r="EH130" s="26">
        <f t="shared" si="159"/>
        <v>0.1</v>
      </c>
      <c r="EI130" s="26">
        <f t="shared" si="159"/>
        <v>0.1</v>
      </c>
      <c r="EJ130" s="26">
        <f t="shared" si="159"/>
        <v>0.05</v>
      </c>
      <c r="EK130" s="26">
        <f t="shared" si="159"/>
        <v>0.05</v>
      </c>
      <c r="EL130" s="26">
        <f t="shared" si="159"/>
        <v>0.05</v>
      </c>
      <c r="EM130" s="26">
        <f t="shared" si="92"/>
        <v>589257</v>
      </c>
      <c r="EN130" s="26">
        <f t="shared" si="93"/>
        <v>589257</v>
      </c>
      <c r="EO130" s="26">
        <f t="shared" si="94"/>
        <v>589257</v>
      </c>
      <c r="EP130" s="26">
        <f t="shared" si="95"/>
        <v>771411</v>
      </c>
      <c r="EQ130" s="26">
        <f t="shared" si="96"/>
        <v>771411</v>
      </c>
    </row>
    <row r="131" spans="17:147">
      <c r="Q131" s="26">
        <v>127</v>
      </c>
      <c r="R131" s="26">
        <f>总纲!D131</f>
        <v>6652.971630950271</v>
      </c>
      <c r="S131" s="26">
        <f>求节点(将星点产出!$W$6:$W$44,将星点产出!$AO$6:$AO$44,星阵点亮!$Q131)</f>
        <v>997350</v>
      </c>
      <c r="T131" s="26">
        <f t="shared" si="87"/>
        <v>59</v>
      </c>
      <c r="U131" s="26">
        <f>总纲!E131</f>
        <v>5658.3523721232059</v>
      </c>
      <c r="V131" s="26">
        <f>求节点(将星点产出!$W$51:$W$89,将星点产出!$AO$51:$AO$89,星阵点亮!$Q131)</f>
        <v>997350</v>
      </c>
      <c r="W131" s="26">
        <f t="shared" si="88"/>
        <v>59</v>
      </c>
      <c r="X131" s="26">
        <f>总纲!F131</f>
        <v>4508.7188742949984</v>
      </c>
      <c r="Y131" s="26">
        <f>求节点(将星点产出!$W$96:$W$134,将星点产出!$AO$96:$AO$134,星阵点亮!$Q131)</f>
        <v>997350</v>
      </c>
      <c r="Z131" s="26">
        <f t="shared" si="89"/>
        <v>59</v>
      </c>
      <c r="AA131" s="26">
        <f>总纲!G131</f>
        <v>3203.4058403025556</v>
      </c>
      <c r="AB131" s="26">
        <f>求节点(将星点产出!$W$141:$W$179,将星点产出!$AO$141:$AO$179,星阵点亮!$Q131)</f>
        <v>1304550</v>
      </c>
      <c r="AC131" s="26">
        <f t="shared" si="90"/>
        <v>66</v>
      </c>
      <c r="AD131" s="26">
        <f>总纲!H131</f>
        <v>1719.793166600645</v>
      </c>
      <c r="AE131" s="26">
        <f>求节点(将星点产出!$W$186:$W$224,将星点产出!$AO$186:$AO$224,星阵点亮!$Q131)</f>
        <v>1304550</v>
      </c>
      <c r="AF131" s="26">
        <f t="shared" si="91"/>
        <v>66</v>
      </c>
      <c r="AG131" s="26">
        <f t="shared" si="150"/>
        <v>1.5</v>
      </c>
      <c r="AH131" s="26">
        <f t="shared" si="150"/>
        <v>1.5</v>
      </c>
      <c r="AI131" s="26">
        <f t="shared" si="150"/>
        <v>1.5</v>
      </c>
      <c r="AJ131" s="26">
        <f t="shared" si="150"/>
        <v>1.5</v>
      </c>
      <c r="AK131" s="26">
        <f t="shared" si="150"/>
        <v>1.5</v>
      </c>
      <c r="AL131" s="26">
        <f t="shared" si="150"/>
        <v>0.05</v>
      </c>
      <c r="AM131" s="26">
        <f t="shared" si="150"/>
        <v>1</v>
      </c>
      <c r="AN131" s="26">
        <f t="shared" si="150"/>
        <v>1</v>
      </c>
      <c r="AO131" s="26">
        <f t="shared" si="150"/>
        <v>1</v>
      </c>
      <c r="AP131" s="26">
        <f t="shared" si="150"/>
        <v>1</v>
      </c>
      <c r="AQ131" s="26">
        <f t="shared" si="151"/>
        <v>1</v>
      </c>
      <c r="AR131" s="26">
        <f t="shared" si="151"/>
        <v>0.2</v>
      </c>
      <c r="AS131" s="26">
        <f t="shared" si="151"/>
        <v>0.2</v>
      </c>
      <c r="AT131" s="26">
        <f t="shared" si="151"/>
        <v>0.2</v>
      </c>
      <c r="AU131" s="26">
        <f t="shared" si="151"/>
        <v>0.2</v>
      </c>
      <c r="AV131" s="26">
        <f t="shared" si="151"/>
        <v>0.2</v>
      </c>
      <c r="AW131" s="26">
        <f t="shared" si="151"/>
        <v>0.1</v>
      </c>
      <c r="AX131" s="26">
        <f t="shared" si="151"/>
        <v>0.05</v>
      </c>
      <c r="AY131" s="26">
        <f t="shared" si="151"/>
        <v>0.05</v>
      </c>
      <c r="AZ131" s="26">
        <f t="shared" si="151"/>
        <v>0.05</v>
      </c>
      <c r="BA131" s="26">
        <f t="shared" si="151"/>
        <v>0.05</v>
      </c>
      <c r="BB131" s="26">
        <f t="shared" si="151"/>
        <v>2.5000000000000001E-2</v>
      </c>
      <c r="BC131" s="26">
        <f t="shared" si="152"/>
        <v>1.5</v>
      </c>
      <c r="BD131" s="26">
        <f t="shared" si="152"/>
        <v>1.5</v>
      </c>
      <c r="BE131" s="26">
        <f t="shared" si="152"/>
        <v>1.5</v>
      </c>
      <c r="BF131" s="26">
        <f t="shared" si="152"/>
        <v>1.5</v>
      </c>
      <c r="BG131" s="26">
        <f t="shared" si="152"/>
        <v>1.5</v>
      </c>
      <c r="BH131" s="26">
        <f t="shared" si="152"/>
        <v>0.05</v>
      </c>
      <c r="BI131" s="26">
        <f t="shared" si="152"/>
        <v>1</v>
      </c>
      <c r="BJ131" s="26">
        <f t="shared" si="152"/>
        <v>1</v>
      </c>
      <c r="BK131" s="26">
        <f t="shared" si="152"/>
        <v>1</v>
      </c>
      <c r="BL131" s="26">
        <f t="shared" si="152"/>
        <v>1</v>
      </c>
      <c r="BM131" s="26">
        <f t="shared" si="153"/>
        <v>1</v>
      </c>
      <c r="BN131" s="26">
        <f t="shared" si="153"/>
        <v>0.2</v>
      </c>
      <c r="BO131" s="26">
        <f t="shared" si="153"/>
        <v>0.2</v>
      </c>
      <c r="BP131" s="26">
        <f t="shared" si="153"/>
        <v>0.2</v>
      </c>
      <c r="BQ131" s="26">
        <f t="shared" si="153"/>
        <v>0.2</v>
      </c>
      <c r="BR131" s="26">
        <f t="shared" si="153"/>
        <v>0.2</v>
      </c>
      <c r="BS131" s="26">
        <f t="shared" si="153"/>
        <v>0.1</v>
      </c>
      <c r="BT131" s="26">
        <f t="shared" si="153"/>
        <v>0.05</v>
      </c>
      <c r="BU131" s="26">
        <f t="shared" si="153"/>
        <v>0.05</v>
      </c>
      <c r="BV131" s="26">
        <f t="shared" si="153"/>
        <v>0.05</v>
      </c>
      <c r="BW131" s="26">
        <f t="shared" si="153"/>
        <v>0.05</v>
      </c>
      <c r="BX131" s="26">
        <f t="shared" si="153"/>
        <v>2.5000000000000001E-2</v>
      </c>
      <c r="BY131" s="26">
        <f t="shared" si="154"/>
        <v>1.5</v>
      </c>
      <c r="BZ131" s="26">
        <f t="shared" si="154"/>
        <v>1.5</v>
      </c>
      <c r="CA131" s="26">
        <f t="shared" si="154"/>
        <v>1.5</v>
      </c>
      <c r="CB131" s="26">
        <f t="shared" si="154"/>
        <v>1.5</v>
      </c>
      <c r="CC131" s="26">
        <f t="shared" si="154"/>
        <v>1.5</v>
      </c>
      <c r="CD131" s="26">
        <f t="shared" si="154"/>
        <v>0.05</v>
      </c>
      <c r="CE131" s="26">
        <f t="shared" si="154"/>
        <v>1</v>
      </c>
      <c r="CF131" s="26">
        <f t="shared" si="154"/>
        <v>1</v>
      </c>
      <c r="CG131" s="26">
        <f t="shared" si="154"/>
        <v>1</v>
      </c>
      <c r="CH131" s="26">
        <f t="shared" si="154"/>
        <v>1</v>
      </c>
      <c r="CI131" s="26">
        <f t="shared" si="155"/>
        <v>1</v>
      </c>
      <c r="CJ131" s="26">
        <f t="shared" si="155"/>
        <v>0.2</v>
      </c>
      <c r="CK131" s="26">
        <f t="shared" si="155"/>
        <v>0.2</v>
      </c>
      <c r="CL131" s="26">
        <f t="shared" si="155"/>
        <v>0.2</v>
      </c>
      <c r="CM131" s="26">
        <f t="shared" si="155"/>
        <v>0.2</v>
      </c>
      <c r="CN131" s="26">
        <f t="shared" si="155"/>
        <v>0.2</v>
      </c>
      <c r="CO131" s="26">
        <f t="shared" si="155"/>
        <v>0.1</v>
      </c>
      <c r="CP131" s="26">
        <f t="shared" si="155"/>
        <v>0.05</v>
      </c>
      <c r="CQ131" s="26">
        <f t="shared" si="155"/>
        <v>0.05</v>
      </c>
      <c r="CR131" s="26">
        <f t="shared" si="155"/>
        <v>0.05</v>
      </c>
      <c r="CS131" s="26">
        <f t="shared" si="155"/>
        <v>0.05</v>
      </c>
      <c r="CT131" s="26">
        <f t="shared" si="155"/>
        <v>2.5000000000000001E-2</v>
      </c>
      <c r="CU131" s="26">
        <f t="shared" si="156"/>
        <v>1.5</v>
      </c>
      <c r="CV131" s="26">
        <f t="shared" si="156"/>
        <v>1.5</v>
      </c>
      <c r="CW131" s="26">
        <f t="shared" si="156"/>
        <v>1.5</v>
      </c>
      <c r="CX131" s="26">
        <f t="shared" si="156"/>
        <v>1.5</v>
      </c>
      <c r="CY131" s="26">
        <f t="shared" si="156"/>
        <v>1.5</v>
      </c>
      <c r="CZ131" s="26">
        <f t="shared" si="156"/>
        <v>0.1</v>
      </c>
      <c r="DA131" s="26">
        <f t="shared" si="156"/>
        <v>1</v>
      </c>
      <c r="DB131" s="26">
        <f t="shared" si="156"/>
        <v>1</v>
      </c>
      <c r="DC131" s="26">
        <f t="shared" si="156"/>
        <v>1</v>
      </c>
      <c r="DD131" s="26">
        <f t="shared" si="156"/>
        <v>1</v>
      </c>
      <c r="DE131" s="26">
        <f t="shared" si="157"/>
        <v>1</v>
      </c>
      <c r="DF131" s="26">
        <f t="shared" si="157"/>
        <v>0.2</v>
      </c>
      <c r="DG131" s="26">
        <f t="shared" si="157"/>
        <v>0.2</v>
      </c>
      <c r="DH131" s="26">
        <f t="shared" si="157"/>
        <v>0.2</v>
      </c>
      <c r="DI131" s="26">
        <f t="shared" si="157"/>
        <v>0.2</v>
      </c>
      <c r="DJ131" s="26">
        <f t="shared" si="157"/>
        <v>0.2</v>
      </c>
      <c r="DK131" s="26">
        <f t="shared" si="157"/>
        <v>0.1</v>
      </c>
      <c r="DL131" s="26">
        <f t="shared" si="157"/>
        <v>0.1</v>
      </c>
      <c r="DM131" s="26">
        <f t="shared" si="157"/>
        <v>0.1</v>
      </c>
      <c r="DN131" s="26">
        <f t="shared" si="157"/>
        <v>0.05</v>
      </c>
      <c r="DO131" s="26">
        <f t="shared" si="157"/>
        <v>0.05</v>
      </c>
      <c r="DP131" s="26">
        <f t="shared" si="157"/>
        <v>0.05</v>
      </c>
      <c r="DQ131" s="26">
        <f t="shared" si="158"/>
        <v>1.5</v>
      </c>
      <c r="DR131" s="26">
        <f t="shared" si="158"/>
        <v>1.5</v>
      </c>
      <c r="DS131" s="26">
        <f t="shared" si="158"/>
        <v>1.5</v>
      </c>
      <c r="DT131" s="26">
        <f t="shared" si="158"/>
        <v>1.5</v>
      </c>
      <c r="DU131" s="26">
        <f t="shared" si="158"/>
        <v>1.5</v>
      </c>
      <c r="DV131" s="26">
        <f t="shared" si="158"/>
        <v>0.1</v>
      </c>
      <c r="DW131" s="26">
        <f t="shared" si="158"/>
        <v>1</v>
      </c>
      <c r="DX131" s="26">
        <f t="shared" si="158"/>
        <v>1</v>
      </c>
      <c r="DY131" s="26">
        <f t="shared" si="158"/>
        <v>1</v>
      </c>
      <c r="DZ131" s="26">
        <f t="shared" si="158"/>
        <v>1</v>
      </c>
      <c r="EA131" s="26">
        <f t="shared" si="159"/>
        <v>1</v>
      </c>
      <c r="EB131" s="26">
        <f t="shared" si="159"/>
        <v>0.2</v>
      </c>
      <c r="EC131" s="26">
        <f t="shared" si="159"/>
        <v>0.2</v>
      </c>
      <c r="ED131" s="26">
        <f t="shared" si="159"/>
        <v>0.2</v>
      </c>
      <c r="EE131" s="26">
        <f t="shared" si="159"/>
        <v>0.2</v>
      </c>
      <c r="EF131" s="26">
        <f t="shared" si="159"/>
        <v>0.2</v>
      </c>
      <c r="EG131" s="26">
        <f t="shared" si="159"/>
        <v>0.1</v>
      </c>
      <c r="EH131" s="26">
        <f t="shared" si="159"/>
        <v>0.1</v>
      </c>
      <c r="EI131" s="26">
        <f t="shared" si="159"/>
        <v>0.1</v>
      </c>
      <c r="EJ131" s="26">
        <f t="shared" si="159"/>
        <v>0.05</v>
      </c>
      <c r="EK131" s="26">
        <f t="shared" si="159"/>
        <v>0.05</v>
      </c>
      <c r="EL131" s="26">
        <f t="shared" si="159"/>
        <v>0.05</v>
      </c>
      <c r="EM131" s="26">
        <f t="shared" si="92"/>
        <v>589257</v>
      </c>
      <c r="EN131" s="26">
        <f t="shared" si="93"/>
        <v>589257</v>
      </c>
      <c r="EO131" s="26">
        <f t="shared" si="94"/>
        <v>589257</v>
      </c>
      <c r="EP131" s="26">
        <f t="shared" si="95"/>
        <v>771411</v>
      </c>
      <c r="EQ131" s="26">
        <f t="shared" si="96"/>
        <v>771411</v>
      </c>
    </row>
    <row r="132" spans="17:147">
      <c r="Q132" s="26">
        <v>128</v>
      </c>
      <c r="R132" s="26">
        <f>总纲!D132</f>
        <v>7130.5502145218443</v>
      </c>
      <c r="S132" s="26">
        <f>求节点(将星点产出!$W$6:$W$44,将星点产出!$AO$6:$AO$44,星阵点亮!$Q132)</f>
        <v>997350</v>
      </c>
      <c r="T132" s="26">
        <f t="shared" si="87"/>
        <v>59</v>
      </c>
      <c r="U132" s="26">
        <f>总纲!E132</f>
        <v>6036.010756592741</v>
      </c>
      <c r="V132" s="26">
        <f>求节点(将星点产出!$W$51:$W$89,将星点产出!$AO$51:$AO$89,星阵点亮!$Q132)</f>
        <v>997350</v>
      </c>
      <c r="W132" s="26">
        <f t="shared" si="88"/>
        <v>59</v>
      </c>
      <c r="X132" s="26">
        <f>总纲!F132</f>
        <v>4805.9908445877236</v>
      </c>
      <c r="Y132" s="26">
        <f>求节点(将星点产出!$W$96:$W$134,将星点产出!$AO$96:$AO$134,星阵点亮!$Q132)</f>
        <v>997350</v>
      </c>
      <c r="Z132" s="26">
        <f t="shared" si="89"/>
        <v>59</v>
      </c>
      <c r="AA132" s="26">
        <f>总纲!G132</f>
        <v>3419.0988278632244</v>
      </c>
      <c r="AB132" s="26">
        <f>求节点(将星点产出!$W$141:$W$179,将星点产出!$AO$141:$AO$179,星阵点亮!$Q132)</f>
        <v>1304550</v>
      </c>
      <c r="AC132" s="26">
        <f t="shared" si="90"/>
        <v>66</v>
      </c>
      <c r="AD132" s="26">
        <f>总纲!H132</f>
        <v>1838.9689003251838</v>
      </c>
      <c r="AE132" s="26">
        <f>求节点(将星点产出!$W$186:$W$224,将星点产出!$AO$186:$AO$224,星阵点亮!$Q132)</f>
        <v>1304550</v>
      </c>
      <c r="AF132" s="26">
        <f t="shared" si="91"/>
        <v>66</v>
      </c>
      <c r="AG132" s="26">
        <f t="shared" si="150"/>
        <v>1.5</v>
      </c>
      <c r="AH132" s="26">
        <f t="shared" si="150"/>
        <v>1.5</v>
      </c>
      <c r="AI132" s="26">
        <f t="shared" si="150"/>
        <v>1.5</v>
      </c>
      <c r="AJ132" s="26">
        <f t="shared" si="150"/>
        <v>1.5</v>
      </c>
      <c r="AK132" s="26">
        <f t="shared" si="150"/>
        <v>1.5</v>
      </c>
      <c r="AL132" s="26">
        <f t="shared" si="150"/>
        <v>0.05</v>
      </c>
      <c r="AM132" s="26">
        <f t="shared" si="150"/>
        <v>1</v>
      </c>
      <c r="AN132" s="26">
        <f t="shared" si="150"/>
        <v>1</v>
      </c>
      <c r="AO132" s="26">
        <f t="shared" si="150"/>
        <v>1</v>
      </c>
      <c r="AP132" s="26">
        <f t="shared" si="150"/>
        <v>1</v>
      </c>
      <c r="AQ132" s="26">
        <f t="shared" si="151"/>
        <v>1</v>
      </c>
      <c r="AR132" s="26">
        <f t="shared" si="151"/>
        <v>0.2</v>
      </c>
      <c r="AS132" s="26">
        <f t="shared" si="151"/>
        <v>0.2</v>
      </c>
      <c r="AT132" s="26">
        <f t="shared" si="151"/>
        <v>0.2</v>
      </c>
      <c r="AU132" s="26">
        <f t="shared" si="151"/>
        <v>0.2</v>
      </c>
      <c r="AV132" s="26">
        <f t="shared" si="151"/>
        <v>0.2</v>
      </c>
      <c r="AW132" s="26">
        <f t="shared" si="151"/>
        <v>0.1</v>
      </c>
      <c r="AX132" s="26">
        <f t="shared" si="151"/>
        <v>0.05</v>
      </c>
      <c r="AY132" s="26">
        <f t="shared" si="151"/>
        <v>0.05</v>
      </c>
      <c r="AZ132" s="26">
        <f t="shared" si="151"/>
        <v>0.05</v>
      </c>
      <c r="BA132" s="26">
        <f t="shared" si="151"/>
        <v>0.05</v>
      </c>
      <c r="BB132" s="26">
        <f t="shared" si="151"/>
        <v>2.5000000000000001E-2</v>
      </c>
      <c r="BC132" s="26">
        <f t="shared" si="152"/>
        <v>1.5</v>
      </c>
      <c r="BD132" s="26">
        <f t="shared" si="152"/>
        <v>1.5</v>
      </c>
      <c r="BE132" s="26">
        <f t="shared" si="152"/>
        <v>1.5</v>
      </c>
      <c r="BF132" s="26">
        <f t="shared" si="152"/>
        <v>1.5</v>
      </c>
      <c r="BG132" s="26">
        <f t="shared" si="152"/>
        <v>1.5</v>
      </c>
      <c r="BH132" s="26">
        <f t="shared" si="152"/>
        <v>0.05</v>
      </c>
      <c r="BI132" s="26">
        <f t="shared" si="152"/>
        <v>1</v>
      </c>
      <c r="BJ132" s="26">
        <f t="shared" si="152"/>
        <v>1</v>
      </c>
      <c r="BK132" s="26">
        <f t="shared" si="152"/>
        <v>1</v>
      </c>
      <c r="BL132" s="26">
        <f t="shared" si="152"/>
        <v>1</v>
      </c>
      <c r="BM132" s="26">
        <f t="shared" si="153"/>
        <v>1</v>
      </c>
      <c r="BN132" s="26">
        <f t="shared" si="153"/>
        <v>0.2</v>
      </c>
      <c r="BO132" s="26">
        <f t="shared" si="153"/>
        <v>0.2</v>
      </c>
      <c r="BP132" s="26">
        <f t="shared" si="153"/>
        <v>0.2</v>
      </c>
      <c r="BQ132" s="26">
        <f t="shared" si="153"/>
        <v>0.2</v>
      </c>
      <c r="BR132" s="26">
        <f t="shared" si="153"/>
        <v>0.2</v>
      </c>
      <c r="BS132" s="26">
        <f t="shared" si="153"/>
        <v>0.1</v>
      </c>
      <c r="BT132" s="26">
        <f t="shared" si="153"/>
        <v>0.05</v>
      </c>
      <c r="BU132" s="26">
        <f t="shared" si="153"/>
        <v>0.05</v>
      </c>
      <c r="BV132" s="26">
        <f t="shared" si="153"/>
        <v>0.05</v>
      </c>
      <c r="BW132" s="26">
        <f t="shared" si="153"/>
        <v>0.05</v>
      </c>
      <c r="BX132" s="26">
        <f t="shared" si="153"/>
        <v>2.5000000000000001E-2</v>
      </c>
      <c r="BY132" s="26">
        <f t="shared" si="154"/>
        <v>1.5</v>
      </c>
      <c r="BZ132" s="26">
        <f t="shared" si="154"/>
        <v>1.5</v>
      </c>
      <c r="CA132" s="26">
        <f t="shared" si="154"/>
        <v>1.5</v>
      </c>
      <c r="CB132" s="26">
        <f t="shared" si="154"/>
        <v>1.5</v>
      </c>
      <c r="CC132" s="26">
        <f t="shared" si="154"/>
        <v>1.5</v>
      </c>
      <c r="CD132" s="26">
        <f t="shared" si="154"/>
        <v>0.05</v>
      </c>
      <c r="CE132" s="26">
        <f t="shared" si="154"/>
        <v>1</v>
      </c>
      <c r="CF132" s="26">
        <f t="shared" si="154"/>
        <v>1</v>
      </c>
      <c r="CG132" s="26">
        <f t="shared" si="154"/>
        <v>1</v>
      </c>
      <c r="CH132" s="26">
        <f t="shared" si="154"/>
        <v>1</v>
      </c>
      <c r="CI132" s="26">
        <f t="shared" si="155"/>
        <v>1</v>
      </c>
      <c r="CJ132" s="26">
        <f t="shared" si="155"/>
        <v>0.2</v>
      </c>
      <c r="CK132" s="26">
        <f t="shared" si="155"/>
        <v>0.2</v>
      </c>
      <c r="CL132" s="26">
        <f t="shared" si="155"/>
        <v>0.2</v>
      </c>
      <c r="CM132" s="26">
        <f t="shared" si="155"/>
        <v>0.2</v>
      </c>
      <c r="CN132" s="26">
        <f t="shared" si="155"/>
        <v>0.2</v>
      </c>
      <c r="CO132" s="26">
        <f t="shared" si="155"/>
        <v>0.1</v>
      </c>
      <c r="CP132" s="26">
        <f t="shared" si="155"/>
        <v>0.05</v>
      </c>
      <c r="CQ132" s="26">
        <f t="shared" si="155"/>
        <v>0.05</v>
      </c>
      <c r="CR132" s="26">
        <f t="shared" si="155"/>
        <v>0.05</v>
      </c>
      <c r="CS132" s="26">
        <f t="shared" si="155"/>
        <v>0.05</v>
      </c>
      <c r="CT132" s="26">
        <f t="shared" si="155"/>
        <v>2.5000000000000001E-2</v>
      </c>
      <c r="CU132" s="26">
        <f t="shared" si="156"/>
        <v>1.5</v>
      </c>
      <c r="CV132" s="26">
        <f t="shared" si="156"/>
        <v>1.5</v>
      </c>
      <c r="CW132" s="26">
        <f t="shared" si="156"/>
        <v>1.5</v>
      </c>
      <c r="CX132" s="26">
        <f t="shared" si="156"/>
        <v>1.5</v>
      </c>
      <c r="CY132" s="26">
        <f t="shared" si="156"/>
        <v>1.5</v>
      </c>
      <c r="CZ132" s="26">
        <f t="shared" si="156"/>
        <v>0.1</v>
      </c>
      <c r="DA132" s="26">
        <f t="shared" si="156"/>
        <v>1</v>
      </c>
      <c r="DB132" s="26">
        <f t="shared" si="156"/>
        <v>1</v>
      </c>
      <c r="DC132" s="26">
        <f t="shared" si="156"/>
        <v>1</v>
      </c>
      <c r="DD132" s="26">
        <f t="shared" si="156"/>
        <v>1</v>
      </c>
      <c r="DE132" s="26">
        <f t="shared" si="157"/>
        <v>1</v>
      </c>
      <c r="DF132" s="26">
        <f t="shared" si="157"/>
        <v>0.2</v>
      </c>
      <c r="DG132" s="26">
        <f t="shared" si="157"/>
        <v>0.2</v>
      </c>
      <c r="DH132" s="26">
        <f t="shared" si="157"/>
        <v>0.2</v>
      </c>
      <c r="DI132" s="26">
        <f t="shared" si="157"/>
        <v>0.2</v>
      </c>
      <c r="DJ132" s="26">
        <f t="shared" si="157"/>
        <v>0.2</v>
      </c>
      <c r="DK132" s="26">
        <f t="shared" si="157"/>
        <v>0.1</v>
      </c>
      <c r="DL132" s="26">
        <f t="shared" si="157"/>
        <v>0.1</v>
      </c>
      <c r="DM132" s="26">
        <f t="shared" si="157"/>
        <v>0.1</v>
      </c>
      <c r="DN132" s="26">
        <f t="shared" si="157"/>
        <v>0.05</v>
      </c>
      <c r="DO132" s="26">
        <f t="shared" si="157"/>
        <v>0.05</v>
      </c>
      <c r="DP132" s="26">
        <f t="shared" si="157"/>
        <v>0.05</v>
      </c>
      <c r="DQ132" s="26">
        <f t="shared" si="158"/>
        <v>1.5</v>
      </c>
      <c r="DR132" s="26">
        <f t="shared" si="158"/>
        <v>1.5</v>
      </c>
      <c r="DS132" s="26">
        <f t="shared" si="158"/>
        <v>1.5</v>
      </c>
      <c r="DT132" s="26">
        <f t="shared" si="158"/>
        <v>1.5</v>
      </c>
      <c r="DU132" s="26">
        <f t="shared" si="158"/>
        <v>1.5</v>
      </c>
      <c r="DV132" s="26">
        <f t="shared" si="158"/>
        <v>0.1</v>
      </c>
      <c r="DW132" s="26">
        <f t="shared" si="158"/>
        <v>1</v>
      </c>
      <c r="DX132" s="26">
        <f t="shared" si="158"/>
        <v>1</v>
      </c>
      <c r="DY132" s="26">
        <f t="shared" si="158"/>
        <v>1</v>
      </c>
      <c r="DZ132" s="26">
        <f t="shared" si="158"/>
        <v>1</v>
      </c>
      <c r="EA132" s="26">
        <f t="shared" si="159"/>
        <v>1</v>
      </c>
      <c r="EB132" s="26">
        <f t="shared" si="159"/>
        <v>0.2</v>
      </c>
      <c r="EC132" s="26">
        <f t="shared" si="159"/>
        <v>0.2</v>
      </c>
      <c r="ED132" s="26">
        <f t="shared" si="159"/>
        <v>0.2</v>
      </c>
      <c r="EE132" s="26">
        <f t="shared" si="159"/>
        <v>0.2</v>
      </c>
      <c r="EF132" s="26">
        <f t="shared" si="159"/>
        <v>0.2</v>
      </c>
      <c r="EG132" s="26">
        <f t="shared" si="159"/>
        <v>0.1</v>
      </c>
      <c r="EH132" s="26">
        <f t="shared" si="159"/>
        <v>0.1</v>
      </c>
      <c r="EI132" s="26">
        <f t="shared" si="159"/>
        <v>0.1</v>
      </c>
      <c r="EJ132" s="26">
        <f t="shared" si="159"/>
        <v>0.05</v>
      </c>
      <c r="EK132" s="26">
        <f t="shared" si="159"/>
        <v>0.05</v>
      </c>
      <c r="EL132" s="26">
        <f t="shared" si="159"/>
        <v>0.05</v>
      </c>
      <c r="EM132" s="26">
        <f t="shared" si="92"/>
        <v>589257</v>
      </c>
      <c r="EN132" s="26">
        <f t="shared" si="93"/>
        <v>589257</v>
      </c>
      <c r="EO132" s="26">
        <f t="shared" si="94"/>
        <v>589257</v>
      </c>
      <c r="EP132" s="26">
        <f t="shared" si="95"/>
        <v>771411</v>
      </c>
      <c r="EQ132" s="26">
        <f t="shared" si="96"/>
        <v>771411</v>
      </c>
    </row>
    <row r="133" spans="17:147">
      <c r="Q133" s="26">
        <v>129</v>
      </c>
      <c r="R133" s="26">
        <f>总纲!D133</f>
        <v>7642.4062666695281</v>
      </c>
      <c r="S133" s="26">
        <f>求节点(将星点产出!$W$6:$W$44,将星点产出!$AO$6:$AO$44,星阵点亮!$Q133)</f>
        <v>997350</v>
      </c>
      <c r="T133" s="26">
        <f t="shared" si="87"/>
        <v>59</v>
      </c>
      <c r="U133" s="26">
        <f>总纲!E133</f>
        <v>6469.2969047357556</v>
      </c>
      <c r="V133" s="26">
        <f>求节点(将星点产出!$W$51:$W$89,将星点产出!$AO$51:$AO$89,星阵点亮!$Q133)</f>
        <v>997350</v>
      </c>
      <c r="W133" s="26">
        <f t="shared" si="88"/>
        <v>59</v>
      </c>
      <c r="X133" s="26">
        <f>总纲!F133</f>
        <v>5159.388470628599</v>
      </c>
      <c r="Y133" s="26">
        <f>求节点(将星点产出!$W$96:$W$134,将星点产出!$AO$96:$AO$134,星阵点亮!$Q133)</f>
        <v>997350</v>
      </c>
      <c r="Z133" s="26">
        <f t="shared" si="89"/>
        <v>59</v>
      </c>
      <c r="AA133" s="26">
        <f>总纲!G133</f>
        <v>3676.7616548947103</v>
      </c>
      <c r="AB133" s="26">
        <f>求节点(将星点产出!$W$141:$W$179,将星点产出!$AO$141:$AO$179,星阵点亮!$Q133)</f>
        <v>1304550</v>
      </c>
      <c r="AC133" s="26">
        <f t="shared" si="90"/>
        <v>66</v>
      </c>
      <c r="AD133" s="26">
        <f>总纲!H133</f>
        <v>1975.5620199340731</v>
      </c>
      <c r="AE133" s="26">
        <f>求节点(将星点产出!$W$186:$W$224,将星点产出!$AO$186:$AO$224,星阵点亮!$Q133)</f>
        <v>1304550</v>
      </c>
      <c r="AF133" s="26">
        <f t="shared" si="91"/>
        <v>66</v>
      </c>
      <c r="AG133" s="26">
        <f t="shared" si="150"/>
        <v>1.5</v>
      </c>
      <c r="AH133" s="26">
        <f t="shared" si="150"/>
        <v>1.5</v>
      </c>
      <c r="AI133" s="26">
        <f t="shared" si="150"/>
        <v>1.5</v>
      </c>
      <c r="AJ133" s="26">
        <f t="shared" si="150"/>
        <v>1.5</v>
      </c>
      <c r="AK133" s="26">
        <f t="shared" si="150"/>
        <v>1.5</v>
      </c>
      <c r="AL133" s="26">
        <f t="shared" si="150"/>
        <v>0.05</v>
      </c>
      <c r="AM133" s="26">
        <f t="shared" si="150"/>
        <v>1</v>
      </c>
      <c r="AN133" s="26">
        <f t="shared" si="150"/>
        <v>1</v>
      </c>
      <c r="AO133" s="26">
        <f t="shared" si="150"/>
        <v>1</v>
      </c>
      <c r="AP133" s="26">
        <f t="shared" si="150"/>
        <v>1</v>
      </c>
      <c r="AQ133" s="26">
        <f t="shared" si="151"/>
        <v>1</v>
      </c>
      <c r="AR133" s="26">
        <f t="shared" si="151"/>
        <v>0.2</v>
      </c>
      <c r="AS133" s="26">
        <f t="shared" si="151"/>
        <v>0.2</v>
      </c>
      <c r="AT133" s="26">
        <f t="shared" si="151"/>
        <v>0.2</v>
      </c>
      <c r="AU133" s="26">
        <f t="shared" si="151"/>
        <v>0.2</v>
      </c>
      <c r="AV133" s="26">
        <f t="shared" si="151"/>
        <v>0.2</v>
      </c>
      <c r="AW133" s="26">
        <f t="shared" si="151"/>
        <v>0.1</v>
      </c>
      <c r="AX133" s="26">
        <f t="shared" si="151"/>
        <v>0.05</v>
      </c>
      <c r="AY133" s="26">
        <f t="shared" si="151"/>
        <v>0.05</v>
      </c>
      <c r="AZ133" s="26">
        <f t="shared" si="151"/>
        <v>0.05</v>
      </c>
      <c r="BA133" s="26">
        <f t="shared" si="151"/>
        <v>0.05</v>
      </c>
      <c r="BB133" s="26">
        <f t="shared" si="151"/>
        <v>2.5000000000000001E-2</v>
      </c>
      <c r="BC133" s="26">
        <f t="shared" si="152"/>
        <v>1.5</v>
      </c>
      <c r="BD133" s="26">
        <f t="shared" si="152"/>
        <v>1.5</v>
      </c>
      <c r="BE133" s="26">
        <f t="shared" si="152"/>
        <v>1.5</v>
      </c>
      <c r="BF133" s="26">
        <f t="shared" si="152"/>
        <v>1.5</v>
      </c>
      <c r="BG133" s="26">
        <f t="shared" si="152"/>
        <v>1.5</v>
      </c>
      <c r="BH133" s="26">
        <f t="shared" si="152"/>
        <v>0.05</v>
      </c>
      <c r="BI133" s="26">
        <f t="shared" si="152"/>
        <v>1</v>
      </c>
      <c r="BJ133" s="26">
        <f t="shared" si="152"/>
        <v>1</v>
      </c>
      <c r="BK133" s="26">
        <f t="shared" si="152"/>
        <v>1</v>
      </c>
      <c r="BL133" s="26">
        <f t="shared" si="152"/>
        <v>1</v>
      </c>
      <c r="BM133" s="26">
        <f t="shared" si="153"/>
        <v>1</v>
      </c>
      <c r="BN133" s="26">
        <f t="shared" si="153"/>
        <v>0.2</v>
      </c>
      <c r="BO133" s="26">
        <f t="shared" si="153"/>
        <v>0.2</v>
      </c>
      <c r="BP133" s="26">
        <f t="shared" si="153"/>
        <v>0.2</v>
      </c>
      <c r="BQ133" s="26">
        <f t="shared" si="153"/>
        <v>0.2</v>
      </c>
      <c r="BR133" s="26">
        <f t="shared" si="153"/>
        <v>0.2</v>
      </c>
      <c r="BS133" s="26">
        <f t="shared" si="153"/>
        <v>0.1</v>
      </c>
      <c r="BT133" s="26">
        <f t="shared" si="153"/>
        <v>0.05</v>
      </c>
      <c r="BU133" s="26">
        <f t="shared" si="153"/>
        <v>0.05</v>
      </c>
      <c r="BV133" s="26">
        <f t="shared" si="153"/>
        <v>0.05</v>
      </c>
      <c r="BW133" s="26">
        <f t="shared" si="153"/>
        <v>0.05</v>
      </c>
      <c r="BX133" s="26">
        <f t="shared" si="153"/>
        <v>2.5000000000000001E-2</v>
      </c>
      <c r="BY133" s="26">
        <f t="shared" si="154"/>
        <v>1.5</v>
      </c>
      <c r="BZ133" s="26">
        <f t="shared" si="154"/>
        <v>1.5</v>
      </c>
      <c r="CA133" s="26">
        <f t="shared" si="154"/>
        <v>1.5</v>
      </c>
      <c r="CB133" s="26">
        <f t="shared" si="154"/>
        <v>1.5</v>
      </c>
      <c r="CC133" s="26">
        <f t="shared" si="154"/>
        <v>1.5</v>
      </c>
      <c r="CD133" s="26">
        <f t="shared" si="154"/>
        <v>0.05</v>
      </c>
      <c r="CE133" s="26">
        <f t="shared" si="154"/>
        <v>1</v>
      </c>
      <c r="CF133" s="26">
        <f t="shared" si="154"/>
        <v>1</v>
      </c>
      <c r="CG133" s="26">
        <f t="shared" si="154"/>
        <v>1</v>
      </c>
      <c r="CH133" s="26">
        <f t="shared" si="154"/>
        <v>1</v>
      </c>
      <c r="CI133" s="26">
        <f t="shared" si="155"/>
        <v>1</v>
      </c>
      <c r="CJ133" s="26">
        <f t="shared" si="155"/>
        <v>0.2</v>
      </c>
      <c r="CK133" s="26">
        <f t="shared" si="155"/>
        <v>0.2</v>
      </c>
      <c r="CL133" s="26">
        <f t="shared" si="155"/>
        <v>0.2</v>
      </c>
      <c r="CM133" s="26">
        <f t="shared" si="155"/>
        <v>0.2</v>
      </c>
      <c r="CN133" s="26">
        <f t="shared" si="155"/>
        <v>0.2</v>
      </c>
      <c r="CO133" s="26">
        <f t="shared" si="155"/>
        <v>0.1</v>
      </c>
      <c r="CP133" s="26">
        <f t="shared" si="155"/>
        <v>0.05</v>
      </c>
      <c r="CQ133" s="26">
        <f t="shared" si="155"/>
        <v>0.05</v>
      </c>
      <c r="CR133" s="26">
        <f t="shared" si="155"/>
        <v>0.05</v>
      </c>
      <c r="CS133" s="26">
        <f t="shared" si="155"/>
        <v>0.05</v>
      </c>
      <c r="CT133" s="26">
        <f t="shared" si="155"/>
        <v>2.5000000000000001E-2</v>
      </c>
      <c r="CU133" s="26">
        <f t="shared" si="156"/>
        <v>1.5</v>
      </c>
      <c r="CV133" s="26">
        <f t="shared" si="156"/>
        <v>1.5</v>
      </c>
      <c r="CW133" s="26">
        <f t="shared" si="156"/>
        <v>1.5</v>
      </c>
      <c r="CX133" s="26">
        <f t="shared" si="156"/>
        <v>1.5</v>
      </c>
      <c r="CY133" s="26">
        <f t="shared" si="156"/>
        <v>1.5</v>
      </c>
      <c r="CZ133" s="26">
        <f t="shared" si="156"/>
        <v>0.1</v>
      </c>
      <c r="DA133" s="26">
        <f t="shared" si="156"/>
        <v>1</v>
      </c>
      <c r="DB133" s="26">
        <f t="shared" si="156"/>
        <v>1</v>
      </c>
      <c r="DC133" s="26">
        <f t="shared" si="156"/>
        <v>1</v>
      </c>
      <c r="DD133" s="26">
        <f t="shared" si="156"/>
        <v>1</v>
      </c>
      <c r="DE133" s="26">
        <f t="shared" si="157"/>
        <v>1</v>
      </c>
      <c r="DF133" s="26">
        <f t="shared" si="157"/>
        <v>0.2</v>
      </c>
      <c r="DG133" s="26">
        <f t="shared" si="157"/>
        <v>0.2</v>
      </c>
      <c r="DH133" s="26">
        <f t="shared" si="157"/>
        <v>0.2</v>
      </c>
      <c r="DI133" s="26">
        <f t="shared" si="157"/>
        <v>0.2</v>
      </c>
      <c r="DJ133" s="26">
        <f t="shared" si="157"/>
        <v>0.2</v>
      </c>
      <c r="DK133" s="26">
        <f t="shared" si="157"/>
        <v>0.1</v>
      </c>
      <c r="DL133" s="26">
        <f t="shared" si="157"/>
        <v>0.1</v>
      </c>
      <c r="DM133" s="26">
        <f t="shared" si="157"/>
        <v>0.1</v>
      </c>
      <c r="DN133" s="26">
        <f t="shared" si="157"/>
        <v>0.05</v>
      </c>
      <c r="DO133" s="26">
        <f t="shared" si="157"/>
        <v>0.05</v>
      </c>
      <c r="DP133" s="26">
        <f t="shared" si="157"/>
        <v>0.05</v>
      </c>
      <c r="DQ133" s="26">
        <f t="shared" si="158"/>
        <v>1.5</v>
      </c>
      <c r="DR133" s="26">
        <f t="shared" si="158"/>
        <v>1.5</v>
      </c>
      <c r="DS133" s="26">
        <f t="shared" si="158"/>
        <v>1.5</v>
      </c>
      <c r="DT133" s="26">
        <f t="shared" si="158"/>
        <v>1.5</v>
      </c>
      <c r="DU133" s="26">
        <f t="shared" si="158"/>
        <v>1.5</v>
      </c>
      <c r="DV133" s="26">
        <f t="shared" si="158"/>
        <v>0.1</v>
      </c>
      <c r="DW133" s="26">
        <f t="shared" si="158"/>
        <v>1</v>
      </c>
      <c r="DX133" s="26">
        <f t="shared" si="158"/>
        <v>1</v>
      </c>
      <c r="DY133" s="26">
        <f t="shared" si="158"/>
        <v>1</v>
      </c>
      <c r="DZ133" s="26">
        <f t="shared" si="158"/>
        <v>1</v>
      </c>
      <c r="EA133" s="26">
        <f t="shared" si="159"/>
        <v>1</v>
      </c>
      <c r="EB133" s="26">
        <f t="shared" si="159"/>
        <v>0.2</v>
      </c>
      <c r="EC133" s="26">
        <f t="shared" si="159"/>
        <v>0.2</v>
      </c>
      <c r="ED133" s="26">
        <f t="shared" si="159"/>
        <v>0.2</v>
      </c>
      <c r="EE133" s="26">
        <f t="shared" si="159"/>
        <v>0.2</v>
      </c>
      <c r="EF133" s="26">
        <f t="shared" si="159"/>
        <v>0.2</v>
      </c>
      <c r="EG133" s="26">
        <f t="shared" si="159"/>
        <v>0.1</v>
      </c>
      <c r="EH133" s="26">
        <f t="shared" si="159"/>
        <v>0.1</v>
      </c>
      <c r="EI133" s="26">
        <f t="shared" si="159"/>
        <v>0.1</v>
      </c>
      <c r="EJ133" s="26">
        <f t="shared" si="159"/>
        <v>0.05</v>
      </c>
      <c r="EK133" s="26">
        <f t="shared" si="159"/>
        <v>0.05</v>
      </c>
      <c r="EL133" s="26">
        <f t="shared" si="159"/>
        <v>0.05</v>
      </c>
      <c r="EM133" s="26">
        <f t="shared" si="92"/>
        <v>589257</v>
      </c>
      <c r="EN133" s="26">
        <f t="shared" si="93"/>
        <v>589257</v>
      </c>
      <c r="EO133" s="26">
        <f t="shared" si="94"/>
        <v>589257</v>
      </c>
      <c r="EP133" s="26">
        <f t="shared" si="95"/>
        <v>771411</v>
      </c>
      <c r="EQ133" s="26">
        <f t="shared" si="96"/>
        <v>771411</v>
      </c>
    </row>
    <row r="134" spans="17:147">
      <c r="Q134" s="26">
        <v>130</v>
      </c>
      <c r="R134" s="26">
        <f>总纲!D134</f>
        <v>8191</v>
      </c>
      <c r="S134" s="26">
        <f>求节点(将星点产出!$W$6:$W$44,将星点产出!$AO$6:$AO$44,星阵点亮!$Q134)</f>
        <v>997350</v>
      </c>
      <c r="T134" s="26">
        <f t="shared" ref="T134:T164" si="160">INDEX($H$5:$H$76,MATCH(S134,$G$5:$G$76,1))</f>
        <v>59</v>
      </c>
      <c r="U134" s="26">
        <f>总纲!E134</f>
        <v>6941.8725000000004</v>
      </c>
      <c r="V134" s="26">
        <f>求节点(将星点产出!$W$51:$W$89,将星点产出!$AO$51:$AO$89,星阵点亮!$Q134)</f>
        <v>997350</v>
      </c>
      <c r="W134" s="26">
        <f t="shared" ref="W134:W164" si="161">INDEX($H$5:$H$76,MATCH(V134,$G$5:$G$76,1))</f>
        <v>59</v>
      </c>
      <c r="X134" s="26">
        <f>总纲!F134</f>
        <v>5542.0306</v>
      </c>
      <c r="Y134" s="26">
        <f>求节点(将星点产出!$W$96:$W$134,将星点产出!$AO$96:$AO$134,星阵点亮!$Q134)</f>
        <v>997350</v>
      </c>
      <c r="Z134" s="26">
        <f t="shared" ref="Z134:Z164" si="162">INDEX($H$5:$H$76,MATCH(Y134,$G$5:$G$76,1))</f>
        <v>59</v>
      </c>
      <c r="AA134" s="26">
        <f>总纲!G134</f>
        <v>3951.3384000000001</v>
      </c>
      <c r="AB134" s="26">
        <f>求节点(将星点产出!$W$141:$W$179,将星点产出!$AO$141:$AO$179,星阵点亮!$Q134)</f>
        <v>1304550</v>
      </c>
      <c r="AC134" s="26">
        <f t="shared" ref="AC134:AC164" si="163">INDEX($H$5:$H$76,MATCH(AB134,$G$5:$G$76,1))</f>
        <v>66</v>
      </c>
      <c r="AD134" s="26">
        <f>总纲!H134</f>
        <v>2124.7454000000002</v>
      </c>
      <c r="AE134" s="26">
        <f>求节点(将星点产出!$W$186:$W$224,将星点产出!$AO$186:$AO$224,星阵点亮!$Q134)</f>
        <v>1304550</v>
      </c>
      <c r="AF134" s="26">
        <f t="shared" ref="AF134:AF164" si="164">INDEX($H$5:$H$76,MATCH(AE134,$G$5:$G$76,1))</f>
        <v>66</v>
      </c>
      <c r="AG134" s="26">
        <f t="shared" si="150"/>
        <v>1.5</v>
      </c>
      <c r="AH134" s="26">
        <f t="shared" si="150"/>
        <v>1.5</v>
      </c>
      <c r="AI134" s="26">
        <f t="shared" si="150"/>
        <v>1.5</v>
      </c>
      <c r="AJ134" s="26">
        <f t="shared" si="150"/>
        <v>1.5</v>
      </c>
      <c r="AK134" s="26">
        <f t="shared" si="150"/>
        <v>1.5</v>
      </c>
      <c r="AL134" s="26">
        <f t="shared" si="150"/>
        <v>0.05</v>
      </c>
      <c r="AM134" s="26">
        <f t="shared" si="150"/>
        <v>1</v>
      </c>
      <c r="AN134" s="26">
        <f t="shared" si="150"/>
        <v>1</v>
      </c>
      <c r="AO134" s="26">
        <f t="shared" si="150"/>
        <v>1</v>
      </c>
      <c r="AP134" s="26">
        <f t="shared" si="150"/>
        <v>1</v>
      </c>
      <c r="AQ134" s="26">
        <f t="shared" si="151"/>
        <v>1</v>
      </c>
      <c r="AR134" s="26">
        <f t="shared" si="151"/>
        <v>0.2</v>
      </c>
      <c r="AS134" s="26">
        <f t="shared" si="151"/>
        <v>0.2</v>
      </c>
      <c r="AT134" s="26">
        <f t="shared" si="151"/>
        <v>0.2</v>
      </c>
      <c r="AU134" s="26">
        <f t="shared" si="151"/>
        <v>0.2</v>
      </c>
      <c r="AV134" s="26">
        <f t="shared" si="151"/>
        <v>0.2</v>
      </c>
      <c r="AW134" s="26">
        <f t="shared" si="151"/>
        <v>0.1</v>
      </c>
      <c r="AX134" s="26">
        <f t="shared" si="151"/>
        <v>0.05</v>
      </c>
      <c r="AY134" s="26">
        <f t="shared" si="151"/>
        <v>0.05</v>
      </c>
      <c r="AZ134" s="26">
        <f t="shared" si="151"/>
        <v>0.05</v>
      </c>
      <c r="BA134" s="26">
        <f t="shared" si="151"/>
        <v>0.05</v>
      </c>
      <c r="BB134" s="26">
        <f t="shared" si="151"/>
        <v>2.5000000000000001E-2</v>
      </c>
      <c r="BC134" s="26">
        <f t="shared" si="152"/>
        <v>1.5</v>
      </c>
      <c r="BD134" s="26">
        <f t="shared" si="152"/>
        <v>1.5</v>
      </c>
      <c r="BE134" s="26">
        <f t="shared" si="152"/>
        <v>1.5</v>
      </c>
      <c r="BF134" s="26">
        <f t="shared" si="152"/>
        <v>1.5</v>
      </c>
      <c r="BG134" s="26">
        <f t="shared" si="152"/>
        <v>1.5</v>
      </c>
      <c r="BH134" s="26">
        <f t="shared" si="152"/>
        <v>0.05</v>
      </c>
      <c r="BI134" s="26">
        <f t="shared" si="152"/>
        <v>1</v>
      </c>
      <c r="BJ134" s="26">
        <f t="shared" si="152"/>
        <v>1</v>
      </c>
      <c r="BK134" s="26">
        <f t="shared" si="152"/>
        <v>1</v>
      </c>
      <c r="BL134" s="26">
        <f t="shared" si="152"/>
        <v>1</v>
      </c>
      <c r="BM134" s="26">
        <f t="shared" si="153"/>
        <v>1</v>
      </c>
      <c r="BN134" s="26">
        <f t="shared" si="153"/>
        <v>0.2</v>
      </c>
      <c r="BO134" s="26">
        <f t="shared" si="153"/>
        <v>0.2</v>
      </c>
      <c r="BP134" s="26">
        <f t="shared" si="153"/>
        <v>0.2</v>
      </c>
      <c r="BQ134" s="26">
        <f t="shared" si="153"/>
        <v>0.2</v>
      </c>
      <c r="BR134" s="26">
        <f t="shared" si="153"/>
        <v>0.2</v>
      </c>
      <c r="BS134" s="26">
        <f t="shared" si="153"/>
        <v>0.1</v>
      </c>
      <c r="BT134" s="26">
        <f t="shared" si="153"/>
        <v>0.05</v>
      </c>
      <c r="BU134" s="26">
        <f t="shared" si="153"/>
        <v>0.05</v>
      </c>
      <c r="BV134" s="26">
        <f t="shared" si="153"/>
        <v>0.05</v>
      </c>
      <c r="BW134" s="26">
        <f t="shared" si="153"/>
        <v>0.05</v>
      </c>
      <c r="BX134" s="26">
        <f t="shared" si="153"/>
        <v>2.5000000000000001E-2</v>
      </c>
      <c r="BY134" s="26">
        <f t="shared" si="154"/>
        <v>1.5</v>
      </c>
      <c r="BZ134" s="26">
        <f t="shared" si="154"/>
        <v>1.5</v>
      </c>
      <c r="CA134" s="26">
        <f t="shared" si="154"/>
        <v>1.5</v>
      </c>
      <c r="CB134" s="26">
        <f t="shared" si="154"/>
        <v>1.5</v>
      </c>
      <c r="CC134" s="26">
        <f t="shared" si="154"/>
        <v>1.5</v>
      </c>
      <c r="CD134" s="26">
        <f t="shared" si="154"/>
        <v>0.05</v>
      </c>
      <c r="CE134" s="26">
        <f t="shared" si="154"/>
        <v>1</v>
      </c>
      <c r="CF134" s="26">
        <f t="shared" si="154"/>
        <v>1</v>
      </c>
      <c r="CG134" s="26">
        <f t="shared" si="154"/>
        <v>1</v>
      </c>
      <c r="CH134" s="26">
        <f t="shared" si="154"/>
        <v>1</v>
      </c>
      <c r="CI134" s="26">
        <f t="shared" si="155"/>
        <v>1</v>
      </c>
      <c r="CJ134" s="26">
        <f t="shared" si="155"/>
        <v>0.2</v>
      </c>
      <c r="CK134" s="26">
        <f t="shared" si="155"/>
        <v>0.2</v>
      </c>
      <c r="CL134" s="26">
        <f t="shared" si="155"/>
        <v>0.2</v>
      </c>
      <c r="CM134" s="26">
        <f t="shared" si="155"/>
        <v>0.2</v>
      </c>
      <c r="CN134" s="26">
        <f t="shared" si="155"/>
        <v>0.2</v>
      </c>
      <c r="CO134" s="26">
        <f t="shared" si="155"/>
        <v>0.1</v>
      </c>
      <c r="CP134" s="26">
        <f t="shared" si="155"/>
        <v>0.05</v>
      </c>
      <c r="CQ134" s="26">
        <f t="shared" si="155"/>
        <v>0.05</v>
      </c>
      <c r="CR134" s="26">
        <f t="shared" si="155"/>
        <v>0.05</v>
      </c>
      <c r="CS134" s="26">
        <f t="shared" si="155"/>
        <v>0.05</v>
      </c>
      <c r="CT134" s="26">
        <f t="shared" si="155"/>
        <v>2.5000000000000001E-2</v>
      </c>
      <c r="CU134" s="26">
        <f t="shared" si="156"/>
        <v>1.5</v>
      </c>
      <c r="CV134" s="26">
        <f t="shared" si="156"/>
        <v>1.5</v>
      </c>
      <c r="CW134" s="26">
        <f t="shared" si="156"/>
        <v>1.5</v>
      </c>
      <c r="CX134" s="26">
        <f t="shared" si="156"/>
        <v>1.5</v>
      </c>
      <c r="CY134" s="26">
        <f t="shared" si="156"/>
        <v>1.5</v>
      </c>
      <c r="CZ134" s="26">
        <f t="shared" si="156"/>
        <v>0.1</v>
      </c>
      <c r="DA134" s="26">
        <f t="shared" si="156"/>
        <v>1</v>
      </c>
      <c r="DB134" s="26">
        <f t="shared" si="156"/>
        <v>1</v>
      </c>
      <c r="DC134" s="26">
        <f t="shared" si="156"/>
        <v>1</v>
      </c>
      <c r="DD134" s="26">
        <f t="shared" si="156"/>
        <v>1</v>
      </c>
      <c r="DE134" s="26">
        <f t="shared" si="157"/>
        <v>1</v>
      </c>
      <c r="DF134" s="26">
        <f t="shared" si="157"/>
        <v>0.2</v>
      </c>
      <c r="DG134" s="26">
        <f t="shared" si="157"/>
        <v>0.2</v>
      </c>
      <c r="DH134" s="26">
        <f t="shared" si="157"/>
        <v>0.2</v>
      </c>
      <c r="DI134" s="26">
        <f t="shared" si="157"/>
        <v>0.2</v>
      </c>
      <c r="DJ134" s="26">
        <f t="shared" si="157"/>
        <v>0.2</v>
      </c>
      <c r="DK134" s="26">
        <f t="shared" si="157"/>
        <v>0.1</v>
      </c>
      <c r="DL134" s="26">
        <f t="shared" si="157"/>
        <v>0.1</v>
      </c>
      <c r="DM134" s="26">
        <f t="shared" si="157"/>
        <v>0.1</v>
      </c>
      <c r="DN134" s="26">
        <f t="shared" si="157"/>
        <v>0.05</v>
      </c>
      <c r="DO134" s="26">
        <f t="shared" si="157"/>
        <v>0.05</v>
      </c>
      <c r="DP134" s="26">
        <f t="shared" si="157"/>
        <v>0.05</v>
      </c>
      <c r="DQ134" s="26">
        <f t="shared" si="158"/>
        <v>1.5</v>
      </c>
      <c r="DR134" s="26">
        <f t="shared" si="158"/>
        <v>1.5</v>
      </c>
      <c r="DS134" s="26">
        <f t="shared" si="158"/>
        <v>1.5</v>
      </c>
      <c r="DT134" s="26">
        <f t="shared" si="158"/>
        <v>1.5</v>
      </c>
      <c r="DU134" s="26">
        <f t="shared" si="158"/>
        <v>1.5</v>
      </c>
      <c r="DV134" s="26">
        <f t="shared" si="158"/>
        <v>0.1</v>
      </c>
      <c r="DW134" s="26">
        <f t="shared" si="158"/>
        <v>1</v>
      </c>
      <c r="DX134" s="26">
        <f t="shared" si="158"/>
        <v>1</v>
      </c>
      <c r="DY134" s="26">
        <f t="shared" si="158"/>
        <v>1</v>
      </c>
      <c r="DZ134" s="26">
        <f t="shared" si="158"/>
        <v>1</v>
      </c>
      <c r="EA134" s="26">
        <f t="shared" si="159"/>
        <v>1</v>
      </c>
      <c r="EB134" s="26">
        <f t="shared" si="159"/>
        <v>0.2</v>
      </c>
      <c r="EC134" s="26">
        <f t="shared" si="159"/>
        <v>0.2</v>
      </c>
      <c r="ED134" s="26">
        <f t="shared" si="159"/>
        <v>0.2</v>
      </c>
      <c r="EE134" s="26">
        <f t="shared" si="159"/>
        <v>0.2</v>
      </c>
      <c r="EF134" s="26">
        <f t="shared" si="159"/>
        <v>0.2</v>
      </c>
      <c r="EG134" s="26">
        <f t="shared" si="159"/>
        <v>0.1</v>
      </c>
      <c r="EH134" s="26">
        <f t="shared" si="159"/>
        <v>0.1</v>
      </c>
      <c r="EI134" s="26">
        <f t="shared" si="159"/>
        <v>0.1</v>
      </c>
      <c r="EJ134" s="26">
        <f t="shared" si="159"/>
        <v>0.05</v>
      </c>
      <c r="EK134" s="26">
        <f t="shared" si="159"/>
        <v>0.05</v>
      </c>
      <c r="EL134" s="26">
        <f t="shared" si="159"/>
        <v>0.05</v>
      </c>
      <c r="EM134" s="26">
        <f t="shared" ref="EM134:EM164" si="165">SUMIFS($L$5:$L$76,$H$5:$H$76,"&lt;="&amp;T134)</f>
        <v>589257</v>
      </c>
      <c r="EN134" s="26">
        <f t="shared" ref="EN134:EN164" si="166">SUMIFS($L$5:$L$76,$H$5:$H$76,"&lt;="&amp;W134)</f>
        <v>589257</v>
      </c>
      <c r="EO134" s="26">
        <f t="shared" ref="EO134:EO164" si="167">SUMIFS($L$5:$L$76,$H$5:$H$76,"&lt;="&amp;Z134)</f>
        <v>589257</v>
      </c>
      <c r="EP134" s="26">
        <f t="shared" ref="EP134:EP164" si="168">SUMIFS($L$5:$L$76,$H$5:$H$76,"&lt;="&amp;AC134)</f>
        <v>771411</v>
      </c>
      <c r="EQ134" s="26">
        <f t="shared" ref="EQ134:EQ164" si="169">SUMIFS($L$5:$L$76,$H$5:$H$76,"&lt;="&amp;AF134)</f>
        <v>771411</v>
      </c>
    </row>
    <row r="135" spans="17:147">
      <c r="Q135" s="26">
        <v>131</v>
      </c>
      <c r="R135" s="26">
        <f>总纲!D135</f>
        <v>8778.9682050973151</v>
      </c>
      <c r="S135" s="26">
        <f>求节点(将星点产出!$W$6:$W$44,将星点产出!$AO$6:$AO$44,星阵点亮!$Q135)</f>
        <v>997350</v>
      </c>
      <c r="T135" s="26">
        <f t="shared" si="160"/>
        <v>59</v>
      </c>
      <c r="U135" s="26">
        <f>总纲!E135</f>
        <v>7443.6871411020138</v>
      </c>
      <c r="V135" s="26">
        <f>求节点(将星点产出!$W$51:$W$89,将星点产出!$AO$51:$AO$89,星阵点亮!$Q135)</f>
        <v>997350</v>
      </c>
      <c r="W135" s="26">
        <f t="shared" si="161"/>
        <v>59</v>
      </c>
      <c r="X135" s="26">
        <f>总纲!F135</f>
        <v>5945.117268491902</v>
      </c>
      <c r="Y135" s="26">
        <f>求节点(将星点产出!$W$96:$W$134,将星点产出!$AO$96:$AO$134,星阵点亮!$Q135)</f>
        <v>997350</v>
      </c>
      <c r="Z135" s="26">
        <f t="shared" si="162"/>
        <v>59</v>
      </c>
      <c r="AA135" s="26">
        <f>总纲!G135</f>
        <v>4244.6311271645518</v>
      </c>
      <c r="AB135" s="26">
        <f>求节点(将星点产出!$W$141:$W$179,将星点产出!$AO$141:$AO$179,星阵点亮!$Q135)</f>
        <v>1304550</v>
      </c>
      <c r="AC135" s="26">
        <f t="shared" si="163"/>
        <v>66</v>
      </c>
      <c r="AD135" s="26">
        <f>总纲!H135</f>
        <v>2275.5085587612239</v>
      </c>
      <c r="AE135" s="26">
        <f>求节点(将星点产出!$W$186:$W$224,将星点产出!$AO$186:$AO$224,星阵点亮!$Q135)</f>
        <v>1304550</v>
      </c>
      <c r="AF135" s="26">
        <f t="shared" si="164"/>
        <v>66</v>
      </c>
      <c r="AG135" s="26">
        <f t="shared" ref="AG135:AP144" si="170">SUMIFS($J$5:$J$76,$I$5:$I$76,AG$4,$H$5:$H$76,"&lt;="&amp;$T135)</f>
        <v>1.5</v>
      </c>
      <c r="AH135" s="26">
        <f t="shared" si="170"/>
        <v>1.5</v>
      </c>
      <c r="AI135" s="26">
        <f t="shared" si="170"/>
        <v>1.5</v>
      </c>
      <c r="AJ135" s="26">
        <f t="shared" si="170"/>
        <v>1.5</v>
      </c>
      <c r="AK135" s="26">
        <f t="shared" si="170"/>
        <v>1.5</v>
      </c>
      <c r="AL135" s="26">
        <f t="shared" si="170"/>
        <v>0.05</v>
      </c>
      <c r="AM135" s="26">
        <f t="shared" si="170"/>
        <v>1</v>
      </c>
      <c r="AN135" s="26">
        <f t="shared" si="170"/>
        <v>1</v>
      </c>
      <c r="AO135" s="26">
        <f t="shared" si="170"/>
        <v>1</v>
      </c>
      <c r="AP135" s="26">
        <f t="shared" si="170"/>
        <v>1</v>
      </c>
      <c r="AQ135" s="26">
        <f t="shared" ref="AQ135:BB144" si="171">SUMIFS($J$5:$J$76,$I$5:$I$76,AQ$4,$H$5:$H$76,"&lt;="&amp;$T135)</f>
        <v>1</v>
      </c>
      <c r="AR135" s="26">
        <f t="shared" si="171"/>
        <v>0.2</v>
      </c>
      <c r="AS135" s="26">
        <f t="shared" si="171"/>
        <v>0.2</v>
      </c>
      <c r="AT135" s="26">
        <f t="shared" si="171"/>
        <v>0.2</v>
      </c>
      <c r="AU135" s="26">
        <f t="shared" si="171"/>
        <v>0.2</v>
      </c>
      <c r="AV135" s="26">
        <f t="shared" si="171"/>
        <v>0.2</v>
      </c>
      <c r="AW135" s="26">
        <f t="shared" si="171"/>
        <v>0.1</v>
      </c>
      <c r="AX135" s="26">
        <f t="shared" si="171"/>
        <v>0.05</v>
      </c>
      <c r="AY135" s="26">
        <f t="shared" si="171"/>
        <v>0.05</v>
      </c>
      <c r="AZ135" s="26">
        <f t="shared" si="171"/>
        <v>0.05</v>
      </c>
      <c r="BA135" s="26">
        <f t="shared" si="171"/>
        <v>0.05</v>
      </c>
      <c r="BB135" s="26">
        <f t="shared" si="171"/>
        <v>2.5000000000000001E-2</v>
      </c>
      <c r="BC135" s="26">
        <f t="shared" ref="BC135:BL144" si="172">SUMIFS($J$5:$J$76,$I$5:$I$76,BC$4,$H$5:$H$76,"&lt;="&amp;$W135)</f>
        <v>1.5</v>
      </c>
      <c r="BD135" s="26">
        <f t="shared" si="172"/>
        <v>1.5</v>
      </c>
      <c r="BE135" s="26">
        <f t="shared" si="172"/>
        <v>1.5</v>
      </c>
      <c r="BF135" s="26">
        <f t="shared" si="172"/>
        <v>1.5</v>
      </c>
      <c r="BG135" s="26">
        <f t="shared" si="172"/>
        <v>1.5</v>
      </c>
      <c r="BH135" s="26">
        <f t="shared" si="172"/>
        <v>0.05</v>
      </c>
      <c r="BI135" s="26">
        <f t="shared" si="172"/>
        <v>1</v>
      </c>
      <c r="BJ135" s="26">
        <f t="shared" si="172"/>
        <v>1</v>
      </c>
      <c r="BK135" s="26">
        <f t="shared" si="172"/>
        <v>1</v>
      </c>
      <c r="BL135" s="26">
        <f t="shared" si="172"/>
        <v>1</v>
      </c>
      <c r="BM135" s="26">
        <f t="shared" ref="BM135:BX144" si="173">SUMIFS($J$5:$J$76,$I$5:$I$76,BM$4,$H$5:$H$76,"&lt;="&amp;$W135)</f>
        <v>1</v>
      </c>
      <c r="BN135" s="26">
        <f t="shared" si="173"/>
        <v>0.2</v>
      </c>
      <c r="BO135" s="26">
        <f t="shared" si="173"/>
        <v>0.2</v>
      </c>
      <c r="BP135" s="26">
        <f t="shared" si="173"/>
        <v>0.2</v>
      </c>
      <c r="BQ135" s="26">
        <f t="shared" si="173"/>
        <v>0.2</v>
      </c>
      <c r="BR135" s="26">
        <f t="shared" si="173"/>
        <v>0.2</v>
      </c>
      <c r="BS135" s="26">
        <f t="shared" si="173"/>
        <v>0.1</v>
      </c>
      <c r="BT135" s="26">
        <f t="shared" si="173"/>
        <v>0.05</v>
      </c>
      <c r="BU135" s="26">
        <f t="shared" si="173"/>
        <v>0.05</v>
      </c>
      <c r="BV135" s="26">
        <f t="shared" si="173"/>
        <v>0.05</v>
      </c>
      <c r="BW135" s="26">
        <f t="shared" si="173"/>
        <v>0.05</v>
      </c>
      <c r="BX135" s="26">
        <f t="shared" si="173"/>
        <v>2.5000000000000001E-2</v>
      </c>
      <c r="BY135" s="26">
        <f t="shared" ref="BY135:CH144" si="174">SUMIFS($J$5:$J$76,$I$5:$I$76,BY$4,$H$5:$H$76,"&lt;="&amp;$Z135)</f>
        <v>1.5</v>
      </c>
      <c r="BZ135" s="26">
        <f t="shared" si="174"/>
        <v>1.5</v>
      </c>
      <c r="CA135" s="26">
        <f t="shared" si="174"/>
        <v>1.5</v>
      </c>
      <c r="CB135" s="26">
        <f t="shared" si="174"/>
        <v>1.5</v>
      </c>
      <c r="CC135" s="26">
        <f t="shared" si="174"/>
        <v>1.5</v>
      </c>
      <c r="CD135" s="26">
        <f t="shared" si="174"/>
        <v>0.05</v>
      </c>
      <c r="CE135" s="26">
        <f t="shared" si="174"/>
        <v>1</v>
      </c>
      <c r="CF135" s="26">
        <f t="shared" si="174"/>
        <v>1</v>
      </c>
      <c r="CG135" s="26">
        <f t="shared" si="174"/>
        <v>1</v>
      </c>
      <c r="CH135" s="26">
        <f t="shared" si="174"/>
        <v>1</v>
      </c>
      <c r="CI135" s="26">
        <f t="shared" ref="CI135:CT144" si="175">SUMIFS($J$5:$J$76,$I$5:$I$76,CI$4,$H$5:$H$76,"&lt;="&amp;$Z135)</f>
        <v>1</v>
      </c>
      <c r="CJ135" s="26">
        <f t="shared" si="175"/>
        <v>0.2</v>
      </c>
      <c r="CK135" s="26">
        <f t="shared" si="175"/>
        <v>0.2</v>
      </c>
      <c r="CL135" s="26">
        <f t="shared" si="175"/>
        <v>0.2</v>
      </c>
      <c r="CM135" s="26">
        <f t="shared" si="175"/>
        <v>0.2</v>
      </c>
      <c r="CN135" s="26">
        <f t="shared" si="175"/>
        <v>0.2</v>
      </c>
      <c r="CO135" s="26">
        <f t="shared" si="175"/>
        <v>0.1</v>
      </c>
      <c r="CP135" s="26">
        <f t="shared" si="175"/>
        <v>0.05</v>
      </c>
      <c r="CQ135" s="26">
        <f t="shared" si="175"/>
        <v>0.05</v>
      </c>
      <c r="CR135" s="26">
        <f t="shared" si="175"/>
        <v>0.05</v>
      </c>
      <c r="CS135" s="26">
        <f t="shared" si="175"/>
        <v>0.05</v>
      </c>
      <c r="CT135" s="26">
        <f t="shared" si="175"/>
        <v>2.5000000000000001E-2</v>
      </c>
      <c r="CU135" s="26">
        <f t="shared" ref="CU135:DD144" si="176">SUMIFS($J$5:$J$76,$I$5:$I$76,CU$4,$H$5:$H$76,"&lt;="&amp;$AC135)</f>
        <v>1.5</v>
      </c>
      <c r="CV135" s="26">
        <f t="shared" si="176"/>
        <v>1.5</v>
      </c>
      <c r="CW135" s="26">
        <f t="shared" si="176"/>
        <v>1.5</v>
      </c>
      <c r="CX135" s="26">
        <f t="shared" si="176"/>
        <v>1.5</v>
      </c>
      <c r="CY135" s="26">
        <f t="shared" si="176"/>
        <v>1.5</v>
      </c>
      <c r="CZ135" s="26">
        <f t="shared" si="176"/>
        <v>0.1</v>
      </c>
      <c r="DA135" s="26">
        <f t="shared" si="176"/>
        <v>1</v>
      </c>
      <c r="DB135" s="26">
        <f t="shared" si="176"/>
        <v>1</v>
      </c>
      <c r="DC135" s="26">
        <f t="shared" si="176"/>
        <v>1</v>
      </c>
      <c r="DD135" s="26">
        <f t="shared" si="176"/>
        <v>1</v>
      </c>
      <c r="DE135" s="26">
        <f t="shared" ref="DE135:DP144" si="177">SUMIFS($J$5:$J$76,$I$5:$I$76,DE$4,$H$5:$H$76,"&lt;="&amp;$AC135)</f>
        <v>1</v>
      </c>
      <c r="DF135" s="26">
        <f t="shared" si="177"/>
        <v>0.2</v>
      </c>
      <c r="DG135" s="26">
        <f t="shared" si="177"/>
        <v>0.2</v>
      </c>
      <c r="DH135" s="26">
        <f t="shared" si="177"/>
        <v>0.2</v>
      </c>
      <c r="DI135" s="26">
        <f t="shared" si="177"/>
        <v>0.2</v>
      </c>
      <c r="DJ135" s="26">
        <f t="shared" si="177"/>
        <v>0.2</v>
      </c>
      <c r="DK135" s="26">
        <f t="shared" si="177"/>
        <v>0.1</v>
      </c>
      <c r="DL135" s="26">
        <f t="shared" si="177"/>
        <v>0.1</v>
      </c>
      <c r="DM135" s="26">
        <f t="shared" si="177"/>
        <v>0.1</v>
      </c>
      <c r="DN135" s="26">
        <f t="shared" si="177"/>
        <v>0.05</v>
      </c>
      <c r="DO135" s="26">
        <f t="shared" si="177"/>
        <v>0.05</v>
      </c>
      <c r="DP135" s="26">
        <f t="shared" si="177"/>
        <v>0.05</v>
      </c>
      <c r="DQ135" s="26">
        <f t="shared" ref="DQ135:DZ144" si="178">SUMIFS($J$5:$J$76,$I$5:$I$76,DQ$4,$H$5:$H$76,"&lt;="&amp;$AF135)</f>
        <v>1.5</v>
      </c>
      <c r="DR135" s="26">
        <f t="shared" si="178"/>
        <v>1.5</v>
      </c>
      <c r="DS135" s="26">
        <f t="shared" si="178"/>
        <v>1.5</v>
      </c>
      <c r="DT135" s="26">
        <f t="shared" si="178"/>
        <v>1.5</v>
      </c>
      <c r="DU135" s="26">
        <f t="shared" si="178"/>
        <v>1.5</v>
      </c>
      <c r="DV135" s="26">
        <f t="shared" si="178"/>
        <v>0.1</v>
      </c>
      <c r="DW135" s="26">
        <f t="shared" si="178"/>
        <v>1</v>
      </c>
      <c r="DX135" s="26">
        <f t="shared" si="178"/>
        <v>1</v>
      </c>
      <c r="DY135" s="26">
        <f t="shared" si="178"/>
        <v>1</v>
      </c>
      <c r="DZ135" s="26">
        <f t="shared" si="178"/>
        <v>1</v>
      </c>
      <c r="EA135" s="26">
        <f t="shared" ref="EA135:EL144" si="179">SUMIFS($J$5:$J$76,$I$5:$I$76,EA$4,$H$5:$H$76,"&lt;="&amp;$AF135)</f>
        <v>1</v>
      </c>
      <c r="EB135" s="26">
        <f t="shared" si="179"/>
        <v>0.2</v>
      </c>
      <c r="EC135" s="26">
        <f t="shared" si="179"/>
        <v>0.2</v>
      </c>
      <c r="ED135" s="26">
        <f t="shared" si="179"/>
        <v>0.2</v>
      </c>
      <c r="EE135" s="26">
        <f t="shared" si="179"/>
        <v>0.2</v>
      </c>
      <c r="EF135" s="26">
        <f t="shared" si="179"/>
        <v>0.2</v>
      </c>
      <c r="EG135" s="26">
        <f t="shared" si="179"/>
        <v>0.1</v>
      </c>
      <c r="EH135" s="26">
        <f t="shared" si="179"/>
        <v>0.1</v>
      </c>
      <c r="EI135" s="26">
        <f t="shared" si="179"/>
        <v>0.1</v>
      </c>
      <c r="EJ135" s="26">
        <f t="shared" si="179"/>
        <v>0.05</v>
      </c>
      <c r="EK135" s="26">
        <f t="shared" si="179"/>
        <v>0.05</v>
      </c>
      <c r="EL135" s="26">
        <f t="shared" si="179"/>
        <v>0.05</v>
      </c>
      <c r="EM135" s="26">
        <f t="shared" si="165"/>
        <v>589257</v>
      </c>
      <c r="EN135" s="26">
        <f t="shared" si="166"/>
        <v>589257</v>
      </c>
      <c r="EO135" s="26">
        <f t="shared" si="167"/>
        <v>589257</v>
      </c>
      <c r="EP135" s="26">
        <f t="shared" si="168"/>
        <v>771411</v>
      </c>
      <c r="EQ135" s="26">
        <f t="shared" si="169"/>
        <v>771411</v>
      </c>
    </row>
    <row r="136" spans="17:147">
      <c r="Q136" s="26">
        <v>132</v>
      </c>
      <c r="R136" s="26">
        <f>总纲!D136</f>
        <v>9409.1369241357042</v>
      </c>
      <c r="S136" s="26">
        <f>求节点(将星点产出!$W$6:$W$44,将星点产出!$AO$6:$AO$44,星阵点亮!$Q136)</f>
        <v>997350</v>
      </c>
      <c r="T136" s="26">
        <f t="shared" si="160"/>
        <v>59</v>
      </c>
      <c r="U136" s="26">
        <f>总纲!E136</f>
        <v>7983.6526801291457</v>
      </c>
      <c r="V136" s="26">
        <f>求节点(将星点产出!$W$51:$W$89,将星点产出!$AO$51:$AO$89,星阵点亮!$Q136)</f>
        <v>997350</v>
      </c>
      <c r="W136" s="26">
        <f t="shared" si="161"/>
        <v>59</v>
      </c>
      <c r="X136" s="26">
        <f>总纲!F136</f>
        <v>6385.9812304109018</v>
      </c>
      <c r="Y136" s="26">
        <f>求节点(将星点产出!$W$96:$W$134,将星点产出!$AO$96:$AO$134,星阵点亮!$Q136)</f>
        <v>997350</v>
      </c>
      <c r="Z136" s="26">
        <f t="shared" si="162"/>
        <v>59</v>
      </c>
      <c r="AA136" s="26">
        <f>总纲!G136</f>
        <v>4544.6131343575453</v>
      </c>
      <c r="AB136" s="26">
        <f>求节点(将星点产出!$W$141:$W$179,将星点产出!$AO$141:$AO$179,星阵点亮!$Q136)</f>
        <v>1304550</v>
      </c>
      <c r="AC136" s="26">
        <f t="shared" si="163"/>
        <v>66</v>
      </c>
      <c r="AD136" s="26">
        <f>总纲!H136</f>
        <v>2431.3209811966663</v>
      </c>
      <c r="AE136" s="26">
        <f>求节点(将星点产出!$W$186:$W$224,将星点产出!$AO$186:$AO$224,星阵点亮!$Q136)</f>
        <v>1304550</v>
      </c>
      <c r="AF136" s="26">
        <f t="shared" si="164"/>
        <v>66</v>
      </c>
      <c r="AG136" s="26">
        <f t="shared" si="170"/>
        <v>1.5</v>
      </c>
      <c r="AH136" s="26">
        <f t="shared" si="170"/>
        <v>1.5</v>
      </c>
      <c r="AI136" s="26">
        <f t="shared" si="170"/>
        <v>1.5</v>
      </c>
      <c r="AJ136" s="26">
        <f t="shared" si="170"/>
        <v>1.5</v>
      </c>
      <c r="AK136" s="26">
        <f t="shared" si="170"/>
        <v>1.5</v>
      </c>
      <c r="AL136" s="26">
        <f t="shared" si="170"/>
        <v>0.05</v>
      </c>
      <c r="AM136" s="26">
        <f t="shared" si="170"/>
        <v>1</v>
      </c>
      <c r="AN136" s="26">
        <f t="shared" si="170"/>
        <v>1</v>
      </c>
      <c r="AO136" s="26">
        <f t="shared" si="170"/>
        <v>1</v>
      </c>
      <c r="AP136" s="26">
        <f t="shared" si="170"/>
        <v>1</v>
      </c>
      <c r="AQ136" s="26">
        <f t="shared" si="171"/>
        <v>1</v>
      </c>
      <c r="AR136" s="26">
        <f t="shared" si="171"/>
        <v>0.2</v>
      </c>
      <c r="AS136" s="26">
        <f t="shared" si="171"/>
        <v>0.2</v>
      </c>
      <c r="AT136" s="26">
        <f t="shared" si="171"/>
        <v>0.2</v>
      </c>
      <c r="AU136" s="26">
        <f t="shared" si="171"/>
        <v>0.2</v>
      </c>
      <c r="AV136" s="26">
        <f t="shared" si="171"/>
        <v>0.2</v>
      </c>
      <c r="AW136" s="26">
        <f t="shared" si="171"/>
        <v>0.1</v>
      </c>
      <c r="AX136" s="26">
        <f t="shared" si="171"/>
        <v>0.05</v>
      </c>
      <c r="AY136" s="26">
        <f t="shared" si="171"/>
        <v>0.05</v>
      </c>
      <c r="AZ136" s="26">
        <f t="shared" si="171"/>
        <v>0.05</v>
      </c>
      <c r="BA136" s="26">
        <f t="shared" si="171"/>
        <v>0.05</v>
      </c>
      <c r="BB136" s="26">
        <f t="shared" si="171"/>
        <v>2.5000000000000001E-2</v>
      </c>
      <c r="BC136" s="26">
        <f t="shared" si="172"/>
        <v>1.5</v>
      </c>
      <c r="BD136" s="26">
        <f t="shared" si="172"/>
        <v>1.5</v>
      </c>
      <c r="BE136" s="26">
        <f t="shared" si="172"/>
        <v>1.5</v>
      </c>
      <c r="BF136" s="26">
        <f t="shared" si="172"/>
        <v>1.5</v>
      </c>
      <c r="BG136" s="26">
        <f t="shared" si="172"/>
        <v>1.5</v>
      </c>
      <c r="BH136" s="26">
        <f t="shared" si="172"/>
        <v>0.05</v>
      </c>
      <c r="BI136" s="26">
        <f t="shared" si="172"/>
        <v>1</v>
      </c>
      <c r="BJ136" s="26">
        <f t="shared" si="172"/>
        <v>1</v>
      </c>
      <c r="BK136" s="26">
        <f t="shared" si="172"/>
        <v>1</v>
      </c>
      <c r="BL136" s="26">
        <f t="shared" si="172"/>
        <v>1</v>
      </c>
      <c r="BM136" s="26">
        <f t="shared" si="173"/>
        <v>1</v>
      </c>
      <c r="BN136" s="26">
        <f t="shared" si="173"/>
        <v>0.2</v>
      </c>
      <c r="BO136" s="26">
        <f t="shared" si="173"/>
        <v>0.2</v>
      </c>
      <c r="BP136" s="26">
        <f t="shared" si="173"/>
        <v>0.2</v>
      </c>
      <c r="BQ136" s="26">
        <f t="shared" si="173"/>
        <v>0.2</v>
      </c>
      <c r="BR136" s="26">
        <f t="shared" si="173"/>
        <v>0.2</v>
      </c>
      <c r="BS136" s="26">
        <f t="shared" si="173"/>
        <v>0.1</v>
      </c>
      <c r="BT136" s="26">
        <f t="shared" si="173"/>
        <v>0.05</v>
      </c>
      <c r="BU136" s="26">
        <f t="shared" si="173"/>
        <v>0.05</v>
      </c>
      <c r="BV136" s="26">
        <f t="shared" si="173"/>
        <v>0.05</v>
      </c>
      <c r="BW136" s="26">
        <f t="shared" si="173"/>
        <v>0.05</v>
      </c>
      <c r="BX136" s="26">
        <f t="shared" si="173"/>
        <v>2.5000000000000001E-2</v>
      </c>
      <c r="BY136" s="26">
        <f t="shared" si="174"/>
        <v>1.5</v>
      </c>
      <c r="BZ136" s="26">
        <f t="shared" si="174"/>
        <v>1.5</v>
      </c>
      <c r="CA136" s="26">
        <f t="shared" si="174"/>
        <v>1.5</v>
      </c>
      <c r="CB136" s="26">
        <f t="shared" si="174"/>
        <v>1.5</v>
      </c>
      <c r="CC136" s="26">
        <f t="shared" si="174"/>
        <v>1.5</v>
      </c>
      <c r="CD136" s="26">
        <f t="shared" si="174"/>
        <v>0.05</v>
      </c>
      <c r="CE136" s="26">
        <f t="shared" si="174"/>
        <v>1</v>
      </c>
      <c r="CF136" s="26">
        <f t="shared" si="174"/>
        <v>1</v>
      </c>
      <c r="CG136" s="26">
        <f t="shared" si="174"/>
        <v>1</v>
      </c>
      <c r="CH136" s="26">
        <f t="shared" si="174"/>
        <v>1</v>
      </c>
      <c r="CI136" s="26">
        <f t="shared" si="175"/>
        <v>1</v>
      </c>
      <c r="CJ136" s="26">
        <f t="shared" si="175"/>
        <v>0.2</v>
      </c>
      <c r="CK136" s="26">
        <f t="shared" si="175"/>
        <v>0.2</v>
      </c>
      <c r="CL136" s="26">
        <f t="shared" si="175"/>
        <v>0.2</v>
      </c>
      <c r="CM136" s="26">
        <f t="shared" si="175"/>
        <v>0.2</v>
      </c>
      <c r="CN136" s="26">
        <f t="shared" si="175"/>
        <v>0.2</v>
      </c>
      <c r="CO136" s="26">
        <f t="shared" si="175"/>
        <v>0.1</v>
      </c>
      <c r="CP136" s="26">
        <f t="shared" si="175"/>
        <v>0.05</v>
      </c>
      <c r="CQ136" s="26">
        <f t="shared" si="175"/>
        <v>0.05</v>
      </c>
      <c r="CR136" s="26">
        <f t="shared" si="175"/>
        <v>0.05</v>
      </c>
      <c r="CS136" s="26">
        <f t="shared" si="175"/>
        <v>0.05</v>
      </c>
      <c r="CT136" s="26">
        <f t="shared" si="175"/>
        <v>2.5000000000000001E-2</v>
      </c>
      <c r="CU136" s="26">
        <f t="shared" si="176"/>
        <v>1.5</v>
      </c>
      <c r="CV136" s="26">
        <f t="shared" si="176"/>
        <v>1.5</v>
      </c>
      <c r="CW136" s="26">
        <f t="shared" si="176"/>
        <v>1.5</v>
      </c>
      <c r="CX136" s="26">
        <f t="shared" si="176"/>
        <v>1.5</v>
      </c>
      <c r="CY136" s="26">
        <f t="shared" si="176"/>
        <v>1.5</v>
      </c>
      <c r="CZ136" s="26">
        <f t="shared" si="176"/>
        <v>0.1</v>
      </c>
      <c r="DA136" s="26">
        <f t="shared" si="176"/>
        <v>1</v>
      </c>
      <c r="DB136" s="26">
        <f t="shared" si="176"/>
        <v>1</v>
      </c>
      <c r="DC136" s="26">
        <f t="shared" si="176"/>
        <v>1</v>
      </c>
      <c r="DD136" s="26">
        <f t="shared" si="176"/>
        <v>1</v>
      </c>
      <c r="DE136" s="26">
        <f t="shared" si="177"/>
        <v>1</v>
      </c>
      <c r="DF136" s="26">
        <f t="shared" si="177"/>
        <v>0.2</v>
      </c>
      <c r="DG136" s="26">
        <f t="shared" si="177"/>
        <v>0.2</v>
      </c>
      <c r="DH136" s="26">
        <f t="shared" si="177"/>
        <v>0.2</v>
      </c>
      <c r="DI136" s="26">
        <f t="shared" si="177"/>
        <v>0.2</v>
      </c>
      <c r="DJ136" s="26">
        <f t="shared" si="177"/>
        <v>0.2</v>
      </c>
      <c r="DK136" s="26">
        <f t="shared" si="177"/>
        <v>0.1</v>
      </c>
      <c r="DL136" s="26">
        <f t="shared" si="177"/>
        <v>0.1</v>
      </c>
      <c r="DM136" s="26">
        <f t="shared" si="177"/>
        <v>0.1</v>
      </c>
      <c r="DN136" s="26">
        <f t="shared" si="177"/>
        <v>0.05</v>
      </c>
      <c r="DO136" s="26">
        <f t="shared" si="177"/>
        <v>0.05</v>
      </c>
      <c r="DP136" s="26">
        <f t="shared" si="177"/>
        <v>0.05</v>
      </c>
      <c r="DQ136" s="26">
        <f t="shared" si="178"/>
        <v>1.5</v>
      </c>
      <c r="DR136" s="26">
        <f t="shared" si="178"/>
        <v>1.5</v>
      </c>
      <c r="DS136" s="26">
        <f t="shared" si="178"/>
        <v>1.5</v>
      </c>
      <c r="DT136" s="26">
        <f t="shared" si="178"/>
        <v>1.5</v>
      </c>
      <c r="DU136" s="26">
        <f t="shared" si="178"/>
        <v>1.5</v>
      </c>
      <c r="DV136" s="26">
        <f t="shared" si="178"/>
        <v>0.1</v>
      </c>
      <c r="DW136" s="26">
        <f t="shared" si="178"/>
        <v>1</v>
      </c>
      <c r="DX136" s="26">
        <f t="shared" si="178"/>
        <v>1</v>
      </c>
      <c r="DY136" s="26">
        <f t="shared" si="178"/>
        <v>1</v>
      </c>
      <c r="DZ136" s="26">
        <f t="shared" si="178"/>
        <v>1</v>
      </c>
      <c r="EA136" s="26">
        <f t="shared" si="179"/>
        <v>1</v>
      </c>
      <c r="EB136" s="26">
        <f t="shared" si="179"/>
        <v>0.2</v>
      </c>
      <c r="EC136" s="26">
        <f t="shared" si="179"/>
        <v>0.2</v>
      </c>
      <c r="ED136" s="26">
        <f t="shared" si="179"/>
        <v>0.2</v>
      </c>
      <c r="EE136" s="26">
        <f t="shared" si="179"/>
        <v>0.2</v>
      </c>
      <c r="EF136" s="26">
        <f t="shared" si="179"/>
        <v>0.2</v>
      </c>
      <c r="EG136" s="26">
        <f t="shared" si="179"/>
        <v>0.1</v>
      </c>
      <c r="EH136" s="26">
        <f t="shared" si="179"/>
        <v>0.1</v>
      </c>
      <c r="EI136" s="26">
        <f t="shared" si="179"/>
        <v>0.1</v>
      </c>
      <c r="EJ136" s="26">
        <f t="shared" si="179"/>
        <v>0.05</v>
      </c>
      <c r="EK136" s="26">
        <f t="shared" si="179"/>
        <v>0.05</v>
      </c>
      <c r="EL136" s="26">
        <f t="shared" si="179"/>
        <v>0.05</v>
      </c>
      <c r="EM136" s="26">
        <f t="shared" si="165"/>
        <v>589257</v>
      </c>
      <c r="EN136" s="26">
        <f t="shared" si="166"/>
        <v>589257</v>
      </c>
      <c r="EO136" s="26">
        <f t="shared" si="167"/>
        <v>589257</v>
      </c>
      <c r="EP136" s="26">
        <f t="shared" si="168"/>
        <v>771411</v>
      </c>
      <c r="EQ136" s="26">
        <f t="shared" si="169"/>
        <v>771411</v>
      </c>
    </row>
    <row r="137" spans="17:147">
      <c r="Q137" s="26">
        <v>133</v>
      </c>
      <c r="R137" s="26">
        <f>总纲!D137</f>
        <v>10084.535034121556</v>
      </c>
      <c r="S137" s="26">
        <f>求节点(将星点产出!$W$6:$W$44,将星点产出!$AO$6:$AO$44,星阵点亮!$Q137)</f>
        <v>997350</v>
      </c>
      <c r="T137" s="26">
        <f t="shared" si="160"/>
        <v>59</v>
      </c>
      <c r="U137" s="26">
        <f>总纲!E137</f>
        <v>8562.7786974726132</v>
      </c>
      <c r="V137" s="26">
        <f>求节点(将星点产出!$W$51:$W$89,将星点产出!$AO$51:$AO$89,星阵点亮!$Q137)</f>
        <v>997350</v>
      </c>
      <c r="W137" s="26">
        <f t="shared" si="161"/>
        <v>59</v>
      </c>
      <c r="X137" s="26">
        <f>总纲!F137</f>
        <v>6827.2302181002942</v>
      </c>
      <c r="Y137" s="26">
        <f>求节点(将星点产出!$W$96:$W$134,将星点产出!$AO$96:$AO$134,星阵点亮!$Q137)</f>
        <v>997350</v>
      </c>
      <c r="Z137" s="26">
        <f t="shared" si="162"/>
        <v>59</v>
      </c>
      <c r="AA137" s="26">
        <f>总纲!G137</f>
        <v>4847.6359909022322</v>
      </c>
      <c r="AB137" s="26">
        <f>求节点(将星点产出!$W$141:$W$179,将星点产出!$AO$141:$AO$179,星阵点亮!$Q137)</f>
        <v>1304550</v>
      </c>
      <c r="AC137" s="26">
        <f t="shared" si="163"/>
        <v>66</v>
      </c>
      <c r="AD137" s="26">
        <f>总纲!H137</f>
        <v>2595.759317782889</v>
      </c>
      <c r="AE137" s="26">
        <f>求节点(将星点产出!$W$186:$W$224,将星点产出!$AO$186:$AO$224,星阵点亮!$Q137)</f>
        <v>1304550</v>
      </c>
      <c r="AF137" s="26">
        <f t="shared" si="164"/>
        <v>66</v>
      </c>
      <c r="AG137" s="26">
        <f t="shared" si="170"/>
        <v>1.5</v>
      </c>
      <c r="AH137" s="26">
        <f t="shared" si="170"/>
        <v>1.5</v>
      </c>
      <c r="AI137" s="26">
        <f t="shared" si="170"/>
        <v>1.5</v>
      </c>
      <c r="AJ137" s="26">
        <f t="shared" si="170"/>
        <v>1.5</v>
      </c>
      <c r="AK137" s="26">
        <f t="shared" si="170"/>
        <v>1.5</v>
      </c>
      <c r="AL137" s="26">
        <f t="shared" si="170"/>
        <v>0.05</v>
      </c>
      <c r="AM137" s="26">
        <f t="shared" si="170"/>
        <v>1</v>
      </c>
      <c r="AN137" s="26">
        <f t="shared" si="170"/>
        <v>1</v>
      </c>
      <c r="AO137" s="26">
        <f t="shared" si="170"/>
        <v>1</v>
      </c>
      <c r="AP137" s="26">
        <f t="shared" si="170"/>
        <v>1</v>
      </c>
      <c r="AQ137" s="26">
        <f t="shared" si="171"/>
        <v>1</v>
      </c>
      <c r="AR137" s="26">
        <f t="shared" si="171"/>
        <v>0.2</v>
      </c>
      <c r="AS137" s="26">
        <f t="shared" si="171"/>
        <v>0.2</v>
      </c>
      <c r="AT137" s="26">
        <f t="shared" si="171"/>
        <v>0.2</v>
      </c>
      <c r="AU137" s="26">
        <f t="shared" si="171"/>
        <v>0.2</v>
      </c>
      <c r="AV137" s="26">
        <f t="shared" si="171"/>
        <v>0.2</v>
      </c>
      <c r="AW137" s="26">
        <f t="shared" si="171"/>
        <v>0.1</v>
      </c>
      <c r="AX137" s="26">
        <f t="shared" si="171"/>
        <v>0.05</v>
      </c>
      <c r="AY137" s="26">
        <f t="shared" si="171"/>
        <v>0.05</v>
      </c>
      <c r="AZ137" s="26">
        <f t="shared" si="171"/>
        <v>0.05</v>
      </c>
      <c r="BA137" s="26">
        <f t="shared" si="171"/>
        <v>0.05</v>
      </c>
      <c r="BB137" s="26">
        <f t="shared" si="171"/>
        <v>2.5000000000000001E-2</v>
      </c>
      <c r="BC137" s="26">
        <f t="shared" si="172"/>
        <v>1.5</v>
      </c>
      <c r="BD137" s="26">
        <f t="shared" si="172"/>
        <v>1.5</v>
      </c>
      <c r="BE137" s="26">
        <f t="shared" si="172"/>
        <v>1.5</v>
      </c>
      <c r="BF137" s="26">
        <f t="shared" si="172"/>
        <v>1.5</v>
      </c>
      <c r="BG137" s="26">
        <f t="shared" si="172"/>
        <v>1.5</v>
      </c>
      <c r="BH137" s="26">
        <f t="shared" si="172"/>
        <v>0.05</v>
      </c>
      <c r="BI137" s="26">
        <f t="shared" si="172"/>
        <v>1</v>
      </c>
      <c r="BJ137" s="26">
        <f t="shared" si="172"/>
        <v>1</v>
      </c>
      <c r="BK137" s="26">
        <f t="shared" si="172"/>
        <v>1</v>
      </c>
      <c r="BL137" s="26">
        <f t="shared" si="172"/>
        <v>1</v>
      </c>
      <c r="BM137" s="26">
        <f t="shared" si="173"/>
        <v>1</v>
      </c>
      <c r="BN137" s="26">
        <f t="shared" si="173"/>
        <v>0.2</v>
      </c>
      <c r="BO137" s="26">
        <f t="shared" si="173"/>
        <v>0.2</v>
      </c>
      <c r="BP137" s="26">
        <f t="shared" si="173"/>
        <v>0.2</v>
      </c>
      <c r="BQ137" s="26">
        <f t="shared" si="173"/>
        <v>0.2</v>
      </c>
      <c r="BR137" s="26">
        <f t="shared" si="173"/>
        <v>0.2</v>
      </c>
      <c r="BS137" s="26">
        <f t="shared" si="173"/>
        <v>0.1</v>
      </c>
      <c r="BT137" s="26">
        <f t="shared" si="173"/>
        <v>0.05</v>
      </c>
      <c r="BU137" s="26">
        <f t="shared" si="173"/>
        <v>0.05</v>
      </c>
      <c r="BV137" s="26">
        <f t="shared" si="173"/>
        <v>0.05</v>
      </c>
      <c r="BW137" s="26">
        <f t="shared" si="173"/>
        <v>0.05</v>
      </c>
      <c r="BX137" s="26">
        <f t="shared" si="173"/>
        <v>2.5000000000000001E-2</v>
      </c>
      <c r="BY137" s="26">
        <f t="shared" si="174"/>
        <v>1.5</v>
      </c>
      <c r="BZ137" s="26">
        <f t="shared" si="174"/>
        <v>1.5</v>
      </c>
      <c r="CA137" s="26">
        <f t="shared" si="174"/>
        <v>1.5</v>
      </c>
      <c r="CB137" s="26">
        <f t="shared" si="174"/>
        <v>1.5</v>
      </c>
      <c r="CC137" s="26">
        <f t="shared" si="174"/>
        <v>1.5</v>
      </c>
      <c r="CD137" s="26">
        <f t="shared" si="174"/>
        <v>0.05</v>
      </c>
      <c r="CE137" s="26">
        <f t="shared" si="174"/>
        <v>1</v>
      </c>
      <c r="CF137" s="26">
        <f t="shared" si="174"/>
        <v>1</v>
      </c>
      <c r="CG137" s="26">
        <f t="shared" si="174"/>
        <v>1</v>
      </c>
      <c r="CH137" s="26">
        <f t="shared" si="174"/>
        <v>1</v>
      </c>
      <c r="CI137" s="26">
        <f t="shared" si="175"/>
        <v>1</v>
      </c>
      <c r="CJ137" s="26">
        <f t="shared" si="175"/>
        <v>0.2</v>
      </c>
      <c r="CK137" s="26">
        <f t="shared" si="175"/>
        <v>0.2</v>
      </c>
      <c r="CL137" s="26">
        <f t="shared" si="175"/>
        <v>0.2</v>
      </c>
      <c r="CM137" s="26">
        <f t="shared" si="175"/>
        <v>0.2</v>
      </c>
      <c r="CN137" s="26">
        <f t="shared" si="175"/>
        <v>0.2</v>
      </c>
      <c r="CO137" s="26">
        <f t="shared" si="175"/>
        <v>0.1</v>
      </c>
      <c r="CP137" s="26">
        <f t="shared" si="175"/>
        <v>0.05</v>
      </c>
      <c r="CQ137" s="26">
        <f t="shared" si="175"/>
        <v>0.05</v>
      </c>
      <c r="CR137" s="26">
        <f t="shared" si="175"/>
        <v>0.05</v>
      </c>
      <c r="CS137" s="26">
        <f t="shared" si="175"/>
        <v>0.05</v>
      </c>
      <c r="CT137" s="26">
        <f t="shared" si="175"/>
        <v>2.5000000000000001E-2</v>
      </c>
      <c r="CU137" s="26">
        <f t="shared" si="176"/>
        <v>1.5</v>
      </c>
      <c r="CV137" s="26">
        <f t="shared" si="176"/>
        <v>1.5</v>
      </c>
      <c r="CW137" s="26">
        <f t="shared" si="176"/>
        <v>1.5</v>
      </c>
      <c r="CX137" s="26">
        <f t="shared" si="176"/>
        <v>1.5</v>
      </c>
      <c r="CY137" s="26">
        <f t="shared" si="176"/>
        <v>1.5</v>
      </c>
      <c r="CZ137" s="26">
        <f t="shared" si="176"/>
        <v>0.1</v>
      </c>
      <c r="DA137" s="26">
        <f t="shared" si="176"/>
        <v>1</v>
      </c>
      <c r="DB137" s="26">
        <f t="shared" si="176"/>
        <v>1</v>
      </c>
      <c r="DC137" s="26">
        <f t="shared" si="176"/>
        <v>1</v>
      </c>
      <c r="DD137" s="26">
        <f t="shared" si="176"/>
        <v>1</v>
      </c>
      <c r="DE137" s="26">
        <f t="shared" si="177"/>
        <v>1</v>
      </c>
      <c r="DF137" s="26">
        <f t="shared" si="177"/>
        <v>0.2</v>
      </c>
      <c r="DG137" s="26">
        <f t="shared" si="177"/>
        <v>0.2</v>
      </c>
      <c r="DH137" s="26">
        <f t="shared" si="177"/>
        <v>0.2</v>
      </c>
      <c r="DI137" s="26">
        <f t="shared" si="177"/>
        <v>0.2</v>
      </c>
      <c r="DJ137" s="26">
        <f t="shared" si="177"/>
        <v>0.2</v>
      </c>
      <c r="DK137" s="26">
        <f t="shared" si="177"/>
        <v>0.1</v>
      </c>
      <c r="DL137" s="26">
        <f t="shared" si="177"/>
        <v>0.1</v>
      </c>
      <c r="DM137" s="26">
        <f t="shared" si="177"/>
        <v>0.1</v>
      </c>
      <c r="DN137" s="26">
        <f t="shared" si="177"/>
        <v>0.05</v>
      </c>
      <c r="DO137" s="26">
        <f t="shared" si="177"/>
        <v>0.05</v>
      </c>
      <c r="DP137" s="26">
        <f t="shared" si="177"/>
        <v>0.05</v>
      </c>
      <c r="DQ137" s="26">
        <f t="shared" si="178"/>
        <v>1.5</v>
      </c>
      <c r="DR137" s="26">
        <f t="shared" si="178"/>
        <v>1.5</v>
      </c>
      <c r="DS137" s="26">
        <f t="shared" si="178"/>
        <v>1.5</v>
      </c>
      <c r="DT137" s="26">
        <f t="shared" si="178"/>
        <v>1.5</v>
      </c>
      <c r="DU137" s="26">
        <f t="shared" si="178"/>
        <v>1.5</v>
      </c>
      <c r="DV137" s="26">
        <f t="shared" si="178"/>
        <v>0.1</v>
      </c>
      <c r="DW137" s="26">
        <f t="shared" si="178"/>
        <v>1</v>
      </c>
      <c r="DX137" s="26">
        <f t="shared" si="178"/>
        <v>1</v>
      </c>
      <c r="DY137" s="26">
        <f t="shared" si="178"/>
        <v>1</v>
      </c>
      <c r="DZ137" s="26">
        <f t="shared" si="178"/>
        <v>1</v>
      </c>
      <c r="EA137" s="26">
        <f t="shared" si="179"/>
        <v>1</v>
      </c>
      <c r="EB137" s="26">
        <f t="shared" si="179"/>
        <v>0.2</v>
      </c>
      <c r="EC137" s="26">
        <f t="shared" si="179"/>
        <v>0.2</v>
      </c>
      <c r="ED137" s="26">
        <f t="shared" si="179"/>
        <v>0.2</v>
      </c>
      <c r="EE137" s="26">
        <f t="shared" si="179"/>
        <v>0.2</v>
      </c>
      <c r="EF137" s="26">
        <f t="shared" si="179"/>
        <v>0.2</v>
      </c>
      <c r="EG137" s="26">
        <f t="shared" si="179"/>
        <v>0.1</v>
      </c>
      <c r="EH137" s="26">
        <f t="shared" si="179"/>
        <v>0.1</v>
      </c>
      <c r="EI137" s="26">
        <f t="shared" si="179"/>
        <v>0.1</v>
      </c>
      <c r="EJ137" s="26">
        <f t="shared" si="179"/>
        <v>0.05</v>
      </c>
      <c r="EK137" s="26">
        <f t="shared" si="179"/>
        <v>0.05</v>
      </c>
      <c r="EL137" s="26">
        <f t="shared" si="179"/>
        <v>0.05</v>
      </c>
      <c r="EM137" s="26">
        <f t="shared" si="165"/>
        <v>589257</v>
      </c>
      <c r="EN137" s="26">
        <f t="shared" si="166"/>
        <v>589257</v>
      </c>
      <c r="EO137" s="26">
        <f t="shared" si="167"/>
        <v>589257</v>
      </c>
      <c r="EP137" s="26">
        <f t="shared" si="168"/>
        <v>771411</v>
      </c>
      <c r="EQ137" s="26">
        <f t="shared" si="169"/>
        <v>771411</v>
      </c>
    </row>
    <row r="138" spans="17:147">
      <c r="Q138" s="26">
        <v>134</v>
      </c>
      <c r="R138" s="26">
        <f>总纲!D138</f>
        <v>10808.408805051544</v>
      </c>
      <c r="S138" s="26">
        <f>求节点(将星点产出!$W$6:$W$44,将星点产出!$AO$6:$AO$44,星阵点亮!$Q138)</f>
        <v>997350</v>
      </c>
      <c r="T138" s="26">
        <f t="shared" si="160"/>
        <v>59</v>
      </c>
      <c r="U138" s="26">
        <f>总纲!E138</f>
        <v>9151.4797352371424</v>
      </c>
      <c r="V138" s="26">
        <f>求节点(将星点产出!$W$51:$W$89,将星点产出!$AO$51:$AO$89,星阵点亮!$Q138)</f>
        <v>997350</v>
      </c>
      <c r="W138" s="26">
        <f t="shared" si="161"/>
        <v>59</v>
      </c>
      <c r="X138" s="26">
        <f>总纲!F138</f>
        <v>7283.7866937242361</v>
      </c>
      <c r="Y138" s="26">
        <f>求节点(将星点产出!$W$96:$W$134,将星点产出!$AO$96:$AO$134,星阵点亮!$Q138)</f>
        <v>997350</v>
      </c>
      <c r="Z138" s="26">
        <f t="shared" si="162"/>
        <v>59</v>
      </c>
      <c r="AA138" s="26">
        <f>总纲!G138</f>
        <v>5175.0661358586794</v>
      </c>
      <c r="AB138" s="26">
        <f>求节点(将星点产出!$W$141:$W$179,将星点产出!$AO$141:$AO$179,星阵点亮!$Q138)</f>
        <v>1304550</v>
      </c>
      <c r="AC138" s="26">
        <f t="shared" si="163"/>
        <v>66</v>
      </c>
      <c r="AD138" s="26">
        <f>总纲!H138</f>
        <v>2775.5993811372364</v>
      </c>
      <c r="AE138" s="26">
        <f>求节点(将星点产出!$W$186:$W$224,将星点产出!$AO$186:$AO$224,星阵点亮!$Q138)</f>
        <v>1304550</v>
      </c>
      <c r="AF138" s="26">
        <f t="shared" si="164"/>
        <v>66</v>
      </c>
      <c r="AG138" s="26">
        <f t="shared" si="170"/>
        <v>1.5</v>
      </c>
      <c r="AH138" s="26">
        <f t="shared" si="170"/>
        <v>1.5</v>
      </c>
      <c r="AI138" s="26">
        <f t="shared" si="170"/>
        <v>1.5</v>
      </c>
      <c r="AJ138" s="26">
        <f t="shared" si="170"/>
        <v>1.5</v>
      </c>
      <c r="AK138" s="26">
        <f t="shared" si="170"/>
        <v>1.5</v>
      </c>
      <c r="AL138" s="26">
        <f t="shared" si="170"/>
        <v>0.05</v>
      </c>
      <c r="AM138" s="26">
        <f t="shared" si="170"/>
        <v>1</v>
      </c>
      <c r="AN138" s="26">
        <f t="shared" si="170"/>
        <v>1</v>
      </c>
      <c r="AO138" s="26">
        <f t="shared" si="170"/>
        <v>1</v>
      </c>
      <c r="AP138" s="26">
        <f t="shared" si="170"/>
        <v>1</v>
      </c>
      <c r="AQ138" s="26">
        <f t="shared" si="171"/>
        <v>1</v>
      </c>
      <c r="AR138" s="26">
        <f t="shared" si="171"/>
        <v>0.2</v>
      </c>
      <c r="AS138" s="26">
        <f t="shared" si="171"/>
        <v>0.2</v>
      </c>
      <c r="AT138" s="26">
        <f t="shared" si="171"/>
        <v>0.2</v>
      </c>
      <c r="AU138" s="26">
        <f t="shared" si="171"/>
        <v>0.2</v>
      </c>
      <c r="AV138" s="26">
        <f t="shared" si="171"/>
        <v>0.2</v>
      </c>
      <c r="AW138" s="26">
        <f t="shared" si="171"/>
        <v>0.1</v>
      </c>
      <c r="AX138" s="26">
        <f t="shared" si="171"/>
        <v>0.05</v>
      </c>
      <c r="AY138" s="26">
        <f t="shared" si="171"/>
        <v>0.05</v>
      </c>
      <c r="AZ138" s="26">
        <f t="shared" si="171"/>
        <v>0.05</v>
      </c>
      <c r="BA138" s="26">
        <f t="shared" si="171"/>
        <v>0.05</v>
      </c>
      <c r="BB138" s="26">
        <f t="shared" si="171"/>
        <v>2.5000000000000001E-2</v>
      </c>
      <c r="BC138" s="26">
        <f t="shared" si="172"/>
        <v>1.5</v>
      </c>
      <c r="BD138" s="26">
        <f t="shared" si="172"/>
        <v>1.5</v>
      </c>
      <c r="BE138" s="26">
        <f t="shared" si="172"/>
        <v>1.5</v>
      </c>
      <c r="BF138" s="26">
        <f t="shared" si="172"/>
        <v>1.5</v>
      </c>
      <c r="BG138" s="26">
        <f t="shared" si="172"/>
        <v>1.5</v>
      </c>
      <c r="BH138" s="26">
        <f t="shared" si="172"/>
        <v>0.05</v>
      </c>
      <c r="BI138" s="26">
        <f t="shared" si="172"/>
        <v>1</v>
      </c>
      <c r="BJ138" s="26">
        <f t="shared" si="172"/>
        <v>1</v>
      </c>
      <c r="BK138" s="26">
        <f t="shared" si="172"/>
        <v>1</v>
      </c>
      <c r="BL138" s="26">
        <f t="shared" si="172"/>
        <v>1</v>
      </c>
      <c r="BM138" s="26">
        <f t="shared" si="173"/>
        <v>1</v>
      </c>
      <c r="BN138" s="26">
        <f t="shared" si="173"/>
        <v>0.2</v>
      </c>
      <c r="BO138" s="26">
        <f t="shared" si="173"/>
        <v>0.2</v>
      </c>
      <c r="BP138" s="26">
        <f t="shared" si="173"/>
        <v>0.2</v>
      </c>
      <c r="BQ138" s="26">
        <f t="shared" si="173"/>
        <v>0.2</v>
      </c>
      <c r="BR138" s="26">
        <f t="shared" si="173"/>
        <v>0.2</v>
      </c>
      <c r="BS138" s="26">
        <f t="shared" si="173"/>
        <v>0.1</v>
      </c>
      <c r="BT138" s="26">
        <f t="shared" si="173"/>
        <v>0.05</v>
      </c>
      <c r="BU138" s="26">
        <f t="shared" si="173"/>
        <v>0.05</v>
      </c>
      <c r="BV138" s="26">
        <f t="shared" si="173"/>
        <v>0.05</v>
      </c>
      <c r="BW138" s="26">
        <f t="shared" si="173"/>
        <v>0.05</v>
      </c>
      <c r="BX138" s="26">
        <f t="shared" si="173"/>
        <v>2.5000000000000001E-2</v>
      </c>
      <c r="BY138" s="26">
        <f t="shared" si="174"/>
        <v>1.5</v>
      </c>
      <c r="BZ138" s="26">
        <f t="shared" si="174"/>
        <v>1.5</v>
      </c>
      <c r="CA138" s="26">
        <f t="shared" si="174"/>
        <v>1.5</v>
      </c>
      <c r="CB138" s="26">
        <f t="shared" si="174"/>
        <v>1.5</v>
      </c>
      <c r="CC138" s="26">
        <f t="shared" si="174"/>
        <v>1.5</v>
      </c>
      <c r="CD138" s="26">
        <f t="shared" si="174"/>
        <v>0.05</v>
      </c>
      <c r="CE138" s="26">
        <f t="shared" si="174"/>
        <v>1</v>
      </c>
      <c r="CF138" s="26">
        <f t="shared" si="174"/>
        <v>1</v>
      </c>
      <c r="CG138" s="26">
        <f t="shared" si="174"/>
        <v>1</v>
      </c>
      <c r="CH138" s="26">
        <f t="shared" si="174"/>
        <v>1</v>
      </c>
      <c r="CI138" s="26">
        <f t="shared" si="175"/>
        <v>1</v>
      </c>
      <c r="CJ138" s="26">
        <f t="shared" si="175"/>
        <v>0.2</v>
      </c>
      <c r="CK138" s="26">
        <f t="shared" si="175"/>
        <v>0.2</v>
      </c>
      <c r="CL138" s="26">
        <f t="shared" si="175"/>
        <v>0.2</v>
      </c>
      <c r="CM138" s="26">
        <f t="shared" si="175"/>
        <v>0.2</v>
      </c>
      <c r="CN138" s="26">
        <f t="shared" si="175"/>
        <v>0.2</v>
      </c>
      <c r="CO138" s="26">
        <f t="shared" si="175"/>
        <v>0.1</v>
      </c>
      <c r="CP138" s="26">
        <f t="shared" si="175"/>
        <v>0.05</v>
      </c>
      <c r="CQ138" s="26">
        <f t="shared" si="175"/>
        <v>0.05</v>
      </c>
      <c r="CR138" s="26">
        <f t="shared" si="175"/>
        <v>0.05</v>
      </c>
      <c r="CS138" s="26">
        <f t="shared" si="175"/>
        <v>0.05</v>
      </c>
      <c r="CT138" s="26">
        <f t="shared" si="175"/>
        <v>2.5000000000000001E-2</v>
      </c>
      <c r="CU138" s="26">
        <f t="shared" si="176"/>
        <v>1.5</v>
      </c>
      <c r="CV138" s="26">
        <f t="shared" si="176"/>
        <v>1.5</v>
      </c>
      <c r="CW138" s="26">
        <f t="shared" si="176"/>
        <v>1.5</v>
      </c>
      <c r="CX138" s="26">
        <f t="shared" si="176"/>
        <v>1.5</v>
      </c>
      <c r="CY138" s="26">
        <f t="shared" si="176"/>
        <v>1.5</v>
      </c>
      <c r="CZ138" s="26">
        <f t="shared" si="176"/>
        <v>0.1</v>
      </c>
      <c r="DA138" s="26">
        <f t="shared" si="176"/>
        <v>1</v>
      </c>
      <c r="DB138" s="26">
        <f t="shared" si="176"/>
        <v>1</v>
      </c>
      <c r="DC138" s="26">
        <f t="shared" si="176"/>
        <v>1</v>
      </c>
      <c r="DD138" s="26">
        <f t="shared" si="176"/>
        <v>1</v>
      </c>
      <c r="DE138" s="26">
        <f t="shared" si="177"/>
        <v>1</v>
      </c>
      <c r="DF138" s="26">
        <f t="shared" si="177"/>
        <v>0.2</v>
      </c>
      <c r="DG138" s="26">
        <f t="shared" si="177"/>
        <v>0.2</v>
      </c>
      <c r="DH138" s="26">
        <f t="shared" si="177"/>
        <v>0.2</v>
      </c>
      <c r="DI138" s="26">
        <f t="shared" si="177"/>
        <v>0.2</v>
      </c>
      <c r="DJ138" s="26">
        <f t="shared" si="177"/>
        <v>0.2</v>
      </c>
      <c r="DK138" s="26">
        <f t="shared" si="177"/>
        <v>0.1</v>
      </c>
      <c r="DL138" s="26">
        <f t="shared" si="177"/>
        <v>0.1</v>
      </c>
      <c r="DM138" s="26">
        <f t="shared" si="177"/>
        <v>0.1</v>
      </c>
      <c r="DN138" s="26">
        <f t="shared" si="177"/>
        <v>0.05</v>
      </c>
      <c r="DO138" s="26">
        <f t="shared" si="177"/>
        <v>0.05</v>
      </c>
      <c r="DP138" s="26">
        <f t="shared" si="177"/>
        <v>0.05</v>
      </c>
      <c r="DQ138" s="26">
        <f t="shared" si="178"/>
        <v>1.5</v>
      </c>
      <c r="DR138" s="26">
        <f t="shared" si="178"/>
        <v>1.5</v>
      </c>
      <c r="DS138" s="26">
        <f t="shared" si="178"/>
        <v>1.5</v>
      </c>
      <c r="DT138" s="26">
        <f t="shared" si="178"/>
        <v>1.5</v>
      </c>
      <c r="DU138" s="26">
        <f t="shared" si="178"/>
        <v>1.5</v>
      </c>
      <c r="DV138" s="26">
        <f t="shared" si="178"/>
        <v>0.1</v>
      </c>
      <c r="DW138" s="26">
        <f t="shared" si="178"/>
        <v>1</v>
      </c>
      <c r="DX138" s="26">
        <f t="shared" si="178"/>
        <v>1</v>
      </c>
      <c r="DY138" s="26">
        <f t="shared" si="178"/>
        <v>1</v>
      </c>
      <c r="DZ138" s="26">
        <f t="shared" si="178"/>
        <v>1</v>
      </c>
      <c r="EA138" s="26">
        <f t="shared" si="179"/>
        <v>1</v>
      </c>
      <c r="EB138" s="26">
        <f t="shared" si="179"/>
        <v>0.2</v>
      </c>
      <c r="EC138" s="26">
        <f t="shared" si="179"/>
        <v>0.2</v>
      </c>
      <c r="ED138" s="26">
        <f t="shared" si="179"/>
        <v>0.2</v>
      </c>
      <c r="EE138" s="26">
        <f t="shared" si="179"/>
        <v>0.2</v>
      </c>
      <c r="EF138" s="26">
        <f t="shared" si="179"/>
        <v>0.2</v>
      </c>
      <c r="EG138" s="26">
        <f t="shared" si="179"/>
        <v>0.1</v>
      </c>
      <c r="EH138" s="26">
        <f t="shared" si="179"/>
        <v>0.1</v>
      </c>
      <c r="EI138" s="26">
        <f t="shared" si="179"/>
        <v>0.1</v>
      </c>
      <c r="EJ138" s="26">
        <f t="shared" si="179"/>
        <v>0.05</v>
      </c>
      <c r="EK138" s="26">
        <f t="shared" si="179"/>
        <v>0.05</v>
      </c>
      <c r="EL138" s="26">
        <f t="shared" si="179"/>
        <v>0.05</v>
      </c>
      <c r="EM138" s="26">
        <f t="shared" si="165"/>
        <v>589257</v>
      </c>
      <c r="EN138" s="26">
        <f t="shared" si="166"/>
        <v>589257</v>
      </c>
      <c r="EO138" s="26">
        <f t="shared" si="167"/>
        <v>589257</v>
      </c>
      <c r="EP138" s="26">
        <f t="shared" si="168"/>
        <v>771411</v>
      </c>
      <c r="EQ138" s="26">
        <f t="shared" si="169"/>
        <v>771411</v>
      </c>
    </row>
    <row r="139" spans="17:147">
      <c r="Q139" s="26">
        <v>135</v>
      </c>
      <c r="R139" s="26">
        <f>总纲!D139</f>
        <v>11584.237502960397</v>
      </c>
      <c r="S139" s="26">
        <f>求节点(将星点产出!$W$6:$W$44,将星点产出!$AO$6:$AO$44,星阵点亮!$Q139)</f>
        <v>997350</v>
      </c>
      <c r="T139" s="26">
        <f t="shared" si="160"/>
        <v>59</v>
      </c>
      <c r="U139" s="26">
        <f>总纲!E139</f>
        <v>9796.789656253608</v>
      </c>
      <c r="V139" s="26">
        <f>求节点(将星点产出!$W$51:$W$89,将星点产出!$AO$51:$AO$89,星阵点亮!$Q139)</f>
        <v>997350</v>
      </c>
      <c r="W139" s="26">
        <f t="shared" si="161"/>
        <v>59</v>
      </c>
      <c r="X139" s="26">
        <f>总纲!F139</f>
        <v>7796.1918394923478</v>
      </c>
      <c r="Y139" s="26">
        <f>求节点(将星点产出!$W$96:$W$134,将星点产出!$AO$96:$AO$134,星阵点亮!$Q139)</f>
        <v>997350</v>
      </c>
      <c r="Z139" s="26">
        <f t="shared" si="162"/>
        <v>59</v>
      </c>
      <c r="AA139" s="26">
        <f>总纲!G139</f>
        <v>5548.8497639180305</v>
      </c>
      <c r="AB139" s="26">
        <f>求节点(将星点产出!$W$141:$W$179,将星点产出!$AO$141:$AO$179,星阵点亮!$Q139)</f>
        <v>1304550</v>
      </c>
      <c r="AC139" s="26">
        <f t="shared" si="163"/>
        <v>66</v>
      </c>
      <c r="AD139" s="26">
        <f>总纲!H139</f>
        <v>2979.465885761414</v>
      </c>
      <c r="AE139" s="26">
        <f>求节点(将星点产出!$W$186:$W$224,将星点产出!$AO$186:$AO$224,星阵点亮!$Q139)</f>
        <v>1304550</v>
      </c>
      <c r="AF139" s="26">
        <f t="shared" si="164"/>
        <v>66</v>
      </c>
      <c r="AG139" s="26">
        <f t="shared" si="170"/>
        <v>1.5</v>
      </c>
      <c r="AH139" s="26">
        <f t="shared" si="170"/>
        <v>1.5</v>
      </c>
      <c r="AI139" s="26">
        <f t="shared" si="170"/>
        <v>1.5</v>
      </c>
      <c r="AJ139" s="26">
        <f t="shared" si="170"/>
        <v>1.5</v>
      </c>
      <c r="AK139" s="26">
        <f t="shared" si="170"/>
        <v>1.5</v>
      </c>
      <c r="AL139" s="26">
        <f t="shared" si="170"/>
        <v>0.05</v>
      </c>
      <c r="AM139" s="26">
        <f t="shared" si="170"/>
        <v>1</v>
      </c>
      <c r="AN139" s="26">
        <f t="shared" si="170"/>
        <v>1</v>
      </c>
      <c r="AO139" s="26">
        <f t="shared" si="170"/>
        <v>1</v>
      </c>
      <c r="AP139" s="26">
        <f t="shared" si="170"/>
        <v>1</v>
      </c>
      <c r="AQ139" s="26">
        <f t="shared" si="171"/>
        <v>1</v>
      </c>
      <c r="AR139" s="26">
        <f t="shared" si="171"/>
        <v>0.2</v>
      </c>
      <c r="AS139" s="26">
        <f t="shared" si="171"/>
        <v>0.2</v>
      </c>
      <c r="AT139" s="26">
        <f t="shared" si="171"/>
        <v>0.2</v>
      </c>
      <c r="AU139" s="26">
        <f t="shared" si="171"/>
        <v>0.2</v>
      </c>
      <c r="AV139" s="26">
        <f t="shared" si="171"/>
        <v>0.2</v>
      </c>
      <c r="AW139" s="26">
        <f t="shared" si="171"/>
        <v>0.1</v>
      </c>
      <c r="AX139" s="26">
        <f t="shared" si="171"/>
        <v>0.05</v>
      </c>
      <c r="AY139" s="26">
        <f t="shared" si="171"/>
        <v>0.05</v>
      </c>
      <c r="AZ139" s="26">
        <f t="shared" si="171"/>
        <v>0.05</v>
      </c>
      <c r="BA139" s="26">
        <f t="shared" si="171"/>
        <v>0.05</v>
      </c>
      <c r="BB139" s="26">
        <f t="shared" si="171"/>
        <v>2.5000000000000001E-2</v>
      </c>
      <c r="BC139" s="26">
        <f t="shared" si="172"/>
        <v>1.5</v>
      </c>
      <c r="BD139" s="26">
        <f t="shared" si="172"/>
        <v>1.5</v>
      </c>
      <c r="BE139" s="26">
        <f t="shared" si="172"/>
        <v>1.5</v>
      </c>
      <c r="BF139" s="26">
        <f t="shared" si="172"/>
        <v>1.5</v>
      </c>
      <c r="BG139" s="26">
        <f t="shared" si="172"/>
        <v>1.5</v>
      </c>
      <c r="BH139" s="26">
        <f t="shared" si="172"/>
        <v>0.05</v>
      </c>
      <c r="BI139" s="26">
        <f t="shared" si="172"/>
        <v>1</v>
      </c>
      <c r="BJ139" s="26">
        <f t="shared" si="172"/>
        <v>1</v>
      </c>
      <c r="BK139" s="26">
        <f t="shared" si="172"/>
        <v>1</v>
      </c>
      <c r="BL139" s="26">
        <f t="shared" si="172"/>
        <v>1</v>
      </c>
      <c r="BM139" s="26">
        <f t="shared" si="173"/>
        <v>1</v>
      </c>
      <c r="BN139" s="26">
        <f t="shared" si="173"/>
        <v>0.2</v>
      </c>
      <c r="BO139" s="26">
        <f t="shared" si="173"/>
        <v>0.2</v>
      </c>
      <c r="BP139" s="26">
        <f t="shared" si="173"/>
        <v>0.2</v>
      </c>
      <c r="BQ139" s="26">
        <f t="shared" si="173"/>
        <v>0.2</v>
      </c>
      <c r="BR139" s="26">
        <f t="shared" si="173"/>
        <v>0.2</v>
      </c>
      <c r="BS139" s="26">
        <f t="shared" si="173"/>
        <v>0.1</v>
      </c>
      <c r="BT139" s="26">
        <f t="shared" si="173"/>
        <v>0.05</v>
      </c>
      <c r="BU139" s="26">
        <f t="shared" si="173"/>
        <v>0.05</v>
      </c>
      <c r="BV139" s="26">
        <f t="shared" si="173"/>
        <v>0.05</v>
      </c>
      <c r="BW139" s="26">
        <f t="shared" si="173"/>
        <v>0.05</v>
      </c>
      <c r="BX139" s="26">
        <f t="shared" si="173"/>
        <v>2.5000000000000001E-2</v>
      </c>
      <c r="BY139" s="26">
        <f t="shared" si="174"/>
        <v>1.5</v>
      </c>
      <c r="BZ139" s="26">
        <f t="shared" si="174"/>
        <v>1.5</v>
      </c>
      <c r="CA139" s="26">
        <f t="shared" si="174"/>
        <v>1.5</v>
      </c>
      <c r="CB139" s="26">
        <f t="shared" si="174"/>
        <v>1.5</v>
      </c>
      <c r="CC139" s="26">
        <f t="shared" si="174"/>
        <v>1.5</v>
      </c>
      <c r="CD139" s="26">
        <f t="shared" si="174"/>
        <v>0.05</v>
      </c>
      <c r="CE139" s="26">
        <f t="shared" si="174"/>
        <v>1</v>
      </c>
      <c r="CF139" s="26">
        <f t="shared" si="174"/>
        <v>1</v>
      </c>
      <c r="CG139" s="26">
        <f t="shared" si="174"/>
        <v>1</v>
      </c>
      <c r="CH139" s="26">
        <f t="shared" si="174"/>
        <v>1</v>
      </c>
      <c r="CI139" s="26">
        <f t="shared" si="175"/>
        <v>1</v>
      </c>
      <c r="CJ139" s="26">
        <f t="shared" si="175"/>
        <v>0.2</v>
      </c>
      <c r="CK139" s="26">
        <f t="shared" si="175"/>
        <v>0.2</v>
      </c>
      <c r="CL139" s="26">
        <f t="shared" si="175"/>
        <v>0.2</v>
      </c>
      <c r="CM139" s="26">
        <f t="shared" si="175"/>
        <v>0.2</v>
      </c>
      <c r="CN139" s="26">
        <f t="shared" si="175"/>
        <v>0.2</v>
      </c>
      <c r="CO139" s="26">
        <f t="shared" si="175"/>
        <v>0.1</v>
      </c>
      <c r="CP139" s="26">
        <f t="shared" si="175"/>
        <v>0.05</v>
      </c>
      <c r="CQ139" s="26">
        <f t="shared" si="175"/>
        <v>0.05</v>
      </c>
      <c r="CR139" s="26">
        <f t="shared" si="175"/>
        <v>0.05</v>
      </c>
      <c r="CS139" s="26">
        <f t="shared" si="175"/>
        <v>0.05</v>
      </c>
      <c r="CT139" s="26">
        <f t="shared" si="175"/>
        <v>2.5000000000000001E-2</v>
      </c>
      <c r="CU139" s="26">
        <f t="shared" si="176"/>
        <v>1.5</v>
      </c>
      <c r="CV139" s="26">
        <f t="shared" si="176"/>
        <v>1.5</v>
      </c>
      <c r="CW139" s="26">
        <f t="shared" si="176"/>
        <v>1.5</v>
      </c>
      <c r="CX139" s="26">
        <f t="shared" si="176"/>
        <v>1.5</v>
      </c>
      <c r="CY139" s="26">
        <f t="shared" si="176"/>
        <v>1.5</v>
      </c>
      <c r="CZ139" s="26">
        <f t="shared" si="176"/>
        <v>0.1</v>
      </c>
      <c r="DA139" s="26">
        <f t="shared" si="176"/>
        <v>1</v>
      </c>
      <c r="DB139" s="26">
        <f t="shared" si="176"/>
        <v>1</v>
      </c>
      <c r="DC139" s="26">
        <f t="shared" si="176"/>
        <v>1</v>
      </c>
      <c r="DD139" s="26">
        <f t="shared" si="176"/>
        <v>1</v>
      </c>
      <c r="DE139" s="26">
        <f t="shared" si="177"/>
        <v>1</v>
      </c>
      <c r="DF139" s="26">
        <f t="shared" si="177"/>
        <v>0.2</v>
      </c>
      <c r="DG139" s="26">
        <f t="shared" si="177"/>
        <v>0.2</v>
      </c>
      <c r="DH139" s="26">
        <f t="shared" si="177"/>
        <v>0.2</v>
      </c>
      <c r="DI139" s="26">
        <f t="shared" si="177"/>
        <v>0.2</v>
      </c>
      <c r="DJ139" s="26">
        <f t="shared" si="177"/>
        <v>0.2</v>
      </c>
      <c r="DK139" s="26">
        <f t="shared" si="177"/>
        <v>0.1</v>
      </c>
      <c r="DL139" s="26">
        <f t="shared" si="177"/>
        <v>0.1</v>
      </c>
      <c r="DM139" s="26">
        <f t="shared" si="177"/>
        <v>0.1</v>
      </c>
      <c r="DN139" s="26">
        <f t="shared" si="177"/>
        <v>0.05</v>
      </c>
      <c r="DO139" s="26">
        <f t="shared" si="177"/>
        <v>0.05</v>
      </c>
      <c r="DP139" s="26">
        <f t="shared" si="177"/>
        <v>0.05</v>
      </c>
      <c r="DQ139" s="26">
        <f t="shared" si="178"/>
        <v>1.5</v>
      </c>
      <c r="DR139" s="26">
        <f t="shared" si="178"/>
        <v>1.5</v>
      </c>
      <c r="DS139" s="26">
        <f t="shared" si="178"/>
        <v>1.5</v>
      </c>
      <c r="DT139" s="26">
        <f t="shared" si="178"/>
        <v>1.5</v>
      </c>
      <c r="DU139" s="26">
        <f t="shared" si="178"/>
        <v>1.5</v>
      </c>
      <c r="DV139" s="26">
        <f t="shared" si="178"/>
        <v>0.1</v>
      </c>
      <c r="DW139" s="26">
        <f t="shared" si="178"/>
        <v>1</v>
      </c>
      <c r="DX139" s="26">
        <f t="shared" si="178"/>
        <v>1</v>
      </c>
      <c r="DY139" s="26">
        <f t="shared" si="178"/>
        <v>1</v>
      </c>
      <c r="DZ139" s="26">
        <f t="shared" si="178"/>
        <v>1</v>
      </c>
      <c r="EA139" s="26">
        <f t="shared" si="179"/>
        <v>1</v>
      </c>
      <c r="EB139" s="26">
        <f t="shared" si="179"/>
        <v>0.2</v>
      </c>
      <c r="EC139" s="26">
        <f t="shared" si="179"/>
        <v>0.2</v>
      </c>
      <c r="ED139" s="26">
        <f t="shared" si="179"/>
        <v>0.2</v>
      </c>
      <c r="EE139" s="26">
        <f t="shared" si="179"/>
        <v>0.2</v>
      </c>
      <c r="EF139" s="26">
        <f t="shared" si="179"/>
        <v>0.2</v>
      </c>
      <c r="EG139" s="26">
        <f t="shared" si="179"/>
        <v>0.1</v>
      </c>
      <c r="EH139" s="26">
        <f t="shared" si="179"/>
        <v>0.1</v>
      </c>
      <c r="EI139" s="26">
        <f t="shared" si="179"/>
        <v>0.1</v>
      </c>
      <c r="EJ139" s="26">
        <f t="shared" si="179"/>
        <v>0.05</v>
      </c>
      <c r="EK139" s="26">
        <f t="shared" si="179"/>
        <v>0.05</v>
      </c>
      <c r="EL139" s="26">
        <f t="shared" si="179"/>
        <v>0.05</v>
      </c>
      <c r="EM139" s="26">
        <f t="shared" si="165"/>
        <v>589257</v>
      </c>
      <c r="EN139" s="26">
        <f t="shared" si="166"/>
        <v>589257</v>
      </c>
      <c r="EO139" s="26">
        <f t="shared" si="167"/>
        <v>589257</v>
      </c>
      <c r="EP139" s="26">
        <f t="shared" si="168"/>
        <v>771411</v>
      </c>
      <c r="EQ139" s="26">
        <f t="shared" si="169"/>
        <v>771411</v>
      </c>
    </row>
    <row r="140" spans="17:147">
      <c r="Q140" s="26">
        <v>136</v>
      </c>
      <c r="R140" s="26">
        <f>总纲!D140</f>
        <v>12415.750112853173</v>
      </c>
      <c r="S140" s="26">
        <f>求节点(将星点产出!$W$6:$W$44,将星点产出!$AO$6:$AO$44,星阵点亮!$Q140)</f>
        <v>997350</v>
      </c>
      <c r="T140" s="26">
        <f t="shared" si="160"/>
        <v>59</v>
      </c>
      <c r="U140" s="26">
        <f>总纲!E140</f>
        <v>10507.449320507641</v>
      </c>
      <c r="V140" s="26">
        <f>求节点(将星点产出!$W$51:$W$89,将星点产出!$AO$51:$AO$89,星阵点亮!$Q140)</f>
        <v>997350</v>
      </c>
      <c r="W140" s="26">
        <f t="shared" si="161"/>
        <v>59</v>
      </c>
      <c r="X140" s="26">
        <f>总纲!F140</f>
        <v>8384.3560512097483</v>
      </c>
      <c r="Y140" s="26">
        <f>求节点(将星点产出!$W$96:$W$134,将星点产出!$AO$96:$AO$134,星阵点亮!$Q140)</f>
        <v>997350</v>
      </c>
      <c r="Z140" s="26">
        <f t="shared" si="162"/>
        <v>59</v>
      </c>
      <c r="AA140" s="26">
        <f>总纲!G140</f>
        <v>5967.009504237235</v>
      </c>
      <c r="AB140" s="26">
        <f>求节点(将星点产出!$W$141:$W$179,将星点产出!$AO$141:$AO$179,星阵点亮!$Q140)</f>
        <v>1304550</v>
      </c>
      <c r="AC140" s="26">
        <f t="shared" si="163"/>
        <v>66</v>
      </c>
      <c r="AD140" s="26">
        <f>总纲!H140</f>
        <v>3204.5051041274041</v>
      </c>
      <c r="AE140" s="26">
        <f>求节点(将星点产出!$W$186:$W$224,将星点产出!$AO$186:$AO$224,星阵点亮!$Q140)</f>
        <v>1304550</v>
      </c>
      <c r="AF140" s="26">
        <f t="shared" si="164"/>
        <v>66</v>
      </c>
      <c r="AG140" s="26">
        <f t="shared" si="170"/>
        <v>1.5</v>
      </c>
      <c r="AH140" s="26">
        <f t="shared" si="170"/>
        <v>1.5</v>
      </c>
      <c r="AI140" s="26">
        <f t="shared" si="170"/>
        <v>1.5</v>
      </c>
      <c r="AJ140" s="26">
        <f t="shared" si="170"/>
        <v>1.5</v>
      </c>
      <c r="AK140" s="26">
        <f t="shared" si="170"/>
        <v>1.5</v>
      </c>
      <c r="AL140" s="26">
        <f t="shared" si="170"/>
        <v>0.05</v>
      </c>
      <c r="AM140" s="26">
        <f t="shared" si="170"/>
        <v>1</v>
      </c>
      <c r="AN140" s="26">
        <f t="shared" si="170"/>
        <v>1</v>
      </c>
      <c r="AO140" s="26">
        <f t="shared" si="170"/>
        <v>1</v>
      </c>
      <c r="AP140" s="26">
        <f t="shared" si="170"/>
        <v>1</v>
      </c>
      <c r="AQ140" s="26">
        <f t="shared" si="171"/>
        <v>1</v>
      </c>
      <c r="AR140" s="26">
        <f t="shared" si="171"/>
        <v>0.2</v>
      </c>
      <c r="AS140" s="26">
        <f t="shared" si="171"/>
        <v>0.2</v>
      </c>
      <c r="AT140" s="26">
        <f t="shared" si="171"/>
        <v>0.2</v>
      </c>
      <c r="AU140" s="26">
        <f t="shared" si="171"/>
        <v>0.2</v>
      </c>
      <c r="AV140" s="26">
        <f t="shared" si="171"/>
        <v>0.2</v>
      </c>
      <c r="AW140" s="26">
        <f t="shared" si="171"/>
        <v>0.1</v>
      </c>
      <c r="AX140" s="26">
        <f t="shared" si="171"/>
        <v>0.05</v>
      </c>
      <c r="AY140" s="26">
        <f t="shared" si="171"/>
        <v>0.05</v>
      </c>
      <c r="AZ140" s="26">
        <f t="shared" si="171"/>
        <v>0.05</v>
      </c>
      <c r="BA140" s="26">
        <f t="shared" si="171"/>
        <v>0.05</v>
      </c>
      <c r="BB140" s="26">
        <f t="shared" si="171"/>
        <v>2.5000000000000001E-2</v>
      </c>
      <c r="BC140" s="26">
        <f t="shared" si="172"/>
        <v>1.5</v>
      </c>
      <c r="BD140" s="26">
        <f t="shared" si="172"/>
        <v>1.5</v>
      </c>
      <c r="BE140" s="26">
        <f t="shared" si="172"/>
        <v>1.5</v>
      </c>
      <c r="BF140" s="26">
        <f t="shared" si="172"/>
        <v>1.5</v>
      </c>
      <c r="BG140" s="26">
        <f t="shared" si="172"/>
        <v>1.5</v>
      </c>
      <c r="BH140" s="26">
        <f t="shared" si="172"/>
        <v>0.05</v>
      </c>
      <c r="BI140" s="26">
        <f t="shared" si="172"/>
        <v>1</v>
      </c>
      <c r="BJ140" s="26">
        <f t="shared" si="172"/>
        <v>1</v>
      </c>
      <c r="BK140" s="26">
        <f t="shared" si="172"/>
        <v>1</v>
      </c>
      <c r="BL140" s="26">
        <f t="shared" si="172"/>
        <v>1</v>
      </c>
      <c r="BM140" s="26">
        <f t="shared" si="173"/>
        <v>1</v>
      </c>
      <c r="BN140" s="26">
        <f t="shared" si="173"/>
        <v>0.2</v>
      </c>
      <c r="BO140" s="26">
        <f t="shared" si="173"/>
        <v>0.2</v>
      </c>
      <c r="BP140" s="26">
        <f t="shared" si="173"/>
        <v>0.2</v>
      </c>
      <c r="BQ140" s="26">
        <f t="shared" si="173"/>
        <v>0.2</v>
      </c>
      <c r="BR140" s="26">
        <f t="shared" si="173"/>
        <v>0.2</v>
      </c>
      <c r="BS140" s="26">
        <f t="shared" si="173"/>
        <v>0.1</v>
      </c>
      <c r="BT140" s="26">
        <f t="shared" si="173"/>
        <v>0.05</v>
      </c>
      <c r="BU140" s="26">
        <f t="shared" si="173"/>
        <v>0.05</v>
      </c>
      <c r="BV140" s="26">
        <f t="shared" si="173"/>
        <v>0.05</v>
      </c>
      <c r="BW140" s="26">
        <f t="shared" si="173"/>
        <v>0.05</v>
      </c>
      <c r="BX140" s="26">
        <f t="shared" si="173"/>
        <v>2.5000000000000001E-2</v>
      </c>
      <c r="BY140" s="26">
        <f t="shared" si="174"/>
        <v>1.5</v>
      </c>
      <c r="BZ140" s="26">
        <f t="shared" si="174"/>
        <v>1.5</v>
      </c>
      <c r="CA140" s="26">
        <f t="shared" si="174"/>
        <v>1.5</v>
      </c>
      <c r="CB140" s="26">
        <f t="shared" si="174"/>
        <v>1.5</v>
      </c>
      <c r="CC140" s="26">
        <f t="shared" si="174"/>
        <v>1.5</v>
      </c>
      <c r="CD140" s="26">
        <f t="shared" si="174"/>
        <v>0.05</v>
      </c>
      <c r="CE140" s="26">
        <f t="shared" si="174"/>
        <v>1</v>
      </c>
      <c r="CF140" s="26">
        <f t="shared" si="174"/>
        <v>1</v>
      </c>
      <c r="CG140" s="26">
        <f t="shared" si="174"/>
        <v>1</v>
      </c>
      <c r="CH140" s="26">
        <f t="shared" si="174"/>
        <v>1</v>
      </c>
      <c r="CI140" s="26">
        <f t="shared" si="175"/>
        <v>1</v>
      </c>
      <c r="CJ140" s="26">
        <f t="shared" si="175"/>
        <v>0.2</v>
      </c>
      <c r="CK140" s="26">
        <f t="shared" si="175"/>
        <v>0.2</v>
      </c>
      <c r="CL140" s="26">
        <f t="shared" si="175"/>
        <v>0.2</v>
      </c>
      <c r="CM140" s="26">
        <f t="shared" si="175"/>
        <v>0.2</v>
      </c>
      <c r="CN140" s="26">
        <f t="shared" si="175"/>
        <v>0.2</v>
      </c>
      <c r="CO140" s="26">
        <f t="shared" si="175"/>
        <v>0.1</v>
      </c>
      <c r="CP140" s="26">
        <f t="shared" si="175"/>
        <v>0.05</v>
      </c>
      <c r="CQ140" s="26">
        <f t="shared" si="175"/>
        <v>0.05</v>
      </c>
      <c r="CR140" s="26">
        <f t="shared" si="175"/>
        <v>0.05</v>
      </c>
      <c r="CS140" s="26">
        <f t="shared" si="175"/>
        <v>0.05</v>
      </c>
      <c r="CT140" s="26">
        <f t="shared" si="175"/>
        <v>2.5000000000000001E-2</v>
      </c>
      <c r="CU140" s="26">
        <f t="shared" si="176"/>
        <v>1.5</v>
      </c>
      <c r="CV140" s="26">
        <f t="shared" si="176"/>
        <v>1.5</v>
      </c>
      <c r="CW140" s="26">
        <f t="shared" si="176"/>
        <v>1.5</v>
      </c>
      <c r="CX140" s="26">
        <f t="shared" si="176"/>
        <v>1.5</v>
      </c>
      <c r="CY140" s="26">
        <f t="shared" si="176"/>
        <v>1.5</v>
      </c>
      <c r="CZ140" s="26">
        <f t="shared" si="176"/>
        <v>0.1</v>
      </c>
      <c r="DA140" s="26">
        <f t="shared" si="176"/>
        <v>1</v>
      </c>
      <c r="DB140" s="26">
        <f t="shared" si="176"/>
        <v>1</v>
      </c>
      <c r="DC140" s="26">
        <f t="shared" si="176"/>
        <v>1</v>
      </c>
      <c r="DD140" s="26">
        <f t="shared" si="176"/>
        <v>1</v>
      </c>
      <c r="DE140" s="26">
        <f t="shared" si="177"/>
        <v>1</v>
      </c>
      <c r="DF140" s="26">
        <f t="shared" si="177"/>
        <v>0.2</v>
      </c>
      <c r="DG140" s="26">
        <f t="shared" si="177"/>
        <v>0.2</v>
      </c>
      <c r="DH140" s="26">
        <f t="shared" si="177"/>
        <v>0.2</v>
      </c>
      <c r="DI140" s="26">
        <f t="shared" si="177"/>
        <v>0.2</v>
      </c>
      <c r="DJ140" s="26">
        <f t="shared" si="177"/>
        <v>0.2</v>
      </c>
      <c r="DK140" s="26">
        <f t="shared" si="177"/>
        <v>0.1</v>
      </c>
      <c r="DL140" s="26">
        <f t="shared" si="177"/>
        <v>0.1</v>
      </c>
      <c r="DM140" s="26">
        <f t="shared" si="177"/>
        <v>0.1</v>
      </c>
      <c r="DN140" s="26">
        <f t="shared" si="177"/>
        <v>0.05</v>
      </c>
      <c r="DO140" s="26">
        <f t="shared" si="177"/>
        <v>0.05</v>
      </c>
      <c r="DP140" s="26">
        <f t="shared" si="177"/>
        <v>0.05</v>
      </c>
      <c r="DQ140" s="26">
        <f t="shared" si="178"/>
        <v>1.5</v>
      </c>
      <c r="DR140" s="26">
        <f t="shared" si="178"/>
        <v>1.5</v>
      </c>
      <c r="DS140" s="26">
        <f t="shared" si="178"/>
        <v>1.5</v>
      </c>
      <c r="DT140" s="26">
        <f t="shared" si="178"/>
        <v>1.5</v>
      </c>
      <c r="DU140" s="26">
        <f t="shared" si="178"/>
        <v>1.5</v>
      </c>
      <c r="DV140" s="26">
        <f t="shared" si="178"/>
        <v>0.1</v>
      </c>
      <c r="DW140" s="26">
        <f t="shared" si="178"/>
        <v>1</v>
      </c>
      <c r="DX140" s="26">
        <f t="shared" si="178"/>
        <v>1</v>
      </c>
      <c r="DY140" s="26">
        <f t="shared" si="178"/>
        <v>1</v>
      </c>
      <c r="DZ140" s="26">
        <f t="shared" si="178"/>
        <v>1</v>
      </c>
      <c r="EA140" s="26">
        <f t="shared" si="179"/>
        <v>1</v>
      </c>
      <c r="EB140" s="26">
        <f t="shared" si="179"/>
        <v>0.2</v>
      </c>
      <c r="EC140" s="26">
        <f t="shared" si="179"/>
        <v>0.2</v>
      </c>
      <c r="ED140" s="26">
        <f t="shared" si="179"/>
        <v>0.2</v>
      </c>
      <c r="EE140" s="26">
        <f t="shared" si="179"/>
        <v>0.2</v>
      </c>
      <c r="EF140" s="26">
        <f t="shared" si="179"/>
        <v>0.2</v>
      </c>
      <c r="EG140" s="26">
        <f t="shared" si="179"/>
        <v>0.1</v>
      </c>
      <c r="EH140" s="26">
        <f t="shared" si="179"/>
        <v>0.1</v>
      </c>
      <c r="EI140" s="26">
        <f t="shared" si="179"/>
        <v>0.1</v>
      </c>
      <c r="EJ140" s="26">
        <f t="shared" si="179"/>
        <v>0.05</v>
      </c>
      <c r="EK140" s="26">
        <f t="shared" si="179"/>
        <v>0.05</v>
      </c>
      <c r="EL140" s="26">
        <f t="shared" si="179"/>
        <v>0.05</v>
      </c>
      <c r="EM140" s="26">
        <f t="shared" si="165"/>
        <v>589257</v>
      </c>
      <c r="EN140" s="26">
        <f t="shared" si="166"/>
        <v>589257</v>
      </c>
      <c r="EO140" s="26">
        <f t="shared" si="167"/>
        <v>589257</v>
      </c>
      <c r="EP140" s="26">
        <f t="shared" si="168"/>
        <v>771411</v>
      </c>
      <c r="EQ140" s="26">
        <f t="shared" si="169"/>
        <v>771411</v>
      </c>
    </row>
    <row r="141" spans="17:147">
      <c r="Q141" s="26">
        <v>137</v>
      </c>
      <c r="R141" s="26">
        <f>总纲!D141</f>
        <v>13306.943261900544</v>
      </c>
      <c r="S141" s="26">
        <f>求节点(将星点产出!$W$6:$W$44,将星点产出!$AO$6:$AO$44,星阵点亮!$Q141)</f>
        <v>997350</v>
      </c>
      <c r="T141" s="26">
        <f t="shared" si="160"/>
        <v>59</v>
      </c>
      <c r="U141" s="26">
        <f>总纲!E141</f>
        <v>11274.973025808331</v>
      </c>
      <c r="V141" s="26">
        <f>求节点(将星点产出!$W$51:$W$89,将星点产出!$AO$51:$AO$89,星阵点亮!$Q141)</f>
        <v>997350</v>
      </c>
      <c r="W141" s="26">
        <f t="shared" si="161"/>
        <v>59</v>
      </c>
      <c r="X141" s="26">
        <f>总纲!F141</f>
        <v>8995.4936450447676</v>
      </c>
      <c r="Y141" s="26">
        <f>求节点(将星点产出!$W$96:$W$134,将星点产出!$AO$96:$AO$134,星阵点亮!$Q141)</f>
        <v>997350</v>
      </c>
      <c r="Z141" s="26">
        <f t="shared" si="162"/>
        <v>59</v>
      </c>
      <c r="AA141" s="26">
        <f>总纲!G141</f>
        <v>6407.293180605112</v>
      </c>
      <c r="AB141" s="26">
        <f>求节点(将星点产出!$W$141:$W$179,将星点产出!$AO$141:$AO$179,星阵点亮!$Q141)</f>
        <v>1304550</v>
      </c>
      <c r="AC141" s="26">
        <f t="shared" si="163"/>
        <v>66</v>
      </c>
      <c r="AD141" s="26">
        <f>总纲!H141</f>
        <v>3438.5141388751008</v>
      </c>
      <c r="AE141" s="26">
        <f>求节点(将星点产出!$W$186:$W$224,将星点产出!$AO$186:$AO$224,星阵点亮!$Q141)</f>
        <v>1304550</v>
      </c>
      <c r="AF141" s="26">
        <f t="shared" si="164"/>
        <v>66</v>
      </c>
      <c r="AG141" s="26">
        <f t="shared" si="170"/>
        <v>1.5</v>
      </c>
      <c r="AH141" s="26">
        <f t="shared" si="170"/>
        <v>1.5</v>
      </c>
      <c r="AI141" s="26">
        <f t="shared" si="170"/>
        <v>1.5</v>
      </c>
      <c r="AJ141" s="26">
        <f t="shared" si="170"/>
        <v>1.5</v>
      </c>
      <c r="AK141" s="26">
        <f t="shared" si="170"/>
        <v>1.5</v>
      </c>
      <c r="AL141" s="26">
        <f t="shared" si="170"/>
        <v>0.05</v>
      </c>
      <c r="AM141" s="26">
        <f t="shared" si="170"/>
        <v>1</v>
      </c>
      <c r="AN141" s="26">
        <f t="shared" si="170"/>
        <v>1</v>
      </c>
      <c r="AO141" s="26">
        <f t="shared" si="170"/>
        <v>1</v>
      </c>
      <c r="AP141" s="26">
        <f t="shared" si="170"/>
        <v>1</v>
      </c>
      <c r="AQ141" s="26">
        <f t="shared" si="171"/>
        <v>1</v>
      </c>
      <c r="AR141" s="26">
        <f t="shared" si="171"/>
        <v>0.2</v>
      </c>
      <c r="AS141" s="26">
        <f t="shared" si="171"/>
        <v>0.2</v>
      </c>
      <c r="AT141" s="26">
        <f t="shared" si="171"/>
        <v>0.2</v>
      </c>
      <c r="AU141" s="26">
        <f t="shared" si="171"/>
        <v>0.2</v>
      </c>
      <c r="AV141" s="26">
        <f t="shared" si="171"/>
        <v>0.2</v>
      </c>
      <c r="AW141" s="26">
        <f t="shared" si="171"/>
        <v>0.1</v>
      </c>
      <c r="AX141" s="26">
        <f t="shared" si="171"/>
        <v>0.05</v>
      </c>
      <c r="AY141" s="26">
        <f t="shared" si="171"/>
        <v>0.05</v>
      </c>
      <c r="AZ141" s="26">
        <f t="shared" si="171"/>
        <v>0.05</v>
      </c>
      <c r="BA141" s="26">
        <f t="shared" si="171"/>
        <v>0.05</v>
      </c>
      <c r="BB141" s="26">
        <f t="shared" si="171"/>
        <v>2.5000000000000001E-2</v>
      </c>
      <c r="BC141" s="26">
        <f t="shared" si="172"/>
        <v>1.5</v>
      </c>
      <c r="BD141" s="26">
        <f t="shared" si="172"/>
        <v>1.5</v>
      </c>
      <c r="BE141" s="26">
        <f t="shared" si="172"/>
        <v>1.5</v>
      </c>
      <c r="BF141" s="26">
        <f t="shared" si="172"/>
        <v>1.5</v>
      </c>
      <c r="BG141" s="26">
        <f t="shared" si="172"/>
        <v>1.5</v>
      </c>
      <c r="BH141" s="26">
        <f t="shared" si="172"/>
        <v>0.05</v>
      </c>
      <c r="BI141" s="26">
        <f t="shared" si="172"/>
        <v>1</v>
      </c>
      <c r="BJ141" s="26">
        <f t="shared" si="172"/>
        <v>1</v>
      </c>
      <c r="BK141" s="26">
        <f t="shared" si="172"/>
        <v>1</v>
      </c>
      <c r="BL141" s="26">
        <f t="shared" si="172"/>
        <v>1</v>
      </c>
      <c r="BM141" s="26">
        <f t="shared" si="173"/>
        <v>1</v>
      </c>
      <c r="BN141" s="26">
        <f t="shared" si="173"/>
        <v>0.2</v>
      </c>
      <c r="BO141" s="26">
        <f t="shared" si="173"/>
        <v>0.2</v>
      </c>
      <c r="BP141" s="26">
        <f t="shared" si="173"/>
        <v>0.2</v>
      </c>
      <c r="BQ141" s="26">
        <f t="shared" si="173"/>
        <v>0.2</v>
      </c>
      <c r="BR141" s="26">
        <f t="shared" si="173"/>
        <v>0.2</v>
      </c>
      <c r="BS141" s="26">
        <f t="shared" si="173"/>
        <v>0.1</v>
      </c>
      <c r="BT141" s="26">
        <f t="shared" si="173"/>
        <v>0.05</v>
      </c>
      <c r="BU141" s="26">
        <f t="shared" si="173"/>
        <v>0.05</v>
      </c>
      <c r="BV141" s="26">
        <f t="shared" si="173"/>
        <v>0.05</v>
      </c>
      <c r="BW141" s="26">
        <f t="shared" si="173"/>
        <v>0.05</v>
      </c>
      <c r="BX141" s="26">
        <f t="shared" si="173"/>
        <v>2.5000000000000001E-2</v>
      </c>
      <c r="BY141" s="26">
        <f t="shared" si="174"/>
        <v>1.5</v>
      </c>
      <c r="BZ141" s="26">
        <f t="shared" si="174"/>
        <v>1.5</v>
      </c>
      <c r="CA141" s="26">
        <f t="shared" si="174"/>
        <v>1.5</v>
      </c>
      <c r="CB141" s="26">
        <f t="shared" si="174"/>
        <v>1.5</v>
      </c>
      <c r="CC141" s="26">
        <f t="shared" si="174"/>
        <v>1.5</v>
      </c>
      <c r="CD141" s="26">
        <f t="shared" si="174"/>
        <v>0.05</v>
      </c>
      <c r="CE141" s="26">
        <f t="shared" si="174"/>
        <v>1</v>
      </c>
      <c r="CF141" s="26">
        <f t="shared" si="174"/>
        <v>1</v>
      </c>
      <c r="CG141" s="26">
        <f t="shared" si="174"/>
        <v>1</v>
      </c>
      <c r="CH141" s="26">
        <f t="shared" si="174"/>
        <v>1</v>
      </c>
      <c r="CI141" s="26">
        <f t="shared" si="175"/>
        <v>1</v>
      </c>
      <c r="CJ141" s="26">
        <f t="shared" si="175"/>
        <v>0.2</v>
      </c>
      <c r="CK141" s="26">
        <f t="shared" si="175"/>
        <v>0.2</v>
      </c>
      <c r="CL141" s="26">
        <f t="shared" si="175"/>
        <v>0.2</v>
      </c>
      <c r="CM141" s="26">
        <f t="shared" si="175"/>
        <v>0.2</v>
      </c>
      <c r="CN141" s="26">
        <f t="shared" si="175"/>
        <v>0.2</v>
      </c>
      <c r="CO141" s="26">
        <f t="shared" si="175"/>
        <v>0.1</v>
      </c>
      <c r="CP141" s="26">
        <f t="shared" si="175"/>
        <v>0.05</v>
      </c>
      <c r="CQ141" s="26">
        <f t="shared" si="175"/>
        <v>0.05</v>
      </c>
      <c r="CR141" s="26">
        <f t="shared" si="175"/>
        <v>0.05</v>
      </c>
      <c r="CS141" s="26">
        <f t="shared" si="175"/>
        <v>0.05</v>
      </c>
      <c r="CT141" s="26">
        <f t="shared" si="175"/>
        <v>2.5000000000000001E-2</v>
      </c>
      <c r="CU141" s="26">
        <f t="shared" si="176"/>
        <v>1.5</v>
      </c>
      <c r="CV141" s="26">
        <f t="shared" si="176"/>
        <v>1.5</v>
      </c>
      <c r="CW141" s="26">
        <f t="shared" si="176"/>
        <v>1.5</v>
      </c>
      <c r="CX141" s="26">
        <f t="shared" si="176"/>
        <v>1.5</v>
      </c>
      <c r="CY141" s="26">
        <f t="shared" si="176"/>
        <v>1.5</v>
      </c>
      <c r="CZ141" s="26">
        <f t="shared" si="176"/>
        <v>0.1</v>
      </c>
      <c r="DA141" s="26">
        <f t="shared" si="176"/>
        <v>1</v>
      </c>
      <c r="DB141" s="26">
        <f t="shared" si="176"/>
        <v>1</v>
      </c>
      <c r="DC141" s="26">
        <f t="shared" si="176"/>
        <v>1</v>
      </c>
      <c r="DD141" s="26">
        <f t="shared" si="176"/>
        <v>1</v>
      </c>
      <c r="DE141" s="26">
        <f t="shared" si="177"/>
        <v>1</v>
      </c>
      <c r="DF141" s="26">
        <f t="shared" si="177"/>
        <v>0.2</v>
      </c>
      <c r="DG141" s="26">
        <f t="shared" si="177"/>
        <v>0.2</v>
      </c>
      <c r="DH141" s="26">
        <f t="shared" si="177"/>
        <v>0.2</v>
      </c>
      <c r="DI141" s="26">
        <f t="shared" si="177"/>
        <v>0.2</v>
      </c>
      <c r="DJ141" s="26">
        <f t="shared" si="177"/>
        <v>0.2</v>
      </c>
      <c r="DK141" s="26">
        <f t="shared" si="177"/>
        <v>0.1</v>
      </c>
      <c r="DL141" s="26">
        <f t="shared" si="177"/>
        <v>0.1</v>
      </c>
      <c r="DM141" s="26">
        <f t="shared" si="177"/>
        <v>0.1</v>
      </c>
      <c r="DN141" s="26">
        <f t="shared" si="177"/>
        <v>0.05</v>
      </c>
      <c r="DO141" s="26">
        <f t="shared" si="177"/>
        <v>0.05</v>
      </c>
      <c r="DP141" s="26">
        <f t="shared" si="177"/>
        <v>0.05</v>
      </c>
      <c r="DQ141" s="26">
        <f t="shared" si="178"/>
        <v>1.5</v>
      </c>
      <c r="DR141" s="26">
        <f t="shared" si="178"/>
        <v>1.5</v>
      </c>
      <c r="DS141" s="26">
        <f t="shared" si="178"/>
        <v>1.5</v>
      </c>
      <c r="DT141" s="26">
        <f t="shared" si="178"/>
        <v>1.5</v>
      </c>
      <c r="DU141" s="26">
        <f t="shared" si="178"/>
        <v>1.5</v>
      </c>
      <c r="DV141" s="26">
        <f t="shared" si="178"/>
        <v>0.1</v>
      </c>
      <c r="DW141" s="26">
        <f t="shared" si="178"/>
        <v>1</v>
      </c>
      <c r="DX141" s="26">
        <f t="shared" si="178"/>
        <v>1</v>
      </c>
      <c r="DY141" s="26">
        <f t="shared" si="178"/>
        <v>1</v>
      </c>
      <c r="DZ141" s="26">
        <f t="shared" si="178"/>
        <v>1</v>
      </c>
      <c r="EA141" s="26">
        <f t="shared" si="179"/>
        <v>1</v>
      </c>
      <c r="EB141" s="26">
        <f t="shared" si="179"/>
        <v>0.2</v>
      </c>
      <c r="EC141" s="26">
        <f t="shared" si="179"/>
        <v>0.2</v>
      </c>
      <c r="ED141" s="26">
        <f t="shared" si="179"/>
        <v>0.2</v>
      </c>
      <c r="EE141" s="26">
        <f t="shared" si="179"/>
        <v>0.2</v>
      </c>
      <c r="EF141" s="26">
        <f t="shared" si="179"/>
        <v>0.2</v>
      </c>
      <c r="EG141" s="26">
        <f t="shared" si="179"/>
        <v>0.1</v>
      </c>
      <c r="EH141" s="26">
        <f t="shared" si="179"/>
        <v>0.1</v>
      </c>
      <c r="EI141" s="26">
        <f t="shared" si="179"/>
        <v>0.1</v>
      </c>
      <c r="EJ141" s="26">
        <f t="shared" si="179"/>
        <v>0.05</v>
      </c>
      <c r="EK141" s="26">
        <f t="shared" si="179"/>
        <v>0.05</v>
      </c>
      <c r="EL141" s="26">
        <f t="shared" si="179"/>
        <v>0.05</v>
      </c>
      <c r="EM141" s="26">
        <f t="shared" si="165"/>
        <v>589257</v>
      </c>
      <c r="EN141" s="26">
        <f t="shared" si="166"/>
        <v>589257</v>
      </c>
      <c r="EO141" s="26">
        <f t="shared" si="167"/>
        <v>589257</v>
      </c>
      <c r="EP141" s="26">
        <f t="shared" si="168"/>
        <v>771411</v>
      </c>
      <c r="EQ141" s="26">
        <f t="shared" si="169"/>
        <v>771411</v>
      </c>
    </row>
    <row r="142" spans="17:147">
      <c r="Q142" s="26">
        <v>138</v>
      </c>
      <c r="R142" s="26">
        <f>总纲!D142</f>
        <v>14262.10042904369</v>
      </c>
      <c r="S142" s="26">
        <f>求节点(将星点产出!$W$6:$W$44,将星点产出!$AO$6:$AO$44,星阵点亮!$Q142)</f>
        <v>997350</v>
      </c>
      <c r="T142" s="26">
        <f t="shared" si="160"/>
        <v>59</v>
      </c>
      <c r="U142" s="26">
        <f>总纲!E142</f>
        <v>12084.27769352872</v>
      </c>
      <c r="V142" s="26">
        <f>求节点(将星点产出!$W$51:$W$89,将星点产出!$AO$51:$AO$89,星阵点亮!$Q142)</f>
        <v>997350</v>
      </c>
      <c r="W142" s="26">
        <f t="shared" si="161"/>
        <v>59</v>
      </c>
      <c r="X142" s="26">
        <f>总纲!F142</f>
        <v>9648.3109402480568</v>
      </c>
      <c r="Y142" s="26">
        <f>求节点(将星点产出!$W$96:$W$134,将星点产出!$AO$96:$AO$134,星阵点亮!$Q142)</f>
        <v>997350</v>
      </c>
      <c r="Z142" s="26">
        <f t="shared" si="162"/>
        <v>59</v>
      </c>
      <c r="AA142" s="26">
        <f>总纲!G142</f>
        <v>6871.4799867132497</v>
      </c>
      <c r="AB142" s="26">
        <f>求节点(将星点产出!$W$141:$W$179,将星点产出!$AO$141:$AO$179,星阵点亮!$Q142)</f>
        <v>1304550</v>
      </c>
      <c r="AC142" s="26">
        <f t="shared" si="163"/>
        <v>66</v>
      </c>
      <c r="AD142" s="26">
        <f>总纲!H142</f>
        <v>3671.064650435846</v>
      </c>
      <c r="AE142" s="26">
        <f>求节点(将星点产出!$W$186:$W$224,将星点产出!$AO$186:$AO$224,星阵点亮!$Q142)</f>
        <v>1304550</v>
      </c>
      <c r="AF142" s="26">
        <f t="shared" si="164"/>
        <v>66</v>
      </c>
      <c r="AG142" s="26">
        <f t="shared" si="170"/>
        <v>1.5</v>
      </c>
      <c r="AH142" s="26">
        <f t="shared" si="170"/>
        <v>1.5</v>
      </c>
      <c r="AI142" s="26">
        <f t="shared" si="170"/>
        <v>1.5</v>
      </c>
      <c r="AJ142" s="26">
        <f t="shared" si="170"/>
        <v>1.5</v>
      </c>
      <c r="AK142" s="26">
        <f t="shared" si="170"/>
        <v>1.5</v>
      </c>
      <c r="AL142" s="26">
        <f t="shared" si="170"/>
        <v>0.05</v>
      </c>
      <c r="AM142" s="26">
        <f t="shared" si="170"/>
        <v>1</v>
      </c>
      <c r="AN142" s="26">
        <f t="shared" si="170"/>
        <v>1</v>
      </c>
      <c r="AO142" s="26">
        <f t="shared" si="170"/>
        <v>1</v>
      </c>
      <c r="AP142" s="26">
        <f t="shared" si="170"/>
        <v>1</v>
      </c>
      <c r="AQ142" s="26">
        <f t="shared" si="171"/>
        <v>1</v>
      </c>
      <c r="AR142" s="26">
        <f t="shared" si="171"/>
        <v>0.2</v>
      </c>
      <c r="AS142" s="26">
        <f t="shared" si="171"/>
        <v>0.2</v>
      </c>
      <c r="AT142" s="26">
        <f t="shared" si="171"/>
        <v>0.2</v>
      </c>
      <c r="AU142" s="26">
        <f t="shared" si="171"/>
        <v>0.2</v>
      </c>
      <c r="AV142" s="26">
        <f t="shared" si="171"/>
        <v>0.2</v>
      </c>
      <c r="AW142" s="26">
        <f t="shared" si="171"/>
        <v>0.1</v>
      </c>
      <c r="AX142" s="26">
        <f t="shared" si="171"/>
        <v>0.05</v>
      </c>
      <c r="AY142" s="26">
        <f t="shared" si="171"/>
        <v>0.05</v>
      </c>
      <c r="AZ142" s="26">
        <f t="shared" si="171"/>
        <v>0.05</v>
      </c>
      <c r="BA142" s="26">
        <f t="shared" si="171"/>
        <v>0.05</v>
      </c>
      <c r="BB142" s="26">
        <f t="shared" si="171"/>
        <v>2.5000000000000001E-2</v>
      </c>
      <c r="BC142" s="26">
        <f t="shared" si="172"/>
        <v>1.5</v>
      </c>
      <c r="BD142" s="26">
        <f t="shared" si="172"/>
        <v>1.5</v>
      </c>
      <c r="BE142" s="26">
        <f t="shared" si="172"/>
        <v>1.5</v>
      </c>
      <c r="BF142" s="26">
        <f t="shared" si="172"/>
        <v>1.5</v>
      </c>
      <c r="BG142" s="26">
        <f t="shared" si="172"/>
        <v>1.5</v>
      </c>
      <c r="BH142" s="26">
        <f t="shared" si="172"/>
        <v>0.05</v>
      </c>
      <c r="BI142" s="26">
        <f t="shared" si="172"/>
        <v>1</v>
      </c>
      <c r="BJ142" s="26">
        <f t="shared" si="172"/>
        <v>1</v>
      </c>
      <c r="BK142" s="26">
        <f t="shared" si="172"/>
        <v>1</v>
      </c>
      <c r="BL142" s="26">
        <f t="shared" si="172"/>
        <v>1</v>
      </c>
      <c r="BM142" s="26">
        <f t="shared" si="173"/>
        <v>1</v>
      </c>
      <c r="BN142" s="26">
        <f t="shared" si="173"/>
        <v>0.2</v>
      </c>
      <c r="BO142" s="26">
        <f t="shared" si="173"/>
        <v>0.2</v>
      </c>
      <c r="BP142" s="26">
        <f t="shared" si="173"/>
        <v>0.2</v>
      </c>
      <c r="BQ142" s="26">
        <f t="shared" si="173"/>
        <v>0.2</v>
      </c>
      <c r="BR142" s="26">
        <f t="shared" si="173"/>
        <v>0.2</v>
      </c>
      <c r="BS142" s="26">
        <f t="shared" si="173"/>
        <v>0.1</v>
      </c>
      <c r="BT142" s="26">
        <f t="shared" si="173"/>
        <v>0.05</v>
      </c>
      <c r="BU142" s="26">
        <f t="shared" si="173"/>
        <v>0.05</v>
      </c>
      <c r="BV142" s="26">
        <f t="shared" si="173"/>
        <v>0.05</v>
      </c>
      <c r="BW142" s="26">
        <f t="shared" si="173"/>
        <v>0.05</v>
      </c>
      <c r="BX142" s="26">
        <f t="shared" si="173"/>
        <v>2.5000000000000001E-2</v>
      </c>
      <c r="BY142" s="26">
        <f t="shared" si="174"/>
        <v>1.5</v>
      </c>
      <c r="BZ142" s="26">
        <f t="shared" si="174"/>
        <v>1.5</v>
      </c>
      <c r="CA142" s="26">
        <f t="shared" si="174"/>
        <v>1.5</v>
      </c>
      <c r="CB142" s="26">
        <f t="shared" si="174"/>
        <v>1.5</v>
      </c>
      <c r="CC142" s="26">
        <f t="shared" si="174"/>
        <v>1.5</v>
      </c>
      <c r="CD142" s="26">
        <f t="shared" si="174"/>
        <v>0.05</v>
      </c>
      <c r="CE142" s="26">
        <f t="shared" si="174"/>
        <v>1</v>
      </c>
      <c r="CF142" s="26">
        <f t="shared" si="174"/>
        <v>1</v>
      </c>
      <c r="CG142" s="26">
        <f t="shared" si="174"/>
        <v>1</v>
      </c>
      <c r="CH142" s="26">
        <f t="shared" si="174"/>
        <v>1</v>
      </c>
      <c r="CI142" s="26">
        <f t="shared" si="175"/>
        <v>1</v>
      </c>
      <c r="CJ142" s="26">
        <f t="shared" si="175"/>
        <v>0.2</v>
      </c>
      <c r="CK142" s="26">
        <f t="shared" si="175"/>
        <v>0.2</v>
      </c>
      <c r="CL142" s="26">
        <f t="shared" si="175"/>
        <v>0.2</v>
      </c>
      <c r="CM142" s="26">
        <f t="shared" si="175"/>
        <v>0.2</v>
      </c>
      <c r="CN142" s="26">
        <f t="shared" si="175"/>
        <v>0.2</v>
      </c>
      <c r="CO142" s="26">
        <f t="shared" si="175"/>
        <v>0.1</v>
      </c>
      <c r="CP142" s="26">
        <f t="shared" si="175"/>
        <v>0.05</v>
      </c>
      <c r="CQ142" s="26">
        <f t="shared" si="175"/>
        <v>0.05</v>
      </c>
      <c r="CR142" s="26">
        <f t="shared" si="175"/>
        <v>0.05</v>
      </c>
      <c r="CS142" s="26">
        <f t="shared" si="175"/>
        <v>0.05</v>
      </c>
      <c r="CT142" s="26">
        <f t="shared" si="175"/>
        <v>2.5000000000000001E-2</v>
      </c>
      <c r="CU142" s="26">
        <f t="shared" si="176"/>
        <v>1.5</v>
      </c>
      <c r="CV142" s="26">
        <f t="shared" si="176"/>
        <v>1.5</v>
      </c>
      <c r="CW142" s="26">
        <f t="shared" si="176"/>
        <v>1.5</v>
      </c>
      <c r="CX142" s="26">
        <f t="shared" si="176"/>
        <v>1.5</v>
      </c>
      <c r="CY142" s="26">
        <f t="shared" si="176"/>
        <v>1.5</v>
      </c>
      <c r="CZ142" s="26">
        <f t="shared" si="176"/>
        <v>0.1</v>
      </c>
      <c r="DA142" s="26">
        <f t="shared" si="176"/>
        <v>1</v>
      </c>
      <c r="DB142" s="26">
        <f t="shared" si="176"/>
        <v>1</v>
      </c>
      <c r="DC142" s="26">
        <f t="shared" si="176"/>
        <v>1</v>
      </c>
      <c r="DD142" s="26">
        <f t="shared" si="176"/>
        <v>1</v>
      </c>
      <c r="DE142" s="26">
        <f t="shared" si="177"/>
        <v>1</v>
      </c>
      <c r="DF142" s="26">
        <f t="shared" si="177"/>
        <v>0.2</v>
      </c>
      <c r="DG142" s="26">
        <f t="shared" si="177"/>
        <v>0.2</v>
      </c>
      <c r="DH142" s="26">
        <f t="shared" si="177"/>
        <v>0.2</v>
      </c>
      <c r="DI142" s="26">
        <f t="shared" si="177"/>
        <v>0.2</v>
      </c>
      <c r="DJ142" s="26">
        <f t="shared" si="177"/>
        <v>0.2</v>
      </c>
      <c r="DK142" s="26">
        <f t="shared" si="177"/>
        <v>0.1</v>
      </c>
      <c r="DL142" s="26">
        <f t="shared" si="177"/>
        <v>0.1</v>
      </c>
      <c r="DM142" s="26">
        <f t="shared" si="177"/>
        <v>0.1</v>
      </c>
      <c r="DN142" s="26">
        <f t="shared" si="177"/>
        <v>0.05</v>
      </c>
      <c r="DO142" s="26">
        <f t="shared" si="177"/>
        <v>0.05</v>
      </c>
      <c r="DP142" s="26">
        <f t="shared" si="177"/>
        <v>0.05</v>
      </c>
      <c r="DQ142" s="26">
        <f t="shared" si="178"/>
        <v>1.5</v>
      </c>
      <c r="DR142" s="26">
        <f t="shared" si="178"/>
        <v>1.5</v>
      </c>
      <c r="DS142" s="26">
        <f t="shared" si="178"/>
        <v>1.5</v>
      </c>
      <c r="DT142" s="26">
        <f t="shared" si="178"/>
        <v>1.5</v>
      </c>
      <c r="DU142" s="26">
        <f t="shared" si="178"/>
        <v>1.5</v>
      </c>
      <c r="DV142" s="26">
        <f t="shared" si="178"/>
        <v>0.1</v>
      </c>
      <c r="DW142" s="26">
        <f t="shared" si="178"/>
        <v>1</v>
      </c>
      <c r="DX142" s="26">
        <f t="shared" si="178"/>
        <v>1</v>
      </c>
      <c r="DY142" s="26">
        <f t="shared" si="178"/>
        <v>1</v>
      </c>
      <c r="DZ142" s="26">
        <f t="shared" si="178"/>
        <v>1</v>
      </c>
      <c r="EA142" s="26">
        <f t="shared" si="179"/>
        <v>1</v>
      </c>
      <c r="EB142" s="26">
        <f t="shared" si="179"/>
        <v>0.2</v>
      </c>
      <c r="EC142" s="26">
        <f t="shared" si="179"/>
        <v>0.2</v>
      </c>
      <c r="ED142" s="26">
        <f t="shared" si="179"/>
        <v>0.2</v>
      </c>
      <c r="EE142" s="26">
        <f t="shared" si="179"/>
        <v>0.2</v>
      </c>
      <c r="EF142" s="26">
        <f t="shared" si="179"/>
        <v>0.2</v>
      </c>
      <c r="EG142" s="26">
        <f t="shared" si="179"/>
        <v>0.1</v>
      </c>
      <c r="EH142" s="26">
        <f t="shared" si="179"/>
        <v>0.1</v>
      </c>
      <c r="EI142" s="26">
        <f t="shared" si="179"/>
        <v>0.1</v>
      </c>
      <c r="EJ142" s="26">
        <f t="shared" si="179"/>
        <v>0.05</v>
      </c>
      <c r="EK142" s="26">
        <f t="shared" si="179"/>
        <v>0.05</v>
      </c>
      <c r="EL142" s="26">
        <f t="shared" si="179"/>
        <v>0.05</v>
      </c>
      <c r="EM142" s="26">
        <f t="shared" si="165"/>
        <v>589257</v>
      </c>
      <c r="EN142" s="26">
        <f t="shared" si="166"/>
        <v>589257</v>
      </c>
      <c r="EO142" s="26">
        <f t="shared" si="167"/>
        <v>589257</v>
      </c>
      <c r="EP142" s="26">
        <f t="shared" si="168"/>
        <v>771411</v>
      </c>
      <c r="EQ142" s="26">
        <f t="shared" si="169"/>
        <v>771411</v>
      </c>
    </row>
    <row r="143" spans="17:147">
      <c r="Q143" s="26">
        <v>139</v>
      </c>
      <c r="R143" s="26">
        <f>总纲!D143</f>
        <v>15285.812533339058</v>
      </c>
      <c r="S143" s="26">
        <f>求节点(将星点产出!$W$6:$W$44,将星点产出!$AO$6:$AO$44,星阵点亮!$Q143)</f>
        <v>997350</v>
      </c>
      <c r="T143" s="26">
        <f t="shared" si="160"/>
        <v>59</v>
      </c>
      <c r="U143" s="26">
        <f>总纲!E143</f>
        <v>12957.783284511519</v>
      </c>
      <c r="V143" s="26">
        <f>求节点(将星点产出!$W$51:$W$89,将星点产出!$AO$51:$AO$89,星阵点亮!$Q143)</f>
        <v>997350</v>
      </c>
      <c r="W143" s="26">
        <f t="shared" si="161"/>
        <v>59</v>
      </c>
      <c r="X143" s="26">
        <f>总纲!F143</f>
        <v>10342.380760057207</v>
      </c>
      <c r="Y143" s="26">
        <f>求节点(将星点产出!$W$96:$W$134,将星点产出!$AO$96:$AO$134,星阵点亮!$Q143)</f>
        <v>997350</v>
      </c>
      <c r="Z143" s="26">
        <f t="shared" si="162"/>
        <v>59</v>
      </c>
      <c r="AA143" s="26">
        <f>总纲!G143</f>
        <v>7335.6614347494142</v>
      </c>
      <c r="AB143" s="26">
        <f>求节点(将星点产出!$W$141:$W$179,将星点产出!$AO$141:$AO$179,星阵点亮!$Q143)</f>
        <v>1304550</v>
      </c>
      <c r="AC143" s="26">
        <f t="shared" si="163"/>
        <v>66</v>
      </c>
      <c r="AD143" s="26">
        <f>总纲!H143</f>
        <v>3920.8109148014687</v>
      </c>
      <c r="AE143" s="26">
        <f>求节点(将星点产出!$W$186:$W$224,将星点产出!$AO$186:$AO$224,星阵点亮!$Q143)</f>
        <v>1304550</v>
      </c>
      <c r="AF143" s="26">
        <f t="shared" si="164"/>
        <v>66</v>
      </c>
      <c r="AG143" s="26">
        <f t="shared" si="170"/>
        <v>1.5</v>
      </c>
      <c r="AH143" s="26">
        <f t="shared" si="170"/>
        <v>1.5</v>
      </c>
      <c r="AI143" s="26">
        <f t="shared" si="170"/>
        <v>1.5</v>
      </c>
      <c r="AJ143" s="26">
        <f t="shared" si="170"/>
        <v>1.5</v>
      </c>
      <c r="AK143" s="26">
        <f t="shared" si="170"/>
        <v>1.5</v>
      </c>
      <c r="AL143" s="26">
        <f t="shared" si="170"/>
        <v>0.05</v>
      </c>
      <c r="AM143" s="26">
        <f t="shared" si="170"/>
        <v>1</v>
      </c>
      <c r="AN143" s="26">
        <f t="shared" si="170"/>
        <v>1</v>
      </c>
      <c r="AO143" s="26">
        <f t="shared" si="170"/>
        <v>1</v>
      </c>
      <c r="AP143" s="26">
        <f t="shared" si="170"/>
        <v>1</v>
      </c>
      <c r="AQ143" s="26">
        <f t="shared" si="171"/>
        <v>1</v>
      </c>
      <c r="AR143" s="26">
        <f t="shared" si="171"/>
        <v>0.2</v>
      </c>
      <c r="AS143" s="26">
        <f t="shared" si="171"/>
        <v>0.2</v>
      </c>
      <c r="AT143" s="26">
        <f t="shared" si="171"/>
        <v>0.2</v>
      </c>
      <c r="AU143" s="26">
        <f t="shared" si="171"/>
        <v>0.2</v>
      </c>
      <c r="AV143" s="26">
        <f t="shared" si="171"/>
        <v>0.2</v>
      </c>
      <c r="AW143" s="26">
        <f t="shared" si="171"/>
        <v>0.1</v>
      </c>
      <c r="AX143" s="26">
        <f t="shared" si="171"/>
        <v>0.05</v>
      </c>
      <c r="AY143" s="26">
        <f t="shared" si="171"/>
        <v>0.05</v>
      </c>
      <c r="AZ143" s="26">
        <f t="shared" si="171"/>
        <v>0.05</v>
      </c>
      <c r="BA143" s="26">
        <f t="shared" si="171"/>
        <v>0.05</v>
      </c>
      <c r="BB143" s="26">
        <f t="shared" si="171"/>
        <v>2.5000000000000001E-2</v>
      </c>
      <c r="BC143" s="26">
        <f t="shared" si="172"/>
        <v>1.5</v>
      </c>
      <c r="BD143" s="26">
        <f t="shared" si="172"/>
        <v>1.5</v>
      </c>
      <c r="BE143" s="26">
        <f t="shared" si="172"/>
        <v>1.5</v>
      </c>
      <c r="BF143" s="26">
        <f t="shared" si="172"/>
        <v>1.5</v>
      </c>
      <c r="BG143" s="26">
        <f t="shared" si="172"/>
        <v>1.5</v>
      </c>
      <c r="BH143" s="26">
        <f t="shared" si="172"/>
        <v>0.05</v>
      </c>
      <c r="BI143" s="26">
        <f t="shared" si="172"/>
        <v>1</v>
      </c>
      <c r="BJ143" s="26">
        <f t="shared" si="172"/>
        <v>1</v>
      </c>
      <c r="BK143" s="26">
        <f t="shared" si="172"/>
        <v>1</v>
      </c>
      <c r="BL143" s="26">
        <f t="shared" si="172"/>
        <v>1</v>
      </c>
      <c r="BM143" s="26">
        <f t="shared" si="173"/>
        <v>1</v>
      </c>
      <c r="BN143" s="26">
        <f t="shared" si="173"/>
        <v>0.2</v>
      </c>
      <c r="BO143" s="26">
        <f t="shared" si="173"/>
        <v>0.2</v>
      </c>
      <c r="BP143" s="26">
        <f t="shared" si="173"/>
        <v>0.2</v>
      </c>
      <c r="BQ143" s="26">
        <f t="shared" si="173"/>
        <v>0.2</v>
      </c>
      <c r="BR143" s="26">
        <f t="shared" si="173"/>
        <v>0.2</v>
      </c>
      <c r="BS143" s="26">
        <f t="shared" si="173"/>
        <v>0.1</v>
      </c>
      <c r="BT143" s="26">
        <f t="shared" si="173"/>
        <v>0.05</v>
      </c>
      <c r="BU143" s="26">
        <f t="shared" si="173"/>
        <v>0.05</v>
      </c>
      <c r="BV143" s="26">
        <f t="shared" si="173"/>
        <v>0.05</v>
      </c>
      <c r="BW143" s="26">
        <f t="shared" si="173"/>
        <v>0.05</v>
      </c>
      <c r="BX143" s="26">
        <f t="shared" si="173"/>
        <v>2.5000000000000001E-2</v>
      </c>
      <c r="BY143" s="26">
        <f t="shared" si="174"/>
        <v>1.5</v>
      </c>
      <c r="BZ143" s="26">
        <f t="shared" si="174"/>
        <v>1.5</v>
      </c>
      <c r="CA143" s="26">
        <f t="shared" si="174"/>
        <v>1.5</v>
      </c>
      <c r="CB143" s="26">
        <f t="shared" si="174"/>
        <v>1.5</v>
      </c>
      <c r="CC143" s="26">
        <f t="shared" si="174"/>
        <v>1.5</v>
      </c>
      <c r="CD143" s="26">
        <f t="shared" si="174"/>
        <v>0.05</v>
      </c>
      <c r="CE143" s="26">
        <f t="shared" si="174"/>
        <v>1</v>
      </c>
      <c r="CF143" s="26">
        <f t="shared" si="174"/>
        <v>1</v>
      </c>
      <c r="CG143" s="26">
        <f t="shared" si="174"/>
        <v>1</v>
      </c>
      <c r="CH143" s="26">
        <f t="shared" si="174"/>
        <v>1</v>
      </c>
      <c r="CI143" s="26">
        <f t="shared" si="175"/>
        <v>1</v>
      </c>
      <c r="CJ143" s="26">
        <f t="shared" si="175"/>
        <v>0.2</v>
      </c>
      <c r="CK143" s="26">
        <f t="shared" si="175"/>
        <v>0.2</v>
      </c>
      <c r="CL143" s="26">
        <f t="shared" si="175"/>
        <v>0.2</v>
      </c>
      <c r="CM143" s="26">
        <f t="shared" si="175"/>
        <v>0.2</v>
      </c>
      <c r="CN143" s="26">
        <f t="shared" si="175"/>
        <v>0.2</v>
      </c>
      <c r="CO143" s="26">
        <f t="shared" si="175"/>
        <v>0.1</v>
      </c>
      <c r="CP143" s="26">
        <f t="shared" si="175"/>
        <v>0.05</v>
      </c>
      <c r="CQ143" s="26">
        <f t="shared" si="175"/>
        <v>0.05</v>
      </c>
      <c r="CR143" s="26">
        <f t="shared" si="175"/>
        <v>0.05</v>
      </c>
      <c r="CS143" s="26">
        <f t="shared" si="175"/>
        <v>0.05</v>
      </c>
      <c r="CT143" s="26">
        <f t="shared" si="175"/>
        <v>2.5000000000000001E-2</v>
      </c>
      <c r="CU143" s="26">
        <f t="shared" si="176"/>
        <v>1.5</v>
      </c>
      <c r="CV143" s="26">
        <f t="shared" si="176"/>
        <v>1.5</v>
      </c>
      <c r="CW143" s="26">
        <f t="shared" si="176"/>
        <v>1.5</v>
      </c>
      <c r="CX143" s="26">
        <f t="shared" si="176"/>
        <v>1.5</v>
      </c>
      <c r="CY143" s="26">
        <f t="shared" si="176"/>
        <v>1.5</v>
      </c>
      <c r="CZ143" s="26">
        <f t="shared" si="176"/>
        <v>0.1</v>
      </c>
      <c r="DA143" s="26">
        <f t="shared" si="176"/>
        <v>1</v>
      </c>
      <c r="DB143" s="26">
        <f t="shared" si="176"/>
        <v>1</v>
      </c>
      <c r="DC143" s="26">
        <f t="shared" si="176"/>
        <v>1</v>
      </c>
      <c r="DD143" s="26">
        <f t="shared" si="176"/>
        <v>1</v>
      </c>
      <c r="DE143" s="26">
        <f t="shared" si="177"/>
        <v>1</v>
      </c>
      <c r="DF143" s="26">
        <f t="shared" si="177"/>
        <v>0.2</v>
      </c>
      <c r="DG143" s="26">
        <f t="shared" si="177"/>
        <v>0.2</v>
      </c>
      <c r="DH143" s="26">
        <f t="shared" si="177"/>
        <v>0.2</v>
      </c>
      <c r="DI143" s="26">
        <f t="shared" si="177"/>
        <v>0.2</v>
      </c>
      <c r="DJ143" s="26">
        <f t="shared" si="177"/>
        <v>0.2</v>
      </c>
      <c r="DK143" s="26">
        <f t="shared" si="177"/>
        <v>0.1</v>
      </c>
      <c r="DL143" s="26">
        <f t="shared" si="177"/>
        <v>0.1</v>
      </c>
      <c r="DM143" s="26">
        <f t="shared" si="177"/>
        <v>0.1</v>
      </c>
      <c r="DN143" s="26">
        <f t="shared" si="177"/>
        <v>0.05</v>
      </c>
      <c r="DO143" s="26">
        <f t="shared" si="177"/>
        <v>0.05</v>
      </c>
      <c r="DP143" s="26">
        <f t="shared" si="177"/>
        <v>0.05</v>
      </c>
      <c r="DQ143" s="26">
        <f t="shared" si="178"/>
        <v>1.5</v>
      </c>
      <c r="DR143" s="26">
        <f t="shared" si="178"/>
        <v>1.5</v>
      </c>
      <c r="DS143" s="26">
        <f t="shared" si="178"/>
        <v>1.5</v>
      </c>
      <c r="DT143" s="26">
        <f t="shared" si="178"/>
        <v>1.5</v>
      </c>
      <c r="DU143" s="26">
        <f t="shared" si="178"/>
        <v>1.5</v>
      </c>
      <c r="DV143" s="26">
        <f t="shared" si="178"/>
        <v>0.1</v>
      </c>
      <c r="DW143" s="26">
        <f t="shared" si="178"/>
        <v>1</v>
      </c>
      <c r="DX143" s="26">
        <f t="shared" si="178"/>
        <v>1</v>
      </c>
      <c r="DY143" s="26">
        <f t="shared" si="178"/>
        <v>1</v>
      </c>
      <c r="DZ143" s="26">
        <f t="shared" si="178"/>
        <v>1</v>
      </c>
      <c r="EA143" s="26">
        <f t="shared" si="179"/>
        <v>1</v>
      </c>
      <c r="EB143" s="26">
        <f t="shared" si="179"/>
        <v>0.2</v>
      </c>
      <c r="EC143" s="26">
        <f t="shared" si="179"/>
        <v>0.2</v>
      </c>
      <c r="ED143" s="26">
        <f t="shared" si="179"/>
        <v>0.2</v>
      </c>
      <c r="EE143" s="26">
        <f t="shared" si="179"/>
        <v>0.2</v>
      </c>
      <c r="EF143" s="26">
        <f t="shared" si="179"/>
        <v>0.2</v>
      </c>
      <c r="EG143" s="26">
        <f t="shared" si="179"/>
        <v>0.1</v>
      </c>
      <c r="EH143" s="26">
        <f t="shared" si="179"/>
        <v>0.1</v>
      </c>
      <c r="EI143" s="26">
        <f t="shared" si="179"/>
        <v>0.1</v>
      </c>
      <c r="EJ143" s="26">
        <f t="shared" si="179"/>
        <v>0.05</v>
      </c>
      <c r="EK143" s="26">
        <f t="shared" si="179"/>
        <v>0.05</v>
      </c>
      <c r="EL143" s="26">
        <f t="shared" si="179"/>
        <v>0.05</v>
      </c>
      <c r="EM143" s="26">
        <f t="shared" si="165"/>
        <v>589257</v>
      </c>
      <c r="EN143" s="26">
        <f t="shared" si="166"/>
        <v>589257</v>
      </c>
      <c r="EO143" s="26">
        <f t="shared" si="167"/>
        <v>589257</v>
      </c>
      <c r="EP143" s="26">
        <f t="shared" si="168"/>
        <v>771411</v>
      </c>
      <c r="EQ143" s="26">
        <f t="shared" si="169"/>
        <v>771411</v>
      </c>
    </row>
    <row r="144" spans="17:147">
      <c r="Q144" s="26">
        <v>140</v>
      </c>
      <c r="R144" s="26">
        <f>总纲!D144</f>
        <v>16383</v>
      </c>
      <c r="S144" s="26">
        <f>求节点(将星点产出!$W$6:$W$44,将星点产出!$AO$6:$AO$44,星阵点亮!$Q144)</f>
        <v>997350</v>
      </c>
      <c r="T144" s="26">
        <f t="shared" si="160"/>
        <v>59</v>
      </c>
      <c r="U144" s="26">
        <f>总纲!E144</f>
        <v>13881.315900000001</v>
      </c>
      <c r="V144" s="26">
        <f>求节点(将星点产出!$W$51:$W$89,将星点产出!$AO$51:$AO$89,星阵点亮!$Q144)</f>
        <v>997350</v>
      </c>
      <c r="W144" s="26">
        <f t="shared" si="161"/>
        <v>59</v>
      </c>
      <c r="X144" s="26">
        <f>总纲!F144</f>
        <v>11037.2271</v>
      </c>
      <c r="Y144" s="26">
        <f>求节点(将星点产出!$W$96:$W$134,将星点产出!$AO$96:$AO$134,星阵点亮!$Q144)</f>
        <v>997350</v>
      </c>
      <c r="Z144" s="26">
        <f t="shared" si="162"/>
        <v>59</v>
      </c>
      <c r="AA144" s="26">
        <f>总纲!G144</f>
        <v>7827.7974000000004</v>
      </c>
      <c r="AB144" s="26">
        <f>求节点(将星点产出!$W$141:$W$179,将星点产出!$AO$141:$AO$179,星阵点亮!$Q144)</f>
        <v>1304550</v>
      </c>
      <c r="AC144" s="26">
        <f t="shared" si="163"/>
        <v>66</v>
      </c>
      <c r="AD144" s="26">
        <f>总纲!H144</f>
        <v>4192.4097000000002</v>
      </c>
      <c r="AE144" s="26">
        <f>求节点(将星点产出!$W$186:$W$224,将星点产出!$AO$186:$AO$224,星阵点亮!$Q144)</f>
        <v>1304550</v>
      </c>
      <c r="AF144" s="26">
        <f t="shared" si="164"/>
        <v>66</v>
      </c>
      <c r="AG144" s="26">
        <f t="shared" si="170"/>
        <v>1.5</v>
      </c>
      <c r="AH144" s="26">
        <f t="shared" si="170"/>
        <v>1.5</v>
      </c>
      <c r="AI144" s="26">
        <f t="shared" si="170"/>
        <v>1.5</v>
      </c>
      <c r="AJ144" s="26">
        <f t="shared" si="170"/>
        <v>1.5</v>
      </c>
      <c r="AK144" s="26">
        <f t="shared" si="170"/>
        <v>1.5</v>
      </c>
      <c r="AL144" s="26">
        <f t="shared" si="170"/>
        <v>0.05</v>
      </c>
      <c r="AM144" s="26">
        <f t="shared" si="170"/>
        <v>1</v>
      </c>
      <c r="AN144" s="26">
        <f t="shared" si="170"/>
        <v>1</v>
      </c>
      <c r="AO144" s="26">
        <f t="shared" si="170"/>
        <v>1</v>
      </c>
      <c r="AP144" s="26">
        <f t="shared" si="170"/>
        <v>1</v>
      </c>
      <c r="AQ144" s="26">
        <f t="shared" si="171"/>
        <v>1</v>
      </c>
      <c r="AR144" s="26">
        <f t="shared" si="171"/>
        <v>0.2</v>
      </c>
      <c r="AS144" s="26">
        <f t="shared" si="171"/>
        <v>0.2</v>
      </c>
      <c r="AT144" s="26">
        <f t="shared" si="171"/>
        <v>0.2</v>
      </c>
      <c r="AU144" s="26">
        <f t="shared" si="171"/>
        <v>0.2</v>
      </c>
      <c r="AV144" s="26">
        <f t="shared" si="171"/>
        <v>0.2</v>
      </c>
      <c r="AW144" s="26">
        <f t="shared" si="171"/>
        <v>0.1</v>
      </c>
      <c r="AX144" s="26">
        <f t="shared" si="171"/>
        <v>0.05</v>
      </c>
      <c r="AY144" s="26">
        <f t="shared" si="171"/>
        <v>0.05</v>
      </c>
      <c r="AZ144" s="26">
        <f t="shared" si="171"/>
        <v>0.05</v>
      </c>
      <c r="BA144" s="26">
        <f t="shared" si="171"/>
        <v>0.05</v>
      </c>
      <c r="BB144" s="26">
        <f t="shared" si="171"/>
        <v>2.5000000000000001E-2</v>
      </c>
      <c r="BC144" s="26">
        <f t="shared" si="172"/>
        <v>1.5</v>
      </c>
      <c r="BD144" s="26">
        <f t="shared" si="172"/>
        <v>1.5</v>
      </c>
      <c r="BE144" s="26">
        <f t="shared" si="172"/>
        <v>1.5</v>
      </c>
      <c r="BF144" s="26">
        <f t="shared" si="172"/>
        <v>1.5</v>
      </c>
      <c r="BG144" s="26">
        <f t="shared" si="172"/>
        <v>1.5</v>
      </c>
      <c r="BH144" s="26">
        <f t="shared" si="172"/>
        <v>0.05</v>
      </c>
      <c r="BI144" s="26">
        <f t="shared" si="172"/>
        <v>1</v>
      </c>
      <c r="BJ144" s="26">
        <f t="shared" si="172"/>
        <v>1</v>
      </c>
      <c r="BK144" s="26">
        <f t="shared" si="172"/>
        <v>1</v>
      </c>
      <c r="BL144" s="26">
        <f t="shared" si="172"/>
        <v>1</v>
      </c>
      <c r="BM144" s="26">
        <f t="shared" si="173"/>
        <v>1</v>
      </c>
      <c r="BN144" s="26">
        <f t="shared" si="173"/>
        <v>0.2</v>
      </c>
      <c r="BO144" s="26">
        <f t="shared" si="173"/>
        <v>0.2</v>
      </c>
      <c r="BP144" s="26">
        <f t="shared" si="173"/>
        <v>0.2</v>
      </c>
      <c r="BQ144" s="26">
        <f t="shared" si="173"/>
        <v>0.2</v>
      </c>
      <c r="BR144" s="26">
        <f t="shared" si="173"/>
        <v>0.2</v>
      </c>
      <c r="BS144" s="26">
        <f t="shared" si="173"/>
        <v>0.1</v>
      </c>
      <c r="BT144" s="26">
        <f t="shared" si="173"/>
        <v>0.05</v>
      </c>
      <c r="BU144" s="26">
        <f t="shared" si="173"/>
        <v>0.05</v>
      </c>
      <c r="BV144" s="26">
        <f t="shared" si="173"/>
        <v>0.05</v>
      </c>
      <c r="BW144" s="26">
        <f t="shared" si="173"/>
        <v>0.05</v>
      </c>
      <c r="BX144" s="26">
        <f t="shared" si="173"/>
        <v>2.5000000000000001E-2</v>
      </c>
      <c r="BY144" s="26">
        <f t="shared" si="174"/>
        <v>1.5</v>
      </c>
      <c r="BZ144" s="26">
        <f t="shared" si="174"/>
        <v>1.5</v>
      </c>
      <c r="CA144" s="26">
        <f t="shared" si="174"/>
        <v>1.5</v>
      </c>
      <c r="CB144" s="26">
        <f t="shared" si="174"/>
        <v>1.5</v>
      </c>
      <c r="CC144" s="26">
        <f t="shared" si="174"/>
        <v>1.5</v>
      </c>
      <c r="CD144" s="26">
        <f t="shared" si="174"/>
        <v>0.05</v>
      </c>
      <c r="CE144" s="26">
        <f t="shared" si="174"/>
        <v>1</v>
      </c>
      <c r="CF144" s="26">
        <f t="shared" si="174"/>
        <v>1</v>
      </c>
      <c r="CG144" s="26">
        <f t="shared" si="174"/>
        <v>1</v>
      </c>
      <c r="CH144" s="26">
        <f t="shared" si="174"/>
        <v>1</v>
      </c>
      <c r="CI144" s="26">
        <f t="shared" si="175"/>
        <v>1</v>
      </c>
      <c r="CJ144" s="26">
        <f t="shared" si="175"/>
        <v>0.2</v>
      </c>
      <c r="CK144" s="26">
        <f t="shared" si="175"/>
        <v>0.2</v>
      </c>
      <c r="CL144" s="26">
        <f t="shared" si="175"/>
        <v>0.2</v>
      </c>
      <c r="CM144" s="26">
        <f t="shared" si="175"/>
        <v>0.2</v>
      </c>
      <c r="CN144" s="26">
        <f t="shared" si="175"/>
        <v>0.2</v>
      </c>
      <c r="CO144" s="26">
        <f t="shared" si="175"/>
        <v>0.1</v>
      </c>
      <c r="CP144" s="26">
        <f t="shared" si="175"/>
        <v>0.05</v>
      </c>
      <c r="CQ144" s="26">
        <f t="shared" si="175"/>
        <v>0.05</v>
      </c>
      <c r="CR144" s="26">
        <f t="shared" si="175"/>
        <v>0.05</v>
      </c>
      <c r="CS144" s="26">
        <f t="shared" si="175"/>
        <v>0.05</v>
      </c>
      <c r="CT144" s="26">
        <f t="shared" si="175"/>
        <v>2.5000000000000001E-2</v>
      </c>
      <c r="CU144" s="26">
        <f t="shared" si="176"/>
        <v>1.5</v>
      </c>
      <c r="CV144" s="26">
        <f t="shared" si="176"/>
        <v>1.5</v>
      </c>
      <c r="CW144" s="26">
        <f t="shared" si="176"/>
        <v>1.5</v>
      </c>
      <c r="CX144" s="26">
        <f t="shared" si="176"/>
        <v>1.5</v>
      </c>
      <c r="CY144" s="26">
        <f t="shared" si="176"/>
        <v>1.5</v>
      </c>
      <c r="CZ144" s="26">
        <f t="shared" si="176"/>
        <v>0.1</v>
      </c>
      <c r="DA144" s="26">
        <f t="shared" si="176"/>
        <v>1</v>
      </c>
      <c r="DB144" s="26">
        <f t="shared" si="176"/>
        <v>1</v>
      </c>
      <c r="DC144" s="26">
        <f t="shared" si="176"/>
        <v>1</v>
      </c>
      <c r="DD144" s="26">
        <f t="shared" si="176"/>
        <v>1</v>
      </c>
      <c r="DE144" s="26">
        <f t="shared" si="177"/>
        <v>1</v>
      </c>
      <c r="DF144" s="26">
        <f t="shared" si="177"/>
        <v>0.2</v>
      </c>
      <c r="DG144" s="26">
        <f t="shared" si="177"/>
        <v>0.2</v>
      </c>
      <c r="DH144" s="26">
        <f t="shared" si="177"/>
        <v>0.2</v>
      </c>
      <c r="DI144" s="26">
        <f t="shared" si="177"/>
        <v>0.2</v>
      </c>
      <c r="DJ144" s="26">
        <f t="shared" si="177"/>
        <v>0.2</v>
      </c>
      <c r="DK144" s="26">
        <f t="shared" si="177"/>
        <v>0.1</v>
      </c>
      <c r="DL144" s="26">
        <f t="shared" si="177"/>
        <v>0.1</v>
      </c>
      <c r="DM144" s="26">
        <f t="shared" si="177"/>
        <v>0.1</v>
      </c>
      <c r="DN144" s="26">
        <f t="shared" si="177"/>
        <v>0.05</v>
      </c>
      <c r="DO144" s="26">
        <f t="shared" si="177"/>
        <v>0.05</v>
      </c>
      <c r="DP144" s="26">
        <f t="shared" si="177"/>
        <v>0.05</v>
      </c>
      <c r="DQ144" s="26">
        <f t="shared" si="178"/>
        <v>1.5</v>
      </c>
      <c r="DR144" s="26">
        <f t="shared" si="178"/>
        <v>1.5</v>
      </c>
      <c r="DS144" s="26">
        <f t="shared" si="178"/>
        <v>1.5</v>
      </c>
      <c r="DT144" s="26">
        <f t="shared" si="178"/>
        <v>1.5</v>
      </c>
      <c r="DU144" s="26">
        <f t="shared" si="178"/>
        <v>1.5</v>
      </c>
      <c r="DV144" s="26">
        <f t="shared" si="178"/>
        <v>0.1</v>
      </c>
      <c r="DW144" s="26">
        <f t="shared" si="178"/>
        <v>1</v>
      </c>
      <c r="DX144" s="26">
        <f t="shared" si="178"/>
        <v>1</v>
      </c>
      <c r="DY144" s="26">
        <f t="shared" si="178"/>
        <v>1</v>
      </c>
      <c r="DZ144" s="26">
        <f t="shared" si="178"/>
        <v>1</v>
      </c>
      <c r="EA144" s="26">
        <f t="shared" si="179"/>
        <v>1</v>
      </c>
      <c r="EB144" s="26">
        <f t="shared" si="179"/>
        <v>0.2</v>
      </c>
      <c r="EC144" s="26">
        <f t="shared" si="179"/>
        <v>0.2</v>
      </c>
      <c r="ED144" s="26">
        <f t="shared" si="179"/>
        <v>0.2</v>
      </c>
      <c r="EE144" s="26">
        <f t="shared" si="179"/>
        <v>0.2</v>
      </c>
      <c r="EF144" s="26">
        <f t="shared" si="179"/>
        <v>0.2</v>
      </c>
      <c r="EG144" s="26">
        <f t="shared" si="179"/>
        <v>0.1</v>
      </c>
      <c r="EH144" s="26">
        <f t="shared" si="179"/>
        <v>0.1</v>
      </c>
      <c r="EI144" s="26">
        <f t="shared" si="179"/>
        <v>0.1</v>
      </c>
      <c r="EJ144" s="26">
        <f t="shared" si="179"/>
        <v>0.05</v>
      </c>
      <c r="EK144" s="26">
        <f t="shared" si="179"/>
        <v>0.05</v>
      </c>
      <c r="EL144" s="26">
        <f t="shared" si="179"/>
        <v>0.05</v>
      </c>
      <c r="EM144" s="26">
        <f t="shared" si="165"/>
        <v>589257</v>
      </c>
      <c r="EN144" s="26">
        <f t="shared" si="166"/>
        <v>589257</v>
      </c>
      <c r="EO144" s="26">
        <f t="shared" si="167"/>
        <v>589257</v>
      </c>
      <c r="EP144" s="26">
        <f t="shared" si="168"/>
        <v>771411</v>
      </c>
      <c r="EQ144" s="26">
        <f t="shared" si="169"/>
        <v>771411</v>
      </c>
    </row>
    <row r="145" spans="17:147">
      <c r="Q145" s="26">
        <v>141</v>
      </c>
      <c r="R145" s="26">
        <f>总纲!D145</f>
        <v>17558.936410194601</v>
      </c>
      <c r="S145" s="26">
        <f>求节点(将星点产出!$W$6:$W$44,将星点产出!$AO$6:$AO$44,星阵点亮!$Q145)</f>
        <v>997350</v>
      </c>
      <c r="T145" s="26">
        <f t="shared" si="160"/>
        <v>59</v>
      </c>
      <c r="U145" s="26">
        <f>总纲!E145</f>
        <v>14839.057160255457</v>
      </c>
      <c r="V145" s="26">
        <f>求节点(将星点产出!$W$51:$W$89,将星点产出!$AO$51:$AO$89,星阵点亮!$Q145)</f>
        <v>997350</v>
      </c>
      <c r="W145" s="26">
        <f t="shared" si="161"/>
        <v>59</v>
      </c>
      <c r="X145" s="26">
        <f>总纲!F145</f>
        <v>11789.069905804656</v>
      </c>
      <c r="Y145" s="26">
        <f>求节点(将星点产出!$W$96:$W$134,将星点产出!$AO$96:$AO$134,星阵点亮!$Q145)</f>
        <v>997350</v>
      </c>
      <c r="Z145" s="26">
        <f t="shared" si="162"/>
        <v>59</v>
      </c>
      <c r="AA145" s="26">
        <f>总纲!G145</f>
        <v>8380.8803485858825</v>
      </c>
      <c r="AB145" s="26">
        <f>求节点(将星点产出!$W$141:$W$179,将星点产出!$AO$141:$AO$179,星阵点亮!$Q145)</f>
        <v>1304550</v>
      </c>
      <c r="AC145" s="26">
        <f t="shared" si="163"/>
        <v>66</v>
      </c>
      <c r="AD145" s="26">
        <f>总纲!H145</f>
        <v>4489.820040086759</v>
      </c>
      <c r="AE145" s="26">
        <f>求节点(将星点产出!$W$186:$W$224,将星点产出!$AO$186:$AO$224,星阵点亮!$Q145)</f>
        <v>1304550</v>
      </c>
      <c r="AF145" s="26">
        <f t="shared" si="164"/>
        <v>66</v>
      </c>
      <c r="AG145" s="26">
        <f t="shared" ref="AG145:AP154" si="180">SUMIFS($J$5:$J$76,$I$5:$I$76,AG$4,$H$5:$H$76,"&lt;="&amp;$T145)</f>
        <v>1.5</v>
      </c>
      <c r="AH145" s="26">
        <f t="shared" si="180"/>
        <v>1.5</v>
      </c>
      <c r="AI145" s="26">
        <f t="shared" si="180"/>
        <v>1.5</v>
      </c>
      <c r="AJ145" s="26">
        <f t="shared" si="180"/>
        <v>1.5</v>
      </c>
      <c r="AK145" s="26">
        <f t="shared" si="180"/>
        <v>1.5</v>
      </c>
      <c r="AL145" s="26">
        <f t="shared" si="180"/>
        <v>0.05</v>
      </c>
      <c r="AM145" s="26">
        <f t="shared" si="180"/>
        <v>1</v>
      </c>
      <c r="AN145" s="26">
        <f t="shared" si="180"/>
        <v>1</v>
      </c>
      <c r="AO145" s="26">
        <f t="shared" si="180"/>
        <v>1</v>
      </c>
      <c r="AP145" s="26">
        <f t="shared" si="180"/>
        <v>1</v>
      </c>
      <c r="AQ145" s="26">
        <f t="shared" ref="AQ145:BB154" si="181">SUMIFS($J$5:$J$76,$I$5:$I$76,AQ$4,$H$5:$H$76,"&lt;="&amp;$T145)</f>
        <v>1</v>
      </c>
      <c r="AR145" s="26">
        <f t="shared" si="181"/>
        <v>0.2</v>
      </c>
      <c r="AS145" s="26">
        <f t="shared" si="181"/>
        <v>0.2</v>
      </c>
      <c r="AT145" s="26">
        <f t="shared" si="181"/>
        <v>0.2</v>
      </c>
      <c r="AU145" s="26">
        <f t="shared" si="181"/>
        <v>0.2</v>
      </c>
      <c r="AV145" s="26">
        <f t="shared" si="181"/>
        <v>0.2</v>
      </c>
      <c r="AW145" s="26">
        <f t="shared" si="181"/>
        <v>0.1</v>
      </c>
      <c r="AX145" s="26">
        <f t="shared" si="181"/>
        <v>0.05</v>
      </c>
      <c r="AY145" s="26">
        <f t="shared" si="181"/>
        <v>0.05</v>
      </c>
      <c r="AZ145" s="26">
        <f t="shared" si="181"/>
        <v>0.05</v>
      </c>
      <c r="BA145" s="26">
        <f t="shared" si="181"/>
        <v>0.05</v>
      </c>
      <c r="BB145" s="26">
        <f t="shared" si="181"/>
        <v>2.5000000000000001E-2</v>
      </c>
      <c r="BC145" s="26">
        <f t="shared" ref="BC145:BL154" si="182">SUMIFS($J$5:$J$76,$I$5:$I$76,BC$4,$H$5:$H$76,"&lt;="&amp;$W145)</f>
        <v>1.5</v>
      </c>
      <c r="BD145" s="26">
        <f t="shared" si="182"/>
        <v>1.5</v>
      </c>
      <c r="BE145" s="26">
        <f t="shared" si="182"/>
        <v>1.5</v>
      </c>
      <c r="BF145" s="26">
        <f t="shared" si="182"/>
        <v>1.5</v>
      </c>
      <c r="BG145" s="26">
        <f t="shared" si="182"/>
        <v>1.5</v>
      </c>
      <c r="BH145" s="26">
        <f t="shared" si="182"/>
        <v>0.05</v>
      </c>
      <c r="BI145" s="26">
        <f t="shared" si="182"/>
        <v>1</v>
      </c>
      <c r="BJ145" s="26">
        <f t="shared" si="182"/>
        <v>1</v>
      </c>
      <c r="BK145" s="26">
        <f t="shared" si="182"/>
        <v>1</v>
      </c>
      <c r="BL145" s="26">
        <f t="shared" si="182"/>
        <v>1</v>
      </c>
      <c r="BM145" s="26">
        <f t="shared" ref="BM145:BX154" si="183">SUMIFS($J$5:$J$76,$I$5:$I$76,BM$4,$H$5:$H$76,"&lt;="&amp;$W145)</f>
        <v>1</v>
      </c>
      <c r="BN145" s="26">
        <f t="shared" si="183"/>
        <v>0.2</v>
      </c>
      <c r="BO145" s="26">
        <f t="shared" si="183"/>
        <v>0.2</v>
      </c>
      <c r="BP145" s="26">
        <f t="shared" si="183"/>
        <v>0.2</v>
      </c>
      <c r="BQ145" s="26">
        <f t="shared" si="183"/>
        <v>0.2</v>
      </c>
      <c r="BR145" s="26">
        <f t="shared" si="183"/>
        <v>0.2</v>
      </c>
      <c r="BS145" s="26">
        <f t="shared" si="183"/>
        <v>0.1</v>
      </c>
      <c r="BT145" s="26">
        <f t="shared" si="183"/>
        <v>0.05</v>
      </c>
      <c r="BU145" s="26">
        <f t="shared" si="183"/>
        <v>0.05</v>
      </c>
      <c r="BV145" s="26">
        <f t="shared" si="183"/>
        <v>0.05</v>
      </c>
      <c r="BW145" s="26">
        <f t="shared" si="183"/>
        <v>0.05</v>
      </c>
      <c r="BX145" s="26">
        <f t="shared" si="183"/>
        <v>2.5000000000000001E-2</v>
      </c>
      <c r="BY145" s="26">
        <f t="shared" ref="BY145:CH154" si="184">SUMIFS($J$5:$J$76,$I$5:$I$76,BY$4,$H$5:$H$76,"&lt;="&amp;$Z145)</f>
        <v>1.5</v>
      </c>
      <c r="BZ145" s="26">
        <f t="shared" si="184"/>
        <v>1.5</v>
      </c>
      <c r="CA145" s="26">
        <f t="shared" si="184"/>
        <v>1.5</v>
      </c>
      <c r="CB145" s="26">
        <f t="shared" si="184"/>
        <v>1.5</v>
      </c>
      <c r="CC145" s="26">
        <f t="shared" si="184"/>
        <v>1.5</v>
      </c>
      <c r="CD145" s="26">
        <f t="shared" si="184"/>
        <v>0.05</v>
      </c>
      <c r="CE145" s="26">
        <f t="shared" si="184"/>
        <v>1</v>
      </c>
      <c r="CF145" s="26">
        <f t="shared" si="184"/>
        <v>1</v>
      </c>
      <c r="CG145" s="26">
        <f t="shared" si="184"/>
        <v>1</v>
      </c>
      <c r="CH145" s="26">
        <f t="shared" si="184"/>
        <v>1</v>
      </c>
      <c r="CI145" s="26">
        <f t="shared" ref="CI145:CT154" si="185">SUMIFS($J$5:$J$76,$I$5:$I$76,CI$4,$H$5:$H$76,"&lt;="&amp;$Z145)</f>
        <v>1</v>
      </c>
      <c r="CJ145" s="26">
        <f t="shared" si="185"/>
        <v>0.2</v>
      </c>
      <c r="CK145" s="26">
        <f t="shared" si="185"/>
        <v>0.2</v>
      </c>
      <c r="CL145" s="26">
        <f t="shared" si="185"/>
        <v>0.2</v>
      </c>
      <c r="CM145" s="26">
        <f t="shared" si="185"/>
        <v>0.2</v>
      </c>
      <c r="CN145" s="26">
        <f t="shared" si="185"/>
        <v>0.2</v>
      </c>
      <c r="CO145" s="26">
        <f t="shared" si="185"/>
        <v>0.1</v>
      </c>
      <c r="CP145" s="26">
        <f t="shared" si="185"/>
        <v>0.05</v>
      </c>
      <c r="CQ145" s="26">
        <f t="shared" si="185"/>
        <v>0.05</v>
      </c>
      <c r="CR145" s="26">
        <f t="shared" si="185"/>
        <v>0.05</v>
      </c>
      <c r="CS145" s="26">
        <f t="shared" si="185"/>
        <v>0.05</v>
      </c>
      <c r="CT145" s="26">
        <f t="shared" si="185"/>
        <v>2.5000000000000001E-2</v>
      </c>
      <c r="CU145" s="26">
        <f t="shared" ref="CU145:DD154" si="186">SUMIFS($J$5:$J$76,$I$5:$I$76,CU$4,$H$5:$H$76,"&lt;="&amp;$AC145)</f>
        <v>1.5</v>
      </c>
      <c r="CV145" s="26">
        <f t="shared" si="186"/>
        <v>1.5</v>
      </c>
      <c r="CW145" s="26">
        <f t="shared" si="186"/>
        <v>1.5</v>
      </c>
      <c r="CX145" s="26">
        <f t="shared" si="186"/>
        <v>1.5</v>
      </c>
      <c r="CY145" s="26">
        <f t="shared" si="186"/>
        <v>1.5</v>
      </c>
      <c r="CZ145" s="26">
        <f t="shared" si="186"/>
        <v>0.1</v>
      </c>
      <c r="DA145" s="26">
        <f t="shared" si="186"/>
        <v>1</v>
      </c>
      <c r="DB145" s="26">
        <f t="shared" si="186"/>
        <v>1</v>
      </c>
      <c r="DC145" s="26">
        <f t="shared" si="186"/>
        <v>1</v>
      </c>
      <c r="DD145" s="26">
        <f t="shared" si="186"/>
        <v>1</v>
      </c>
      <c r="DE145" s="26">
        <f t="shared" ref="DE145:DP154" si="187">SUMIFS($J$5:$J$76,$I$5:$I$76,DE$4,$H$5:$H$76,"&lt;="&amp;$AC145)</f>
        <v>1</v>
      </c>
      <c r="DF145" s="26">
        <f t="shared" si="187"/>
        <v>0.2</v>
      </c>
      <c r="DG145" s="26">
        <f t="shared" si="187"/>
        <v>0.2</v>
      </c>
      <c r="DH145" s="26">
        <f t="shared" si="187"/>
        <v>0.2</v>
      </c>
      <c r="DI145" s="26">
        <f t="shared" si="187"/>
        <v>0.2</v>
      </c>
      <c r="DJ145" s="26">
        <f t="shared" si="187"/>
        <v>0.2</v>
      </c>
      <c r="DK145" s="26">
        <f t="shared" si="187"/>
        <v>0.1</v>
      </c>
      <c r="DL145" s="26">
        <f t="shared" si="187"/>
        <v>0.1</v>
      </c>
      <c r="DM145" s="26">
        <f t="shared" si="187"/>
        <v>0.1</v>
      </c>
      <c r="DN145" s="26">
        <f t="shared" si="187"/>
        <v>0.05</v>
      </c>
      <c r="DO145" s="26">
        <f t="shared" si="187"/>
        <v>0.05</v>
      </c>
      <c r="DP145" s="26">
        <f t="shared" si="187"/>
        <v>0.05</v>
      </c>
      <c r="DQ145" s="26">
        <f t="shared" ref="DQ145:DZ154" si="188">SUMIFS($J$5:$J$76,$I$5:$I$76,DQ$4,$H$5:$H$76,"&lt;="&amp;$AF145)</f>
        <v>1.5</v>
      </c>
      <c r="DR145" s="26">
        <f t="shared" si="188"/>
        <v>1.5</v>
      </c>
      <c r="DS145" s="26">
        <f t="shared" si="188"/>
        <v>1.5</v>
      </c>
      <c r="DT145" s="26">
        <f t="shared" si="188"/>
        <v>1.5</v>
      </c>
      <c r="DU145" s="26">
        <f t="shared" si="188"/>
        <v>1.5</v>
      </c>
      <c r="DV145" s="26">
        <f t="shared" si="188"/>
        <v>0.1</v>
      </c>
      <c r="DW145" s="26">
        <f t="shared" si="188"/>
        <v>1</v>
      </c>
      <c r="DX145" s="26">
        <f t="shared" si="188"/>
        <v>1</v>
      </c>
      <c r="DY145" s="26">
        <f t="shared" si="188"/>
        <v>1</v>
      </c>
      <c r="DZ145" s="26">
        <f t="shared" si="188"/>
        <v>1</v>
      </c>
      <c r="EA145" s="26">
        <f t="shared" ref="EA145:EL154" si="189">SUMIFS($J$5:$J$76,$I$5:$I$76,EA$4,$H$5:$H$76,"&lt;="&amp;$AF145)</f>
        <v>1</v>
      </c>
      <c r="EB145" s="26">
        <f t="shared" si="189"/>
        <v>0.2</v>
      </c>
      <c r="EC145" s="26">
        <f t="shared" si="189"/>
        <v>0.2</v>
      </c>
      <c r="ED145" s="26">
        <f t="shared" si="189"/>
        <v>0.2</v>
      </c>
      <c r="EE145" s="26">
        <f t="shared" si="189"/>
        <v>0.2</v>
      </c>
      <c r="EF145" s="26">
        <f t="shared" si="189"/>
        <v>0.2</v>
      </c>
      <c r="EG145" s="26">
        <f t="shared" si="189"/>
        <v>0.1</v>
      </c>
      <c r="EH145" s="26">
        <f t="shared" si="189"/>
        <v>0.1</v>
      </c>
      <c r="EI145" s="26">
        <f t="shared" si="189"/>
        <v>0.1</v>
      </c>
      <c r="EJ145" s="26">
        <f t="shared" si="189"/>
        <v>0.05</v>
      </c>
      <c r="EK145" s="26">
        <f t="shared" si="189"/>
        <v>0.05</v>
      </c>
      <c r="EL145" s="26">
        <f t="shared" si="189"/>
        <v>0.05</v>
      </c>
      <c r="EM145" s="26">
        <f t="shared" si="165"/>
        <v>589257</v>
      </c>
      <c r="EN145" s="26">
        <f t="shared" si="166"/>
        <v>589257</v>
      </c>
      <c r="EO145" s="26">
        <f t="shared" si="167"/>
        <v>589257</v>
      </c>
      <c r="EP145" s="26">
        <f t="shared" si="168"/>
        <v>771411</v>
      </c>
      <c r="EQ145" s="26">
        <f t="shared" si="169"/>
        <v>771411</v>
      </c>
    </row>
    <row r="146" spans="17:147">
      <c r="Q146" s="26">
        <v>142</v>
      </c>
      <c r="R146" s="26">
        <f>总纲!D146</f>
        <v>18819.273848271412</v>
      </c>
      <c r="S146" s="26">
        <f>求节点(将星点产出!$W$6:$W$44,将星点产出!$AO$6:$AO$44,星阵点亮!$Q146)</f>
        <v>997350</v>
      </c>
      <c r="T146" s="26">
        <f t="shared" si="160"/>
        <v>59</v>
      </c>
      <c r="U146" s="26">
        <f>总纲!E146</f>
        <v>15904.16832917417</v>
      </c>
      <c r="V146" s="26">
        <f>求节点(将星点产出!$W$51:$W$89,将星点产出!$AO$51:$AO$89,星阵点亮!$Q146)</f>
        <v>997350</v>
      </c>
      <c r="W146" s="26">
        <f t="shared" si="161"/>
        <v>59</v>
      </c>
      <c r="X146" s="26">
        <f>总纲!F146</f>
        <v>12667.253227271489</v>
      </c>
      <c r="Y146" s="26">
        <f>求节点(将星点产出!$W$96:$W$134,将星点产出!$AO$96:$AO$134,星阵点亮!$Q146)</f>
        <v>997350</v>
      </c>
      <c r="Z146" s="26">
        <f t="shared" si="162"/>
        <v>59</v>
      </c>
      <c r="AA146" s="26">
        <f>总纲!G146</f>
        <v>9003.140609013044</v>
      </c>
      <c r="AB146" s="26">
        <f>求节点(将星点产出!$W$141:$W$179,将星点产出!$AO$141:$AO$179,星阵点亮!$Q146)</f>
        <v>1304550</v>
      </c>
      <c r="AC146" s="26">
        <f t="shared" si="163"/>
        <v>66</v>
      </c>
      <c r="AD146" s="26">
        <f>总纲!H146</f>
        <v>4823.3798873119622</v>
      </c>
      <c r="AE146" s="26">
        <f>求节点(将星点产出!$W$186:$W$224,将星点产出!$AO$186:$AO$224,星阵点亮!$Q146)</f>
        <v>1304550</v>
      </c>
      <c r="AF146" s="26">
        <f t="shared" si="164"/>
        <v>66</v>
      </c>
      <c r="AG146" s="26">
        <f t="shared" si="180"/>
        <v>1.5</v>
      </c>
      <c r="AH146" s="26">
        <f t="shared" si="180"/>
        <v>1.5</v>
      </c>
      <c r="AI146" s="26">
        <f t="shared" si="180"/>
        <v>1.5</v>
      </c>
      <c r="AJ146" s="26">
        <f t="shared" si="180"/>
        <v>1.5</v>
      </c>
      <c r="AK146" s="26">
        <f t="shared" si="180"/>
        <v>1.5</v>
      </c>
      <c r="AL146" s="26">
        <f t="shared" si="180"/>
        <v>0.05</v>
      </c>
      <c r="AM146" s="26">
        <f t="shared" si="180"/>
        <v>1</v>
      </c>
      <c r="AN146" s="26">
        <f t="shared" si="180"/>
        <v>1</v>
      </c>
      <c r="AO146" s="26">
        <f t="shared" si="180"/>
        <v>1</v>
      </c>
      <c r="AP146" s="26">
        <f t="shared" si="180"/>
        <v>1</v>
      </c>
      <c r="AQ146" s="26">
        <f t="shared" si="181"/>
        <v>1</v>
      </c>
      <c r="AR146" s="26">
        <f t="shared" si="181"/>
        <v>0.2</v>
      </c>
      <c r="AS146" s="26">
        <f t="shared" si="181"/>
        <v>0.2</v>
      </c>
      <c r="AT146" s="26">
        <f t="shared" si="181"/>
        <v>0.2</v>
      </c>
      <c r="AU146" s="26">
        <f t="shared" si="181"/>
        <v>0.2</v>
      </c>
      <c r="AV146" s="26">
        <f t="shared" si="181"/>
        <v>0.2</v>
      </c>
      <c r="AW146" s="26">
        <f t="shared" si="181"/>
        <v>0.1</v>
      </c>
      <c r="AX146" s="26">
        <f t="shared" si="181"/>
        <v>0.05</v>
      </c>
      <c r="AY146" s="26">
        <f t="shared" si="181"/>
        <v>0.05</v>
      </c>
      <c r="AZ146" s="26">
        <f t="shared" si="181"/>
        <v>0.05</v>
      </c>
      <c r="BA146" s="26">
        <f t="shared" si="181"/>
        <v>0.05</v>
      </c>
      <c r="BB146" s="26">
        <f t="shared" si="181"/>
        <v>2.5000000000000001E-2</v>
      </c>
      <c r="BC146" s="26">
        <f t="shared" si="182"/>
        <v>1.5</v>
      </c>
      <c r="BD146" s="26">
        <f t="shared" si="182"/>
        <v>1.5</v>
      </c>
      <c r="BE146" s="26">
        <f t="shared" si="182"/>
        <v>1.5</v>
      </c>
      <c r="BF146" s="26">
        <f t="shared" si="182"/>
        <v>1.5</v>
      </c>
      <c r="BG146" s="26">
        <f t="shared" si="182"/>
        <v>1.5</v>
      </c>
      <c r="BH146" s="26">
        <f t="shared" si="182"/>
        <v>0.05</v>
      </c>
      <c r="BI146" s="26">
        <f t="shared" si="182"/>
        <v>1</v>
      </c>
      <c r="BJ146" s="26">
        <f t="shared" si="182"/>
        <v>1</v>
      </c>
      <c r="BK146" s="26">
        <f t="shared" si="182"/>
        <v>1</v>
      </c>
      <c r="BL146" s="26">
        <f t="shared" si="182"/>
        <v>1</v>
      </c>
      <c r="BM146" s="26">
        <f t="shared" si="183"/>
        <v>1</v>
      </c>
      <c r="BN146" s="26">
        <f t="shared" si="183"/>
        <v>0.2</v>
      </c>
      <c r="BO146" s="26">
        <f t="shared" si="183"/>
        <v>0.2</v>
      </c>
      <c r="BP146" s="26">
        <f t="shared" si="183"/>
        <v>0.2</v>
      </c>
      <c r="BQ146" s="26">
        <f t="shared" si="183"/>
        <v>0.2</v>
      </c>
      <c r="BR146" s="26">
        <f t="shared" si="183"/>
        <v>0.2</v>
      </c>
      <c r="BS146" s="26">
        <f t="shared" si="183"/>
        <v>0.1</v>
      </c>
      <c r="BT146" s="26">
        <f t="shared" si="183"/>
        <v>0.05</v>
      </c>
      <c r="BU146" s="26">
        <f t="shared" si="183"/>
        <v>0.05</v>
      </c>
      <c r="BV146" s="26">
        <f t="shared" si="183"/>
        <v>0.05</v>
      </c>
      <c r="BW146" s="26">
        <f t="shared" si="183"/>
        <v>0.05</v>
      </c>
      <c r="BX146" s="26">
        <f t="shared" si="183"/>
        <v>2.5000000000000001E-2</v>
      </c>
      <c r="BY146" s="26">
        <f t="shared" si="184"/>
        <v>1.5</v>
      </c>
      <c r="BZ146" s="26">
        <f t="shared" si="184"/>
        <v>1.5</v>
      </c>
      <c r="CA146" s="26">
        <f t="shared" si="184"/>
        <v>1.5</v>
      </c>
      <c r="CB146" s="26">
        <f t="shared" si="184"/>
        <v>1.5</v>
      </c>
      <c r="CC146" s="26">
        <f t="shared" si="184"/>
        <v>1.5</v>
      </c>
      <c r="CD146" s="26">
        <f t="shared" si="184"/>
        <v>0.05</v>
      </c>
      <c r="CE146" s="26">
        <f t="shared" si="184"/>
        <v>1</v>
      </c>
      <c r="CF146" s="26">
        <f t="shared" si="184"/>
        <v>1</v>
      </c>
      <c r="CG146" s="26">
        <f t="shared" si="184"/>
        <v>1</v>
      </c>
      <c r="CH146" s="26">
        <f t="shared" si="184"/>
        <v>1</v>
      </c>
      <c r="CI146" s="26">
        <f t="shared" si="185"/>
        <v>1</v>
      </c>
      <c r="CJ146" s="26">
        <f t="shared" si="185"/>
        <v>0.2</v>
      </c>
      <c r="CK146" s="26">
        <f t="shared" si="185"/>
        <v>0.2</v>
      </c>
      <c r="CL146" s="26">
        <f t="shared" si="185"/>
        <v>0.2</v>
      </c>
      <c r="CM146" s="26">
        <f t="shared" si="185"/>
        <v>0.2</v>
      </c>
      <c r="CN146" s="26">
        <f t="shared" si="185"/>
        <v>0.2</v>
      </c>
      <c r="CO146" s="26">
        <f t="shared" si="185"/>
        <v>0.1</v>
      </c>
      <c r="CP146" s="26">
        <f t="shared" si="185"/>
        <v>0.05</v>
      </c>
      <c r="CQ146" s="26">
        <f t="shared" si="185"/>
        <v>0.05</v>
      </c>
      <c r="CR146" s="26">
        <f t="shared" si="185"/>
        <v>0.05</v>
      </c>
      <c r="CS146" s="26">
        <f t="shared" si="185"/>
        <v>0.05</v>
      </c>
      <c r="CT146" s="26">
        <f t="shared" si="185"/>
        <v>2.5000000000000001E-2</v>
      </c>
      <c r="CU146" s="26">
        <f t="shared" si="186"/>
        <v>1.5</v>
      </c>
      <c r="CV146" s="26">
        <f t="shared" si="186"/>
        <v>1.5</v>
      </c>
      <c r="CW146" s="26">
        <f t="shared" si="186"/>
        <v>1.5</v>
      </c>
      <c r="CX146" s="26">
        <f t="shared" si="186"/>
        <v>1.5</v>
      </c>
      <c r="CY146" s="26">
        <f t="shared" si="186"/>
        <v>1.5</v>
      </c>
      <c r="CZ146" s="26">
        <f t="shared" si="186"/>
        <v>0.1</v>
      </c>
      <c r="DA146" s="26">
        <f t="shared" si="186"/>
        <v>1</v>
      </c>
      <c r="DB146" s="26">
        <f t="shared" si="186"/>
        <v>1</v>
      </c>
      <c r="DC146" s="26">
        <f t="shared" si="186"/>
        <v>1</v>
      </c>
      <c r="DD146" s="26">
        <f t="shared" si="186"/>
        <v>1</v>
      </c>
      <c r="DE146" s="26">
        <f t="shared" si="187"/>
        <v>1</v>
      </c>
      <c r="DF146" s="26">
        <f t="shared" si="187"/>
        <v>0.2</v>
      </c>
      <c r="DG146" s="26">
        <f t="shared" si="187"/>
        <v>0.2</v>
      </c>
      <c r="DH146" s="26">
        <f t="shared" si="187"/>
        <v>0.2</v>
      </c>
      <c r="DI146" s="26">
        <f t="shared" si="187"/>
        <v>0.2</v>
      </c>
      <c r="DJ146" s="26">
        <f t="shared" si="187"/>
        <v>0.2</v>
      </c>
      <c r="DK146" s="26">
        <f t="shared" si="187"/>
        <v>0.1</v>
      </c>
      <c r="DL146" s="26">
        <f t="shared" si="187"/>
        <v>0.1</v>
      </c>
      <c r="DM146" s="26">
        <f t="shared" si="187"/>
        <v>0.1</v>
      </c>
      <c r="DN146" s="26">
        <f t="shared" si="187"/>
        <v>0.05</v>
      </c>
      <c r="DO146" s="26">
        <f t="shared" si="187"/>
        <v>0.05</v>
      </c>
      <c r="DP146" s="26">
        <f t="shared" si="187"/>
        <v>0.05</v>
      </c>
      <c r="DQ146" s="26">
        <f t="shared" si="188"/>
        <v>1.5</v>
      </c>
      <c r="DR146" s="26">
        <f t="shared" si="188"/>
        <v>1.5</v>
      </c>
      <c r="DS146" s="26">
        <f t="shared" si="188"/>
        <v>1.5</v>
      </c>
      <c r="DT146" s="26">
        <f t="shared" si="188"/>
        <v>1.5</v>
      </c>
      <c r="DU146" s="26">
        <f t="shared" si="188"/>
        <v>1.5</v>
      </c>
      <c r="DV146" s="26">
        <f t="shared" si="188"/>
        <v>0.1</v>
      </c>
      <c r="DW146" s="26">
        <f t="shared" si="188"/>
        <v>1</v>
      </c>
      <c r="DX146" s="26">
        <f t="shared" si="188"/>
        <v>1</v>
      </c>
      <c r="DY146" s="26">
        <f t="shared" si="188"/>
        <v>1</v>
      </c>
      <c r="DZ146" s="26">
        <f t="shared" si="188"/>
        <v>1</v>
      </c>
      <c r="EA146" s="26">
        <f t="shared" si="189"/>
        <v>1</v>
      </c>
      <c r="EB146" s="26">
        <f t="shared" si="189"/>
        <v>0.2</v>
      </c>
      <c r="EC146" s="26">
        <f t="shared" si="189"/>
        <v>0.2</v>
      </c>
      <c r="ED146" s="26">
        <f t="shared" si="189"/>
        <v>0.2</v>
      </c>
      <c r="EE146" s="26">
        <f t="shared" si="189"/>
        <v>0.2</v>
      </c>
      <c r="EF146" s="26">
        <f t="shared" si="189"/>
        <v>0.2</v>
      </c>
      <c r="EG146" s="26">
        <f t="shared" si="189"/>
        <v>0.1</v>
      </c>
      <c r="EH146" s="26">
        <f t="shared" si="189"/>
        <v>0.1</v>
      </c>
      <c r="EI146" s="26">
        <f t="shared" si="189"/>
        <v>0.1</v>
      </c>
      <c r="EJ146" s="26">
        <f t="shared" si="189"/>
        <v>0.05</v>
      </c>
      <c r="EK146" s="26">
        <f t="shared" si="189"/>
        <v>0.05</v>
      </c>
      <c r="EL146" s="26">
        <f t="shared" si="189"/>
        <v>0.05</v>
      </c>
      <c r="EM146" s="26">
        <f t="shared" si="165"/>
        <v>589257</v>
      </c>
      <c r="EN146" s="26">
        <f t="shared" si="166"/>
        <v>589257</v>
      </c>
      <c r="EO146" s="26">
        <f t="shared" si="167"/>
        <v>589257</v>
      </c>
      <c r="EP146" s="26">
        <f t="shared" si="168"/>
        <v>771411</v>
      </c>
      <c r="EQ146" s="26">
        <f t="shared" si="169"/>
        <v>771411</v>
      </c>
    </row>
    <row r="147" spans="17:147">
      <c r="Q147" s="26">
        <v>143</v>
      </c>
      <c r="R147" s="26">
        <f>总纲!D147</f>
        <v>20170.070068243116</v>
      </c>
      <c r="S147" s="26">
        <f>求节点(将星点产出!$W$6:$W$44,将星点产出!$AO$6:$AO$44,星阵点亮!$Q147)</f>
        <v>997350</v>
      </c>
      <c r="T147" s="26">
        <f t="shared" si="160"/>
        <v>59</v>
      </c>
      <c r="U147" s="26">
        <f>总纲!E147</f>
        <v>17065.896284740498</v>
      </c>
      <c r="V147" s="26">
        <f>求节点(将星点产出!$W$51:$W$89,将星点产出!$AO$51:$AO$89,星阵点亮!$Q147)</f>
        <v>997350</v>
      </c>
      <c r="W147" s="26">
        <f t="shared" si="161"/>
        <v>59</v>
      </c>
      <c r="X147" s="26">
        <f>总纲!F147</f>
        <v>13594.62722599586</v>
      </c>
      <c r="Y147" s="26">
        <f>求节点(将星点产出!$W$96:$W$134,将星点产出!$AO$96:$AO$134,星阵点亮!$Q147)</f>
        <v>997350</v>
      </c>
      <c r="Z147" s="26">
        <f t="shared" si="162"/>
        <v>59</v>
      </c>
      <c r="AA147" s="26">
        <f>总纲!G147</f>
        <v>9669.5315907157492</v>
      </c>
      <c r="AB147" s="26">
        <f>求节点(将星点产出!$W$141:$W$179,将星点产出!$AO$141:$AO$179,星阵点亮!$Q147)</f>
        <v>1304550</v>
      </c>
      <c r="AC147" s="26">
        <f t="shared" si="163"/>
        <v>66</v>
      </c>
      <c r="AD147" s="26">
        <f>总纲!H147</f>
        <v>5185.7250145453054</v>
      </c>
      <c r="AE147" s="26">
        <f>求节点(将星点产出!$W$186:$W$224,将星点产出!$AO$186:$AO$224,星阵点亮!$Q147)</f>
        <v>1304550</v>
      </c>
      <c r="AF147" s="26">
        <f t="shared" si="164"/>
        <v>66</v>
      </c>
      <c r="AG147" s="26">
        <f t="shared" si="180"/>
        <v>1.5</v>
      </c>
      <c r="AH147" s="26">
        <f t="shared" si="180"/>
        <v>1.5</v>
      </c>
      <c r="AI147" s="26">
        <f t="shared" si="180"/>
        <v>1.5</v>
      </c>
      <c r="AJ147" s="26">
        <f t="shared" si="180"/>
        <v>1.5</v>
      </c>
      <c r="AK147" s="26">
        <f t="shared" si="180"/>
        <v>1.5</v>
      </c>
      <c r="AL147" s="26">
        <f t="shared" si="180"/>
        <v>0.05</v>
      </c>
      <c r="AM147" s="26">
        <f t="shared" si="180"/>
        <v>1</v>
      </c>
      <c r="AN147" s="26">
        <f t="shared" si="180"/>
        <v>1</v>
      </c>
      <c r="AO147" s="26">
        <f t="shared" si="180"/>
        <v>1</v>
      </c>
      <c r="AP147" s="26">
        <f t="shared" si="180"/>
        <v>1</v>
      </c>
      <c r="AQ147" s="26">
        <f t="shared" si="181"/>
        <v>1</v>
      </c>
      <c r="AR147" s="26">
        <f t="shared" si="181"/>
        <v>0.2</v>
      </c>
      <c r="AS147" s="26">
        <f t="shared" si="181"/>
        <v>0.2</v>
      </c>
      <c r="AT147" s="26">
        <f t="shared" si="181"/>
        <v>0.2</v>
      </c>
      <c r="AU147" s="26">
        <f t="shared" si="181"/>
        <v>0.2</v>
      </c>
      <c r="AV147" s="26">
        <f t="shared" si="181"/>
        <v>0.2</v>
      </c>
      <c r="AW147" s="26">
        <f t="shared" si="181"/>
        <v>0.1</v>
      </c>
      <c r="AX147" s="26">
        <f t="shared" si="181"/>
        <v>0.05</v>
      </c>
      <c r="AY147" s="26">
        <f t="shared" si="181"/>
        <v>0.05</v>
      </c>
      <c r="AZ147" s="26">
        <f t="shared" si="181"/>
        <v>0.05</v>
      </c>
      <c r="BA147" s="26">
        <f t="shared" si="181"/>
        <v>0.05</v>
      </c>
      <c r="BB147" s="26">
        <f t="shared" si="181"/>
        <v>2.5000000000000001E-2</v>
      </c>
      <c r="BC147" s="26">
        <f t="shared" si="182"/>
        <v>1.5</v>
      </c>
      <c r="BD147" s="26">
        <f t="shared" si="182"/>
        <v>1.5</v>
      </c>
      <c r="BE147" s="26">
        <f t="shared" si="182"/>
        <v>1.5</v>
      </c>
      <c r="BF147" s="26">
        <f t="shared" si="182"/>
        <v>1.5</v>
      </c>
      <c r="BG147" s="26">
        <f t="shared" si="182"/>
        <v>1.5</v>
      </c>
      <c r="BH147" s="26">
        <f t="shared" si="182"/>
        <v>0.05</v>
      </c>
      <c r="BI147" s="26">
        <f t="shared" si="182"/>
        <v>1</v>
      </c>
      <c r="BJ147" s="26">
        <f t="shared" si="182"/>
        <v>1</v>
      </c>
      <c r="BK147" s="26">
        <f t="shared" si="182"/>
        <v>1</v>
      </c>
      <c r="BL147" s="26">
        <f t="shared" si="182"/>
        <v>1</v>
      </c>
      <c r="BM147" s="26">
        <f t="shared" si="183"/>
        <v>1</v>
      </c>
      <c r="BN147" s="26">
        <f t="shared" si="183"/>
        <v>0.2</v>
      </c>
      <c r="BO147" s="26">
        <f t="shared" si="183"/>
        <v>0.2</v>
      </c>
      <c r="BP147" s="26">
        <f t="shared" si="183"/>
        <v>0.2</v>
      </c>
      <c r="BQ147" s="26">
        <f t="shared" si="183"/>
        <v>0.2</v>
      </c>
      <c r="BR147" s="26">
        <f t="shared" si="183"/>
        <v>0.2</v>
      </c>
      <c r="BS147" s="26">
        <f t="shared" si="183"/>
        <v>0.1</v>
      </c>
      <c r="BT147" s="26">
        <f t="shared" si="183"/>
        <v>0.05</v>
      </c>
      <c r="BU147" s="26">
        <f t="shared" si="183"/>
        <v>0.05</v>
      </c>
      <c r="BV147" s="26">
        <f t="shared" si="183"/>
        <v>0.05</v>
      </c>
      <c r="BW147" s="26">
        <f t="shared" si="183"/>
        <v>0.05</v>
      </c>
      <c r="BX147" s="26">
        <f t="shared" si="183"/>
        <v>2.5000000000000001E-2</v>
      </c>
      <c r="BY147" s="26">
        <f t="shared" si="184"/>
        <v>1.5</v>
      </c>
      <c r="BZ147" s="26">
        <f t="shared" si="184"/>
        <v>1.5</v>
      </c>
      <c r="CA147" s="26">
        <f t="shared" si="184"/>
        <v>1.5</v>
      </c>
      <c r="CB147" s="26">
        <f t="shared" si="184"/>
        <v>1.5</v>
      </c>
      <c r="CC147" s="26">
        <f t="shared" si="184"/>
        <v>1.5</v>
      </c>
      <c r="CD147" s="26">
        <f t="shared" si="184"/>
        <v>0.05</v>
      </c>
      <c r="CE147" s="26">
        <f t="shared" si="184"/>
        <v>1</v>
      </c>
      <c r="CF147" s="26">
        <f t="shared" si="184"/>
        <v>1</v>
      </c>
      <c r="CG147" s="26">
        <f t="shared" si="184"/>
        <v>1</v>
      </c>
      <c r="CH147" s="26">
        <f t="shared" si="184"/>
        <v>1</v>
      </c>
      <c r="CI147" s="26">
        <f t="shared" si="185"/>
        <v>1</v>
      </c>
      <c r="CJ147" s="26">
        <f t="shared" si="185"/>
        <v>0.2</v>
      </c>
      <c r="CK147" s="26">
        <f t="shared" si="185"/>
        <v>0.2</v>
      </c>
      <c r="CL147" s="26">
        <f t="shared" si="185"/>
        <v>0.2</v>
      </c>
      <c r="CM147" s="26">
        <f t="shared" si="185"/>
        <v>0.2</v>
      </c>
      <c r="CN147" s="26">
        <f t="shared" si="185"/>
        <v>0.2</v>
      </c>
      <c r="CO147" s="26">
        <f t="shared" si="185"/>
        <v>0.1</v>
      </c>
      <c r="CP147" s="26">
        <f t="shared" si="185"/>
        <v>0.05</v>
      </c>
      <c r="CQ147" s="26">
        <f t="shared" si="185"/>
        <v>0.05</v>
      </c>
      <c r="CR147" s="26">
        <f t="shared" si="185"/>
        <v>0.05</v>
      </c>
      <c r="CS147" s="26">
        <f t="shared" si="185"/>
        <v>0.05</v>
      </c>
      <c r="CT147" s="26">
        <f t="shared" si="185"/>
        <v>2.5000000000000001E-2</v>
      </c>
      <c r="CU147" s="26">
        <f t="shared" si="186"/>
        <v>1.5</v>
      </c>
      <c r="CV147" s="26">
        <f t="shared" si="186"/>
        <v>1.5</v>
      </c>
      <c r="CW147" s="26">
        <f t="shared" si="186"/>
        <v>1.5</v>
      </c>
      <c r="CX147" s="26">
        <f t="shared" si="186"/>
        <v>1.5</v>
      </c>
      <c r="CY147" s="26">
        <f t="shared" si="186"/>
        <v>1.5</v>
      </c>
      <c r="CZ147" s="26">
        <f t="shared" si="186"/>
        <v>0.1</v>
      </c>
      <c r="DA147" s="26">
        <f t="shared" si="186"/>
        <v>1</v>
      </c>
      <c r="DB147" s="26">
        <f t="shared" si="186"/>
        <v>1</v>
      </c>
      <c r="DC147" s="26">
        <f t="shared" si="186"/>
        <v>1</v>
      </c>
      <c r="DD147" s="26">
        <f t="shared" si="186"/>
        <v>1</v>
      </c>
      <c r="DE147" s="26">
        <f t="shared" si="187"/>
        <v>1</v>
      </c>
      <c r="DF147" s="26">
        <f t="shared" si="187"/>
        <v>0.2</v>
      </c>
      <c r="DG147" s="26">
        <f t="shared" si="187"/>
        <v>0.2</v>
      </c>
      <c r="DH147" s="26">
        <f t="shared" si="187"/>
        <v>0.2</v>
      </c>
      <c r="DI147" s="26">
        <f t="shared" si="187"/>
        <v>0.2</v>
      </c>
      <c r="DJ147" s="26">
        <f t="shared" si="187"/>
        <v>0.2</v>
      </c>
      <c r="DK147" s="26">
        <f t="shared" si="187"/>
        <v>0.1</v>
      </c>
      <c r="DL147" s="26">
        <f t="shared" si="187"/>
        <v>0.1</v>
      </c>
      <c r="DM147" s="26">
        <f t="shared" si="187"/>
        <v>0.1</v>
      </c>
      <c r="DN147" s="26">
        <f t="shared" si="187"/>
        <v>0.05</v>
      </c>
      <c r="DO147" s="26">
        <f t="shared" si="187"/>
        <v>0.05</v>
      </c>
      <c r="DP147" s="26">
        <f t="shared" si="187"/>
        <v>0.05</v>
      </c>
      <c r="DQ147" s="26">
        <f t="shared" si="188"/>
        <v>1.5</v>
      </c>
      <c r="DR147" s="26">
        <f t="shared" si="188"/>
        <v>1.5</v>
      </c>
      <c r="DS147" s="26">
        <f t="shared" si="188"/>
        <v>1.5</v>
      </c>
      <c r="DT147" s="26">
        <f t="shared" si="188"/>
        <v>1.5</v>
      </c>
      <c r="DU147" s="26">
        <f t="shared" si="188"/>
        <v>1.5</v>
      </c>
      <c r="DV147" s="26">
        <f t="shared" si="188"/>
        <v>0.1</v>
      </c>
      <c r="DW147" s="26">
        <f t="shared" si="188"/>
        <v>1</v>
      </c>
      <c r="DX147" s="26">
        <f t="shared" si="188"/>
        <v>1</v>
      </c>
      <c r="DY147" s="26">
        <f t="shared" si="188"/>
        <v>1</v>
      </c>
      <c r="DZ147" s="26">
        <f t="shared" si="188"/>
        <v>1</v>
      </c>
      <c r="EA147" s="26">
        <f t="shared" si="189"/>
        <v>1</v>
      </c>
      <c r="EB147" s="26">
        <f t="shared" si="189"/>
        <v>0.2</v>
      </c>
      <c r="EC147" s="26">
        <f t="shared" si="189"/>
        <v>0.2</v>
      </c>
      <c r="ED147" s="26">
        <f t="shared" si="189"/>
        <v>0.2</v>
      </c>
      <c r="EE147" s="26">
        <f t="shared" si="189"/>
        <v>0.2</v>
      </c>
      <c r="EF147" s="26">
        <f t="shared" si="189"/>
        <v>0.2</v>
      </c>
      <c r="EG147" s="26">
        <f t="shared" si="189"/>
        <v>0.1</v>
      </c>
      <c r="EH147" s="26">
        <f t="shared" si="189"/>
        <v>0.1</v>
      </c>
      <c r="EI147" s="26">
        <f t="shared" si="189"/>
        <v>0.1</v>
      </c>
      <c r="EJ147" s="26">
        <f t="shared" si="189"/>
        <v>0.05</v>
      </c>
      <c r="EK147" s="26">
        <f t="shared" si="189"/>
        <v>0.05</v>
      </c>
      <c r="EL147" s="26">
        <f t="shared" si="189"/>
        <v>0.05</v>
      </c>
      <c r="EM147" s="26">
        <f t="shared" si="165"/>
        <v>589257</v>
      </c>
      <c r="EN147" s="26">
        <f t="shared" si="166"/>
        <v>589257</v>
      </c>
      <c r="EO147" s="26">
        <f t="shared" si="167"/>
        <v>589257</v>
      </c>
      <c r="EP147" s="26">
        <f t="shared" si="168"/>
        <v>771411</v>
      </c>
      <c r="EQ147" s="26">
        <f t="shared" si="169"/>
        <v>771411</v>
      </c>
    </row>
    <row r="148" spans="17:147">
      <c r="Q148" s="26">
        <v>144</v>
      </c>
      <c r="R148" s="26">
        <f>总纲!D148</f>
        <v>21617.817610103088</v>
      </c>
      <c r="S148" s="26">
        <f>求节点(将星点产出!$W$6:$W$44,将星点产出!$AO$6:$AO$44,星阵点亮!$Q148)</f>
        <v>997350</v>
      </c>
      <c r="T148" s="26">
        <f t="shared" si="160"/>
        <v>59</v>
      </c>
      <c r="U148" s="26">
        <f>总纲!E148</f>
        <v>18290.835479908223</v>
      </c>
      <c r="V148" s="26">
        <f>求节点(将星点产出!$W$51:$W$89,将星点产出!$AO$51:$AO$89,星阵点亮!$Q148)</f>
        <v>997350</v>
      </c>
      <c r="W148" s="26">
        <f t="shared" si="161"/>
        <v>59</v>
      </c>
      <c r="X148" s="26">
        <f>总纲!F148</f>
        <v>14585.541541536553</v>
      </c>
      <c r="Y148" s="26">
        <f>求节点(将星点产出!$W$96:$W$134,将星点产出!$AO$96:$AO$134,星阵点亮!$Q148)</f>
        <v>997350</v>
      </c>
      <c r="Z148" s="26">
        <f t="shared" si="162"/>
        <v>59</v>
      </c>
      <c r="AA148" s="26">
        <f>总纲!G148</f>
        <v>10380.876016371503</v>
      </c>
      <c r="AB148" s="26">
        <f>求节点(将星点产出!$W$141:$W$179,将星点产出!$AO$141:$AO$179,星阵点亮!$Q148)</f>
        <v>1304550</v>
      </c>
      <c r="AC148" s="26">
        <f t="shared" si="163"/>
        <v>66</v>
      </c>
      <c r="AD148" s="26">
        <f>总纲!H148</f>
        <v>5547.1319987524521</v>
      </c>
      <c r="AE148" s="26">
        <f>求节点(将星点产出!$W$186:$W$224,将星点产出!$AO$186:$AO$224,星阵点亮!$Q148)</f>
        <v>1304550</v>
      </c>
      <c r="AF148" s="26">
        <f t="shared" si="164"/>
        <v>66</v>
      </c>
      <c r="AG148" s="26">
        <f t="shared" si="180"/>
        <v>1.5</v>
      </c>
      <c r="AH148" s="26">
        <f t="shared" si="180"/>
        <v>1.5</v>
      </c>
      <c r="AI148" s="26">
        <f t="shared" si="180"/>
        <v>1.5</v>
      </c>
      <c r="AJ148" s="26">
        <f t="shared" si="180"/>
        <v>1.5</v>
      </c>
      <c r="AK148" s="26">
        <f t="shared" si="180"/>
        <v>1.5</v>
      </c>
      <c r="AL148" s="26">
        <f t="shared" si="180"/>
        <v>0.05</v>
      </c>
      <c r="AM148" s="26">
        <f t="shared" si="180"/>
        <v>1</v>
      </c>
      <c r="AN148" s="26">
        <f t="shared" si="180"/>
        <v>1</v>
      </c>
      <c r="AO148" s="26">
        <f t="shared" si="180"/>
        <v>1</v>
      </c>
      <c r="AP148" s="26">
        <f t="shared" si="180"/>
        <v>1</v>
      </c>
      <c r="AQ148" s="26">
        <f t="shared" si="181"/>
        <v>1</v>
      </c>
      <c r="AR148" s="26">
        <f t="shared" si="181"/>
        <v>0.2</v>
      </c>
      <c r="AS148" s="26">
        <f t="shared" si="181"/>
        <v>0.2</v>
      </c>
      <c r="AT148" s="26">
        <f t="shared" si="181"/>
        <v>0.2</v>
      </c>
      <c r="AU148" s="26">
        <f t="shared" si="181"/>
        <v>0.2</v>
      </c>
      <c r="AV148" s="26">
        <f t="shared" si="181"/>
        <v>0.2</v>
      </c>
      <c r="AW148" s="26">
        <f t="shared" si="181"/>
        <v>0.1</v>
      </c>
      <c r="AX148" s="26">
        <f t="shared" si="181"/>
        <v>0.05</v>
      </c>
      <c r="AY148" s="26">
        <f t="shared" si="181"/>
        <v>0.05</v>
      </c>
      <c r="AZ148" s="26">
        <f t="shared" si="181"/>
        <v>0.05</v>
      </c>
      <c r="BA148" s="26">
        <f t="shared" si="181"/>
        <v>0.05</v>
      </c>
      <c r="BB148" s="26">
        <f t="shared" si="181"/>
        <v>2.5000000000000001E-2</v>
      </c>
      <c r="BC148" s="26">
        <f t="shared" si="182"/>
        <v>1.5</v>
      </c>
      <c r="BD148" s="26">
        <f t="shared" si="182"/>
        <v>1.5</v>
      </c>
      <c r="BE148" s="26">
        <f t="shared" si="182"/>
        <v>1.5</v>
      </c>
      <c r="BF148" s="26">
        <f t="shared" si="182"/>
        <v>1.5</v>
      </c>
      <c r="BG148" s="26">
        <f t="shared" si="182"/>
        <v>1.5</v>
      </c>
      <c r="BH148" s="26">
        <f t="shared" si="182"/>
        <v>0.05</v>
      </c>
      <c r="BI148" s="26">
        <f t="shared" si="182"/>
        <v>1</v>
      </c>
      <c r="BJ148" s="26">
        <f t="shared" si="182"/>
        <v>1</v>
      </c>
      <c r="BK148" s="26">
        <f t="shared" si="182"/>
        <v>1</v>
      </c>
      <c r="BL148" s="26">
        <f t="shared" si="182"/>
        <v>1</v>
      </c>
      <c r="BM148" s="26">
        <f t="shared" si="183"/>
        <v>1</v>
      </c>
      <c r="BN148" s="26">
        <f t="shared" si="183"/>
        <v>0.2</v>
      </c>
      <c r="BO148" s="26">
        <f t="shared" si="183"/>
        <v>0.2</v>
      </c>
      <c r="BP148" s="26">
        <f t="shared" si="183"/>
        <v>0.2</v>
      </c>
      <c r="BQ148" s="26">
        <f t="shared" si="183"/>
        <v>0.2</v>
      </c>
      <c r="BR148" s="26">
        <f t="shared" si="183"/>
        <v>0.2</v>
      </c>
      <c r="BS148" s="26">
        <f t="shared" si="183"/>
        <v>0.1</v>
      </c>
      <c r="BT148" s="26">
        <f t="shared" si="183"/>
        <v>0.05</v>
      </c>
      <c r="BU148" s="26">
        <f t="shared" si="183"/>
        <v>0.05</v>
      </c>
      <c r="BV148" s="26">
        <f t="shared" si="183"/>
        <v>0.05</v>
      </c>
      <c r="BW148" s="26">
        <f t="shared" si="183"/>
        <v>0.05</v>
      </c>
      <c r="BX148" s="26">
        <f t="shared" si="183"/>
        <v>2.5000000000000001E-2</v>
      </c>
      <c r="BY148" s="26">
        <f t="shared" si="184"/>
        <v>1.5</v>
      </c>
      <c r="BZ148" s="26">
        <f t="shared" si="184"/>
        <v>1.5</v>
      </c>
      <c r="CA148" s="26">
        <f t="shared" si="184"/>
        <v>1.5</v>
      </c>
      <c r="CB148" s="26">
        <f t="shared" si="184"/>
        <v>1.5</v>
      </c>
      <c r="CC148" s="26">
        <f t="shared" si="184"/>
        <v>1.5</v>
      </c>
      <c r="CD148" s="26">
        <f t="shared" si="184"/>
        <v>0.05</v>
      </c>
      <c r="CE148" s="26">
        <f t="shared" si="184"/>
        <v>1</v>
      </c>
      <c r="CF148" s="26">
        <f t="shared" si="184"/>
        <v>1</v>
      </c>
      <c r="CG148" s="26">
        <f t="shared" si="184"/>
        <v>1</v>
      </c>
      <c r="CH148" s="26">
        <f t="shared" si="184"/>
        <v>1</v>
      </c>
      <c r="CI148" s="26">
        <f t="shared" si="185"/>
        <v>1</v>
      </c>
      <c r="CJ148" s="26">
        <f t="shared" si="185"/>
        <v>0.2</v>
      </c>
      <c r="CK148" s="26">
        <f t="shared" si="185"/>
        <v>0.2</v>
      </c>
      <c r="CL148" s="26">
        <f t="shared" si="185"/>
        <v>0.2</v>
      </c>
      <c r="CM148" s="26">
        <f t="shared" si="185"/>
        <v>0.2</v>
      </c>
      <c r="CN148" s="26">
        <f t="shared" si="185"/>
        <v>0.2</v>
      </c>
      <c r="CO148" s="26">
        <f t="shared" si="185"/>
        <v>0.1</v>
      </c>
      <c r="CP148" s="26">
        <f t="shared" si="185"/>
        <v>0.05</v>
      </c>
      <c r="CQ148" s="26">
        <f t="shared" si="185"/>
        <v>0.05</v>
      </c>
      <c r="CR148" s="26">
        <f t="shared" si="185"/>
        <v>0.05</v>
      </c>
      <c r="CS148" s="26">
        <f t="shared" si="185"/>
        <v>0.05</v>
      </c>
      <c r="CT148" s="26">
        <f t="shared" si="185"/>
        <v>2.5000000000000001E-2</v>
      </c>
      <c r="CU148" s="26">
        <f t="shared" si="186"/>
        <v>1.5</v>
      </c>
      <c r="CV148" s="26">
        <f t="shared" si="186"/>
        <v>1.5</v>
      </c>
      <c r="CW148" s="26">
        <f t="shared" si="186"/>
        <v>1.5</v>
      </c>
      <c r="CX148" s="26">
        <f t="shared" si="186"/>
        <v>1.5</v>
      </c>
      <c r="CY148" s="26">
        <f t="shared" si="186"/>
        <v>1.5</v>
      </c>
      <c r="CZ148" s="26">
        <f t="shared" si="186"/>
        <v>0.1</v>
      </c>
      <c r="DA148" s="26">
        <f t="shared" si="186"/>
        <v>1</v>
      </c>
      <c r="DB148" s="26">
        <f t="shared" si="186"/>
        <v>1</v>
      </c>
      <c r="DC148" s="26">
        <f t="shared" si="186"/>
        <v>1</v>
      </c>
      <c r="DD148" s="26">
        <f t="shared" si="186"/>
        <v>1</v>
      </c>
      <c r="DE148" s="26">
        <f t="shared" si="187"/>
        <v>1</v>
      </c>
      <c r="DF148" s="26">
        <f t="shared" si="187"/>
        <v>0.2</v>
      </c>
      <c r="DG148" s="26">
        <f t="shared" si="187"/>
        <v>0.2</v>
      </c>
      <c r="DH148" s="26">
        <f t="shared" si="187"/>
        <v>0.2</v>
      </c>
      <c r="DI148" s="26">
        <f t="shared" si="187"/>
        <v>0.2</v>
      </c>
      <c r="DJ148" s="26">
        <f t="shared" si="187"/>
        <v>0.2</v>
      </c>
      <c r="DK148" s="26">
        <f t="shared" si="187"/>
        <v>0.1</v>
      </c>
      <c r="DL148" s="26">
        <f t="shared" si="187"/>
        <v>0.1</v>
      </c>
      <c r="DM148" s="26">
        <f t="shared" si="187"/>
        <v>0.1</v>
      </c>
      <c r="DN148" s="26">
        <f t="shared" si="187"/>
        <v>0.05</v>
      </c>
      <c r="DO148" s="26">
        <f t="shared" si="187"/>
        <v>0.05</v>
      </c>
      <c r="DP148" s="26">
        <f t="shared" si="187"/>
        <v>0.05</v>
      </c>
      <c r="DQ148" s="26">
        <f t="shared" si="188"/>
        <v>1.5</v>
      </c>
      <c r="DR148" s="26">
        <f t="shared" si="188"/>
        <v>1.5</v>
      </c>
      <c r="DS148" s="26">
        <f t="shared" si="188"/>
        <v>1.5</v>
      </c>
      <c r="DT148" s="26">
        <f t="shared" si="188"/>
        <v>1.5</v>
      </c>
      <c r="DU148" s="26">
        <f t="shared" si="188"/>
        <v>1.5</v>
      </c>
      <c r="DV148" s="26">
        <f t="shared" si="188"/>
        <v>0.1</v>
      </c>
      <c r="DW148" s="26">
        <f t="shared" si="188"/>
        <v>1</v>
      </c>
      <c r="DX148" s="26">
        <f t="shared" si="188"/>
        <v>1</v>
      </c>
      <c r="DY148" s="26">
        <f t="shared" si="188"/>
        <v>1</v>
      </c>
      <c r="DZ148" s="26">
        <f t="shared" si="188"/>
        <v>1</v>
      </c>
      <c r="EA148" s="26">
        <f t="shared" si="189"/>
        <v>1</v>
      </c>
      <c r="EB148" s="26">
        <f t="shared" si="189"/>
        <v>0.2</v>
      </c>
      <c r="EC148" s="26">
        <f t="shared" si="189"/>
        <v>0.2</v>
      </c>
      <c r="ED148" s="26">
        <f t="shared" si="189"/>
        <v>0.2</v>
      </c>
      <c r="EE148" s="26">
        <f t="shared" si="189"/>
        <v>0.2</v>
      </c>
      <c r="EF148" s="26">
        <f t="shared" si="189"/>
        <v>0.2</v>
      </c>
      <c r="EG148" s="26">
        <f t="shared" si="189"/>
        <v>0.1</v>
      </c>
      <c r="EH148" s="26">
        <f t="shared" si="189"/>
        <v>0.1</v>
      </c>
      <c r="EI148" s="26">
        <f t="shared" si="189"/>
        <v>0.1</v>
      </c>
      <c r="EJ148" s="26">
        <f t="shared" si="189"/>
        <v>0.05</v>
      </c>
      <c r="EK148" s="26">
        <f t="shared" si="189"/>
        <v>0.05</v>
      </c>
      <c r="EL148" s="26">
        <f t="shared" si="189"/>
        <v>0.05</v>
      </c>
      <c r="EM148" s="26">
        <f t="shared" si="165"/>
        <v>589257</v>
      </c>
      <c r="EN148" s="26">
        <f t="shared" si="166"/>
        <v>589257</v>
      </c>
      <c r="EO148" s="26">
        <f t="shared" si="167"/>
        <v>589257</v>
      </c>
      <c r="EP148" s="26">
        <f t="shared" si="168"/>
        <v>771411</v>
      </c>
      <c r="EQ148" s="26">
        <f t="shared" si="169"/>
        <v>771411</v>
      </c>
    </row>
    <row r="149" spans="17:147">
      <c r="Q149" s="26">
        <v>145</v>
      </c>
      <c r="R149" s="26">
        <f>总纲!D149</f>
        <v>23169.475005920798</v>
      </c>
      <c r="S149" s="26">
        <f>求节点(将星点产出!$W$6:$W$44,将星点产出!$AO$6:$AO$44,星阵点亮!$Q149)</f>
        <v>997350</v>
      </c>
      <c r="T149" s="26">
        <f t="shared" si="160"/>
        <v>59</v>
      </c>
      <c r="U149" s="26">
        <f>总纲!E149</f>
        <v>19631.496172516694</v>
      </c>
      <c r="V149" s="26">
        <f>求节点(将星点产出!$W$51:$W$89,将星点产出!$AO$51:$AO$89,星阵点亮!$Q149)</f>
        <v>997350</v>
      </c>
      <c r="W149" s="26">
        <f t="shared" si="161"/>
        <v>59</v>
      </c>
      <c r="X149" s="26">
        <f>总纲!F149</f>
        <v>15650.9803664995</v>
      </c>
      <c r="Y149" s="26">
        <f>求节点(将星点产出!$W$96:$W$134,将星点产出!$AO$96:$AO$134,星阵点亮!$Q149)</f>
        <v>997350</v>
      </c>
      <c r="Z149" s="26">
        <f t="shared" si="162"/>
        <v>59</v>
      </c>
      <c r="AA149" s="26">
        <f>总纲!G149</f>
        <v>11105.129370337838</v>
      </c>
      <c r="AB149" s="26">
        <f>求节点(将星点产出!$W$141:$W$179,将星点产出!$AO$141:$AO$179,星阵点亮!$Q149)</f>
        <v>1304550</v>
      </c>
      <c r="AC149" s="26">
        <f t="shared" si="163"/>
        <v>66</v>
      </c>
      <c r="AD149" s="26">
        <f>总纲!H149</f>
        <v>5926.7517065145412</v>
      </c>
      <c r="AE149" s="26">
        <f>求节点(将星点产出!$W$186:$W$224,将星点产出!$AO$186:$AO$224,星阵点亮!$Q149)</f>
        <v>1304550</v>
      </c>
      <c r="AF149" s="26">
        <f t="shared" si="164"/>
        <v>66</v>
      </c>
      <c r="AG149" s="26">
        <f t="shared" si="180"/>
        <v>1.5</v>
      </c>
      <c r="AH149" s="26">
        <f t="shared" si="180"/>
        <v>1.5</v>
      </c>
      <c r="AI149" s="26">
        <f t="shared" si="180"/>
        <v>1.5</v>
      </c>
      <c r="AJ149" s="26">
        <f t="shared" si="180"/>
        <v>1.5</v>
      </c>
      <c r="AK149" s="26">
        <f t="shared" si="180"/>
        <v>1.5</v>
      </c>
      <c r="AL149" s="26">
        <f t="shared" si="180"/>
        <v>0.05</v>
      </c>
      <c r="AM149" s="26">
        <f t="shared" si="180"/>
        <v>1</v>
      </c>
      <c r="AN149" s="26">
        <f t="shared" si="180"/>
        <v>1</v>
      </c>
      <c r="AO149" s="26">
        <f t="shared" si="180"/>
        <v>1</v>
      </c>
      <c r="AP149" s="26">
        <f t="shared" si="180"/>
        <v>1</v>
      </c>
      <c r="AQ149" s="26">
        <f t="shared" si="181"/>
        <v>1</v>
      </c>
      <c r="AR149" s="26">
        <f t="shared" si="181"/>
        <v>0.2</v>
      </c>
      <c r="AS149" s="26">
        <f t="shared" si="181"/>
        <v>0.2</v>
      </c>
      <c r="AT149" s="26">
        <f t="shared" si="181"/>
        <v>0.2</v>
      </c>
      <c r="AU149" s="26">
        <f t="shared" si="181"/>
        <v>0.2</v>
      </c>
      <c r="AV149" s="26">
        <f t="shared" si="181"/>
        <v>0.2</v>
      </c>
      <c r="AW149" s="26">
        <f t="shared" si="181"/>
        <v>0.1</v>
      </c>
      <c r="AX149" s="26">
        <f t="shared" si="181"/>
        <v>0.05</v>
      </c>
      <c r="AY149" s="26">
        <f t="shared" si="181"/>
        <v>0.05</v>
      </c>
      <c r="AZ149" s="26">
        <f t="shared" si="181"/>
        <v>0.05</v>
      </c>
      <c r="BA149" s="26">
        <f t="shared" si="181"/>
        <v>0.05</v>
      </c>
      <c r="BB149" s="26">
        <f t="shared" si="181"/>
        <v>2.5000000000000001E-2</v>
      </c>
      <c r="BC149" s="26">
        <f t="shared" si="182"/>
        <v>1.5</v>
      </c>
      <c r="BD149" s="26">
        <f t="shared" si="182"/>
        <v>1.5</v>
      </c>
      <c r="BE149" s="26">
        <f t="shared" si="182"/>
        <v>1.5</v>
      </c>
      <c r="BF149" s="26">
        <f t="shared" si="182"/>
        <v>1.5</v>
      </c>
      <c r="BG149" s="26">
        <f t="shared" si="182"/>
        <v>1.5</v>
      </c>
      <c r="BH149" s="26">
        <f t="shared" si="182"/>
        <v>0.05</v>
      </c>
      <c r="BI149" s="26">
        <f t="shared" si="182"/>
        <v>1</v>
      </c>
      <c r="BJ149" s="26">
        <f t="shared" si="182"/>
        <v>1</v>
      </c>
      <c r="BK149" s="26">
        <f t="shared" si="182"/>
        <v>1</v>
      </c>
      <c r="BL149" s="26">
        <f t="shared" si="182"/>
        <v>1</v>
      </c>
      <c r="BM149" s="26">
        <f t="shared" si="183"/>
        <v>1</v>
      </c>
      <c r="BN149" s="26">
        <f t="shared" si="183"/>
        <v>0.2</v>
      </c>
      <c r="BO149" s="26">
        <f t="shared" si="183"/>
        <v>0.2</v>
      </c>
      <c r="BP149" s="26">
        <f t="shared" si="183"/>
        <v>0.2</v>
      </c>
      <c r="BQ149" s="26">
        <f t="shared" si="183"/>
        <v>0.2</v>
      </c>
      <c r="BR149" s="26">
        <f t="shared" si="183"/>
        <v>0.2</v>
      </c>
      <c r="BS149" s="26">
        <f t="shared" si="183"/>
        <v>0.1</v>
      </c>
      <c r="BT149" s="26">
        <f t="shared" si="183"/>
        <v>0.05</v>
      </c>
      <c r="BU149" s="26">
        <f t="shared" si="183"/>
        <v>0.05</v>
      </c>
      <c r="BV149" s="26">
        <f t="shared" si="183"/>
        <v>0.05</v>
      </c>
      <c r="BW149" s="26">
        <f t="shared" si="183"/>
        <v>0.05</v>
      </c>
      <c r="BX149" s="26">
        <f t="shared" si="183"/>
        <v>2.5000000000000001E-2</v>
      </c>
      <c r="BY149" s="26">
        <f t="shared" si="184"/>
        <v>1.5</v>
      </c>
      <c r="BZ149" s="26">
        <f t="shared" si="184"/>
        <v>1.5</v>
      </c>
      <c r="CA149" s="26">
        <f t="shared" si="184"/>
        <v>1.5</v>
      </c>
      <c r="CB149" s="26">
        <f t="shared" si="184"/>
        <v>1.5</v>
      </c>
      <c r="CC149" s="26">
        <f t="shared" si="184"/>
        <v>1.5</v>
      </c>
      <c r="CD149" s="26">
        <f t="shared" si="184"/>
        <v>0.05</v>
      </c>
      <c r="CE149" s="26">
        <f t="shared" si="184"/>
        <v>1</v>
      </c>
      <c r="CF149" s="26">
        <f t="shared" si="184"/>
        <v>1</v>
      </c>
      <c r="CG149" s="26">
        <f t="shared" si="184"/>
        <v>1</v>
      </c>
      <c r="CH149" s="26">
        <f t="shared" si="184"/>
        <v>1</v>
      </c>
      <c r="CI149" s="26">
        <f t="shared" si="185"/>
        <v>1</v>
      </c>
      <c r="CJ149" s="26">
        <f t="shared" si="185"/>
        <v>0.2</v>
      </c>
      <c r="CK149" s="26">
        <f t="shared" si="185"/>
        <v>0.2</v>
      </c>
      <c r="CL149" s="26">
        <f t="shared" si="185"/>
        <v>0.2</v>
      </c>
      <c r="CM149" s="26">
        <f t="shared" si="185"/>
        <v>0.2</v>
      </c>
      <c r="CN149" s="26">
        <f t="shared" si="185"/>
        <v>0.2</v>
      </c>
      <c r="CO149" s="26">
        <f t="shared" si="185"/>
        <v>0.1</v>
      </c>
      <c r="CP149" s="26">
        <f t="shared" si="185"/>
        <v>0.05</v>
      </c>
      <c r="CQ149" s="26">
        <f t="shared" si="185"/>
        <v>0.05</v>
      </c>
      <c r="CR149" s="26">
        <f t="shared" si="185"/>
        <v>0.05</v>
      </c>
      <c r="CS149" s="26">
        <f t="shared" si="185"/>
        <v>0.05</v>
      </c>
      <c r="CT149" s="26">
        <f t="shared" si="185"/>
        <v>2.5000000000000001E-2</v>
      </c>
      <c r="CU149" s="26">
        <f t="shared" si="186"/>
        <v>1.5</v>
      </c>
      <c r="CV149" s="26">
        <f t="shared" si="186"/>
        <v>1.5</v>
      </c>
      <c r="CW149" s="26">
        <f t="shared" si="186"/>
        <v>1.5</v>
      </c>
      <c r="CX149" s="26">
        <f t="shared" si="186"/>
        <v>1.5</v>
      </c>
      <c r="CY149" s="26">
        <f t="shared" si="186"/>
        <v>1.5</v>
      </c>
      <c r="CZ149" s="26">
        <f t="shared" si="186"/>
        <v>0.1</v>
      </c>
      <c r="DA149" s="26">
        <f t="shared" si="186"/>
        <v>1</v>
      </c>
      <c r="DB149" s="26">
        <f t="shared" si="186"/>
        <v>1</v>
      </c>
      <c r="DC149" s="26">
        <f t="shared" si="186"/>
        <v>1</v>
      </c>
      <c r="DD149" s="26">
        <f t="shared" si="186"/>
        <v>1</v>
      </c>
      <c r="DE149" s="26">
        <f t="shared" si="187"/>
        <v>1</v>
      </c>
      <c r="DF149" s="26">
        <f t="shared" si="187"/>
        <v>0.2</v>
      </c>
      <c r="DG149" s="26">
        <f t="shared" si="187"/>
        <v>0.2</v>
      </c>
      <c r="DH149" s="26">
        <f t="shared" si="187"/>
        <v>0.2</v>
      </c>
      <c r="DI149" s="26">
        <f t="shared" si="187"/>
        <v>0.2</v>
      </c>
      <c r="DJ149" s="26">
        <f t="shared" si="187"/>
        <v>0.2</v>
      </c>
      <c r="DK149" s="26">
        <f t="shared" si="187"/>
        <v>0.1</v>
      </c>
      <c r="DL149" s="26">
        <f t="shared" si="187"/>
        <v>0.1</v>
      </c>
      <c r="DM149" s="26">
        <f t="shared" si="187"/>
        <v>0.1</v>
      </c>
      <c r="DN149" s="26">
        <f t="shared" si="187"/>
        <v>0.05</v>
      </c>
      <c r="DO149" s="26">
        <f t="shared" si="187"/>
        <v>0.05</v>
      </c>
      <c r="DP149" s="26">
        <f t="shared" si="187"/>
        <v>0.05</v>
      </c>
      <c r="DQ149" s="26">
        <f t="shared" si="188"/>
        <v>1.5</v>
      </c>
      <c r="DR149" s="26">
        <f t="shared" si="188"/>
        <v>1.5</v>
      </c>
      <c r="DS149" s="26">
        <f t="shared" si="188"/>
        <v>1.5</v>
      </c>
      <c r="DT149" s="26">
        <f t="shared" si="188"/>
        <v>1.5</v>
      </c>
      <c r="DU149" s="26">
        <f t="shared" si="188"/>
        <v>1.5</v>
      </c>
      <c r="DV149" s="26">
        <f t="shared" si="188"/>
        <v>0.1</v>
      </c>
      <c r="DW149" s="26">
        <f t="shared" si="188"/>
        <v>1</v>
      </c>
      <c r="DX149" s="26">
        <f t="shared" si="188"/>
        <v>1</v>
      </c>
      <c r="DY149" s="26">
        <f t="shared" si="188"/>
        <v>1</v>
      </c>
      <c r="DZ149" s="26">
        <f t="shared" si="188"/>
        <v>1</v>
      </c>
      <c r="EA149" s="26">
        <f t="shared" si="189"/>
        <v>1</v>
      </c>
      <c r="EB149" s="26">
        <f t="shared" si="189"/>
        <v>0.2</v>
      </c>
      <c r="EC149" s="26">
        <f t="shared" si="189"/>
        <v>0.2</v>
      </c>
      <c r="ED149" s="26">
        <f t="shared" si="189"/>
        <v>0.2</v>
      </c>
      <c r="EE149" s="26">
        <f t="shared" si="189"/>
        <v>0.2</v>
      </c>
      <c r="EF149" s="26">
        <f t="shared" si="189"/>
        <v>0.2</v>
      </c>
      <c r="EG149" s="26">
        <f t="shared" si="189"/>
        <v>0.1</v>
      </c>
      <c r="EH149" s="26">
        <f t="shared" si="189"/>
        <v>0.1</v>
      </c>
      <c r="EI149" s="26">
        <f t="shared" si="189"/>
        <v>0.1</v>
      </c>
      <c r="EJ149" s="26">
        <f t="shared" si="189"/>
        <v>0.05</v>
      </c>
      <c r="EK149" s="26">
        <f t="shared" si="189"/>
        <v>0.05</v>
      </c>
      <c r="EL149" s="26">
        <f t="shared" si="189"/>
        <v>0.05</v>
      </c>
      <c r="EM149" s="26">
        <f t="shared" si="165"/>
        <v>589257</v>
      </c>
      <c r="EN149" s="26">
        <f t="shared" si="166"/>
        <v>589257</v>
      </c>
      <c r="EO149" s="26">
        <f t="shared" si="167"/>
        <v>589257</v>
      </c>
      <c r="EP149" s="26">
        <f t="shared" si="168"/>
        <v>771411</v>
      </c>
      <c r="EQ149" s="26">
        <f t="shared" si="169"/>
        <v>771411</v>
      </c>
    </row>
    <row r="150" spans="17:147">
      <c r="Q150" s="26">
        <v>146</v>
      </c>
      <c r="R150" s="26">
        <f>总纲!D150</f>
        <v>24832.50022570635</v>
      </c>
      <c r="S150" s="26">
        <f>求节点(将星点产出!$W$6:$W$44,将星点产出!$AO$6:$AO$44,星阵点亮!$Q150)</f>
        <v>997350</v>
      </c>
      <c r="T150" s="26">
        <f t="shared" si="160"/>
        <v>59</v>
      </c>
      <c r="U150" s="26">
        <f>总纲!E150</f>
        <v>21035.61094119585</v>
      </c>
      <c r="V150" s="26">
        <f>求节点(将星点产出!$W$51:$W$89,将星点产出!$AO$51:$AO$89,星阵点亮!$Q150)</f>
        <v>997350</v>
      </c>
      <c r="W150" s="26">
        <f t="shared" si="161"/>
        <v>59</v>
      </c>
      <c r="X150" s="26">
        <f>总纲!F150</f>
        <v>16719.722401968087</v>
      </c>
      <c r="Y150" s="26">
        <f>求节点(将星点产出!$W$96:$W$134,将星点产出!$AO$96:$AO$134,星阵点亮!$Q150)</f>
        <v>997350</v>
      </c>
      <c r="Z150" s="26">
        <f t="shared" si="162"/>
        <v>59</v>
      </c>
      <c r="AA150" s="26">
        <f>总纲!G150</f>
        <v>11847.5858576845</v>
      </c>
      <c r="AB150" s="26">
        <f>求节点(将星点产出!$W$141:$W$179,将星点产出!$AO$141:$AO$179,星阵点亮!$Q150)</f>
        <v>1304550</v>
      </c>
      <c r="AC150" s="26">
        <f t="shared" si="163"/>
        <v>66</v>
      </c>
      <c r="AD150" s="26">
        <f>总纲!H150</f>
        <v>6324.8378074874072</v>
      </c>
      <c r="AE150" s="26">
        <f>求节点(将星点产出!$W$186:$W$224,将星点产出!$AO$186:$AO$224,星阵点亮!$Q150)</f>
        <v>1304550</v>
      </c>
      <c r="AF150" s="26">
        <f t="shared" si="164"/>
        <v>66</v>
      </c>
      <c r="AG150" s="26">
        <f t="shared" si="180"/>
        <v>1.5</v>
      </c>
      <c r="AH150" s="26">
        <f t="shared" si="180"/>
        <v>1.5</v>
      </c>
      <c r="AI150" s="26">
        <f t="shared" si="180"/>
        <v>1.5</v>
      </c>
      <c r="AJ150" s="26">
        <f t="shared" si="180"/>
        <v>1.5</v>
      </c>
      <c r="AK150" s="26">
        <f t="shared" si="180"/>
        <v>1.5</v>
      </c>
      <c r="AL150" s="26">
        <f t="shared" si="180"/>
        <v>0.05</v>
      </c>
      <c r="AM150" s="26">
        <f t="shared" si="180"/>
        <v>1</v>
      </c>
      <c r="AN150" s="26">
        <f t="shared" si="180"/>
        <v>1</v>
      </c>
      <c r="AO150" s="26">
        <f t="shared" si="180"/>
        <v>1</v>
      </c>
      <c r="AP150" s="26">
        <f t="shared" si="180"/>
        <v>1</v>
      </c>
      <c r="AQ150" s="26">
        <f t="shared" si="181"/>
        <v>1</v>
      </c>
      <c r="AR150" s="26">
        <f t="shared" si="181"/>
        <v>0.2</v>
      </c>
      <c r="AS150" s="26">
        <f t="shared" si="181"/>
        <v>0.2</v>
      </c>
      <c r="AT150" s="26">
        <f t="shared" si="181"/>
        <v>0.2</v>
      </c>
      <c r="AU150" s="26">
        <f t="shared" si="181"/>
        <v>0.2</v>
      </c>
      <c r="AV150" s="26">
        <f t="shared" si="181"/>
        <v>0.2</v>
      </c>
      <c r="AW150" s="26">
        <f t="shared" si="181"/>
        <v>0.1</v>
      </c>
      <c r="AX150" s="26">
        <f t="shared" si="181"/>
        <v>0.05</v>
      </c>
      <c r="AY150" s="26">
        <f t="shared" si="181"/>
        <v>0.05</v>
      </c>
      <c r="AZ150" s="26">
        <f t="shared" si="181"/>
        <v>0.05</v>
      </c>
      <c r="BA150" s="26">
        <f t="shared" si="181"/>
        <v>0.05</v>
      </c>
      <c r="BB150" s="26">
        <f t="shared" si="181"/>
        <v>2.5000000000000001E-2</v>
      </c>
      <c r="BC150" s="26">
        <f t="shared" si="182"/>
        <v>1.5</v>
      </c>
      <c r="BD150" s="26">
        <f t="shared" si="182"/>
        <v>1.5</v>
      </c>
      <c r="BE150" s="26">
        <f t="shared" si="182"/>
        <v>1.5</v>
      </c>
      <c r="BF150" s="26">
        <f t="shared" si="182"/>
        <v>1.5</v>
      </c>
      <c r="BG150" s="26">
        <f t="shared" si="182"/>
        <v>1.5</v>
      </c>
      <c r="BH150" s="26">
        <f t="shared" si="182"/>
        <v>0.05</v>
      </c>
      <c r="BI150" s="26">
        <f t="shared" si="182"/>
        <v>1</v>
      </c>
      <c r="BJ150" s="26">
        <f t="shared" si="182"/>
        <v>1</v>
      </c>
      <c r="BK150" s="26">
        <f t="shared" si="182"/>
        <v>1</v>
      </c>
      <c r="BL150" s="26">
        <f t="shared" si="182"/>
        <v>1</v>
      </c>
      <c r="BM150" s="26">
        <f t="shared" si="183"/>
        <v>1</v>
      </c>
      <c r="BN150" s="26">
        <f t="shared" si="183"/>
        <v>0.2</v>
      </c>
      <c r="BO150" s="26">
        <f t="shared" si="183"/>
        <v>0.2</v>
      </c>
      <c r="BP150" s="26">
        <f t="shared" si="183"/>
        <v>0.2</v>
      </c>
      <c r="BQ150" s="26">
        <f t="shared" si="183"/>
        <v>0.2</v>
      </c>
      <c r="BR150" s="26">
        <f t="shared" si="183"/>
        <v>0.2</v>
      </c>
      <c r="BS150" s="26">
        <f t="shared" si="183"/>
        <v>0.1</v>
      </c>
      <c r="BT150" s="26">
        <f t="shared" si="183"/>
        <v>0.05</v>
      </c>
      <c r="BU150" s="26">
        <f t="shared" si="183"/>
        <v>0.05</v>
      </c>
      <c r="BV150" s="26">
        <f t="shared" si="183"/>
        <v>0.05</v>
      </c>
      <c r="BW150" s="26">
        <f t="shared" si="183"/>
        <v>0.05</v>
      </c>
      <c r="BX150" s="26">
        <f t="shared" si="183"/>
        <v>2.5000000000000001E-2</v>
      </c>
      <c r="BY150" s="26">
        <f t="shared" si="184"/>
        <v>1.5</v>
      </c>
      <c r="BZ150" s="26">
        <f t="shared" si="184"/>
        <v>1.5</v>
      </c>
      <c r="CA150" s="26">
        <f t="shared" si="184"/>
        <v>1.5</v>
      </c>
      <c r="CB150" s="26">
        <f t="shared" si="184"/>
        <v>1.5</v>
      </c>
      <c r="CC150" s="26">
        <f t="shared" si="184"/>
        <v>1.5</v>
      </c>
      <c r="CD150" s="26">
        <f t="shared" si="184"/>
        <v>0.05</v>
      </c>
      <c r="CE150" s="26">
        <f t="shared" si="184"/>
        <v>1</v>
      </c>
      <c r="CF150" s="26">
        <f t="shared" si="184"/>
        <v>1</v>
      </c>
      <c r="CG150" s="26">
        <f t="shared" si="184"/>
        <v>1</v>
      </c>
      <c r="CH150" s="26">
        <f t="shared" si="184"/>
        <v>1</v>
      </c>
      <c r="CI150" s="26">
        <f t="shared" si="185"/>
        <v>1</v>
      </c>
      <c r="CJ150" s="26">
        <f t="shared" si="185"/>
        <v>0.2</v>
      </c>
      <c r="CK150" s="26">
        <f t="shared" si="185"/>
        <v>0.2</v>
      </c>
      <c r="CL150" s="26">
        <f t="shared" si="185"/>
        <v>0.2</v>
      </c>
      <c r="CM150" s="26">
        <f t="shared" si="185"/>
        <v>0.2</v>
      </c>
      <c r="CN150" s="26">
        <f t="shared" si="185"/>
        <v>0.2</v>
      </c>
      <c r="CO150" s="26">
        <f t="shared" si="185"/>
        <v>0.1</v>
      </c>
      <c r="CP150" s="26">
        <f t="shared" si="185"/>
        <v>0.05</v>
      </c>
      <c r="CQ150" s="26">
        <f t="shared" si="185"/>
        <v>0.05</v>
      </c>
      <c r="CR150" s="26">
        <f t="shared" si="185"/>
        <v>0.05</v>
      </c>
      <c r="CS150" s="26">
        <f t="shared" si="185"/>
        <v>0.05</v>
      </c>
      <c r="CT150" s="26">
        <f t="shared" si="185"/>
        <v>2.5000000000000001E-2</v>
      </c>
      <c r="CU150" s="26">
        <f t="shared" si="186"/>
        <v>1.5</v>
      </c>
      <c r="CV150" s="26">
        <f t="shared" si="186"/>
        <v>1.5</v>
      </c>
      <c r="CW150" s="26">
        <f t="shared" si="186"/>
        <v>1.5</v>
      </c>
      <c r="CX150" s="26">
        <f t="shared" si="186"/>
        <v>1.5</v>
      </c>
      <c r="CY150" s="26">
        <f t="shared" si="186"/>
        <v>1.5</v>
      </c>
      <c r="CZ150" s="26">
        <f t="shared" si="186"/>
        <v>0.1</v>
      </c>
      <c r="DA150" s="26">
        <f t="shared" si="186"/>
        <v>1</v>
      </c>
      <c r="DB150" s="26">
        <f t="shared" si="186"/>
        <v>1</v>
      </c>
      <c r="DC150" s="26">
        <f t="shared" si="186"/>
        <v>1</v>
      </c>
      <c r="DD150" s="26">
        <f t="shared" si="186"/>
        <v>1</v>
      </c>
      <c r="DE150" s="26">
        <f t="shared" si="187"/>
        <v>1</v>
      </c>
      <c r="DF150" s="26">
        <f t="shared" si="187"/>
        <v>0.2</v>
      </c>
      <c r="DG150" s="26">
        <f t="shared" si="187"/>
        <v>0.2</v>
      </c>
      <c r="DH150" s="26">
        <f t="shared" si="187"/>
        <v>0.2</v>
      </c>
      <c r="DI150" s="26">
        <f t="shared" si="187"/>
        <v>0.2</v>
      </c>
      <c r="DJ150" s="26">
        <f t="shared" si="187"/>
        <v>0.2</v>
      </c>
      <c r="DK150" s="26">
        <f t="shared" si="187"/>
        <v>0.1</v>
      </c>
      <c r="DL150" s="26">
        <f t="shared" si="187"/>
        <v>0.1</v>
      </c>
      <c r="DM150" s="26">
        <f t="shared" si="187"/>
        <v>0.1</v>
      </c>
      <c r="DN150" s="26">
        <f t="shared" si="187"/>
        <v>0.05</v>
      </c>
      <c r="DO150" s="26">
        <f t="shared" si="187"/>
        <v>0.05</v>
      </c>
      <c r="DP150" s="26">
        <f t="shared" si="187"/>
        <v>0.05</v>
      </c>
      <c r="DQ150" s="26">
        <f t="shared" si="188"/>
        <v>1.5</v>
      </c>
      <c r="DR150" s="26">
        <f t="shared" si="188"/>
        <v>1.5</v>
      </c>
      <c r="DS150" s="26">
        <f t="shared" si="188"/>
        <v>1.5</v>
      </c>
      <c r="DT150" s="26">
        <f t="shared" si="188"/>
        <v>1.5</v>
      </c>
      <c r="DU150" s="26">
        <f t="shared" si="188"/>
        <v>1.5</v>
      </c>
      <c r="DV150" s="26">
        <f t="shared" si="188"/>
        <v>0.1</v>
      </c>
      <c r="DW150" s="26">
        <f t="shared" si="188"/>
        <v>1</v>
      </c>
      <c r="DX150" s="26">
        <f t="shared" si="188"/>
        <v>1</v>
      </c>
      <c r="DY150" s="26">
        <f t="shared" si="188"/>
        <v>1</v>
      </c>
      <c r="DZ150" s="26">
        <f t="shared" si="188"/>
        <v>1</v>
      </c>
      <c r="EA150" s="26">
        <f t="shared" si="189"/>
        <v>1</v>
      </c>
      <c r="EB150" s="26">
        <f t="shared" si="189"/>
        <v>0.2</v>
      </c>
      <c r="EC150" s="26">
        <f t="shared" si="189"/>
        <v>0.2</v>
      </c>
      <c r="ED150" s="26">
        <f t="shared" si="189"/>
        <v>0.2</v>
      </c>
      <c r="EE150" s="26">
        <f t="shared" si="189"/>
        <v>0.2</v>
      </c>
      <c r="EF150" s="26">
        <f t="shared" si="189"/>
        <v>0.2</v>
      </c>
      <c r="EG150" s="26">
        <f t="shared" si="189"/>
        <v>0.1</v>
      </c>
      <c r="EH150" s="26">
        <f t="shared" si="189"/>
        <v>0.1</v>
      </c>
      <c r="EI150" s="26">
        <f t="shared" si="189"/>
        <v>0.1</v>
      </c>
      <c r="EJ150" s="26">
        <f t="shared" si="189"/>
        <v>0.05</v>
      </c>
      <c r="EK150" s="26">
        <f t="shared" si="189"/>
        <v>0.05</v>
      </c>
      <c r="EL150" s="26">
        <f t="shared" si="189"/>
        <v>0.05</v>
      </c>
      <c r="EM150" s="26">
        <f t="shared" si="165"/>
        <v>589257</v>
      </c>
      <c r="EN150" s="26">
        <f t="shared" si="166"/>
        <v>589257</v>
      </c>
      <c r="EO150" s="26">
        <f t="shared" si="167"/>
        <v>589257</v>
      </c>
      <c r="EP150" s="26">
        <f t="shared" si="168"/>
        <v>771411</v>
      </c>
      <c r="EQ150" s="26">
        <f t="shared" si="169"/>
        <v>771411</v>
      </c>
    </row>
    <row r="151" spans="17:147">
      <c r="Q151" s="26">
        <v>147</v>
      </c>
      <c r="R151" s="26">
        <f>总纲!D151</f>
        <v>26614.886523801088</v>
      </c>
      <c r="S151" s="26">
        <f>求节点(将星点产出!$W$6:$W$44,将星点产出!$AO$6:$AO$44,星阵点亮!$Q151)</f>
        <v>997350</v>
      </c>
      <c r="T151" s="26">
        <f t="shared" si="160"/>
        <v>59</v>
      </c>
      <c r="U151" s="26">
        <f>总纲!E151</f>
        <v>22470.948692045258</v>
      </c>
      <c r="V151" s="26">
        <f>求节点(将星点产出!$W$51:$W$89,将星点产出!$AO$51:$AO$89,星阵点亮!$Q151)</f>
        <v>997350</v>
      </c>
      <c r="W151" s="26">
        <f t="shared" si="161"/>
        <v>59</v>
      </c>
      <c r="X151" s="26">
        <f>总纲!F151</f>
        <v>17837.296948251489</v>
      </c>
      <c r="Y151" s="26">
        <f>求节点(将星点产出!$W$96:$W$134,将星点产出!$AO$96:$AO$134,星阵点亮!$Q151)</f>
        <v>997350</v>
      </c>
      <c r="Z151" s="26">
        <f t="shared" si="162"/>
        <v>59</v>
      </c>
      <c r="AA151" s="26">
        <f>总纲!G151</f>
        <v>12631.425144195997</v>
      </c>
      <c r="AB151" s="26">
        <f>求节点(将星点产出!$W$141:$W$179,将星点产出!$AO$141:$AO$179,星阵点亮!$Q151)</f>
        <v>1304550</v>
      </c>
      <c r="AC151" s="26">
        <f t="shared" si="163"/>
        <v>66</v>
      </c>
      <c r="AD151" s="26">
        <f>总纲!H151</f>
        <v>6754.8581997407164</v>
      </c>
      <c r="AE151" s="26">
        <f>求节点(将星点产出!$W$186:$W$224,将星点产出!$AO$186:$AO$224,星阵点亮!$Q151)</f>
        <v>1304550</v>
      </c>
      <c r="AF151" s="26">
        <f t="shared" si="164"/>
        <v>66</v>
      </c>
      <c r="AG151" s="26">
        <f t="shared" si="180"/>
        <v>1.5</v>
      </c>
      <c r="AH151" s="26">
        <f t="shared" si="180"/>
        <v>1.5</v>
      </c>
      <c r="AI151" s="26">
        <f t="shared" si="180"/>
        <v>1.5</v>
      </c>
      <c r="AJ151" s="26">
        <f t="shared" si="180"/>
        <v>1.5</v>
      </c>
      <c r="AK151" s="26">
        <f t="shared" si="180"/>
        <v>1.5</v>
      </c>
      <c r="AL151" s="26">
        <f t="shared" si="180"/>
        <v>0.05</v>
      </c>
      <c r="AM151" s="26">
        <f t="shared" si="180"/>
        <v>1</v>
      </c>
      <c r="AN151" s="26">
        <f t="shared" si="180"/>
        <v>1</v>
      </c>
      <c r="AO151" s="26">
        <f t="shared" si="180"/>
        <v>1</v>
      </c>
      <c r="AP151" s="26">
        <f t="shared" si="180"/>
        <v>1</v>
      </c>
      <c r="AQ151" s="26">
        <f t="shared" si="181"/>
        <v>1</v>
      </c>
      <c r="AR151" s="26">
        <f t="shared" si="181"/>
        <v>0.2</v>
      </c>
      <c r="AS151" s="26">
        <f t="shared" si="181"/>
        <v>0.2</v>
      </c>
      <c r="AT151" s="26">
        <f t="shared" si="181"/>
        <v>0.2</v>
      </c>
      <c r="AU151" s="26">
        <f t="shared" si="181"/>
        <v>0.2</v>
      </c>
      <c r="AV151" s="26">
        <f t="shared" si="181"/>
        <v>0.2</v>
      </c>
      <c r="AW151" s="26">
        <f t="shared" si="181"/>
        <v>0.1</v>
      </c>
      <c r="AX151" s="26">
        <f t="shared" si="181"/>
        <v>0.05</v>
      </c>
      <c r="AY151" s="26">
        <f t="shared" si="181"/>
        <v>0.05</v>
      </c>
      <c r="AZ151" s="26">
        <f t="shared" si="181"/>
        <v>0.05</v>
      </c>
      <c r="BA151" s="26">
        <f t="shared" si="181"/>
        <v>0.05</v>
      </c>
      <c r="BB151" s="26">
        <f t="shared" si="181"/>
        <v>2.5000000000000001E-2</v>
      </c>
      <c r="BC151" s="26">
        <f t="shared" si="182"/>
        <v>1.5</v>
      </c>
      <c r="BD151" s="26">
        <f t="shared" si="182"/>
        <v>1.5</v>
      </c>
      <c r="BE151" s="26">
        <f t="shared" si="182"/>
        <v>1.5</v>
      </c>
      <c r="BF151" s="26">
        <f t="shared" si="182"/>
        <v>1.5</v>
      </c>
      <c r="BG151" s="26">
        <f t="shared" si="182"/>
        <v>1.5</v>
      </c>
      <c r="BH151" s="26">
        <f t="shared" si="182"/>
        <v>0.05</v>
      </c>
      <c r="BI151" s="26">
        <f t="shared" si="182"/>
        <v>1</v>
      </c>
      <c r="BJ151" s="26">
        <f t="shared" si="182"/>
        <v>1</v>
      </c>
      <c r="BK151" s="26">
        <f t="shared" si="182"/>
        <v>1</v>
      </c>
      <c r="BL151" s="26">
        <f t="shared" si="182"/>
        <v>1</v>
      </c>
      <c r="BM151" s="26">
        <f t="shared" si="183"/>
        <v>1</v>
      </c>
      <c r="BN151" s="26">
        <f t="shared" si="183"/>
        <v>0.2</v>
      </c>
      <c r="BO151" s="26">
        <f t="shared" si="183"/>
        <v>0.2</v>
      </c>
      <c r="BP151" s="26">
        <f t="shared" si="183"/>
        <v>0.2</v>
      </c>
      <c r="BQ151" s="26">
        <f t="shared" si="183"/>
        <v>0.2</v>
      </c>
      <c r="BR151" s="26">
        <f t="shared" si="183"/>
        <v>0.2</v>
      </c>
      <c r="BS151" s="26">
        <f t="shared" si="183"/>
        <v>0.1</v>
      </c>
      <c r="BT151" s="26">
        <f t="shared" si="183"/>
        <v>0.05</v>
      </c>
      <c r="BU151" s="26">
        <f t="shared" si="183"/>
        <v>0.05</v>
      </c>
      <c r="BV151" s="26">
        <f t="shared" si="183"/>
        <v>0.05</v>
      </c>
      <c r="BW151" s="26">
        <f t="shared" si="183"/>
        <v>0.05</v>
      </c>
      <c r="BX151" s="26">
        <f t="shared" si="183"/>
        <v>2.5000000000000001E-2</v>
      </c>
      <c r="BY151" s="26">
        <f t="shared" si="184"/>
        <v>1.5</v>
      </c>
      <c r="BZ151" s="26">
        <f t="shared" si="184"/>
        <v>1.5</v>
      </c>
      <c r="CA151" s="26">
        <f t="shared" si="184"/>
        <v>1.5</v>
      </c>
      <c r="CB151" s="26">
        <f t="shared" si="184"/>
        <v>1.5</v>
      </c>
      <c r="CC151" s="26">
        <f t="shared" si="184"/>
        <v>1.5</v>
      </c>
      <c r="CD151" s="26">
        <f t="shared" si="184"/>
        <v>0.05</v>
      </c>
      <c r="CE151" s="26">
        <f t="shared" si="184"/>
        <v>1</v>
      </c>
      <c r="CF151" s="26">
        <f t="shared" si="184"/>
        <v>1</v>
      </c>
      <c r="CG151" s="26">
        <f t="shared" si="184"/>
        <v>1</v>
      </c>
      <c r="CH151" s="26">
        <f t="shared" si="184"/>
        <v>1</v>
      </c>
      <c r="CI151" s="26">
        <f t="shared" si="185"/>
        <v>1</v>
      </c>
      <c r="CJ151" s="26">
        <f t="shared" si="185"/>
        <v>0.2</v>
      </c>
      <c r="CK151" s="26">
        <f t="shared" si="185"/>
        <v>0.2</v>
      </c>
      <c r="CL151" s="26">
        <f t="shared" si="185"/>
        <v>0.2</v>
      </c>
      <c r="CM151" s="26">
        <f t="shared" si="185"/>
        <v>0.2</v>
      </c>
      <c r="CN151" s="26">
        <f t="shared" si="185"/>
        <v>0.2</v>
      </c>
      <c r="CO151" s="26">
        <f t="shared" si="185"/>
        <v>0.1</v>
      </c>
      <c r="CP151" s="26">
        <f t="shared" si="185"/>
        <v>0.05</v>
      </c>
      <c r="CQ151" s="26">
        <f t="shared" si="185"/>
        <v>0.05</v>
      </c>
      <c r="CR151" s="26">
        <f t="shared" si="185"/>
        <v>0.05</v>
      </c>
      <c r="CS151" s="26">
        <f t="shared" si="185"/>
        <v>0.05</v>
      </c>
      <c r="CT151" s="26">
        <f t="shared" si="185"/>
        <v>2.5000000000000001E-2</v>
      </c>
      <c r="CU151" s="26">
        <f t="shared" si="186"/>
        <v>1.5</v>
      </c>
      <c r="CV151" s="26">
        <f t="shared" si="186"/>
        <v>1.5</v>
      </c>
      <c r="CW151" s="26">
        <f t="shared" si="186"/>
        <v>1.5</v>
      </c>
      <c r="CX151" s="26">
        <f t="shared" si="186"/>
        <v>1.5</v>
      </c>
      <c r="CY151" s="26">
        <f t="shared" si="186"/>
        <v>1.5</v>
      </c>
      <c r="CZ151" s="26">
        <f t="shared" si="186"/>
        <v>0.1</v>
      </c>
      <c r="DA151" s="26">
        <f t="shared" si="186"/>
        <v>1</v>
      </c>
      <c r="DB151" s="26">
        <f t="shared" si="186"/>
        <v>1</v>
      </c>
      <c r="DC151" s="26">
        <f t="shared" si="186"/>
        <v>1</v>
      </c>
      <c r="DD151" s="26">
        <f t="shared" si="186"/>
        <v>1</v>
      </c>
      <c r="DE151" s="26">
        <f t="shared" si="187"/>
        <v>1</v>
      </c>
      <c r="DF151" s="26">
        <f t="shared" si="187"/>
        <v>0.2</v>
      </c>
      <c r="DG151" s="26">
        <f t="shared" si="187"/>
        <v>0.2</v>
      </c>
      <c r="DH151" s="26">
        <f t="shared" si="187"/>
        <v>0.2</v>
      </c>
      <c r="DI151" s="26">
        <f t="shared" si="187"/>
        <v>0.2</v>
      </c>
      <c r="DJ151" s="26">
        <f t="shared" si="187"/>
        <v>0.2</v>
      </c>
      <c r="DK151" s="26">
        <f t="shared" si="187"/>
        <v>0.1</v>
      </c>
      <c r="DL151" s="26">
        <f t="shared" si="187"/>
        <v>0.1</v>
      </c>
      <c r="DM151" s="26">
        <f t="shared" si="187"/>
        <v>0.1</v>
      </c>
      <c r="DN151" s="26">
        <f t="shared" si="187"/>
        <v>0.05</v>
      </c>
      <c r="DO151" s="26">
        <f t="shared" si="187"/>
        <v>0.05</v>
      </c>
      <c r="DP151" s="26">
        <f t="shared" si="187"/>
        <v>0.05</v>
      </c>
      <c r="DQ151" s="26">
        <f t="shared" si="188"/>
        <v>1.5</v>
      </c>
      <c r="DR151" s="26">
        <f t="shared" si="188"/>
        <v>1.5</v>
      </c>
      <c r="DS151" s="26">
        <f t="shared" si="188"/>
        <v>1.5</v>
      </c>
      <c r="DT151" s="26">
        <f t="shared" si="188"/>
        <v>1.5</v>
      </c>
      <c r="DU151" s="26">
        <f t="shared" si="188"/>
        <v>1.5</v>
      </c>
      <c r="DV151" s="26">
        <f t="shared" si="188"/>
        <v>0.1</v>
      </c>
      <c r="DW151" s="26">
        <f t="shared" si="188"/>
        <v>1</v>
      </c>
      <c r="DX151" s="26">
        <f t="shared" si="188"/>
        <v>1</v>
      </c>
      <c r="DY151" s="26">
        <f t="shared" si="188"/>
        <v>1</v>
      </c>
      <c r="DZ151" s="26">
        <f t="shared" si="188"/>
        <v>1</v>
      </c>
      <c r="EA151" s="26">
        <f t="shared" si="189"/>
        <v>1</v>
      </c>
      <c r="EB151" s="26">
        <f t="shared" si="189"/>
        <v>0.2</v>
      </c>
      <c r="EC151" s="26">
        <f t="shared" si="189"/>
        <v>0.2</v>
      </c>
      <c r="ED151" s="26">
        <f t="shared" si="189"/>
        <v>0.2</v>
      </c>
      <c r="EE151" s="26">
        <f t="shared" si="189"/>
        <v>0.2</v>
      </c>
      <c r="EF151" s="26">
        <f t="shared" si="189"/>
        <v>0.2</v>
      </c>
      <c r="EG151" s="26">
        <f t="shared" si="189"/>
        <v>0.1</v>
      </c>
      <c r="EH151" s="26">
        <f t="shared" si="189"/>
        <v>0.1</v>
      </c>
      <c r="EI151" s="26">
        <f t="shared" si="189"/>
        <v>0.1</v>
      </c>
      <c r="EJ151" s="26">
        <f t="shared" si="189"/>
        <v>0.05</v>
      </c>
      <c r="EK151" s="26">
        <f t="shared" si="189"/>
        <v>0.05</v>
      </c>
      <c r="EL151" s="26">
        <f t="shared" si="189"/>
        <v>0.05</v>
      </c>
      <c r="EM151" s="26">
        <f t="shared" si="165"/>
        <v>589257</v>
      </c>
      <c r="EN151" s="26">
        <f t="shared" si="166"/>
        <v>589257</v>
      </c>
      <c r="EO151" s="26">
        <f t="shared" si="167"/>
        <v>589257</v>
      </c>
      <c r="EP151" s="26">
        <f t="shared" si="168"/>
        <v>771411</v>
      </c>
      <c r="EQ151" s="26">
        <f t="shared" si="169"/>
        <v>771411</v>
      </c>
    </row>
    <row r="152" spans="17:147">
      <c r="Q152" s="26">
        <v>148</v>
      </c>
      <c r="R152" s="26">
        <f>总纲!D152</f>
        <v>28525.200858087381</v>
      </c>
      <c r="S152" s="26">
        <f>求节点(将星点产出!$W$6:$W$44,将星点产出!$AO$6:$AO$44,星阵点亮!$Q152)</f>
        <v>997350</v>
      </c>
      <c r="T152" s="26">
        <f t="shared" si="160"/>
        <v>59</v>
      </c>
      <c r="U152" s="26">
        <f>总纲!E152</f>
        <v>24083.827084483179</v>
      </c>
      <c r="V152" s="26">
        <f>求节点(将星点产出!$W$51:$W$89,将星点产出!$AO$51:$AO$89,星阵点亮!$Q152)</f>
        <v>997350</v>
      </c>
      <c r="W152" s="26">
        <f t="shared" si="161"/>
        <v>59</v>
      </c>
      <c r="X152" s="26">
        <f>总纲!F152</f>
        <v>19128.999695433398</v>
      </c>
      <c r="Y152" s="26">
        <f>求节点(将星点产出!$W$96:$W$134,将星点产出!$AO$96:$AO$134,星阵点亮!$Q152)</f>
        <v>997350</v>
      </c>
      <c r="Z152" s="26">
        <f t="shared" si="162"/>
        <v>59</v>
      </c>
      <c r="AA152" s="26">
        <f>总纲!G152</f>
        <v>13566.58552810636</v>
      </c>
      <c r="AB152" s="26">
        <f>求节点(将星点产出!$W$141:$W$179,将星点产出!$AO$141:$AO$179,星阵点亮!$Q152)</f>
        <v>1304550</v>
      </c>
      <c r="AC152" s="26">
        <f t="shared" si="163"/>
        <v>66</v>
      </c>
      <c r="AD152" s="26">
        <f>总纲!H152</f>
        <v>7242.5484978683862</v>
      </c>
      <c r="AE152" s="26">
        <f>求节点(将星点产出!$W$186:$W$224,将星点产出!$AO$186:$AO$224,星阵点亮!$Q152)</f>
        <v>1304550</v>
      </c>
      <c r="AF152" s="26">
        <f t="shared" si="164"/>
        <v>66</v>
      </c>
      <c r="AG152" s="26">
        <f t="shared" si="180"/>
        <v>1.5</v>
      </c>
      <c r="AH152" s="26">
        <f t="shared" si="180"/>
        <v>1.5</v>
      </c>
      <c r="AI152" s="26">
        <f t="shared" si="180"/>
        <v>1.5</v>
      </c>
      <c r="AJ152" s="26">
        <f t="shared" si="180"/>
        <v>1.5</v>
      </c>
      <c r="AK152" s="26">
        <f t="shared" si="180"/>
        <v>1.5</v>
      </c>
      <c r="AL152" s="26">
        <f t="shared" si="180"/>
        <v>0.05</v>
      </c>
      <c r="AM152" s="26">
        <f t="shared" si="180"/>
        <v>1</v>
      </c>
      <c r="AN152" s="26">
        <f t="shared" si="180"/>
        <v>1</v>
      </c>
      <c r="AO152" s="26">
        <f t="shared" si="180"/>
        <v>1</v>
      </c>
      <c r="AP152" s="26">
        <f t="shared" si="180"/>
        <v>1</v>
      </c>
      <c r="AQ152" s="26">
        <f t="shared" si="181"/>
        <v>1</v>
      </c>
      <c r="AR152" s="26">
        <f t="shared" si="181"/>
        <v>0.2</v>
      </c>
      <c r="AS152" s="26">
        <f t="shared" si="181"/>
        <v>0.2</v>
      </c>
      <c r="AT152" s="26">
        <f t="shared" si="181"/>
        <v>0.2</v>
      </c>
      <c r="AU152" s="26">
        <f t="shared" si="181"/>
        <v>0.2</v>
      </c>
      <c r="AV152" s="26">
        <f t="shared" si="181"/>
        <v>0.2</v>
      </c>
      <c r="AW152" s="26">
        <f t="shared" si="181"/>
        <v>0.1</v>
      </c>
      <c r="AX152" s="26">
        <f t="shared" si="181"/>
        <v>0.05</v>
      </c>
      <c r="AY152" s="26">
        <f t="shared" si="181"/>
        <v>0.05</v>
      </c>
      <c r="AZ152" s="26">
        <f t="shared" si="181"/>
        <v>0.05</v>
      </c>
      <c r="BA152" s="26">
        <f t="shared" si="181"/>
        <v>0.05</v>
      </c>
      <c r="BB152" s="26">
        <f t="shared" si="181"/>
        <v>2.5000000000000001E-2</v>
      </c>
      <c r="BC152" s="26">
        <f t="shared" si="182"/>
        <v>1.5</v>
      </c>
      <c r="BD152" s="26">
        <f t="shared" si="182"/>
        <v>1.5</v>
      </c>
      <c r="BE152" s="26">
        <f t="shared" si="182"/>
        <v>1.5</v>
      </c>
      <c r="BF152" s="26">
        <f t="shared" si="182"/>
        <v>1.5</v>
      </c>
      <c r="BG152" s="26">
        <f t="shared" si="182"/>
        <v>1.5</v>
      </c>
      <c r="BH152" s="26">
        <f t="shared" si="182"/>
        <v>0.05</v>
      </c>
      <c r="BI152" s="26">
        <f t="shared" si="182"/>
        <v>1</v>
      </c>
      <c r="BJ152" s="26">
        <f t="shared" si="182"/>
        <v>1</v>
      </c>
      <c r="BK152" s="26">
        <f t="shared" si="182"/>
        <v>1</v>
      </c>
      <c r="BL152" s="26">
        <f t="shared" si="182"/>
        <v>1</v>
      </c>
      <c r="BM152" s="26">
        <f t="shared" si="183"/>
        <v>1</v>
      </c>
      <c r="BN152" s="26">
        <f t="shared" si="183"/>
        <v>0.2</v>
      </c>
      <c r="BO152" s="26">
        <f t="shared" si="183"/>
        <v>0.2</v>
      </c>
      <c r="BP152" s="26">
        <f t="shared" si="183"/>
        <v>0.2</v>
      </c>
      <c r="BQ152" s="26">
        <f t="shared" si="183"/>
        <v>0.2</v>
      </c>
      <c r="BR152" s="26">
        <f t="shared" si="183"/>
        <v>0.2</v>
      </c>
      <c r="BS152" s="26">
        <f t="shared" si="183"/>
        <v>0.1</v>
      </c>
      <c r="BT152" s="26">
        <f t="shared" si="183"/>
        <v>0.05</v>
      </c>
      <c r="BU152" s="26">
        <f t="shared" si="183"/>
        <v>0.05</v>
      </c>
      <c r="BV152" s="26">
        <f t="shared" si="183"/>
        <v>0.05</v>
      </c>
      <c r="BW152" s="26">
        <f t="shared" si="183"/>
        <v>0.05</v>
      </c>
      <c r="BX152" s="26">
        <f t="shared" si="183"/>
        <v>2.5000000000000001E-2</v>
      </c>
      <c r="BY152" s="26">
        <f t="shared" si="184"/>
        <v>1.5</v>
      </c>
      <c r="BZ152" s="26">
        <f t="shared" si="184"/>
        <v>1.5</v>
      </c>
      <c r="CA152" s="26">
        <f t="shared" si="184"/>
        <v>1.5</v>
      </c>
      <c r="CB152" s="26">
        <f t="shared" si="184"/>
        <v>1.5</v>
      </c>
      <c r="CC152" s="26">
        <f t="shared" si="184"/>
        <v>1.5</v>
      </c>
      <c r="CD152" s="26">
        <f t="shared" si="184"/>
        <v>0.05</v>
      </c>
      <c r="CE152" s="26">
        <f t="shared" si="184"/>
        <v>1</v>
      </c>
      <c r="CF152" s="26">
        <f t="shared" si="184"/>
        <v>1</v>
      </c>
      <c r="CG152" s="26">
        <f t="shared" si="184"/>
        <v>1</v>
      </c>
      <c r="CH152" s="26">
        <f t="shared" si="184"/>
        <v>1</v>
      </c>
      <c r="CI152" s="26">
        <f t="shared" si="185"/>
        <v>1</v>
      </c>
      <c r="CJ152" s="26">
        <f t="shared" si="185"/>
        <v>0.2</v>
      </c>
      <c r="CK152" s="26">
        <f t="shared" si="185"/>
        <v>0.2</v>
      </c>
      <c r="CL152" s="26">
        <f t="shared" si="185"/>
        <v>0.2</v>
      </c>
      <c r="CM152" s="26">
        <f t="shared" si="185"/>
        <v>0.2</v>
      </c>
      <c r="CN152" s="26">
        <f t="shared" si="185"/>
        <v>0.2</v>
      </c>
      <c r="CO152" s="26">
        <f t="shared" si="185"/>
        <v>0.1</v>
      </c>
      <c r="CP152" s="26">
        <f t="shared" si="185"/>
        <v>0.05</v>
      </c>
      <c r="CQ152" s="26">
        <f t="shared" si="185"/>
        <v>0.05</v>
      </c>
      <c r="CR152" s="26">
        <f t="shared" si="185"/>
        <v>0.05</v>
      </c>
      <c r="CS152" s="26">
        <f t="shared" si="185"/>
        <v>0.05</v>
      </c>
      <c r="CT152" s="26">
        <f t="shared" si="185"/>
        <v>2.5000000000000001E-2</v>
      </c>
      <c r="CU152" s="26">
        <f t="shared" si="186"/>
        <v>1.5</v>
      </c>
      <c r="CV152" s="26">
        <f t="shared" si="186"/>
        <v>1.5</v>
      </c>
      <c r="CW152" s="26">
        <f t="shared" si="186"/>
        <v>1.5</v>
      </c>
      <c r="CX152" s="26">
        <f t="shared" si="186"/>
        <v>1.5</v>
      </c>
      <c r="CY152" s="26">
        <f t="shared" si="186"/>
        <v>1.5</v>
      </c>
      <c r="CZ152" s="26">
        <f t="shared" si="186"/>
        <v>0.1</v>
      </c>
      <c r="DA152" s="26">
        <f t="shared" si="186"/>
        <v>1</v>
      </c>
      <c r="DB152" s="26">
        <f t="shared" si="186"/>
        <v>1</v>
      </c>
      <c r="DC152" s="26">
        <f t="shared" si="186"/>
        <v>1</v>
      </c>
      <c r="DD152" s="26">
        <f t="shared" si="186"/>
        <v>1</v>
      </c>
      <c r="DE152" s="26">
        <f t="shared" si="187"/>
        <v>1</v>
      </c>
      <c r="DF152" s="26">
        <f t="shared" si="187"/>
        <v>0.2</v>
      </c>
      <c r="DG152" s="26">
        <f t="shared" si="187"/>
        <v>0.2</v>
      </c>
      <c r="DH152" s="26">
        <f t="shared" si="187"/>
        <v>0.2</v>
      </c>
      <c r="DI152" s="26">
        <f t="shared" si="187"/>
        <v>0.2</v>
      </c>
      <c r="DJ152" s="26">
        <f t="shared" si="187"/>
        <v>0.2</v>
      </c>
      <c r="DK152" s="26">
        <f t="shared" si="187"/>
        <v>0.1</v>
      </c>
      <c r="DL152" s="26">
        <f t="shared" si="187"/>
        <v>0.1</v>
      </c>
      <c r="DM152" s="26">
        <f t="shared" si="187"/>
        <v>0.1</v>
      </c>
      <c r="DN152" s="26">
        <f t="shared" si="187"/>
        <v>0.05</v>
      </c>
      <c r="DO152" s="26">
        <f t="shared" si="187"/>
        <v>0.05</v>
      </c>
      <c r="DP152" s="26">
        <f t="shared" si="187"/>
        <v>0.05</v>
      </c>
      <c r="DQ152" s="26">
        <f t="shared" si="188"/>
        <v>1.5</v>
      </c>
      <c r="DR152" s="26">
        <f t="shared" si="188"/>
        <v>1.5</v>
      </c>
      <c r="DS152" s="26">
        <f t="shared" si="188"/>
        <v>1.5</v>
      </c>
      <c r="DT152" s="26">
        <f t="shared" si="188"/>
        <v>1.5</v>
      </c>
      <c r="DU152" s="26">
        <f t="shared" si="188"/>
        <v>1.5</v>
      </c>
      <c r="DV152" s="26">
        <f t="shared" si="188"/>
        <v>0.1</v>
      </c>
      <c r="DW152" s="26">
        <f t="shared" si="188"/>
        <v>1</v>
      </c>
      <c r="DX152" s="26">
        <f t="shared" si="188"/>
        <v>1</v>
      </c>
      <c r="DY152" s="26">
        <f t="shared" si="188"/>
        <v>1</v>
      </c>
      <c r="DZ152" s="26">
        <f t="shared" si="188"/>
        <v>1</v>
      </c>
      <c r="EA152" s="26">
        <f t="shared" si="189"/>
        <v>1</v>
      </c>
      <c r="EB152" s="26">
        <f t="shared" si="189"/>
        <v>0.2</v>
      </c>
      <c r="EC152" s="26">
        <f t="shared" si="189"/>
        <v>0.2</v>
      </c>
      <c r="ED152" s="26">
        <f t="shared" si="189"/>
        <v>0.2</v>
      </c>
      <c r="EE152" s="26">
        <f t="shared" si="189"/>
        <v>0.2</v>
      </c>
      <c r="EF152" s="26">
        <f t="shared" si="189"/>
        <v>0.2</v>
      </c>
      <c r="EG152" s="26">
        <f t="shared" si="189"/>
        <v>0.1</v>
      </c>
      <c r="EH152" s="26">
        <f t="shared" si="189"/>
        <v>0.1</v>
      </c>
      <c r="EI152" s="26">
        <f t="shared" si="189"/>
        <v>0.1</v>
      </c>
      <c r="EJ152" s="26">
        <f t="shared" si="189"/>
        <v>0.05</v>
      </c>
      <c r="EK152" s="26">
        <f t="shared" si="189"/>
        <v>0.05</v>
      </c>
      <c r="EL152" s="26">
        <f t="shared" si="189"/>
        <v>0.05</v>
      </c>
      <c r="EM152" s="26">
        <f t="shared" si="165"/>
        <v>589257</v>
      </c>
      <c r="EN152" s="26">
        <f t="shared" si="166"/>
        <v>589257</v>
      </c>
      <c r="EO152" s="26">
        <f t="shared" si="167"/>
        <v>589257</v>
      </c>
      <c r="EP152" s="26">
        <f t="shared" si="168"/>
        <v>771411</v>
      </c>
      <c r="EQ152" s="26">
        <f t="shared" si="169"/>
        <v>771411</v>
      </c>
    </row>
    <row r="153" spans="17:147">
      <c r="Q153" s="26">
        <v>149</v>
      </c>
      <c r="R153" s="26">
        <f>总纲!D153</f>
        <v>30572.62506667812</v>
      </c>
      <c r="S153" s="26">
        <f>求节点(将星点产出!$W$6:$W$44,将星点产出!$AO$6:$AO$44,星阵点亮!$Q153)</f>
        <v>997350</v>
      </c>
      <c r="T153" s="26">
        <f t="shared" si="160"/>
        <v>59</v>
      </c>
      <c r="U153" s="26">
        <f>总纲!E153</f>
        <v>25818.581868809673</v>
      </c>
      <c r="V153" s="26">
        <f>求节点(将星点产出!$W$51:$W$89,将星点产出!$AO$51:$AO$89,星阵点亮!$Q153)</f>
        <v>997350</v>
      </c>
      <c r="W153" s="26">
        <f t="shared" si="161"/>
        <v>59</v>
      </c>
      <c r="X153" s="26">
        <f>总纲!F153</f>
        <v>20520.345944754354</v>
      </c>
      <c r="Y153" s="26">
        <f>求节点(将星点产出!$W$96:$W$134,将星点产出!$AO$96:$AO$134,星阵点亮!$Q153)</f>
        <v>997350</v>
      </c>
      <c r="Z153" s="26">
        <f t="shared" si="162"/>
        <v>59</v>
      </c>
      <c r="AA153" s="26">
        <f>总纲!G153</f>
        <v>14549.512269232117</v>
      </c>
      <c r="AB153" s="26">
        <f>求节点(将星点产出!$W$141:$W$179,将星点产出!$AO$141:$AO$179,星阵点亮!$Q153)</f>
        <v>1304550</v>
      </c>
      <c r="AC153" s="26">
        <f t="shared" si="163"/>
        <v>66</v>
      </c>
      <c r="AD153" s="26">
        <f>总纲!H153</f>
        <v>7768.50402944291</v>
      </c>
      <c r="AE153" s="26">
        <f>求节点(将星点产出!$W$186:$W$224,将星点产出!$AO$186:$AO$224,星阵点亮!$Q153)</f>
        <v>1304550</v>
      </c>
      <c r="AF153" s="26">
        <f t="shared" si="164"/>
        <v>66</v>
      </c>
      <c r="AG153" s="26">
        <f t="shared" si="180"/>
        <v>1.5</v>
      </c>
      <c r="AH153" s="26">
        <f t="shared" si="180"/>
        <v>1.5</v>
      </c>
      <c r="AI153" s="26">
        <f t="shared" si="180"/>
        <v>1.5</v>
      </c>
      <c r="AJ153" s="26">
        <f t="shared" si="180"/>
        <v>1.5</v>
      </c>
      <c r="AK153" s="26">
        <f t="shared" si="180"/>
        <v>1.5</v>
      </c>
      <c r="AL153" s="26">
        <f t="shared" si="180"/>
        <v>0.05</v>
      </c>
      <c r="AM153" s="26">
        <f t="shared" si="180"/>
        <v>1</v>
      </c>
      <c r="AN153" s="26">
        <f t="shared" si="180"/>
        <v>1</v>
      </c>
      <c r="AO153" s="26">
        <f t="shared" si="180"/>
        <v>1</v>
      </c>
      <c r="AP153" s="26">
        <f t="shared" si="180"/>
        <v>1</v>
      </c>
      <c r="AQ153" s="26">
        <f t="shared" si="181"/>
        <v>1</v>
      </c>
      <c r="AR153" s="26">
        <f t="shared" si="181"/>
        <v>0.2</v>
      </c>
      <c r="AS153" s="26">
        <f t="shared" si="181"/>
        <v>0.2</v>
      </c>
      <c r="AT153" s="26">
        <f t="shared" si="181"/>
        <v>0.2</v>
      </c>
      <c r="AU153" s="26">
        <f t="shared" si="181"/>
        <v>0.2</v>
      </c>
      <c r="AV153" s="26">
        <f t="shared" si="181"/>
        <v>0.2</v>
      </c>
      <c r="AW153" s="26">
        <f t="shared" si="181"/>
        <v>0.1</v>
      </c>
      <c r="AX153" s="26">
        <f t="shared" si="181"/>
        <v>0.05</v>
      </c>
      <c r="AY153" s="26">
        <f t="shared" si="181"/>
        <v>0.05</v>
      </c>
      <c r="AZ153" s="26">
        <f t="shared" si="181"/>
        <v>0.05</v>
      </c>
      <c r="BA153" s="26">
        <f t="shared" si="181"/>
        <v>0.05</v>
      </c>
      <c r="BB153" s="26">
        <f t="shared" si="181"/>
        <v>2.5000000000000001E-2</v>
      </c>
      <c r="BC153" s="26">
        <f t="shared" si="182"/>
        <v>1.5</v>
      </c>
      <c r="BD153" s="26">
        <f t="shared" si="182"/>
        <v>1.5</v>
      </c>
      <c r="BE153" s="26">
        <f t="shared" si="182"/>
        <v>1.5</v>
      </c>
      <c r="BF153" s="26">
        <f t="shared" si="182"/>
        <v>1.5</v>
      </c>
      <c r="BG153" s="26">
        <f t="shared" si="182"/>
        <v>1.5</v>
      </c>
      <c r="BH153" s="26">
        <f t="shared" si="182"/>
        <v>0.05</v>
      </c>
      <c r="BI153" s="26">
        <f t="shared" si="182"/>
        <v>1</v>
      </c>
      <c r="BJ153" s="26">
        <f t="shared" si="182"/>
        <v>1</v>
      </c>
      <c r="BK153" s="26">
        <f t="shared" si="182"/>
        <v>1</v>
      </c>
      <c r="BL153" s="26">
        <f t="shared" si="182"/>
        <v>1</v>
      </c>
      <c r="BM153" s="26">
        <f t="shared" si="183"/>
        <v>1</v>
      </c>
      <c r="BN153" s="26">
        <f t="shared" si="183"/>
        <v>0.2</v>
      </c>
      <c r="BO153" s="26">
        <f t="shared" si="183"/>
        <v>0.2</v>
      </c>
      <c r="BP153" s="26">
        <f t="shared" si="183"/>
        <v>0.2</v>
      </c>
      <c r="BQ153" s="26">
        <f t="shared" si="183"/>
        <v>0.2</v>
      </c>
      <c r="BR153" s="26">
        <f t="shared" si="183"/>
        <v>0.2</v>
      </c>
      <c r="BS153" s="26">
        <f t="shared" si="183"/>
        <v>0.1</v>
      </c>
      <c r="BT153" s="26">
        <f t="shared" si="183"/>
        <v>0.05</v>
      </c>
      <c r="BU153" s="26">
        <f t="shared" si="183"/>
        <v>0.05</v>
      </c>
      <c r="BV153" s="26">
        <f t="shared" si="183"/>
        <v>0.05</v>
      </c>
      <c r="BW153" s="26">
        <f t="shared" si="183"/>
        <v>0.05</v>
      </c>
      <c r="BX153" s="26">
        <f t="shared" si="183"/>
        <v>2.5000000000000001E-2</v>
      </c>
      <c r="BY153" s="26">
        <f t="shared" si="184"/>
        <v>1.5</v>
      </c>
      <c r="BZ153" s="26">
        <f t="shared" si="184"/>
        <v>1.5</v>
      </c>
      <c r="CA153" s="26">
        <f t="shared" si="184"/>
        <v>1.5</v>
      </c>
      <c r="CB153" s="26">
        <f t="shared" si="184"/>
        <v>1.5</v>
      </c>
      <c r="CC153" s="26">
        <f t="shared" si="184"/>
        <v>1.5</v>
      </c>
      <c r="CD153" s="26">
        <f t="shared" si="184"/>
        <v>0.05</v>
      </c>
      <c r="CE153" s="26">
        <f t="shared" si="184"/>
        <v>1</v>
      </c>
      <c r="CF153" s="26">
        <f t="shared" si="184"/>
        <v>1</v>
      </c>
      <c r="CG153" s="26">
        <f t="shared" si="184"/>
        <v>1</v>
      </c>
      <c r="CH153" s="26">
        <f t="shared" si="184"/>
        <v>1</v>
      </c>
      <c r="CI153" s="26">
        <f t="shared" si="185"/>
        <v>1</v>
      </c>
      <c r="CJ153" s="26">
        <f t="shared" si="185"/>
        <v>0.2</v>
      </c>
      <c r="CK153" s="26">
        <f t="shared" si="185"/>
        <v>0.2</v>
      </c>
      <c r="CL153" s="26">
        <f t="shared" si="185"/>
        <v>0.2</v>
      </c>
      <c r="CM153" s="26">
        <f t="shared" si="185"/>
        <v>0.2</v>
      </c>
      <c r="CN153" s="26">
        <f t="shared" si="185"/>
        <v>0.2</v>
      </c>
      <c r="CO153" s="26">
        <f t="shared" si="185"/>
        <v>0.1</v>
      </c>
      <c r="CP153" s="26">
        <f t="shared" si="185"/>
        <v>0.05</v>
      </c>
      <c r="CQ153" s="26">
        <f t="shared" si="185"/>
        <v>0.05</v>
      </c>
      <c r="CR153" s="26">
        <f t="shared" si="185"/>
        <v>0.05</v>
      </c>
      <c r="CS153" s="26">
        <f t="shared" si="185"/>
        <v>0.05</v>
      </c>
      <c r="CT153" s="26">
        <f t="shared" si="185"/>
        <v>2.5000000000000001E-2</v>
      </c>
      <c r="CU153" s="26">
        <f t="shared" si="186"/>
        <v>1.5</v>
      </c>
      <c r="CV153" s="26">
        <f t="shared" si="186"/>
        <v>1.5</v>
      </c>
      <c r="CW153" s="26">
        <f t="shared" si="186"/>
        <v>1.5</v>
      </c>
      <c r="CX153" s="26">
        <f t="shared" si="186"/>
        <v>1.5</v>
      </c>
      <c r="CY153" s="26">
        <f t="shared" si="186"/>
        <v>1.5</v>
      </c>
      <c r="CZ153" s="26">
        <f t="shared" si="186"/>
        <v>0.1</v>
      </c>
      <c r="DA153" s="26">
        <f t="shared" si="186"/>
        <v>1</v>
      </c>
      <c r="DB153" s="26">
        <f t="shared" si="186"/>
        <v>1</v>
      </c>
      <c r="DC153" s="26">
        <f t="shared" si="186"/>
        <v>1</v>
      </c>
      <c r="DD153" s="26">
        <f t="shared" si="186"/>
        <v>1</v>
      </c>
      <c r="DE153" s="26">
        <f t="shared" si="187"/>
        <v>1</v>
      </c>
      <c r="DF153" s="26">
        <f t="shared" si="187"/>
        <v>0.2</v>
      </c>
      <c r="DG153" s="26">
        <f t="shared" si="187"/>
        <v>0.2</v>
      </c>
      <c r="DH153" s="26">
        <f t="shared" si="187"/>
        <v>0.2</v>
      </c>
      <c r="DI153" s="26">
        <f t="shared" si="187"/>
        <v>0.2</v>
      </c>
      <c r="DJ153" s="26">
        <f t="shared" si="187"/>
        <v>0.2</v>
      </c>
      <c r="DK153" s="26">
        <f t="shared" si="187"/>
        <v>0.1</v>
      </c>
      <c r="DL153" s="26">
        <f t="shared" si="187"/>
        <v>0.1</v>
      </c>
      <c r="DM153" s="26">
        <f t="shared" si="187"/>
        <v>0.1</v>
      </c>
      <c r="DN153" s="26">
        <f t="shared" si="187"/>
        <v>0.05</v>
      </c>
      <c r="DO153" s="26">
        <f t="shared" si="187"/>
        <v>0.05</v>
      </c>
      <c r="DP153" s="26">
        <f t="shared" si="187"/>
        <v>0.05</v>
      </c>
      <c r="DQ153" s="26">
        <f t="shared" si="188"/>
        <v>1.5</v>
      </c>
      <c r="DR153" s="26">
        <f t="shared" si="188"/>
        <v>1.5</v>
      </c>
      <c r="DS153" s="26">
        <f t="shared" si="188"/>
        <v>1.5</v>
      </c>
      <c r="DT153" s="26">
        <f t="shared" si="188"/>
        <v>1.5</v>
      </c>
      <c r="DU153" s="26">
        <f t="shared" si="188"/>
        <v>1.5</v>
      </c>
      <c r="DV153" s="26">
        <f t="shared" si="188"/>
        <v>0.1</v>
      </c>
      <c r="DW153" s="26">
        <f t="shared" si="188"/>
        <v>1</v>
      </c>
      <c r="DX153" s="26">
        <f t="shared" si="188"/>
        <v>1</v>
      </c>
      <c r="DY153" s="26">
        <f t="shared" si="188"/>
        <v>1</v>
      </c>
      <c r="DZ153" s="26">
        <f t="shared" si="188"/>
        <v>1</v>
      </c>
      <c r="EA153" s="26">
        <f t="shared" si="189"/>
        <v>1</v>
      </c>
      <c r="EB153" s="26">
        <f t="shared" si="189"/>
        <v>0.2</v>
      </c>
      <c r="EC153" s="26">
        <f t="shared" si="189"/>
        <v>0.2</v>
      </c>
      <c r="ED153" s="26">
        <f t="shared" si="189"/>
        <v>0.2</v>
      </c>
      <c r="EE153" s="26">
        <f t="shared" si="189"/>
        <v>0.2</v>
      </c>
      <c r="EF153" s="26">
        <f t="shared" si="189"/>
        <v>0.2</v>
      </c>
      <c r="EG153" s="26">
        <f t="shared" si="189"/>
        <v>0.1</v>
      </c>
      <c r="EH153" s="26">
        <f t="shared" si="189"/>
        <v>0.1</v>
      </c>
      <c r="EI153" s="26">
        <f t="shared" si="189"/>
        <v>0.1</v>
      </c>
      <c r="EJ153" s="26">
        <f t="shared" si="189"/>
        <v>0.05</v>
      </c>
      <c r="EK153" s="26">
        <f t="shared" si="189"/>
        <v>0.05</v>
      </c>
      <c r="EL153" s="26">
        <f t="shared" si="189"/>
        <v>0.05</v>
      </c>
      <c r="EM153" s="26">
        <f t="shared" si="165"/>
        <v>589257</v>
      </c>
      <c r="EN153" s="26">
        <f t="shared" si="166"/>
        <v>589257</v>
      </c>
      <c r="EO153" s="26">
        <f t="shared" si="167"/>
        <v>589257</v>
      </c>
      <c r="EP153" s="26">
        <f t="shared" si="168"/>
        <v>771411</v>
      </c>
      <c r="EQ153" s="26">
        <f t="shared" si="169"/>
        <v>771411</v>
      </c>
    </row>
    <row r="154" spans="17:147">
      <c r="Q154" s="26">
        <v>150</v>
      </c>
      <c r="R154" s="26">
        <f>总纲!D154</f>
        <v>32767</v>
      </c>
      <c r="S154" s="26">
        <f>求节点(将星点产出!$W$6:$W$44,将星点产出!$AO$6:$AO$44,星阵点亮!$Q154)</f>
        <v>997350</v>
      </c>
      <c r="T154" s="26">
        <f t="shared" si="160"/>
        <v>59</v>
      </c>
      <c r="U154" s="26">
        <f>总纲!E154</f>
        <v>27671.731500000002</v>
      </c>
      <c r="V154" s="26">
        <f>求节点(将星点产出!$W$51:$W$89,将星点产出!$AO$51:$AO$89,星阵点亮!$Q154)</f>
        <v>997350</v>
      </c>
      <c r="W154" s="26">
        <f t="shared" si="161"/>
        <v>59</v>
      </c>
      <c r="X154" s="26">
        <f>总纲!F154</f>
        <v>21996.487099999998</v>
      </c>
      <c r="Y154" s="26">
        <f>求节点(将星点产出!$W$96:$W$134,将星点产出!$AO$96:$AO$134,星阵点亮!$Q154)</f>
        <v>997350</v>
      </c>
      <c r="Z154" s="26">
        <f t="shared" si="162"/>
        <v>59</v>
      </c>
      <c r="AA154" s="26">
        <f>总纲!G154</f>
        <v>15603.645400000001</v>
      </c>
      <c r="AB154" s="26">
        <f>求节点(将星点产出!$W$141:$W$179,将星点产出!$AO$141:$AO$179,星阵点亮!$Q154)</f>
        <v>1304550</v>
      </c>
      <c r="AC154" s="26">
        <f t="shared" si="163"/>
        <v>66</v>
      </c>
      <c r="AD154" s="26">
        <f>总纲!H154</f>
        <v>8355.5850000000009</v>
      </c>
      <c r="AE154" s="26">
        <f>求节点(将星点产出!$W$186:$W$224,将星点产出!$AO$186:$AO$224,星阵点亮!$Q154)</f>
        <v>1304550</v>
      </c>
      <c r="AF154" s="26">
        <f t="shared" si="164"/>
        <v>66</v>
      </c>
      <c r="AG154" s="26">
        <f t="shared" si="180"/>
        <v>1.5</v>
      </c>
      <c r="AH154" s="26">
        <f t="shared" si="180"/>
        <v>1.5</v>
      </c>
      <c r="AI154" s="26">
        <f t="shared" si="180"/>
        <v>1.5</v>
      </c>
      <c r="AJ154" s="26">
        <f t="shared" si="180"/>
        <v>1.5</v>
      </c>
      <c r="AK154" s="26">
        <f t="shared" si="180"/>
        <v>1.5</v>
      </c>
      <c r="AL154" s="26">
        <f t="shared" si="180"/>
        <v>0.05</v>
      </c>
      <c r="AM154" s="26">
        <f t="shared" si="180"/>
        <v>1</v>
      </c>
      <c r="AN154" s="26">
        <f t="shared" si="180"/>
        <v>1</v>
      </c>
      <c r="AO154" s="26">
        <f t="shared" si="180"/>
        <v>1</v>
      </c>
      <c r="AP154" s="26">
        <f t="shared" si="180"/>
        <v>1</v>
      </c>
      <c r="AQ154" s="26">
        <f t="shared" si="181"/>
        <v>1</v>
      </c>
      <c r="AR154" s="26">
        <f t="shared" si="181"/>
        <v>0.2</v>
      </c>
      <c r="AS154" s="26">
        <f t="shared" si="181"/>
        <v>0.2</v>
      </c>
      <c r="AT154" s="26">
        <f t="shared" si="181"/>
        <v>0.2</v>
      </c>
      <c r="AU154" s="26">
        <f t="shared" si="181"/>
        <v>0.2</v>
      </c>
      <c r="AV154" s="26">
        <f t="shared" si="181"/>
        <v>0.2</v>
      </c>
      <c r="AW154" s="26">
        <f t="shared" si="181"/>
        <v>0.1</v>
      </c>
      <c r="AX154" s="26">
        <f t="shared" si="181"/>
        <v>0.05</v>
      </c>
      <c r="AY154" s="26">
        <f t="shared" si="181"/>
        <v>0.05</v>
      </c>
      <c r="AZ154" s="26">
        <f t="shared" si="181"/>
        <v>0.05</v>
      </c>
      <c r="BA154" s="26">
        <f t="shared" si="181"/>
        <v>0.05</v>
      </c>
      <c r="BB154" s="26">
        <f t="shared" si="181"/>
        <v>2.5000000000000001E-2</v>
      </c>
      <c r="BC154" s="26">
        <f t="shared" si="182"/>
        <v>1.5</v>
      </c>
      <c r="BD154" s="26">
        <f t="shared" si="182"/>
        <v>1.5</v>
      </c>
      <c r="BE154" s="26">
        <f t="shared" si="182"/>
        <v>1.5</v>
      </c>
      <c r="BF154" s="26">
        <f t="shared" si="182"/>
        <v>1.5</v>
      </c>
      <c r="BG154" s="26">
        <f t="shared" si="182"/>
        <v>1.5</v>
      </c>
      <c r="BH154" s="26">
        <f t="shared" si="182"/>
        <v>0.05</v>
      </c>
      <c r="BI154" s="26">
        <f t="shared" si="182"/>
        <v>1</v>
      </c>
      <c r="BJ154" s="26">
        <f t="shared" si="182"/>
        <v>1</v>
      </c>
      <c r="BK154" s="26">
        <f t="shared" si="182"/>
        <v>1</v>
      </c>
      <c r="BL154" s="26">
        <f t="shared" si="182"/>
        <v>1</v>
      </c>
      <c r="BM154" s="26">
        <f t="shared" si="183"/>
        <v>1</v>
      </c>
      <c r="BN154" s="26">
        <f t="shared" si="183"/>
        <v>0.2</v>
      </c>
      <c r="BO154" s="26">
        <f t="shared" si="183"/>
        <v>0.2</v>
      </c>
      <c r="BP154" s="26">
        <f t="shared" si="183"/>
        <v>0.2</v>
      </c>
      <c r="BQ154" s="26">
        <f t="shared" si="183"/>
        <v>0.2</v>
      </c>
      <c r="BR154" s="26">
        <f t="shared" si="183"/>
        <v>0.2</v>
      </c>
      <c r="BS154" s="26">
        <f t="shared" si="183"/>
        <v>0.1</v>
      </c>
      <c r="BT154" s="26">
        <f t="shared" si="183"/>
        <v>0.05</v>
      </c>
      <c r="BU154" s="26">
        <f t="shared" si="183"/>
        <v>0.05</v>
      </c>
      <c r="BV154" s="26">
        <f t="shared" si="183"/>
        <v>0.05</v>
      </c>
      <c r="BW154" s="26">
        <f t="shared" si="183"/>
        <v>0.05</v>
      </c>
      <c r="BX154" s="26">
        <f t="shared" si="183"/>
        <v>2.5000000000000001E-2</v>
      </c>
      <c r="BY154" s="26">
        <f t="shared" si="184"/>
        <v>1.5</v>
      </c>
      <c r="BZ154" s="26">
        <f t="shared" si="184"/>
        <v>1.5</v>
      </c>
      <c r="CA154" s="26">
        <f t="shared" si="184"/>
        <v>1.5</v>
      </c>
      <c r="CB154" s="26">
        <f t="shared" si="184"/>
        <v>1.5</v>
      </c>
      <c r="CC154" s="26">
        <f t="shared" si="184"/>
        <v>1.5</v>
      </c>
      <c r="CD154" s="26">
        <f t="shared" si="184"/>
        <v>0.05</v>
      </c>
      <c r="CE154" s="26">
        <f t="shared" si="184"/>
        <v>1</v>
      </c>
      <c r="CF154" s="26">
        <f t="shared" si="184"/>
        <v>1</v>
      </c>
      <c r="CG154" s="26">
        <f t="shared" si="184"/>
        <v>1</v>
      </c>
      <c r="CH154" s="26">
        <f t="shared" si="184"/>
        <v>1</v>
      </c>
      <c r="CI154" s="26">
        <f t="shared" si="185"/>
        <v>1</v>
      </c>
      <c r="CJ154" s="26">
        <f t="shared" si="185"/>
        <v>0.2</v>
      </c>
      <c r="CK154" s="26">
        <f t="shared" si="185"/>
        <v>0.2</v>
      </c>
      <c r="CL154" s="26">
        <f t="shared" si="185"/>
        <v>0.2</v>
      </c>
      <c r="CM154" s="26">
        <f t="shared" si="185"/>
        <v>0.2</v>
      </c>
      <c r="CN154" s="26">
        <f t="shared" si="185"/>
        <v>0.2</v>
      </c>
      <c r="CO154" s="26">
        <f t="shared" si="185"/>
        <v>0.1</v>
      </c>
      <c r="CP154" s="26">
        <f t="shared" si="185"/>
        <v>0.05</v>
      </c>
      <c r="CQ154" s="26">
        <f t="shared" si="185"/>
        <v>0.05</v>
      </c>
      <c r="CR154" s="26">
        <f t="shared" si="185"/>
        <v>0.05</v>
      </c>
      <c r="CS154" s="26">
        <f t="shared" si="185"/>
        <v>0.05</v>
      </c>
      <c r="CT154" s="26">
        <f t="shared" si="185"/>
        <v>2.5000000000000001E-2</v>
      </c>
      <c r="CU154" s="26">
        <f t="shared" si="186"/>
        <v>1.5</v>
      </c>
      <c r="CV154" s="26">
        <f t="shared" si="186"/>
        <v>1.5</v>
      </c>
      <c r="CW154" s="26">
        <f t="shared" si="186"/>
        <v>1.5</v>
      </c>
      <c r="CX154" s="26">
        <f t="shared" si="186"/>
        <v>1.5</v>
      </c>
      <c r="CY154" s="26">
        <f t="shared" si="186"/>
        <v>1.5</v>
      </c>
      <c r="CZ154" s="26">
        <f t="shared" si="186"/>
        <v>0.1</v>
      </c>
      <c r="DA154" s="26">
        <f t="shared" si="186"/>
        <v>1</v>
      </c>
      <c r="DB154" s="26">
        <f t="shared" si="186"/>
        <v>1</v>
      </c>
      <c r="DC154" s="26">
        <f t="shared" si="186"/>
        <v>1</v>
      </c>
      <c r="DD154" s="26">
        <f t="shared" si="186"/>
        <v>1</v>
      </c>
      <c r="DE154" s="26">
        <f t="shared" si="187"/>
        <v>1</v>
      </c>
      <c r="DF154" s="26">
        <f t="shared" si="187"/>
        <v>0.2</v>
      </c>
      <c r="DG154" s="26">
        <f t="shared" si="187"/>
        <v>0.2</v>
      </c>
      <c r="DH154" s="26">
        <f t="shared" si="187"/>
        <v>0.2</v>
      </c>
      <c r="DI154" s="26">
        <f t="shared" si="187"/>
        <v>0.2</v>
      </c>
      <c r="DJ154" s="26">
        <f t="shared" si="187"/>
        <v>0.2</v>
      </c>
      <c r="DK154" s="26">
        <f t="shared" si="187"/>
        <v>0.1</v>
      </c>
      <c r="DL154" s="26">
        <f t="shared" si="187"/>
        <v>0.1</v>
      </c>
      <c r="DM154" s="26">
        <f t="shared" si="187"/>
        <v>0.1</v>
      </c>
      <c r="DN154" s="26">
        <f t="shared" si="187"/>
        <v>0.05</v>
      </c>
      <c r="DO154" s="26">
        <f t="shared" si="187"/>
        <v>0.05</v>
      </c>
      <c r="DP154" s="26">
        <f t="shared" si="187"/>
        <v>0.05</v>
      </c>
      <c r="DQ154" s="26">
        <f t="shared" si="188"/>
        <v>1.5</v>
      </c>
      <c r="DR154" s="26">
        <f t="shared" si="188"/>
        <v>1.5</v>
      </c>
      <c r="DS154" s="26">
        <f t="shared" si="188"/>
        <v>1.5</v>
      </c>
      <c r="DT154" s="26">
        <f t="shared" si="188"/>
        <v>1.5</v>
      </c>
      <c r="DU154" s="26">
        <f t="shared" si="188"/>
        <v>1.5</v>
      </c>
      <c r="DV154" s="26">
        <f t="shared" si="188"/>
        <v>0.1</v>
      </c>
      <c r="DW154" s="26">
        <f t="shared" si="188"/>
        <v>1</v>
      </c>
      <c r="DX154" s="26">
        <f t="shared" si="188"/>
        <v>1</v>
      </c>
      <c r="DY154" s="26">
        <f t="shared" si="188"/>
        <v>1</v>
      </c>
      <c r="DZ154" s="26">
        <f t="shared" si="188"/>
        <v>1</v>
      </c>
      <c r="EA154" s="26">
        <f t="shared" si="189"/>
        <v>1</v>
      </c>
      <c r="EB154" s="26">
        <f t="shared" si="189"/>
        <v>0.2</v>
      </c>
      <c r="EC154" s="26">
        <f t="shared" si="189"/>
        <v>0.2</v>
      </c>
      <c r="ED154" s="26">
        <f t="shared" si="189"/>
        <v>0.2</v>
      </c>
      <c r="EE154" s="26">
        <f t="shared" si="189"/>
        <v>0.2</v>
      </c>
      <c r="EF154" s="26">
        <f t="shared" si="189"/>
        <v>0.2</v>
      </c>
      <c r="EG154" s="26">
        <f t="shared" si="189"/>
        <v>0.1</v>
      </c>
      <c r="EH154" s="26">
        <f t="shared" si="189"/>
        <v>0.1</v>
      </c>
      <c r="EI154" s="26">
        <f t="shared" si="189"/>
        <v>0.1</v>
      </c>
      <c r="EJ154" s="26">
        <f t="shared" si="189"/>
        <v>0.05</v>
      </c>
      <c r="EK154" s="26">
        <f t="shared" si="189"/>
        <v>0.05</v>
      </c>
      <c r="EL154" s="26">
        <f t="shared" si="189"/>
        <v>0.05</v>
      </c>
      <c r="EM154" s="26">
        <f t="shared" si="165"/>
        <v>589257</v>
      </c>
      <c r="EN154" s="26">
        <f t="shared" si="166"/>
        <v>589257</v>
      </c>
      <c r="EO154" s="26">
        <f t="shared" si="167"/>
        <v>589257</v>
      </c>
      <c r="EP154" s="26">
        <f t="shared" si="168"/>
        <v>771411</v>
      </c>
      <c r="EQ154" s="26">
        <f t="shared" si="169"/>
        <v>771411</v>
      </c>
    </row>
    <row r="155" spans="17:147">
      <c r="Q155" s="26">
        <v>151</v>
      </c>
      <c r="R155" s="26">
        <f>总纲!D155</f>
        <v>35118.87282038921</v>
      </c>
      <c r="S155" s="26">
        <f>求节点(将星点产出!$W$6:$W$44,将星点产出!$AO$6:$AO$44,星阵点亮!$Q155)</f>
        <v>997350</v>
      </c>
      <c r="T155" s="26">
        <f t="shared" si="160"/>
        <v>59</v>
      </c>
      <c r="U155" s="26">
        <f>总纲!E155</f>
        <v>29671.935645946844</v>
      </c>
      <c r="V155" s="26">
        <f>求节点(将星点产出!$W$51:$W$89,将星点产出!$AO$51:$AO$89,星阵点亮!$Q155)</f>
        <v>997350</v>
      </c>
      <c r="W155" s="26">
        <f t="shared" si="161"/>
        <v>59</v>
      </c>
      <c r="X155" s="26">
        <f>总纲!F155</f>
        <v>23592.858760737468</v>
      </c>
      <c r="Y155" s="26">
        <f>求节点(将星点产出!$W$96:$W$134,将星点产出!$AO$96:$AO$134,星阵点亮!$Q155)</f>
        <v>997350</v>
      </c>
      <c r="Z155" s="26">
        <f t="shared" si="162"/>
        <v>59</v>
      </c>
      <c r="AA155" s="26">
        <f>总纲!G155</f>
        <v>16804.380644556237</v>
      </c>
      <c r="AB155" s="26">
        <f>求节点(将星点产出!$W$141:$W$179,将星点产出!$AO$141:$AO$179,星阵点亮!$Q155)</f>
        <v>1304550</v>
      </c>
      <c r="AC155" s="26">
        <f t="shared" si="163"/>
        <v>66</v>
      </c>
      <c r="AD155" s="26">
        <f>总纲!H155</f>
        <v>9095.7880604808051</v>
      </c>
      <c r="AE155" s="26">
        <f>求节点(将星点产出!$W$186:$W$224,将星点产出!$AO$186:$AO$224,星阵点亮!$Q155)</f>
        <v>1304550</v>
      </c>
      <c r="AF155" s="26">
        <f t="shared" si="164"/>
        <v>66</v>
      </c>
      <c r="AG155" s="26">
        <f t="shared" ref="AG155:AP164" si="190">SUMIFS($J$5:$J$76,$I$5:$I$76,AG$4,$H$5:$H$76,"&lt;="&amp;$T155)</f>
        <v>1.5</v>
      </c>
      <c r="AH155" s="26">
        <f t="shared" si="190"/>
        <v>1.5</v>
      </c>
      <c r="AI155" s="26">
        <f t="shared" si="190"/>
        <v>1.5</v>
      </c>
      <c r="AJ155" s="26">
        <f t="shared" si="190"/>
        <v>1.5</v>
      </c>
      <c r="AK155" s="26">
        <f t="shared" si="190"/>
        <v>1.5</v>
      </c>
      <c r="AL155" s="26">
        <f t="shared" si="190"/>
        <v>0.05</v>
      </c>
      <c r="AM155" s="26">
        <f t="shared" si="190"/>
        <v>1</v>
      </c>
      <c r="AN155" s="26">
        <f t="shared" si="190"/>
        <v>1</v>
      </c>
      <c r="AO155" s="26">
        <f t="shared" si="190"/>
        <v>1</v>
      </c>
      <c r="AP155" s="26">
        <f t="shared" si="190"/>
        <v>1</v>
      </c>
      <c r="AQ155" s="26">
        <f t="shared" ref="AQ155:BB164" si="191">SUMIFS($J$5:$J$76,$I$5:$I$76,AQ$4,$H$5:$H$76,"&lt;="&amp;$T155)</f>
        <v>1</v>
      </c>
      <c r="AR155" s="26">
        <f t="shared" si="191"/>
        <v>0.2</v>
      </c>
      <c r="AS155" s="26">
        <f t="shared" si="191"/>
        <v>0.2</v>
      </c>
      <c r="AT155" s="26">
        <f t="shared" si="191"/>
        <v>0.2</v>
      </c>
      <c r="AU155" s="26">
        <f t="shared" si="191"/>
        <v>0.2</v>
      </c>
      <c r="AV155" s="26">
        <f t="shared" si="191"/>
        <v>0.2</v>
      </c>
      <c r="AW155" s="26">
        <f t="shared" si="191"/>
        <v>0.1</v>
      </c>
      <c r="AX155" s="26">
        <f t="shared" si="191"/>
        <v>0.05</v>
      </c>
      <c r="AY155" s="26">
        <f t="shared" si="191"/>
        <v>0.05</v>
      </c>
      <c r="AZ155" s="26">
        <f t="shared" si="191"/>
        <v>0.05</v>
      </c>
      <c r="BA155" s="26">
        <f t="shared" si="191"/>
        <v>0.05</v>
      </c>
      <c r="BB155" s="26">
        <f t="shared" si="191"/>
        <v>2.5000000000000001E-2</v>
      </c>
      <c r="BC155" s="26">
        <f t="shared" ref="BC155:BL164" si="192">SUMIFS($J$5:$J$76,$I$5:$I$76,BC$4,$H$5:$H$76,"&lt;="&amp;$W155)</f>
        <v>1.5</v>
      </c>
      <c r="BD155" s="26">
        <f t="shared" si="192"/>
        <v>1.5</v>
      </c>
      <c r="BE155" s="26">
        <f t="shared" si="192"/>
        <v>1.5</v>
      </c>
      <c r="BF155" s="26">
        <f t="shared" si="192"/>
        <v>1.5</v>
      </c>
      <c r="BG155" s="26">
        <f t="shared" si="192"/>
        <v>1.5</v>
      </c>
      <c r="BH155" s="26">
        <f t="shared" si="192"/>
        <v>0.05</v>
      </c>
      <c r="BI155" s="26">
        <f t="shared" si="192"/>
        <v>1</v>
      </c>
      <c r="BJ155" s="26">
        <f t="shared" si="192"/>
        <v>1</v>
      </c>
      <c r="BK155" s="26">
        <f t="shared" si="192"/>
        <v>1</v>
      </c>
      <c r="BL155" s="26">
        <f t="shared" si="192"/>
        <v>1</v>
      </c>
      <c r="BM155" s="26">
        <f t="shared" ref="BM155:BX164" si="193">SUMIFS($J$5:$J$76,$I$5:$I$76,BM$4,$H$5:$H$76,"&lt;="&amp;$W155)</f>
        <v>1</v>
      </c>
      <c r="BN155" s="26">
        <f t="shared" si="193"/>
        <v>0.2</v>
      </c>
      <c r="BO155" s="26">
        <f t="shared" si="193"/>
        <v>0.2</v>
      </c>
      <c r="BP155" s="26">
        <f t="shared" si="193"/>
        <v>0.2</v>
      </c>
      <c r="BQ155" s="26">
        <f t="shared" si="193"/>
        <v>0.2</v>
      </c>
      <c r="BR155" s="26">
        <f t="shared" si="193"/>
        <v>0.2</v>
      </c>
      <c r="BS155" s="26">
        <f t="shared" si="193"/>
        <v>0.1</v>
      </c>
      <c r="BT155" s="26">
        <f t="shared" si="193"/>
        <v>0.05</v>
      </c>
      <c r="BU155" s="26">
        <f t="shared" si="193"/>
        <v>0.05</v>
      </c>
      <c r="BV155" s="26">
        <f t="shared" si="193"/>
        <v>0.05</v>
      </c>
      <c r="BW155" s="26">
        <f t="shared" si="193"/>
        <v>0.05</v>
      </c>
      <c r="BX155" s="26">
        <f t="shared" si="193"/>
        <v>2.5000000000000001E-2</v>
      </c>
      <c r="BY155" s="26">
        <f t="shared" ref="BY155:CH164" si="194">SUMIFS($J$5:$J$76,$I$5:$I$76,BY$4,$H$5:$H$76,"&lt;="&amp;$Z155)</f>
        <v>1.5</v>
      </c>
      <c r="BZ155" s="26">
        <f t="shared" si="194"/>
        <v>1.5</v>
      </c>
      <c r="CA155" s="26">
        <f t="shared" si="194"/>
        <v>1.5</v>
      </c>
      <c r="CB155" s="26">
        <f t="shared" si="194"/>
        <v>1.5</v>
      </c>
      <c r="CC155" s="26">
        <f t="shared" si="194"/>
        <v>1.5</v>
      </c>
      <c r="CD155" s="26">
        <f t="shared" si="194"/>
        <v>0.05</v>
      </c>
      <c r="CE155" s="26">
        <f t="shared" si="194"/>
        <v>1</v>
      </c>
      <c r="CF155" s="26">
        <f t="shared" si="194"/>
        <v>1</v>
      </c>
      <c r="CG155" s="26">
        <f t="shared" si="194"/>
        <v>1</v>
      </c>
      <c r="CH155" s="26">
        <f t="shared" si="194"/>
        <v>1</v>
      </c>
      <c r="CI155" s="26">
        <f t="shared" ref="CI155:CT164" si="195">SUMIFS($J$5:$J$76,$I$5:$I$76,CI$4,$H$5:$H$76,"&lt;="&amp;$Z155)</f>
        <v>1</v>
      </c>
      <c r="CJ155" s="26">
        <f t="shared" si="195"/>
        <v>0.2</v>
      </c>
      <c r="CK155" s="26">
        <f t="shared" si="195"/>
        <v>0.2</v>
      </c>
      <c r="CL155" s="26">
        <f t="shared" si="195"/>
        <v>0.2</v>
      </c>
      <c r="CM155" s="26">
        <f t="shared" si="195"/>
        <v>0.2</v>
      </c>
      <c r="CN155" s="26">
        <f t="shared" si="195"/>
        <v>0.2</v>
      </c>
      <c r="CO155" s="26">
        <f t="shared" si="195"/>
        <v>0.1</v>
      </c>
      <c r="CP155" s="26">
        <f t="shared" si="195"/>
        <v>0.05</v>
      </c>
      <c r="CQ155" s="26">
        <f t="shared" si="195"/>
        <v>0.05</v>
      </c>
      <c r="CR155" s="26">
        <f t="shared" si="195"/>
        <v>0.05</v>
      </c>
      <c r="CS155" s="26">
        <f t="shared" si="195"/>
        <v>0.05</v>
      </c>
      <c r="CT155" s="26">
        <f t="shared" si="195"/>
        <v>2.5000000000000001E-2</v>
      </c>
      <c r="CU155" s="26">
        <f t="shared" ref="CU155:DD164" si="196">SUMIFS($J$5:$J$76,$I$5:$I$76,CU$4,$H$5:$H$76,"&lt;="&amp;$AC155)</f>
        <v>1.5</v>
      </c>
      <c r="CV155" s="26">
        <f t="shared" si="196"/>
        <v>1.5</v>
      </c>
      <c r="CW155" s="26">
        <f t="shared" si="196"/>
        <v>1.5</v>
      </c>
      <c r="CX155" s="26">
        <f t="shared" si="196"/>
        <v>1.5</v>
      </c>
      <c r="CY155" s="26">
        <f t="shared" si="196"/>
        <v>1.5</v>
      </c>
      <c r="CZ155" s="26">
        <f t="shared" si="196"/>
        <v>0.1</v>
      </c>
      <c r="DA155" s="26">
        <f t="shared" si="196"/>
        <v>1</v>
      </c>
      <c r="DB155" s="26">
        <f t="shared" si="196"/>
        <v>1</v>
      </c>
      <c r="DC155" s="26">
        <f t="shared" si="196"/>
        <v>1</v>
      </c>
      <c r="DD155" s="26">
        <f t="shared" si="196"/>
        <v>1</v>
      </c>
      <c r="DE155" s="26">
        <f t="shared" ref="DE155:DP164" si="197">SUMIFS($J$5:$J$76,$I$5:$I$76,DE$4,$H$5:$H$76,"&lt;="&amp;$AC155)</f>
        <v>1</v>
      </c>
      <c r="DF155" s="26">
        <f t="shared" si="197"/>
        <v>0.2</v>
      </c>
      <c r="DG155" s="26">
        <f t="shared" si="197"/>
        <v>0.2</v>
      </c>
      <c r="DH155" s="26">
        <f t="shared" si="197"/>
        <v>0.2</v>
      </c>
      <c r="DI155" s="26">
        <f t="shared" si="197"/>
        <v>0.2</v>
      </c>
      <c r="DJ155" s="26">
        <f t="shared" si="197"/>
        <v>0.2</v>
      </c>
      <c r="DK155" s="26">
        <f t="shared" si="197"/>
        <v>0.1</v>
      </c>
      <c r="DL155" s="26">
        <f t="shared" si="197"/>
        <v>0.1</v>
      </c>
      <c r="DM155" s="26">
        <f t="shared" si="197"/>
        <v>0.1</v>
      </c>
      <c r="DN155" s="26">
        <f t="shared" si="197"/>
        <v>0.05</v>
      </c>
      <c r="DO155" s="26">
        <f t="shared" si="197"/>
        <v>0.05</v>
      </c>
      <c r="DP155" s="26">
        <f t="shared" si="197"/>
        <v>0.05</v>
      </c>
      <c r="DQ155" s="26">
        <f t="shared" ref="DQ155:DZ164" si="198">SUMIFS($J$5:$J$76,$I$5:$I$76,DQ$4,$H$5:$H$76,"&lt;="&amp;$AF155)</f>
        <v>1.5</v>
      </c>
      <c r="DR155" s="26">
        <f t="shared" si="198"/>
        <v>1.5</v>
      </c>
      <c r="DS155" s="26">
        <f t="shared" si="198"/>
        <v>1.5</v>
      </c>
      <c r="DT155" s="26">
        <f t="shared" si="198"/>
        <v>1.5</v>
      </c>
      <c r="DU155" s="26">
        <f t="shared" si="198"/>
        <v>1.5</v>
      </c>
      <c r="DV155" s="26">
        <f t="shared" si="198"/>
        <v>0.1</v>
      </c>
      <c r="DW155" s="26">
        <f t="shared" si="198"/>
        <v>1</v>
      </c>
      <c r="DX155" s="26">
        <f t="shared" si="198"/>
        <v>1</v>
      </c>
      <c r="DY155" s="26">
        <f t="shared" si="198"/>
        <v>1</v>
      </c>
      <c r="DZ155" s="26">
        <f t="shared" si="198"/>
        <v>1</v>
      </c>
      <c r="EA155" s="26">
        <f t="shared" ref="EA155:EL164" si="199">SUMIFS($J$5:$J$76,$I$5:$I$76,EA$4,$H$5:$H$76,"&lt;="&amp;$AF155)</f>
        <v>1</v>
      </c>
      <c r="EB155" s="26">
        <f t="shared" si="199"/>
        <v>0.2</v>
      </c>
      <c r="EC155" s="26">
        <f t="shared" si="199"/>
        <v>0.2</v>
      </c>
      <c r="ED155" s="26">
        <f t="shared" si="199"/>
        <v>0.2</v>
      </c>
      <c r="EE155" s="26">
        <f t="shared" si="199"/>
        <v>0.2</v>
      </c>
      <c r="EF155" s="26">
        <f t="shared" si="199"/>
        <v>0.2</v>
      </c>
      <c r="EG155" s="26">
        <f t="shared" si="199"/>
        <v>0.1</v>
      </c>
      <c r="EH155" s="26">
        <f t="shared" si="199"/>
        <v>0.1</v>
      </c>
      <c r="EI155" s="26">
        <f t="shared" si="199"/>
        <v>0.1</v>
      </c>
      <c r="EJ155" s="26">
        <f t="shared" si="199"/>
        <v>0.05</v>
      </c>
      <c r="EK155" s="26">
        <f t="shared" si="199"/>
        <v>0.05</v>
      </c>
      <c r="EL155" s="26">
        <f t="shared" si="199"/>
        <v>0.05</v>
      </c>
      <c r="EM155" s="26">
        <f t="shared" si="165"/>
        <v>589257</v>
      </c>
      <c r="EN155" s="26">
        <f t="shared" si="166"/>
        <v>589257</v>
      </c>
      <c r="EO155" s="26">
        <f t="shared" si="167"/>
        <v>589257</v>
      </c>
      <c r="EP155" s="26">
        <f t="shared" si="168"/>
        <v>771411</v>
      </c>
      <c r="EQ155" s="26">
        <f t="shared" si="169"/>
        <v>771411</v>
      </c>
    </row>
    <row r="156" spans="17:147">
      <c r="Q156" s="26">
        <v>152</v>
      </c>
      <c r="R156" s="26">
        <f>总纲!D156</f>
        <v>37639.547696542824</v>
      </c>
      <c r="S156" s="26">
        <f>求节点(将星点产出!$W$6:$W$44,将星点产出!$AO$6:$AO$44,星阵点亮!$Q156)</f>
        <v>997350</v>
      </c>
      <c r="T156" s="26">
        <f t="shared" si="160"/>
        <v>59</v>
      </c>
      <c r="U156" s="26">
        <f>总纲!E156</f>
        <v>31794.125939269725</v>
      </c>
      <c r="V156" s="26">
        <f>求节点(将星点产出!$W$51:$W$89,将星点产出!$AO$51:$AO$89,星阵点亮!$Q156)</f>
        <v>997350</v>
      </c>
      <c r="W156" s="26">
        <f t="shared" si="161"/>
        <v>59</v>
      </c>
      <c r="X156" s="26">
        <f>总纲!F156</f>
        <v>25425.514469014677</v>
      </c>
      <c r="Y156" s="26">
        <f>求节点(将星点产出!$W$96:$W$134,将星点产出!$AO$96:$AO$134,星阵点亮!$Q156)</f>
        <v>997350</v>
      </c>
      <c r="Z156" s="26">
        <f t="shared" si="162"/>
        <v>59</v>
      </c>
      <c r="AA156" s="26">
        <f>总纲!G156</f>
        <v>18255.180632823271</v>
      </c>
      <c r="AB156" s="26">
        <f>求节点(将星点产出!$W$141:$W$179,将星点产出!$AO$141:$AO$179,星阵点亮!$Q156)</f>
        <v>1304550</v>
      </c>
      <c r="AC156" s="26">
        <f t="shared" si="163"/>
        <v>66</v>
      </c>
      <c r="AD156" s="26">
        <f>总纲!H156</f>
        <v>14114.830386203559</v>
      </c>
      <c r="AE156" s="26">
        <f>求节点(将星点产出!$W$186:$W$224,将星点产出!$AO$186:$AO$224,星阵点亮!$Q156)</f>
        <v>1304550</v>
      </c>
      <c r="AF156" s="26">
        <f t="shared" si="164"/>
        <v>66</v>
      </c>
      <c r="AG156" s="26">
        <f t="shared" si="190"/>
        <v>1.5</v>
      </c>
      <c r="AH156" s="26">
        <f t="shared" si="190"/>
        <v>1.5</v>
      </c>
      <c r="AI156" s="26">
        <f t="shared" si="190"/>
        <v>1.5</v>
      </c>
      <c r="AJ156" s="26">
        <f t="shared" si="190"/>
        <v>1.5</v>
      </c>
      <c r="AK156" s="26">
        <f t="shared" si="190"/>
        <v>1.5</v>
      </c>
      <c r="AL156" s="26">
        <f t="shared" si="190"/>
        <v>0.05</v>
      </c>
      <c r="AM156" s="26">
        <f t="shared" si="190"/>
        <v>1</v>
      </c>
      <c r="AN156" s="26">
        <f t="shared" si="190"/>
        <v>1</v>
      </c>
      <c r="AO156" s="26">
        <f t="shared" si="190"/>
        <v>1</v>
      </c>
      <c r="AP156" s="26">
        <f t="shared" si="190"/>
        <v>1</v>
      </c>
      <c r="AQ156" s="26">
        <f t="shared" si="191"/>
        <v>1</v>
      </c>
      <c r="AR156" s="26">
        <f t="shared" si="191"/>
        <v>0.2</v>
      </c>
      <c r="AS156" s="26">
        <f t="shared" si="191"/>
        <v>0.2</v>
      </c>
      <c r="AT156" s="26">
        <f t="shared" si="191"/>
        <v>0.2</v>
      </c>
      <c r="AU156" s="26">
        <f t="shared" si="191"/>
        <v>0.2</v>
      </c>
      <c r="AV156" s="26">
        <f t="shared" si="191"/>
        <v>0.2</v>
      </c>
      <c r="AW156" s="26">
        <f t="shared" si="191"/>
        <v>0.1</v>
      </c>
      <c r="AX156" s="26">
        <f t="shared" si="191"/>
        <v>0.05</v>
      </c>
      <c r="AY156" s="26">
        <f t="shared" si="191"/>
        <v>0.05</v>
      </c>
      <c r="AZ156" s="26">
        <f t="shared" si="191"/>
        <v>0.05</v>
      </c>
      <c r="BA156" s="26">
        <f t="shared" si="191"/>
        <v>0.05</v>
      </c>
      <c r="BB156" s="26">
        <f t="shared" si="191"/>
        <v>2.5000000000000001E-2</v>
      </c>
      <c r="BC156" s="26">
        <f t="shared" si="192"/>
        <v>1.5</v>
      </c>
      <c r="BD156" s="26">
        <f t="shared" si="192"/>
        <v>1.5</v>
      </c>
      <c r="BE156" s="26">
        <f t="shared" si="192"/>
        <v>1.5</v>
      </c>
      <c r="BF156" s="26">
        <f t="shared" si="192"/>
        <v>1.5</v>
      </c>
      <c r="BG156" s="26">
        <f t="shared" si="192"/>
        <v>1.5</v>
      </c>
      <c r="BH156" s="26">
        <f t="shared" si="192"/>
        <v>0.05</v>
      </c>
      <c r="BI156" s="26">
        <f t="shared" si="192"/>
        <v>1</v>
      </c>
      <c r="BJ156" s="26">
        <f t="shared" si="192"/>
        <v>1</v>
      </c>
      <c r="BK156" s="26">
        <f t="shared" si="192"/>
        <v>1</v>
      </c>
      <c r="BL156" s="26">
        <f t="shared" si="192"/>
        <v>1</v>
      </c>
      <c r="BM156" s="26">
        <f t="shared" si="193"/>
        <v>1</v>
      </c>
      <c r="BN156" s="26">
        <f t="shared" si="193"/>
        <v>0.2</v>
      </c>
      <c r="BO156" s="26">
        <f t="shared" si="193"/>
        <v>0.2</v>
      </c>
      <c r="BP156" s="26">
        <f t="shared" si="193"/>
        <v>0.2</v>
      </c>
      <c r="BQ156" s="26">
        <f t="shared" si="193"/>
        <v>0.2</v>
      </c>
      <c r="BR156" s="26">
        <f t="shared" si="193"/>
        <v>0.2</v>
      </c>
      <c r="BS156" s="26">
        <f t="shared" si="193"/>
        <v>0.1</v>
      </c>
      <c r="BT156" s="26">
        <f t="shared" si="193"/>
        <v>0.05</v>
      </c>
      <c r="BU156" s="26">
        <f t="shared" si="193"/>
        <v>0.05</v>
      </c>
      <c r="BV156" s="26">
        <f t="shared" si="193"/>
        <v>0.05</v>
      </c>
      <c r="BW156" s="26">
        <f t="shared" si="193"/>
        <v>0.05</v>
      </c>
      <c r="BX156" s="26">
        <f t="shared" si="193"/>
        <v>2.5000000000000001E-2</v>
      </c>
      <c r="BY156" s="26">
        <f t="shared" si="194"/>
        <v>1.5</v>
      </c>
      <c r="BZ156" s="26">
        <f t="shared" si="194"/>
        <v>1.5</v>
      </c>
      <c r="CA156" s="26">
        <f t="shared" si="194"/>
        <v>1.5</v>
      </c>
      <c r="CB156" s="26">
        <f t="shared" si="194"/>
        <v>1.5</v>
      </c>
      <c r="CC156" s="26">
        <f t="shared" si="194"/>
        <v>1.5</v>
      </c>
      <c r="CD156" s="26">
        <f t="shared" si="194"/>
        <v>0.05</v>
      </c>
      <c r="CE156" s="26">
        <f t="shared" si="194"/>
        <v>1</v>
      </c>
      <c r="CF156" s="26">
        <f t="shared" si="194"/>
        <v>1</v>
      </c>
      <c r="CG156" s="26">
        <f t="shared" si="194"/>
        <v>1</v>
      </c>
      <c r="CH156" s="26">
        <f t="shared" si="194"/>
        <v>1</v>
      </c>
      <c r="CI156" s="26">
        <f t="shared" si="195"/>
        <v>1</v>
      </c>
      <c r="CJ156" s="26">
        <f t="shared" si="195"/>
        <v>0.2</v>
      </c>
      <c r="CK156" s="26">
        <f t="shared" si="195"/>
        <v>0.2</v>
      </c>
      <c r="CL156" s="26">
        <f t="shared" si="195"/>
        <v>0.2</v>
      </c>
      <c r="CM156" s="26">
        <f t="shared" si="195"/>
        <v>0.2</v>
      </c>
      <c r="CN156" s="26">
        <f t="shared" si="195"/>
        <v>0.2</v>
      </c>
      <c r="CO156" s="26">
        <f t="shared" si="195"/>
        <v>0.1</v>
      </c>
      <c r="CP156" s="26">
        <f t="shared" si="195"/>
        <v>0.05</v>
      </c>
      <c r="CQ156" s="26">
        <f t="shared" si="195"/>
        <v>0.05</v>
      </c>
      <c r="CR156" s="26">
        <f t="shared" si="195"/>
        <v>0.05</v>
      </c>
      <c r="CS156" s="26">
        <f t="shared" si="195"/>
        <v>0.05</v>
      </c>
      <c r="CT156" s="26">
        <f t="shared" si="195"/>
        <v>2.5000000000000001E-2</v>
      </c>
      <c r="CU156" s="26">
        <f t="shared" si="196"/>
        <v>1.5</v>
      </c>
      <c r="CV156" s="26">
        <f t="shared" si="196"/>
        <v>1.5</v>
      </c>
      <c r="CW156" s="26">
        <f t="shared" si="196"/>
        <v>1.5</v>
      </c>
      <c r="CX156" s="26">
        <f t="shared" si="196"/>
        <v>1.5</v>
      </c>
      <c r="CY156" s="26">
        <f t="shared" si="196"/>
        <v>1.5</v>
      </c>
      <c r="CZ156" s="26">
        <f t="shared" si="196"/>
        <v>0.1</v>
      </c>
      <c r="DA156" s="26">
        <f t="shared" si="196"/>
        <v>1</v>
      </c>
      <c r="DB156" s="26">
        <f t="shared" si="196"/>
        <v>1</v>
      </c>
      <c r="DC156" s="26">
        <f t="shared" si="196"/>
        <v>1</v>
      </c>
      <c r="DD156" s="26">
        <f t="shared" si="196"/>
        <v>1</v>
      </c>
      <c r="DE156" s="26">
        <f t="shared" si="197"/>
        <v>1</v>
      </c>
      <c r="DF156" s="26">
        <f t="shared" si="197"/>
        <v>0.2</v>
      </c>
      <c r="DG156" s="26">
        <f t="shared" si="197"/>
        <v>0.2</v>
      </c>
      <c r="DH156" s="26">
        <f t="shared" si="197"/>
        <v>0.2</v>
      </c>
      <c r="DI156" s="26">
        <f t="shared" si="197"/>
        <v>0.2</v>
      </c>
      <c r="DJ156" s="26">
        <f t="shared" si="197"/>
        <v>0.2</v>
      </c>
      <c r="DK156" s="26">
        <f t="shared" si="197"/>
        <v>0.1</v>
      </c>
      <c r="DL156" s="26">
        <f t="shared" si="197"/>
        <v>0.1</v>
      </c>
      <c r="DM156" s="26">
        <f t="shared" si="197"/>
        <v>0.1</v>
      </c>
      <c r="DN156" s="26">
        <f t="shared" si="197"/>
        <v>0.05</v>
      </c>
      <c r="DO156" s="26">
        <f t="shared" si="197"/>
        <v>0.05</v>
      </c>
      <c r="DP156" s="26">
        <f t="shared" si="197"/>
        <v>0.05</v>
      </c>
      <c r="DQ156" s="26">
        <f t="shared" si="198"/>
        <v>1.5</v>
      </c>
      <c r="DR156" s="26">
        <f t="shared" si="198"/>
        <v>1.5</v>
      </c>
      <c r="DS156" s="26">
        <f t="shared" si="198"/>
        <v>1.5</v>
      </c>
      <c r="DT156" s="26">
        <f t="shared" si="198"/>
        <v>1.5</v>
      </c>
      <c r="DU156" s="26">
        <f t="shared" si="198"/>
        <v>1.5</v>
      </c>
      <c r="DV156" s="26">
        <f t="shared" si="198"/>
        <v>0.1</v>
      </c>
      <c r="DW156" s="26">
        <f t="shared" si="198"/>
        <v>1</v>
      </c>
      <c r="DX156" s="26">
        <f t="shared" si="198"/>
        <v>1</v>
      </c>
      <c r="DY156" s="26">
        <f t="shared" si="198"/>
        <v>1</v>
      </c>
      <c r="DZ156" s="26">
        <f t="shared" si="198"/>
        <v>1</v>
      </c>
      <c r="EA156" s="26">
        <f t="shared" si="199"/>
        <v>1</v>
      </c>
      <c r="EB156" s="26">
        <f t="shared" si="199"/>
        <v>0.2</v>
      </c>
      <c r="EC156" s="26">
        <f t="shared" si="199"/>
        <v>0.2</v>
      </c>
      <c r="ED156" s="26">
        <f t="shared" si="199"/>
        <v>0.2</v>
      </c>
      <c r="EE156" s="26">
        <f t="shared" si="199"/>
        <v>0.2</v>
      </c>
      <c r="EF156" s="26">
        <f t="shared" si="199"/>
        <v>0.2</v>
      </c>
      <c r="EG156" s="26">
        <f t="shared" si="199"/>
        <v>0.1</v>
      </c>
      <c r="EH156" s="26">
        <f t="shared" si="199"/>
        <v>0.1</v>
      </c>
      <c r="EI156" s="26">
        <f t="shared" si="199"/>
        <v>0.1</v>
      </c>
      <c r="EJ156" s="26">
        <f t="shared" si="199"/>
        <v>0.05</v>
      </c>
      <c r="EK156" s="26">
        <f t="shared" si="199"/>
        <v>0.05</v>
      </c>
      <c r="EL156" s="26">
        <f t="shared" si="199"/>
        <v>0.05</v>
      </c>
      <c r="EM156" s="26">
        <f t="shared" si="165"/>
        <v>589257</v>
      </c>
      <c r="EN156" s="26">
        <f t="shared" si="166"/>
        <v>589257</v>
      </c>
      <c r="EO156" s="26">
        <f t="shared" si="167"/>
        <v>589257</v>
      </c>
      <c r="EP156" s="26">
        <f t="shared" si="168"/>
        <v>771411</v>
      </c>
      <c r="EQ156" s="26">
        <f t="shared" si="169"/>
        <v>771411</v>
      </c>
    </row>
    <row r="157" spans="17:147">
      <c r="Q157" s="26">
        <v>153</v>
      </c>
      <c r="R157" s="26">
        <f>总纲!D157</f>
        <v>40341.140136486232</v>
      </c>
      <c r="S157" s="26">
        <f>求节点(将星点产出!$W$6:$W$44,将星点产出!$AO$6:$AO$44,星阵点亮!$Q157)</f>
        <v>997350</v>
      </c>
      <c r="T157" s="26">
        <f t="shared" si="160"/>
        <v>59</v>
      </c>
      <c r="U157" s="26">
        <f>总纲!E157</f>
        <v>34330.31025614978</v>
      </c>
      <c r="V157" s="26">
        <f>求节点(将星点产出!$W$51:$W$89,将星点产出!$AO$51:$AO$89,星阵点亮!$Q157)</f>
        <v>997350</v>
      </c>
      <c r="W157" s="26">
        <f t="shared" si="161"/>
        <v>59</v>
      </c>
      <c r="X157" s="26">
        <f>总纲!F157</f>
        <v>27552.998713220099</v>
      </c>
      <c r="Y157" s="26">
        <f>求节点(将星点产出!$W$96:$W$134,将星点产出!$AO$96:$AO$134,星阵点亮!$Q157)</f>
        <v>997350</v>
      </c>
      <c r="Z157" s="26">
        <f t="shared" si="162"/>
        <v>59</v>
      </c>
      <c r="AA157" s="26">
        <f>总纲!G157</f>
        <v>24204.684081891737</v>
      </c>
      <c r="AB157" s="26">
        <f>求节点(将星点产出!$W$141:$W$179,将星点产出!$AO$141:$AO$179,星阵点亮!$Q157)</f>
        <v>1304550</v>
      </c>
      <c r="AC157" s="26">
        <f t="shared" si="163"/>
        <v>66</v>
      </c>
      <c r="AD157" s="26">
        <f>总纲!H157</f>
        <v>24204.684081891737</v>
      </c>
      <c r="AE157" s="26">
        <f>求节点(将星点产出!$W$186:$W$224,将星点产出!$AO$186:$AO$224,星阵点亮!$Q157)</f>
        <v>1304550</v>
      </c>
      <c r="AF157" s="26">
        <f t="shared" si="164"/>
        <v>66</v>
      </c>
      <c r="AG157" s="26">
        <f t="shared" si="190"/>
        <v>1.5</v>
      </c>
      <c r="AH157" s="26">
        <f t="shared" si="190"/>
        <v>1.5</v>
      </c>
      <c r="AI157" s="26">
        <f t="shared" si="190"/>
        <v>1.5</v>
      </c>
      <c r="AJ157" s="26">
        <f t="shared" si="190"/>
        <v>1.5</v>
      </c>
      <c r="AK157" s="26">
        <f t="shared" si="190"/>
        <v>1.5</v>
      </c>
      <c r="AL157" s="26">
        <f t="shared" si="190"/>
        <v>0.05</v>
      </c>
      <c r="AM157" s="26">
        <f t="shared" si="190"/>
        <v>1</v>
      </c>
      <c r="AN157" s="26">
        <f t="shared" si="190"/>
        <v>1</v>
      </c>
      <c r="AO157" s="26">
        <f t="shared" si="190"/>
        <v>1</v>
      </c>
      <c r="AP157" s="26">
        <f t="shared" si="190"/>
        <v>1</v>
      </c>
      <c r="AQ157" s="26">
        <f t="shared" si="191"/>
        <v>1</v>
      </c>
      <c r="AR157" s="26">
        <f t="shared" si="191"/>
        <v>0.2</v>
      </c>
      <c r="AS157" s="26">
        <f t="shared" si="191"/>
        <v>0.2</v>
      </c>
      <c r="AT157" s="26">
        <f t="shared" si="191"/>
        <v>0.2</v>
      </c>
      <c r="AU157" s="26">
        <f t="shared" si="191"/>
        <v>0.2</v>
      </c>
      <c r="AV157" s="26">
        <f t="shared" si="191"/>
        <v>0.2</v>
      </c>
      <c r="AW157" s="26">
        <f t="shared" si="191"/>
        <v>0.1</v>
      </c>
      <c r="AX157" s="26">
        <f t="shared" si="191"/>
        <v>0.05</v>
      </c>
      <c r="AY157" s="26">
        <f t="shared" si="191"/>
        <v>0.05</v>
      </c>
      <c r="AZ157" s="26">
        <f t="shared" si="191"/>
        <v>0.05</v>
      </c>
      <c r="BA157" s="26">
        <f t="shared" si="191"/>
        <v>0.05</v>
      </c>
      <c r="BB157" s="26">
        <f t="shared" si="191"/>
        <v>2.5000000000000001E-2</v>
      </c>
      <c r="BC157" s="26">
        <f t="shared" si="192"/>
        <v>1.5</v>
      </c>
      <c r="BD157" s="26">
        <f t="shared" si="192"/>
        <v>1.5</v>
      </c>
      <c r="BE157" s="26">
        <f t="shared" si="192"/>
        <v>1.5</v>
      </c>
      <c r="BF157" s="26">
        <f t="shared" si="192"/>
        <v>1.5</v>
      </c>
      <c r="BG157" s="26">
        <f t="shared" si="192"/>
        <v>1.5</v>
      </c>
      <c r="BH157" s="26">
        <f t="shared" si="192"/>
        <v>0.05</v>
      </c>
      <c r="BI157" s="26">
        <f t="shared" si="192"/>
        <v>1</v>
      </c>
      <c r="BJ157" s="26">
        <f t="shared" si="192"/>
        <v>1</v>
      </c>
      <c r="BK157" s="26">
        <f t="shared" si="192"/>
        <v>1</v>
      </c>
      <c r="BL157" s="26">
        <f t="shared" si="192"/>
        <v>1</v>
      </c>
      <c r="BM157" s="26">
        <f t="shared" si="193"/>
        <v>1</v>
      </c>
      <c r="BN157" s="26">
        <f t="shared" si="193"/>
        <v>0.2</v>
      </c>
      <c r="BO157" s="26">
        <f t="shared" si="193"/>
        <v>0.2</v>
      </c>
      <c r="BP157" s="26">
        <f t="shared" si="193"/>
        <v>0.2</v>
      </c>
      <c r="BQ157" s="26">
        <f t="shared" si="193"/>
        <v>0.2</v>
      </c>
      <c r="BR157" s="26">
        <f t="shared" si="193"/>
        <v>0.2</v>
      </c>
      <c r="BS157" s="26">
        <f t="shared" si="193"/>
        <v>0.1</v>
      </c>
      <c r="BT157" s="26">
        <f t="shared" si="193"/>
        <v>0.05</v>
      </c>
      <c r="BU157" s="26">
        <f t="shared" si="193"/>
        <v>0.05</v>
      </c>
      <c r="BV157" s="26">
        <f t="shared" si="193"/>
        <v>0.05</v>
      </c>
      <c r="BW157" s="26">
        <f t="shared" si="193"/>
        <v>0.05</v>
      </c>
      <c r="BX157" s="26">
        <f t="shared" si="193"/>
        <v>2.5000000000000001E-2</v>
      </c>
      <c r="BY157" s="26">
        <f t="shared" si="194"/>
        <v>1.5</v>
      </c>
      <c r="BZ157" s="26">
        <f t="shared" si="194"/>
        <v>1.5</v>
      </c>
      <c r="CA157" s="26">
        <f t="shared" si="194"/>
        <v>1.5</v>
      </c>
      <c r="CB157" s="26">
        <f t="shared" si="194"/>
        <v>1.5</v>
      </c>
      <c r="CC157" s="26">
        <f t="shared" si="194"/>
        <v>1.5</v>
      </c>
      <c r="CD157" s="26">
        <f t="shared" si="194"/>
        <v>0.05</v>
      </c>
      <c r="CE157" s="26">
        <f t="shared" si="194"/>
        <v>1</v>
      </c>
      <c r="CF157" s="26">
        <f t="shared" si="194"/>
        <v>1</v>
      </c>
      <c r="CG157" s="26">
        <f t="shared" si="194"/>
        <v>1</v>
      </c>
      <c r="CH157" s="26">
        <f t="shared" si="194"/>
        <v>1</v>
      </c>
      <c r="CI157" s="26">
        <f t="shared" si="195"/>
        <v>1</v>
      </c>
      <c r="CJ157" s="26">
        <f t="shared" si="195"/>
        <v>0.2</v>
      </c>
      <c r="CK157" s="26">
        <f t="shared" si="195"/>
        <v>0.2</v>
      </c>
      <c r="CL157" s="26">
        <f t="shared" si="195"/>
        <v>0.2</v>
      </c>
      <c r="CM157" s="26">
        <f t="shared" si="195"/>
        <v>0.2</v>
      </c>
      <c r="CN157" s="26">
        <f t="shared" si="195"/>
        <v>0.2</v>
      </c>
      <c r="CO157" s="26">
        <f t="shared" si="195"/>
        <v>0.1</v>
      </c>
      <c r="CP157" s="26">
        <f t="shared" si="195"/>
        <v>0.05</v>
      </c>
      <c r="CQ157" s="26">
        <f t="shared" si="195"/>
        <v>0.05</v>
      </c>
      <c r="CR157" s="26">
        <f t="shared" si="195"/>
        <v>0.05</v>
      </c>
      <c r="CS157" s="26">
        <f t="shared" si="195"/>
        <v>0.05</v>
      </c>
      <c r="CT157" s="26">
        <f t="shared" si="195"/>
        <v>2.5000000000000001E-2</v>
      </c>
      <c r="CU157" s="26">
        <f t="shared" si="196"/>
        <v>1.5</v>
      </c>
      <c r="CV157" s="26">
        <f t="shared" si="196"/>
        <v>1.5</v>
      </c>
      <c r="CW157" s="26">
        <f t="shared" si="196"/>
        <v>1.5</v>
      </c>
      <c r="CX157" s="26">
        <f t="shared" si="196"/>
        <v>1.5</v>
      </c>
      <c r="CY157" s="26">
        <f t="shared" si="196"/>
        <v>1.5</v>
      </c>
      <c r="CZ157" s="26">
        <f t="shared" si="196"/>
        <v>0.1</v>
      </c>
      <c r="DA157" s="26">
        <f t="shared" si="196"/>
        <v>1</v>
      </c>
      <c r="DB157" s="26">
        <f t="shared" si="196"/>
        <v>1</v>
      </c>
      <c r="DC157" s="26">
        <f t="shared" si="196"/>
        <v>1</v>
      </c>
      <c r="DD157" s="26">
        <f t="shared" si="196"/>
        <v>1</v>
      </c>
      <c r="DE157" s="26">
        <f t="shared" si="197"/>
        <v>1</v>
      </c>
      <c r="DF157" s="26">
        <f t="shared" si="197"/>
        <v>0.2</v>
      </c>
      <c r="DG157" s="26">
        <f t="shared" si="197"/>
        <v>0.2</v>
      </c>
      <c r="DH157" s="26">
        <f t="shared" si="197"/>
        <v>0.2</v>
      </c>
      <c r="DI157" s="26">
        <f t="shared" si="197"/>
        <v>0.2</v>
      </c>
      <c r="DJ157" s="26">
        <f t="shared" si="197"/>
        <v>0.2</v>
      </c>
      <c r="DK157" s="26">
        <f t="shared" si="197"/>
        <v>0.1</v>
      </c>
      <c r="DL157" s="26">
        <f t="shared" si="197"/>
        <v>0.1</v>
      </c>
      <c r="DM157" s="26">
        <f t="shared" si="197"/>
        <v>0.1</v>
      </c>
      <c r="DN157" s="26">
        <f t="shared" si="197"/>
        <v>0.05</v>
      </c>
      <c r="DO157" s="26">
        <f t="shared" si="197"/>
        <v>0.05</v>
      </c>
      <c r="DP157" s="26">
        <f t="shared" si="197"/>
        <v>0.05</v>
      </c>
      <c r="DQ157" s="26">
        <f t="shared" si="198"/>
        <v>1.5</v>
      </c>
      <c r="DR157" s="26">
        <f t="shared" si="198"/>
        <v>1.5</v>
      </c>
      <c r="DS157" s="26">
        <f t="shared" si="198"/>
        <v>1.5</v>
      </c>
      <c r="DT157" s="26">
        <f t="shared" si="198"/>
        <v>1.5</v>
      </c>
      <c r="DU157" s="26">
        <f t="shared" si="198"/>
        <v>1.5</v>
      </c>
      <c r="DV157" s="26">
        <f t="shared" si="198"/>
        <v>0.1</v>
      </c>
      <c r="DW157" s="26">
        <f t="shared" si="198"/>
        <v>1</v>
      </c>
      <c r="DX157" s="26">
        <f t="shared" si="198"/>
        <v>1</v>
      </c>
      <c r="DY157" s="26">
        <f t="shared" si="198"/>
        <v>1</v>
      </c>
      <c r="DZ157" s="26">
        <f t="shared" si="198"/>
        <v>1</v>
      </c>
      <c r="EA157" s="26">
        <f t="shared" si="199"/>
        <v>1</v>
      </c>
      <c r="EB157" s="26">
        <f t="shared" si="199"/>
        <v>0.2</v>
      </c>
      <c r="EC157" s="26">
        <f t="shared" si="199"/>
        <v>0.2</v>
      </c>
      <c r="ED157" s="26">
        <f t="shared" si="199"/>
        <v>0.2</v>
      </c>
      <c r="EE157" s="26">
        <f t="shared" si="199"/>
        <v>0.2</v>
      </c>
      <c r="EF157" s="26">
        <f t="shared" si="199"/>
        <v>0.2</v>
      </c>
      <c r="EG157" s="26">
        <f t="shared" si="199"/>
        <v>0.1</v>
      </c>
      <c r="EH157" s="26">
        <f t="shared" si="199"/>
        <v>0.1</v>
      </c>
      <c r="EI157" s="26">
        <f t="shared" si="199"/>
        <v>0.1</v>
      </c>
      <c r="EJ157" s="26">
        <f t="shared" si="199"/>
        <v>0.05</v>
      </c>
      <c r="EK157" s="26">
        <f t="shared" si="199"/>
        <v>0.05</v>
      </c>
      <c r="EL157" s="26">
        <f t="shared" si="199"/>
        <v>0.05</v>
      </c>
      <c r="EM157" s="26">
        <f t="shared" si="165"/>
        <v>589257</v>
      </c>
      <c r="EN157" s="26">
        <f t="shared" si="166"/>
        <v>589257</v>
      </c>
      <c r="EO157" s="26">
        <f t="shared" si="167"/>
        <v>589257</v>
      </c>
      <c r="EP157" s="26">
        <f t="shared" si="168"/>
        <v>771411</v>
      </c>
      <c r="EQ157" s="26">
        <f t="shared" si="169"/>
        <v>771411</v>
      </c>
    </row>
    <row r="158" spans="17:147">
      <c r="Q158" s="26">
        <v>154</v>
      </c>
      <c r="R158" s="26">
        <f>总纲!D158</f>
        <v>43236.635220206183</v>
      </c>
      <c r="S158" s="26">
        <f>求节点(将星点产出!$W$6:$W$44,将星点产出!$AO$6:$AO$44,星阵点亮!$Q158)</f>
        <v>997350</v>
      </c>
      <c r="T158" s="26">
        <f t="shared" si="160"/>
        <v>59</v>
      </c>
      <c r="U158" s="26">
        <f>总纲!E158</f>
        <v>36967.323113276288</v>
      </c>
      <c r="V158" s="26">
        <f>求节点(将星点产出!$W$51:$W$89,将星点产出!$AO$51:$AO$89,星阵点亮!$Q158)</f>
        <v>997350</v>
      </c>
      <c r="W158" s="26">
        <f t="shared" si="161"/>
        <v>59</v>
      </c>
      <c r="X158" s="26">
        <f>总纲!F158</f>
        <v>33940.758647861854</v>
      </c>
      <c r="Y158" s="26">
        <f>求节点(将星点产出!$W$96:$W$134,将星点产出!$AO$96:$AO$134,星阵点亮!$Q158)</f>
        <v>997350</v>
      </c>
      <c r="Z158" s="26">
        <f t="shared" si="162"/>
        <v>59</v>
      </c>
      <c r="AA158" s="26">
        <f>总纲!G158</f>
        <v>34156.941823962887</v>
      </c>
      <c r="AB158" s="26">
        <f>求节点(将星点产出!$W$141:$W$179,将星点产出!$AO$141:$AO$179,星阵点亮!$Q158)</f>
        <v>1304550</v>
      </c>
      <c r="AC158" s="26">
        <f t="shared" si="163"/>
        <v>66</v>
      </c>
      <c r="AD158" s="26">
        <f>总纲!H158</f>
        <v>34156.941823962887</v>
      </c>
      <c r="AE158" s="26">
        <f>求节点(将星点产出!$W$186:$W$224,将星点产出!$AO$186:$AO$224,星阵点亮!$Q158)</f>
        <v>1304550</v>
      </c>
      <c r="AF158" s="26">
        <f t="shared" si="164"/>
        <v>66</v>
      </c>
      <c r="AG158" s="26">
        <f t="shared" si="190"/>
        <v>1.5</v>
      </c>
      <c r="AH158" s="26">
        <f t="shared" si="190"/>
        <v>1.5</v>
      </c>
      <c r="AI158" s="26">
        <f t="shared" si="190"/>
        <v>1.5</v>
      </c>
      <c r="AJ158" s="26">
        <f t="shared" si="190"/>
        <v>1.5</v>
      </c>
      <c r="AK158" s="26">
        <f t="shared" si="190"/>
        <v>1.5</v>
      </c>
      <c r="AL158" s="26">
        <f t="shared" si="190"/>
        <v>0.05</v>
      </c>
      <c r="AM158" s="26">
        <f t="shared" si="190"/>
        <v>1</v>
      </c>
      <c r="AN158" s="26">
        <f t="shared" si="190"/>
        <v>1</v>
      </c>
      <c r="AO158" s="26">
        <f t="shared" si="190"/>
        <v>1</v>
      </c>
      <c r="AP158" s="26">
        <f t="shared" si="190"/>
        <v>1</v>
      </c>
      <c r="AQ158" s="26">
        <f t="shared" si="191"/>
        <v>1</v>
      </c>
      <c r="AR158" s="26">
        <f t="shared" si="191"/>
        <v>0.2</v>
      </c>
      <c r="AS158" s="26">
        <f t="shared" si="191"/>
        <v>0.2</v>
      </c>
      <c r="AT158" s="26">
        <f t="shared" si="191"/>
        <v>0.2</v>
      </c>
      <c r="AU158" s="26">
        <f t="shared" si="191"/>
        <v>0.2</v>
      </c>
      <c r="AV158" s="26">
        <f t="shared" si="191"/>
        <v>0.2</v>
      </c>
      <c r="AW158" s="26">
        <f t="shared" si="191"/>
        <v>0.1</v>
      </c>
      <c r="AX158" s="26">
        <f t="shared" si="191"/>
        <v>0.05</v>
      </c>
      <c r="AY158" s="26">
        <f t="shared" si="191"/>
        <v>0.05</v>
      </c>
      <c r="AZ158" s="26">
        <f t="shared" si="191"/>
        <v>0.05</v>
      </c>
      <c r="BA158" s="26">
        <f t="shared" si="191"/>
        <v>0.05</v>
      </c>
      <c r="BB158" s="26">
        <f t="shared" si="191"/>
        <v>2.5000000000000001E-2</v>
      </c>
      <c r="BC158" s="26">
        <f t="shared" si="192"/>
        <v>1.5</v>
      </c>
      <c r="BD158" s="26">
        <f t="shared" si="192"/>
        <v>1.5</v>
      </c>
      <c r="BE158" s="26">
        <f t="shared" si="192"/>
        <v>1.5</v>
      </c>
      <c r="BF158" s="26">
        <f t="shared" si="192"/>
        <v>1.5</v>
      </c>
      <c r="BG158" s="26">
        <f t="shared" si="192"/>
        <v>1.5</v>
      </c>
      <c r="BH158" s="26">
        <f t="shared" si="192"/>
        <v>0.05</v>
      </c>
      <c r="BI158" s="26">
        <f t="shared" si="192"/>
        <v>1</v>
      </c>
      <c r="BJ158" s="26">
        <f t="shared" si="192"/>
        <v>1</v>
      </c>
      <c r="BK158" s="26">
        <f t="shared" si="192"/>
        <v>1</v>
      </c>
      <c r="BL158" s="26">
        <f t="shared" si="192"/>
        <v>1</v>
      </c>
      <c r="BM158" s="26">
        <f t="shared" si="193"/>
        <v>1</v>
      </c>
      <c r="BN158" s="26">
        <f t="shared" si="193"/>
        <v>0.2</v>
      </c>
      <c r="BO158" s="26">
        <f t="shared" si="193"/>
        <v>0.2</v>
      </c>
      <c r="BP158" s="26">
        <f t="shared" si="193"/>
        <v>0.2</v>
      </c>
      <c r="BQ158" s="26">
        <f t="shared" si="193"/>
        <v>0.2</v>
      </c>
      <c r="BR158" s="26">
        <f t="shared" si="193"/>
        <v>0.2</v>
      </c>
      <c r="BS158" s="26">
        <f t="shared" si="193"/>
        <v>0.1</v>
      </c>
      <c r="BT158" s="26">
        <f t="shared" si="193"/>
        <v>0.05</v>
      </c>
      <c r="BU158" s="26">
        <f t="shared" si="193"/>
        <v>0.05</v>
      </c>
      <c r="BV158" s="26">
        <f t="shared" si="193"/>
        <v>0.05</v>
      </c>
      <c r="BW158" s="26">
        <f t="shared" si="193"/>
        <v>0.05</v>
      </c>
      <c r="BX158" s="26">
        <f t="shared" si="193"/>
        <v>2.5000000000000001E-2</v>
      </c>
      <c r="BY158" s="26">
        <f t="shared" si="194"/>
        <v>1.5</v>
      </c>
      <c r="BZ158" s="26">
        <f t="shared" si="194"/>
        <v>1.5</v>
      </c>
      <c r="CA158" s="26">
        <f t="shared" si="194"/>
        <v>1.5</v>
      </c>
      <c r="CB158" s="26">
        <f t="shared" si="194"/>
        <v>1.5</v>
      </c>
      <c r="CC158" s="26">
        <f t="shared" si="194"/>
        <v>1.5</v>
      </c>
      <c r="CD158" s="26">
        <f t="shared" si="194"/>
        <v>0.05</v>
      </c>
      <c r="CE158" s="26">
        <f t="shared" si="194"/>
        <v>1</v>
      </c>
      <c r="CF158" s="26">
        <f t="shared" si="194"/>
        <v>1</v>
      </c>
      <c r="CG158" s="26">
        <f t="shared" si="194"/>
        <v>1</v>
      </c>
      <c r="CH158" s="26">
        <f t="shared" si="194"/>
        <v>1</v>
      </c>
      <c r="CI158" s="26">
        <f t="shared" si="195"/>
        <v>1</v>
      </c>
      <c r="CJ158" s="26">
        <f t="shared" si="195"/>
        <v>0.2</v>
      </c>
      <c r="CK158" s="26">
        <f t="shared" si="195"/>
        <v>0.2</v>
      </c>
      <c r="CL158" s="26">
        <f t="shared" si="195"/>
        <v>0.2</v>
      </c>
      <c r="CM158" s="26">
        <f t="shared" si="195"/>
        <v>0.2</v>
      </c>
      <c r="CN158" s="26">
        <f t="shared" si="195"/>
        <v>0.2</v>
      </c>
      <c r="CO158" s="26">
        <f t="shared" si="195"/>
        <v>0.1</v>
      </c>
      <c r="CP158" s="26">
        <f t="shared" si="195"/>
        <v>0.05</v>
      </c>
      <c r="CQ158" s="26">
        <f t="shared" si="195"/>
        <v>0.05</v>
      </c>
      <c r="CR158" s="26">
        <f t="shared" si="195"/>
        <v>0.05</v>
      </c>
      <c r="CS158" s="26">
        <f t="shared" si="195"/>
        <v>0.05</v>
      </c>
      <c r="CT158" s="26">
        <f t="shared" si="195"/>
        <v>2.5000000000000001E-2</v>
      </c>
      <c r="CU158" s="26">
        <f t="shared" si="196"/>
        <v>1.5</v>
      </c>
      <c r="CV158" s="26">
        <f t="shared" si="196"/>
        <v>1.5</v>
      </c>
      <c r="CW158" s="26">
        <f t="shared" si="196"/>
        <v>1.5</v>
      </c>
      <c r="CX158" s="26">
        <f t="shared" si="196"/>
        <v>1.5</v>
      </c>
      <c r="CY158" s="26">
        <f t="shared" si="196"/>
        <v>1.5</v>
      </c>
      <c r="CZ158" s="26">
        <f t="shared" si="196"/>
        <v>0.1</v>
      </c>
      <c r="DA158" s="26">
        <f t="shared" si="196"/>
        <v>1</v>
      </c>
      <c r="DB158" s="26">
        <f t="shared" si="196"/>
        <v>1</v>
      </c>
      <c r="DC158" s="26">
        <f t="shared" si="196"/>
        <v>1</v>
      </c>
      <c r="DD158" s="26">
        <f t="shared" si="196"/>
        <v>1</v>
      </c>
      <c r="DE158" s="26">
        <f t="shared" si="197"/>
        <v>1</v>
      </c>
      <c r="DF158" s="26">
        <f t="shared" si="197"/>
        <v>0.2</v>
      </c>
      <c r="DG158" s="26">
        <f t="shared" si="197"/>
        <v>0.2</v>
      </c>
      <c r="DH158" s="26">
        <f t="shared" si="197"/>
        <v>0.2</v>
      </c>
      <c r="DI158" s="26">
        <f t="shared" si="197"/>
        <v>0.2</v>
      </c>
      <c r="DJ158" s="26">
        <f t="shared" si="197"/>
        <v>0.2</v>
      </c>
      <c r="DK158" s="26">
        <f t="shared" si="197"/>
        <v>0.1</v>
      </c>
      <c r="DL158" s="26">
        <f t="shared" si="197"/>
        <v>0.1</v>
      </c>
      <c r="DM158" s="26">
        <f t="shared" si="197"/>
        <v>0.1</v>
      </c>
      <c r="DN158" s="26">
        <f t="shared" si="197"/>
        <v>0.05</v>
      </c>
      <c r="DO158" s="26">
        <f t="shared" si="197"/>
        <v>0.05</v>
      </c>
      <c r="DP158" s="26">
        <f t="shared" si="197"/>
        <v>0.05</v>
      </c>
      <c r="DQ158" s="26">
        <f t="shared" si="198"/>
        <v>1.5</v>
      </c>
      <c r="DR158" s="26">
        <f t="shared" si="198"/>
        <v>1.5</v>
      </c>
      <c r="DS158" s="26">
        <f t="shared" si="198"/>
        <v>1.5</v>
      </c>
      <c r="DT158" s="26">
        <f t="shared" si="198"/>
        <v>1.5</v>
      </c>
      <c r="DU158" s="26">
        <f t="shared" si="198"/>
        <v>1.5</v>
      </c>
      <c r="DV158" s="26">
        <f t="shared" si="198"/>
        <v>0.1</v>
      </c>
      <c r="DW158" s="26">
        <f t="shared" si="198"/>
        <v>1</v>
      </c>
      <c r="DX158" s="26">
        <f t="shared" si="198"/>
        <v>1</v>
      </c>
      <c r="DY158" s="26">
        <f t="shared" si="198"/>
        <v>1</v>
      </c>
      <c r="DZ158" s="26">
        <f t="shared" si="198"/>
        <v>1</v>
      </c>
      <c r="EA158" s="26">
        <f t="shared" si="199"/>
        <v>1</v>
      </c>
      <c r="EB158" s="26">
        <f t="shared" si="199"/>
        <v>0.2</v>
      </c>
      <c r="EC158" s="26">
        <f t="shared" si="199"/>
        <v>0.2</v>
      </c>
      <c r="ED158" s="26">
        <f t="shared" si="199"/>
        <v>0.2</v>
      </c>
      <c r="EE158" s="26">
        <f t="shared" si="199"/>
        <v>0.2</v>
      </c>
      <c r="EF158" s="26">
        <f t="shared" si="199"/>
        <v>0.2</v>
      </c>
      <c r="EG158" s="26">
        <f t="shared" si="199"/>
        <v>0.1</v>
      </c>
      <c r="EH158" s="26">
        <f t="shared" si="199"/>
        <v>0.1</v>
      </c>
      <c r="EI158" s="26">
        <f t="shared" si="199"/>
        <v>0.1</v>
      </c>
      <c r="EJ158" s="26">
        <f t="shared" si="199"/>
        <v>0.05</v>
      </c>
      <c r="EK158" s="26">
        <f t="shared" si="199"/>
        <v>0.05</v>
      </c>
      <c r="EL158" s="26">
        <f t="shared" si="199"/>
        <v>0.05</v>
      </c>
      <c r="EM158" s="26">
        <f t="shared" si="165"/>
        <v>589257</v>
      </c>
      <c r="EN158" s="26">
        <f t="shared" si="166"/>
        <v>589257</v>
      </c>
      <c r="EO158" s="26">
        <f t="shared" si="167"/>
        <v>589257</v>
      </c>
      <c r="EP158" s="26">
        <f t="shared" si="168"/>
        <v>771411</v>
      </c>
      <c r="EQ158" s="26">
        <f t="shared" si="169"/>
        <v>771411</v>
      </c>
    </row>
    <row r="159" spans="17:147">
      <c r="Q159" s="26">
        <v>155</v>
      </c>
      <c r="R159" s="26">
        <f>总纲!D159</f>
        <v>46339.950011841604</v>
      </c>
      <c r="S159" s="26">
        <f>求节点(将星点产出!$W$6:$W$44,将星点产出!$AO$6:$AO$44,星阵点亮!$Q159)</f>
        <v>997350</v>
      </c>
      <c r="T159" s="26">
        <f t="shared" si="160"/>
        <v>59</v>
      </c>
      <c r="U159" s="26">
        <f>总纲!E159</f>
        <v>44078.560451263736</v>
      </c>
      <c r="V159" s="26">
        <f>求节点(将星点产出!$W$51:$W$89,将星点产出!$AO$51:$AO$89,星阵点亮!$Q159)</f>
        <v>997350</v>
      </c>
      <c r="W159" s="26">
        <f t="shared" si="161"/>
        <v>59</v>
      </c>
      <c r="X159" s="26">
        <f>总纲!F159</f>
        <v>44402.940101346627</v>
      </c>
      <c r="Y159" s="26">
        <f>求节点(将星点产出!$W$96:$W$134,将星点产出!$AO$96:$AO$134,星阵点亮!$Q159)</f>
        <v>997350</v>
      </c>
      <c r="Z159" s="26">
        <f t="shared" si="162"/>
        <v>59</v>
      </c>
      <c r="AA159" s="26">
        <f>总纲!G159</f>
        <v>44402.940101346627</v>
      </c>
      <c r="AB159" s="26">
        <f>求节点(将星点产出!$W$141:$W$179,将星点产出!$AO$141:$AO$179,星阵点亮!$Q159)</f>
        <v>1304550</v>
      </c>
      <c r="AC159" s="26">
        <f t="shared" si="163"/>
        <v>66</v>
      </c>
      <c r="AD159" s="26">
        <f>总纲!H159</f>
        <v>44541.959951382152</v>
      </c>
      <c r="AE159" s="26">
        <f>求节点(将星点产出!$W$186:$W$224,将星点产出!$AO$186:$AO$224,星阵点亮!$Q159)</f>
        <v>1304550</v>
      </c>
      <c r="AF159" s="26">
        <f t="shared" si="164"/>
        <v>66</v>
      </c>
      <c r="AG159" s="26">
        <f t="shared" si="190"/>
        <v>1.5</v>
      </c>
      <c r="AH159" s="26">
        <f t="shared" si="190"/>
        <v>1.5</v>
      </c>
      <c r="AI159" s="26">
        <f t="shared" si="190"/>
        <v>1.5</v>
      </c>
      <c r="AJ159" s="26">
        <f t="shared" si="190"/>
        <v>1.5</v>
      </c>
      <c r="AK159" s="26">
        <f t="shared" si="190"/>
        <v>1.5</v>
      </c>
      <c r="AL159" s="26">
        <f t="shared" si="190"/>
        <v>0.05</v>
      </c>
      <c r="AM159" s="26">
        <f t="shared" si="190"/>
        <v>1</v>
      </c>
      <c r="AN159" s="26">
        <f t="shared" si="190"/>
        <v>1</v>
      </c>
      <c r="AO159" s="26">
        <f t="shared" si="190"/>
        <v>1</v>
      </c>
      <c r="AP159" s="26">
        <f t="shared" si="190"/>
        <v>1</v>
      </c>
      <c r="AQ159" s="26">
        <f t="shared" si="191"/>
        <v>1</v>
      </c>
      <c r="AR159" s="26">
        <f t="shared" si="191"/>
        <v>0.2</v>
      </c>
      <c r="AS159" s="26">
        <f t="shared" si="191"/>
        <v>0.2</v>
      </c>
      <c r="AT159" s="26">
        <f t="shared" si="191"/>
        <v>0.2</v>
      </c>
      <c r="AU159" s="26">
        <f t="shared" si="191"/>
        <v>0.2</v>
      </c>
      <c r="AV159" s="26">
        <f t="shared" si="191"/>
        <v>0.2</v>
      </c>
      <c r="AW159" s="26">
        <f t="shared" si="191"/>
        <v>0.1</v>
      </c>
      <c r="AX159" s="26">
        <f t="shared" si="191"/>
        <v>0.05</v>
      </c>
      <c r="AY159" s="26">
        <f t="shared" si="191"/>
        <v>0.05</v>
      </c>
      <c r="AZ159" s="26">
        <f t="shared" si="191"/>
        <v>0.05</v>
      </c>
      <c r="BA159" s="26">
        <f t="shared" si="191"/>
        <v>0.05</v>
      </c>
      <c r="BB159" s="26">
        <f t="shared" si="191"/>
        <v>2.5000000000000001E-2</v>
      </c>
      <c r="BC159" s="26">
        <f t="shared" si="192"/>
        <v>1.5</v>
      </c>
      <c r="BD159" s="26">
        <f t="shared" si="192"/>
        <v>1.5</v>
      </c>
      <c r="BE159" s="26">
        <f t="shared" si="192"/>
        <v>1.5</v>
      </c>
      <c r="BF159" s="26">
        <f t="shared" si="192"/>
        <v>1.5</v>
      </c>
      <c r="BG159" s="26">
        <f t="shared" si="192"/>
        <v>1.5</v>
      </c>
      <c r="BH159" s="26">
        <f t="shared" si="192"/>
        <v>0.05</v>
      </c>
      <c r="BI159" s="26">
        <f t="shared" si="192"/>
        <v>1</v>
      </c>
      <c r="BJ159" s="26">
        <f t="shared" si="192"/>
        <v>1</v>
      </c>
      <c r="BK159" s="26">
        <f t="shared" si="192"/>
        <v>1</v>
      </c>
      <c r="BL159" s="26">
        <f t="shared" si="192"/>
        <v>1</v>
      </c>
      <c r="BM159" s="26">
        <f t="shared" si="193"/>
        <v>1</v>
      </c>
      <c r="BN159" s="26">
        <f t="shared" si="193"/>
        <v>0.2</v>
      </c>
      <c r="BO159" s="26">
        <f t="shared" si="193"/>
        <v>0.2</v>
      </c>
      <c r="BP159" s="26">
        <f t="shared" si="193"/>
        <v>0.2</v>
      </c>
      <c r="BQ159" s="26">
        <f t="shared" si="193"/>
        <v>0.2</v>
      </c>
      <c r="BR159" s="26">
        <f t="shared" si="193"/>
        <v>0.2</v>
      </c>
      <c r="BS159" s="26">
        <f t="shared" si="193"/>
        <v>0.1</v>
      </c>
      <c r="BT159" s="26">
        <f t="shared" si="193"/>
        <v>0.05</v>
      </c>
      <c r="BU159" s="26">
        <f t="shared" si="193"/>
        <v>0.05</v>
      </c>
      <c r="BV159" s="26">
        <f t="shared" si="193"/>
        <v>0.05</v>
      </c>
      <c r="BW159" s="26">
        <f t="shared" si="193"/>
        <v>0.05</v>
      </c>
      <c r="BX159" s="26">
        <f t="shared" si="193"/>
        <v>2.5000000000000001E-2</v>
      </c>
      <c r="BY159" s="26">
        <f t="shared" si="194"/>
        <v>1.5</v>
      </c>
      <c r="BZ159" s="26">
        <f t="shared" si="194"/>
        <v>1.5</v>
      </c>
      <c r="CA159" s="26">
        <f t="shared" si="194"/>
        <v>1.5</v>
      </c>
      <c r="CB159" s="26">
        <f t="shared" si="194"/>
        <v>1.5</v>
      </c>
      <c r="CC159" s="26">
        <f t="shared" si="194"/>
        <v>1.5</v>
      </c>
      <c r="CD159" s="26">
        <f t="shared" si="194"/>
        <v>0.05</v>
      </c>
      <c r="CE159" s="26">
        <f t="shared" si="194"/>
        <v>1</v>
      </c>
      <c r="CF159" s="26">
        <f t="shared" si="194"/>
        <v>1</v>
      </c>
      <c r="CG159" s="26">
        <f t="shared" si="194"/>
        <v>1</v>
      </c>
      <c r="CH159" s="26">
        <f t="shared" si="194"/>
        <v>1</v>
      </c>
      <c r="CI159" s="26">
        <f t="shared" si="195"/>
        <v>1</v>
      </c>
      <c r="CJ159" s="26">
        <f t="shared" si="195"/>
        <v>0.2</v>
      </c>
      <c r="CK159" s="26">
        <f t="shared" si="195"/>
        <v>0.2</v>
      </c>
      <c r="CL159" s="26">
        <f t="shared" si="195"/>
        <v>0.2</v>
      </c>
      <c r="CM159" s="26">
        <f t="shared" si="195"/>
        <v>0.2</v>
      </c>
      <c r="CN159" s="26">
        <f t="shared" si="195"/>
        <v>0.2</v>
      </c>
      <c r="CO159" s="26">
        <f t="shared" si="195"/>
        <v>0.1</v>
      </c>
      <c r="CP159" s="26">
        <f t="shared" si="195"/>
        <v>0.05</v>
      </c>
      <c r="CQ159" s="26">
        <f t="shared" si="195"/>
        <v>0.05</v>
      </c>
      <c r="CR159" s="26">
        <f t="shared" si="195"/>
        <v>0.05</v>
      </c>
      <c r="CS159" s="26">
        <f t="shared" si="195"/>
        <v>0.05</v>
      </c>
      <c r="CT159" s="26">
        <f t="shared" si="195"/>
        <v>2.5000000000000001E-2</v>
      </c>
      <c r="CU159" s="26">
        <f t="shared" si="196"/>
        <v>1.5</v>
      </c>
      <c r="CV159" s="26">
        <f t="shared" si="196"/>
        <v>1.5</v>
      </c>
      <c r="CW159" s="26">
        <f t="shared" si="196"/>
        <v>1.5</v>
      </c>
      <c r="CX159" s="26">
        <f t="shared" si="196"/>
        <v>1.5</v>
      </c>
      <c r="CY159" s="26">
        <f t="shared" si="196"/>
        <v>1.5</v>
      </c>
      <c r="CZ159" s="26">
        <f t="shared" si="196"/>
        <v>0.1</v>
      </c>
      <c r="DA159" s="26">
        <f t="shared" si="196"/>
        <v>1</v>
      </c>
      <c r="DB159" s="26">
        <f t="shared" si="196"/>
        <v>1</v>
      </c>
      <c r="DC159" s="26">
        <f t="shared" si="196"/>
        <v>1</v>
      </c>
      <c r="DD159" s="26">
        <f t="shared" si="196"/>
        <v>1</v>
      </c>
      <c r="DE159" s="26">
        <f t="shared" si="197"/>
        <v>1</v>
      </c>
      <c r="DF159" s="26">
        <f t="shared" si="197"/>
        <v>0.2</v>
      </c>
      <c r="DG159" s="26">
        <f t="shared" si="197"/>
        <v>0.2</v>
      </c>
      <c r="DH159" s="26">
        <f t="shared" si="197"/>
        <v>0.2</v>
      </c>
      <c r="DI159" s="26">
        <f t="shared" si="197"/>
        <v>0.2</v>
      </c>
      <c r="DJ159" s="26">
        <f t="shared" si="197"/>
        <v>0.2</v>
      </c>
      <c r="DK159" s="26">
        <f t="shared" si="197"/>
        <v>0.1</v>
      </c>
      <c r="DL159" s="26">
        <f t="shared" si="197"/>
        <v>0.1</v>
      </c>
      <c r="DM159" s="26">
        <f t="shared" si="197"/>
        <v>0.1</v>
      </c>
      <c r="DN159" s="26">
        <f t="shared" si="197"/>
        <v>0.05</v>
      </c>
      <c r="DO159" s="26">
        <f t="shared" si="197"/>
        <v>0.05</v>
      </c>
      <c r="DP159" s="26">
        <f t="shared" si="197"/>
        <v>0.05</v>
      </c>
      <c r="DQ159" s="26">
        <f t="shared" si="198"/>
        <v>1.5</v>
      </c>
      <c r="DR159" s="26">
        <f t="shared" si="198"/>
        <v>1.5</v>
      </c>
      <c r="DS159" s="26">
        <f t="shared" si="198"/>
        <v>1.5</v>
      </c>
      <c r="DT159" s="26">
        <f t="shared" si="198"/>
        <v>1.5</v>
      </c>
      <c r="DU159" s="26">
        <f t="shared" si="198"/>
        <v>1.5</v>
      </c>
      <c r="DV159" s="26">
        <f t="shared" si="198"/>
        <v>0.1</v>
      </c>
      <c r="DW159" s="26">
        <f t="shared" si="198"/>
        <v>1</v>
      </c>
      <c r="DX159" s="26">
        <f t="shared" si="198"/>
        <v>1</v>
      </c>
      <c r="DY159" s="26">
        <f t="shared" si="198"/>
        <v>1</v>
      </c>
      <c r="DZ159" s="26">
        <f t="shared" si="198"/>
        <v>1</v>
      </c>
      <c r="EA159" s="26">
        <f t="shared" si="199"/>
        <v>1</v>
      </c>
      <c r="EB159" s="26">
        <f t="shared" si="199"/>
        <v>0.2</v>
      </c>
      <c r="EC159" s="26">
        <f t="shared" si="199"/>
        <v>0.2</v>
      </c>
      <c r="ED159" s="26">
        <f t="shared" si="199"/>
        <v>0.2</v>
      </c>
      <c r="EE159" s="26">
        <f t="shared" si="199"/>
        <v>0.2</v>
      </c>
      <c r="EF159" s="26">
        <f t="shared" si="199"/>
        <v>0.2</v>
      </c>
      <c r="EG159" s="26">
        <f t="shared" si="199"/>
        <v>0.1</v>
      </c>
      <c r="EH159" s="26">
        <f t="shared" si="199"/>
        <v>0.1</v>
      </c>
      <c r="EI159" s="26">
        <f t="shared" si="199"/>
        <v>0.1</v>
      </c>
      <c r="EJ159" s="26">
        <f t="shared" si="199"/>
        <v>0.05</v>
      </c>
      <c r="EK159" s="26">
        <f t="shared" si="199"/>
        <v>0.05</v>
      </c>
      <c r="EL159" s="26">
        <f t="shared" si="199"/>
        <v>0.05</v>
      </c>
      <c r="EM159" s="26">
        <f t="shared" si="165"/>
        <v>589257</v>
      </c>
      <c r="EN159" s="26">
        <f t="shared" si="166"/>
        <v>589257</v>
      </c>
      <c r="EO159" s="26">
        <f t="shared" si="167"/>
        <v>589257</v>
      </c>
      <c r="EP159" s="26">
        <f t="shared" si="168"/>
        <v>771411</v>
      </c>
      <c r="EQ159" s="26">
        <f t="shared" si="169"/>
        <v>771411</v>
      </c>
    </row>
    <row r="160" spans="17:147">
      <c r="Q160" s="26">
        <v>156</v>
      </c>
      <c r="R160" s="26">
        <f>总纲!D160</f>
        <v>49666.000451412707</v>
      </c>
      <c r="S160" s="26">
        <f>求节点(将星点产出!$W$6:$W$44,将星点产出!$AO$6:$AO$44,星阵点亮!$Q160)</f>
        <v>997350</v>
      </c>
      <c r="T160" s="26">
        <f t="shared" si="160"/>
        <v>59</v>
      </c>
      <c r="U160" s="26">
        <f>总纲!E160</f>
        <v>49666.000451412707</v>
      </c>
      <c r="V160" s="26">
        <f>求节点(将星点产出!$W$51:$W$89,将星点产出!$AO$51:$AO$89,星阵点亮!$Q160)</f>
        <v>997350</v>
      </c>
      <c r="W160" s="26">
        <f t="shared" si="161"/>
        <v>59</v>
      </c>
      <c r="X160" s="26">
        <f>总纲!F160</f>
        <v>50162.660455926831</v>
      </c>
      <c r="Y160" s="26">
        <f>求节点(将星点产出!$W$96:$W$134,将星点产出!$AO$96:$AO$134,星阵点亮!$Q160)</f>
        <v>997350</v>
      </c>
      <c r="Z160" s="26">
        <f t="shared" si="162"/>
        <v>59</v>
      </c>
      <c r="AA160" s="26">
        <f>总纲!G160</f>
        <v>50162.660455926831</v>
      </c>
      <c r="AB160" s="26">
        <f>求节点(将星点产出!$W$141:$W$179,将星点产出!$AO$141:$AO$179,星阵点亮!$Q160)</f>
        <v>1304550</v>
      </c>
      <c r="AC160" s="26">
        <f t="shared" si="163"/>
        <v>66</v>
      </c>
      <c r="AD160" s="26">
        <f>总纲!H160</f>
        <v>50311.658457281068</v>
      </c>
      <c r="AE160" s="26">
        <f>求节点(将星点产出!$W$186:$W$224,将星点产出!$AO$186:$AO$224,星阵点亮!$Q160)</f>
        <v>1304550</v>
      </c>
      <c r="AF160" s="26">
        <f t="shared" si="164"/>
        <v>66</v>
      </c>
      <c r="AG160" s="26">
        <f t="shared" si="190"/>
        <v>1.5</v>
      </c>
      <c r="AH160" s="26">
        <f t="shared" si="190"/>
        <v>1.5</v>
      </c>
      <c r="AI160" s="26">
        <f t="shared" si="190"/>
        <v>1.5</v>
      </c>
      <c r="AJ160" s="26">
        <f t="shared" si="190"/>
        <v>1.5</v>
      </c>
      <c r="AK160" s="26">
        <f t="shared" si="190"/>
        <v>1.5</v>
      </c>
      <c r="AL160" s="26">
        <f t="shared" si="190"/>
        <v>0.05</v>
      </c>
      <c r="AM160" s="26">
        <f t="shared" si="190"/>
        <v>1</v>
      </c>
      <c r="AN160" s="26">
        <f t="shared" si="190"/>
        <v>1</v>
      </c>
      <c r="AO160" s="26">
        <f t="shared" si="190"/>
        <v>1</v>
      </c>
      <c r="AP160" s="26">
        <f t="shared" si="190"/>
        <v>1</v>
      </c>
      <c r="AQ160" s="26">
        <f t="shared" si="191"/>
        <v>1</v>
      </c>
      <c r="AR160" s="26">
        <f t="shared" si="191"/>
        <v>0.2</v>
      </c>
      <c r="AS160" s="26">
        <f t="shared" si="191"/>
        <v>0.2</v>
      </c>
      <c r="AT160" s="26">
        <f t="shared" si="191"/>
        <v>0.2</v>
      </c>
      <c r="AU160" s="26">
        <f t="shared" si="191"/>
        <v>0.2</v>
      </c>
      <c r="AV160" s="26">
        <f t="shared" si="191"/>
        <v>0.2</v>
      </c>
      <c r="AW160" s="26">
        <f t="shared" si="191"/>
        <v>0.1</v>
      </c>
      <c r="AX160" s="26">
        <f t="shared" si="191"/>
        <v>0.05</v>
      </c>
      <c r="AY160" s="26">
        <f t="shared" si="191"/>
        <v>0.05</v>
      </c>
      <c r="AZ160" s="26">
        <f t="shared" si="191"/>
        <v>0.05</v>
      </c>
      <c r="BA160" s="26">
        <f t="shared" si="191"/>
        <v>0.05</v>
      </c>
      <c r="BB160" s="26">
        <f t="shared" si="191"/>
        <v>2.5000000000000001E-2</v>
      </c>
      <c r="BC160" s="26">
        <f t="shared" si="192"/>
        <v>1.5</v>
      </c>
      <c r="BD160" s="26">
        <f t="shared" si="192"/>
        <v>1.5</v>
      </c>
      <c r="BE160" s="26">
        <f t="shared" si="192"/>
        <v>1.5</v>
      </c>
      <c r="BF160" s="26">
        <f t="shared" si="192"/>
        <v>1.5</v>
      </c>
      <c r="BG160" s="26">
        <f t="shared" si="192"/>
        <v>1.5</v>
      </c>
      <c r="BH160" s="26">
        <f t="shared" si="192"/>
        <v>0.05</v>
      </c>
      <c r="BI160" s="26">
        <f t="shared" si="192"/>
        <v>1</v>
      </c>
      <c r="BJ160" s="26">
        <f t="shared" si="192"/>
        <v>1</v>
      </c>
      <c r="BK160" s="26">
        <f t="shared" si="192"/>
        <v>1</v>
      </c>
      <c r="BL160" s="26">
        <f t="shared" si="192"/>
        <v>1</v>
      </c>
      <c r="BM160" s="26">
        <f t="shared" si="193"/>
        <v>1</v>
      </c>
      <c r="BN160" s="26">
        <f t="shared" si="193"/>
        <v>0.2</v>
      </c>
      <c r="BO160" s="26">
        <f t="shared" si="193"/>
        <v>0.2</v>
      </c>
      <c r="BP160" s="26">
        <f t="shared" si="193"/>
        <v>0.2</v>
      </c>
      <c r="BQ160" s="26">
        <f t="shared" si="193"/>
        <v>0.2</v>
      </c>
      <c r="BR160" s="26">
        <f t="shared" si="193"/>
        <v>0.2</v>
      </c>
      <c r="BS160" s="26">
        <f t="shared" si="193"/>
        <v>0.1</v>
      </c>
      <c r="BT160" s="26">
        <f t="shared" si="193"/>
        <v>0.05</v>
      </c>
      <c r="BU160" s="26">
        <f t="shared" si="193"/>
        <v>0.05</v>
      </c>
      <c r="BV160" s="26">
        <f t="shared" si="193"/>
        <v>0.05</v>
      </c>
      <c r="BW160" s="26">
        <f t="shared" si="193"/>
        <v>0.05</v>
      </c>
      <c r="BX160" s="26">
        <f t="shared" si="193"/>
        <v>2.5000000000000001E-2</v>
      </c>
      <c r="BY160" s="26">
        <f t="shared" si="194"/>
        <v>1.5</v>
      </c>
      <c r="BZ160" s="26">
        <f t="shared" si="194"/>
        <v>1.5</v>
      </c>
      <c r="CA160" s="26">
        <f t="shared" si="194"/>
        <v>1.5</v>
      </c>
      <c r="CB160" s="26">
        <f t="shared" si="194"/>
        <v>1.5</v>
      </c>
      <c r="CC160" s="26">
        <f t="shared" si="194"/>
        <v>1.5</v>
      </c>
      <c r="CD160" s="26">
        <f t="shared" si="194"/>
        <v>0.05</v>
      </c>
      <c r="CE160" s="26">
        <f t="shared" si="194"/>
        <v>1</v>
      </c>
      <c r="CF160" s="26">
        <f t="shared" si="194"/>
        <v>1</v>
      </c>
      <c r="CG160" s="26">
        <f t="shared" si="194"/>
        <v>1</v>
      </c>
      <c r="CH160" s="26">
        <f t="shared" si="194"/>
        <v>1</v>
      </c>
      <c r="CI160" s="26">
        <f t="shared" si="195"/>
        <v>1</v>
      </c>
      <c r="CJ160" s="26">
        <f t="shared" si="195"/>
        <v>0.2</v>
      </c>
      <c r="CK160" s="26">
        <f t="shared" si="195"/>
        <v>0.2</v>
      </c>
      <c r="CL160" s="26">
        <f t="shared" si="195"/>
        <v>0.2</v>
      </c>
      <c r="CM160" s="26">
        <f t="shared" si="195"/>
        <v>0.2</v>
      </c>
      <c r="CN160" s="26">
        <f t="shared" si="195"/>
        <v>0.2</v>
      </c>
      <c r="CO160" s="26">
        <f t="shared" si="195"/>
        <v>0.1</v>
      </c>
      <c r="CP160" s="26">
        <f t="shared" si="195"/>
        <v>0.05</v>
      </c>
      <c r="CQ160" s="26">
        <f t="shared" si="195"/>
        <v>0.05</v>
      </c>
      <c r="CR160" s="26">
        <f t="shared" si="195"/>
        <v>0.05</v>
      </c>
      <c r="CS160" s="26">
        <f t="shared" si="195"/>
        <v>0.05</v>
      </c>
      <c r="CT160" s="26">
        <f t="shared" si="195"/>
        <v>2.5000000000000001E-2</v>
      </c>
      <c r="CU160" s="26">
        <f t="shared" si="196"/>
        <v>1.5</v>
      </c>
      <c r="CV160" s="26">
        <f t="shared" si="196"/>
        <v>1.5</v>
      </c>
      <c r="CW160" s="26">
        <f t="shared" si="196"/>
        <v>1.5</v>
      </c>
      <c r="CX160" s="26">
        <f t="shared" si="196"/>
        <v>1.5</v>
      </c>
      <c r="CY160" s="26">
        <f t="shared" si="196"/>
        <v>1.5</v>
      </c>
      <c r="CZ160" s="26">
        <f t="shared" si="196"/>
        <v>0.1</v>
      </c>
      <c r="DA160" s="26">
        <f t="shared" si="196"/>
        <v>1</v>
      </c>
      <c r="DB160" s="26">
        <f t="shared" si="196"/>
        <v>1</v>
      </c>
      <c r="DC160" s="26">
        <f t="shared" si="196"/>
        <v>1</v>
      </c>
      <c r="DD160" s="26">
        <f t="shared" si="196"/>
        <v>1</v>
      </c>
      <c r="DE160" s="26">
        <f t="shared" si="197"/>
        <v>1</v>
      </c>
      <c r="DF160" s="26">
        <f t="shared" si="197"/>
        <v>0.2</v>
      </c>
      <c r="DG160" s="26">
        <f t="shared" si="197"/>
        <v>0.2</v>
      </c>
      <c r="DH160" s="26">
        <f t="shared" si="197"/>
        <v>0.2</v>
      </c>
      <c r="DI160" s="26">
        <f t="shared" si="197"/>
        <v>0.2</v>
      </c>
      <c r="DJ160" s="26">
        <f t="shared" si="197"/>
        <v>0.2</v>
      </c>
      <c r="DK160" s="26">
        <f t="shared" si="197"/>
        <v>0.1</v>
      </c>
      <c r="DL160" s="26">
        <f t="shared" si="197"/>
        <v>0.1</v>
      </c>
      <c r="DM160" s="26">
        <f t="shared" si="197"/>
        <v>0.1</v>
      </c>
      <c r="DN160" s="26">
        <f t="shared" si="197"/>
        <v>0.05</v>
      </c>
      <c r="DO160" s="26">
        <f t="shared" si="197"/>
        <v>0.05</v>
      </c>
      <c r="DP160" s="26">
        <f t="shared" si="197"/>
        <v>0.05</v>
      </c>
      <c r="DQ160" s="26">
        <f t="shared" si="198"/>
        <v>1.5</v>
      </c>
      <c r="DR160" s="26">
        <f t="shared" si="198"/>
        <v>1.5</v>
      </c>
      <c r="DS160" s="26">
        <f t="shared" si="198"/>
        <v>1.5</v>
      </c>
      <c r="DT160" s="26">
        <f t="shared" si="198"/>
        <v>1.5</v>
      </c>
      <c r="DU160" s="26">
        <f t="shared" si="198"/>
        <v>1.5</v>
      </c>
      <c r="DV160" s="26">
        <f t="shared" si="198"/>
        <v>0.1</v>
      </c>
      <c r="DW160" s="26">
        <f t="shared" si="198"/>
        <v>1</v>
      </c>
      <c r="DX160" s="26">
        <f t="shared" si="198"/>
        <v>1</v>
      </c>
      <c r="DY160" s="26">
        <f t="shared" si="198"/>
        <v>1</v>
      </c>
      <c r="DZ160" s="26">
        <f t="shared" si="198"/>
        <v>1</v>
      </c>
      <c r="EA160" s="26">
        <f t="shared" si="199"/>
        <v>1</v>
      </c>
      <c r="EB160" s="26">
        <f t="shared" si="199"/>
        <v>0.2</v>
      </c>
      <c r="EC160" s="26">
        <f t="shared" si="199"/>
        <v>0.2</v>
      </c>
      <c r="ED160" s="26">
        <f t="shared" si="199"/>
        <v>0.2</v>
      </c>
      <c r="EE160" s="26">
        <f t="shared" si="199"/>
        <v>0.2</v>
      </c>
      <c r="EF160" s="26">
        <f t="shared" si="199"/>
        <v>0.2</v>
      </c>
      <c r="EG160" s="26">
        <f t="shared" si="199"/>
        <v>0.1</v>
      </c>
      <c r="EH160" s="26">
        <f t="shared" si="199"/>
        <v>0.1</v>
      </c>
      <c r="EI160" s="26">
        <f t="shared" si="199"/>
        <v>0.1</v>
      </c>
      <c r="EJ160" s="26">
        <f t="shared" si="199"/>
        <v>0.05</v>
      </c>
      <c r="EK160" s="26">
        <f t="shared" si="199"/>
        <v>0.05</v>
      </c>
      <c r="EL160" s="26">
        <f t="shared" si="199"/>
        <v>0.05</v>
      </c>
      <c r="EM160" s="26">
        <f t="shared" si="165"/>
        <v>589257</v>
      </c>
      <c r="EN160" s="26">
        <f t="shared" si="166"/>
        <v>589257</v>
      </c>
      <c r="EO160" s="26">
        <f t="shared" si="167"/>
        <v>589257</v>
      </c>
      <c r="EP160" s="26">
        <f t="shared" si="168"/>
        <v>771411</v>
      </c>
      <c r="EQ160" s="26">
        <f t="shared" si="169"/>
        <v>771411</v>
      </c>
    </row>
    <row r="161" spans="17:147">
      <c r="Q161" s="26">
        <v>157</v>
      </c>
      <c r="R161" s="26">
        <f>总纲!D161</f>
        <v>53230.773047602182</v>
      </c>
      <c r="S161" s="26">
        <f>求节点(将星点产出!$W$6:$W$44,将星点产出!$AO$6:$AO$44,星阵点亮!$Q161)</f>
        <v>997350</v>
      </c>
      <c r="T161" s="26">
        <f t="shared" si="160"/>
        <v>59</v>
      </c>
      <c r="U161" s="26">
        <f>总纲!E161</f>
        <v>53230.773047602182</v>
      </c>
      <c r="V161" s="26">
        <f>求节点(将星点产出!$W$51:$W$89,将星点产出!$AO$51:$AO$89,星阵点亮!$Q161)</f>
        <v>997350</v>
      </c>
      <c r="W161" s="26">
        <f t="shared" si="161"/>
        <v>59</v>
      </c>
      <c r="X161" s="26">
        <f>总纲!F161</f>
        <v>53763.080778078205</v>
      </c>
      <c r="Y161" s="26">
        <f>求节点(将星点产出!$W$96:$W$134,将星点产出!$AO$96:$AO$134,星阵点亮!$Q161)</f>
        <v>997350</v>
      </c>
      <c r="Z161" s="26">
        <f t="shared" si="162"/>
        <v>59</v>
      </c>
      <c r="AA161" s="26">
        <f>总纲!G161</f>
        <v>53763.080778078205</v>
      </c>
      <c r="AB161" s="26">
        <f>求节点(将星点产出!$W$141:$W$179,将星点产出!$AO$141:$AO$179,星阵点亮!$Q161)</f>
        <v>1304550</v>
      </c>
      <c r="AC161" s="26">
        <f t="shared" si="163"/>
        <v>66</v>
      </c>
      <c r="AD161" s="26">
        <f>总纲!H161</f>
        <v>53763.080778078205</v>
      </c>
      <c r="AE161" s="26">
        <f>求节点(将星点产出!$W$186:$W$224,将星点产出!$AO$186:$AO$224,星阵点亮!$Q161)</f>
        <v>1304550</v>
      </c>
      <c r="AF161" s="26">
        <f t="shared" si="164"/>
        <v>66</v>
      </c>
      <c r="AG161" s="26">
        <f t="shared" si="190"/>
        <v>1.5</v>
      </c>
      <c r="AH161" s="26">
        <f t="shared" si="190"/>
        <v>1.5</v>
      </c>
      <c r="AI161" s="26">
        <f t="shared" si="190"/>
        <v>1.5</v>
      </c>
      <c r="AJ161" s="26">
        <f t="shared" si="190"/>
        <v>1.5</v>
      </c>
      <c r="AK161" s="26">
        <f t="shared" si="190"/>
        <v>1.5</v>
      </c>
      <c r="AL161" s="26">
        <f t="shared" si="190"/>
        <v>0.05</v>
      </c>
      <c r="AM161" s="26">
        <f t="shared" si="190"/>
        <v>1</v>
      </c>
      <c r="AN161" s="26">
        <f t="shared" si="190"/>
        <v>1</v>
      </c>
      <c r="AO161" s="26">
        <f t="shared" si="190"/>
        <v>1</v>
      </c>
      <c r="AP161" s="26">
        <f t="shared" si="190"/>
        <v>1</v>
      </c>
      <c r="AQ161" s="26">
        <f t="shared" si="191"/>
        <v>1</v>
      </c>
      <c r="AR161" s="26">
        <f t="shared" si="191"/>
        <v>0.2</v>
      </c>
      <c r="AS161" s="26">
        <f t="shared" si="191"/>
        <v>0.2</v>
      </c>
      <c r="AT161" s="26">
        <f t="shared" si="191"/>
        <v>0.2</v>
      </c>
      <c r="AU161" s="26">
        <f t="shared" si="191"/>
        <v>0.2</v>
      </c>
      <c r="AV161" s="26">
        <f t="shared" si="191"/>
        <v>0.2</v>
      </c>
      <c r="AW161" s="26">
        <f t="shared" si="191"/>
        <v>0.1</v>
      </c>
      <c r="AX161" s="26">
        <f t="shared" si="191"/>
        <v>0.05</v>
      </c>
      <c r="AY161" s="26">
        <f t="shared" si="191"/>
        <v>0.05</v>
      </c>
      <c r="AZ161" s="26">
        <f t="shared" si="191"/>
        <v>0.05</v>
      </c>
      <c r="BA161" s="26">
        <f t="shared" si="191"/>
        <v>0.05</v>
      </c>
      <c r="BB161" s="26">
        <f t="shared" si="191"/>
        <v>2.5000000000000001E-2</v>
      </c>
      <c r="BC161" s="26">
        <f t="shared" si="192"/>
        <v>1.5</v>
      </c>
      <c r="BD161" s="26">
        <f t="shared" si="192"/>
        <v>1.5</v>
      </c>
      <c r="BE161" s="26">
        <f t="shared" si="192"/>
        <v>1.5</v>
      </c>
      <c r="BF161" s="26">
        <f t="shared" si="192"/>
        <v>1.5</v>
      </c>
      <c r="BG161" s="26">
        <f t="shared" si="192"/>
        <v>1.5</v>
      </c>
      <c r="BH161" s="26">
        <f t="shared" si="192"/>
        <v>0.05</v>
      </c>
      <c r="BI161" s="26">
        <f t="shared" si="192"/>
        <v>1</v>
      </c>
      <c r="BJ161" s="26">
        <f t="shared" si="192"/>
        <v>1</v>
      </c>
      <c r="BK161" s="26">
        <f t="shared" si="192"/>
        <v>1</v>
      </c>
      <c r="BL161" s="26">
        <f t="shared" si="192"/>
        <v>1</v>
      </c>
      <c r="BM161" s="26">
        <f t="shared" si="193"/>
        <v>1</v>
      </c>
      <c r="BN161" s="26">
        <f t="shared" si="193"/>
        <v>0.2</v>
      </c>
      <c r="BO161" s="26">
        <f t="shared" si="193"/>
        <v>0.2</v>
      </c>
      <c r="BP161" s="26">
        <f t="shared" si="193"/>
        <v>0.2</v>
      </c>
      <c r="BQ161" s="26">
        <f t="shared" si="193"/>
        <v>0.2</v>
      </c>
      <c r="BR161" s="26">
        <f t="shared" si="193"/>
        <v>0.2</v>
      </c>
      <c r="BS161" s="26">
        <f t="shared" si="193"/>
        <v>0.1</v>
      </c>
      <c r="BT161" s="26">
        <f t="shared" si="193"/>
        <v>0.05</v>
      </c>
      <c r="BU161" s="26">
        <f t="shared" si="193"/>
        <v>0.05</v>
      </c>
      <c r="BV161" s="26">
        <f t="shared" si="193"/>
        <v>0.05</v>
      </c>
      <c r="BW161" s="26">
        <f t="shared" si="193"/>
        <v>0.05</v>
      </c>
      <c r="BX161" s="26">
        <f t="shared" si="193"/>
        <v>2.5000000000000001E-2</v>
      </c>
      <c r="BY161" s="26">
        <f t="shared" si="194"/>
        <v>1.5</v>
      </c>
      <c r="BZ161" s="26">
        <f t="shared" si="194"/>
        <v>1.5</v>
      </c>
      <c r="CA161" s="26">
        <f t="shared" si="194"/>
        <v>1.5</v>
      </c>
      <c r="CB161" s="26">
        <f t="shared" si="194"/>
        <v>1.5</v>
      </c>
      <c r="CC161" s="26">
        <f t="shared" si="194"/>
        <v>1.5</v>
      </c>
      <c r="CD161" s="26">
        <f t="shared" si="194"/>
        <v>0.05</v>
      </c>
      <c r="CE161" s="26">
        <f t="shared" si="194"/>
        <v>1</v>
      </c>
      <c r="CF161" s="26">
        <f t="shared" si="194"/>
        <v>1</v>
      </c>
      <c r="CG161" s="26">
        <f t="shared" si="194"/>
        <v>1</v>
      </c>
      <c r="CH161" s="26">
        <f t="shared" si="194"/>
        <v>1</v>
      </c>
      <c r="CI161" s="26">
        <f t="shared" si="195"/>
        <v>1</v>
      </c>
      <c r="CJ161" s="26">
        <f t="shared" si="195"/>
        <v>0.2</v>
      </c>
      <c r="CK161" s="26">
        <f t="shared" si="195"/>
        <v>0.2</v>
      </c>
      <c r="CL161" s="26">
        <f t="shared" si="195"/>
        <v>0.2</v>
      </c>
      <c r="CM161" s="26">
        <f t="shared" si="195"/>
        <v>0.2</v>
      </c>
      <c r="CN161" s="26">
        <f t="shared" si="195"/>
        <v>0.2</v>
      </c>
      <c r="CO161" s="26">
        <f t="shared" si="195"/>
        <v>0.1</v>
      </c>
      <c r="CP161" s="26">
        <f t="shared" si="195"/>
        <v>0.05</v>
      </c>
      <c r="CQ161" s="26">
        <f t="shared" si="195"/>
        <v>0.05</v>
      </c>
      <c r="CR161" s="26">
        <f t="shared" si="195"/>
        <v>0.05</v>
      </c>
      <c r="CS161" s="26">
        <f t="shared" si="195"/>
        <v>0.05</v>
      </c>
      <c r="CT161" s="26">
        <f t="shared" si="195"/>
        <v>2.5000000000000001E-2</v>
      </c>
      <c r="CU161" s="26">
        <f t="shared" si="196"/>
        <v>1.5</v>
      </c>
      <c r="CV161" s="26">
        <f t="shared" si="196"/>
        <v>1.5</v>
      </c>
      <c r="CW161" s="26">
        <f t="shared" si="196"/>
        <v>1.5</v>
      </c>
      <c r="CX161" s="26">
        <f t="shared" si="196"/>
        <v>1.5</v>
      </c>
      <c r="CY161" s="26">
        <f t="shared" si="196"/>
        <v>1.5</v>
      </c>
      <c r="CZ161" s="26">
        <f t="shared" si="196"/>
        <v>0.1</v>
      </c>
      <c r="DA161" s="26">
        <f t="shared" si="196"/>
        <v>1</v>
      </c>
      <c r="DB161" s="26">
        <f t="shared" si="196"/>
        <v>1</v>
      </c>
      <c r="DC161" s="26">
        <f t="shared" si="196"/>
        <v>1</v>
      </c>
      <c r="DD161" s="26">
        <f t="shared" si="196"/>
        <v>1</v>
      </c>
      <c r="DE161" s="26">
        <f t="shared" si="197"/>
        <v>1</v>
      </c>
      <c r="DF161" s="26">
        <f t="shared" si="197"/>
        <v>0.2</v>
      </c>
      <c r="DG161" s="26">
        <f t="shared" si="197"/>
        <v>0.2</v>
      </c>
      <c r="DH161" s="26">
        <f t="shared" si="197"/>
        <v>0.2</v>
      </c>
      <c r="DI161" s="26">
        <f t="shared" si="197"/>
        <v>0.2</v>
      </c>
      <c r="DJ161" s="26">
        <f t="shared" si="197"/>
        <v>0.2</v>
      </c>
      <c r="DK161" s="26">
        <f t="shared" si="197"/>
        <v>0.1</v>
      </c>
      <c r="DL161" s="26">
        <f t="shared" si="197"/>
        <v>0.1</v>
      </c>
      <c r="DM161" s="26">
        <f t="shared" si="197"/>
        <v>0.1</v>
      </c>
      <c r="DN161" s="26">
        <f t="shared" si="197"/>
        <v>0.05</v>
      </c>
      <c r="DO161" s="26">
        <f t="shared" si="197"/>
        <v>0.05</v>
      </c>
      <c r="DP161" s="26">
        <f t="shared" si="197"/>
        <v>0.05</v>
      </c>
      <c r="DQ161" s="26">
        <f t="shared" si="198"/>
        <v>1.5</v>
      </c>
      <c r="DR161" s="26">
        <f t="shared" si="198"/>
        <v>1.5</v>
      </c>
      <c r="DS161" s="26">
        <f t="shared" si="198"/>
        <v>1.5</v>
      </c>
      <c r="DT161" s="26">
        <f t="shared" si="198"/>
        <v>1.5</v>
      </c>
      <c r="DU161" s="26">
        <f t="shared" si="198"/>
        <v>1.5</v>
      </c>
      <c r="DV161" s="26">
        <f t="shared" si="198"/>
        <v>0.1</v>
      </c>
      <c r="DW161" s="26">
        <f t="shared" si="198"/>
        <v>1</v>
      </c>
      <c r="DX161" s="26">
        <f t="shared" si="198"/>
        <v>1</v>
      </c>
      <c r="DY161" s="26">
        <f t="shared" si="198"/>
        <v>1</v>
      </c>
      <c r="DZ161" s="26">
        <f t="shared" si="198"/>
        <v>1</v>
      </c>
      <c r="EA161" s="26">
        <f t="shared" si="199"/>
        <v>1</v>
      </c>
      <c r="EB161" s="26">
        <f t="shared" si="199"/>
        <v>0.2</v>
      </c>
      <c r="EC161" s="26">
        <f t="shared" si="199"/>
        <v>0.2</v>
      </c>
      <c r="ED161" s="26">
        <f t="shared" si="199"/>
        <v>0.2</v>
      </c>
      <c r="EE161" s="26">
        <f t="shared" si="199"/>
        <v>0.2</v>
      </c>
      <c r="EF161" s="26">
        <f t="shared" si="199"/>
        <v>0.2</v>
      </c>
      <c r="EG161" s="26">
        <f t="shared" si="199"/>
        <v>0.1</v>
      </c>
      <c r="EH161" s="26">
        <f t="shared" si="199"/>
        <v>0.1</v>
      </c>
      <c r="EI161" s="26">
        <f t="shared" si="199"/>
        <v>0.1</v>
      </c>
      <c r="EJ161" s="26">
        <f t="shared" si="199"/>
        <v>0.05</v>
      </c>
      <c r="EK161" s="26">
        <f t="shared" si="199"/>
        <v>0.05</v>
      </c>
      <c r="EL161" s="26">
        <f t="shared" si="199"/>
        <v>0.05</v>
      </c>
      <c r="EM161" s="26">
        <f t="shared" si="165"/>
        <v>589257</v>
      </c>
      <c r="EN161" s="26">
        <f t="shared" si="166"/>
        <v>589257</v>
      </c>
      <c r="EO161" s="26">
        <f t="shared" si="167"/>
        <v>589257</v>
      </c>
      <c r="EP161" s="26">
        <f t="shared" si="168"/>
        <v>771411</v>
      </c>
      <c r="EQ161" s="26">
        <f t="shared" si="169"/>
        <v>771411</v>
      </c>
    </row>
    <row r="162" spans="17:147">
      <c r="Q162" s="26">
        <v>158</v>
      </c>
      <c r="R162" s="26">
        <f>总纲!D162</f>
        <v>57051.401716174769</v>
      </c>
      <c r="S162" s="26">
        <f>求节点(将星点产出!$W$6:$W$44,将星点产出!$AO$6:$AO$44,星阵点亮!$Q162)</f>
        <v>997350</v>
      </c>
      <c r="T162" s="26">
        <f t="shared" si="160"/>
        <v>59</v>
      </c>
      <c r="U162" s="26">
        <f>总纲!E162</f>
        <v>57051.401716174769</v>
      </c>
      <c r="V162" s="26">
        <f>求节点(将星点产出!$W$51:$W$89,将星点产出!$AO$51:$AO$89,星阵点亮!$Q162)</f>
        <v>997350</v>
      </c>
      <c r="W162" s="26">
        <f t="shared" si="161"/>
        <v>59</v>
      </c>
      <c r="X162" s="26">
        <f>总纲!F162</f>
        <v>57621.915733336515</v>
      </c>
      <c r="Y162" s="26">
        <f>求节点(将星点产出!$W$96:$W$134,将星点产出!$AO$96:$AO$134,星阵点亮!$Q162)</f>
        <v>997350</v>
      </c>
      <c r="Z162" s="26">
        <f t="shared" si="162"/>
        <v>59</v>
      </c>
      <c r="AA162" s="26">
        <f>总纲!G162</f>
        <v>57621.915733336515</v>
      </c>
      <c r="AB162" s="26">
        <f>求节点(将星点产出!$W$141:$W$179,将星点产出!$AO$141:$AO$179,星阵点亮!$Q162)</f>
        <v>1304550</v>
      </c>
      <c r="AC162" s="26">
        <f t="shared" si="163"/>
        <v>66</v>
      </c>
      <c r="AD162" s="26">
        <f>总纲!H162</f>
        <v>57621.915733336515</v>
      </c>
      <c r="AE162" s="26">
        <f>求节点(将星点产出!$W$186:$W$224,将星点产出!$AO$186:$AO$224,星阵点亮!$Q162)</f>
        <v>1304550</v>
      </c>
      <c r="AF162" s="26">
        <f t="shared" si="164"/>
        <v>66</v>
      </c>
      <c r="AG162" s="26">
        <f t="shared" si="190"/>
        <v>1.5</v>
      </c>
      <c r="AH162" s="26">
        <f t="shared" si="190"/>
        <v>1.5</v>
      </c>
      <c r="AI162" s="26">
        <f t="shared" si="190"/>
        <v>1.5</v>
      </c>
      <c r="AJ162" s="26">
        <f t="shared" si="190"/>
        <v>1.5</v>
      </c>
      <c r="AK162" s="26">
        <f t="shared" si="190"/>
        <v>1.5</v>
      </c>
      <c r="AL162" s="26">
        <f t="shared" si="190"/>
        <v>0.05</v>
      </c>
      <c r="AM162" s="26">
        <f t="shared" si="190"/>
        <v>1</v>
      </c>
      <c r="AN162" s="26">
        <f t="shared" si="190"/>
        <v>1</v>
      </c>
      <c r="AO162" s="26">
        <f t="shared" si="190"/>
        <v>1</v>
      </c>
      <c r="AP162" s="26">
        <f t="shared" si="190"/>
        <v>1</v>
      </c>
      <c r="AQ162" s="26">
        <f t="shared" si="191"/>
        <v>1</v>
      </c>
      <c r="AR162" s="26">
        <f t="shared" si="191"/>
        <v>0.2</v>
      </c>
      <c r="AS162" s="26">
        <f t="shared" si="191"/>
        <v>0.2</v>
      </c>
      <c r="AT162" s="26">
        <f t="shared" si="191"/>
        <v>0.2</v>
      </c>
      <c r="AU162" s="26">
        <f t="shared" si="191"/>
        <v>0.2</v>
      </c>
      <c r="AV162" s="26">
        <f t="shared" si="191"/>
        <v>0.2</v>
      </c>
      <c r="AW162" s="26">
        <f t="shared" si="191"/>
        <v>0.1</v>
      </c>
      <c r="AX162" s="26">
        <f t="shared" si="191"/>
        <v>0.05</v>
      </c>
      <c r="AY162" s="26">
        <f t="shared" si="191"/>
        <v>0.05</v>
      </c>
      <c r="AZ162" s="26">
        <f t="shared" si="191"/>
        <v>0.05</v>
      </c>
      <c r="BA162" s="26">
        <f t="shared" si="191"/>
        <v>0.05</v>
      </c>
      <c r="BB162" s="26">
        <f t="shared" si="191"/>
        <v>2.5000000000000001E-2</v>
      </c>
      <c r="BC162" s="26">
        <f t="shared" si="192"/>
        <v>1.5</v>
      </c>
      <c r="BD162" s="26">
        <f t="shared" si="192"/>
        <v>1.5</v>
      </c>
      <c r="BE162" s="26">
        <f t="shared" si="192"/>
        <v>1.5</v>
      </c>
      <c r="BF162" s="26">
        <f t="shared" si="192"/>
        <v>1.5</v>
      </c>
      <c r="BG162" s="26">
        <f t="shared" si="192"/>
        <v>1.5</v>
      </c>
      <c r="BH162" s="26">
        <f t="shared" si="192"/>
        <v>0.05</v>
      </c>
      <c r="BI162" s="26">
        <f t="shared" si="192"/>
        <v>1</v>
      </c>
      <c r="BJ162" s="26">
        <f t="shared" si="192"/>
        <v>1</v>
      </c>
      <c r="BK162" s="26">
        <f t="shared" si="192"/>
        <v>1</v>
      </c>
      <c r="BL162" s="26">
        <f t="shared" si="192"/>
        <v>1</v>
      </c>
      <c r="BM162" s="26">
        <f t="shared" si="193"/>
        <v>1</v>
      </c>
      <c r="BN162" s="26">
        <f t="shared" si="193"/>
        <v>0.2</v>
      </c>
      <c r="BO162" s="26">
        <f t="shared" si="193"/>
        <v>0.2</v>
      </c>
      <c r="BP162" s="26">
        <f t="shared" si="193"/>
        <v>0.2</v>
      </c>
      <c r="BQ162" s="26">
        <f t="shared" si="193"/>
        <v>0.2</v>
      </c>
      <c r="BR162" s="26">
        <f t="shared" si="193"/>
        <v>0.2</v>
      </c>
      <c r="BS162" s="26">
        <f t="shared" si="193"/>
        <v>0.1</v>
      </c>
      <c r="BT162" s="26">
        <f t="shared" si="193"/>
        <v>0.05</v>
      </c>
      <c r="BU162" s="26">
        <f t="shared" si="193"/>
        <v>0.05</v>
      </c>
      <c r="BV162" s="26">
        <f t="shared" si="193"/>
        <v>0.05</v>
      </c>
      <c r="BW162" s="26">
        <f t="shared" si="193"/>
        <v>0.05</v>
      </c>
      <c r="BX162" s="26">
        <f t="shared" si="193"/>
        <v>2.5000000000000001E-2</v>
      </c>
      <c r="BY162" s="26">
        <f t="shared" si="194"/>
        <v>1.5</v>
      </c>
      <c r="BZ162" s="26">
        <f t="shared" si="194"/>
        <v>1.5</v>
      </c>
      <c r="CA162" s="26">
        <f t="shared" si="194"/>
        <v>1.5</v>
      </c>
      <c r="CB162" s="26">
        <f t="shared" si="194"/>
        <v>1.5</v>
      </c>
      <c r="CC162" s="26">
        <f t="shared" si="194"/>
        <v>1.5</v>
      </c>
      <c r="CD162" s="26">
        <f t="shared" si="194"/>
        <v>0.05</v>
      </c>
      <c r="CE162" s="26">
        <f t="shared" si="194"/>
        <v>1</v>
      </c>
      <c r="CF162" s="26">
        <f t="shared" si="194"/>
        <v>1</v>
      </c>
      <c r="CG162" s="26">
        <f t="shared" si="194"/>
        <v>1</v>
      </c>
      <c r="CH162" s="26">
        <f t="shared" si="194"/>
        <v>1</v>
      </c>
      <c r="CI162" s="26">
        <f t="shared" si="195"/>
        <v>1</v>
      </c>
      <c r="CJ162" s="26">
        <f t="shared" si="195"/>
        <v>0.2</v>
      </c>
      <c r="CK162" s="26">
        <f t="shared" si="195"/>
        <v>0.2</v>
      </c>
      <c r="CL162" s="26">
        <f t="shared" si="195"/>
        <v>0.2</v>
      </c>
      <c r="CM162" s="26">
        <f t="shared" si="195"/>
        <v>0.2</v>
      </c>
      <c r="CN162" s="26">
        <f t="shared" si="195"/>
        <v>0.2</v>
      </c>
      <c r="CO162" s="26">
        <f t="shared" si="195"/>
        <v>0.1</v>
      </c>
      <c r="CP162" s="26">
        <f t="shared" si="195"/>
        <v>0.05</v>
      </c>
      <c r="CQ162" s="26">
        <f t="shared" si="195"/>
        <v>0.05</v>
      </c>
      <c r="CR162" s="26">
        <f t="shared" si="195"/>
        <v>0.05</v>
      </c>
      <c r="CS162" s="26">
        <f t="shared" si="195"/>
        <v>0.05</v>
      </c>
      <c r="CT162" s="26">
        <f t="shared" si="195"/>
        <v>2.5000000000000001E-2</v>
      </c>
      <c r="CU162" s="26">
        <f t="shared" si="196"/>
        <v>1.5</v>
      </c>
      <c r="CV162" s="26">
        <f t="shared" si="196"/>
        <v>1.5</v>
      </c>
      <c r="CW162" s="26">
        <f t="shared" si="196"/>
        <v>1.5</v>
      </c>
      <c r="CX162" s="26">
        <f t="shared" si="196"/>
        <v>1.5</v>
      </c>
      <c r="CY162" s="26">
        <f t="shared" si="196"/>
        <v>1.5</v>
      </c>
      <c r="CZ162" s="26">
        <f t="shared" si="196"/>
        <v>0.1</v>
      </c>
      <c r="DA162" s="26">
        <f t="shared" si="196"/>
        <v>1</v>
      </c>
      <c r="DB162" s="26">
        <f t="shared" si="196"/>
        <v>1</v>
      </c>
      <c r="DC162" s="26">
        <f t="shared" si="196"/>
        <v>1</v>
      </c>
      <c r="DD162" s="26">
        <f t="shared" si="196"/>
        <v>1</v>
      </c>
      <c r="DE162" s="26">
        <f t="shared" si="197"/>
        <v>1</v>
      </c>
      <c r="DF162" s="26">
        <f t="shared" si="197"/>
        <v>0.2</v>
      </c>
      <c r="DG162" s="26">
        <f t="shared" si="197"/>
        <v>0.2</v>
      </c>
      <c r="DH162" s="26">
        <f t="shared" si="197"/>
        <v>0.2</v>
      </c>
      <c r="DI162" s="26">
        <f t="shared" si="197"/>
        <v>0.2</v>
      </c>
      <c r="DJ162" s="26">
        <f t="shared" si="197"/>
        <v>0.2</v>
      </c>
      <c r="DK162" s="26">
        <f t="shared" si="197"/>
        <v>0.1</v>
      </c>
      <c r="DL162" s="26">
        <f t="shared" si="197"/>
        <v>0.1</v>
      </c>
      <c r="DM162" s="26">
        <f t="shared" si="197"/>
        <v>0.1</v>
      </c>
      <c r="DN162" s="26">
        <f t="shared" si="197"/>
        <v>0.05</v>
      </c>
      <c r="DO162" s="26">
        <f t="shared" si="197"/>
        <v>0.05</v>
      </c>
      <c r="DP162" s="26">
        <f t="shared" si="197"/>
        <v>0.05</v>
      </c>
      <c r="DQ162" s="26">
        <f t="shared" si="198"/>
        <v>1.5</v>
      </c>
      <c r="DR162" s="26">
        <f t="shared" si="198"/>
        <v>1.5</v>
      </c>
      <c r="DS162" s="26">
        <f t="shared" si="198"/>
        <v>1.5</v>
      </c>
      <c r="DT162" s="26">
        <f t="shared" si="198"/>
        <v>1.5</v>
      </c>
      <c r="DU162" s="26">
        <f t="shared" si="198"/>
        <v>1.5</v>
      </c>
      <c r="DV162" s="26">
        <f t="shared" si="198"/>
        <v>0.1</v>
      </c>
      <c r="DW162" s="26">
        <f t="shared" si="198"/>
        <v>1</v>
      </c>
      <c r="DX162" s="26">
        <f t="shared" si="198"/>
        <v>1</v>
      </c>
      <c r="DY162" s="26">
        <f t="shared" si="198"/>
        <v>1</v>
      </c>
      <c r="DZ162" s="26">
        <f t="shared" si="198"/>
        <v>1</v>
      </c>
      <c r="EA162" s="26">
        <f t="shared" si="199"/>
        <v>1</v>
      </c>
      <c r="EB162" s="26">
        <f t="shared" si="199"/>
        <v>0.2</v>
      </c>
      <c r="EC162" s="26">
        <f t="shared" si="199"/>
        <v>0.2</v>
      </c>
      <c r="ED162" s="26">
        <f t="shared" si="199"/>
        <v>0.2</v>
      </c>
      <c r="EE162" s="26">
        <f t="shared" si="199"/>
        <v>0.2</v>
      </c>
      <c r="EF162" s="26">
        <f t="shared" si="199"/>
        <v>0.2</v>
      </c>
      <c r="EG162" s="26">
        <f t="shared" si="199"/>
        <v>0.1</v>
      </c>
      <c r="EH162" s="26">
        <f t="shared" si="199"/>
        <v>0.1</v>
      </c>
      <c r="EI162" s="26">
        <f t="shared" si="199"/>
        <v>0.1</v>
      </c>
      <c r="EJ162" s="26">
        <f t="shared" si="199"/>
        <v>0.05</v>
      </c>
      <c r="EK162" s="26">
        <f t="shared" si="199"/>
        <v>0.05</v>
      </c>
      <c r="EL162" s="26">
        <f t="shared" si="199"/>
        <v>0.05</v>
      </c>
      <c r="EM162" s="26">
        <f t="shared" si="165"/>
        <v>589257</v>
      </c>
      <c r="EN162" s="26">
        <f t="shared" si="166"/>
        <v>589257</v>
      </c>
      <c r="EO162" s="26">
        <f t="shared" si="167"/>
        <v>589257</v>
      </c>
      <c r="EP162" s="26">
        <f t="shared" si="168"/>
        <v>771411</v>
      </c>
      <c r="EQ162" s="26">
        <f t="shared" si="169"/>
        <v>771411</v>
      </c>
    </row>
    <row r="163" spans="17:147">
      <c r="Q163" s="26">
        <v>159</v>
      </c>
      <c r="R163" s="26">
        <f>总纲!D163</f>
        <v>61146.25013335624</v>
      </c>
      <c r="S163" s="26">
        <f>求节点(将星点产出!$W$6:$W$44,将星点产出!$AO$6:$AO$44,星阵点亮!$Q163)</f>
        <v>997350</v>
      </c>
      <c r="T163" s="26">
        <f t="shared" si="160"/>
        <v>59</v>
      </c>
      <c r="U163" s="26">
        <f>总纲!E163</f>
        <v>61146.25013335624</v>
      </c>
      <c r="V163" s="26">
        <f>求节点(将星点产出!$W$51:$W$89,将星点产出!$AO$51:$AO$89,星阵点亮!$Q163)</f>
        <v>997350</v>
      </c>
      <c r="W163" s="26">
        <f t="shared" si="161"/>
        <v>59</v>
      </c>
      <c r="X163" s="26">
        <f>总纲!F163</f>
        <v>61757.7126346898</v>
      </c>
      <c r="Y163" s="26">
        <f>求节点(将星点产出!$W$96:$W$134,将星点产出!$AO$96:$AO$134,星阵点亮!$Q163)</f>
        <v>997350</v>
      </c>
      <c r="Z163" s="26">
        <f t="shared" si="162"/>
        <v>59</v>
      </c>
      <c r="AA163" s="26">
        <f>总纲!G163</f>
        <v>61757.7126346898</v>
      </c>
      <c r="AB163" s="26">
        <f>求节点(将星点产出!$W$141:$W$179,将星点产出!$AO$141:$AO$179,星阵点亮!$Q163)</f>
        <v>1304550</v>
      </c>
      <c r="AC163" s="26">
        <f t="shared" si="163"/>
        <v>66</v>
      </c>
      <c r="AD163" s="26">
        <f>总纲!H163</f>
        <v>61757.7126346898</v>
      </c>
      <c r="AE163" s="26">
        <f>求节点(将星点产出!$W$186:$W$224,将星点产出!$AO$186:$AO$224,星阵点亮!$Q163)</f>
        <v>1304550</v>
      </c>
      <c r="AF163" s="26">
        <f t="shared" si="164"/>
        <v>66</v>
      </c>
      <c r="AG163" s="26">
        <f t="shared" si="190"/>
        <v>1.5</v>
      </c>
      <c r="AH163" s="26">
        <f t="shared" si="190"/>
        <v>1.5</v>
      </c>
      <c r="AI163" s="26">
        <f t="shared" si="190"/>
        <v>1.5</v>
      </c>
      <c r="AJ163" s="26">
        <f t="shared" si="190"/>
        <v>1.5</v>
      </c>
      <c r="AK163" s="26">
        <f t="shared" si="190"/>
        <v>1.5</v>
      </c>
      <c r="AL163" s="26">
        <f t="shared" si="190"/>
        <v>0.05</v>
      </c>
      <c r="AM163" s="26">
        <f t="shared" si="190"/>
        <v>1</v>
      </c>
      <c r="AN163" s="26">
        <f t="shared" si="190"/>
        <v>1</v>
      </c>
      <c r="AO163" s="26">
        <f t="shared" si="190"/>
        <v>1</v>
      </c>
      <c r="AP163" s="26">
        <f t="shared" si="190"/>
        <v>1</v>
      </c>
      <c r="AQ163" s="26">
        <f t="shared" si="191"/>
        <v>1</v>
      </c>
      <c r="AR163" s="26">
        <f t="shared" si="191"/>
        <v>0.2</v>
      </c>
      <c r="AS163" s="26">
        <f t="shared" si="191"/>
        <v>0.2</v>
      </c>
      <c r="AT163" s="26">
        <f t="shared" si="191"/>
        <v>0.2</v>
      </c>
      <c r="AU163" s="26">
        <f t="shared" si="191"/>
        <v>0.2</v>
      </c>
      <c r="AV163" s="26">
        <f t="shared" si="191"/>
        <v>0.2</v>
      </c>
      <c r="AW163" s="26">
        <f t="shared" si="191"/>
        <v>0.1</v>
      </c>
      <c r="AX163" s="26">
        <f t="shared" si="191"/>
        <v>0.05</v>
      </c>
      <c r="AY163" s="26">
        <f t="shared" si="191"/>
        <v>0.05</v>
      </c>
      <c r="AZ163" s="26">
        <f t="shared" si="191"/>
        <v>0.05</v>
      </c>
      <c r="BA163" s="26">
        <f t="shared" si="191"/>
        <v>0.05</v>
      </c>
      <c r="BB163" s="26">
        <f t="shared" si="191"/>
        <v>2.5000000000000001E-2</v>
      </c>
      <c r="BC163" s="26">
        <f t="shared" si="192"/>
        <v>1.5</v>
      </c>
      <c r="BD163" s="26">
        <f t="shared" si="192"/>
        <v>1.5</v>
      </c>
      <c r="BE163" s="26">
        <f t="shared" si="192"/>
        <v>1.5</v>
      </c>
      <c r="BF163" s="26">
        <f t="shared" si="192"/>
        <v>1.5</v>
      </c>
      <c r="BG163" s="26">
        <f t="shared" si="192"/>
        <v>1.5</v>
      </c>
      <c r="BH163" s="26">
        <f t="shared" si="192"/>
        <v>0.05</v>
      </c>
      <c r="BI163" s="26">
        <f t="shared" si="192"/>
        <v>1</v>
      </c>
      <c r="BJ163" s="26">
        <f t="shared" si="192"/>
        <v>1</v>
      </c>
      <c r="BK163" s="26">
        <f t="shared" si="192"/>
        <v>1</v>
      </c>
      <c r="BL163" s="26">
        <f t="shared" si="192"/>
        <v>1</v>
      </c>
      <c r="BM163" s="26">
        <f t="shared" si="193"/>
        <v>1</v>
      </c>
      <c r="BN163" s="26">
        <f t="shared" si="193"/>
        <v>0.2</v>
      </c>
      <c r="BO163" s="26">
        <f t="shared" si="193"/>
        <v>0.2</v>
      </c>
      <c r="BP163" s="26">
        <f t="shared" si="193"/>
        <v>0.2</v>
      </c>
      <c r="BQ163" s="26">
        <f t="shared" si="193"/>
        <v>0.2</v>
      </c>
      <c r="BR163" s="26">
        <f t="shared" si="193"/>
        <v>0.2</v>
      </c>
      <c r="BS163" s="26">
        <f t="shared" si="193"/>
        <v>0.1</v>
      </c>
      <c r="BT163" s="26">
        <f t="shared" si="193"/>
        <v>0.05</v>
      </c>
      <c r="BU163" s="26">
        <f t="shared" si="193"/>
        <v>0.05</v>
      </c>
      <c r="BV163" s="26">
        <f t="shared" si="193"/>
        <v>0.05</v>
      </c>
      <c r="BW163" s="26">
        <f t="shared" si="193"/>
        <v>0.05</v>
      </c>
      <c r="BX163" s="26">
        <f t="shared" si="193"/>
        <v>2.5000000000000001E-2</v>
      </c>
      <c r="BY163" s="26">
        <f t="shared" si="194"/>
        <v>1.5</v>
      </c>
      <c r="BZ163" s="26">
        <f t="shared" si="194"/>
        <v>1.5</v>
      </c>
      <c r="CA163" s="26">
        <f t="shared" si="194"/>
        <v>1.5</v>
      </c>
      <c r="CB163" s="26">
        <f t="shared" si="194"/>
        <v>1.5</v>
      </c>
      <c r="CC163" s="26">
        <f t="shared" si="194"/>
        <v>1.5</v>
      </c>
      <c r="CD163" s="26">
        <f t="shared" si="194"/>
        <v>0.05</v>
      </c>
      <c r="CE163" s="26">
        <f t="shared" si="194"/>
        <v>1</v>
      </c>
      <c r="CF163" s="26">
        <f t="shared" si="194"/>
        <v>1</v>
      </c>
      <c r="CG163" s="26">
        <f t="shared" si="194"/>
        <v>1</v>
      </c>
      <c r="CH163" s="26">
        <f t="shared" si="194"/>
        <v>1</v>
      </c>
      <c r="CI163" s="26">
        <f t="shared" si="195"/>
        <v>1</v>
      </c>
      <c r="CJ163" s="26">
        <f t="shared" si="195"/>
        <v>0.2</v>
      </c>
      <c r="CK163" s="26">
        <f t="shared" si="195"/>
        <v>0.2</v>
      </c>
      <c r="CL163" s="26">
        <f t="shared" si="195"/>
        <v>0.2</v>
      </c>
      <c r="CM163" s="26">
        <f t="shared" si="195"/>
        <v>0.2</v>
      </c>
      <c r="CN163" s="26">
        <f t="shared" si="195"/>
        <v>0.2</v>
      </c>
      <c r="CO163" s="26">
        <f t="shared" si="195"/>
        <v>0.1</v>
      </c>
      <c r="CP163" s="26">
        <f t="shared" si="195"/>
        <v>0.05</v>
      </c>
      <c r="CQ163" s="26">
        <f t="shared" si="195"/>
        <v>0.05</v>
      </c>
      <c r="CR163" s="26">
        <f t="shared" si="195"/>
        <v>0.05</v>
      </c>
      <c r="CS163" s="26">
        <f t="shared" si="195"/>
        <v>0.05</v>
      </c>
      <c r="CT163" s="26">
        <f t="shared" si="195"/>
        <v>2.5000000000000001E-2</v>
      </c>
      <c r="CU163" s="26">
        <f t="shared" si="196"/>
        <v>1.5</v>
      </c>
      <c r="CV163" s="26">
        <f t="shared" si="196"/>
        <v>1.5</v>
      </c>
      <c r="CW163" s="26">
        <f t="shared" si="196"/>
        <v>1.5</v>
      </c>
      <c r="CX163" s="26">
        <f t="shared" si="196"/>
        <v>1.5</v>
      </c>
      <c r="CY163" s="26">
        <f t="shared" si="196"/>
        <v>1.5</v>
      </c>
      <c r="CZ163" s="26">
        <f t="shared" si="196"/>
        <v>0.1</v>
      </c>
      <c r="DA163" s="26">
        <f t="shared" si="196"/>
        <v>1</v>
      </c>
      <c r="DB163" s="26">
        <f t="shared" si="196"/>
        <v>1</v>
      </c>
      <c r="DC163" s="26">
        <f t="shared" si="196"/>
        <v>1</v>
      </c>
      <c r="DD163" s="26">
        <f t="shared" si="196"/>
        <v>1</v>
      </c>
      <c r="DE163" s="26">
        <f t="shared" si="197"/>
        <v>1</v>
      </c>
      <c r="DF163" s="26">
        <f t="shared" si="197"/>
        <v>0.2</v>
      </c>
      <c r="DG163" s="26">
        <f t="shared" si="197"/>
        <v>0.2</v>
      </c>
      <c r="DH163" s="26">
        <f t="shared" si="197"/>
        <v>0.2</v>
      </c>
      <c r="DI163" s="26">
        <f t="shared" si="197"/>
        <v>0.2</v>
      </c>
      <c r="DJ163" s="26">
        <f t="shared" si="197"/>
        <v>0.2</v>
      </c>
      <c r="DK163" s="26">
        <f t="shared" si="197"/>
        <v>0.1</v>
      </c>
      <c r="DL163" s="26">
        <f t="shared" si="197"/>
        <v>0.1</v>
      </c>
      <c r="DM163" s="26">
        <f t="shared" si="197"/>
        <v>0.1</v>
      </c>
      <c r="DN163" s="26">
        <f t="shared" si="197"/>
        <v>0.05</v>
      </c>
      <c r="DO163" s="26">
        <f t="shared" si="197"/>
        <v>0.05</v>
      </c>
      <c r="DP163" s="26">
        <f t="shared" si="197"/>
        <v>0.05</v>
      </c>
      <c r="DQ163" s="26">
        <f t="shared" si="198"/>
        <v>1.5</v>
      </c>
      <c r="DR163" s="26">
        <f t="shared" si="198"/>
        <v>1.5</v>
      </c>
      <c r="DS163" s="26">
        <f t="shared" si="198"/>
        <v>1.5</v>
      </c>
      <c r="DT163" s="26">
        <f t="shared" si="198"/>
        <v>1.5</v>
      </c>
      <c r="DU163" s="26">
        <f t="shared" si="198"/>
        <v>1.5</v>
      </c>
      <c r="DV163" s="26">
        <f t="shared" si="198"/>
        <v>0.1</v>
      </c>
      <c r="DW163" s="26">
        <f t="shared" si="198"/>
        <v>1</v>
      </c>
      <c r="DX163" s="26">
        <f t="shared" si="198"/>
        <v>1</v>
      </c>
      <c r="DY163" s="26">
        <f t="shared" si="198"/>
        <v>1</v>
      </c>
      <c r="DZ163" s="26">
        <f t="shared" si="198"/>
        <v>1</v>
      </c>
      <c r="EA163" s="26">
        <f t="shared" si="199"/>
        <v>1</v>
      </c>
      <c r="EB163" s="26">
        <f t="shared" si="199"/>
        <v>0.2</v>
      </c>
      <c r="EC163" s="26">
        <f t="shared" si="199"/>
        <v>0.2</v>
      </c>
      <c r="ED163" s="26">
        <f t="shared" si="199"/>
        <v>0.2</v>
      </c>
      <c r="EE163" s="26">
        <f t="shared" si="199"/>
        <v>0.2</v>
      </c>
      <c r="EF163" s="26">
        <f t="shared" si="199"/>
        <v>0.2</v>
      </c>
      <c r="EG163" s="26">
        <f t="shared" si="199"/>
        <v>0.1</v>
      </c>
      <c r="EH163" s="26">
        <f t="shared" si="199"/>
        <v>0.1</v>
      </c>
      <c r="EI163" s="26">
        <f t="shared" si="199"/>
        <v>0.1</v>
      </c>
      <c r="EJ163" s="26">
        <f t="shared" si="199"/>
        <v>0.05</v>
      </c>
      <c r="EK163" s="26">
        <f t="shared" si="199"/>
        <v>0.05</v>
      </c>
      <c r="EL163" s="26">
        <f t="shared" si="199"/>
        <v>0.05</v>
      </c>
      <c r="EM163" s="26">
        <f t="shared" si="165"/>
        <v>589257</v>
      </c>
      <c r="EN163" s="26">
        <f t="shared" si="166"/>
        <v>589257</v>
      </c>
      <c r="EO163" s="26">
        <f t="shared" si="167"/>
        <v>589257</v>
      </c>
      <c r="EP163" s="26">
        <f t="shared" si="168"/>
        <v>771411</v>
      </c>
      <c r="EQ163" s="26">
        <f t="shared" si="169"/>
        <v>771411</v>
      </c>
    </row>
    <row r="164" spans="17:147">
      <c r="Q164" s="26">
        <v>160</v>
      </c>
      <c r="R164" s="26">
        <f>总纲!D164</f>
        <v>65535</v>
      </c>
      <c r="S164" s="26">
        <f>求节点(将星点产出!$W$6:$W$44,将星点产出!$AO$6:$AO$44,星阵点亮!$Q164)</f>
        <v>997350</v>
      </c>
      <c r="T164" s="26">
        <f t="shared" si="160"/>
        <v>59</v>
      </c>
      <c r="U164" s="26">
        <f>总纲!E164</f>
        <v>65535</v>
      </c>
      <c r="V164" s="26">
        <f>求节点(将星点产出!$W$51:$W$89,将星点产出!$AO$51:$AO$89,星阵点亮!$Q164)</f>
        <v>997350</v>
      </c>
      <c r="W164" s="26">
        <f t="shared" si="161"/>
        <v>59</v>
      </c>
      <c r="X164" s="26">
        <f>总纲!F164</f>
        <v>66190.350000000006</v>
      </c>
      <c r="Y164" s="26">
        <f>求节点(将星点产出!$W$96:$W$134,将星点产出!$AO$96:$AO$134,星阵点亮!$Q164)</f>
        <v>997350</v>
      </c>
      <c r="Z164" s="26">
        <f t="shared" si="162"/>
        <v>59</v>
      </c>
      <c r="AA164" s="26">
        <f>总纲!G164</f>
        <v>66190.350000000006</v>
      </c>
      <c r="AB164" s="26">
        <f>求节点(将星点产出!$W$141:$W$179,将星点产出!$AO$141:$AO$179,星阵点亮!$Q164)</f>
        <v>1304550</v>
      </c>
      <c r="AC164" s="26">
        <f t="shared" si="163"/>
        <v>66</v>
      </c>
      <c r="AD164" s="26">
        <f>总纲!H164</f>
        <v>66190.350000000006</v>
      </c>
      <c r="AE164" s="26">
        <f>求节点(将星点产出!$W$186:$W$224,将星点产出!$AO$186:$AO$224,星阵点亮!$Q164)</f>
        <v>1304550</v>
      </c>
      <c r="AF164" s="26">
        <f t="shared" si="164"/>
        <v>66</v>
      </c>
      <c r="AG164" s="26">
        <f t="shared" si="190"/>
        <v>1.5</v>
      </c>
      <c r="AH164" s="26">
        <f t="shared" si="190"/>
        <v>1.5</v>
      </c>
      <c r="AI164" s="26">
        <f t="shared" si="190"/>
        <v>1.5</v>
      </c>
      <c r="AJ164" s="26">
        <f t="shared" si="190"/>
        <v>1.5</v>
      </c>
      <c r="AK164" s="26">
        <f t="shared" si="190"/>
        <v>1.5</v>
      </c>
      <c r="AL164" s="26">
        <f t="shared" si="190"/>
        <v>0.05</v>
      </c>
      <c r="AM164" s="26">
        <f t="shared" si="190"/>
        <v>1</v>
      </c>
      <c r="AN164" s="26">
        <f t="shared" si="190"/>
        <v>1</v>
      </c>
      <c r="AO164" s="26">
        <f t="shared" si="190"/>
        <v>1</v>
      </c>
      <c r="AP164" s="26">
        <f t="shared" si="190"/>
        <v>1</v>
      </c>
      <c r="AQ164" s="26">
        <f t="shared" si="191"/>
        <v>1</v>
      </c>
      <c r="AR164" s="26">
        <f t="shared" si="191"/>
        <v>0.2</v>
      </c>
      <c r="AS164" s="26">
        <f t="shared" si="191"/>
        <v>0.2</v>
      </c>
      <c r="AT164" s="26">
        <f t="shared" si="191"/>
        <v>0.2</v>
      </c>
      <c r="AU164" s="26">
        <f t="shared" si="191"/>
        <v>0.2</v>
      </c>
      <c r="AV164" s="26">
        <f t="shared" si="191"/>
        <v>0.2</v>
      </c>
      <c r="AW164" s="26">
        <f t="shared" si="191"/>
        <v>0.1</v>
      </c>
      <c r="AX164" s="26">
        <f t="shared" si="191"/>
        <v>0.05</v>
      </c>
      <c r="AY164" s="26">
        <f t="shared" si="191"/>
        <v>0.05</v>
      </c>
      <c r="AZ164" s="26">
        <f t="shared" si="191"/>
        <v>0.05</v>
      </c>
      <c r="BA164" s="26">
        <f t="shared" si="191"/>
        <v>0.05</v>
      </c>
      <c r="BB164" s="26">
        <f t="shared" si="191"/>
        <v>2.5000000000000001E-2</v>
      </c>
      <c r="BC164" s="26">
        <f t="shared" si="192"/>
        <v>1.5</v>
      </c>
      <c r="BD164" s="26">
        <f t="shared" si="192"/>
        <v>1.5</v>
      </c>
      <c r="BE164" s="26">
        <f t="shared" si="192"/>
        <v>1.5</v>
      </c>
      <c r="BF164" s="26">
        <f t="shared" si="192"/>
        <v>1.5</v>
      </c>
      <c r="BG164" s="26">
        <f t="shared" si="192"/>
        <v>1.5</v>
      </c>
      <c r="BH164" s="26">
        <f t="shared" si="192"/>
        <v>0.05</v>
      </c>
      <c r="BI164" s="26">
        <f t="shared" si="192"/>
        <v>1</v>
      </c>
      <c r="BJ164" s="26">
        <f t="shared" si="192"/>
        <v>1</v>
      </c>
      <c r="BK164" s="26">
        <f t="shared" si="192"/>
        <v>1</v>
      </c>
      <c r="BL164" s="26">
        <f t="shared" si="192"/>
        <v>1</v>
      </c>
      <c r="BM164" s="26">
        <f t="shared" si="193"/>
        <v>1</v>
      </c>
      <c r="BN164" s="26">
        <f t="shared" si="193"/>
        <v>0.2</v>
      </c>
      <c r="BO164" s="26">
        <f t="shared" si="193"/>
        <v>0.2</v>
      </c>
      <c r="BP164" s="26">
        <f t="shared" si="193"/>
        <v>0.2</v>
      </c>
      <c r="BQ164" s="26">
        <f t="shared" si="193"/>
        <v>0.2</v>
      </c>
      <c r="BR164" s="26">
        <f t="shared" si="193"/>
        <v>0.2</v>
      </c>
      <c r="BS164" s="26">
        <f t="shared" si="193"/>
        <v>0.1</v>
      </c>
      <c r="BT164" s="26">
        <f t="shared" si="193"/>
        <v>0.05</v>
      </c>
      <c r="BU164" s="26">
        <f t="shared" si="193"/>
        <v>0.05</v>
      </c>
      <c r="BV164" s="26">
        <f t="shared" si="193"/>
        <v>0.05</v>
      </c>
      <c r="BW164" s="26">
        <f t="shared" si="193"/>
        <v>0.05</v>
      </c>
      <c r="BX164" s="26">
        <f t="shared" si="193"/>
        <v>2.5000000000000001E-2</v>
      </c>
      <c r="BY164" s="26">
        <f t="shared" si="194"/>
        <v>1.5</v>
      </c>
      <c r="BZ164" s="26">
        <f t="shared" si="194"/>
        <v>1.5</v>
      </c>
      <c r="CA164" s="26">
        <f t="shared" si="194"/>
        <v>1.5</v>
      </c>
      <c r="CB164" s="26">
        <f t="shared" si="194"/>
        <v>1.5</v>
      </c>
      <c r="CC164" s="26">
        <f t="shared" si="194"/>
        <v>1.5</v>
      </c>
      <c r="CD164" s="26">
        <f t="shared" si="194"/>
        <v>0.05</v>
      </c>
      <c r="CE164" s="26">
        <f t="shared" si="194"/>
        <v>1</v>
      </c>
      <c r="CF164" s="26">
        <f t="shared" si="194"/>
        <v>1</v>
      </c>
      <c r="CG164" s="26">
        <f t="shared" si="194"/>
        <v>1</v>
      </c>
      <c r="CH164" s="26">
        <f t="shared" si="194"/>
        <v>1</v>
      </c>
      <c r="CI164" s="26">
        <f t="shared" si="195"/>
        <v>1</v>
      </c>
      <c r="CJ164" s="26">
        <f t="shared" si="195"/>
        <v>0.2</v>
      </c>
      <c r="CK164" s="26">
        <f t="shared" si="195"/>
        <v>0.2</v>
      </c>
      <c r="CL164" s="26">
        <f t="shared" si="195"/>
        <v>0.2</v>
      </c>
      <c r="CM164" s="26">
        <f t="shared" si="195"/>
        <v>0.2</v>
      </c>
      <c r="CN164" s="26">
        <f t="shared" si="195"/>
        <v>0.2</v>
      </c>
      <c r="CO164" s="26">
        <f t="shared" si="195"/>
        <v>0.1</v>
      </c>
      <c r="CP164" s="26">
        <f t="shared" si="195"/>
        <v>0.05</v>
      </c>
      <c r="CQ164" s="26">
        <f t="shared" si="195"/>
        <v>0.05</v>
      </c>
      <c r="CR164" s="26">
        <f t="shared" si="195"/>
        <v>0.05</v>
      </c>
      <c r="CS164" s="26">
        <f t="shared" si="195"/>
        <v>0.05</v>
      </c>
      <c r="CT164" s="26">
        <f t="shared" si="195"/>
        <v>2.5000000000000001E-2</v>
      </c>
      <c r="CU164" s="26">
        <f t="shared" si="196"/>
        <v>1.5</v>
      </c>
      <c r="CV164" s="26">
        <f t="shared" si="196"/>
        <v>1.5</v>
      </c>
      <c r="CW164" s="26">
        <f t="shared" si="196"/>
        <v>1.5</v>
      </c>
      <c r="CX164" s="26">
        <f t="shared" si="196"/>
        <v>1.5</v>
      </c>
      <c r="CY164" s="26">
        <f t="shared" si="196"/>
        <v>1.5</v>
      </c>
      <c r="CZ164" s="26">
        <f t="shared" si="196"/>
        <v>0.1</v>
      </c>
      <c r="DA164" s="26">
        <f t="shared" si="196"/>
        <v>1</v>
      </c>
      <c r="DB164" s="26">
        <f t="shared" si="196"/>
        <v>1</v>
      </c>
      <c r="DC164" s="26">
        <f t="shared" si="196"/>
        <v>1</v>
      </c>
      <c r="DD164" s="26">
        <f t="shared" si="196"/>
        <v>1</v>
      </c>
      <c r="DE164" s="26">
        <f t="shared" si="197"/>
        <v>1</v>
      </c>
      <c r="DF164" s="26">
        <f t="shared" si="197"/>
        <v>0.2</v>
      </c>
      <c r="DG164" s="26">
        <f t="shared" si="197"/>
        <v>0.2</v>
      </c>
      <c r="DH164" s="26">
        <f t="shared" si="197"/>
        <v>0.2</v>
      </c>
      <c r="DI164" s="26">
        <f t="shared" si="197"/>
        <v>0.2</v>
      </c>
      <c r="DJ164" s="26">
        <f t="shared" si="197"/>
        <v>0.2</v>
      </c>
      <c r="DK164" s="26">
        <f t="shared" si="197"/>
        <v>0.1</v>
      </c>
      <c r="DL164" s="26">
        <f t="shared" si="197"/>
        <v>0.1</v>
      </c>
      <c r="DM164" s="26">
        <f t="shared" si="197"/>
        <v>0.1</v>
      </c>
      <c r="DN164" s="26">
        <f t="shared" si="197"/>
        <v>0.05</v>
      </c>
      <c r="DO164" s="26">
        <f t="shared" si="197"/>
        <v>0.05</v>
      </c>
      <c r="DP164" s="26">
        <f t="shared" si="197"/>
        <v>0.05</v>
      </c>
      <c r="DQ164" s="26">
        <f t="shared" si="198"/>
        <v>1.5</v>
      </c>
      <c r="DR164" s="26">
        <f t="shared" si="198"/>
        <v>1.5</v>
      </c>
      <c r="DS164" s="26">
        <f t="shared" si="198"/>
        <v>1.5</v>
      </c>
      <c r="DT164" s="26">
        <f t="shared" si="198"/>
        <v>1.5</v>
      </c>
      <c r="DU164" s="26">
        <f t="shared" si="198"/>
        <v>1.5</v>
      </c>
      <c r="DV164" s="26">
        <f t="shared" si="198"/>
        <v>0.1</v>
      </c>
      <c r="DW164" s="26">
        <f t="shared" si="198"/>
        <v>1</v>
      </c>
      <c r="DX164" s="26">
        <f t="shared" si="198"/>
        <v>1</v>
      </c>
      <c r="DY164" s="26">
        <f t="shared" si="198"/>
        <v>1</v>
      </c>
      <c r="DZ164" s="26">
        <f t="shared" si="198"/>
        <v>1</v>
      </c>
      <c r="EA164" s="26">
        <f t="shared" si="199"/>
        <v>1</v>
      </c>
      <c r="EB164" s="26">
        <f t="shared" si="199"/>
        <v>0.2</v>
      </c>
      <c r="EC164" s="26">
        <f t="shared" si="199"/>
        <v>0.2</v>
      </c>
      <c r="ED164" s="26">
        <f t="shared" si="199"/>
        <v>0.2</v>
      </c>
      <c r="EE164" s="26">
        <f t="shared" si="199"/>
        <v>0.2</v>
      </c>
      <c r="EF164" s="26">
        <f t="shared" si="199"/>
        <v>0.2</v>
      </c>
      <c r="EG164" s="26">
        <f t="shared" si="199"/>
        <v>0.1</v>
      </c>
      <c r="EH164" s="26">
        <f t="shared" si="199"/>
        <v>0.1</v>
      </c>
      <c r="EI164" s="26">
        <f t="shared" si="199"/>
        <v>0.1</v>
      </c>
      <c r="EJ164" s="26">
        <f t="shared" si="199"/>
        <v>0.05</v>
      </c>
      <c r="EK164" s="26">
        <f t="shared" si="199"/>
        <v>0.05</v>
      </c>
      <c r="EL164" s="26">
        <f t="shared" si="199"/>
        <v>0.05</v>
      </c>
      <c r="EM164" s="26">
        <f t="shared" si="165"/>
        <v>589257</v>
      </c>
      <c r="EN164" s="26">
        <f t="shared" si="166"/>
        <v>589257</v>
      </c>
      <c r="EO164" s="26">
        <f t="shared" si="167"/>
        <v>589257</v>
      </c>
      <c r="EP164" s="26">
        <f t="shared" si="168"/>
        <v>771411</v>
      </c>
      <c r="EQ164" s="26">
        <f t="shared" si="169"/>
        <v>771411</v>
      </c>
    </row>
  </sheetData>
  <mergeCells count="11">
    <mergeCell ref="EM3:EQ3"/>
    <mergeCell ref="R3:T3"/>
    <mergeCell ref="U3:W3"/>
    <mergeCell ref="X3:Z3"/>
    <mergeCell ref="AA3:AC3"/>
    <mergeCell ref="AD3:AF3"/>
    <mergeCell ref="AG3:BB3"/>
    <mergeCell ref="BC3:BX3"/>
    <mergeCell ref="BY3:CT3"/>
    <mergeCell ref="CU3:DP3"/>
    <mergeCell ref="DQ3:EL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T107"/>
  <sheetViews>
    <sheetView workbookViewId="0">
      <selection activeCell="AV13" sqref="AV13"/>
    </sheetView>
  </sheetViews>
  <sheetFormatPr defaultColWidth="5.625" defaultRowHeight="11.25"/>
  <cols>
    <col min="1" max="2" width="5.625" style="8"/>
    <col min="3" max="3" width="6.75" style="8" bestFit="1" customWidth="1"/>
    <col min="4" max="14" width="5.625" style="8"/>
    <col min="15" max="15" width="5.625" style="9" customWidth="1"/>
    <col min="16" max="26" width="5.625" style="8" customWidth="1"/>
    <col min="27" max="27" width="5.625" style="9" customWidth="1"/>
    <col min="28" max="29" width="5.625" style="8" customWidth="1"/>
    <col min="30" max="30" width="6.75" style="8" customWidth="1"/>
    <col min="31" max="35" width="5.625" style="8" customWidth="1"/>
    <col min="36" max="36" width="5.625" style="9" customWidth="1"/>
    <col min="37" max="44" width="5.625" style="8" customWidth="1"/>
    <col min="45" max="45" width="5.625" style="9" customWidth="1"/>
    <col min="46" max="53" width="5.625" style="8" customWidth="1"/>
    <col min="54" max="54" width="5.625" style="9" customWidth="1"/>
    <col min="55" max="62" width="5.625" style="8" customWidth="1"/>
    <col min="63" max="63" width="5.625" style="9" customWidth="1"/>
    <col min="64" max="71" width="5.625" style="8" customWidth="1"/>
    <col min="72" max="72" width="5.625" style="9" customWidth="1"/>
    <col min="73" max="80" width="5.625" style="8" customWidth="1"/>
    <col min="81" max="81" width="5.625" style="9" customWidth="1"/>
    <col min="82" max="89" width="5.625" style="8" customWidth="1"/>
    <col min="90" max="90" width="5.625" style="9" customWidth="1"/>
    <col min="91" max="98" width="5.625" style="8" customWidth="1"/>
    <col min="99" max="99" width="5.625" style="9"/>
    <col min="100" max="107" width="5.625" style="8"/>
    <col min="108" max="108" width="5.625" style="9"/>
    <col min="109" max="116" width="5.625" style="8"/>
    <col min="117" max="117" width="5.625" style="9"/>
    <col min="118" max="16384" width="5.625" style="8"/>
  </cols>
  <sheetData>
    <row r="1" spans="2:124" s="14" customFormat="1">
      <c r="C1" s="8" t="s">
        <v>59</v>
      </c>
      <c r="D1" s="8">
        <v>15</v>
      </c>
      <c r="O1" s="20"/>
      <c r="AA1" s="20"/>
      <c r="AB1" s="14" t="s">
        <v>71</v>
      </c>
      <c r="AJ1" s="20"/>
      <c r="AK1" s="14" t="s">
        <v>74</v>
      </c>
      <c r="AS1" s="20"/>
      <c r="AT1" s="14" t="s">
        <v>75</v>
      </c>
      <c r="BB1" s="20"/>
      <c r="BC1" s="14" t="s">
        <v>76</v>
      </c>
      <c r="BK1" s="20"/>
      <c r="BL1" s="14" t="s">
        <v>77</v>
      </c>
      <c r="BT1" s="20"/>
      <c r="BU1" s="14" t="s">
        <v>78</v>
      </c>
      <c r="CC1" s="20"/>
      <c r="CD1" s="14" t="s">
        <v>82</v>
      </c>
      <c r="CL1" s="20"/>
      <c r="CM1" s="14" t="s">
        <v>83</v>
      </c>
      <c r="CU1" s="20"/>
      <c r="CV1" s="14" t="s">
        <v>84</v>
      </c>
      <c r="DD1" s="20"/>
      <c r="DE1" s="14" t="s">
        <v>85</v>
      </c>
      <c r="DM1" s="20"/>
      <c r="DN1" s="14" t="s">
        <v>86</v>
      </c>
    </row>
    <row r="2" spans="2:124">
      <c r="C2" s="8" t="s">
        <v>65</v>
      </c>
      <c r="D2" s="8" t="e">
        <f>#REF!</f>
        <v>#REF!</v>
      </c>
      <c r="AL2" s="8" t="s">
        <v>73</v>
      </c>
    </row>
    <row r="3" spans="2:124">
      <c r="C3" s="8" t="s">
        <v>66</v>
      </c>
      <c r="D3" s="8">
        <v>4</v>
      </c>
    </row>
    <row r="4" spans="2:124" ht="56.25">
      <c r="C4" s="12" t="s">
        <v>60</v>
      </c>
      <c r="D4" s="12" t="s">
        <v>61</v>
      </c>
      <c r="E4" s="12" t="s">
        <v>62</v>
      </c>
      <c r="F4" s="12" t="s">
        <v>79</v>
      </c>
      <c r="G4" s="12" t="s">
        <v>80</v>
      </c>
      <c r="H4" s="12" t="s">
        <v>63</v>
      </c>
      <c r="I4" s="12" t="s">
        <v>82</v>
      </c>
      <c r="J4" s="12" t="s">
        <v>83</v>
      </c>
      <c r="K4" s="12" t="s">
        <v>84</v>
      </c>
      <c r="L4" s="13" t="s">
        <v>85</v>
      </c>
      <c r="M4" s="13" t="s">
        <v>86</v>
      </c>
    </row>
    <row r="5" spans="2:124">
      <c r="B5" s="8" t="s">
        <v>81</v>
      </c>
      <c r="C5" s="15">
        <v>0.1</v>
      </c>
      <c r="D5" s="15"/>
      <c r="E5" s="15">
        <v>0.05</v>
      </c>
      <c r="F5" s="15">
        <v>0.05</v>
      </c>
      <c r="G5" s="15">
        <v>0.25</v>
      </c>
      <c r="H5" s="15">
        <v>0.15</v>
      </c>
      <c r="I5" s="15">
        <v>0.33</v>
      </c>
      <c r="J5" s="15">
        <v>0.5</v>
      </c>
      <c r="K5" s="15">
        <v>0.2</v>
      </c>
      <c r="L5" s="16">
        <v>5</v>
      </c>
      <c r="M5" s="16">
        <v>10</v>
      </c>
      <c r="S5" s="8" t="s">
        <v>30</v>
      </c>
      <c r="T5" s="8" t="s">
        <v>31</v>
      </c>
      <c r="U5" s="8" t="s">
        <v>32</v>
      </c>
      <c r="V5" s="8" t="s">
        <v>33</v>
      </c>
      <c r="W5" s="8" t="s">
        <v>34</v>
      </c>
      <c r="AC5" s="8" t="s">
        <v>72</v>
      </c>
      <c r="AD5" s="8" t="s">
        <v>30</v>
      </c>
      <c r="AE5" s="8" t="s">
        <v>31</v>
      </c>
      <c r="AF5" s="8" t="s">
        <v>32</v>
      </c>
      <c r="AG5" s="8" t="s">
        <v>33</v>
      </c>
      <c r="AH5" s="8" t="s">
        <v>34</v>
      </c>
      <c r="AL5" s="8" t="s">
        <v>72</v>
      </c>
      <c r="AM5" s="8" t="s">
        <v>30</v>
      </c>
      <c r="AN5" s="8" t="s">
        <v>31</v>
      </c>
      <c r="AO5" s="8" t="s">
        <v>32</v>
      </c>
      <c r="AP5" s="8" t="s">
        <v>33</v>
      </c>
      <c r="AQ5" s="8" t="s">
        <v>34</v>
      </c>
      <c r="AU5" s="8" t="s">
        <v>72</v>
      </c>
      <c r="AV5" s="8" t="s">
        <v>30</v>
      </c>
      <c r="AW5" s="8" t="s">
        <v>31</v>
      </c>
      <c r="AX5" s="8" t="s">
        <v>32</v>
      </c>
      <c r="AY5" s="8" t="s">
        <v>33</v>
      </c>
      <c r="AZ5" s="8" t="s">
        <v>34</v>
      </c>
      <c r="BD5" s="8" t="s">
        <v>72</v>
      </c>
      <c r="BE5" s="8" t="s">
        <v>30</v>
      </c>
      <c r="BF5" s="8" t="s">
        <v>31</v>
      </c>
      <c r="BG5" s="8" t="s">
        <v>32</v>
      </c>
      <c r="BH5" s="8" t="s">
        <v>33</v>
      </c>
      <c r="BI5" s="8" t="s">
        <v>34</v>
      </c>
      <c r="BM5" s="8" t="s">
        <v>72</v>
      </c>
      <c r="BN5" s="8" t="s">
        <v>30</v>
      </c>
      <c r="BO5" s="8" t="s">
        <v>31</v>
      </c>
      <c r="BP5" s="8" t="s">
        <v>32</v>
      </c>
      <c r="BQ5" s="8" t="s">
        <v>33</v>
      </c>
      <c r="BR5" s="8" t="s">
        <v>34</v>
      </c>
      <c r="BV5" s="8" t="s">
        <v>72</v>
      </c>
      <c r="BW5" s="8" t="s">
        <v>30</v>
      </c>
      <c r="BX5" s="8" t="s">
        <v>31</v>
      </c>
      <c r="BY5" s="8" t="s">
        <v>32</v>
      </c>
      <c r="BZ5" s="8" t="s">
        <v>33</v>
      </c>
      <c r="CA5" s="8" t="s">
        <v>34</v>
      </c>
      <c r="CE5" s="8" t="s">
        <v>72</v>
      </c>
      <c r="CF5" s="8" t="s">
        <v>30</v>
      </c>
      <c r="CG5" s="8" t="s">
        <v>31</v>
      </c>
      <c r="CH5" s="8" t="s">
        <v>32</v>
      </c>
      <c r="CI5" s="8" t="s">
        <v>33</v>
      </c>
      <c r="CJ5" s="8" t="s">
        <v>34</v>
      </c>
      <c r="CN5" s="8" t="s">
        <v>72</v>
      </c>
      <c r="CO5" s="8" t="s">
        <v>30</v>
      </c>
      <c r="CP5" s="8" t="s">
        <v>31</v>
      </c>
      <c r="CQ5" s="8" t="s">
        <v>32</v>
      </c>
      <c r="CR5" s="8" t="s">
        <v>33</v>
      </c>
      <c r="CS5" s="8" t="s">
        <v>34</v>
      </c>
      <c r="CW5" s="8" t="s">
        <v>72</v>
      </c>
      <c r="CX5" s="8" t="s">
        <v>30</v>
      </c>
      <c r="CY5" s="8" t="s">
        <v>31</v>
      </c>
      <c r="CZ5" s="8" t="s">
        <v>32</v>
      </c>
      <c r="DA5" s="8" t="s">
        <v>33</v>
      </c>
      <c r="DB5" s="8" t="s">
        <v>34</v>
      </c>
      <c r="DF5" s="8" t="s">
        <v>72</v>
      </c>
      <c r="DG5" s="8" t="s">
        <v>30</v>
      </c>
      <c r="DH5" s="8" t="s">
        <v>31</v>
      </c>
      <c r="DI5" s="8" t="s">
        <v>32</v>
      </c>
      <c r="DJ5" s="8" t="s">
        <v>33</v>
      </c>
      <c r="DK5" s="8" t="s">
        <v>34</v>
      </c>
      <c r="DO5" s="8" t="s">
        <v>72</v>
      </c>
      <c r="DP5" s="8" t="s">
        <v>30</v>
      </c>
      <c r="DQ5" s="8" t="s">
        <v>31</v>
      </c>
      <c r="DR5" s="8" t="s">
        <v>32</v>
      </c>
      <c r="DS5" s="8" t="s">
        <v>33</v>
      </c>
      <c r="DT5" s="8" t="s">
        <v>34</v>
      </c>
    </row>
    <row r="6" spans="2:124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R6" s="8" t="s">
        <v>67</v>
      </c>
      <c r="S6" s="17" t="e">
        <f>#REF!</f>
        <v>#REF!</v>
      </c>
      <c r="T6" s="17" t="e">
        <f>#REF!</f>
        <v>#REF!</v>
      </c>
      <c r="U6" s="17" t="e">
        <f>#REF!</f>
        <v>#REF!</v>
      </c>
      <c r="V6" s="17" t="e">
        <f>#REF!</f>
        <v>#REF!</v>
      </c>
      <c r="W6" s="17" t="e">
        <f>#REF!</f>
        <v>#REF!</v>
      </c>
      <c r="AC6" s="8">
        <v>1</v>
      </c>
      <c r="AD6" s="11" t="e">
        <f>($C8*'[1]功能-城建'!EX4)*S$6</f>
        <v>#REF!</v>
      </c>
      <c r="AE6" s="11" t="e">
        <f>($C8*'[1]功能-城建'!EY4)*T$6</f>
        <v>#REF!</v>
      </c>
      <c r="AF6" s="11" t="e">
        <f>($C8*'[1]功能-城建'!EZ4)*U$6</f>
        <v>#REF!</v>
      </c>
      <c r="AG6" s="11" t="e">
        <f>($C8*'[1]功能-城建'!FA4)*V$6</f>
        <v>#REF!</v>
      </c>
      <c r="AH6" s="11" t="e">
        <f>($C8*'[1]功能-城建'!FB4)*W$6</f>
        <v>#REF!</v>
      </c>
      <c r="AL6" s="8">
        <v>1</v>
      </c>
      <c r="AM6" s="11" t="e">
        <f>($D8*'[1]功能-城建'!HM4)*S$6</f>
        <v>#REF!</v>
      </c>
      <c r="AN6" s="11" t="e">
        <f>($D8*'[1]功能-城建'!HN4)*T$6</f>
        <v>#REF!</v>
      </c>
      <c r="AO6" s="11" t="e">
        <f>($D8*'[1]功能-城建'!HO4)*U$6</f>
        <v>#REF!</v>
      </c>
      <c r="AP6" s="11" t="e">
        <f>($D8*'[1]功能-城建'!HP4)*V$6</f>
        <v>#REF!</v>
      </c>
      <c r="AQ6" s="11" t="e">
        <f>($D8*'[1]功能-城建'!HQ4)*W$6</f>
        <v>#REF!</v>
      </c>
      <c r="AU6" s="8">
        <v>1</v>
      </c>
      <c r="AV6" s="11" t="e">
        <f>($E8*'[1]功能-城建'!GF4)*S$6</f>
        <v>#REF!</v>
      </c>
      <c r="AW6" s="11" t="e">
        <f>($E8*'[1]功能-城建'!GG4)*T$6</f>
        <v>#REF!</v>
      </c>
      <c r="AX6" s="11" t="e">
        <f>($E8*'[1]功能-城建'!GH4)*U$6</f>
        <v>#REF!</v>
      </c>
      <c r="AY6" s="11" t="e">
        <f>($E8*'[1]功能-城建'!GI4)*V$6</f>
        <v>#REF!</v>
      </c>
      <c r="AZ6" s="11" t="e">
        <f>($E8*'[1]功能-城建'!GJ4)*W$6</f>
        <v>#REF!</v>
      </c>
      <c r="BD6" s="8">
        <v>1</v>
      </c>
      <c r="BE6" s="8" t="e">
        <f>$F8*S$6</f>
        <v>#REF!</v>
      </c>
      <c r="BF6" s="8" t="e">
        <f t="shared" ref="BF6:BI21" si="0">$F8*T$6</f>
        <v>#REF!</v>
      </c>
      <c r="BG6" s="8" t="e">
        <f t="shared" si="0"/>
        <v>#REF!</v>
      </c>
      <c r="BH6" s="8" t="e">
        <f t="shared" si="0"/>
        <v>#REF!</v>
      </c>
      <c r="BI6" s="8" t="e">
        <f t="shared" si="0"/>
        <v>#REF!</v>
      </c>
      <c r="BM6" s="8">
        <v>1</v>
      </c>
      <c r="BN6" s="8" t="e">
        <f>$G8*S$6</f>
        <v>#REF!</v>
      </c>
      <c r="BO6" s="8" t="e">
        <f t="shared" ref="BO6:BR21" si="1">$G8*T$6</f>
        <v>#REF!</v>
      </c>
      <c r="BP6" s="8" t="e">
        <f t="shared" si="1"/>
        <v>#REF!</v>
      </c>
      <c r="BQ6" s="8" t="e">
        <f t="shared" si="1"/>
        <v>#REF!</v>
      </c>
      <c r="BR6" s="8" t="e">
        <f t="shared" si="1"/>
        <v>#REF!</v>
      </c>
      <c r="BV6" s="8">
        <v>1</v>
      </c>
      <c r="BW6" s="8" t="e">
        <f>$H8*S$6</f>
        <v>#REF!</v>
      </c>
      <c r="BX6" s="8" t="e">
        <f t="shared" ref="BX6:CA21" si="2">$H8*T$6</f>
        <v>#REF!</v>
      </c>
      <c r="BY6" s="8" t="e">
        <f t="shared" si="2"/>
        <v>#REF!</v>
      </c>
      <c r="BZ6" s="8" t="e">
        <f t="shared" si="2"/>
        <v>#REF!</v>
      </c>
      <c r="CA6" s="8" t="e">
        <f t="shared" si="2"/>
        <v>#REF!</v>
      </c>
      <c r="CE6" s="8">
        <v>1</v>
      </c>
      <c r="CF6" s="18" t="e">
        <f>$I8*S$6</f>
        <v>#REF!</v>
      </c>
      <c r="CG6" s="18" t="e">
        <f t="shared" ref="CG6:CJ6" si="3">$I8*T$6</f>
        <v>#REF!</v>
      </c>
      <c r="CH6" s="18" t="e">
        <f t="shared" si="3"/>
        <v>#REF!</v>
      </c>
      <c r="CI6" s="18" t="e">
        <f t="shared" si="3"/>
        <v>#REF!</v>
      </c>
      <c r="CJ6" s="18" t="e">
        <f t="shared" si="3"/>
        <v>#REF!</v>
      </c>
      <c r="CN6" s="8">
        <v>1</v>
      </c>
      <c r="CO6" s="18" t="e">
        <f>$J8*S$6</f>
        <v>#REF!</v>
      </c>
      <c r="CP6" s="18" t="e">
        <f t="shared" ref="CP6:CS6" si="4">$J8*T$6</f>
        <v>#REF!</v>
      </c>
      <c r="CQ6" s="18" t="e">
        <f t="shared" si="4"/>
        <v>#REF!</v>
      </c>
      <c r="CR6" s="18" t="e">
        <f t="shared" si="4"/>
        <v>#REF!</v>
      </c>
      <c r="CS6" s="18" t="e">
        <f t="shared" si="4"/>
        <v>#REF!</v>
      </c>
      <c r="CW6" s="8">
        <v>1</v>
      </c>
      <c r="CX6" s="18" t="e">
        <f>$K8*S$6</f>
        <v>#REF!</v>
      </c>
      <c r="CY6" s="18" t="e">
        <f t="shared" ref="CY6:DB6" si="5">$K8*T$6</f>
        <v>#REF!</v>
      </c>
      <c r="CZ6" s="18" t="e">
        <f t="shared" si="5"/>
        <v>#REF!</v>
      </c>
      <c r="DA6" s="18" t="e">
        <f t="shared" si="5"/>
        <v>#REF!</v>
      </c>
      <c r="DB6" s="18" t="e">
        <f t="shared" si="5"/>
        <v>#REF!</v>
      </c>
      <c r="DF6" s="8">
        <v>1</v>
      </c>
      <c r="DG6" s="8" t="e">
        <f>$L8*S$6</f>
        <v>#REF!</v>
      </c>
      <c r="DH6" s="8" t="e">
        <f t="shared" ref="DH6:DK6" si="6">$L8*T$6</f>
        <v>#REF!</v>
      </c>
      <c r="DI6" s="8" t="e">
        <f t="shared" si="6"/>
        <v>#REF!</v>
      </c>
      <c r="DJ6" s="8" t="e">
        <f t="shared" si="6"/>
        <v>#REF!</v>
      </c>
      <c r="DK6" s="8" t="e">
        <f t="shared" si="6"/>
        <v>#REF!</v>
      </c>
      <c r="DO6" s="8">
        <v>1</v>
      </c>
      <c r="DP6" s="8" t="e">
        <f>$M8*S$6</f>
        <v>#REF!</v>
      </c>
      <c r="DQ6" s="8" t="e">
        <f t="shared" ref="DQ6:DT6" si="7">$M8*T$6</f>
        <v>#REF!</v>
      </c>
      <c r="DR6" s="8" t="e">
        <f t="shared" si="7"/>
        <v>#REF!</v>
      </c>
      <c r="DS6" s="8" t="e">
        <f t="shared" si="7"/>
        <v>#REF!</v>
      </c>
      <c r="DT6" s="8" t="e">
        <f t="shared" si="7"/>
        <v>#REF!</v>
      </c>
    </row>
    <row r="7" spans="2:124">
      <c r="B7" s="8" t="s">
        <v>64</v>
      </c>
      <c r="AC7" s="8">
        <v>2</v>
      </c>
      <c r="AD7" s="8" t="e">
        <f>($C9*'[1]功能-城建'!EX5)*S$6+AD6</f>
        <v>#REF!</v>
      </c>
      <c r="AE7" s="8" t="e">
        <f>($C9*'[1]功能-城建'!EY5)*T$6+AE6</f>
        <v>#REF!</v>
      </c>
      <c r="AF7" s="8" t="e">
        <f>($C9*'[1]功能-城建'!EZ5)*U$6+AF6</f>
        <v>#REF!</v>
      </c>
      <c r="AG7" s="8" t="e">
        <f>($C9*'[1]功能-城建'!FA5)*V$6+AG6</f>
        <v>#REF!</v>
      </c>
      <c r="AH7" s="8" t="e">
        <f>($C9*'[1]功能-城建'!FB5)*W$6+AH6</f>
        <v>#REF!</v>
      </c>
      <c r="AL7" s="8">
        <v>2</v>
      </c>
      <c r="AM7" s="8" t="e">
        <f>($D9*'[1]功能-城建'!HM5)*S$6+AM6</f>
        <v>#REF!</v>
      </c>
      <c r="AN7" s="8" t="e">
        <f>($D9*'[1]功能-城建'!HN5)*T$6+AN6</f>
        <v>#REF!</v>
      </c>
      <c r="AO7" s="8" t="e">
        <f>($D9*'[1]功能-城建'!HO5)*U$6+AO6</f>
        <v>#REF!</v>
      </c>
      <c r="AP7" s="8" t="e">
        <f>($D9*'[1]功能-城建'!HP5)*V$6+AP6</f>
        <v>#REF!</v>
      </c>
      <c r="AQ7" s="8" t="e">
        <f>($D9*'[1]功能-城建'!HQ5)*W$6+AQ6</f>
        <v>#REF!</v>
      </c>
      <c r="AU7" s="8">
        <v>2</v>
      </c>
      <c r="AV7" s="8" t="e">
        <f>($E9*'[1]功能-城建'!GF5)*S$6+AV6</f>
        <v>#REF!</v>
      </c>
      <c r="AW7" s="8" t="e">
        <f>($E9*'[1]功能-城建'!GG5)*T$6+AW6</f>
        <v>#REF!</v>
      </c>
      <c r="AX7" s="8" t="e">
        <f>($E9*'[1]功能-城建'!GH5)*U$6+AX6</f>
        <v>#REF!</v>
      </c>
      <c r="AY7" s="8" t="e">
        <f>($E9*'[1]功能-城建'!GI5)*V$6+AY6</f>
        <v>#REF!</v>
      </c>
      <c r="AZ7" s="8" t="e">
        <f>($E9*'[1]功能-城建'!GJ5)*W$6+AZ6</f>
        <v>#REF!</v>
      </c>
      <c r="BD7" s="8">
        <v>2</v>
      </c>
      <c r="BE7" s="8" t="e">
        <f t="shared" ref="BE7:BI22" si="8">$F9*S$6</f>
        <v>#REF!</v>
      </c>
      <c r="BF7" s="8" t="e">
        <f t="shared" si="0"/>
        <v>#REF!</v>
      </c>
      <c r="BG7" s="8" t="e">
        <f t="shared" si="0"/>
        <v>#REF!</v>
      </c>
      <c r="BH7" s="8" t="e">
        <f t="shared" si="0"/>
        <v>#REF!</v>
      </c>
      <c r="BI7" s="8" t="e">
        <f t="shared" si="0"/>
        <v>#REF!</v>
      </c>
      <c r="BM7" s="8">
        <v>2</v>
      </c>
      <c r="BN7" s="8" t="e">
        <f t="shared" ref="BN7:BR22" si="9">$G9*S$6</f>
        <v>#REF!</v>
      </c>
      <c r="BO7" s="8" t="e">
        <f t="shared" si="1"/>
        <v>#REF!</v>
      </c>
      <c r="BP7" s="8" t="e">
        <f t="shared" si="1"/>
        <v>#REF!</v>
      </c>
      <c r="BQ7" s="8" t="e">
        <f t="shared" si="1"/>
        <v>#REF!</v>
      </c>
      <c r="BR7" s="8" t="e">
        <f t="shared" si="1"/>
        <v>#REF!</v>
      </c>
      <c r="BV7" s="8">
        <v>2</v>
      </c>
      <c r="BW7" s="8" t="e">
        <f t="shared" ref="BW7:CA22" si="10">$H9*S$6</f>
        <v>#REF!</v>
      </c>
      <c r="BX7" s="8" t="e">
        <f t="shared" si="2"/>
        <v>#REF!</v>
      </c>
      <c r="BY7" s="8" t="e">
        <f t="shared" si="2"/>
        <v>#REF!</v>
      </c>
      <c r="BZ7" s="8" t="e">
        <f t="shared" si="2"/>
        <v>#REF!</v>
      </c>
      <c r="CA7" s="8" t="e">
        <f t="shared" si="2"/>
        <v>#REF!</v>
      </c>
      <c r="CE7" s="8">
        <v>2</v>
      </c>
      <c r="CF7" s="18" t="e">
        <f t="shared" ref="CF7:CF70" si="11">$I9*S$6</f>
        <v>#REF!</v>
      </c>
      <c r="CG7" s="18" t="e">
        <f t="shared" ref="CG7:CG70" si="12">$I9*T$6</f>
        <v>#REF!</v>
      </c>
      <c r="CH7" s="18" t="e">
        <f t="shared" ref="CH7:CH70" si="13">$I9*U$6</f>
        <v>#REF!</v>
      </c>
      <c r="CI7" s="18" t="e">
        <f t="shared" ref="CI7:CI70" si="14">$I9*V$6</f>
        <v>#REF!</v>
      </c>
      <c r="CJ7" s="18" t="e">
        <f t="shared" ref="CJ7:CJ70" si="15">$I9*W$6</f>
        <v>#REF!</v>
      </c>
      <c r="CN7" s="8">
        <v>2</v>
      </c>
      <c r="CO7" s="18" t="e">
        <f t="shared" ref="CO7:CO70" si="16">$J9*S$6</f>
        <v>#REF!</v>
      </c>
      <c r="CP7" s="18" t="e">
        <f t="shared" ref="CP7:CP70" si="17">$J9*T$6</f>
        <v>#REF!</v>
      </c>
      <c r="CQ7" s="18" t="e">
        <f t="shared" ref="CQ7:CQ70" si="18">$J9*U$6</f>
        <v>#REF!</v>
      </c>
      <c r="CR7" s="18" t="e">
        <f t="shared" ref="CR7:CR70" si="19">$J9*V$6</f>
        <v>#REF!</v>
      </c>
      <c r="CS7" s="18" t="e">
        <f t="shared" ref="CS7:CS70" si="20">$J9*W$6</f>
        <v>#REF!</v>
      </c>
      <c r="CW7" s="8">
        <v>2</v>
      </c>
      <c r="CX7" s="18" t="e">
        <f t="shared" ref="CX7:CX70" si="21">$K9*S$6</f>
        <v>#REF!</v>
      </c>
      <c r="CY7" s="18" t="e">
        <f t="shared" ref="CY7:CY70" si="22">$K9*T$6</f>
        <v>#REF!</v>
      </c>
      <c r="CZ7" s="18" t="e">
        <f t="shared" ref="CZ7:CZ70" si="23">$K9*U$6</f>
        <v>#REF!</v>
      </c>
      <c r="DA7" s="18" t="e">
        <f t="shared" ref="DA7:DA70" si="24">$K9*V$6</f>
        <v>#REF!</v>
      </c>
      <c r="DB7" s="18" t="e">
        <f t="shared" ref="DB7:DB70" si="25">$K9*W$6</f>
        <v>#REF!</v>
      </c>
      <c r="DF7" s="8">
        <v>2</v>
      </c>
      <c r="DG7" s="8" t="e">
        <f t="shared" ref="DG7:DG70" si="26">$L9*S$6</f>
        <v>#REF!</v>
      </c>
      <c r="DH7" s="8" t="e">
        <f t="shared" ref="DH7:DH70" si="27">$L9*T$6</f>
        <v>#REF!</v>
      </c>
      <c r="DI7" s="8" t="e">
        <f t="shared" ref="DI7:DI70" si="28">$L9*U$6</f>
        <v>#REF!</v>
      </c>
      <c r="DJ7" s="8" t="e">
        <f t="shared" ref="DJ7:DJ70" si="29">$L9*V$6</f>
        <v>#REF!</v>
      </c>
      <c r="DK7" s="8" t="e">
        <f t="shared" ref="DK7:DK70" si="30">$L9*W$6</f>
        <v>#REF!</v>
      </c>
      <c r="DO7" s="8">
        <v>2</v>
      </c>
      <c r="DP7" s="8" t="e">
        <f t="shared" ref="DP7:DP70" si="31">$M9*S$6</f>
        <v>#REF!</v>
      </c>
      <c r="DQ7" s="8" t="e">
        <f t="shared" ref="DQ7:DQ70" si="32">$M9*T$6</f>
        <v>#REF!</v>
      </c>
      <c r="DR7" s="8" t="e">
        <f t="shared" ref="DR7:DR70" si="33">$M9*U$6</f>
        <v>#REF!</v>
      </c>
      <c r="DS7" s="8" t="e">
        <f t="shared" ref="DS7:DS70" si="34">$M9*V$6</f>
        <v>#REF!</v>
      </c>
      <c r="DT7" s="8" t="e">
        <f t="shared" ref="DT7:DT70" si="35">$M9*W$6</f>
        <v>#REF!</v>
      </c>
    </row>
    <row r="8" spans="2:124">
      <c r="B8" s="8">
        <v>1</v>
      </c>
      <c r="C8" s="19" t="e">
        <f>MIN(C$5,MAX(C$5/($D$2-$D$1)*($B8-$D$1),0))</f>
        <v>#REF!</v>
      </c>
      <c r="D8" s="19" t="e">
        <f t="shared" ref="D8:H21" si="36">MIN(D$5,MAX(D$5/($D$2-$D$1)*($B8-$D$1),0))</f>
        <v>#REF!</v>
      </c>
      <c r="E8" s="19" t="e">
        <f t="shared" si="36"/>
        <v>#REF!</v>
      </c>
      <c r="F8" s="19" t="e">
        <f t="shared" si="36"/>
        <v>#REF!</v>
      </c>
      <c r="G8" s="19" t="e">
        <f t="shared" si="36"/>
        <v>#REF!</v>
      </c>
      <c r="H8" s="19" t="e">
        <f t="shared" si="36"/>
        <v>#REF!</v>
      </c>
      <c r="I8" s="19" t="e">
        <f t="shared" ref="I8:M23" si="37">MIN(I$5,MAX(I$5/($D$2-$D$1)*($B8-$D$1),0))</f>
        <v>#REF!</v>
      </c>
      <c r="J8" s="19" t="e">
        <f t="shared" si="37"/>
        <v>#REF!</v>
      </c>
      <c r="K8" s="19" t="e">
        <f t="shared" si="37"/>
        <v>#REF!</v>
      </c>
      <c r="L8" s="16" t="e">
        <f t="shared" si="37"/>
        <v>#REF!</v>
      </c>
      <c r="M8" s="16" t="e">
        <f t="shared" si="37"/>
        <v>#REF!</v>
      </c>
      <c r="AC8" s="8">
        <v>3</v>
      </c>
      <c r="AD8" s="8" t="e">
        <f>($C10*'[1]功能-城建'!EX6)*S$6+AD7</f>
        <v>#REF!</v>
      </c>
      <c r="AE8" s="8" t="e">
        <f>($C10*'[1]功能-城建'!EY6)*T$6+AE7</f>
        <v>#REF!</v>
      </c>
      <c r="AF8" s="8" t="e">
        <f>($C10*'[1]功能-城建'!EZ6)*U$6+AF7</f>
        <v>#REF!</v>
      </c>
      <c r="AG8" s="8" t="e">
        <f>($C10*'[1]功能-城建'!FA6)*V$6+AG7</f>
        <v>#REF!</v>
      </c>
      <c r="AH8" s="8" t="e">
        <f>($C10*'[1]功能-城建'!FB6)*W$6+AH7</f>
        <v>#REF!</v>
      </c>
      <c r="AL8" s="8">
        <v>3</v>
      </c>
      <c r="AM8" s="8" t="e">
        <f>($D10*'[1]功能-城建'!HM6)*S$6+AM7</f>
        <v>#REF!</v>
      </c>
      <c r="AN8" s="8" t="e">
        <f>($D10*'[1]功能-城建'!HN6)*T$6+AN7</f>
        <v>#REF!</v>
      </c>
      <c r="AO8" s="8" t="e">
        <f>($D10*'[1]功能-城建'!HO6)*U$6+AO7</f>
        <v>#REF!</v>
      </c>
      <c r="AP8" s="8" t="e">
        <f>($D10*'[1]功能-城建'!HP6)*V$6+AP7</f>
        <v>#REF!</v>
      </c>
      <c r="AQ8" s="8" t="e">
        <f>($D10*'[1]功能-城建'!HQ6)*W$6+AQ7</f>
        <v>#REF!</v>
      </c>
      <c r="AU8" s="8">
        <v>3</v>
      </c>
      <c r="AV8" s="8" t="e">
        <f>($E10*'[1]功能-城建'!GF6)*S$6+AV7</f>
        <v>#REF!</v>
      </c>
      <c r="AW8" s="8" t="e">
        <f>($E10*'[1]功能-城建'!GG6)*T$6+AW7</f>
        <v>#REF!</v>
      </c>
      <c r="AX8" s="8" t="e">
        <f>($E10*'[1]功能-城建'!GH6)*U$6+AX7</f>
        <v>#REF!</v>
      </c>
      <c r="AY8" s="8" t="e">
        <f>($E10*'[1]功能-城建'!GI6)*V$6+AY7</f>
        <v>#REF!</v>
      </c>
      <c r="AZ8" s="8" t="e">
        <f>($E10*'[1]功能-城建'!GJ6)*W$6+AZ7</f>
        <v>#REF!</v>
      </c>
      <c r="BD8" s="8">
        <v>3</v>
      </c>
      <c r="BE8" s="8" t="e">
        <f t="shared" si="8"/>
        <v>#REF!</v>
      </c>
      <c r="BF8" s="8" t="e">
        <f t="shared" si="0"/>
        <v>#REF!</v>
      </c>
      <c r="BG8" s="8" t="e">
        <f t="shared" si="0"/>
        <v>#REF!</v>
      </c>
      <c r="BH8" s="8" t="e">
        <f t="shared" si="0"/>
        <v>#REF!</v>
      </c>
      <c r="BI8" s="8" t="e">
        <f t="shared" si="0"/>
        <v>#REF!</v>
      </c>
      <c r="BM8" s="8">
        <v>3</v>
      </c>
      <c r="BN8" s="8" t="e">
        <f t="shared" si="9"/>
        <v>#REF!</v>
      </c>
      <c r="BO8" s="8" t="e">
        <f t="shared" si="1"/>
        <v>#REF!</v>
      </c>
      <c r="BP8" s="8" t="e">
        <f t="shared" si="1"/>
        <v>#REF!</v>
      </c>
      <c r="BQ8" s="8" t="e">
        <f t="shared" si="1"/>
        <v>#REF!</v>
      </c>
      <c r="BR8" s="8" t="e">
        <f t="shared" si="1"/>
        <v>#REF!</v>
      </c>
      <c r="BV8" s="8">
        <v>3</v>
      </c>
      <c r="BW8" s="8" t="e">
        <f t="shared" si="10"/>
        <v>#REF!</v>
      </c>
      <c r="BX8" s="8" t="e">
        <f t="shared" si="2"/>
        <v>#REF!</v>
      </c>
      <c r="BY8" s="8" t="e">
        <f t="shared" si="2"/>
        <v>#REF!</v>
      </c>
      <c r="BZ8" s="8" t="e">
        <f t="shared" si="2"/>
        <v>#REF!</v>
      </c>
      <c r="CA8" s="8" t="e">
        <f t="shared" si="2"/>
        <v>#REF!</v>
      </c>
      <c r="CE8" s="8">
        <v>3</v>
      </c>
      <c r="CF8" s="18" t="e">
        <f t="shared" si="11"/>
        <v>#REF!</v>
      </c>
      <c r="CG8" s="18" t="e">
        <f t="shared" si="12"/>
        <v>#REF!</v>
      </c>
      <c r="CH8" s="18" t="e">
        <f t="shared" si="13"/>
        <v>#REF!</v>
      </c>
      <c r="CI8" s="18" t="e">
        <f t="shared" si="14"/>
        <v>#REF!</v>
      </c>
      <c r="CJ8" s="18" t="e">
        <f t="shared" si="15"/>
        <v>#REF!</v>
      </c>
      <c r="CN8" s="8">
        <v>3</v>
      </c>
      <c r="CO8" s="18" t="e">
        <f t="shared" si="16"/>
        <v>#REF!</v>
      </c>
      <c r="CP8" s="18" t="e">
        <f t="shared" si="17"/>
        <v>#REF!</v>
      </c>
      <c r="CQ8" s="18" t="e">
        <f t="shared" si="18"/>
        <v>#REF!</v>
      </c>
      <c r="CR8" s="18" t="e">
        <f t="shared" si="19"/>
        <v>#REF!</v>
      </c>
      <c r="CS8" s="18" t="e">
        <f t="shared" si="20"/>
        <v>#REF!</v>
      </c>
      <c r="CW8" s="8">
        <v>3</v>
      </c>
      <c r="CX8" s="18" t="e">
        <f t="shared" si="21"/>
        <v>#REF!</v>
      </c>
      <c r="CY8" s="18" t="e">
        <f t="shared" si="22"/>
        <v>#REF!</v>
      </c>
      <c r="CZ8" s="18" t="e">
        <f t="shared" si="23"/>
        <v>#REF!</v>
      </c>
      <c r="DA8" s="18" t="e">
        <f t="shared" si="24"/>
        <v>#REF!</v>
      </c>
      <c r="DB8" s="18" t="e">
        <f t="shared" si="25"/>
        <v>#REF!</v>
      </c>
      <c r="DF8" s="8">
        <v>3</v>
      </c>
      <c r="DG8" s="8" t="e">
        <f t="shared" si="26"/>
        <v>#REF!</v>
      </c>
      <c r="DH8" s="8" t="e">
        <f t="shared" si="27"/>
        <v>#REF!</v>
      </c>
      <c r="DI8" s="8" t="e">
        <f t="shared" si="28"/>
        <v>#REF!</v>
      </c>
      <c r="DJ8" s="8" t="e">
        <f t="shared" si="29"/>
        <v>#REF!</v>
      </c>
      <c r="DK8" s="8" t="e">
        <f t="shared" si="30"/>
        <v>#REF!</v>
      </c>
      <c r="DO8" s="8">
        <v>3</v>
      </c>
      <c r="DP8" s="8" t="e">
        <f t="shared" si="31"/>
        <v>#REF!</v>
      </c>
      <c r="DQ8" s="8" t="e">
        <f t="shared" si="32"/>
        <v>#REF!</v>
      </c>
      <c r="DR8" s="8" t="e">
        <f t="shared" si="33"/>
        <v>#REF!</v>
      </c>
      <c r="DS8" s="8" t="e">
        <f t="shared" si="34"/>
        <v>#REF!</v>
      </c>
      <c r="DT8" s="8" t="e">
        <f t="shared" si="35"/>
        <v>#REF!</v>
      </c>
    </row>
    <row r="9" spans="2:124">
      <c r="B9" s="8">
        <v>2</v>
      </c>
      <c r="C9" s="19" t="e">
        <f t="shared" ref="C9:G37" si="38">MIN(C$5,MAX(C$5/($D$2-$D$1)*($B9-$D$1),0))</f>
        <v>#REF!</v>
      </c>
      <c r="D9" s="19" t="e">
        <f t="shared" si="36"/>
        <v>#REF!</v>
      </c>
      <c r="E9" s="19" t="e">
        <f t="shared" si="36"/>
        <v>#REF!</v>
      </c>
      <c r="F9" s="19" t="e">
        <f t="shared" si="36"/>
        <v>#REF!</v>
      </c>
      <c r="G9" s="19" t="e">
        <f t="shared" si="36"/>
        <v>#REF!</v>
      </c>
      <c r="H9" s="19" t="e">
        <f t="shared" si="36"/>
        <v>#REF!</v>
      </c>
      <c r="I9" s="19" t="e">
        <f t="shared" si="37"/>
        <v>#REF!</v>
      </c>
      <c r="J9" s="19" t="e">
        <f t="shared" si="37"/>
        <v>#REF!</v>
      </c>
      <c r="K9" s="19" t="e">
        <f t="shared" si="37"/>
        <v>#REF!</v>
      </c>
      <c r="L9" s="16" t="e">
        <f t="shared" si="37"/>
        <v>#REF!</v>
      </c>
      <c r="M9" s="16" t="e">
        <f t="shared" si="37"/>
        <v>#REF!</v>
      </c>
      <c r="AC9" s="8">
        <v>4</v>
      </c>
      <c r="AD9" s="8" t="e">
        <f>($C11*'[1]功能-城建'!EX7)*S$6+AD8</f>
        <v>#REF!</v>
      </c>
      <c r="AE9" s="8" t="e">
        <f>($C11*'[1]功能-城建'!EY7)*T$6+AE8</f>
        <v>#REF!</v>
      </c>
      <c r="AF9" s="8" t="e">
        <f>($C11*'[1]功能-城建'!EZ7)*U$6+AF8</f>
        <v>#REF!</v>
      </c>
      <c r="AG9" s="8" t="e">
        <f>($C11*'[1]功能-城建'!FA7)*V$6+AG8</f>
        <v>#REF!</v>
      </c>
      <c r="AH9" s="8" t="e">
        <f>($C11*'[1]功能-城建'!FB7)*W$6+AH8</f>
        <v>#REF!</v>
      </c>
      <c r="AL9" s="8">
        <v>4</v>
      </c>
      <c r="AM9" s="8" t="e">
        <f>($D11*'[1]功能-城建'!HM7)*S$6+AM8</f>
        <v>#REF!</v>
      </c>
      <c r="AN9" s="8" t="e">
        <f>($D11*'[1]功能-城建'!HN7)*T$6+AN8</f>
        <v>#REF!</v>
      </c>
      <c r="AO9" s="8" t="e">
        <f>($D11*'[1]功能-城建'!HO7)*U$6+AO8</f>
        <v>#REF!</v>
      </c>
      <c r="AP9" s="8" t="e">
        <f>($D11*'[1]功能-城建'!HP7)*V$6+AP8</f>
        <v>#REF!</v>
      </c>
      <c r="AQ9" s="8" t="e">
        <f>($D11*'[1]功能-城建'!HQ7)*W$6+AQ8</f>
        <v>#REF!</v>
      </c>
      <c r="AU9" s="8">
        <v>4</v>
      </c>
      <c r="AV9" s="8" t="e">
        <f>($E11*'[1]功能-城建'!GF7)*S$6+AV8</f>
        <v>#REF!</v>
      </c>
      <c r="AW9" s="8" t="e">
        <f>($E11*'[1]功能-城建'!GG7)*T$6+AW8</f>
        <v>#REF!</v>
      </c>
      <c r="AX9" s="8" t="e">
        <f>($E11*'[1]功能-城建'!GH7)*U$6+AX8</f>
        <v>#REF!</v>
      </c>
      <c r="AY9" s="8" t="e">
        <f>($E11*'[1]功能-城建'!GI7)*V$6+AY8</f>
        <v>#REF!</v>
      </c>
      <c r="AZ9" s="8" t="e">
        <f>($E11*'[1]功能-城建'!GJ7)*W$6+AZ8</f>
        <v>#REF!</v>
      </c>
      <c r="BD9" s="8">
        <v>4</v>
      </c>
      <c r="BE9" s="8" t="e">
        <f t="shared" si="8"/>
        <v>#REF!</v>
      </c>
      <c r="BF9" s="8" t="e">
        <f t="shared" si="0"/>
        <v>#REF!</v>
      </c>
      <c r="BG9" s="8" t="e">
        <f t="shared" si="0"/>
        <v>#REF!</v>
      </c>
      <c r="BH9" s="8" t="e">
        <f t="shared" si="0"/>
        <v>#REF!</v>
      </c>
      <c r="BI9" s="8" t="e">
        <f t="shared" si="0"/>
        <v>#REF!</v>
      </c>
      <c r="BM9" s="8">
        <v>4</v>
      </c>
      <c r="BN9" s="8" t="e">
        <f t="shared" si="9"/>
        <v>#REF!</v>
      </c>
      <c r="BO9" s="8" t="e">
        <f t="shared" si="1"/>
        <v>#REF!</v>
      </c>
      <c r="BP9" s="8" t="e">
        <f t="shared" si="1"/>
        <v>#REF!</v>
      </c>
      <c r="BQ9" s="8" t="e">
        <f t="shared" si="1"/>
        <v>#REF!</v>
      </c>
      <c r="BR9" s="8" t="e">
        <f t="shared" si="1"/>
        <v>#REF!</v>
      </c>
      <c r="BV9" s="8">
        <v>4</v>
      </c>
      <c r="BW9" s="8" t="e">
        <f t="shared" si="10"/>
        <v>#REF!</v>
      </c>
      <c r="BX9" s="8" t="e">
        <f t="shared" si="2"/>
        <v>#REF!</v>
      </c>
      <c r="BY9" s="8" t="e">
        <f t="shared" si="2"/>
        <v>#REF!</v>
      </c>
      <c r="BZ9" s="8" t="e">
        <f t="shared" si="2"/>
        <v>#REF!</v>
      </c>
      <c r="CA9" s="8" t="e">
        <f t="shared" si="2"/>
        <v>#REF!</v>
      </c>
      <c r="CE9" s="8">
        <v>4</v>
      </c>
      <c r="CF9" s="18" t="e">
        <f t="shared" si="11"/>
        <v>#REF!</v>
      </c>
      <c r="CG9" s="18" t="e">
        <f t="shared" si="12"/>
        <v>#REF!</v>
      </c>
      <c r="CH9" s="18" t="e">
        <f t="shared" si="13"/>
        <v>#REF!</v>
      </c>
      <c r="CI9" s="18" t="e">
        <f t="shared" si="14"/>
        <v>#REF!</v>
      </c>
      <c r="CJ9" s="18" t="e">
        <f t="shared" si="15"/>
        <v>#REF!</v>
      </c>
      <c r="CN9" s="8">
        <v>4</v>
      </c>
      <c r="CO9" s="18" t="e">
        <f t="shared" si="16"/>
        <v>#REF!</v>
      </c>
      <c r="CP9" s="18" t="e">
        <f t="shared" si="17"/>
        <v>#REF!</v>
      </c>
      <c r="CQ9" s="18" t="e">
        <f t="shared" si="18"/>
        <v>#REF!</v>
      </c>
      <c r="CR9" s="18" t="e">
        <f t="shared" si="19"/>
        <v>#REF!</v>
      </c>
      <c r="CS9" s="18" t="e">
        <f t="shared" si="20"/>
        <v>#REF!</v>
      </c>
      <c r="CW9" s="8">
        <v>4</v>
      </c>
      <c r="CX9" s="18" t="e">
        <f t="shared" si="21"/>
        <v>#REF!</v>
      </c>
      <c r="CY9" s="18" t="e">
        <f t="shared" si="22"/>
        <v>#REF!</v>
      </c>
      <c r="CZ9" s="18" t="e">
        <f t="shared" si="23"/>
        <v>#REF!</v>
      </c>
      <c r="DA9" s="18" t="e">
        <f t="shared" si="24"/>
        <v>#REF!</v>
      </c>
      <c r="DB9" s="18" t="e">
        <f t="shared" si="25"/>
        <v>#REF!</v>
      </c>
      <c r="DF9" s="8">
        <v>4</v>
      </c>
      <c r="DG9" s="8" t="e">
        <f t="shared" si="26"/>
        <v>#REF!</v>
      </c>
      <c r="DH9" s="8" t="e">
        <f t="shared" si="27"/>
        <v>#REF!</v>
      </c>
      <c r="DI9" s="8" t="e">
        <f t="shared" si="28"/>
        <v>#REF!</v>
      </c>
      <c r="DJ9" s="8" t="e">
        <f t="shared" si="29"/>
        <v>#REF!</v>
      </c>
      <c r="DK9" s="8" t="e">
        <f t="shared" si="30"/>
        <v>#REF!</v>
      </c>
      <c r="DO9" s="8">
        <v>4</v>
      </c>
      <c r="DP9" s="8" t="e">
        <f t="shared" si="31"/>
        <v>#REF!</v>
      </c>
      <c r="DQ9" s="8" t="e">
        <f t="shared" si="32"/>
        <v>#REF!</v>
      </c>
      <c r="DR9" s="8" t="e">
        <f t="shared" si="33"/>
        <v>#REF!</v>
      </c>
      <c r="DS9" s="8" t="e">
        <f t="shared" si="34"/>
        <v>#REF!</v>
      </c>
      <c r="DT9" s="8" t="e">
        <f t="shared" si="35"/>
        <v>#REF!</v>
      </c>
    </row>
    <row r="10" spans="2:124">
      <c r="B10" s="8">
        <v>3</v>
      </c>
      <c r="C10" s="19" t="e">
        <f t="shared" si="38"/>
        <v>#REF!</v>
      </c>
      <c r="D10" s="19" t="e">
        <f t="shared" si="36"/>
        <v>#REF!</v>
      </c>
      <c r="E10" s="19" t="e">
        <f t="shared" si="36"/>
        <v>#REF!</v>
      </c>
      <c r="F10" s="19" t="e">
        <f t="shared" si="36"/>
        <v>#REF!</v>
      </c>
      <c r="G10" s="19" t="e">
        <f t="shared" si="36"/>
        <v>#REF!</v>
      </c>
      <c r="H10" s="19" t="e">
        <f t="shared" si="36"/>
        <v>#REF!</v>
      </c>
      <c r="I10" s="19" t="e">
        <f t="shared" si="37"/>
        <v>#REF!</v>
      </c>
      <c r="J10" s="19" t="e">
        <f t="shared" si="37"/>
        <v>#REF!</v>
      </c>
      <c r="K10" s="19" t="e">
        <f t="shared" si="37"/>
        <v>#REF!</v>
      </c>
      <c r="L10" s="16" t="e">
        <f t="shared" si="37"/>
        <v>#REF!</v>
      </c>
      <c r="M10" s="16" t="e">
        <f t="shared" si="37"/>
        <v>#REF!</v>
      </c>
      <c r="AC10" s="8">
        <v>5</v>
      </c>
      <c r="AD10" s="8" t="e">
        <f>($C12*'[1]功能-城建'!EX8)*S$6+AD9</f>
        <v>#REF!</v>
      </c>
      <c r="AE10" s="8" t="e">
        <f>($C12*'[1]功能-城建'!EY8)*T$6+AE9</f>
        <v>#REF!</v>
      </c>
      <c r="AF10" s="8" t="e">
        <f>($C12*'[1]功能-城建'!EZ8)*U$6+AF9</f>
        <v>#REF!</v>
      </c>
      <c r="AG10" s="8" t="e">
        <f>($C12*'[1]功能-城建'!FA8)*V$6+AG9</f>
        <v>#REF!</v>
      </c>
      <c r="AH10" s="8" t="e">
        <f>($C12*'[1]功能-城建'!FB8)*W$6+AH9</f>
        <v>#REF!</v>
      </c>
      <c r="AL10" s="8">
        <v>5</v>
      </c>
      <c r="AM10" s="8" t="e">
        <f>($D12*'[1]功能-城建'!HM8)*S$6+AM9</f>
        <v>#REF!</v>
      </c>
      <c r="AN10" s="8" t="e">
        <f>($D12*'[1]功能-城建'!HN8)*T$6+AN9</f>
        <v>#REF!</v>
      </c>
      <c r="AO10" s="8" t="e">
        <f>($D12*'[1]功能-城建'!HO8)*U$6+AO9</f>
        <v>#REF!</v>
      </c>
      <c r="AP10" s="8" t="e">
        <f>($D12*'[1]功能-城建'!HP8)*V$6+AP9</f>
        <v>#REF!</v>
      </c>
      <c r="AQ10" s="8" t="e">
        <f>($D12*'[1]功能-城建'!HQ8)*W$6+AQ9</f>
        <v>#REF!</v>
      </c>
      <c r="AU10" s="8">
        <v>5</v>
      </c>
      <c r="AV10" s="8" t="e">
        <f>($E12*'[1]功能-城建'!GF8)*S$6+AV9</f>
        <v>#REF!</v>
      </c>
      <c r="AW10" s="8" t="e">
        <f>($E12*'[1]功能-城建'!GG8)*T$6+AW9</f>
        <v>#REF!</v>
      </c>
      <c r="AX10" s="8" t="e">
        <f>($E12*'[1]功能-城建'!GH8)*U$6+AX9</f>
        <v>#REF!</v>
      </c>
      <c r="AY10" s="8" t="e">
        <f>($E12*'[1]功能-城建'!GI8)*V$6+AY9</f>
        <v>#REF!</v>
      </c>
      <c r="AZ10" s="8" t="e">
        <f>($E12*'[1]功能-城建'!GJ8)*W$6+AZ9</f>
        <v>#REF!</v>
      </c>
      <c r="BD10" s="8">
        <v>5</v>
      </c>
      <c r="BE10" s="8" t="e">
        <f t="shared" si="8"/>
        <v>#REF!</v>
      </c>
      <c r="BF10" s="8" t="e">
        <f t="shared" si="0"/>
        <v>#REF!</v>
      </c>
      <c r="BG10" s="8" t="e">
        <f t="shared" si="0"/>
        <v>#REF!</v>
      </c>
      <c r="BH10" s="8" t="e">
        <f t="shared" si="0"/>
        <v>#REF!</v>
      </c>
      <c r="BI10" s="8" t="e">
        <f t="shared" si="0"/>
        <v>#REF!</v>
      </c>
      <c r="BM10" s="8">
        <v>5</v>
      </c>
      <c r="BN10" s="8" t="e">
        <f t="shared" si="9"/>
        <v>#REF!</v>
      </c>
      <c r="BO10" s="8" t="e">
        <f t="shared" si="1"/>
        <v>#REF!</v>
      </c>
      <c r="BP10" s="8" t="e">
        <f t="shared" si="1"/>
        <v>#REF!</v>
      </c>
      <c r="BQ10" s="8" t="e">
        <f t="shared" si="1"/>
        <v>#REF!</v>
      </c>
      <c r="BR10" s="8" t="e">
        <f t="shared" si="1"/>
        <v>#REF!</v>
      </c>
      <c r="BV10" s="8">
        <v>5</v>
      </c>
      <c r="BW10" s="8" t="e">
        <f t="shared" si="10"/>
        <v>#REF!</v>
      </c>
      <c r="BX10" s="8" t="e">
        <f t="shared" si="2"/>
        <v>#REF!</v>
      </c>
      <c r="BY10" s="8" t="e">
        <f t="shared" si="2"/>
        <v>#REF!</v>
      </c>
      <c r="BZ10" s="8" t="e">
        <f t="shared" si="2"/>
        <v>#REF!</v>
      </c>
      <c r="CA10" s="8" t="e">
        <f t="shared" si="2"/>
        <v>#REF!</v>
      </c>
      <c r="CE10" s="8">
        <v>5</v>
      </c>
      <c r="CF10" s="18" t="e">
        <f t="shared" si="11"/>
        <v>#REF!</v>
      </c>
      <c r="CG10" s="18" t="e">
        <f t="shared" si="12"/>
        <v>#REF!</v>
      </c>
      <c r="CH10" s="18" t="e">
        <f t="shared" si="13"/>
        <v>#REF!</v>
      </c>
      <c r="CI10" s="18" t="e">
        <f t="shared" si="14"/>
        <v>#REF!</v>
      </c>
      <c r="CJ10" s="18" t="e">
        <f t="shared" si="15"/>
        <v>#REF!</v>
      </c>
      <c r="CN10" s="8">
        <v>5</v>
      </c>
      <c r="CO10" s="18" t="e">
        <f t="shared" si="16"/>
        <v>#REF!</v>
      </c>
      <c r="CP10" s="18" t="e">
        <f t="shared" si="17"/>
        <v>#REF!</v>
      </c>
      <c r="CQ10" s="18" t="e">
        <f t="shared" si="18"/>
        <v>#REF!</v>
      </c>
      <c r="CR10" s="18" t="e">
        <f t="shared" si="19"/>
        <v>#REF!</v>
      </c>
      <c r="CS10" s="18" t="e">
        <f t="shared" si="20"/>
        <v>#REF!</v>
      </c>
      <c r="CW10" s="8">
        <v>5</v>
      </c>
      <c r="CX10" s="18" t="e">
        <f t="shared" si="21"/>
        <v>#REF!</v>
      </c>
      <c r="CY10" s="18" t="e">
        <f t="shared" si="22"/>
        <v>#REF!</v>
      </c>
      <c r="CZ10" s="18" t="e">
        <f t="shared" si="23"/>
        <v>#REF!</v>
      </c>
      <c r="DA10" s="18" t="e">
        <f t="shared" si="24"/>
        <v>#REF!</v>
      </c>
      <c r="DB10" s="18" t="e">
        <f t="shared" si="25"/>
        <v>#REF!</v>
      </c>
      <c r="DF10" s="8">
        <v>5</v>
      </c>
      <c r="DG10" s="8" t="e">
        <f t="shared" si="26"/>
        <v>#REF!</v>
      </c>
      <c r="DH10" s="8" t="e">
        <f t="shared" si="27"/>
        <v>#REF!</v>
      </c>
      <c r="DI10" s="8" t="e">
        <f t="shared" si="28"/>
        <v>#REF!</v>
      </c>
      <c r="DJ10" s="8" t="e">
        <f t="shared" si="29"/>
        <v>#REF!</v>
      </c>
      <c r="DK10" s="8" t="e">
        <f t="shared" si="30"/>
        <v>#REF!</v>
      </c>
      <c r="DO10" s="8">
        <v>5</v>
      </c>
      <c r="DP10" s="8" t="e">
        <f t="shared" si="31"/>
        <v>#REF!</v>
      </c>
      <c r="DQ10" s="8" t="e">
        <f t="shared" si="32"/>
        <v>#REF!</v>
      </c>
      <c r="DR10" s="8" t="e">
        <f t="shared" si="33"/>
        <v>#REF!</v>
      </c>
      <c r="DS10" s="8" t="e">
        <f t="shared" si="34"/>
        <v>#REF!</v>
      </c>
      <c r="DT10" s="8" t="e">
        <f t="shared" si="35"/>
        <v>#REF!</v>
      </c>
    </row>
    <row r="11" spans="2:124">
      <c r="B11" s="8">
        <v>4</v>
      </c>
      <c r="C11" s="19" t="e">
        <f t="shared" si="38"/>
        <v>#REF!</v>
      </c>
      <c r="D11" s="19" t="e">
        <f t="shared" si="36"/>
        <v>#REF!</v>
      </c>
      <c r="E11" s="19" t="e">
        <f t="shared" si="36"/>
        <v>#REF!</v>
      </c>
      <c r="F11" s="19" t="e">
        <f t="shared" si="36"/>
        <v>#REF!</v>
      </c>
      <c r="G11" s="19" t="e">
        <f t="shared" si="36"/>
        <v>#REF!</v>
      </c>
      <c r="H11" s="19" t="e">
        <f t="shared" si="36"/>
        <v>#REF!</v>
      </c>
      <c r="I11" s="19" t="e">
        <f t="shared" si="37"/>
        <v>#REF!</v>
      </c>
      <c r="J11" s="19" t="e">
        <f t="shared" si="37"/>
        <v>#REF!</v>
      </c>
      <c r="K11" s="19" t="e">
        <f t="shared" si="37"/>
        <v>#REF!</v>
      </c>
      <c r="L11" s="16" t="e">
        <f t="shared" si="37"/>
        <v>#REF!</v>
      </c>
      <c r="M11" s="16" t="e">
        <f t="shared" si="37"/>
        <v>#REF!</v>
      </c>
      <c r="AC11" s="8">
        <v>6</v>
      </c>
      <c r="AD11" s="8" t="e">
        <f>($C13*'[1]功能-城建'!EX9)*S$6+AD10</f>
        <v>#REF!</v>
      </c>
      <c r="AE11" s="8" t="e">
        <f>($C13*'[1]功能-城建'!EY9)*T$6+AE10</f>
        <v>#REF!</v>
      </c>
      <c r="AF11" s="8" t="e">
        <f>($C13*'[1]功能-城建'!EZ9)*U$6+AF10</f>
        <v>#REF!</v>
      </c>
      <c r="AG11" s="8" t="e">
        <f>($C13*'[1]功能-城建'!FA9)*V$6+AG10</f>
        <v>#REF!</v>
      </c>
      <c r="AH11" s="8" t="e">
        <f>($C13*'[1]功能-城建'!FB9)*W$6+AH10</f>
        <v>#REF!</v>
      </c>
      <c r="AL11" s="8">
        <v>6</v>
      </c>
      <c r="AM11" s="8" t="e">
        <f>($D13*'[1]功能-城建'!HM9)*S$6+AM10</f>
        <v>#REF!</v>
      </c>
      <c r="AN11" s="8" t="e">
        <f>($D13*'[1]功能-城建'!HN9)*T$6+AN10</f>
        <v>#REF!</v>
      </c>
      <c r="AO11" s="8" t="e">
        <f>($D13*'[1]功能-城建'!HO9)*U$6+AO10</f>
        <v>#REF!</v>
      </c>
      <c r="AP11" s="8" t="e">
        <f>($D13*'[1]功能-城建'!HP9)*V$6+AP10</f>
        <v>#REF!</v>
      </c>
      <c r="AQ11" s="8" t="e">
        <f>($D13*'[1]功能-城建'!HQ9)*W$6+AQ10</f>
        <v>#REF!</v>
      </c>
      <c r="AU11" s="8">
        <v>6</v>
      </c>
      <c r="AV11" s="8" t="e">
        <f>($E13*'[1]功能-城建'!GF9)*S$6+AV10</f>
        <v>#REF!</v>
      </c>
      <c r="AW11" s="8" t="e">
        <f>($E13*'[1]功能-城建'!GG9)*T$6+AW10</f>
        <v>#REF!</v>
      </c>
      <c r="AX11" s="8" t="e">
        <f>($E13*'[1]功能-城建'!GH9)*U$6+AX10</f>
        <v>#REF!</v>
      </c>
      <c r="AY11" s="8" t="e">
        <f>($E13*'[1]功能-城建'!GI9)*V$6+AY10</f>
        <v>#REF!</v>
      </c>
      <c r="AZ11" s="8" t="e">
        <f>($E13*'[1]功能-城建'!GJ9)*W$6+AZ10</f>
        <v>#REF!</v>
      </c>
      <c r="BD11" s="8">
        <v>6</v>
      </c>
      <c r="BE11" s="8" t="e">
        <f t="shared" si="8"/>
        <v>#REF!</v>
      </c>
      <c r="BF11" s="8" t="e">
        <f t="shared" si="0"/>
        <v>#REF!</v>
      </c>
      <c r="BG11" s="8" t="e">
        <f t="shared" si="0"/>
        <v>#REF!</v>
      </c>
      <c r="BH11" s="8" t="e">
        <f t="shared" si="0"/>
        <v>#REF!</v>
      </c>
      <c r="BI11" s="8" t="e">
        <f t="shared" si="0"/>
        <v>#REF!</v>
      </c>
      <c r="BM11" s="8">
        <v>6</v>
      </c>
      <c r="BN11" s="8" t="e">
        <f t="shared" si="9"/>
        <v>#REF!</v>
      </c>
      <c r="BO11" s="8" t="e">
        <f t="shared" si="1"/>
        <v>#REF!</v>
      </c>
      <c r="BP11" s="8" t="e">
        <f t="shared" si="1"/>
        <v>#REF!</v>
      </c>
      <c r="BQ11" s="8" t="e">
        <f t="shared" si="1"/>
        <v>#REF!</v>
      </c>
      <c r="BR11" s="8" t="e">
        <f t="shared" si="1"/>
        <v>#REF!</v>
      </c>
      <c r="BV11" s="8">
        <v>6</v>
      </c>
      <c r="BW11" s="8" t="e">
        <f t="shared" si="10"/>
        <v>#REF!</v>
      </c>
      <c r="BX11" s="8" t="e">
        <f t="shared" si="2"/>
        <v>#REF!</v>
      </c>
      <c r="BY11" s="8" t="e">
        <f t="shared" si="2"/>
        <v>#REF!</v>
      </c>
      <c r="BZ11" s="8" t="e">
        <f t="shared" si="2"/>
        <v>#REF!</v>
      </c>
      <c r="CA11" s="8" t="e">
        <f t="shared" si="2"/>
        <v>#REF!</v>
      </c>
      <c r="CE11" s="8">
        <v>6</v>
      </c>
      <c r="CF11" s="18" t="e">
        <f t="shared" si="11"/>
        <v>#REF!</v>
      </c>
      <c r="CG11" s="18" t="e">
        <f t="shared" si="12"/>
        <v>#REF!</v>
      </c>
      <c r="CH11" s="18" t="e">
        <f t="shared" si="13"/>
        <v>#REF!</v>
      </c>
      <c r="CI11" s="18" t="e">
        <f t="shared" si="14"/>
        <v>#REF!</v>
      </c>
      <c r="CJ11" s="18" t="e">
        <f t="shared" si="15"/>
        <v>#REF!</v>
      </c>
      <c r="CN11" s="8">
        <v>6</v>
      </c>
      <c r="CO11" s="18" t="e">
        <f t="shared" si="16"/>
        <v>#REF!</v>
      </c>
      <c r="CP11" s="18" t="e">
        <f t="shared" si="17"/>
        <v>#REF!</v>
      </c>
      <c r="CQ11" s="18" t="e">
        <f t="shared" si="18"/>
        <v>#REF!</v>
      </c>
      <c r="CR11" s="18" t="e">
        <f t="shared" si="19"/>
        <v>#REF!</v>
      </c>
      <c r="CS11" s="18" t="e">
        <f t="shared" si="20"/>
        <v>#REF!</v>
      </c>
      <c r="CW11" s="8">
        <v>6</v>
      </c>
      <c r="CX11" s="18" t="e">
        <f t="shared" si="21"/>
        <v>#REF!</v>
      </c>
      <c r="CY11" s="18" t="e">
        <f t="shared" si="22"/>
        <v>#REF!</v>
      </c>
      <c r="CZ11" s="18" t="e">
        <f t="shared" si="23"/>
        <v>#REF!</v>
      </c>
      <c r="DA11" s="18" t="e">
        <f t="shared" si="24"/>
        <v>#REF!</v>
      </c>
      <c r="DB11" s="18" t="e">
        <f t="shared" si="25"/>
        <v>#REF!</v>
      </c>
      <c r="DF11" s="8">
        <v>6</v>
      </c>
      <c r="DG11" s="8" t="e">
        <f t="shared" si="26"/>
        <v>#REF!</v>
      </c>
      <c r="DH11" s="8" t="e">
        <f t="shared" si="27"/>
        <v>#REF!</v>
      </c>
      <c r="DI11" s="8" t="e">
        <f t="shared" si="28"/>
        <v>#REF!</v>
      </c>
      <c r="DJ11" s="8" t="e">
        <f t="shared" si="29"/>
        <v>#REF!</v>
      </c>
      <c r="DK11" s="8" t="e">
        <f t="shared" si="30"/>
        <v>#REF!</v>
      </c>
      <c r="DO11" s="8">
        <v>6</v>
      </c>
      <c r="DP11" s="8" t="e">
        <f t="shared" si="31"/>
        <v>#REF!</v>
      </c>
      <c r="DQ11" s="8" t="e">
        <f t="shared" si="32"/>
        <v>#REF!</v>
      </c>
      <c r="DR11" s="8" t="e">
        <f t="shared" si="33"/>
        <v>#REF!</v>
      </c>
      <c r="DS11" s="8" t="e">
        <f t="shared" si="34"/>
        <v>#REF!</v>
      </c>
      <c r="DT11" s="8" t="e">
        <f t="shared" si="35"/>
        <v>#REF!</v>
      </c>
    </row>
    <row r="12" spans="2:124">
      <c r="B12" s="8">
        <v>5</v>
      </c>
      <c r="C12" s="19" t="e">
        <f t="shared" si="38"/>
        <v>#REF!</v>
      </c>
      <c r="D12" s="19" t="e">
        <f t="shared" si="36"/>
        <v>#REF!</v>
      </c>
      <c r="E12" s="19" t="e">
        <f t="shared" si="36"/>
        <v>#REF!</v>
      </c>
      <c r="F12" s="19" t="e">
        <f t="shared" si="36"/>
        <v>#REF!</v>
      </c>
      <c r="G12" s="19" t="e">
        <f t="shared" si="36"/>
        <v>#REF!</v>
      </c>
      <c r="H12" s="19" t="e">
        <f t="shared" si="36"/>
        <v>#REF!</v>
      </c>
      <c r="I12" s="19" t="e">
        <f t="shared" si="37"/>
        <v>#REF!</v>
      </c>
      <c r="J12" s="19" t="e">
        <f t="shared" si="37"/>
        <v>#REF!</v>
      </c>
      <c r="K12" s="19" t="e">
        <f t="shared" si="37"/>
        <v>#REF!</v>
      </c>
      <c r="L12" s="16" t="e">
        <f t="shared" si="37"/>
        <v>#REF!</v>
      </c>
      <c r="M12" s="16" t="e">
        <f t="shared" si="37"/>
        <v>#REF!</v>
      </c>
      <c r="AC12" s="8">
        <v>7</v>
      </c>
      <c r="AD12" s="8" t="e">
        <f>($C14*'[1]功能-城建'!EX10)*S$6+AD11</f>
        <v>#REF!</v>
      </c>
      <c r="AE12" s="8" t="e">
        <f>($C14*'[1]功能-城建'!EY10)*T$6+AE11</f>
        <v>#REF!</v>
      </c>
      <c r="AF12" s="8" t="e">
        <f>($C14*'[1]功能-城建'!EZ10)*U$6+AF11</f>
        <v>#REF!</v>
      </c>
      <c r="AG12" s="8" t="e">
        <f>($C14*'[1]功能-城建'!FA10)*V$6+AG11</f>
        <v>#REF!</v>
      </c>
      <c r="AH12" s="8" t="e">
        <f>($C14*'[1]功能-城建'!FB10)*W$6+AH11</f>
        <v>#REF!</v>
      </c>
      <c r="AL12" s="8">
        <v>7</v>
      </c>
      <c r="AM12" s="8" t="e">
        <f>($D14*'[1]功能-城建'!HM10)*S$6+AM11</f>
        <v>#REF!</v>
      </c>
      <c r="AN12" s="8" t="e">
        <f>($D14*'[1]功能-城建'!HN10)*T$6+AN11</f>
        <v>#REF!</v>
      </c>
      <c r="AO12" s="8" t="e">
        <f>($D14*'[1]功能-城建'!HO10)*U$6+AO11</f>
        <v>#REF!</v>
      </c>
      <c r="AP12" s="8" t="e">
        <f>($D14*'[1]功能-城建'!HP10)*V$6+AP11</f>
        <v>#REF!</v>
      </c>
      <c r="AQ12" s="8" t="e">
        <f>($D14*'[1]功能-城建'!HQ10)*W$6+AQ11</f>
        <v>#REF!</v>
      </c>
      <c r="AU12" s="8">
        <v>7</v>
      </c>
      <c r="AV12" s="8" t="e">
        <f>($E14*'[1]功能-城建'!GF10)*S$6+AV11</f>
        <v>#REF!</v>
      </c>
      <c r="AW12" s="8" t="e">
        <f>($E14*'[1]功能-城建'!GG10)*T$6+AW11</f>
        <v>#REF!</v>
      </c>
      <c r="AX12" s="8" t="e">
        <f>($E14*'[1]功能-城建'!GH10)*U$6+AX11</f>
        <v>#REF!</v>
      </c>
      <c r="AY12" s="8" t="e">
        <f>($E14*'[1]功能-城建'!GI10)*V$6+AY11</f>
        <v>#REF!</v>
      </c>
      <c r="AZ12" s="8" t="e">
        <f>($E14*'[1]功能-城建'!GJ10)*W$6+AZ11</f>
        <v>#REF!</v>
      </c>
      <c r="BD12" s="8">
        <v>7</v>
      </c>
      <c r="BE12" s="8" t="e">
        <f t="shared" si="8"/>
        <v>#REF!</v>
      </c>
      <c r="BF12" s="8" t="e">
        <f t="shared" si="0"/>
        <v>#REF!</v>
      </c>
      <c r="BG12" s="8" t="e">
        <f t="shared" si="0"/>
        <v>#REF!</v>
      </c>
      <c r="BH12" s="8" t="e">
        <f t="shared" si="0"/>
        <v>#REF!</v>
      </c>
      <c r="BI12" s="8" t="e">
        <f t="shared" si="0"/>
        <v>#REF!</v>
      </c>
      <c r="BM12" s="8">
        <v>7</v>
      </c>
      <c r="BN12" s="8" t="e">
        <f t="shared" si="9"/>
        <v>#REF!</v>
      </c>
      <c r="BO12" s="8" t="e">
        <f t="shared" si="1"/>
        <v>#REF!</v>
      </c>
      <c r="BP12" s="8" t="e">
        <f t="shared" si="1"/>
        <v>#REF!</v>
      </c>
      <c r="BQ12" s="8" t="e">
        <f t="shared" si="1"/>
        <v>#REF!</v>
      </c>
      <c r="BR12" s="8" t="e">
        <f t="shared" si="1"/>
        <v>#REF!</v>
      </c>
      <c r="BV12" s="8">
        <v>7</v>
      </c>
      <c r="BW12" s="8" t="e">
        <f t="shared" si="10"/>
        <v>#REF!</v>
      </c>
      <c r="BX12" s="8" t="e">
        <f t="shared" si="2"/>
        <v>#REF!</v>
      </c>
      <c r="BY12" s="8" t="e">
        <f t="shared" si="2"/>
        <v>#REF!</v>
      </c>
      <c r="BZ12" s="8" t="e">
        <f t="shared" si="2"/>
        <v>#REF!</v>
      </c>
      <c r="CA12" s="8" t="e">
        <f t="shared" si="2"/>
        <v>#REF!</v>
      </c>
      <c r="CE12" s="8">
        <v>7</v>
      </c>
      <c r="CF12" s="18" t="e">
        <f t="shared" si="11"/>
        <v>#REF!</v>
      </c>
      <c r="CG12" s="18" t="e">
        <f t="shared" si="12"/>
        <v>#REF!</v>
      </c>
      <c r="CH12" s="18" t="e">
        <f t="shared" si="13"/>
        <v>#REF!</v>
      </c>
      <c r="CI12" s="18" t="e">
        <f t="shared" si="14"/>
        <v>#REF!</v>
      </c>
      <c r="CJ12" s="18" t="e">
        <f t="shared" si="15"/>
        <v>#REF!</v>
      </c>
      <c r="CN12" s="8">
        <v>7</v>
      </c>
      <c r="CO12" s="18" t="e">
        <f t="shared" si="16"/>
        <v>#REF!</v>
      </c>
      <c r="CP12" s="18" t="e">
        <f t="shared" si="17"/>
        <v>#REF!</v>
      </c>
      <c r="CQ12" s="18" t="e">
        <f t="shared" si="18"/>
        <v>#REF!</v>
      </c>
      <c r="CR12" s="18" t="e">
        <f t="shared" si="19"/>
        <v>#REF!</v>
      </c>
      <c r="CS12" s="18" t="e">
        <f t="shared" si="20"/>
        <v>#REF!</v>
      </c>
      <c r="CW12" s="8">
        <v>7</v>
      </c>
      <c r="CX12" s="18" t="e">
        <f t="shared" si="21"/>
        <v>#REF!</v>
      </c>
      <c r="CY12" s="18" t="e">
        <f t="shared" si="22"/>
        <v>#REF!</v>
      </c>
      <c r="CZ12" s="18" t="e">
        <f t="shared" si="23"/>
        <v>#REF!</v>
      </c>
      <c r="DA12" s="18" t="e">
        <f t="shared" si="24"/>
        <v>#REF!</v>
      </c>
      <c r="DB12" s="18" t="e">
        <f t="shared" si="25"/>
        <v>#REF!</v>
      </c>
      <c r="DF12" s="8">
        <v>7</v>
      </c>
      <c r="DG12" s="8" t="e">
        <f t="shared" si="26"/>
        <v>#REF!</v>
      </c>
      <c r="DH12" s="8" t="e">
        <f t="shared" si="27"/>
        <v>#REF!</v>
      </c>
      <c r="DI12" s="8" t="e">
        <f t="shared" si="28"/>
        <v>#REF!</v>
      </c>
      <c r="DJ12" s="8" t="e">
        <f t="shared" si="29"/>
        <v>#REF!</v>
      </c>
      <c r="DK12" s="8" t="e">
        <f t="shared" si="30"/>
        <v>#REF!</v>
      </c>
      <c r="DO12" s="8">
        <v>7</v>
      </c>
      <c r="DP12" s="8" t="e">
        <f t="shared" si="31"/>
        <v>#REF!</v>
      </c>
      <c r="DQ12" s="8" t="e">
        <f t="shared" si="32"/>
        <v>#REF!</v>
      </c>
      <c r="DR12" s="8" t="e">
        <f t="shared" si="33"/>
        <v>#REF!</v>
      </c>
      <c r="DS12" s="8" t="e">
        <f t="shared" si="34"/>
        <v>#REF!</v>
      </c>
      <c r="DT12" s="8" t="e">
        <f t="shared" si="35"/>
        <v>#REF!</v>
      </c>
    </row>
    <row r="13" spans="2:124">
      <c r="B13" s="8">
        <v>6</v>
      </c>
      <c r="C13" s="19" t="e">
        <f t="shared" si="38"/>
        <v>#REF!</v>
      </c>
      <c r="D13" s="19" t="e">
        <f t="shared" si="36"/>
        <v>#REF!</v>
      </c>
      <c r="E13" s="19" t="e">
        <f t="shared" si="36"/>
        <v>#REF!</v>
      </c>
      <c r="F13" s="19" t="e">
        <f t="shared" si="36"/>
        <v>#REF!</v>
      </c>
      <c r="G13" s="19" t="e">
        <f t="shared" si="36"/>
        <v>#REF!</v>
      </c>
      <c r="H13" s="19" t="e">
        <f t="shared" si="36"/>
        <v>#REF!</v>
      </c>
      <c r="I13" s="19" t="e">
        <f t="shared" si="37"/>
        <v>#REF!</v>
      </c>
      <c r="J13" s="19" t="e">
        <f t="shared" si="37"/>
        <v>#REF!</v>
      </c>
      <c r="K13" s="19" t="e">
        <f t="shared" si="37"/>
        <v>#REF!</v>
      </c>
      <c r="L13" s="16" t="e">
        <f t="shared" si="37"/>
        <v>#REF!</v>
      </c>
      <c r="M13" s="16" t="e">
        <f t="shared" si="37"/>
        <v>#REF!</v>
      </c>
      <c r="AC13" s="8">
        <v>8</v>
      </c>
      <c r="AD13" s="8" t="e">
        <f>($C15*'[1]功能-城建'!EX11)*S$6+AD12</f>
        <v>#REF!</v>
      </c>
      <c r="AE13" s="8" t="e">
        <f>($C15*'[1]功能-城建'!EY11)*T$6+AE12</f>
        <v>#REF!</v>
      </c>
      <c r="AF13" s="8" t="e">
        <f>($C15*'[1]功能-城建'!EZ11)*U$6+AF12</f>
        <v>#REF!</v>
      </c>
      <c r="AG13" s="8" t="e">
        <f>($C15*'[1]功能-城建'!FA11)*V$6+AG12</f>
        <v>#REF!</v>
      </c>
      <c r="AH13" s="8" t="e">
        <f>($C15*'[1]功能-城建'!FB11)*W$6+AH12</f>
        <v>#REF!</v>
      </c>
      <c r="AL13" s="8">
        <v>8</v>
      </c>
      <c r="AM13" s="8" t="e">
        <f>($D15*'[1]功能-城建'!HM11)*S$6+AM12</f>
        <v>#REF!</v>
      </c>
      <c r="AN13" s="8" t="e">
        <f>($D15*'[1]功能-城建'!HN11)*T$6+AN12</f>
        <v>#REF!</v>
      </c>
      <c r="AO13" s="8" t="e">
        <f>($D15*'[1]功能-城建'!HO11)*U$6+AO12</f>
        <v>#REF!</v>
      </c>
      <c r="AP13" s="8" t="e">
        <f>($D15*'[1]功能-城建'!HP11)*V$6+AP12</f>
        <v>#REF!</v>
      </c>
      <c r="AQ13" s="8" t="e">
        <f>($D15*'[1]功能-城建'!HQ11)*W$6+AQ12</f>
        <v>#REF!</v>
      </c>
      <c r="AU13" s="8">
        <v>8</v>
      </c>
      <c r="AV13" s="8" t="e">
        <f>($E15*'[1]功能-城建'!GF11)*S$6+AV12</f>
        <v>#REF!</v>
      </c>
      <c r="AW13" s="8" t="e">
        <f>($E15*'[1]功能-城建'!GG11)*T$6+AW12</f>
        <v>#REF!</v>
      </c>
      <c r="AX13" s="8" t="e">
        <f>($E15*'[1]功能-城建'!GH11)*U$6+AX12</f>
        <v>#REF!</v>
      </c>
      <c r="AY13" s="8" t="e">
        <f>($E15*'[1]功能-城建'!GI11)*V$6+AY12</f>
        <v>#REF!</v>
      </c>
      <c r="AZ13" s="8" t="e">
        <f>($E15*'[1]功能-城建'!GJ11)*W$6+AZ12</f>
        <v>#REF!</v>
      </c>
      <c r="BD13" s="8">
        <v>8</v>
      </c>
      <c r="BE13" s="8" t="e">
        <f t="shared" si="8"/>
        <v>#REF!</v>
      </c>
      <c r="BF13" s="8" t="e">
        <f t="shared" si="0"/>
        <v>#REF!</v>
      </c>
      <c r="BG13" s="8" t="e">
        <f t="shared" si="0"/>
        <v>#REF!</v>
      </c>
      <c r="BH13" s="8" t="e">
        <f t="shared" si="0"/>
        <v>#REF!</v>
      </c>
      <c r="BI13" s="8" t="e">
        <f t="shared" si="0"/>
        <v>#REF!</v>
      </c>
      <c r="BM13" s="8">
        <v>8</v>
      </c>
      <c r="BN13" s="8" t="e">
        <f t="shared" si="9"/>
        <v>#REF!</v>
      </c>
      <c r="BO13" s="8" t="e">
        <f t="shared" si="1"/>
        <v>#REF!</v>
      </c>
      <c r="BP13" s="8" t="e">
        <f t="shared" si="1"/>
        <v>#REF!</v>
      </c>
      <c r="BQ13" s="8" t="e">
        <f t="shared" si="1"/>
        <v>#REF!</v>
      </c>
      <c r="BR13" s="8" t="e">
        <f t="shared" si="1"/>
        <v>#REF!</v>
      </c>
      <c r="BV13" s="8">
        <v>8</v>
      </c>
      <c r="BW13" s="8" t="e">
        <f t="shared" si="10"/>
        <v>#REF!</v>
      </c>
      <c r="BX13" s="8" t="e">
        <f t="shared" si="2"/>
        <v>#REF!</v>
      </c>
      <c r="BY13" s="8" t="e">
        <f t="shared" si="2"/>
        <v>#REF!</v>
      </c>
      <c r="BZ13" s="8" t="e">
        <f t="shared" si="2"/>
        <v>#REF!</v>
      </c>
      <c r="CA13" s="8" t="e">
        <f t="shared" si="2"/>
        <v>#REF!</v>
      </c>
      <c r="CE13" s="8">
        <v>8</v>
      </c>
      <c r="CF13" s="18" t="e">
        <f t="shared" si="11"/>
        <v>#REF!</v>
      </c>
      <c r="CG13" s="18" t="e">
        <f t="shared" si="12"/>
        <v>#REF!</v>
      </c>
      <c r="CH13" s="18" t="e">
        <f t="shared" si="13"/>
        <v>#REF!</v>
      </c>
      <c r="CI13" s="18" t="e">
        <f t="shared" si="14"/>
        <v>#REF!</v>
      </c>
      <c r="CJ13" s="18" t="e">
        <f t="shared" si="15"/>
        <v>#REF!</v>
      </c>
      <c r="CN13" s="8">
        <v>8</v>
      </c>
      <c r="CO13" s="18" t="e">
        <f t="shared" si="16"/>
        <v>#REF!</v>
      </c>
      <c r="CP13" s="18" t="e">
        <f t="shared" si="17"/>
        <v>#REF!</v>
      </c>
      <c r="CQ13" s="18" t="e">
        <f t="shared" si="18"/>
        <v>#REF!</v>
      </c>
      <c r="CR13" s="18" t="e">
        <f t="shared" si="19"/>
        <v>#REF!</v>
      </c>
      <c r="CS13" s="18" t="e">
        <f t="shared" si="20"/>
        <v>#REF!</v>
      </c>
      <c r="CW13" s="8">
        <v>8</v>
      </c>
      <c r="CX13" s="18" t="e">
        <f t="shared" si="21"/>
        <v>#REF!</v>
      </c>
      <c r="CY13" s="18" t="e">
        <f t="shared" si="22"/>
        <v>#REF!</v>
      </c>
      <c r="CZ13" s="18" t="e">
        <f t="shared" si="23"/>
        <v>#REF!</v>
      </c>
      <c r="DA13" s="18" t="e">
        <f t="shared" si="24"/>
        <v>#REF!</v>
      </c>
      <c r="DB13" s="18" t="e">
        <f t="shared" si="25"/>
        <v>#REF!</v>
      </c>
      <c r="DF13" s="8">
        <v>8</v>
      </c>
      <c r="DG13" s="8" t="e">
        <f t="shared" si="26"/>
        <v>#REF!</v>
      </c>
      <c r="DH13" s="8" t="e">
        <f t="shared" si="27"/>
        <v>#REF!</v>
      </c>
      <c r="DI13" s="8" t="e">
        <f t="shared" si="28"/>
        <v>#REF!</v>
      </c>
      <c r="DJ13" s="8" t="e">
        <f t="shared" si="29"/>
        <v>#REF!</v>
      </c>
      <c r="DK13" s="8" t="e">
        <f t="shared" si="30"/>
        <v>#REF!</v>
      </c>
      <c r="DO13" s="8">
        <v>8</v>
      </c>
      <c r="DP13" s="8" t="e">
        <f t="shared" si="31"/>
        <v>#REF!</v>
      </c>
      <c r="DQ13" s="8" t="e">
        <f t="shared" si="32"/>
        <v>#REF!</v>
      </c>
      <c r="DR13" s="8" t="e">
        <f t="shared" si="33"/>
        <v>#REF!</v>
      </c>
      <c r="DS13" s="8" t="e">
        <f t="shared" si="34"/>
        <v>#REF!</v>
      </c>
      <c r="DT13" s="8" t="e">
        <f t="shared" si="35"/>
        <v>#REF!</v>
      </c>
    </row>
    <row r="14" spans="2:124">
      <c r="B14" s="8">
        <v>7</v>
      </c>
      <c r="C14" s="19" t="e">
        <f t="shared" si="38"/>
        <v>#REF!</v>
      </c>
      <c r="D14" s="19" t="e">
        <f t="shared" si="36"/>
        <v>#REF!</v>
      </c>
      <c r="E14" s="19" t="e">
        <f t="shared" si="36"/>
        <v>#REF!</v>
      </c>
      <c r="F14" s="19" t="e">
        <f t="shared" si="36"/>
        <v>#REF!</v>
      </c>
      <c r="G14" s="19" t="e">
        <f t="shared" si="36"/>
        <v>#REF!</v>
      </c>
      <c r="H14" s="19" t="e">
        <f t="shared" si="36"/>
        <v>#REF!</v>
      </c>
      <c r="I14" s="19" t="e">
        <f t="shared" si="37"/>
        <v>#REF!</v>
      </c>
      <c r="J14" s="19" t="e">
        <f t="shared" si="37"/>
        <v>#REF!</v>
      </c>
      <c r="K14" s="19" t="e">
        <f t="shared" si="37"/>
        <v>#REF!</v>
      </c>
      <c r="L14" s="16" t="e">
        <f t="shared" si="37"/>
        <v>#REF!</v>
      </c>
      <c r="M14" s="16" t="e">
        <f t="shared" si="37"/>
        <v>#REF!</v>
      </c>
      <c r="AC14" s="8">
        <v>9</v>
      </c>
      <c r="AD14" s="8" t="e">
        <f>($C16*'[1]功能-城建'!EX12)*S$6+AD13</f>
        <v>#REF!</v>
      </c>
      <c r="AE14" s="8" t="e">
        <f>($C16*'[1]功能-城建'!EY12)*T$6+AE13</f>
        <v>#REF!</v>
      </c>
      <c r="AF14" s="8" t="e">
        <f>($C16*'[1]功能-城建'!EZ12)*U$6+AF13</f>
        <v>#REF!</v>
      </c>
      <c r="AG14" s="8" t="e">
        <f>($C16*'[1]功能-城建'!FA12)*V$6+AG13</f>
        <v>#REF!</v>
      </c>
      <c r="AH14" s="8" t="e">
        <f>($C16*'[1]功能-城建'!FB12)*W$6+AH13</f>
        <v>#REF!</v>
      </c>
      <c r="AL14" s="8">
        <v>9</v>
      </c>
      <c r="AM14" s="8" t="e">
        <f>($D16*'[1]功能-城建'!HM12)*S$6+AM13</f>
        <v>#REF!</v>
      </c>
      <c r="AN14" s="8" t="e">
        <f>($D16*'[1]功能-城建'!HN12)*T$6+AN13</f>
        <v>#REF!</v>
      </c>
      <c r="AO14" s="8" t="e">
        <f>($D16*'[1]功能-城建'!HO12)*U$6+AO13</f>
        <v>#REF!</v>
      </c>
      <c r="AP14" s="8" t="e">
        <f>($D16*'[1]功能-城建'!HP12)*V$6+AP13</f>
        <v>#REF!</v>
      </c>
      <c r="AQ14" s="8" t="e">
        <f>($D16*'[1]功能-城建'!HQ12)*W$6+AQ13</f>
        <v>#REF!</v>
      </c>
      <c r="AU14" s="8">
        <v>9</v>
      </c>
      <c r="AV14" s="8" t="e">
        <f>($E16*'[1]功能-城建'!GF12)*S$6+AV13</f>
        <v>#REF!</v>
      </c>
      <c r="AW14" s="8" t="e">
        <f>($E16*'[1]功能-城建'!GG12)*T$6+AW13</f>
        <v>#REF!</v>
      </c>
      <c r="AX14" s="8" t="e">
        <f>($E16*'[1]功能-城建'!GH12)*U$6+AX13</f>
        <v>#REF!</v>
      </c>
      <c r="AY14" s="8" t="e">
        <f>($E16*'[1]功能-城建'!GI12)*V$6+AY13</f>
        <v>#REF!</v>
      </c>
      <c r="AZ14" s="8" t="e">
        <f>($E16*'[1]功能-城建'!GJ12)*W$6+AZ13</f>
        <v>#REF!</v>
      </c>
      <c r="BD14" s="8">
        <v>9</v>
      </c>
      <c r="BE14" s="8" t="e">
        <f t="shared" si="8"/>
        <v>#REF!</v>
      </c>
      <c r="BF14" s="8" t="e">
        <f t="shared" si="0"/>
        <v>#REF!</v>
      </c>
      <c r="BG14" s="8" t="e">
        <f t="shared" si="0"/>
        <v>#REF!</v>
      </c>
      <c r="BH14" s="8" t="e">
        <f t="shared" si="0"/>
        <v>#REF!</v>
      </c>
      <c r="BI14" s="8" t="e">
        <f t="shared" si="0"/>
        <v>#REF!</v>
      </c>
      <c r="BM14" s="8">
        <v>9</v>
      </c>
      <c r="BN14" s="8" t="e">
        <f t="shared" si="9"/>
        <v>#REF!</v>
      </c>
      <c r="BO14" s="8" t="e">
        <f t="shared" si="1"/>
        <v>#REF!</v>
      </c>
      <c r="BP14" s="8" t="e">
        <f t="shared" si="1"/>
        <v>#REF!</v>
      </c>
      <c r="BQ14" s="8" t="e">
        <f t="shared" si="1"/>
        <v>#REF!</v>
      </c>
      <c r="BR14" s="8" t="e">
        <f t="shared" si="1"/>
        <v>#REF!</v>
      </c>
      <c r="BV14" s="8">
        <v>9</v>
      </c>
      <c r="BW14" s="8" t="e">
        <f t="shared" si="10"/>
        <v>#REF!</v>
      </c>
      <c r="BX14" s="8" t="e">
        <f t="shared" si="2"/>
        <v>#REF!</v>
      </c>
      <c r="BY14" s="8" t="e">
        <f t="shared" si="2"/>
        <v>#REF!</v>
      </c>
      <c r="BZ14" s="8" t="e">
        <f t="shared" si="2"/>
        <v>#REF!</v>
      </c>
      <c r="CA14" s="8" t="e">
        <f t="shared" si="2"/>
        <v>#REF!</v>
      </c>
      <c r="CE14" s="8">
        <v>9</v>
      </c>
      <c r="CF14" s="18" t="e">
        <f t="shared" si="11"/>
        <v>#REF!</v>
      </c>
      <c r="CG14" s="18" t="e">
        <f t="shared" si="12"/>
        <v>#REF!</v>
      </c>
      <c r="CH14" s="18" t="e">
        <f t="shared" si="13"/>
        <v>#REF!</v>
      </c>
      <c r="CI14" s="18" t="e">
        <f t="shared" si="14"/>
        <v>#REF!</v>
      </c>
      <c r="CJ14" s="18" t="e">
        <f t="shared" si="15"/>
        <v>#REF!</v>
      </c>
      <c r="CN14" s="8">
        <v>9</v>
      </c>
      <c r="CO14" s="18" t="e">
        <f t="shared" si="16"/>
        <v>#REF!</v>
      </c>
      <c r="CP14" s="18" t="e">
        <f t="shared" si="17"/>
        <v>#REF!</v>
      </c>
      <c r="CQ14" s="18" t="e">
        <f t="shared" si="18"/>
        <v>#REF!</v>
      </c>
      <c r="CR14" s="18" t="e">
        <f t="shared" si="19"/>
        <v>#REF!</v>
      </c>
      <c r="CS14" s="18" t="e">
        <f t="shared" si="20"/>
        <v>#REF!</v>
      </c>
      <c r="CW14" s="8">
        <v>9</v>
      </c>
      <c r="CX14" s="18" t="e">
        <f t="shared" si="21"/>
        <v>#REF!</v>
      </c>
      <c r="CY14" s="18" t="e">
        <f t="shared" si="22"/>
        <v>#REF!</v>
      </c>
      <c r="CZ14" s="18" t="e">
        <f t="shared" si="23"/>
        <v>#REF!</v>
      </c>
      <c r="DA14" s="18" t="e">
        <f t="shared" si="24"/>
        <v>#REF!</v>
      </c>
      <c r="DB14" s="18" t="e">
        <f t="shared" si="25"/>
        <v>#REF!</v>
      </c>
      <c r="DF14" s="8">
        <v>9</v>
      </c>
      <c r="DG14" s="8" t="e">
        <f t="shared" si="26"/>
        <v>#REF!</v>
      </c>
      <c r="DH14" s="8" t="e">
        <f t="shared" si="27"/>
        <v>#REF!</v>
      </c>
      <c r="DI14" s="8" t="e">
        <f t="shared" si="28"/>
        <v>#REF!</v>
      </c>
      <c r="DJ14" s="8" t="e">
        <f t="shared" si="29"/>
        <v>#REF!</v>
      </c>
      <c r="DK14" s="8" t="e">
        <f t="shared" si="30"/>
        <v>#REF!</v>
      </c>
      <c r="DO14" s="8">
        <v>9</v>
      </c>
      <c r="DP14" s="8" t="e">
        <f t="shared" si="31"/>
        <v>#REF!</v>
      </c>
      <c r="DQ14" s="8" t="e">
        <f t="shared" si="32"/>
        <v>#REF!</v>
      </c>
      <c r="DR14" s="8" t="e">
        <f t="shared" si="33"/>
        <v>#REF!</v>
      </c>
      <c r="DS14" s="8" t="e">
        <f t="shared" si="34"/>
        <v>#REF!</v>
      </c>
      <c r="DT14" s="8" t="e">
        <f t="shared" si="35"/>
        <v>#REF!</v>
      </c>
    </row>
    <row r="15" spans="2:124">
      <c r="B15" s="8">
        <v>8</v>
      </c>
      <c r="C15" s="19" t="e">
        <f t="shared" si="38"/>
        <v>#REF!</v>
      </c>
      <c r="D15" s="19" t="e">
        <f t="shared" si="36"/>
        <v>#REF!</v>
      </c>
      <c r="E15" s="19" t="e">
        <f t="shared" si="36"/>
        <v>#REF!</v>
      </c>
      <c r="F15" s="19" t="e">
        <f t="shared" si="36"/>
        <v>#REF!</v>
      </c>
      <c r="G15" s="19" t="e">
        <f t="shared" si="36"/>
        <v>#REF!</v>
      </c>
      <c r="H15" s="19" t="e">
        <f t="shared" si="36"/>
        <v>#REF!</v>
      </c>
      <c r="I15" s="19" t="e">
        <f t="shared" si="37"/>
        <v>#REF!</v>
      </c>
      <c r="J15" s="19" t="e">
        <f t="shared" si="37"/>
        <v>#REF!</v>
      </c>
      <c r="K15" s="19" t="e">
        <f t="shared" si="37"/>
        <v>#REF!</v>
      </c>
      <c r="L15" s="16" t="e">
        <f t="shared" si="37"/>
        <v>#REF!</v>
      </c>
      <c r="M15" s="16" t="e">
        <f t="shared" si="37"/>
        <v>#REF!</v>
      </c>
      <c r="AC15" s="8">
        <v>10</v>
      </c>
      <c r="AD15" s="8" t="e">
        <f>($C17*'[1]功能-城建'!EX13)*S$6+AD14</f>
        <v>#REF!</v>
      </c>
      <c r="AE15" s="8" t="e">
        <f>($C17*'[1]功能-城建'!EY13)*T$6+AE14</f>
        <v>#REF!</v>
      </c>
      <c r="AF15" s="8" t="e">
        <f>($C17*'[1]功能-城建'!EZ13)*U$6+AF14</f>
        <v>#REF!</v>
      </c>
      <c r="AG15" s="8" t="e">
        <f>($C17*'[1]功能-城建'!FA13)*V$6+AG14</f>
        <v>#REF!</v>
      </c>
      <c r="AH15" s="8" t="e">
        <f>($C17*'[1]功能-城建'!FB13)*W$6+AH14</f>
        <v>#REF!</v>
      </c>
      <c r="AL15" s="8">
        <v>10</v>
      </c>
      <c r="AM15" s="8" t="e">
        <f>($D17*'[1]功能-城建'!HM13)*S$6+AM14</f>
        <v>#REF!</v>
      </c>
      <c r="AN15" s="8" t="e">
        <f>($D17*'[1]功能-城建'!HN13)*T$6+AN14</f>
        <v>#REF!</v>
      </c>
      <c r="AO15" s="8" t="e">
        <f>($D17*'[1]功能-城建'!HO13)*U$6+AO14</f>
        <v>#REF!</v>
      </c>
      <c r="AP15" s="8" t="e">
        <f>($D17*'[1]功能-城建'!HP13)*V$6+AP14</f>
        <v>#REF!</v>
      </c>
      <c r="AQ15" s="8" t="e">
        <f>($D17*'[1]功能-城建'!HQ13)*W$6+AQ14</f>
        <v>#REF!</v>
      </c>
      <c r="AU15" s="8">
        <v>10</v>
      </c>
      <c r="AV15" s="8" t="e">
        <f>($E17*'[1]功能-城建'!GF13)*S$6+AV14</f>
        <v>#REF!</v>
      </c>
      <c r="AW15" s="8" t="e">
        <f>($E17*'[1]功能-城建'!GG13)*T$6+AW14</f>
        <v>#REF!</v>
      </c>
      <c r="AX15" s="8" t="e">
        <f>($E17*'[1]功能-城建'!GH13)*U$6+AX14</f>
        <v>#REF!</v>
      </c>
      <c r="AY15" s="8" t="e">
        <f>($E17*'[1]功能-城建'!GI13)*V$6+AY14</f>
        <v>#REF!</v>
      </c>
      <c r="AZ15" s="8" t="e">
        <f>($E17*'[1]功能-城建'!GJ13)*W$6+AZ14</f>
        <v>#REF!</v>
      </c>
      <c r="BD15" s="8">
        <v>10</v>
      </c>
      <c r="BE15" s="8" t="e">
        <f t="shared" si="8"/>
        <v>#REF!</v>
      </c>
      <c r="BF15" s="8" t="e">
        <f t="shared" si="0"/>
        <v>#REF!</v>
      </c>
      <c r="BG15" s="8" t="e">
        <f t="shared" si="0"/>
        <v>#REF!</v>
      </c>
      <c r="BH15" s="8" t="e">
        <f t="shared" si="0"/>
        <v>#REF!</v>
      </c>
      <c r="BI15" s="8" t="e">
        <f t="shared" si="0"/>
        <v>#REF!</v>
      </c>
      <c r="BM15" s="8">
        <v>10</v>
      </c>
      <c r="BN15" s="8" t="e">
        <f t="shared" si="9"/>
        <v>#REF!</v>
      </c>
      <c r="BO15" s="8" t="e">
        <f t="shared" si="1"/>
        <v>#REF!</v>
      </c>
      <c r="BP15" s="8" t="e">
        <f t="shared" si="1"/>
        <v>#REF!</v>
      </c>
      <c r="BQ15" s="8" t="e">
        <f t="shared" si="1"/>
        <v>#REF!</v>
      </c>
      <c r="BR15" s="8" t="e">
        <f t="shared" si="1"/>
        <v>#REF!</v>
      </c>
      <c r="BV15" s="8">
        <v>10</v>
      </c>
      <c r="BW15" s="8" t="e">
        <f t="shared" si="10"/>
        <v>#REF!</v>
      </c>
      <c r="BX15" s="8" t="e">
        <f t="shared" si="2"/>
        <v>#REF!</v>
      </c>
      <c r="BY15" s="8" t="e">
        <f t="shared" si="2"/>
        <v>#REF!</v>
      </c>
      <c r="BZ15" s="8" t="e">
        <f t="shared" si="2"/>
        <v>#REF!</v>
      </c>
      <c r="CA15" s="8" t="e">
        <f t="shared" si="2"/>
        <v>#REF!</v>
      </c>
      <c r="CE15" s="8">
        <v>10</v>
      </c>
      <c r="CF15" s="18" t="e">
        <f t="shared" si="11"/>
        <v>#REF!</v>
      </c>
      <c r="CG15" s="18" t="e">
        <f t="shared" si="12"/>
        <v>#REF!</v>
      </c>
      <c r="CH15" s="18" t="e">
        <f t="shared" si="13"/>
        <v>#REF!</v>
      </c>
      <c r="CI15" s="18" t="e">
        <f t="shared" si="14"/>
        <v>#REF!</v>
      </c>
      <c r="CJ15" s="18" t="e">
        <f t="shared" si="15"/>
        <v>#REF!</v>
      </c>
      <c r="CN15" s="8">
        <v>10</v>
      </c>
      <c r="CO15" s="18" t="e">
        <f t="shared" si="16"/>
        <v>#REF!</v>
      </c>
      <c r="CP15" s="18" t="e">
        <f t="shared" si="17"/>
        <v>#REF!</v>
      </c>
      <c r="CQ15" s="18" t="e">
        <f t="shared" si="18"/>
        <v>#REF!</v>
      </c>
      <c r="CR15" s="18" t="e">
        <f t="shared" si="19"/>
        <v>#REF!</v>
      </c>
      <c r="CS15" s="18" t="e">
        <f t="shared" si="20"/>
        <v>#REF!</v>
      </c>
      <c r="CW15" s="8">
        <v>10</v>
      </c>
      <c r="CX15" s="18" t="e">
        <f t="shared" si="21"/>
        <v>#REF!</v>
      </c>
      <c r="CY15" s="18" t="e">
        <f t="shared" si="22"/>
        <v>#REF!</v>
      </c>
      <c r="CZ15" s="18" t="e">
        <f t="shared" si="23"/>
        <v>#REF!</v>
      </c>
      <c r="DA15" s="18" t="e">
        <f t="shared" si="24"/>
        <v>#REF!</v>
      </c>
      <c r="DB15" s="18" t="e">
        <f t="shared" si="25"/>
        <v>#REF!</v>
      </c>
      <c r="DF15" s="8">
        <v>10</v>
      </c>
      <c r="DG15" s="8" t="e">
        <f t="shared" si="26"/>
        <v>#REF!</v>
      </c>
      <c r="DH15" s="8" t="e">
        <f t="shared" si="27"/>
        <v>#REF!</v>
      </c>
      <c r="DI15" s="8" t="e">
        <f t="shared" si="28"/>
        <v>#REF!</v>
      </c>
      <c r="DJ15" s="8" t="e">
        <f t="shared" si="29"/>
        <v>#REF!</v>
      </c>
      <c r="DK15" s="8" t="e">
        <f t="shared" si="30"/>
        <v>#REF!</v>
      </c>
      <c r="DO15" s="8">
        <v>10</v>
      </c>
      <c r="DP15" s="8" t="e">
        <f t="shared" si="31"/>
        <v>#REF!</v>
      </c>
      <c r="DQ15" s="8" t="e">
        <f t="shared" si="32"/>
        <v>#REF!</v>
      </c>
      <c r="DR15" s="8" t="e">
        <f t="shared" si="33"/>
        <v>#REF!</v>
      </c>
      <c r="DS15" s="8" t="e">
        <f t="shared" si="34"/>
        <v>#REF!</v>
      </c>
      <c r="DT15" s="8" t="e">
        <f t="shared" si="35"/>
        <v>#REF!</v>
      </c>
    </row>
    <row r="16" spans="2:124">
      <c r="B16" s="8">
        <v>9</v>
      </c>
      <c r="C16" s="19" t="e">
        <f t="shared" si="38"/>
        <v>#REF!</v>
      </c>
      <c r="D16" s="19" t="e">
        <f t="shared" si="36"/>
        <v>#REF!</v>
      </c>
      <c r="E16" s="19" t="e">
        <f t="shared" si="36"/>
        <v>#REF!</v>
      </c>
      <c r="F16" s="19" t="e">
        <f t="shared" si="36"/>
        <v>#REF!</v>
      </c>
      <c r="G16" s="19" t="e">
        <f t="shared" si="36"/>
        <v>#REF!</v>
      </c>
      <c r="H16" s="19" t="e">
        <f t="shared" si="36"/>
        <v>#REF!</v>
      </c>
      <c r="I16" s="19" t="e">
        <f t="shared" si="37"/>
        <v>#REF!</v>
      </c>
      <c r="J16" s="19" t="e">
        <f t="shared" si="37"/>
        <v>#REF!</v>
      </c>
      <c r="K16" s="19" t="e">
        <f t="shared" si="37"/>
        <v>#REF!</v>
      </c>
      <c r="L16" s="16" t="e">
        <f t="shared" si="37"/>
        <v>#REF!</v>
      </c>
      <c r="M16" s="16" t="e">
        <f t="shared" si="37"/>
        <v>#REF!</v>
      </c>
      <c r="AC16" s="8">
        <v>11</v>
      </c>
      <c r="AD16" s="8" t="e">
        <f>($C18*'[1]功能-城建'!EX14)*S$6+AD15</f>
        <v>#REF!</v>
      </c>
      <c r="AE16" s="8" t="e">
        <f>($C18*'[1]功能-城建'!EY14)*T$6+AE15</f>
        <v>#REF!</v>
      </c>
      <c r="AF16" s="8" t="e">
        <f>($C18*'[1]功能-城建'!EZ14)*U$6+AF15</f>
        <v>#REF!</v>
      </c>
      <c r="AG16" s="8" t="e">
        <f>($C18*'[1]功能-城建'!FA14)*V$6+AG15</f>
        <v>#REF!</v>
      </c>
      <c r="AH16" s="8" t="e">
        <f>($C18*'[1]功能-城建'!FB14)*W$6+AH15</f>
        <v>#REF!</v>
      </c>
      <c r="AL16" s="8">
        <v>11</v>
      </c>
      <c r="AM16" s="8" t="e">
        <f>($D18*'[1]功能-城建'!HM14)*S$6+AM15</f>
        <v>#REF!</v>
      </c>
      <c r="AN16" s="8" t="e">
        <f>($D18*'[1]功能-城建'!HN14)*T$6+AN15</f>
        <v>#REF!</v>
      </c>
      <c r="AO16" s="8" t="e">
        <f>($D18*'[1]功能-城建'!HO14)*U$6+AO15</f>
        <v>#REF!</v>
      </c>
      <c r="AP16" s="8" t="e">
        <f>($D18*'[1]功能-城建'!HP14)*V$6+AP15</f>
        <v>#REF!</v>
      </c>
      <c r="AQ16" s="8" t="e">
        <f>($D18*'[1]功能-城建'!HQ14)*W$6+AQ15</f>
        <v>#REF!</v>
      </c>
      <c r="AU16" s="8">
        <v>11</v>
      </c>
      <c r="AV16" s="8" t="e">
        <f>($E18*'[1]功能-城建'!GF14)*S$6+AV15</f>
        <v>#REF!</v>
      </c>
      <c r="AW16" s="8" t="e">
        <f>($E18*'[1]功能-城建'!GG14)*T$6+AW15</f>
        <v>#REF!</v>
      </c>
      <c r="AX16" s="8" t="e">
        <f>($E18*'[1]功能-城建'!GH14)*U$6+AX15</f>
        <v>#REF!</v>
      </c>
      <c r="AY16" s="8" t="e">
        <f>($E18*'[1]功能-城建'!GI14)*V$6+AY15</f>
        <v>#REF!</v>
      </c>
      <c r="AZ16" s="8" t="e">
        <f>($E18*'[1]功能-城建'!GJ14)*W$6+AZ15</f>
        <v>#REF!</v>
      </c>
      <c r="BD16" s="8">
        <v>11</v>
      </c>
      <c r="BE16" s="8" t="e">
        <f t="shared" si="8"/>
        <v>#REF!</v>
      </c>
      <c r="BF16" s="8" t="e">
        <f t="shared" si="0"/>
        <v>#REF!</v>
      </c>
      <c r="BG16" s="8" t="e">
        <f t="shared" si="0"/>
        <v>#REF!</v>
      </c>
      <c r="BH16" s="8" t="e">
        <f t="shared" si="0"/>
        <v>#REF!</v>
      </c>
      <c r="BI16" s="8" t="e">
        <f t="shared" si="0"/>
        <v>#REF!</v>
      </c>
      <c r="BM16" s="8">
        <v>11</v>
      </c>
      <c r="BN16" s="8" t="e">
        <f t="shared" si="9"/>
        <v>#REF!</v>
      </c>
      <c r="BO16" s="8" t="e">
        <f t="shared" si="1"/>
        <v>#REF!</v>
      </c>
      <c r="BP16" s="8" t="e">
        <f t="shared" si="1"/>
        <v>#REF!</v>
      </c>
      <c r="BQ16" s="8" t="e">
        <f t="shared" si="1"/>
        <v>#REF!</v>
      </c>
      <c r="BR16" s="8" t="e">
        <f t="shared" si="1"/>
        <v>#REF!</v>
      </c>
      <c r="BV16" s="8">
        <v>11</v>
      </c>
      <c r="BW16" s="8" t="e">
        <f t="shared" si="10"/>
        <v>#REF!</v>
      </c>
      <c r="BX16" s="8" t="e">
        <f t="shared" si="2"/>
        <v>#REF!</v>
      </c>
      <c r="BY16" s="8" t="e">
        <f t="shared" si="2"/>
        <v>#REF!</v>
      </c>
      <c r="BZ16" s="8" t="e">
        <f t="shared" si="2"/>
        <v>#REF!</v>
      </c>
      <c r="CA16" s="8" t="e">
        <f t="shared" si="2"/>
        <v>#REF!</v>
      </c>
      <c r="CE16" s="8">
        <v>11</v>
      </c>
      <c r="CF16" s="18" t="e">
        <f t="shared" si="11"/>
        <v>#REF!</v>
      </c>
      <c r="CG16" s="18" t="e">
        <f t="shared" si="12"/>
        <v>#REF!</v>
      </c>
      <c r="CH16" s="18" t="e">
        <f t="shared" si="13"/>
        <v>#REF!</v>
      </c>
      <c r="CI16" s="18" t="e">
        <f t="shared" si="14"/>
        <v>#REF!</v>
      </c>
      <c r="CJ16" s="18" t="e">
        <f t="shared" si="15"/>
        <v>#REF!</v>
      </c>
      <c r="CN16" s="8">
        <v>11</v>
      </c>
      <c r="CO16" s="18" t="e">
        <f t="shared" si="16"/>
        <v>#REF!</v>
      </c>
      <c r="CP16" s="18" t="e">
        <f t="shared" si="17"/>
        <v>#REF!</v>
      </c>
      <c r="CQ16" s="18" t="e">
        <f t="shared" si="18"/>
        <v>#REF!</v>
      </c>
      <c r="CR16" s="18" t="e">
        <f t="shared" si="19"/>
        <v>#REF!</v>
      </c>
      <c r="CS16" s="18" t="e">
        <f t="shared" si="20"/>
        <v>#REF!</v>
      </c>
      <c r="CW16" s="8">
        <v>11</v>
      </c>
      <c r="CX16" s="18" t="e">
        <f t="shared" si="21"/>
        <v>#REF!</v>
      </c>
      <c r="CY16" s="18" t="e">
        <f t="shared" si="22"/>
        <v>#REF!</v>
      </c>
      <c r="CZ16" s="18" t="e">
        <f t="shared" si="23"/>
        <v>#REF!</v>
      </c>
      <c r="DA16" s="18" t="e">
        <f t="shared" si="24"/>
        <v>#REF!</v>
      </c>
      <c r="DB16" s="18" t="e">
        <f t="shared" si="25"/>
        <v>#REF!</v>
      </c>
      <c r="DF16" s="8">
        <v>11</v>
      </c>
      <c r="DG16" s="8" t="e">
        <f t="shared" si="26"/>
        <v>#REF!</v>
      </c>
      <c r="DH16" s="8" t="e">
        <f t="shared" si="27"/>
        <v>#REF!</v>
      </c>
      <c r="DI16" s="8" t="e">
        <f t="shared" si="28"/>
        <v>#REF!</v>
      </c>
      <c r="DJ16" s="8" t="e">
        <f t="shared" si="29"/>
        <v>#REF!</v>
      </c>
      <c r="DK16" s="8" t="e">
        <f t="shared" si="30"/>
        <v>#REF!</v>
      </c>
      <c r="DO16" s="8">
        <v>11</v>
      </c>
      <c r="DP16" s="8" t="e">
        <f t="shared" si="31"/>
        <v>#REF!</v>
      </c>
      <c r="DQ16" s="8" t="e">
        <f t="shared" si="32"/>
        <v>#REF!</v>
      </c>
      <c r="DR16" s="8" t="e">
        <f t="shared" si="33"/>
        <v>#REF!</v>
      </c>
      <c r="DS16" s="8" t="e">
        <f t="shared" si="34"/>
        <v>#REF!</v>
      </c>
      <c r="DT16" s="8" t="e">
        <f t="shared" si="35"/>
        <v>#REF!</v>
      </c>
    </row>
    <row r="17" spans="2:124">
      <c r="B17" s="8">
        <v>10</v>
      </c>
      <c r="C17" s="19" t="e">
        <f t="shared" si="38"/>
        <v>#REF!</v>
      </c>
      <c r="D17" s="19" t="e">
        <f t="shared" si="36"/>
        <v>#REF!</v>
      </c>
      <c r="E17" s="19" t="e">
        <f t="shared" si="36"/>
        <v>#REF!</v>
      </c>
      <c r="F17" s="19" t="e">
        <f t="shared" si="36"/>
        <v>#REF!</v>
      </c>
      <c r="G17" s="19" t="e">
        <f t="shared" si="36"/>
        <v>#REF!</v>
      </c>
      <c r="H17" s="19" t="e">
        <f t="shared" si="36"/>
        <v>#REF!</v>
      </c>
      <c r="I17" s="19" t="e">
        <f t="shared" si="37"/>
        <v>#REF!</v>
      </c>
      <c r="J17" s="19" t="e">
        <f t="shared" si="37"/>
        <v>#REF!</v>
      </c>
      <c r="K17" s="19" t="e">
        <f t="shared" si="37"/>
        <v>#REF!</v>
      </c>
      <c r="L17" s="16" t="e">
        <f t="shared" si="37"/>
        <v>#REF!</v>
      </c>
      <c r="M17" s="16" t="e">
        <f t="shared" si="37"/>
        <v>#REF!</v>
      </c>
      <c r="AC17" s="8">
        <v>12</v>
      </c>
      <c r="AD17" s="8" t="e">
        <f>($C19*'[1]功能-城建'!EX15)*S$6+AD16</f>
        <v>#REF!</v>
      </c>
      <c r="AE17" s="8" t="e">
        <f>($C19*'[1]功能-城建'!EY15)*T$6+AE16</f>
        <v>#REF!</v>
      </c>
      <c r="AF17" s="8" t="e">
        <f>($C19*'[1]功能-城建'!EZ15)*U$6+AF16</f>
        <v>#REF!</v>
      </c>
      <c r="AG17" s="8" t="e">
        <f>($C19*'[1]功能-城建'!FA15)*V$6+AG16</f>
        <v>#REF!</v>
      </c>
      <c r="AH17" s="8" t="e">
        <f>($C19*'[1]功能-城建'!FB15)*W$6+AH16</f>
        <v>#REF!</v>
      </c>
      <c r="AL17" s="8">
        <v>12</v>
      </c>
      <c r="AM17" s="8" t="e">
        <f>($D19*'[1]功能-城建'!HM15)*S$6+AM16</f>
        <v>#REF!</v>
      </c>
      <c r="AN17" s="8" t="e">
        <f>($D19*'[1]功能-城建'!HN15)*T$6+AN16</f>
        <v>#REF!</v>
      </c>
      <c r="AO17" s="8" t="e">
        <f>($D19*'[1]功能-城建'!HO15)*U$6+AO16</f>
        <v>#REF!</v>
      </c>
      <c r="AP17" s="8" t="e">
        <f>($D19*'[1]功能-城建'!HP15)*V$6+AP16</f>
        <v>#REF!</v>
      </c>
      <c r="AQ17" s="8" t="e">
        <f>($D19*'[1]功能-城建'!HQ15)*W$6+AQ16</f>
        <v>#REF!</v>
      </c>
      <c r="AU17" s="8">
        <v>12</v>
      </c>
      <c r="AV17" s="8" t="e">
        <f>($E19*'[1]功能-城建'!GF15)*S$6+AV16</f>
        <v>#REF!</v>
      </c>
      <c r="AW17" s="8" t="e">
        <f>($E19*'[1]功能-城建'!GG15)*T$6+AW16</f>
        <v>#REF!</v>
      </c>
      <c r="AX17" s="8" t="e">
        <f>($E19*'[1]功能-城建'!GH15)*U$6+AX16</f>
        <v>#REF!</v>
      </c>
      <c r="AY17" s="8" t="e">
        <f>($E19*'[1]功能-城建'!GI15)*V$6+AY16</f>
        <v>#REF!</v>
      </c>
      <c r="AZ17" s="8" t="e">
        <f>($E19*'[1]功能-城建'!GJ15)*W$6+AZ16</f>
        <v>#REF!</v>
      </c>
      <c r="BD17" s="8">
        <v>12</v>
      </c>
      <c r="BE17" s="8" t="e">
        <f t="shared" si="8"/>
        <v>#REF!</v>
      </c>
      <c r="BF17" s="8" t="e">
        <f t="shared" si="0"/>
        <v>#REF!</v>
      </c>
      <c r="BG17" s="8" t="e">
        <f t="shared" si="0"/>
        <v>#REF!</v>
      </c>
      <c r="BH17" s="8" t="e">
        <f t="shared" si="0"/>
        <v>#REF!</v>
      </c>
      <c r="BI17" s="8" t="e">
        <f t="shared" si="0"/>
        <v>#REF!</v>
      </c>
      <c r="BM17" s="8">
        <v>12</v>
      </c>
      <c r="BN17" s="8" t="e">
        <f t="shared" si="9"/>
        <v>#REF!</v>
      </c>
      <c r="BO17" s="8" t="e">
        <f t="shared" si="1"/>
        <v>#REF!</v>
      </c>
      <c r="BP17" s="8" t="e">
        <f t="shared" si="1"/>
        <v>#REF!</v>
      </c>
      <c r="BQ17" s="8" t="e">
        <f t="shared" si="1"/>
        <v>#REF!</v>
      </c>
      <c r="BR17" s="8" t="e">
        <f t="shared" si="1"/>
        <v>#REF!</v>
      </c>
      <c r="BV17" s="8">
        <v>12</v>
      </c>
      <c r="BW17" s="8" t="e">
        <f t="shared" si="10"/>
        <v>#REF!</v>
      </c>
      <c r="BX17" s="8" t="e">
        <f t="shared" si="2"/>
        <v>#REF!</v>
      </c>
      <c r="BY17" s="8" t="e">
        <f t="shared" si="2"/>
        <v>#REF!</v>
      </c>
      <c r="BZ17" s="8" t="e">
        <f t="shared" si="2"/>
        <v>#REF!</v>
      </c>
      <c r="CA17" s="8" t="e">
        <f t="shared" si="2"/>
        <v>#REF!</v>
      </c>
      <c r="CE17" s="8">
        <v>12</v>
      </c>
      <c r="CF17" s="18" t="e">
        <f t="shared" si="11"/>
        <v>#REF!</v>
      </c>
      <c r="CG17" s="18" t="e">
        <f t="shared" si="12"/>
        <v>#REF!</v>
      </c>
      <c r="CH17" s="18" t="e">
        <f t="shared" si="13"/>
        <v>#REF!</v>
      </c>
      <c r="CI17" s="18" t="e">
        <f t="shared" si="14"/>
        <v>#REF!</v>
      </c>
      <c r="CJ17" s="18" t="e">
        <f t="shared" si="15"/>
        <v>#REF!</v>
      </c>
      <c r="CN17" s="8">
        <v>12</v>
      </c>
      <c r="CO17" s="18" t="e">
        <f t="shared" si="16"/>
        <v>#REF!</v>
      </c>
      <c r="CP17" s="18" t="e">
        <f t="shared" si="17"/>
        <v>#REF!</v>
      </c>
      <c r="CQ17" s="18" t="e">
        <f t="shared" si="18"/>
        <v>#REF!</v>
      </c>
      <c r="CR17" s="18" t="e">
        <f t="shared" si="19"/>
        <v>#REF!</v>
      </c>
      <c r="CS17" s="18" t="e">
        <f t="shared" si="20"/>
        <v>#REF!</v>
      </c>
      <c r="CW17" s="8">
        <v>12</v>
      </c>
      <c r="CX17" s="18" t="e">
        <f t="shared" si="21"/>
        <v>#REF!</v>
      </c>
      <c r="CY17" s="18" t="e">
        <f t="shared" si="22"/>
        <v>#REF!</v>
      </c>
      <c r="CZ17" s="18" t="e">
        <f t="shared" si="23"/>
        <v>#REF!</v>
      </c>
      <c r="DA17" s="18" t="e">
        <f t="shared" si="24"/>
        <v>#REF!</v>
      </c>
      <c r="DB17" s="18" t="e">
        <f t="shared" si="25"/>
        <v>#REF!</v>
      </c>
      <c r="DF17" s="8">
        <v>12</v>
      </c>
      <c r="DG17" s="8" t="e">
        <f t="shared" si="26"/>
        <v>#REF!</v>
      </c>
      <c r="DH17" s="8" t="e">
        <f t="shared" si="27"/>
        <v>#REF!</v>
      </c>
      <c r="DI17" s="8" t="e">
        <f t="shared" si="28"/>
        <v>#REF!</v>
      </c>
      <c r="DJ17" s="8" t="e">
        <f t="shared" si="29"/>
        <v>#REF!</v>
      </c>
      <c r="DK17" s="8" t="e">
        <f t="shared" si="30"/>
        <v>#REF!</v>
      </c>
      <c r="DO17" s="8">
        <v>12</v>
      </c>
      <c r="DP17" s="8" t="e">
        <f t="shared" si="31"/>
        <v>#REF!</v>
      </c>
      <c r="DQ17" s="8" t="e">
        <f t="shared" si="32"/>
        <v>#REF!</v>
      </c>
      <c r="DR17" s="8" t="e">
        <f t="shared" si="33"/>
        <v>#REF!</v>
      </c>
      <c r="DS17" s="8" t="e">
        <f t="shared" si="34"/>
        <v>#REF!</v>
      </c>
      <c r="DT17" s="8" t="e">
        <f t="shared" si="35"/>
        <v>#REF!</v>
      </c>
    </row>
    <row r="18" spans="2:124">
      <c r="B18" s="8">
        <v>11</v>
      </c>
      <c r="C18" s="19" t="e">
        <f t="shared" si="38"/>
        <v>#REF!</v>
      </c>
      <c r="D18" s="19" t="e">
        <f t="shared" si="36"/>
        <v>#REF!</v>
      </c>
      <c r="E18" s="19" t="e">
        <f t="shared" si="36"/>
        <v>#REF!</v>
      </c>
      <c r="F18" s="19" t="e">
        <f t="shared" si="36"/>
        <v>#REF!</v>
      </c>
      <c r="G18" s="19" t="e">
        <f t="shared" si="36"/>
        <v>#REF!</v>
      </c>
      <c r="H18" s="19" t="e">
        <f t="shared" si="36"/>
        <v>#REF!</v>
      </c>
      <c r="I18" s="19" t="e">
        <f t="shared" si="37"/>
        <v>#REF!</v>
      </c>
      <c r="J18" s="19" t="e">
        <f t="shared" si="37"/>
        <v>#REF!</v>
      </c>
      <c r="K18" s="19" t="e">
        <f t="shared" si="37"/>
        <v>#REF!</v>
      </c>
      <c r="L18" s="16" t="e">
        <f t="shared" si="37"/>
        <v>#REF!</v>
      </c>
      <c r="M18" s="16" t="e">
        <f t="shared" si="37"/>
        <v>#REF!</v>
      </c>
      <c r="R18" s="14" t="s">
        <v>68</v>
      </c>
      <c r="S18" s="14"/>
      <c r="AC18" s="8">
        <v>13</v>
      </c>
      <c r="AD18" s="8" t="e">
        <f>($C20*'[1]功能-城建'!EX16)*S$6+AD17</f>
        <v>#REF!</v>
      </c>
      <c r="AE18" s="8" t="e">
        <f>($C20*'[1]功能-城建'!EY16)*T$6+AE17</f>
        <v>#REF!</v>
      </c>
      <c r="AF18" s="8" t="e">
        <f>($C20*'[1]功能-城建'!EZ16)*U$6+AF17</f>
        <v>#REF!</v>
      </c>
      <c r="AG18" s="8" t="e">
        <f>($C20*'[1]功能-城建'!FA16)*V$6+AG17</f>
        <v>#REF!</v>
      </c>
      <c r="AH18" s="8" t="e">
        <f>($C20*'[1]功能-城建'!FB16)*W$6+AH17</f>
        <v>#REF!</v>
      </c>
      <c r="AL18" s="8">
        <v>13</v>
      </c>
      <c r="AM18" s="8" t="e">
        <f>($D20*'[1]功能-城建'!HM16)*S$6+AM17</f>
        <v>#REF!</v>
      </c>
      <c r="AN18" s="8" t="e">
        <f>($D20*'[1]功能-城建'!HN16)*T$6+AN17</f>
        <v>#REF!</v>
      </c>
      <c r="AO18" s="8" t="e">
        <f>($D20*'[1]功能-城建'!HO16)*U$6+AO17</f>
        <v>#REF!</v>
      </c>
      <c r="AP18" s="8" t="e">
        <f>($D20*'[1]功能-城建'!HP16)*V$6+AP17</f>
        <v>#REF!</v>
      </c>
      <c r="AQ18" s="8" t="e">
        <f>($D20*'[1]功能-城建'!HQ16)*W$6+AQ17</f>
        <v>#REF!</v>
      </c>
      <c r="AU18" s="8">
        <v>13</v>
      </c>
      <c r="AV18" s="8" t="e">
        <f>($E20*'[1]功能-城建'!GF16)*S$6+AV17</f>
        <v>#REF!</v>
      </c>
      <c r="AW18" s="8" t="e">
        <f>($E20*'[1]功能-城建'!GG16)*T$6+AW17</f>
        <v>#REF!</v>
      </c>
      <c r="AX18" s="8" t="e">
        <f>($E20*'[1]功能-城建'!GH16)*U$6+AX17</f>
        <v>#REF!</v>
      </c>
      <c r="AY18" s="8" t="e">
        <f>($E20*'[1]功能-城建'!GI16)*V$6+AY17</f>
        <v>#REF!</v>
      </c>
      <c r="AZ18" s="8" t="e">
        <f>($E20*'[1]功能-城建'!GJ16)*W$6+AZ17</f>
        <v>#REF!</v>
      </c>
      <c r="BD18" s="8">
        <v>13</v>
      </c>
      <c r="BE18" s="8" t="e">
        <f t="shared" si="8"/>
        <v>#REF!</v>
      </c>
      <c r="BF18" s="8" t="e">
        <f t="shared" si="0"/>
        <v>#REF!</v>
      </c>
      <c r="BG18" s="8" t="e">
        <f t="shared" si="0"/>
        <v>#REF!</v>
      </c>
      <c r="BH18" s="8" t="e">
        <f t="shared" si="0"/>
        <v>#REF!</v>
      </c>
      <c r="BI18" s="8" t="e">
        <f t="shared" si="0"/>
        <v>#REF!</v>
      </c>
      <c r="BM18" s="8">
        <v>13</v>
      </c>
      <c r="BN18" s="8" t="e">
        <f t="shared" si="9"/>
        <v>#REF!</v>
      </c>
      <c r="BO18" s="8" t="e">
        <f t="shared" si="1"/>
        <v>#REF!</v>
      </c>
      <c r="BP18" s="8" t="e">
        <f t="shared" si="1"/>
        <v>#REF!</v>
      </c>
      <c r="BQ18" s="8" t="e">
        <f t="shared" si="1"/>
        <v>#REF!</v>
      </c>
      <c r="BR18" s="8" t="e">
        <f t="shared" si="1"/>
        <v>#REF!</v>
      </c>
      <c r="BV18" s="8">
        <v>13</v>
      </c>
      <c r="BW18" s="8" t="e">
        <f t="shared" si="10"/>
        <v>#REF!</v>
      </c>
      <c r="BX18" s="8" t="e">
        <f t="shared" si="2"/>
        <v>#REF!</v>
      </c>
      <c r="BY18" s="8" t="e">
        <f t="shared" si="2"/>
        <v>#REF!</v>
      </c>
      <c r="BZ18" s="8" t="e">
        <f t="shared" si="2"/>
        <v>#REF!</v>
      </c>
      <c r="CA18" s="8" t="e">
        <f t="shared" si="2"/>
        <v>#REF!</v>
      </c>
      <c r="CE18" s="8">
        <v>13</v>
      </c>
      <c r="CF18" s="18" t="e">
        <f t="shared" si="11"/>
        <v>#REF!</v>
      </c>
      <c r="CG18" s="18" t="e">
        <f t="shared" si="12"/>
        <v>#REF!</v>
      </c>
      <c r="CH18" s="18" t="e">
        <f t="shared" si="13"/>
        <v>#REF!</v>
      </c>
      <c r="CI18" s="18" t="e">
        <f t="shared" si="14"/>
        <v>#REF!</v>
      </c>
      <c r="CJ18" s="18" t="e">
        <f t="shared" si="15"/>
        <v>#REF!</v>
      </c>
      <c r="CN18" s="8">
        <v>13</v>
      </c>
      <c r="CO18" s="18" t="e">
        <f t="shared" si="16"/>
        <v>#REF!</v>
      </c>
      <c r="CP18" s="18" t="e">
        <f t="shared" si="17"/>
        <v>#REF!</v>
      </c>
      <c r="CQ18" s="18" t="e">
        <f t="shared" si="18"/>
        <v>#REF!</v>
      </c>
      <c r="CR18" s="18" t="e">
        <f t="shared" si="19"/>
        <v>#REF!</v>
      </c>
      <c r="CS18" s="18" t="e">
        <f t="shared" si="20"/>
        <v>#REF!</v>
      </c>
      <c r="CW18" s="8">
        <v>13</v>
      </c>
      <c r="CX18" s="18" t="e">
        <f t="shared" si="21"/>
        <v>#REF!</v>
      </c>
      <c r="CY18" s="18" t="e">
        <f t="shared" si="22"/>
        <v>#REF!</v>
      </c>
      <c r="CZ18" s="18" t="e">
        <f t="shared" si="23"/>
        <v>#REF!</v>
      </c>
      <c r="DA18" s="18" t="e">
        <f t="shared" si="24"/>
        <v>#REF!</v>
      </c>
      <c r="DB18" s="18" t="e">
        <f t="shared" si="25"/>
        <v>#REF!</v>
      </c>
      <c r="DF18" s="8">
        <v>13</v>
      </c>
      <c r="DG18" s="8" t="e">
        <f t="shared" si="26"/>
        <v>#REF!</v>
      </c>
      <c r="DH18" s="8" t="e">
        <f t="shared" si="27"/>
        <v>#REF!</v>
      </c>
      <c r="DI18" s="8" t="e">
        <f t="shared" si="28"/>
        <v>#REF!</v>
      </c>
      <c r="DJ18" s="8" t="e">
        <f t="shared" si="29"/>
        <v>#REF!</v>
      </c>
      <c r="DK18" s="8" t="e">
        <f t="shared" si="30"/>
        <v>#REF!</v>
      </c>
      <c r="DO18" s="8">
        <v>13</v>
      </c>
      <c r="DP18" s="8" t="e">
        <f t="shared" si="31"/>
        <v>#REF!</v>
      </c>
      <c r="DQ18" s="8" t="e">
        <f t="shared" si="32"/>
        <v>#REF!</v>
      </c>
      <c r="DR18" s="8" t="e">
        <f t="shared" si="33"/>
        <v>#REF!</v>
      </c>
      <c r="DS18" s="8" t="e">
        <f t="shared" si="34"/>
        <v>#REF!</v>
      </c>
      <c r="DT18" s="8" t="e">
        <f t="shared" si="35"/>
        <v>#REF!</v>
      </c>
    </row>
    <row r="19" spans="2:124">
      <c r="B19" s="8">
        <v>12</v>
      </c>
      <c r="C19" s="19" t="e">
        <f t="shared" si="38"/>
        <v>#REF!</v>
      </c>
      <c r="D19" s="19" t="e">
        <f t="shared" si="36"/>
        <v>#REF!</v>
      </c>
      <c r="E19" s="19" t="e">
        <f t="shared" si="36"/>
        <v>#REF!</v>
      </c>
      <c r="F19" s="19" t="e">
        <f t="shared" si="36"/>
        <v>#REF!</v>
      </c>
      <c r="G19" s="19" t="e">
        <f t="shared" si="36"/>
        <v>#REF!</v>
      </c>
      <c r="H19" s="19" t="e">
        <f t="shared" si="36"/>
        <v>#REF!</v>
      </c>
      <c r="I19" s="19" t="e">
        <f t="shared" si="37"/>
        <v>#REF!</v>
      </c>
      <c r="J19" s="19" t="e">
        <f t="shared" si="37"/>
        <v>#REF!</v>
      </c>
      <c r="K19" s="19" t="e">
        <f t="shared" si="37"/>
        <v>#REF!</v>
      </c>
      <c r="L19" s="16" t="e">
        <f t="shared" si="37"/>
        <v>#REF!</v>
      </c>
      <c r="M19" s="16" t="e">
        <f t="shared" si="37"/>
        <v>#REF!</v>
      </c>
      <c r="R19" s="14"/>
      <c r="S19" s="14" t="s">
        <v>69</v>
      </c>
      <c r="AC19" s="8">
        <v>14</v>
      </c>
      <c r="AD19" s="8" t="e">
        <f>($C21*'[1]功能-城建'!EX17)*S$6+AD18</f>
        <v>#REF!</v>
      </c>
      <c r="AE19" s="8" t="e">
        <f>($C21*'[1]功能-城建'!EY17)*T$6+AE18</f>
        <v>#REF!</v>
      </c>
      <c r="AF19" s="8" t="e">
        <f>($C21*'[1]功能-城建'!EZ17)*U$6+AF18</f>
        <v>#REF!</v>
      </c>
      <c r="AG19" s="8" t="e">
        <f>($C21*'[1]功能-城建'!FA17)*V$6+AG18</f>
        <v>#REF!</v>
      </c>
      <c r="AH19" s="8" t="e">
        <f>($C21*'[1]功能-城建'!FB17)*W$6+AH18</f>
        <v>#REF!</v>
      </c>
      <c r="AL19" s="8">
        <v>14</v>
      </c>
      <c r="AM19" s="8" t="e">
        <f>($D21*'[1]功能-城建'!HM17)*S$6+AM18</f>
        <v>#REF!</v>
      </c>
      <c r="AN19" s="8" t="e">
        <f>($D21*'[1]功能-城建'!HN17)*T$6+AN18</f>
        <v>#REF!</v>
      </c>
      <c r="AO19" s="8" t="e">
        <f>($D21*'[1]功能-城建'!HO17)*U$6+AO18</f>
        <v>#REF!</v>
      </c>
      <c r="AP19" s="8" t="e">
        <f>($D21*'[1]功能-城建'!HP17)*V$6+AP18</f>
        <v>#REF!</v>
      </c>
      <c r="AQ19" s="8" t="e">
        <f>($D21*'[1]功能-城建'!HQ17)*W$6+AQ18</f>
        <v>#REF!</v>
      </c>
      <c r="AU19" s="8">
        <v>14</v>
      </c>
      <c r="AV19" s="8" t="e">
        <f>($E21*'[1]功能-城建'!GF17)*S$6+AV18</f>
        <v>#REF!</v>
      </c>
      <c r="AW19" s="8" t="e">
        <f>($E21*'[1]功能-城建'!GG17)*T$6+AW18</f>
        <v>#REF!</v>
      </c>
      <c r="AX19" s="8" t="e">
        <f>($E21*'[1]功能-城建'!GH17)*U$6+AX18</f>
        <v>#REF!</v>
      </c>
      <c r="AY19" s="8" t="e">
        <f>($E21*'[1]功能-城建'!GI17)*V$6+AY18</f>
        <v>#REF!</v>
      </c>
      <c r="AZ19" s="8" t="e">
        <f>($E21*'[1]功能-城建'!GJ17)*W$6+AZ18</f>
        <v>#REF!</v>
      </c>
      <c r="BD19" s="8">
        <v>14</v>
      </c>
      <c r="BE19" s="8" t="e">
        <f t="shared" si="8"/>
        <v>#REF!</v>
      </c>
      <c r="BF19" s="8" t="e">
        <f t="shared" si="0"/>
        <v>#REF!</v>
      </c>
      <c r="BG19" s="8" t="e">
        <f t="shared" si="0"/>
        <v>#REF!</v>
      </c>
      <c r="BH19" s="8" t="e">
        <f t="shared" si="0"/>
        <v>#REF!</v>
      </c>
      <c r="BI19" s="8" t="e">
        <f t="shared" si="0"/>
        <v>#REF!</v>
      </c>
      <c r="BM19" s="8">
        <v>14</v>
      </c>
      <c r="BN19" s="8" t="e">
        <f t="shared" si="9"/>
        <v>#REF!</v>
      </c>
      <c r="BO19" s="8" t="e">
        <f t="shared" si="1"/>
        <v>#REF!</v>
      </c>
      <c r="BP19" s="8" t="e">
        <f t="shared" si="1"/>
        <v>#REF!</v>
      </c>
      <c r="BQ19" s="8" t="e">
        <f t="shared" si="1"/>
        <v>#REF!</v>
      </c>
      <c r="BR19" s="8" t="e">
        <f t="shared" si="1"/>
        <v>#REF!</v>
      </c>
      <c r="BV19" s="8">
        <v>14</v>
      </c>
      <c r="BW19" s="8" t="e">
        <f t="shared" si="10"/>
        <v>#REF!</v>
      </c>
      <c r="BX19" s="8" t="e">
        <f t="shared" si="2"/>
        <v>#REF!</v>
      </c>
      <c r="BY19" s="8" t="e">
        <f t="shared" si="2"/>
        <v>#REF!</v>
      </c>
      <c r="BZ19" s="8" t="e">
        <f t="shared" si="2"/>
        <v>#REF!</v>
      </c>
      <c r="CA19" s="8" t="e">
        <f t="shared" si="2"/>
        <v>#REF!</v>
      </c>
      <c r="CE19" s="8">
        <v>14</v>
      </c>
      <c r="CF19" s="18" t="e">
        <f t="shared" si="11"/>
        <v>#REF!</v>
      </c>
      <c r="CG19" s="18" t="e">
        <f t="shared" si="12"/>
        <v>#REF!</v>
      </c>
      <c r="CH19" s="18" t="e">
        <f t="shared" si="13"/>
        <v>#REF!</v>
      </c>
      <c r="CI19" s="18" t="e">
        <f t="shared" si="14"/>
        <v>#REF!</v>
      </c>
      <c r="CJ19" s="18" t="e">
        <f t="shared" si="15"/>
        <v>#REF!</v>
      </c>
      <c r="CN19" s="8">
        <v>14</v>
      </c>
      <c r="CO19" s="18" t="e">
        <f t="shared" si="16"/>
        <v>#REF!</v>
      </c>
      <c r="CP19" s="18" t="e">
        <f t="shared" si="17"/>
        <v>#REF!</v>
      </c>
      <c r="CQ19" s="18" t="e">
        <f t="shared" si="18"/>
        <v>#REF!</v>
      </c>
      <c r="CR19" s="18" t="e">
        <f t="shared" si="19"/>
        <v>#REF!</v>
      </c>
      <c r="CS19" s="18" t="e">
        <f t="shared" si="20"/>
        <v>#REF!</v>
      </c>
      <c r="CW19" s="8">
        <v>14</v>
      </c>
      <c r="CX19" s="18" t="e">
        <f t="shared" si="21"/>
        <v>#REF!</v>
      </c>
      <c r="CY19" s="18" t="e">
        <f t="shared" si="22"/>
        <v>#REF!</v>
      </c>
      <c r="CZ19" s="18" t="e">
        <f t="shared" si="23"/>
        <v>#REF!</v>
      </c>
      <c r="DA19" s="18" t="e">
        <f t="shared" si="24"/>
        <v>#REF!</v>
      </c>
      <c r="DB19" s="18" t="e">
        <f t="shared" si="25"/>
        <v>#REF!</v>
      </c>
      <c r="DF19" s="8">
        <v>14</v>
      </c>
      <c r="DG19" s="8" t="e">
        <f t="shared" si="26"/>
        <v>#REF!</v>
      </c>
      <c r="DH19" s="8" t="e">
        <f t="shared" si="27"/>
        <v>#REF!</v>
      </c>
      <c r="DI19" s="8" t="e">
        <f t="shared" si="28"/>
        <v>#REF!</v>
      </c>
      <c r="DJ19" s="8" t="e">
        <f t="shared" si="29"/>
        <v>#REF!</v>
      </c>
      <c r="DK19" s="8" t="e">
        <f t="shared" si="30"/>
        <v>#REF!</v>
      </c>
      <c r="DO19" s="8">
        <v>14</v>
      </c>
      <c r="DP19" s="8" t="e">
        <f t="shared" si="31"/>
        <v>#REF!</v>
      </c>
      <c r="DQ19" s="8" t="e">
        <f t="shared" si="32"/>
        <v>#REF!</v>
      </c>
      <c r="DR19" s="8" t="e">
        <f t="shared" si="33"/>
        <v>#REF!</v>
      </c>
      <c r="DS19" s="8" t="e">
        <f t="shared" si="34"/>
        <v>#REF!</v>
      </c>
      <c r="DT19" s="8" t="e">
        <f t="shared" si="35"/>
        <v>#REF!</v>
      </c>
    </row>
    <row r="20" spans="2:124">
      <c r="B20" s="8">
        <v>13</v>
      </c>
      <c r="C20" s="19" t="e">
        <f t="shared" si="38"/>
        <v>#REF!</v>
      </c>
      <c r="D20" s="19" t="e">
        <f t="shared" si="36"/>
        <v>#REF!</v>
      </c>
      <c r="E20" s="19" t="e">
        <f t="shared" si="36"/>
        <v>#REF!</v>
      </c>
      <c r="F20" s="19" t="e">
        <f t="shared" si="36"/>
        <v>#REF!</v>
      </c>
      <c r="G20" s="19" t="e">
        <f t="shared" si="36"/>
        <v>#REF!</v>
      </c>
      <c r="H20" s="19" t="e">
        <f t="shared" si="36"/>
        <v>#REF!</v>
      </c>
      <c r="I20" s="19" t="e">
        <f t="shared" si="37"/>
        <v>#REF!</v>
      </c>
      <c r="J20" s="19" t="e">
        <f t="shared" si="37"/>
        <v>#REF!</v>
      </c>
      <c r="K20" s="19" t="e">
        <f t="shared" si="37"/>
        <v>#REF!</v>
      </c>
      <c r="L20" s="16" t="e">
        <f t="shared" si="37"/>
        <v>#REF!</v>
      </c>
      <c r="M20" s="16" t="e">
        <f t="shared" si="37"/>
        <v>#REF!</v>
      </c>
      <c r="R20" s="14"/>
      <c r="S20" s="14" t="s">
        <v>70</v>
      </c>
      <c r="AC20" s="8">
        <v>15</v>
      </c>
      <c r="AD20" s="8" t="e">
        <f>($C22*'[1]功能-城建'!EX18)*S$6+AD19</f>
        <v>#REF!</v>
      </c>
      <c r="AE20" s="8" t="e">
        <f>($C22*'[1]功能-城建'!EY18)*T$6+AE19</f>
        <v>#REF!</v>
      </c>
      <c r="AF20" s="8" t="e">
        <f>($C22*'[1]功能-城建'!EZ18)*U$6+AF19</f>
        <v>#REF!</v>
      </c>
      <c r="AG20" s="8" t="e">
        <f>($C22*'[1]功能-城建'!FA18)*V$6+AG19</f>
        <v>#REF!</v>
      </c>
      <c r="AH20" s="8" t="e">
        <f>($C22*'[1]功能-城建'!FB18)*W$6+AH19</f>
        <v>#REF!</v>
      </c>
      <c r="AL20" s="8">
        <v>15</v>
      </c>
      <c r="AM20" s="8" t="e">
        <f>($D22*'[1]功能-城建'!HM18)*S$6+AM19</f>
        <v>#REF!</v>
      </c>
      <c r="AN20" s="8" t="e">
        <f>($D22*'[1]功能-城建'!HN18)*T$6+AN19</f>
        <v>#REF!</v>
      </c>
      <c r="AO20" s="8" t="e">
        <f>($D22*'[1]功能-城建'!HO18)*U$6+AO19</f>
        <v>#REF!</v>
      </c>
      <c r="AP20" s="8" t="e">
        <f>($D22*'[1]功能-城建'!HP18)*V$6+AP19</f>
        <v>#REF!</v>
      </c>
      <c r="AQ20" s="8" t="e">
        <f>($D22*'[1]功能-城建'!HQ18)*W$6+AQ19</f>
        <v>#REF!</v>
      </c>
      <c r="AU20" s="8">
        <v>15</v>
      </c>
      <c r="AV20" s="8" t="e">
        <f>($E22*'[1]功能-城建'!GF18)*S$6+AV19</f>
        <v>#REF!</v>
      </c>
      <c r="AW20" s="8" t="e">
        <f>($E22*'[1]功能-城建'!GG18)*T$6+AW19</f>
        <v>#REF!</v>
      </c>
      <c r="AX20" s="8" t="e">
        <f>($E22*'[1]功能-城建'!GH18)*U$6+AX19</f>
        <v>#REF!</v>
      </c>
      <c r="AY20" s="8" t="e">
        <f>($E22*'[1]功能-城建'!GI18)*V$6+AY19</f>
        <v>#REF!</v>
      </c>
      <c r="AZ20" s="8" t="e">
        <f>($E22*'[1]功能-城建'!GJ18)*W$6+AZ19</f>
        <v>#REF!</v>
      </c>
      <c r="BD20" s="8">
        <v>15</v>
      </c>
      <c r="BE20" s="8" t="e">
        <f t="shared" si="8"/>
        <v>#REF!</v>
      </c>
      <c r="BF20" s="8" t="e">
        <f t="shared" si="0"/>
        <v>#REF!</v>
      </c>
      <c r="BG20" s="8" t="e">
        <f t="shared" si="0"/>
        <v>#REF!</v>
      </c>
      <c r="BH20" s="8" t="e">
        <f t="shared" si="0"/>
        <v>#REF!</v>
      </c>
      <c r="BI20" s="8" t="e">
        <f t="shared" si="0"/>
        <v>#REF!</v>
      </c>
      <c r="BM20" s="8">
        <v>15</v>
      </c>
      <c r="BN20" s="8" t="e">
        <f t="shared" si="9"/>
        <v>#REF!</v>
      </c>
      <c r="BO20" s="8" t="e">
        <f t="shared" si="1"/>
        <v>#REF!</v>
      </c>
      <c r="BP20" s="8" t="e">
        <f t="shared" si="1"/>
        <v>#REF!</v>
      </c>
      <c r="BQ20" s="8" t="e">
        <f t="shared" si="1"/>
        <v>#REF!</v>
      </c>
      <c r="BR20" s="8" t="e">
        <f t="shared" si="1"/>
        <v>#REF!</v>
      </c>
      <c r="BV20" s="8">
        <v>15</v>
      </c>
      <c r="BW20" s="8" t="e">
        <f t="shared" si="10"/>
        <v>#REF!</v>
      </c>
      <c r="BX20" s="8" t="e">
        <f t="shared" si="2"/>
        <v>#REF!</v>
      </c>
      <c r="BY20" s="8" t="e">
        <f t="shared" si="2"/>
        <v>#REF!</v>
      </c>
      <c r="BZ20" s="8" t="e">
        <f t="shared" si="2"/>
        <v>#REF!</v>
      </c>
      <c r="CA20" s="8" t="e">
        <f t="shared" si="2"/>
        <v>#REF!</v>
      </c>
      <c r="CE20" s="8">
        <v>15</v>
      </c>
      <c r="CF20" s="18" t="e">
        <f t="shared" si="11"/>
        <v>#REF!</v>
      </c>
      <c r="CG20" s="18" t="e">
        <f t="shared" si="12"/>
        <v>#REF!</v>
      </c>
      <c r="CH20" s="18" t="e">
        <f t="shared" si="13"/>
        <v>#REF!</v>
      </c>
      <c r="CI20" s="18" t="e">
        <f t="shared" si="14"/>
        <v>#REF!</v>
      </c>
      <c r="CJ20" s="18" t="e">
        <f t="shared" si="15"/>
        <v>#REF!</v>
      </c>
      <c r="CN20" s="8">
        <v>15</v>
      </c>
      <c r="CO20" s="18" t="e">
        <f t="shared" si="16"/>
        <v>#REF!</v>
      </c>
      <c r="CP20" s="18" t="e">
        <f t="shared" si="17"/>
        <v>#REF!</v>
      </c>
      <c r="CQ20" s="18" t="e">
        <f t="shared" si="18"/>
        <v>#REF!</v>
      </c>
      <c r="CR20" s="18" t="e">
        <f t="shared" si="19"/>
        <v>#REF!</v>
      </c>
      <c r="CS20" s="18" t="e">
        <f t="shared" si="20"/>
        <v>#REF!</v>
      </c>
      <c r="CW20" s="8">
        <v>15</v>
      </c>
      <c r="CX20" s="18" t="e">
        <f t="shared" si="21"/>
        <v>#REF!</v>
      </c>
      <c r="CY20" s="18" t="e">
        <f t="shared" si="22"/>
        <v>#REF!</v>
      </c>
      <c r="CZ20" s="18" t="e">
        <f t="shared" si="23"/>
        <v>#REF!</v>
      </c>
      <c r="DA20" s="18" t="e">
        <f t="shared" si="24"/>
        <v>#REF!</v>
      </c>
      <c r="DB20" s="18" t="e">
        <f t="shared" si="25"/>
        <v>#REF!</v>
      </c>
      <c r="DF20" s="8">
        <v>15</v>
      </c>
      <c r="DG20" s="8" t="e">
        <f t="shared" si="26"/>
        <v>#REF!</v>
      </c>
      <c r="DH20" s="8" t="e">
        <f t="shared" si="27"/>
        <v>#REF!</v>
      </c>
      <c r="DI20" s="8" t="e">
        <f t="shared" si="28"/>
        <v>#REF!</v>
      </c>
      <c r="DJ20" s="8" t="e">
        <f t="shared" si="29"/>
        <v>#REF!</v>
      </c>
      <c r="DK20" s="8" t="e">
        <f t="shared" si="30"/>
        <v>#REF!</v>
      </c>
      <c r="DO20" s="8">
        <v>15</v>
      </c>
      <c r="DP20" s="8" t="e">
        <f t="shared" si="31"/>
        <v>#REF!</v>
      </c>
      <c r="DQ20" s="8" t="e">
        <f t="shared" si="32"/>
        <v>#REF!</v>
      </c>
      <c r="DR20" s="8" t="e">
        <f t="shared" si="33"/>
        <v>#REF!</v>
      </c>
      <c r="DS20" s="8" t="e">
        <f t="shared" si="34"/>
        <v>#REF!</v>
      </c>
      <c r="DT20" s="8" t="e">
        <f t="shared" si="35"/>
        <v>#REF!</v>
      </c>
    </row>
    <row r="21" spans="2:124">
      <c r="B21" s="8">
        <v>14</v>
      </c>
      <c r="C21" s="19" t="e">
        <f t="shared" si="38"/>
        <v>#REF!</v>
      </c>
      <c r="D21" s="19" t="e">
        <f t="shared" si="36"/>
        <v>#REF!</v>
      </c>
      <c r="E21" s="19" t="e">
        <f t="shared" si="36"/>
        <v>#REF!</v>
      </c>
      <c r="F21" s="19" t="e">
        <f t="shared" si="36"/>
        <v>#REF!</v>
      </c>
      <c r="G21" s="19" t="e">
        <f t="shared" ref="G21:M52" si="39">MIN(G$5,MAX(G$5/($D$2-$D$1)*($B21-$D$1),0))</f>
        <v>#REF!</v>
      </c>
      <c r="H21" s="19" t="e">
        <f t="shared" si="39"/>
        <v>#REF!</v>
      </c>
      <c r="I21" s="19" t="e">
        <f t="shared" si="37"/>
        <v>#REF!</v>
      </c>
      <c r="J21" s="19" t="e">
        <f t="shared" si="37"/>
        <v>#REF!</v>
      </c>
      <c r="K21" s="19" t="e">
        <f t="shared" si="37"/>
        <v>#REF!</v>
      </c>
      <c r="L21" s="16" t="e">
        <f t="shared" si="37"/>
        <v>#REF!</v>
      </c>
      <c r="M21" s="16" t="e">
        <f t="shared" si="37"/>
        <v>#REF!</v>
      </c>
      <c r="AC21" s="8">
        <v>16</v>
      </c>
      <c r="AD21" s="8" t="e">
        <f>($C23*'[1]功能-城建'!EX19)*S$6+AD20</f>
        <v>#REF!</v>
      </c>
      <c r="AE21" s="8" t="e">
        <f>($C23*'[1]功能-城建'!EY19)*T$6+AE20</f>
        <v>#REF!</v>
      </c>
      <c r="AF21" s="8" t="e">
        <f>($C23*'[1]功能-城建'!EZ19)*U$6+AF20</f>
        <v>#REF!</v>
      </c>
      <c r="AG21" s="8" t="e">
        <f>($C23*'[1]功能-城建'!FA19)*V$6+AG20</f>
        <v>#REF!</v>
      </c>
      <c r="AH21" s="8" t="e">
        <f>($C23*'[1]功能-城建'!FB19)*W$6+AH20</f>
        <v>#REF!</v>
      </c>
      <c r="AL21" s="8">
        <v>16</v>
      </c>
      <c r="AM21" s="8" t="e">
        <f>($D23*'[1]功能-城建'!HM19)*S$6+AM20</f>
        <v>#REF!</v>
      </c>
      <c r="AN21" s="8" t="e">
        <f>($D23*'[1]功能-城建'!HN19)*T$6+AN20</f>
        <v>#REF!</v>
      </c>
      <c r="AO21" s="8" t="e">
        <f>($D23*'[1]功能-城建'!HO19)*U$6+AO20</f>
        <v>#REF!</v>
      </c>
      <c r="AP21" s="8" t="e">
        <f>($D23*'[1]功能-城建'!HP19)*V$6+AP20</f>
        <v>#REF!</v>
      </c>
      <c r="AQ21" s="8" t="e">
        <f>($D23*'[1]功能-城建'!HQ19)*W$6+AQ20</f>
        <v>#REF!</v>
      </c>
      <c r="AU21" s="8">
        <v>16</v>
      </c>
      <c r="AV21" s="8" t="e">
        <f>($E23*'[1]功能-城建'!GF19)*S$6+AV20</f>
        <v>#REF!</v>
      </c>
      <c r="AW21" s="8" t="e">
        <f>($E23*'[1]功能-城建'!GG19)*T$6+AW20</f>
        <v>#REF!</v>
      </c>
      <c r="AX21" s="8" t="e">
        <f>($E23*'[1]功能-城建'!GH19)*U$6+AX20</f>
        <v>#REF!</v>
      </c>
      <c r="AY21" s="8" t="e">
        <f>($E23*'[1]功能-城建'!GI19)*V$6+AY20</f>
        <v>#REF!</v>
      </c>
      <c r="AZ21" s="8" t="e">
        <f>($E23*'[1]功能-城建'!GJ19)*W$6+AZ20</f>
        <v>#REF!</v>
      </c>
      <c r="BD21" s="8">
        <v>16</v>
      </c>
      <c r="BE21" s="8" t="e">
        <f t="shared" si="8"/>
        <v>#REF!</v>
      </c>
      <c r="BF21" s="8" t="e">
        <f t="shared" si="0"/>
        <v>#REF!</v>
      </c>
      <c r="BG21" s="8" t="e">
        <f t="shared" si="0"/>
        <v>#REF!</v>
      </c>
      <c r="BH21" s="8" t="e">
        <f t="shared" si="0"/>
        <v>#REF!</v>
      </c>
      <c r="BI21" s="8" t="e">
        <f t="shared" si="0"/>
        <v>#REF!</v>
      </c>
      <c r="BM21" s="8">
        <v>16</v>
      </c>
      <c r="BN21" s="8" t="e">
        <f t="shared" si="9"/>
        <v>#REF!</v>
      </c>
      <c r="BO21" s="8" t="e">
        <f t="shared" si="1"/>
        <v>#REF!</v>
      </c>
      <c r="BP21" s="8" t="e">
        <f t="shared" si="1"/>
        <v>#REF!</v>
      </c>
      <c r="BQ21" s="8" t="e">
        <f t="shared" si="1"/>
        <v>#REF!</v>
      </c>
      <c r="BR21" s="8" t="e">
        <f t="shared" si="1"/>
        <v>#REF!</v>
      </c>
      <c r="BV21" s="8">
        <v>16</v>
      </c>
      <c r="BW21" s="8" t="e">
        <f t="shared" si="10"/>
        <v>#REF!</v>
      </c>
      <c r="BX21" s="8" t="e">
        <f t="shared" si="2"/>
        <v>#REF!</v>
      </c>
      <c r="BY21" s="8" t="e">
        <f t="shared" si="2"/>
        <v>#REF!</v>
      </c>
      <c r="BZ21" s="8" t="e">
        <f t="shared" si="2"/>
        <v>#REF!</v>
      </c>
      <c r="CA21" s="8" t="e">
        <f t="shared" si="2"/>
        <v>#REF!</v>
      </c>
      <c r="CE21" s="8">
        <v>16</v>
      </c>
      <c r="CF21" s="18" t="e">
        <f t="shared" si="11"/>
        <v>#REF!</v>
      </c>
      <c r="CG21" s="18" t="e">
        <f t="shared" si="12"/>
        <v>#REF!</v>
      </c>
      <c r="CH21" s="18" t="e">
        <f t="shared" si="13"/>
        <v>#REF!</v>
      </c>
      <c r="CI21" s="18" t="e">
        <f t="shared" si="14"/>
        <v>#REF!</v>
      </c>
      <c r="CJ21" s="18" t="e">
        <f t="shared" si="15"/>
        <v>#REF!</v>
      </c>
      <c r="CN21" s="8">
        <v>16</v>
      </c>
      <c r="CO21" s="18" t="e">
        <f t="shared" si="16"/>
        <v>#REF!</v>
      </c>
      <c r="CP21" s="18" t="e">
        <f t="shared" si="17"/>
        <v>#REF!</v>
      </c>
      <c r="CQ21" s="18" t="e">
        <f t="shared" si="18"/>
        <v>#REF!</v>
      </c>
      <c r="CR21" s="18" t="e">
        <f t="shared" si="19"/>
        <v>#REF!</v>
      </c>
      <c r="CS21" s="18" t="e">
        <f t="shared" si="20"/>
        <v>#REF!</v>
      </c>
      <c r="CW21" s="8">
        <v>16</v>
      </c>
      <c r="CX21" s="18" t="e">
        <f t="shared" si="21"/>
        <v>#REF!</v>
      </c>
      <c r="CY21" s="18" t="e">
        <f t="shared" si="22"/>
        <v>#REF!</v>
      </c>
      <c r="CZ21" s="18" t="e">
        <f t="shared" si="23"/>
        <v>#REF!</v>
      </c>
      <c r="DA21" s="18" t="e">
        <f t="shared" si="24"/>
        <v>#REF!</v>
      </c>
      <c r="DB21" s="18" t="e">
        <f t="shared" si="25"/>
        <v>#REF!</v>
      </c>
      <c r="DF21" s="8">
        <v>16</v>
      </c>
      <c r="DG21" s="8" t="e">
        <f t="shared" si="26"/>
        <v>#REF!</v>
      </c>
      <c r="DH21" s="8" t="e">
        <f t="shared" si="27"/>
        <v>#REF!</v>
      </c>
      <c r="DI21" s="8" t="e">
        <f t="shared" si="28"/>
        <v>#REF!</v>
      </c>
      <c r="DJ21" s="8" t="e">
        <f t="shared" si="29"/>
        <v>#REF!</v>
      </c>
      <c r="DK21" s="8" t="e">
        <f t="shared" si="30"/>
        <v>#REF!</v>
      </c>
      <c r="DO21" s="8">
        <v>16</v>
      </c>
      <c r="DP21" s="8" t="e">
        <f t="shared" si="31"/>
        <v>#REF!</v>
      </c>
      <c r="DQ21" s="8" t="e">
        <f t="shared" si="32"/>
        <v>#REF!</v>
      </c>
      <c r="DR21" s="8" t="e">
        <f t="shared" si="33"/>
        <v>#REF!</v>
      </c>
      <c r="DS21" s="8" t="e">
        <f t="shared" si="34"/>
        <v>#REF!</v>
      </c>
      <c r="DT21" s="8" t="e">
        <f t="shared" si="35"/>
        <v>#REF!</v>
      </c>
    </row>
    <row r="22" spans="2:124">
      <c r="B22" s="8">
        <v>15</v>
      </c>
      <c r="C22" s="19" t="e">
        <f t="shared" si="38"/>
        <v>#REF!</v>
      </c>
      <c r="D22" s="19" t="e">
        <f t="shared" si="38"/>
        <v>#REF!</v>
      </c>
      <c r="E22" s="19" t="e">
        <f t="shared" si="38"/>
        <v>#REF!</v>
      </c>
      <c r="F22" s="19" t="e">
        <f t="shared" si="38"/>
        <v>#REF!</v>
      </c>
      <c r="G22" s="19" t="e">
        <f t="shared" si="38"/>
        <v>#REF!</v>
      </c>
      <c r="H22" s="19" t="e">
        <f t="shared" si="39"/>
        <v>#REF!</v>
      </c>
      <c r="I22" s="19" t="e">
        <f t="shared" si="37"/>
        <v>#REF!</v>
      </c>
      <c r="J22" s="19" t="e">
        <f t="shared" si="37"/>
        <v>#REF!</v>
      </c>
      <c r="K22" s="19" t="e">
        <f t="shared" si="37"/>
        <v>#REF!</v>
      </c>
      <c r="L22" s="16" t="e">
        <f t="shared" si="37"/>
        <v>#REF!</v>
      </c>
      <c r="M22" s="16" t="e">
        <f t="shared" si="37"/>
        <v>#REF!</v>
      </c>
      <c r="AC22" s="8">
        <v>17</v>
      </c>
      <c r="AD22" s="8" t="e">
        <f>($C24*'[1]功能-城建'!EX20)*S$6+AD21</f>
        <v>#REF!</v>
      </c>
      <c r="AE22" s="8" t="e">
        <f>($C24*'[1]功能-城建'!EY20)*T$6+AE21</f>
        <v>#REF!</v>
      </c>
      <c r="AF22" s="8" t="e">
        <f>($C24*'[1]功能-城建'!EZ20)*U$6+AF21</f>
        <v>#REF!</v>
      </c>
      <c r="AG22" s="8" t="e">
        <f>($C24*'[1]功能-城建'!FA20)*V$6+AG21</f>
        <v>#REF!</v>
      </c>
      <c r="AH22" s="8" t="e">
        <f>($C24*'[1]功能-城建'!FB20)*W$6+AH21</f>
        <v>#REF!</v>
      </c>
      <c r="AL22" s="8">
        <v>17</v>
      </c>
      <c r="AM22" s="8" t="e">
        <f>($D24*'[1]功能-城建'!HM20)*S$6+AM21</f>
        <v>#REF!</v>
      </c>
      <c r="AN22" s="8" t="e">
        <f>($D24*'[1]功能-城建'!HN20)*T$6+AN21</f>
        <v>#REF!</v>
      </c>
      <c r="AO22" s="8" t="e">
        <f>($D24*'[1]功能-城建'!HO20)*U$6+AO21</f>
        <v>#REF!</v>
      </c>
      <c r="AP22" s="8" t="e">
        <f>($D24*'[1]功能-城建'!HP20)*V$6+AP21</f>
        <v>#REF!</v>
      </c>
      <c r="AQ22" s="8" t="e">
        <f>($D24*'[1]功能-城建'!HQ20)*W$6+AQ21</f>
        <v>#REF!</v>
      </c>
      <c r="AU22" s="8">
        <v>17</v>
      </c>
      <c r="AV22" s="8" t="e">
        <f>($E24*'[1]功能-城建'!GF20)*S$6+AV21</f>
        <v>#REF!</v>
      </c>
      <c r="AW22" s="8" t="e">
        <f>($E24*'[1]功能-城建'!GG20)*T$6+AW21</f>
        <v>#REF!</v>
      </c>
      <c r="AX22" s="8" t="e">
        <f>($E24*'[1]功能-城建'!GH20)*U$6+AX21</f>
        <v>#REF!</v>
      </c>
      <c r="AY22" s="8" t="e">
        <f>($E24*'[1]功能-城建'!GI20)*V$6+AY21</f>
        <v>#REF!</v>
      </c>
      <c r="AZ22" s="8" t="e">
        <f>($E24*'[1]功能-城建'!GJ20)*W$6+AZ21</f>
        <v>#REF!</v>
      </c>
      <c r="BD22" s="8">
        <v>17</v>
      </c>
      <c r="BE22" s="8" t="e">
        <f t="shared" si="8"/>
        <v>#REF!</v>
      </c>
      <c r="BF22" s="8" t="e">
        <f t="shared" si="8"/>
        <v>#REF!</v>
      </c>
      <c r="BG22" s="8" t="e">
        <f t="shared" si="8"/>
        <v>#REF!</v>
      </c>
      <c r="BH22" s="8" t="e">
        <f t="shared" si="8"/>
        <v>#REF!</v>
      </c>
      <c r="BI22" s="8" t="e">
        <f t="shared" si="8"/>
        <v>#REF!</v>
      </c>
      <c r="BM22" s="8">
        <v>17</v>
      </c>
      <c r="BN22" s="8" t="e">
        <f t="shared" si="9"/>
        <v>#REF!</v>
      </c>
      <c r="BO22" s="8" t="e">
        <f t="shared" si="9"/>
        <v>#REF!</v>
      </c>
      <c r="BP22" s="8" t="e">
        <f t="shared" si="9"/>
        <v>#REF!</v>
      </c>
      <c r="BQ22" s="8" t="e">
        <f t="shared" si="9"/>
        <v>#REF!</v>
      </c>
      <c r="BR22" s="8" t="e">
        <f t="shared" si="9"/>
        <v>#REF!</v>
      </c>
      <c r="BV22" s="8">
        <v>17</v>
      </c>
      <c r="BW22" s="8" t="e">
        <f t="shared" si="10"/>
        <v>#REF!</v>
      </c>
      <c r="BX22" s="8" t="e">
        <f t="shared" si="10"/>
        <v>#REF!</v>
      </c>
      <c r="BY22" s="8" t="e">
        <f t="shared" si="10"/>
        <v>#REF!</v>
      </c>
      <c r="BZ22" s="8" t="e">
        <f t="shared" si="10"/>
        <v>#REF!</v>
      </c>
      <c r="CA22" s="8" t="e">
        <f t="shared" si="10"/>
        <v>#REF!</v>
      </c>
      <c r="CE22" s="8">
        <v>17</v>
      </c>
      <c r="CF22" s="18" t="e">
        <f t="shared" si="11"/>
        <v>#REF!</v>
      </c>
      <c r="CG22" s="18" t="e">
        <f t="shared" si="12"/>
        <v>#REF!</v>
      </c>
      <c r="CH22" s="18" t="e">
        <f t="shared" si="13"/>
        <v>#REF!</v>
      </c>
      <c r="CI22" s="18" t="e">
        <f t="shared" si="14"/>
        <v>#REF!</v>
      </c>
      <c r="CJ22" s="18" t="e">
        <f t="shared" si="15"/>
        <v>#REF!</v>
      </c>
      <c r="CN22" s="8">
        <v>17</v>
      </c>
      <c r="CO22" s="18" t="e">
        <f t="shared" si="16"/>
        <v>#REF!</v>
      </c>
      <c r="CP22" s="18" t="e">
        <f t="shared" si="17"/>
        <v>#REF!</v>
      </c>
      <c r="CQ22" s="18" t="e">
        <f t="shared" si="18"/>
        <v>#REF!</v>
      </c>
      <c r="CR22" s="18" t="e">
        <f t="shared" si="19"/>
        <v>#REF!</v>
      </c>
      <c r="CS22" s="18" t="e">
        <f t="shared" si="20"/>
        <v>#REF!</v>
      </c>
      <c r="CW22" s="8">
        <v>17</v>
      </c>
      <c r="CX22" s="18" t="e">
        <f t="shared" si="21"/>
        <v>#REF!</v>
      </c>
      <c r="CY22" s="18" t="e">
        <f t="shared" si="22"/>
        <v>#REF!</v>
      </c>
      <c r="CZ22" s="18" t="e">
        <f t="shared" si="23"/>
        <v>#REF!</v>
      </c>
      <c r="DA22" s="18" t="e">
        <f t="shared" si="24"/>
        <v>#REF!</v>
      </c>
      <c r="DB22" s="18" t="e">
        <f t="shared" si="25"/>
        <v>#REF!</v>
      </c>
      <c r="DF22" s="8">
        <v>17</v>
      </c>
      <c r="DG22" s="8" t="e">
        <f t="shared" si="26"/>
        <v>#REF!</v>
      </c>
      <c r="DH22" s="8" t="e">
        <f t="shared" si="27"/>
        <v>#REF!</v>
      </c>
      <c r="DI22" s="8" t="e">
        <f t="shared" si="28"/>
        <v>#REF!</v>
      </c>
      <c r="DJ22" s="8" t="e">
        <f t="shared" si="29"/>
        <v>#REF!</v>
      </c>
      <c r="DK22" s="8" t="e">
        <f t="shared" si="30"/>
        <v>#REF!</v>
      </c>
      <c r="DO22" s="8">
        <v>17</v>
      </c>
      <c r="DP22" s="8" t="e">
        <f t="shared" si="31"/>
        <v>#REF!</v>
      </c>
      <c r="DQ22" s="8" t="e">
        <f t="shared" si="32"/>
        <v>#REF!</v>
      </c>
      <c r="DR22" s="8" t="e">
        <f t="shared" si="33"/>
        <v>#REF!</v>
      </c>
      <c r="DS22" s="8" t="e">
        <f t="shared" si="34"/>
        <v>#REF!</v>
      </c>
      <c r="DT22" s="8" t="e">
        <f t="shared" si="35"/>
        <v>#REF!</v>
      </c>
    </row>
    <row r="23" spans="2:124">
      <c r="B23" s="8">
        <v>16</v>
      </c>
      <c r="C23" s="19" t="e">
        <f t="shared" si="38"/>
        <v>#REF!</v>
      </c>
      <c r="D23" s="19" t="e">
        <f t="shared" si="38"/>
        <v>#REF!</v>
      </c>
      <c r="E23" s="19" t="e">
        <f t="shared" si="38"/>
        <v>#REF!</v>
      </c>
      <c r="F23" s="19" t="e">
        <f t="shared" si="38"/>
        <v>#REF!</v>
      </c>
      <c r="G23" s="19" t="e">
        <f t="shared" si="38"/>
        <v>#REF!</v>
      </c>
      <c r="H23" s="19" t="e">
        <f t="shared" si="39"/>
        <v>#REF!</v>
      </c>
      <c r="I23" s="19" t="e">
        <f t="shared" si="37"/>
        <v>#REF!</v>
      </c>
      <c r="J23" s="19" t="e">
        <f t="shared" si="37"/>
        <v>#REF!</v>
      </c>
      <c r="K23" s="19" t="e">
        <f t="shared" si="37"/>
        <v>#REF!</v>
      </c>
      <c r="L23" s="16" t="e">
        <f t="shared" si="37"/>
        <v>#REF!</v>
      </c>
      <c r="M23" s="16" t="e">
        <f t="shared" si="37"/>
        <v>#REF!</v>
      </c>
      <c r="AC23" s="8">
        <v>18</v>
      </c>
      <c r="AD23" s="8" t="e">
        <f>($C25*'[1]功能-城建'!EX21)*S$6+AD22</f>
        <v>#REF!</v>
      </c>
      <c r="AE23" s="8" t="e">
        <f>($C25*'[1]功能-城建'!EY21)*T$6+AE22</f>
        <v>#REF!</v>
      </c>
      <c r="AF23" s="8" t="e">
        <f>($C25*'[1]功能-城建'!EZ21)*U$6+AF22</f>
        <v>#REF!</v>
      </c>
      <c r="AG23" s="8" t="e">
        <f>($C25*'[1]功能-城建'!FA21)*V$6+AG22</f>
        <v>#REF!</v>
      </c>
      <c r="AH23" s="8" t="e">
        <f>($C25*'[1]功能-城建'!FB21)*W$6+AH22</f>
        <v>#REF!</v>
      </c>
      <c r="AL23" s="8">
        <v>18</v>
      </c>
      <c r="AM23" s="8" t="e">
        <f>($D25*'[1]功能-城建'!HM21)*S$6+AM22</f>
        <v>#REF!</v>
      </c>
      <c r="AN23" s="8" t="e">
        <f>($D25*'[1]功能-城建'!HN21)*T$6+AN22</f>
        <v>#REF!</v>
      </c>
      <c r="AO23" s="8" t="e">
        <f>($D25*'[1]功能-城建'!HO21)*U$6+AO22</f>
        <v>#REF!</v>
      </c>
      <c r="AP23" s="8" t="e">
        <f>($D25*'[1]功能-城建'!HP21)*V$6+AP22</f>
        <v>#REF!</v>
      </c>
      <c r="AQ23" s="8" t="e">
        <f>($D25*'[1]功能-城建'!HQ21)*W$6+AQ22</f>
        <v>#REF!</v>
      </c>
      <c r="AU23" s="8">
        <v>18</v>
      </c>
      <c r="AV23" s="8" t="e">
        <f>($E25*'[1]功能-城建'!GF21)*S$6+AV22</f>
        <v>#REF!</v>
      </c>
      <c r="AW23" s="8" t="e">
        <f>($E25*'[1]功能-城建'!GG21)*T$6+AW22</f>
        <v>#REF!</v>
      </c>
      <c r="AX23" s="8" t="e">
        <f>($E25*'[1]功能-城建'!GH21)*U$6+AX22</f>
        <v>#REF!</v>
      </c>
      <c r="AY23" s="8" t="e">
        <f>($E25*'[1]功能-城建'!GI21)*V$6+AY22</f>
        <v>#REF!</v>
      </c>
      <c r="AZ23" s="8" t="e">
        <f>($E25*'[1]功能-城建'!GJ21)*W$6+AZ22</f>
        <v>#REF!</v>
      </c>
      <c r="BD23" s="8">
        <v>18</v>
      </c>
      <c r="BE23" s="8" t="e">
        <f t="shared" ref="BE23:BI38" si="40">$F25*S$6</f>
        <v>#REF!</v>
      </c>
      <c r="BF23" s="8" t="e">
        <f t="shared" si="40"/>
        <v>#REF!</v>
      </c>
      <c r="BG23" s="8" t="e">
        <f t="shared" si="40"/>
        <v>#REF!</v>
      </c>
      <c r="BH23" s="8" t="e">
        <f t="shared" si="40"/>
        <v>#REF!</v>
      </c>
      <c r="BI23" s="8" t="e">
        <f t="shared" si="40"/>
        <v>#REF!</v>
      </c>
      <c r="BM23" s="8">
        <v>18</v>
      </c>
      <c r="BN23" s="8" t="e">
        <f t="shared" ref="BN23:BR38" si="41">$G25*S$6</f>
        <v>#REF!</v>
      </c>
      <c r="BO23" s="8" t="e">
        <f t="shared" si="41"/>
        <v>#REF!</v>
      </c>
      <c r="BP23" s="8" t="e">
        <f t="shared" si="41"/>
        <v>#REF!</v>
      </c>
      <c r="BQ23" s="8" t="e">
        <f t="shared" si="41"/>
        <v>#REF!</v>
      </c>
      <c r="BR23" s="8" t="e">
        <f t="shared" si="41"/>
        <v>#REF!</v>
      </c>
      <c r="BV23" s="8">
        <v>18</v>
      </c>
      <c r="BW23" s="8" t="e">
        <f t="shared" ref="BW23:CA38" si="42">$H25*S$6</f>
        <v>#REF!</v>
      </c>
      <c r="BX23" s="8" t="e">
        <f t="shared" si="42"/>
        <v>#REF!</v>
      </c>
      <c r="BY23" s="8" t="e">
        <f t="shared" si="42"/>
        <v>#REF!</v>
      </c>
      <c r="BZ23" s="8" t="e">
        <f t="shared" si="42"/>
        <v>#REF!</v>
      </c>
      <c r="CA23" s="8" t="e">
        <f t="shared" si="42"/>
        <v>#REF!</v>
      </c>
      <c r="CE23" s="8">
        <v>18</v>
      </c>
      <c r="CF23" s="18" t="e">
        <f t="shared" si="11"/>
        <v>#REF!</v>
      </c>
      <c r="CG23" s="18" t="e">
        <f t="shared" si="12"/>
        <v>#REF!</v>
      </c>
      <c r="CH23" s="18" t="e">
        <f t="shared" si="13"/>
        <v>#REF!</v>
      </c>
      <c r="CI23" s="18" t="e">
        <f t="shared" si="14"/>
        <v>#REF!</v>
      </c>
      <c r="CJ23" s="18" t="e">
        <f t="shared" si="15"/>
        <v>#REF!</v>
      </c>
      <c r="CN23" s="8">
        <v>18</v>
      </c>
      <c r="CO23" s="18" t="e">
        <f t="shared" si="16"/>
        <v>#REF!</v>
      </c>
      <c r="CP23" s="18" t="e">
        <f t="shared" si="17"/>
        <v>#REF!</v>
      </c>
      <c r="CQ23" s="18" t="e">
        <f t="shared" si="18"/>
        <v>#REF!</v>
      </c>
      <c r="CR23" s="18" t="e">
        <f t="shared" si="19"/>
        <v>#REF!</v>
      </c>
      <c r="CS23" s="18" t="e">
        <f t="shared" si="20"/>
        <v>#REF!</v>
      </c>
      <c r="CW23" s="8">
        <v>18</v>
      </c>
      <c r="CX23" s="18" t="e">
        <f t="shared" si="21"/>
        <v>#REF!</v>
      </c>
      <c r="CY23" s="18" t="e">
        <f t="shared" si="22"/>
        <v>#REF!</v>
      </c>
      <c r="CZ23" s="18" t="e">
        <f t="shared" si="23"/>
        <v>#REF!</v>
      </c>
      <c r="DA23" s="18" t="e">
        <f t="shared" si="24"/>
        <v>#REF!</v>
      </c>
      <c r="DB23" s="18" t="e">
        <f t="shared" si="25"/>
        <v>#REF!</v>
      </c>
      <c r="DF23" s="8">
        <v>18</v>
      </c>
      <c r="DG23" s="8" t="e">
        <f t="shared" si="26"/>
        <v>#REF!</v>
      </c>
      <c r="DH23" s="8" t="e">
        <f t="shared" si="27"/>
        <v>#REF!</v>
      </c>
      <c r="DI23" s="8" t="e">
        <f t="shared" si="28"/>
        <v>#REF!</v>
      </c>
      <c r="DJ23" s="8" t="e">
        <f t="shared" si="29"/>
        <v>#REF!</v>
      </c>
      <c r="DK23" s="8" t="e">
        <f t="shared" si="30"/>
        <v>#REF!</v>
      </c>
      <c r="DO23" s="8">
        <v>18</v>
      </c>
      <c r="DP23" s="8" t="e">
        <f t="shared" si="31"/>
        <v>#REF!</v>
      </c>
      <c r="DQ23" s="8" t="e">
        <f t="shared" si="32"/>
        <v>#REF!</v>
      </c>
      <c r="DR23" s="8" t="e">
        <f t="shared" si="33"/>
        <v>#REF!</v>
      </c>
      <c r="DS23" s="8" t="e">
        <f t="shared" si="34"/>
        <v>#REF!</v>
      </c>
      <c r="DT23" s="8" t="e">
        <f t="shared" si="35"/>
        <v>#REF!</v>
      </c>
    </row>
    <row r="24" spans="2:124">
      <c r="B24" s="8">
        <v>17</v>
      </c>
      <c r="C24" s="19" t="e">
        <f t="shared" si="38"/>
        <v>#REF!</v>
      </c>
      <c r="D24" s="19" t="e">
        <f t="shared" si="38"/>
        <v>#REF!</v>
      </c>
      <c r="E24" s="19" t="e">
        <f t="shared" si="38"/>
        <v>#REF!</v>
      </c>
      <c r="F24" s="19" t="e">
        <f t="shared" si="38"/>
        <v>#REF!</v>
      </c>
      <c r="G24" s="19" t="e">
        <f t="shared" si="38"/>
        <v>#REF!</v>
      </c>
      <c r="H24" s="19" t="e">
        <f t="shared" si="39"/>
        <v>#REF!</v>
      </c>
      <c r="I24" s="19" t="e">
        <f t="shared" si="39"/>
        <v>#REF!</v>
      </c>
      <c r="J24" s="19" t="e">
        <f t="shared" si="39"/>
        <v>#REF!</v>
      </c>
      <c r="K24" s="19" t="e">
        <f t="shared" si="39"/>
        <v>#REF!</v>
      </c>
      <c r="L24" s="16" t="e">
        <f t="shared" si="39"/>
        <v>#REF!</v>
      </c>
      <c r="M24" s="16" t="e">
        <f t="shared" si="39"/>
        <v>#REF!</v>
      </c>
      <c r="AC24" s="8">
        <v>19</v>
      </c>
      <c r="AD24" s="8" t="e">
        <f>($C26*'[1]功能-城建'!EX22)*S$6+AD23</f>
        <v>#REF!</v>
      </c>
      <c r="AE24" s="8" t="e">
        <f>($C26*'[1]功能-城建'!EY22)*T$6+AE23</f>
        <v>#REF!</v>
      </c>
      <c r="AF24" s="8" t="e">
        <f>($C26*'[1]功能-城建'!EZ22)*U$6+AF23</f>
        <v>#REF!</v>
      </c>
      <c r="AG24" s="8" t="e">
        <f>($C26*'[1]功能-城建'!FA22)*V$6+AG23</f>
        <v>#REF!</v>
      </c>
      <c r="AH24" s="8" t="e">
        <f>($C26*'[1]功能-城建'!FB22)*W$6+AH23</f>
        <v>#REF!</v>
      </c>
      <c r="AL24" s="8">
        <v>19</v>
      </c>
      <c r="AM24" s="8" t="e">
        <f>($D26*'[1]功能-城建'!HM22)*S$6+AM23</f>
        <v>#REF!</v>
      </c>
      <c r="AN24" s="8" t="e">
        <f>($D26*'[1]功能-城建'!HN22)*T$6+AN23</f>
        <v>#REF!</v>
      </c>
      <c r="AO24" s="8" t="e">
        <f>($D26*'[1]功能-城建'!HO22)*U$6+AO23</f>
        <v>#REF!</v>
      </c>
      <c r="AP24" s="8" t="e">
        <f>($D26*'[1]功能-城建'!HP22)*V$6+AP23</f>
        <v>#REF!</v>
      </c>
      <c r="AQ24" s="8" t="e">
        <f>($D26*'[1]功能-城建'!HQ22)*W$6+AQ23</f>
        <v>#REF!</v>
      </c>
      <c r="AU24" s="8">
        <v>19</v>
      </c>
      <c r="AV24" s="8" t="e">
        <f>($E26*'[1]功能-城建'!GF22)*S$6+AV23</f>
        <v>#REF!</v>
      </c>
      <c r="AW24" s="8" t="e">
        <f>($E26*'[1]功能-城建'!GG22)*T$6+AW23</f>
        <v>#REF!</v>
      </c>
      <c r="AX24" s="8" t="e">
        <f>($E26*'[1]功能-城建'!GH22)*U$6+AX23</f>
        <v>#REF!</v>
      </c>
      <c r="AY24" s="8" t="e">
        <f>($E26*'[1]功能-城建'!GI22)*V$6+AY23</f>
        <v>#REF!</v>
      </c>
      <c r="AZ24" s="8" t="e">
        <f>($E26*'[1]功能-城建'!GJ22)*W$6+AZ23</f>
        <v>#REF!</v>
      </c>
      <c r="BD24" s="8">
        <v>19</v>
      </c>
      <c r="BE24" s="8" t="e">
        <f t="shared" si="40"/>
        <v>#REF!</v>
      </c>
      <c r="BF24" s="8" t="e">
        <f t="shared" si="40"/>
        <v>#REF!</v>
      </c>
      <c r="BG24" s="8" t="e">
        <f t="shared" si="40"/>
        <v>#REF!</v>
      </c>
      <c r="BH24" s="8" t="e">
        <f t="shared" si="40"/>
        <v>#REF!</v>
      </c>
      <c r="BI24" s="8" t="e">
        <f t="shared" si="40"/>
        <v>#REF!</v>
      </c>
      <c r="BM24" s="8">
        <v>19</v>
      </c>
      <c r="BN24" s="8" t="e">
        <f t="shared" si="41"/>
        <v>#REF!</v>
      </c>
      <c r="BO24" s="8" t="e">
        <f t="shared" si="41"/>
        <v>#REF!</v>
      </c>
      <c r="BP24" s="8" t="e">
        <f t="shared" si="41"/>
        <v>#REF!</v>
      </c>
      <c r="BQ24" s="8" t="e">
        <f t="shared" si="41"/>
        <v>#REF!</v>
      </c>
      <c r="BR24" s="8" t="e">
        <f t="shared" si="41"/>
        <v>#REF!</v>
      </c>
      <c r="BV24" s="8">
        <v>19</v>
      </c>
      <c r="BW24" s="8" t="e">
        <f t="shared" si="42"/>
        <v>#REF!</v>
      </c>
      <c r="BX24" s="8" t="e">
        <f t="shared" si="42"/>
        <v>#REF!</v>
      </c>
      <c r="BY24" s="8" t="e">
        <f t="shared" si="42"/>
        <v>#REF!</v>
      </c>
      <c r="BZ24" s="8" t="e">
        <f t="shared" si="42"/>
        <v>#REF!</v>
      </c>
      <c r="CA24" s="8" t="e">
        <f t="shared" si="42"/>
        <v>#REF!</v>
      </c>
      <c r="CE24" s="8">
        <v>19</v>
      </c>
      <c r="CF24" s="18" t="e">
        <f t="shared" si="11"/>
        <v>#REF!</v>
      </c>
      <c r="CG24" s="18" t="e">
        <f t="shared" si="12"/>
        <v>#REF!</v>
      </c>
      <c r="CH24" s="18" t="e">
        <f t="shared" si="13"/>
        <v>#REF!</v>
      </c>
      <c r="CI24" s="18" t="e">
        <f t="shared" si="14"/>
        <v>#REF!</v>
      </c>
      <c r="CJ24" s="18" t="e">
        <f t="shared" si="15"/>
        <v>#REF!</v>
      </c>
      <c r="CN24" s="8">
        <v>19</v>
      </c>
      <c r="CO24" s="18" t="e">
        <f t="shared" si="16"/>
        <v>#REF!</v>
      </c>
      <c r="CP24" s="18" t="e">
        <f t="shared" si="17"/>
        <v>#REF!</v>
      </c>
      <c r="CQ24" s="18" t="e">
        <f t="shared" si="18"/>
        <v>#REF!</v>
      </c>
      <c r="CR24" s="18" t="e">
        <f t="shared" si="19"/>
        <v>#REF!</v>
      </c>
      <c r="CS24" s="18" t="e">
        <f t="shared" si="20"/>
        <v>#REF!</v>
      </c>
      <c r="CW24" s="8">
        <v>19</v>
      </c>
      <c r="CX24" s="18" t="e">
        <f t="shared" si="21"/>
        <v>#REF!</v>
      </c>
      <c r="CY24" s="18" t="e">
        <f t="shared" si="22"/>
        <v>#REF!</v>
      </c>
      <c r="CZ24" s="18" t="e">
        <f t="shared" si="23"/>
        <v>#REF!</v>
      </c>
      <c r="DA24" s="18" t="e">
        <f t="shared" si="24"/>
        <v>#REF!</v>
      </c>
      <c r="DB24" s="18" t="e">
        <f t="shared" si="25"/>
        <v>#REF!</v>
      </c>
      <c r="DF24" s="8">
        <v>19</v>
      </c>
      <c r="DG24" s="8" t="e">
        <f t="shared" si="26"/>
        <v>#REF!</v>
      </c>
      <c r="DH24" s="8" t="e">
        <f t="shared" si="27"/>
        <v>#REF!</v>
      </c>
      <c r="DI24" s="8" t="e">
        <f t="shared" si="28"/>
        <v>#REF!</v>
      </c>
      <c r="DJ24" s="8" t="e">
        <f t="shared" si="29"/>
        <v>#REF!</v>
      </c>
      <c r="DK24" s="8" t="e">
        <f t="shared" si="30"/>
        <v>#REF!</v>
      </c>
      <c r="DO24" s="8">
        <v>19</v>
      </c>
      <c r="DP24" s="8" t="e">
        <f t="shared" si="31"/>
        <v>#REF!</v>
      </c>
      <c r="DQ24" s="8" t="e">
        <f t="shared" si="32"/>
        <v>#REF!</v>
      </c>
      <c r="DR24" s="8" t="e">
        <f t="shared" si="33"/>
        <v>#REF!</v>
      </c>
      <c r="DS24" s="8" t="e">
        <f t="shared" si="34"/>
        <v>#REF!</v>
      </c>
      <c r="DT24" s="8" t="e">
        <f t="shared" si="35"/>
        <v>#REF!</v>
      </c>
    </row>
    <row r="25" spans="2:124">
      <c r="B25" s="8">
        <v>18</v>
      </c>
      <c r="C25" s="19" t="e">
        <f t="shared" si="38"/>
        <v>#REF!</v>
      </c>
      <c r="D25" s="19" t="e">
        <f t="shared" si="38"/>
        <v>#REF!</v>
      </c>
      <c r="E25" s="19" t="e">
        <f t="shared" si="38"/>
        <v>#REF!</v>
      </c>
      <c r="F25" s="19" t="e">
        <f t="shared" si="38"/>
        <v>#REF!</v>
      </c>
      <c r="G25" s="19" t="e">
        <f t="shared" si="38"/>
        <v>#REF!</v>
      </c>
      <c r="H25" s="19" t="e">
        <f t="shared" si="39"/>
        <v>#REF!</v>
      </c>
      <c r="I25" s="19" t="e">
        <f t="shared" si="39"/>
        <v>#REF!</v>
      </c>
      <c r="J25" s="19" t="e">
        <f t="shared" si="39"/>
        <v>#REF!</v>
      </c>
      <c r="K25" s="19" t="e">
        <f t="shared" si="39"/>
        <v>#REF!</v>
      </c>
      <c r="L25" s="16" t="e">
        <f t="shared" si="39"/>
        <v>#REF!</v>
      </c>
      <c r="M25" s="16" t="e">
        <f t="shared" si="39"/>
        <v>#REF!</v>
      </c>
      <c r="AC25" s="8">
        <v>20</v>
      </c>
      <c r="AD25" s="8" t="e">
        <f>($C27*'[1]功能-城建'!EX23)*S$6+AD24</f>
        <v>#REF!</v>
      </c>
      <c r="AE25" s="8" t="e">
        <f>($C27*'[1]功能-城建'!EY23)*T$6+AE24</f>
        <v>#REF!</v>
      </c>
      <c r="AF25" s="8" t="e">
        <f>($C27*'[1]功能-城建'!EZ23)*U$6+AF24</f>
        <v>#REF!</v>
      </c>
      <c r="AG25" s="8" t="e">
        <f>($C27*'[1]功能-城建'!FA23)*V$6+AG24</f>
        <v>#REF!</v>
      </c>
      <c r="AH25" s="8" t="e">
        <f>($C27*'[1]功能-城建'!FB23)*W$6+AH24</f>
        <v>#REF!</v>
      </c>
      <c r="AL25" s="8">
        <v>20</v>
      </c>
      <c r="AM25" s="8" t="e">
        <f>($D27*'[1]功能-城建'!HM23)*S$6+AM24</f>
        <v>#REF!</v>
      </c>
      <c r="AN25" s="8" t="e">
        <f>($D27*'[1]功能-城建'!HN23)*T$6+AN24</f>
        <v>#REF!</v>
      </c>
      <c r="AO25" s="8" t="e">
        <f>($D27*'[1]功能-城建'!HO23)*U$6+AO24</f>
        <v>#REF!</v>
      </c>
      <c r="AP25" s="8" t="e">
        <f>($D27*'[1]功能-城建'!HP23)*V$6+AP24</f>
        <v>#REF!</v>
      </c>
      <c r="AQ25" s="8" t="e">
        <f>($D27*'[1]功能-城建'!HQ23)*W$6+AQ24</f>
        <v>#REF!</v>
      </c>
      <c r="AU25" s="8">
        <v>20</v>
      </c>
      <c r="AV25" s="8" t="e">
        <f>($E27*'[1]功能-城建'!GF23)*S$6+AV24</f>
        <v>#REF!</v>
      </c>
      <c r="AW25" s="8" t="e">
        <f>($E27*'[1]功能-城建'!GG23)*T$6+AW24</f>
        <v>#REF!</v>
      </c>
      <c r="AX25" s="8" t="e">
        <f>($E27*'[1]功能-城建'!GH23)*U$6+AX24</f>
        <v>#REF!</v>
      </c>
      <c r="AY25" s="8" t="e">
        <f>($E27*'[1]功能-城建'!GI23)*V$6+AY24</f>
        <v>#REF!</v>
      </c>
      <c r="AZ25" s="8" t="e">
        <f>($E27*'[1]功能-城建'!GJ23)*W$6+AZ24</f>
        <v>#REF!</v>
      </c>
      <c r="BD25" s="8">
        <v>20</v>
      </c>
      <c r="BE25" s="8" t="e">
        <f t="shared" si="40"/>
        <v>#REF!</v>
      </c>
      <c r="BF25" s="8" t="e">
        <f t="shared" si="40"/>
        <v>#REF!</v>
      </c>
      <c r="BG25" s="8" t="e">
        <f t="shared" si="40"/>
        <v>#REF!</v>
      </c>
      <c r="BH25" s="8" t="e">
        <f t="shared" si="40"/>
        <v>#REF!</v>
      </c>
      <c r="BI25" s="8" t="e">
        <f t="shared" si="40"/>
        <v>#REF!</v>
      </c>
      <c r="BM25" s="8">
        <v>20</v>
      </c>
      <c r="BN25" s="8" t="e">
        <f t="shared" si="41"/>
        <v>#REF!</v>
      </c>
      <c r="BO25" s="8" t="e">
        <f t="shared" si="41"/>
        <v>#REF!</v>
      </c>
      <c r="BP25" s="8" t="e">
        <f t="shared" si="41"/>
        <v>#REF!</v>
      </c>
      <c r="BQ25" s="8" t="e">
        <f t="shared" si="41"/>
        <v>#REF!</v>
      </c>
      <c r="BR25" s="8" t="e">
        <f t="shared" si="41"/>
        <v>#REF!</v>
      </c>
      <c r="BV25" s="8">
        <v>20</v>
      </c>
      <c r="BW25" s="8" t="e">
        <f t="shared" si="42"/>
        <v>#REF!</v>
      </c>
      <c r="BX25" s="8" t="e">
        <f t="shared" si="42"/>
        <v>#REF!</v>
      </c>
      <c r="BY25" s="8" t="e">
        <f t="shared" si="42"/>
        <v>#REF!</v>
      </c>
      <c r="BZ25" s="8" t="e">
        <f t="shared" si="42"/>
        <v>#REF!</v>
      </c>
      <c r="CA25" s="8" t="e">
        <f t="shared" si="42"/>
        <v>#REF!</v>
      </c>
      <c r="CE25" s="8">
        <v>20</v>
      </c>
      <c r="CF25" s="18" t="e">
        <f t="shared" si="11"/>
        <v>#REF!</v>
      </c>
      <c r="CG25" s="18" t="e">
        <f t="shared" si="12"/>
        <v>#REF!</v>
      </c>
      <c r="CH25" s="18" t="e">
        <f t="shared" si="13"/>
        <v>#REF!</v>
      </c>
      <c r="CI25" s="18" t="e">
        <f t="shared" si="14"/>
        <v>#REF!</v>
      </c>
      <c r="CJ25" s="18" t="e">
        <f t="shared" si="15"/>
        <v>#REF!</v>
      </c>
      <c r="CN25" s="8">
        <v>20</v>
      </c>
      <c r="CO25" s="18" t="e">
        <f t="shared" si="16"/>
        <v>#REF!</v>
      </c>
      <c r="CP25" s="18" t="e">
        <f t="shared" si="17"/>
        <v>#REF!</v>
      </c>
      <c r="CQ25" s="18" t="e">
        <f t="shared" si="18"/>
        <v>#REF!</v>
      </c>
      <c r="CR25" s="18" t="e">
        <f t="shared" si="19"/>
        <v>#REF!</v>
      </c>
      <c r="CS25" s="18" t="e">
        <f t="shared" si="20"/>
        <v>#REF!</v>
      </c>
      <c r="CW25" s="8">
        <v>20</v>
      </c>
      <c r="CX25" s="18" t="e">
        <f t="shared" si="21"/>
        <v>#REF!</v>
      </c>
      <c r="CY25" s="18" t="e">
        <f t="shared" si="22"/>
        <v>#REF!</v>
      </c>
      <c r="CZ25" s="18" t="e">
        <f t="shared" si="23"/>
        <v>#REF!</v>
      </c>
      <c r="DA25" s="18" t="e">
        <f t="shared" si="24"/>
        <v>#REF!</v>
      </c>
      <c r="DB25" s="18" t="e">
        <f t="shared" si="25"/>
        <v>#REF!</v>
      </c>
      <c r="DF25" s="8">
        <v>20</v>
      </c>
      <c r="DG25" s="8" t="e">
        <f t="shared" si="26"/>
        <v>#REF!</v>
      </c>
      <c r="DH25" s="8" t="e">
        <f t="shared" si="27"/>
        <v>#REF!</v>
      </c>
      <c r="DI25" s="8" t="e">
        <f t="shared" si="28"/>
        <v>#REF!</v>
      </c>
      <c r="DJ25" s="8" t="e">
        <f t="shared" si="29"/>
        <v>#REF!</v>
      </c>
      <c r="DK25" s="8" t="e">
        <f t="shared" si="30"/>
        <v>#REF!</v>
      </c>
      <c r="DO25" s="8">
        <v>20</v>
      </c>
      <c r="DP25" s="8" t="e">
        <f t="shared" si="31"/>
        <v>#REF!</v>
      </c>
      <c r="DQ25" s="8" t="e">
        <f t="shared" si="32"/>
        <v>#REF!</v>
      </c>
      <c r="DR25" s="8" t="e">
        <f t="shared" si="33"/>
        <v>#REF!</v>
      </c>
      <c r="DS25" s="8" t="e">
        <f t="shared" si="34"/>
        <v>#REF!</v>
      </c>
      <c r="DT25" s="8" t="e">
        <f t="shared" si="35"/>
        <v>#REF!</v>
      </c>
    </row>
    <row r="26" spans="2:124">
      <c r="B26" s="8">
        <v>19</v>
      </c>
      <c r="C26" s="19" t="e">
        <f t="shared" si="38"/>
        <v>#REF!</v>
      </c>
      <c r="D26" s="19" t="e">
        <f t="shared" si="38"/>
        <v>#REF!</v>
      </c>
      <c r="E26" s="19" t="e">
        <f t="shared" si="38"/>
        <v>#REF!</v>
      </c>
      <c r="F26" s="19" t="e">
        <f t="shared" si="38"/>
        <v>#REF!</v>
      </c>
      <c r="G26" s="19" t="e">
        <f t="shared" si="38"/>
        <v>#REF!</v>
      </c>
      <c r="H26" s="19" t="e">
        <f t="shared" si="39"/>
        <v>#REF!</v>
      </c>
      <c r="I26" s="19" t="e">
        <f t="shared" si="39"/>
        <v>#REF!</v>
      </c>
      <c r="J26" s="19" t="e">
        <f t="shared" si="39"/>
        <v>#REF!</v>
      </c>
      <c r="K26" s="19" t="e">
        <f t="shared" si="39"/>
        <v>#REF!</v>
      </c>
      <c r="L26" s="16" t="e">
        <f t="shared" si="39"/>
        <v>#REF!</v>
      </c>
      <c r="M26" s="16" t="e">
        <f t="shared" si="39"/>
        <v>#REF!</v>
      </c>
      <c r="AC26" s="8">
        <v>21</v>
      </c>
      <c r="AD26" s="8" t="e">
        <f>($C28*'[1]功能-城建'!EX24)*S$6+AD25</f>
        <v>#REF!</v>
      </c>
      <c r="AE26" s="8" t="e">
        <f>($C28*'[1]功能-城建'!EY24)*T$6+AE25</f>
        <v>#REF!</v>
      </c>
      <c r="AF26" s="8" t="e">
        <f>($C28*'[1]功能-城建'!EZ24)*U$6+AF25</f>
        <v>#REF!</v>
      </c>
      <c r="AG26" s="8" t="e">
        <f>($C28*'[1]功能-城建'!FA24)*V$6+AG25</f>
        <v>#REF!</v>
      </c>
      <c r="AH26" s="8" t="e">
        <f>($C28*'[1]功能-城建'!FB24)*W$6+AH25</f>
        <v>#REF!</v>
      </c>
      <c r="AL26" s="8">
        <v>21</v>
      </c>
      <c r="AM26" s="8" t="e">
        <f>($D28*'[1]功能-城建'!HM24)*S$6+AM25</f>
        <v>#REF!</v>
      </c>
      <c r="AN26" s="8" t="e">
        <f>($D28*'[1]功能-城建'!HN24)*T$6+AN25</f>
        <v>#REF!</v>
      </c>
      <c r="AO26" s="8" t="e">
        <f>($D28*'[1]功能-城建'!HO24)*U$6+AO25</f>
        <v>#REF!</v>
      </c>
      <c r="AP26" s="8" t="e">
        <f>($D28*'[1]功能-城建'!HP24)*V$6+AP25</f>
        <v>#REF!</v>
      </c>
      <c r="AQ26" s="8" t="e">
        <f>($D28*'[1]功能-城建'!HQ24)*W$6+AQ25</f>
        <v>#REF!</v>
      </c>
      <c r="AU26" s="8">
        <v>21</v>
      </c>
      <c r="AV26" s="8" t="e">
        <f>($E28*'[1]功能-城建'!GF24)*S$6+AV25</f>
        <v>#REF!</v>
      </c>
      <c r="AW26" s="8" t="e">
        <f>($E28*'[1]功能-城建'!GG24)*T$6+AW25</f>
        <v>#REF!</v>
      </c>
      <c r="AX26" s="8" t="e">
        <f>($E28*'[1]功能-城建'!GH24)*U$6+AX25</f>
        <v>#REF!</v>
      </c>
      <c r="AY26" s="8" t="e">
        <f>($E28*'[1]功能-城建'!GI24)*V$6+AY25</f>
        <v>#REF!</v>
      </c>
      <c r="AZ26" s="8" t="e">
        <f>($E28*'[1]功能-城建'!GJ24)*W$6+AZ25</f>
        <v>#REF!</v>
      </c>
      <c r="BD26" s="8">
        <v>21</v>
      </c>
      <c r="BE26" s="8" t="e">
        <f t="shared" si="40"/>
        <v>#REF!</v>
      </c>
      <c r="BF26" s="8" t="e">
        <f t="shared" si="40"/>
        <v>#REF!</v>
      </c>
      <c r="BG26" s="8" t="e">
        <f t="shared" si="40"/>
        <v>#REF!</v>
      </c>
      <c r="BH26" s="8" t="e">
        <f t="shared" si="40"/>
        <v>#REF!</v>
      </c>
      <c r="BI26" s="8" t="e">
        <f t="shared" si="40"/>
        <v>#REF!</v>
      </c>
      <c r="BM26" s="8">
        <v>21</v>
      </c>
      <c r="BN26" s="8" t="e">
        <f t="shared" si="41"/>
        <v>#REF!</v>
      </c>
      <c r="BO26" s="8" t="e">
        <f t="shared" si="41"/>
        <v>#REF!</v>
      </c>
      <c r="BP26" s="8" t="e">
        <f t="shared" si="41"/>
        <v>#REF!</v>
      </c>
      <c r="BQ26" s="8" t="e">
        <f t="shared" si="41"/>
        <v>#REF!</v>
      </c>
      <c r="BR26" s="8" t="e">
        <f t="shared" si="41"/>
        <v>#REF!</v>
      </c>
      <c r="BV26" s="8">
        <v>21</v>
      </c>
      <c r="BW26" s="8" t="e">
        <f t="shared" si="42"/>
        <v>#REF!</v>
      </c>
      <c r="BX26" s="8" t="e">
        <f t="shared" si="42"/>
        <v>#REF!</v>
      </c>
      <c r="BY26" s="8" t="e">
        <f t="shared" si="42"/>
        <v>#REF!</v>
      </c>
      <c r="BZ26" s="8" t="e">
        <f t="shared" si="42"/>
        <v>#REF!</v>
      </c>
      <c r="CA26" s="8" t="e">
        <f t="shared" si="42"/>
        <v>#REF!</v>
      </c>
      <c r="CE26" s="8">
        <v>21</v>
      </c>
      <c r="CF26" s="18" t="e">
        <f t="shared" si="11"/>
        <v>#REF!</v>
      </c>
      <c r="CG26" s="18" t="e">
        <f t="shared" si="12"/>
        <v>#REF!</v>
      </c>
      <c r="CH26" s="18" t="e">
        <f t="shared" si="13"/>
        <v>#REF!</v>
      </c>
      <c r="CI26" s="18" t="e">
        <f t="shared" si="14"/>
        <v>#REF!</v>
      </c>
      <c r="CJ26" s="18" t="e">
        <f t="shared" si="15"/>
        <v>#REF!</v>
      </c>
      <c r="CN26" s="8">
        <v>21</v>
      </c>
      <c r="CO26" s="18" t="e">
        <f t="shared" si="16"/>
        <v>#REF!</v>
      </c>
      <c r="CP26" s="18" t="e">
        <f t="shared" si="17"/>
        <v>#REF!</v>
      </c>
      <c r="CQ26" s="18" t="e">
        <f t="shared" si="18"/>
        <v>#REF!</v>
      </c>
      <c r="CR26" s="18" t="e">
        <f t="shared" si="19"/>
        <v>#REF!</v>
      </c>
      <c r="CS26" s="18" t="e">
        <f t="shared" si="20"/>
        <v>#REF!</v>
      </c>
      <c r="CW26" s="8">
        <v>21</v>
      </c>
      <c r="CX26" s="18" t="e">
        <f t="shared" si="21"/>
        <v>#REF!</v>
      </c>
      <c r="CY26" s="18" t="e">
        <f t="shared" si="22"/>
        <v>#REF!</v>
      </c>
      <c r="CZ26" s="18" t="e">
        <f t="shared" si="23"/>
        <v>#REF!</v>
      </c>
      <c r="DA26" s="18" t="e">
        <f t="shared" si="24"/>
        <v>#REF!</v>
      </c>
      <c r="DB26" s="18" t="e">
        <f t="shared" si="25"/>
        <v>#REF!</v>
      </c>
      <c r="DF26" s="8">
        <v>21</v>
      </c>
      <c r="DG26" s="8" t="e">
        <f t="shared" si="26"/>
        <v>#REF!</v>
      </c>
      <c r="DH26" s="8" t="e">
        <f t="shared" si="27"/>
        <v>#REF!</v>
      </c>
      <c r="DI26" s="8" t="e">
        <f t="shared" si="28"/>
        <v>#REF!</v>
      </c>
      <c r="DJ26" s="8" t="e">
        <f t="shared" si="29"/>
        <v>#REF!</v>
      </c>
      <c r="DK26" s="8" t="e">
        <f t="shared" si="30"/>
        <v>#REF!</v>
      </c>
      <c r="DO26" s="8">
        <v>21</v>
      </c>
      <c r="DP26" s="8" t="e">
        <f t="shared" si="31"/>
        <v>#REF!</v>
      </c>
      <c r="DQ26" s="8" t="e">
        <f t="shared" si="32"/>
        <v>#REF!</v>
      </c>
      <c r="DR26" s="8" t="e">
        <f t="shared" si="33"/>
        <v>#REF!</v>
      </c>
      <c r="DS26" s="8" t="e">
        <f t="shared" si="34"/>
        <v>#REF!</v>
      </c>
      <c r="DT26" s="8" t="e">
        <f t="shared" si="35"/>
        <v>#REF!</v>
      </c>
    </row>
    <row r="27" spans="2:124">
      <c r="B27" s="8">
        <v>20</v>
      </c>
      <c r="C27" s="19" t="e">
        <f t="shared" si="38"/>
        <v>#REF!</v>
      </c>
      <c r="D27" s="19" t="e">
        <f t="shared" si="38"/>
        <v>#REF!</v>
      </c>
      <c r="E27" s="19" t="e">
        <f t="shared" si="38"/>
        <v>#REF!</v>
      </c>
      <c r="F27" s="19" t="e">
        <f t="shared" si="38"/>
        <v>#REF!</v>
      </c>
      <c r="G27" s="19" t="e">
        <f t="shared" si="38"/>
        <v>#REF!</v>
      </c>
      <c r="H27" s="19" t="e">
        <f t="shared" si="39"/>
        <v>#REF!</v>
      </c>
      <c r="I27" s="19" t="e">
        <f t="shared" si="39"/>
        <v>#REF!</v>
      </c>
      <c r="J27" s="19" t="e">
        <f t="shared" si="39"/>
        <v>#REF!</v>
      </c>
      <c r="K27" s="19" t="e">
        <f t="shared" si="39"/>
        <v>#REF!</v>
      </c>
      <c r="L27" s="16" t="e">
        <f t="shared" si="39"/>
        <v>#REF!</v>
      </c>
      <c r="M27" s="16" t="e">
        <f t="shared" si="39"/>
        <v>#REF!</v>
      </c>
      <c r="AC27" s="8">
        <v>22</v>
      </c>
      <c r="AD27" s="8" t="e">
        <f>($C29*'[1]功能-城建'!EX25)*S$6+AD26</f>
        <v>#REF!</v>
      </c>
      <c r="AE27" s="8" t="e">
        <f>($C29*'[1]功能-城建'!EY25)*T$6+AE26</f>
        <v>#REF!</v>
      </c>
      <c r="AF27" s="8" t="e">
        <f>($C29*'[1]功能-城建'!EZ25)*U$6+AF26</f>
        <v>#REF!</v>
      </c>
      <c r="AG27" s="8" t="e">
        <f>($C29*'[1]功能-城建'!FA25)*V$6+AG26</f>
        <v>#REF!</v>
      </c>
      <c r="AH27" s="8" t="e">
        <f>($C29*'[1]功能-城建'!FB25)*W$6+AH26</f>
        <v>#REF!</v>
      </c>
      <c r="AL27" s="8">
        <v>22</v>
      </c>
      <c r="AM27" s="8" t="e">
        <f>($D29*'[1]功能-城建'!HM25)*S$6+AM26</f>
        <v>#REF!</v>
      </c>
      <c r="AN27" s="8" t="e">
        <f>($D29*'[1]功能-城建'!HN25)*T$6+AN26</f>
        <v>#REF!</v>
      </c>
      <c r="AO27" s="8" t="e">
        <f>($D29*'[1]功能-城建'!HO25)*U$6+AO26</f>
        <v>#REF!</v>
      </c>
      <c r="AP27" s="8" t="e">
        <f>($D29*'[1]功能-城建'!HP25)*V$6+AP26</f>
        <v>#REF!</v>
      </c>
      <c r="AQ27" s="8" t="e">
        <f>($D29*'[1]功能-城建'!HQ25)*W$6+AQ26</f>
        <v>#REF!</v>
      </c>
      <c r="AU27" s="8">
        <v>22</v>
      </c>
      <c r="AV27" s="8" t="e">
        <f>($E29*'[1]功能-城建'!GF25)*S$6+AV26</f>
        <v>#REF!</v>
      </c>
      <c r="AW27" s="8" t="e">
        <f>($E29*'[1]功能-城建'!GG25)*T$6+AW26</f>
        <v>#REF!</v>
      </c>
      <c r="AX27" s="8" t="e">
        <f>($E29*'[1]功能-城建'!GH25)*U$6+AX26</f>
        <v>#REF!</v>
      </c>
      <c r="AY27" s="8" t="e">
        <f>($E29*'[1]功能-城建'!GI25)*V$6+AY26</f>
        <v>#REF!</v>
      </c>
      <c r="AZ27" s="8" t="e">
        <f>($E29*'[1]功能-城建'!GJ25)*W$6+AZ26</f>
        <v>#REF!</v>
      </c>
      <c r="BD27" s="8">
        <v>22</v>
      </c>
      <c r="BE27" s="8" t="e">
        <f t="shared" si="40"/>
        <v>#REF!</v>
      </c>
      <c r="BF27" s="8" t="e">
        <f t="shared" si="40"/>
        <v>#REF!</v>
      </c>
      <c r="BG27" s="8" t="e">
        <f t="shared" si="40"/>
        <v>#REF!</v>
      </c>
      <c r="BH27" s="8" t="e">
        <f t="shared" si="40"/>
        <v>#REF!</v>
      </c>
      <c r="BI27" s="8" t="e">
        <f t="shared" si="40"/>
        <v>#REF!</v>
      </c>
      <c r="BM27" s="8">
        <v>22</v>
      </c>
      <c r="BN27" s="8" t="e">
        <f t="shared" si="41"/>
        <v>#REF!</v>
      </c>
      <c r="BO27" s="8" t="e">
        <f t="shared" si="41"/>
        <v>#REF!</v>
      </c>
      <c r="BP27" s="8" t="e">
        <f t="shared" si="41"/>
        <v>#REF!</v>
      </c>
      <c r="BQ27" s="8" t="e">
        <f t="shared" si="41"/>
        <v>#REF!</v>
      </c>
      <c r="BR27" s="8" t="e">
        <f t="shared" si="41"/>
        <v>#REF!</v>
      </c>
      <c r="BV27" s="8">
        <v>22</v>
      </c>
      <c r="BW27" s="8" t="e">
        <f t="shared" si="42"/>
        <v>#REF!</v>
      </c>
      <c r="BX27" s="8" t="e">
        <f t="shared" si="42"/>
        <v>#REF!</v>
      </c>
      <c r="BY27" s="8" t="e">
        <f t="shared" si="42"/>
        <v>#REF!</v>
      </c>
      <c r="BZ27" s="8" t="e">
        <f t="shared" si="42"/>
        <v>#REF!</v>
      </c>
      <c r="CA27" s="8" t="e">
        <f t="shared" si="42"/>
        <v>#REF!</v>
      </c>
      <c r="CE27" s="8">
        <v>22</v>
      </c>
      <c r="CF27" s="18" t="e">
        <f t="shared" si="11"/>
        <v>#REF!</v>
      </c>
      <c r="CG27" s="18" t="e">
        <f t="shared" si="12"/>
        <v>#REF!</v>
      </c>
      <c r="CH27" s="18" t="e">
        <f t="shared" si="13"/>
        <v>#REF!</v>
      </c>
      <c r="CI27" s="18" t="e">
        <f t="shared" si="14"/>
        <v>#REF!</v>
      </c>
      <c r="CJ27" s="18" t="e">
        <f t="shared" si="15"/>
        <v>#REF!</v>
      </c>
      <c r="CN27" s="8">
        <v>22</v>
      </c>
      <c r="CO27" s="18" t="e">
        <f t="shared" si="16"/>
        <v>#REF!</v>
      </c>
      <c r="CP27" s="18" t="e">
        <f t="shared" si="17"/>
        <v>#REF!</v>
      </c>
      <c r="CQ27" s="18" t="e">
        <f t="shared" si="18"/>
        <v>#REF!</v>
      </c>
      <c r="CR27" s="18" t="e">
        <f t="shared" si="19"/>
        <v>#REF!</v>
      </c>
      <c r="CS27" s="18" t="e">
        <f t="shared" si="20"/>
        <v>#REF!</v>
      </c>
      <c r="CW27" s="8">
        <v>22</v>
      </c>
      <c r="CX27" s="18" t="e">
        <f t="shared" si="21"/>
        <v>#REF!</v>
      </c>
      <c r="CY27" s="18" t="e">
        <f t="shared" si="22"/>
        <v>#REF!</v>
      </c>
      <c r="CZ27" s="18" t="e">
        <f t="shared" si="23"/>
        <v>#REF!</v>
      </c>
      <c r="DA27" s="18" t="e">
        <f t="shared" si="24"/>
        <v>#REF!</v>
      </c>
      <c r="DB27" s="18" t="e">
        <f t="shared" si="25"/>
        <v>#REF!</v>
      </c>
      <c r="DF27" s="8">
        <v>22</v>
      </c>
      <c r="DG27" s="8" t="e">
        <f t="shared" si="26"/>
        <v>#REF!</v>
      </c>
      <c r="DH27" s="8" t="e">
        <f t="shared" si="27"/>
        <v>#REF!</v>
      </c>
      <c r="DI27" s="8" t="e">
        <f t="shared" si="28"/>
        <v>#REF!</v>
      </c>
      <c r="DJ27" s="8" t="e">
        <f t="shared" si="29"/>
        <v>#REF!</v>
      </c>
      <c r="DK27" s="8" t="e">
        <f t="shared" si="30"/>
        <v>#REF!</v>
      </c>
      <c r="DO27" s="8">
        <v>22</v>
      </c>
      <c r="DP27" s="8" t="e">
        <f t="shared" si="31"/>
        <v>#REF!</v>
      </c>
      <c r="DQ27" s="8" t="e">
        <f t="shared" si="32"/>
        <v>#REF!</v>
      </c>
      <c r="DR27" s="8" t="e">
        <f t="shared" si="33"/>
        <v>#REF!</v>
      </c>
      <c r="DS27" s="8" t="e">
        <f t="shared" si="34"/>
        <v>#REF!</v>
      </c>
      <c r="DT27" s="8" t="e">
        <f t="shared" si="35"/>
        <v>#REF!</v>
      </c>
    </row>
    <row r="28" spans="2:124">
      <c r="B28" s="8">
        <v>21</v>
      </c>
      <c r="C28" s="19" t="e">
        <f t="shared" si="38"/>
        <v>#REF!</v>
      </c>
      <c r="D28" s="19" t="e">
        <f t="shared" si="38"/>
        <v>#REF!</v>
      </c>
      <c r="E28" s="19" t="e">
        <f t="shared" si="38"/>
        <v>#REF!</v>
      </c>
      <c r="F28" s="19" t="e">
        <f t="shared" si="38"/>
        <v>#REF!</v>
      </c>
      <c r="G28" s="19" t="e">
        <f t="shared" si="38"/>
        <v>#REF!</v>
      </c>
      <c r="H28" s="19" t="e">
        <f t="shared" si="39"/>
        <v>#REF!</v>
      </c>
      <c r="I28" s="19" t="e">
        <f t="shared" si="39"/>
        <v>#REF!</v>
      </c>
      <c r="J28" s="19" t="e">
        <f t="shared" si="39"/>
        <v>#REF!</v>
      </c>
      <c r="K28" s="19" t="e">
        <f t="shared" si="39"/>
        <v>#REF!</v>
      </c>
      <c r="L28" s="16" t="e">
        <f t="shared" si="39"/>
        <v>#REF!</v>
      </c>
      <c r="M28" s="16" t="e">
        <f t="shared" si="39"/>
        <v>#REF!</v>
      </c>
      <c r="AC28" s="8">
        <v>23</v>
      </c>
      <c r="AD28" s="8" t="e">
        <f>($C30*'[1]功能-城建'!EX26)*S$6+AD27</f>
        <v>#REF!</v>
      </c>
      <c r="AE28" s="8" t="e">
        <f>($C30*'[1]功能-城建'!EY26)*T$6+AE27</f>
        <v>#REF!</v>
      </c>
      <c r="AF28" s="8" t="e">
        <f>($C30*'[1]功能-城建'!EZ26)*U$6+AF27</f>
        <v>#REF!</v>
      </c>
      <c r="AG28" s="8" t="e">
        <f>($C30*'[1]功能-城建'!FA26)*V$6+AG27</f>
        <v>#REF!</v>
      </c>
      <c r="AH28" s="8" t="e">
        <f>($C30*'[1]功能-城建'!FB26)*W$6+AH27</f>
        <v>#REF!</v>
      </c>
      <c r="AL28" s="8">
        <v>23</v>
      </c>
      <c r="AM28" s="8" t="e">
        <f>($D30*'[1]功能-城建'!HM26)*S$6+AM27</f>
        <v>#REF!</v>
      </c>
      <c r="AN28" s="8" t="e">
        <f>($D30*'[1]功能-城建'!HN26)*T$6+AN27</f>
        <v>#REF!</v>
      </c>
      <c r="AO28" s="8" t="e">
        <f>($D30*'[1]功能-城建'!HO26)*U$6+AO27</f>
        <v>#REF!</v>
      </c>
      <c r="AP28" s="8" t="e">
        <f>($D30*'[1]功能-城建'!HP26)*V$6+AP27</f>
        <v>#REF!</v>
      </c>
      <c r="AQ28" s="8" t="e">
        <f>($D30*'[1]功能-城建'!HQ26)*W$6+AQ27</f>
        <v>#REF!</v>
      </c>
      <c r="AU28" s="8">
        <v>23</v>
      </c>
      <c r="AV28" s="8" t="e">
        <f>($E30*'[1]功能-城建'!GF26)*S$6+AV27</f>
        <v>#REF!</v>
      </c>
      <c r="AW28" s="8" t="e">
        <f>($E30*'[1]功能-城建'!GG26)*T$6+AW27</f>
        <v>#REF!</v>
      </c>
      <c r="AX28" s="8" t="e">
        <f>($E30*'[1]功能-城建'!GH26)*U$6+AX27</f>
        <v>#REF!</v>
      </c>
      <c r="AY28" s="8" t="e">
        <f>($E30*'[1]功能-城建'!GI26)*V$6+AY27</f>
        <v>#REF!</v>
      </c>
      <c r="AZ28" s="8" t="e">
        <f>($E30*'[1]功能-城建'!GJ26)*W$6+AZ27</f>
        <v>#REF!</v>
      </c>
      <c r="BD28" s="8">
        <v>23</v>
      </c>
      <c r="BE28" s="8" t="e">
        <f t="shared" si="40"/>
        <v>#REF!</v>
      </c>
      <c r="BF28" s="8" t="e">
        <f t="shared" si="40"/>
        <v>#REF!</v>
      </c>
      <c r="BG28" s="8" t="e">
        <f t="shared" si="40"/>
        <v>#REF!</v>
      </c>
      <c r="BH28" s="8" t="e">
        <f t="shared" si="40"/>
        <v>#REF!</v>
      </c>
      <c r="BI28" s="8" t="e">
        <f t="shared" si="40"/>
        <v>#REF!</v>
      </c>
      <c r="BM28" s="8">
        <v>23</v>
      </c>
      <c r="BN28" s="8" t="e">
        <f t="shared" si="41"/>
        <v>#REF!</v>
      </c>
      <c r="BO28" s="8" t="e">
        <f t="shared" si="41"/>
        <v>#REF!</v>
      </c>
      <c r="BP28" s="8" t="e">
        <f t="shared" si="41"/>
        <v>#REF!</v>
      </c>
      <c r="BQ28" s="8" t="e">
        <f t="shared" si="41"/>
        <v>#REF!</v>
      </c>
      <c r="BR28" s="8" t="e">
        <f t="shared" si="41"/>
        <v>#REF!</v>
      </c>
      <c r="BV28" s="8">
        <v>23</v>
      </c>
      <c r="BW28" s="8" t="e">
        <f t="shared" si="42"/>
        <v>#REF!</v>
      </c>
      <c r="BX28" s="8" t="e">
        <f t="shared" si="42"/>
        <v>#REF!</v>
      </c>
      <c r="BY28" s="8" t="e">
        <f t="shared" si="42"/>
        <v>#REF!</v>
      </c>
      <c r="BZ28" s="8" t="e">
        <f t="shared" si="42"/>
        <v>#REF!</v>
      </c>
      <c r="CA28" s="8" t="e">
        <f t="shared" si="42"/>
        <v>#REF!</v>
      </c>
      <c r="CE28" s="8">
        <v>23</v>
      </c>
      <c r="CF28" s="18" t="e">
        <f t="shared" si="11"/>
        <v>#REF!</v>
      </c>
      <c r="CG28" s="18" t="e">
        <f t="shared" si="12"/>
        <v>#REF!</v>
      </c>
      <c r="CH28" s="18" t="e">
        <f t="shared" si="13"/>
        <v>#REF!</v>
      </c>
      <c r="CI28" s="18" t="e">
        <f t="shared" si="14"/>
        <v>#REF!</v>
      </c>
      <c r="CJ28" s="18" t="e">
        <f t="shared" si="15"/>
        <v>#REF!</v>
      </c>
      <c r="CN28" s="8">
        <v>23</v>
      </c>
      <c r="CO28" s="18" t="e">
        <f t="shared" si="16"/>
        <v>#REF!</v>
      </c>
      <c r="CP28" s="18" t="e">
        <f t="shared" si="17"/>
        <v>#REF!</v>
      </c>
      <c r="CQ28" s="18" t="e">
        <f t="shared" si="18"/>
        <v>#REF!</v>
      </c>
      <c r="CR28" s="18" t="e">
        <f t="shared" si="19"/>
        <v>#REF!</v>
      </c>
      <c r="CS28" s="18" t="e">
        <f t="shared" si="20"/>
        <v>#REF!</v>
      </c>
      <c r="CW28" s="8">
        <v>23</v>
      </c>
      <c r="CX28" s="18" t="e">
        <f t="shared" si="21"/>
        <v>#REF!</v>
      </c>
      <c r="CY28" s="18" t="e">
        <f t="shared" si="22"/>
        <v>#REF!</v>
      </c>
      <c r="CZ28" s="18" t="e">
        <f t="shared" si="23"/>
        <v>#REF!</v>
      </c>
      <c r="DA28" s="18" t="e">
        <f t="shared" si="24"/>
        <v>#REF!</v>
      </c>
      <c r="DB28" s="18" t="e">
        <f t="shared" si="25"/>
        <v>#REF!</v>
      </c>
      <c r="DF28" s="8">
        <v>23</v>
      </c>
      <c r="DG28" s="8" t="e">
        <f t="shared" si="26"/>
        <v>#REF!</v>
      </c>
      <c r="DH28" s="8" t="e">
        <f t="shared" si="27"/>
        <v>#REF!</v>
      </c>
      <c r="DI28" s="8" t="e">
        <f t="shared" si="28"/>
        <v>#REF!</v>
      </c>
      <c r="DJ28" s="8" t="e">
        <f t="shared" si="29"/>
        <v>#REF!</v>
      </c>
      <c r="DK28" s="8" t="e">
        <f t="shared" si="30"/>
        <v>#REF!</v>
      </c>
      <c r="DO28" s="8">
        <v>23</v>
      </c>
      <c r="DP28" s="8" t="e">
        <f t="shared" si="31"/>
        <v>#REF!</v>
      </c>
      <c r="DQ28" s="8" t="e">
        <f t="shared" si="32"/>
        <v>#REF!</v>
      </c>
      <c r="DR28" s="8" t="e">
        <f t="shared" si="33"/>
        <v>#REF!</v>
      </c>
      <c r="DS28" s="8" t="e">
        <f t="shared" si="34"/>
        <v>#REF!</v>
      </c>
      <c r="DT28" s="8" t="e">
        <f t="shared" si="35"/>
        <v>#REF!</v>
      </c>
    </row>
    <row r="29" spans="2:124">
      <c r="B29" s="8">
        <v>22</v>
      </c>
      <c r="C29" s="19" t="e">
        <f t="shared" si="38"/>
        <v>#REF!</v>
      </c>
      <c r="D29" s="19" t="e">
        <f t="shared" si="38"/>
        <v>#REF!</v>
      </c>
      <c r="E29" s="19" t="e">
        <f t="shared" si="38"/>
        <v>#REF!</v>
      </c>
      <c r="F29" s="19" t="e">
        <f t="shared" si="38"/>
        <v>#REF!</v>
      </c>
      <c r="G29" s="19" t="e">
        <f t="shared" si="38"/>
        <v>#REF!</v>
      </c>
      <c r="H29" s="19" t="e">
        <f t="shared" si="39"/>
        <v>#REF!</v>
      </c>
      <c r="I29" s="19" t="e">
        <f t="shared" si="39"/>
        <v>#REF!</v>
      </c>
      <c r="J29" s="19" t="e">
        <f t="shared" si="39"/>
        <v>#REF!</v>
      </c>
      <c r="K29" s="19" t="e">
        <f t="shared" si="39"/>
        <v>#REF!</v>
      </c>
      <c r="L29" s="16" t="e">
        <f t="shared" si="39"/>
        <v>#REF!</v>
      </c>
      <c r="M29" s="16" t="e">
        <f t="shared" si="39"/>
        <v>#REF!</v>
      </c>
      <c r="AC29" s="8">
        <v>24</v>
      </c>
      <c r="AD29" s="8" t="e">
        <f>($C31*'[1]功能-城建'!EX27)*S$6+AD28</f>
        <v>#REF!</v>
      </c>
      <c r="AE29" s="8" t="e">
        <f>($C31*'[1]功能-城建'!EY27)*T$6+AE28</f>
        <v>#REF!</v>
      </c>
      <c r="AF29" s="8" t="e">
        <f>($C31*'[1]功能-城建'!EZ27)*U$6+AF28</f>
        <v>#REF!</v>
      </c>
      <c r="AG29" s="8" t="e">
        <f>($C31*'[1]功能-城建'!FA27)*V$6+AG28</f>
        <v>#REF!</v>
      </c>
      <c r="AH29" s="8" t="e">
        <f>($C31*'[1]功能-城建'!FB27)*W$6+AH28</f>
        <v>#REF!</v>
      </c>
      <c r="AL29" s="8">
        <v>24</v>
      </c>
      <c r="AM29" s="8" t="e">
        <f>($D31*'[1]功能-城建'!HM27)*S$6+AM28</f>
        <v>#REF!</v>
      </c>
      <c r="AN29" s="8" t="e">
        <f>($D31*'[1]功能-城建'!HN27)*T$6+AN28</f>
        <v>#REF!</v>
      </c>
      <c r="AO29" s="8" t="e">
        <f>($D31*'[1]功能-城建'!HO27)*U$6+AO28</f>
        <v>#REF!</v>
      </c>
      <c r="AP29" s="8" t="e">
        <f>($D31*'[1]功能-城建'!HP27)*V$6+AP28</f>
        <v>#REF!</v>
      </c>
      <c r="AQ29" s="8" t="e">
        <f>($D31*'[1]功能-城建'!HQ27)*W$6+AQ28</f>
        <v>#REF!</v>
      </c>
      <c r="AU29" s="8">
        <v>24</v>
      </c>
      <c r="AV29" s="8" t="e">
        <f>($E31*'[1]功能-城建'!GF27)*S$6+AV28</f>
        <v>#REF!</v>
      </c>
      <c r="AW29" s="8" t="e">
        <f>($E31*'[1]功能-城建'!GG27)*T$6+AW28</f>
        <v>#REF!</v>
      </c>
      <c r="AX29" s="8" t="e">
        <f>($E31*'[1]功能-城建'!GH27)*U$6+AX28</f>
        <v>#REF!</v>
      </c>
      <c r="AY29" s="8" t="e">
        <f>($E31*'[1]功能-城建'!GI27)*V$6+AY28</f>
        <v>#REF!</v>
      </c>
      <c r="AZ29" s="8" t="e">
        <f>($E31*'[1]功能-城建'!GJ27)*W$6+AZ28</f>
        <v>#REF!</v>
      </c>
      <c r="BD29" s="8">
        <v>24</v>
      </c>
      <c r="BE29" s="8" t="e">
        <f t="shared" si="40"/>
        <v>#REF!</v>
      </c>
      <c r="BF29" s="8" t="e">
        <f t="shared" si="40"/>
        <v>#REF!</v>
      </c>
      <c r="BG29" s="8" t="e">
        <f t="shared" si="40"/>
        <v>#REF!</v>
      </c>
      <c r="BH29" s="8" t="e">
        <f t="shared" si="40"/>
        <v>#REF!</v>
      </c>
      <c r="BI29" s="8" t="e">
        <f t="shared" si="40"/>
        <v>#REF!</v>
      </c>
      <c r="BM29" s="8">
        <v>24</v>
      </c>
      <c r="BN29" s="8" t="e">
        <f t="shared" si="41"/>
        <v>#REF!</v>
      </c>
      <c r="BO29" s="8" t="e">
        <f t="shared" si="41"/>
        <v>#REF!</v>
      </c>
      <c r="BP29" s="8" t="e">
        <f t="shared" si="41"/>
        <v>#REF!</v>
      </c>
      <c r="BQ29" s="8" t="e">
        <f t="shared" si="41"/>
        <v>#REF!</v>
      </c>
      <c r="BR29" s="8" t="e">
        <f t="shared" si="41"/>
        <v>#REF!</v>
      </c>
      <c r="BV29" s="8">
        <v>24</v>
      </c>
      <c r="BW29" s="8" t="e">
        <f t="shared" si="42"/>
        <v>#REF!</v>
      </c>
      <c r="BX29" s="8" t="e">
        <f t="shared" si="42"/>
        <v>#REF!</v>
      </c>
      <c r="BY29" s="8" t="e">
        <f t="shared" si="42"/>
        <v>#REF!</v>
      </c>
      <c r="BZ29" s="8" t="e">
        <f t="shared" si="42"/>
        <v>#REF!</v>
      </c>
      <c r="CA29" s="8" t="e">
        <f t="shared" si="42"/>
        <v>#REF!</v>
      </c>
      <c r="CE29" s="8">
        <v>24</v>
      </c>
      <c r="CF29" s="18" t="e">
        <f t="shared" si="11"/>
        <v>#REF!</v>
      </c>
      <c r="CG29" s="18" t="e">
        <f t="shared" si="12"/>
        <v>#REF!</v>
      </c>
      <c r="CH29" s="18" t="e">
        <f t="shared" si="13"/>
        <v>#REF!</v>
      </c>
      <c r="CI29" s="18" t="e">
        <f t="shared" si="14"/>
        <v>#REF!</v>
      </c>
      <c r="CJ29" s="18" t="e">
        <f t="shared" si="15"/>
        <v>#REF!</v>
      </c>
      <c r="CN29" s="8">
        <v>24</v>
      </c>
      <c r="CO29" s="18" t="e">
        <f t="shared" si="16"/>
        <v>#REF!</v>
      </c>
      <c r="CP29" s="18" t="e">
        <f t="shared" si="17"/>
        <v>#REF!</v>
      </c>
      <c r="CQ29" s="18" t="e">
        <f t="shared" si="18"/>
        <v>#REF!</v>
      </c>
      <c r="CR29" s="18" t="e">
        <f t="shared" si="19"/>
        <v>#REF!</v>
      </c>
      <c r="CS29" s="18" t="e">
        <f t="shared" si="20"/>
        <v>#REF!</v>
      </c>
      <c r="CW29" s="8">
        <v>24</v>
      </c>
      <c r="CX29" s="18" t="e">
        <f t="shared" si="21"/>
        <v>#REF!</v>
      </c>
      <c r="CY29" s="18" t="e">
        <f t="shared" si="22"/>
        <v>#REF!</v>
      </c>
      <c r="CZ29" s="18" t="e">
        <f t="shared" si="23"/>
        <v>#REF!</v>
      </c>
      <c r="DA29" s="18" t="e">
        <f t="shared" si="24"/>
        <v>#REF!</v>
      </c>
      <c r="DB29" s="18" t="e">
        <f t="shared" si="25"/>
        <v>#REF!</v>
      </c>
      <c r="DF29" s="8">
        <v>24</v>
      </c>
      <c r="DG29" s="8" t="e">
        <f t="shared" si="26"/>
        <v>#REF!</v>
      </c>
      <c r="DH29" s="8" t="e">
        <f t="shared" si="27"/>
        <v>#REF!</v>
      </c>
      <c r="DI29" s="8" t="e">
        <f t="shared" si="28"/>
        <v>#REF!</v>
      </c>
      <c r="DJ29" s="8" t="e">
        <f t="shared" si="29"/>
        <v>#REF!</v>
      </c>
      <c r="DK29" s="8" t="e">
        <f t="shared" si="30"/>
        <v>#REF!</v>
      </c>
      <c r="DO29" s="8">
        <v>24</v>
      </c>
      <c r="DP29" s="8" t="e">
        <f t="shared" si="31"/>
        <v>#REF!</v>
      </c>
      <c r="DQ29" s="8" t="e">
        <f t="shared" si="32"/>
        <v>#REF!</v>
      </c>
      <c r="DR29" s="8" t="e">
        <f t="shared" si="33"/>
        <v>#REF!</v>
      </c>
      <c r="DS29" s="8" t="e">
        <f t="shared" si="34"/>
        <v>#REF!</v>
      </c>
      <c r="DT29" s="8" t="e">
        <f t="shared" si="35"/>
        <v>#REF!</v>
      </c>
    </row>
    <row r="30" spans="2:124">
      <c r="B30" s="8">
        <v>23</v>
      </c>
      <c r="C30" s="19" t="e">
        <f t="shared" si="38"/>
        <v>#REF!</v>
      </c>
      <c r="D30" s="19" t="e">
        <f t="shared" si="38"/>
        <v>#REF!</v>
      </c>
      <c r="E30" s="19" t="e">
        <f t="shared" si="38"/>
        <v>#REF!</v>
      </c>
      <c r="F30" s="19" t="e">
        <f t="shared" si="38"/>
        <v>#REF!</v>
      </c>
      <c r="G30" s="19" t="e">
        <f t="shared" si="38"/>
        <v>#REF!</v>
      </c>
      <c r="H30" s="19" t="e">
        <f t="shared" si="39"/>
        <v>#REF!</v>
      </c>
      <c r="I30" s="19" t="e">
        <f t="shared" si="39"/>
        <v>#REF!</v>
      </c>
      <c r="J30" s="19" t="e">
        <f t="shared" si="39"/>
        <v>#REF!</v>
      </c>
      <c r="K30" s="19" t="e">
        <f t="shared" si="39"/>
        <v>#REF!</v>
      </c>
      <c r="L30" s="16" t="e">
        <f t="shared" si="39"/>
        <v>#REF!</v>
      </c>
      <c r="M30" s="16" t="e">
        <f t="shared" si="39"/>
        <v>#REF!</v>
      </c>
      <c r="AC30" s="8">
        <v>25</v>
      </c>
      <c r="AD30" s="8" t="e">
        <f>($C32*'[1]功能-城建'!EX28)*S$6+AD29</f>
        <v>#REF!</v>
      </c>
      <c r="AE30" s="8" t="e">
        <f>($C32*'[1]功能-城建'!EY28)*T$6+AE29</f>
        <v>#REF!</v>
      </c>
      <c r="AF30" s="8" t="e">
        <f>($C32*'[1]功能-城建'!EZ28)*U$6+AF29</f>
        <v>#REF!</v>
      </c>
      <c r="AG30" s="8" t="e">
        <f>($C32*'[1]功能-城建'!FA28)*V$6+AG29</f>
        <v>#REF!</v>
      </c>
      <c r="AH30" s="8" t="e">
        <f>($C32*'[1]功能-城建'!FB28)*W$6+AH29</f>
        <v>#REF!</v>
      </c>
      <c r="AL30" s="8">
        <v>25</v>
      </c>
      <c r="AM30" s="8" t="e">
        <f>($D32*'[1]功能-城建'!HM28)*S$6+AM29</f>
        <v>#REF!</v>
      </c>
      <c r="AN30" s="8" t="e">
        <f>($D32*'[1]功能-城建'!HN28)*T$6+AN29</f>
        <v>#REF!</v>
      </c>
      <c r="AO30" s="8" t="e">
        <f>($D32*'[1]功能-城建'!HO28)*U$6+AO29</f>
        <v>#REF!</v>
      </c>
      <c r="AP30" s="8" t="e">
        <f>($D32*'[1]功能-城建'!HP28)*V$6+AP29</f>
        <v>#REF!</v>
      </c>
      <c r="AQ30" s="8" t="e">
        <f>($D32*'[1]功能-城建'!HQ28)*W$6+AQ29</f>
        <v>#REF!</v>
      </c>
      <c r="AU30" s="8">
        <v>25</v>
      </c>
      <c r="AV30" s="8" t="e">
        <f>($E32*'[1]功能-城建'!GF28)*S$6+AV29</f>
        <v>#REF!</v>
      </c>
      <c r="AW30" s="8" t="e">
        <f>($E32*'[1]功能-城建'!GG28)*T$6+AW29</f>
        <v>#REF!</v>
      </c>
      <c r="AX30" s="8" t="e">
        <f>($E32*'[1]功能-城建'!GH28)*U$6+AX29</f>
        <v>#REF!</v>
      </c>
      <c r="AY30" s="8" t="e">
        <f>($E32*'[1]功能-城建'!GI28)*V$6+AY29</f>
        <v>#REF!</v>
      </c>
      <c r="AZ30" s="8" t="e">
        <f>($E32*'[1]功能-城建'!GJ28)*W$6+AZ29</f>
        <v>#REF!</v>
      </c>
      <c r="BD30" s="8">
        <v>25</v>
      </c>
      <c r="BE30" s="8" t="e">
        <f t="shared" si="40"/>
        <v>#REF!</v>
      </c>
      <c r="BF30" s="8" t="e">
        <f t="shared" si="40"/>
        <v>#REF!</v>
      </c>
      <c r="BG30" s="8" t="e">
        <f t="shared" si="40"/>
        <v>#REF!</v>
      </c>
      <c r="BH30" s="8" t="e">
        <f t="shared" si="40"/>
        <v>#REF!</v>
      </c>
      <c r="BI30" s="8" t="e">
        <f t="shared" si="40"/>
        <v>#REF!</v>
      </c>
      <c r="BM30" s="8">
        <v>25</v>
      </c>
      <c r="BN30" s="8" t="e">
        <f t="shared" si="41"/>
        <v>#REF!</v>
      </c>
      <c r="BO30" s="8" t="e">
        <f t="shared" si="41"/>
        <v>#REF!</v>
      </c>
      <c r="BP30" s="8" t="e">
        <f t="shared" si="41"/>
        <v>#REF!</v>
      </c>
      <c r="BQ30" s="8" t="e">
        <f t="shared" si="41"/>
        <v>#REF!</v>
      </c>
      <c r="BR30" s="8" t="e">
        <f t="shared" si="41"/>
        <v>#REF!</v>
      </c>
      <c r="BV30" s="8">
        <v>25</v>
      </c>
      <c r="BW30" s="8" t="e">
        <f t="shared" si="42"/>
        <v>#REF!</v>
      </c>
      <c r="BX30" s="8" t="e">
        <f t="shared" si="42"/>
        <v>#REF!</v>
      </c>
      <c r="BY30" s="8" t="e">
        <f t="shared" si="42"/>
        <v>#REF!</v>
      </c>
      <c r="BZ30" s="8" t="e">
        <f t="shared" si="42"/>
        <v>#REF!</v>
      </c>
      <c r="CA30" s="8" t="e">
        <f t="shared" si="42"/>
        <v>#REF!</v>
      </c>
      <c r="CE30" s="8">
        <v>25</v>
      </c>
      <c r="CF30" s="18" t="e">
        <f t="shared" si="11"/>
        <v>#REF!</v>
      </c>
      <c r="CG30" s="18" t="e">
        <f t="shared" si="12"/>
        <v>#REF!</v>
      </c>
      <c r="CH30" s="18" t="e">
        <f t="shared" si="13"/>
        <v>#REF!</v>
      </c>
      <c r="CI30" s="18" t="e">
        <f t="shared" si="14"/>
        <v>#REF!</v>
      </c>
      <c r="CJ30" s="18" t="e">
        <f t="shared" si="15"/>
        <v>#REF!</v>
      </c>
      <c r="CN30" s="8">
        <v>25</v>
      </c>
      <c r="CO30" s="18" t="e">
        <f t="shared" si="16"/>
        <v>#REF!</v>
      </c>
      <c r="CP30" s="18" t="e">
        <f t="shared" si="17"/>
        <v>#REF!</v>
      </c>
      <c r="CQ30" s="18" t="e">
        <f t="shared" si="18"/>
        <v>#REF!</v>
      </c>
      <c r="CR30" s="18" t="e">
        <f t="shared" si="19"/>
        <v>#REF!</v>
      </c>
      <c r="CS30" s="18" t="e">
        <f t="shared" si="20"/>
        <v>#REF!</v>
      </c>
      <c r="CW30" s="8">
        <v>25</v>
      </c>
      <c r="CX30" s="18" t="e">
        <f t="shared" si="21"/>
        <v>#REF!</v>
      </c>
      <c r="CY30" s="18" t="e">
        <f t="shared" si="22"/>
        <v>#REF!</v>
      </c>
      <c r="CZ30" s="18" t="e">
        <f t="shared" si="23"/>
        <v>#REF!</v>
      </c>
      <c r="DA30" s="18" t="e">
        <f t="shared" si="24"/>
        <v>#REF!</v>
      </c>
      <c r="DB30" s="18" t="e">
        <f t="shared" si="25"/>
        <v>#REF!</v>
      </c>
      <c r="DF30" s="8">
        <v>25</v>
      </c>
      <c r="DG30" s="8" t="e">
        <f t="shared" si="26"/>
        <v>#REF!</v>
      </c>
      <c r="DH30" s="8" t="e">
        <f t="shared" si="27"/>
        <v>#REF!</v>
      </c>
      <c r="DI30" s="8" t="e">
        <f t="shared" si="28"/>
        <v>#REF!</v>
      </c>
      <c r="DJ30" s="8" t="e">
        <f t="shared" si="29"/>
        <v>#REF!</v>
      </c>
      <c r="DK30" s="8" t="e">
        <f t="shared" si="30"/>
        <v>#REF!</v>
      </c>
      <c r="DO30" s="8">
        <v>25</v>
      </c>
      <c r="DP30" s="8" t="e">
        <f t="shared" si="31"/>
        <v>#REF!</v>
      </c>
      <c r="DQ30" s="8" t="e">
        <f t="shared" si="32"/>
        <v>#REF!</v>
      </c>
      <c r="DR30" s="8" t="e">
        <f t="shared" si="33"/>
        <v>#REF!</v>
      </c>
      <c r="DS30" s="8" t="e">
        <f t="shared" si="34"/>
        <v>#REF!</v>
      </c>
      <c r="DT30" s="8" t="e">
        <f t="shared" si="35"/>
        <v>#REF!</v>
      </c>
    </row>
    <row r="31" spans="2:124">
      <c r="B31" s="8">
        <v>24</v>
      </c>
      <c r="C31" s="19" t="e">
        <f t="shared" si="38"/>
        <v>#REF!</v>
      </c>
      <c r="D31" s="19" t="e">
        <f t="shared" si="38"/>
        <v>#REF!</v>
      </c>
      <c r="E31" s="19" t="e">
        <f t="shared" si="38"/>
        <v>#REF!</v>
      </c>
      <c r="F31" s="19" t="e">
        <f t="shared" si="38"/>
        <v>#REF!</v>
      </c>
      <c r="G31" s="19" t="e">
        <f t="shared" si="38"/>
        <v>#REF!</v>
      </c>
      <c r="H31" s="19" t="e">
        <f t="shared" si="39"/>
        <v>#REF!</v>
      </c>
      <c r="I31" s="19" t="e">
        <f t="shared" si="39"/>
        <v>#REF!</v>
      </c>
      <c r="J31" s="19" t="e">
        <f t="shared" si="39"/>
        <v>#REF!</v>
      </c>
      <c r="K31" s="19" t="e">
        <f t="shared" si="39"/>
        <v>#REF!</v>
      </c>
      <c r="L31" s="16" t="e">
        <f t="shared" si="39"/>
        <v>#REF!</v>
      </c>
      <c r="M31" s="16" t="e">
        <f t="shared" si="39"/>
        <v>#REF!</v>
      </c>
      <c r="AC31" s="8">
        <v>26</v>
      </c>
      <c r="AD31" s="8" t="e">
        <f>($C33*'[1]功能-城建'!EX29)*S$6+AD30</f>
        <v>#REF!</v>
      </c>
      <c r="AE31" s="8" t="e">
        <f>($C33*'[1]功能-城建'!EY29)*T$6+AE30</f>
        <v>#REF!</v>
      </c>
      <c r="AF31" s="8" t="e">
        <f>($C33*'[1]功能-城建'!EZ29)*U$6+AF30</f>
        <v>#REF!</v>
      </c>
      <c r="AG31" s="8" t="e">
        <f>($C33*'[1]功能-城建'!FA29)*V$6+AG30</f>
        <v>#REF!</v>
      </c>
      <c r="AH31" s="8" t="e">
        <f>($C33*'[1]功能-城建'!FB29)*W$6+AH30</f>
        <v>#REF!</v>
      </c>
      <c r="AL31" s="8">
        <v>26</v>
      </c>
      <c r="AM31" s="8" t="e">
        <f>($D33*'[1]功能-城建'!HM29)*S$6+AM30</f>
        <v>#REF!</v>
      </c>
      <c r="AN31" s="8" t="e">
        <f>($D33*'[1]功能-城建'!HN29)*T$6+AN30</f>
        <v>#REF!</v>
      </c>
      <c r="AO31" s="8" t="e">
        <f>($D33*'[1]功能-城建'!HO29)*U$6+AO30</f>
        <v>#REF!</v>
      </c>
      <c r="AP31" s="8" t="e">
        <f>($D33*'[1]功能-城建'!HP29)*V$6+AP30</f>
        <v>#REF!</v>
      </c>
      <c r="AQ31" s="8" t="e">
        <f>($D33*'[1]功能-城建'!HQ29)*W$6+AQ30</f>
        <v>#REF!</v>
      </c>
      <c r="AU31" s="8">
        <v>26</v>
      </c>
      <c r="AV31" s="8" t="e">
        <f>($E33*'[1]功能-城建'!GF29)*S$6+AV30</f>
        <v>#REF!</v>
      </c>
      <c r="AW31" s="8" t="e">
        <f>($E33*'[1]功能-城建'!GG29)*T$6+AW30</f>
        <v>#REF!</v>
      </c>
      <c r="AX31" s="8" t="e">
        <f>($E33*'[1]功能-城建'!GH29)*U$6+AX30</f>
        <v>#REF!</v>
      </c>
      <c r="AY31" s="8" t="e">
        <f>($E33*'[1]功能-城建'!GI29)*V$6+AY30</f>
        <v>#REF!</v>
      </c>
      <c r="AZ31" s="8" t="e">
        <f>($E33*'[1]功能-城建'!GJ29)*W$6+AZ30</f>
        <v>#REF!</v>
      </c>
      <c r="BD31" s="8">
        <v>26</v>
      </c>
      <c r="BE31" s="8" t="e">
        <f t="shared" si="40"/>
        <v>#REF!</v>
      </c>
      <c r="BF31" s="8" t="e">
        <f t="shared" si="40"/>
        <v>#REF!</v>
      </c>
      <c r="BG31" s="8" t="e">
        <f t="shared" si="40"/>
        <v>#REF!</v>
      </c>
      <c r="BH31" s="8" t="e">
        <f t="shared" si="40"/>
        <v>#REF!</v>
      </c>
      <c r="BI31" s="8" t="e">
        <f t="shared" si="40"/>
        <v>#REF!</v>
      </c>
      <c r="BM31" s="8">
        <v>26</v>
      </c>
      <c r="BN31" s="8" t="e">
        <f t="shared" si="41"/>
        <v>#REF!</v>
      </c>
      <c r="BO31" s="8" t="e">
        <f t="shared" si="41"/>
        <v>#REF!</v>
      </c>
      <c r="BP31" s="8" t="e">
        <f t="shared" si="41"/>
        <v>#REF!</v>
      </c>
      <c r="BQ31" s="8" t="e">
        <f t="shared" si="41"/>
        <v>#REF!</v>
      </c>
      <c r="BR31" s="8" t="e">
        <f t="shared" si="41"/>
        <v>#REF!</v>
      </c>
      <c r="BV31" s="8">
        <v>26</v>
      </c>
      <c r="BW31" s="8" t="e">
        <f t="shared" si="42"/>
        <v>#REF!</v>
      </c>
      <c r="BX31" s="8" t="e">
        <f t="shared" si="42"/>
        <v>#REF!</v>
      </c>
      <c r="BY31" s="8" t="e">
        <f t="shared" si="42"/>
        <v>#REF!</v>
      </c>
      <c r="BZ31" s="8" t="e">
        <f t="shared" si="42"/>
        <v>#REF!</v>
      </c>
      <c r="CA31" s="8" t="e">
        <f t="shared" si="42"/>
        <v>#REF!</v>
      </c>
      <c r="CE31" s="8">
        <v>26</v>
      </c>
      <c r="CF31" s="18" t="e">
        <f t="shared" si="11"/>
        <v>#REF!</v>
      </c>
      <c r="CG31" s="18" t="e">
        <f t="shared" si="12"/>
        <v>#REF!</v>
      </c>
      <c r="CH31" s="18" t="e">
        <f t="shared" si="13"/>
        <v>#REF!</v>
      </c>
      <c r="CI31" s="18" t="e">
        <f t="shared" si="14"/>
        <v>#REF!</v>
      </c>
      <c r="CJ31" s="18" t="e">
        <f t="shared" si="15"/>
        <v>#REF!</v>
      </c>
      <c r="CN31" s="8">
        <v>26</v>
      </c>
      <c r="CO31" s="18" t="e">
        <f t="shared" si="16"/>
        <v>#REF!</v>
      </c>
      <c r="CP31" s="18" t="e">
        <f t="shared" si="17"/>
        <v>#REF!</v>
      </c>
      <c r="CQ31" s="18" t="e">
        <f t="shared" si="18"/>
        <v>#REF!</v>
      </c>
      <c r="CR31" s="18" t="e">
        <f t="shared" si="19"/>
        <v>#REF!</v>
      </c>
      <c r="CS31" s="18" t="e">
        <f t="shared" si="20"/>
        <v>#REF!</v>
      </c>
      <c r="CW31" s="8">
        <v>26</v>
      </c>
      <c r="CX31" s="18" t="e">
        <f t="shared" si="21"/>
        <v>#REF!</v>
      </c>
      <c r="CY31" s="18" t="e">
        <f t="shared" si="22"/>
        <v>#REF!</v>
      </c>
      <c r="CZ31" s="18" t="e">
        <f t="shared" si="23"/>
        <v>#REF!</v>
      </c>
      <c r="DA31" s="18" t="e">
        <f t="shared" si="24"/>
        <v>#REF!</v>
      </c>
      <c r="DB31" s="18" t="e">
        <f t="shared" si="25"/>
        <v>#REF!</v>
      </c>
      <c r="DF31" s="8">
        <v>26</v>
      </c>
      <c r="DG31" s="8" t="e">
        <f t="shared" si="26"/>
        <v>#REF!</v>
      </c>
      <c r="DH31" s="8" t="e">
        <f t="shared" si="27"/>
        <v>#REF!</v>
      </c>
      <c r="DI31" s="8" t="e">
        <f t="shared" si="28"/>
        <v>#REF!</v>
      </c>
      <c r="DJ31" s="8" t="e">
        <f t="shared" si="29"/>
        <v>#REF!</v>
      </c>
      <c r="DK31" s="8" t="e">
        <f t="shared" si="30"/>
        <v>#REF!</v>
      </c>
      <c r="DO31" s="8">
        <v>26</v>
      </c>
      <c r="DP31" s="8" t="e">
        <f t="shared" si="31"/>
        <v>#REF!</v>
      </c>
      <c r="DQ31" s="8" t="e">
        <f t="shared" si="32"/>
        <v>#REF!</v>
      </c>
      <c r="DR31" s="8" t="e">
        <f t="shared" si="33"/>
        <v>#REF!</v>
      </c>
      <c r="DS31" s="8" t="e">
        <f t="shared" si="34"/>
        <v>#REF!</v>
      </c>
      <c r="DT31" s="8" t="e">
        <f t="shared" si="35"/>
        <v>#REF!</v>
      </c>
    </row>
    <row r="32" spans="2:124">
      <c r="B32" s="8">
        <v>25</v>
      </c>
      <c r="C32" s="19" t="e">
        <f t="shared" si="38"/>
        <v>#REF!</v>
      </c>
      <c r="D32" s="19" t="e">
        <f t="shared" si="38"/>
        <v>#REF!</v>
      </c>
      <c r="E32" s="19" t="e">
        <f t="shared" si="38"/>
        <v>#REF!</v>
      </c>
      <c r="F32" s="19" t="e">
        <f t="shared" si="38"/>
        <v>#REF!</v>
      </c>
      <c r="G32" s="19" t="e">
        <f t="shared" si="38"/>
        <v>#REF!</v>
      </c>
      <c r="H32" s="19" t="e">
        <f t="shared" si="39"/>
        <v>#REF!</v>
      </c>
      <c r="I32" s="19" t="e">
        <f t="shared" si="39"/>
        <v>#REF!</v>
      </c>
      <c r="J32" s="19" t="e">
        <f t="shared" si="39"/>
        <v>#REF!</v>
      </c>
      <c r="K32" s="19" t="e">
        <f t="shared" si="39"/>
        <v>#REF!</v>
      </c>
      <c r="L32" s="16" t="e">
        <f t="shared" si="39"/>
        <v>#REF!</v>
      </c>
      <c r="M32" s="16" t="e">
        <f t="shared" si="39"/>
        <v>#REF!</v>
      </c>
      <c r="AC32" s="8">
        <v>27</v>
      </c>
      <c r="AD32" s="8" t="e">
        <f>($C34*'[1]功能-城建'!EX30)*S$6+AD31</f>
        <v>#REF!</v>
      </c>
      <c r="AE32" s="8" t="e">
        <f>($C34*'[1]功能-城建'!EY30)*T$6+AE31</f>
        <v>#REF!</v>
      </c>
      <c r="AF32" s="8" t="e">
        <f>($C34*'[1]功能-城建'!EZ30)*U$6+AF31</f>
        <v>#REF!</v>
      </c>
      <c r="AG32" s="8" t="e">
        <f>($C34*'[1]功能-城建'!FA30)*V$6+AG31</f>
        <v>#REF!</v>
      </c>
      <c r="AH32" s="8" t="e">
        <f>($C34*'[1]功能-城建'!FB30)*W$6+AH31</f>
        <v>#REF!</v>
      </c>
      <c r="AL32" s="8">
        <v>27</v>
      </c>
      <c r="AM32" s="8" t="e">
        <f>($D34*'[1]功能-城建'!HM30)*S$6+AM31</f>
        <v>#REF!</v>
      </c>
      <c r="AN32" s="8" t="e">
        <f>($D34*'[1]功能-城建'!HN30)*T$6+AN31</f>
        <v>#REF!</v>
      </c>
      <c r="AO32" s="8" t="e">
        <f>($D34*'[1]功能-城建'!HO30)*U$6+AO31</f>
        <v>#REF!</v>
      </c>
      <c r="AP32" s="8" t="e">
        <f>($D34*'[1]功能-城建'!HP30)*V$6+AP31</f>
        <v>#REF!</v>
      </c>
      <c r="AQ32" s="8" t="e">
        <f>($D34*'[1]功能-城建'!HQ30)*W$6+AQ31</f>
        <v>#REF!</v>
      </c>
      <c r="AU32" s="8">
        <v>27</v>
      </c>
      <c r="AV32" s="8" t="e">
        <f>($E34*'[1]功能-城建'!GF30)*S$6+AV31</f>
        <v>#REF!</v>
      </c>
      <c r="AW32" s="8" t="e">
        <f>($E34*'[1]功能-城建'!GG30)*T$6+AW31</f>
        <v>#REF!</v>
      </c>
      <c r="AX32" s="8" t="e">
        <f>($E34*'[1]功能-城建'!GH30)*U$6+AX31</f>
        <v>#REF!</v>
      </c>
      <c r="AY32" s="8" t="e">
        <f>($E34*'[1]功能-城建'!GI30)*V$6+AY31</f>
        <v>#REF!</v>
      </c>
      <c r="AZ32" s="8" t="e">
        <f>($E34*'[1]功能-城建'!GJ30)*W$6+AZ31</f>
        <v>#REF!</v>
      </c>
      <c r="BD32" s="8">
        <v>27</v>
      </c>
      <c r="BE32" s="8" t="e">
        <f t="shared" si="40"/>
        <v>#REF!</v>
      </c>
      <c r="BF32" s="8" t="e">
        <f t="shared" si="40"/>
        <v>#REF!</v>
      </c>
      <c r="BG32" s="8" t="e">
        <f t="shared" si="40"/>
        <v>#REF!</v>
      </c>
      <c r="BH32" s="8" t="e">
        <f t="shared" si="40"/>
        <v>#REF!</v>
      </c>
      <c r="BI32" s="8" t="e">
        <f t="shared" si="40"/>
        <v>#REF!</v>
      </c>
      <c r="BM32" s="8">
        <v>27</v>
      </c>
      <c r="BN32" s="8" t="e">
        <f t="shared" si="41"/>
        <v>#REF!</v>
      </c>
      <c r="BO32" s="8" t="e">
        <f t="shared" si="41"/>
        <v>#REF!</v>
      </c>
      <c r="BP32" s="8" t="e">
        <f t="shared" si="41"/>
        <v>#REF!</v>
      </c>
      <c r="BQ32" s="8" t="e">
        <f t="shared" si="41"/>
        <v>#REF!</v>
      </c>
      <c r="BR32" s="8" t="e">
        <f t="shared" si="41"/>
        <v>#REF!</v>
      </c>
      <c r="BV32" s="8">
        <v>27</v>
      </c>
      <c r="BW32" s="8" t="e">
        <f t="shared" si="42"/>
        <v>#REF!</v>
      </c>
      <c r="BX32" s="8" t="e">
        <f t="shared" si="42"/>
        <v>#REF!</v>
      </c>
      <c r="BY32" s="8" t="e">
        <f t="shared" si="42"/>
        <v>#REF!</v>
      </c>
      <c r="BZ32" s="8" t="e">
        <f t="shared" si="42"/>
        <v>#REF!</v>
      </c>
      <c r="CA32" s="8" t="e">
        <f t="shared" si="42"/>
        <v>#REF!</v>
      </c>
      <c r="CE32" s="8">
        <v>27</v>
      </c>
      <c r="CF32" s="18" t="e">
        <f t="shared" si="11"/>
        <v>#REF!</v>
      </c>
      <c r="CG32" s="18" t="e">
        <f t="shared" si="12"/>
        <v>#REF!</v>
      </c>
      <c r="CH32" s="18" t="e">
        <f t="shared" si="13"/>
        <v>#REF!</v>
      </c>
      <c r="CI32" s="18" t="e">
        <f t="shared" si="14"/>
        <v>#REF!</v>
      </c>
      <c r="CJ32" s="18" t="e">
        <f t="shared" si="15"/>
        <v>#REF!</v>
      </c>
      <c r="CN32" s="8">
        <v>27</v>
      </c>
      <c r="CO32" s="18" t="e">
        <f t="shared" si="16"/>
        <v>#REF!</v>
      </c>
      <c r="CP32" s="18" t="e">
        <f t="shared" si="17"/>
        <v>#REF!</v>
      </c>
      <c r="CQ32" s="18" t="e">
        <f t="shared" si="18"/>
        <v>#REF!</v>
      </c>
      <c r="CR32" s="18" t="e">
        <f t="shared" si="19"/>
        <v>#REF!</v>
      </c>
      <c r="CS32" s="18" t="e">
        <f t="shared" si="20"/>
        <v>#REF!</v>
      </c>
      <c r="CW32" s="8">
        <v>27</v>
      </c>
      <c r="CX32" s="18" t="e">
        <f t="shared" si="21"/>
        <v>#REF!</v>
      </c>
      <c r="CY32" s="18" t="e">
        <f t="shared" si="22"/>
        <v>#REF!</v>
      </c>
      <c r="CZ32" s="18" t="e">
        <f t="shared" si="23"/>
        <v>#REF!</v>
      </c>
      <c r="DA32" s="18" t="e">
        <f t="shared" si="24"/>
        <v>#REF!</v>
      </c>
      <c r="DB32" s="18" t="e">
        <f t="shared" si="25"/>
        <v>#REF!</v>
      </c>
      <c r="DF32" s="8">
        <v>27</v>
      </c>
      <c r="DG32" s="8" t="e">
        <f t="shared" si="26"/>
        <v>#REF!</v>
      </c>
      <c r="DH32" s="8" t="e">
        <f t="shared" si="27"/>
        <v>#REF!</v>
      </c>
      <c r="DI32" s="8" t="e">
        <f t="shared" si="28"/>
        <v>#REF!</v>
      </c>
      <c r="DJ32" s="8" t="e">
        <f t="shared" si="29"/>
        <v>#REF!</v>
      </c>
      <c r="DK32" s="8" t="e">
        <f t="shared" si="30"/>
        <v>#REF!</v>
      </c>
      <c r="DO32" s="8">
        <v>27</v>
      </c>
      <c r="DP32" s="8" t="e">
        <f t="shared" si="31"/>
        <v>#REF!</v>
      </c>
      <c r="DQ32" s="8" t="e">
        <f t="shared" si="32"/>
        <v>#REF!</v>
      </c>
      <c r="DR32" s="8" t="e">
        <f t="shared" si="33"/>
        <v>#REF!</v>
      </c>
      <c r="DS32" s="8" t="e">
        <f t="shared" si="34"/>
        <v>#REF!</v>
      </c>
      <c r="DT32" s="8" t="e">
        <f t="shared" si="35"/>
        <v>#REF!</v>
      </c>
    </row>
    <row r="33" spans="2:124">
      <c r="B33" s="8">
        <v>26</v>
      </c>
      <c r="C33" s="19" t="e">
        <f t="shared" si="38"/>
        <v>#REF!</v>
      </c>
      <c r="D33" s="19" t="e">
        <f t="shared" si="38"/>
        <v>#REF!</v>
      </c>
      <c r="E33" s="19" t="e">
        <f t="shared" si="38"/>
        <v>#REF!</v>
      </c>
      <c r="F33" s="19" t="e">
        <f t="shared" si="38"/>
        <v>#REF!</v>
      </c>
      <c r="G33" s="19" t="e">
        <f t="shared" si="38"/>
        <v>#REF!</v>
      </c>
      <c r="H33" s="19" t="e">
        <f t="shared" si="39"/>
        <v>#REF!</v>
      </c>
      <c r="I33" s="19" t="e">
        <f t="shared" si="39"/>
        <v>#REF!</v>
      </c>
      <c r="J33" s="19" t="e">
        <f t="shared" si="39"/>
        <v>#REF!</v>
      </c>
      <c r="K33" s="19" t="e">
        <f t="shared" si="39"/>
        <v>#REF!</v>
      </c>
      <c r="L33" s="16" t="e">
        <f t="shared" si="39"/>
        <v>#REF!</v>
      </c>
      <c r="M33" s="16" t="e">
        <f t="shared" si="39"/>
        <v>#REF!</v>
      </c>
      <c r="AC33" s="8">
        <v>28</v>
      </c>
      <c r="AD33" s="8" t="e">
        <f>($C35*'[1]功能-城建'!EX31)*S$6+AD32</f>
        <v>#REF!</v>
      </c>
      <c r="AE33" s="8" t="e">
        <f>($C35*'[1]功能-城建'!EY31)*T$6+AE32</f>
        <v>#REF!</v>
      </c>
      <c r="AF33" s="8" t="e">
        <f>($C35*'[1]功能-城建'!EZ31)*U$6+AF32</f>
        <v>#REF!</v>
      </c>
      <c r="AG33" s="8" t="e">
        <f>($C35*'[1]功能-城建'!FA31)*V$6+AG32</f>
        <v>#REF!</v>
      </c>
      <c r="AH33" s="8" t="e">
        <f>($C35*'[1]功能-城建'!FB31)*W$6+AH32</f>
        <v>#REF!</v>
      </c>
      <c r="AL33" s="8">
        <v>28</v>
      </c>
      <c r="AM33" s="8" t="e">
        <f>($D35*'[1]功能-城建'!HM31)*S$6+AM32</f>
        <v>#REF!</v>
      </c>
      <c r="AN33" s="8" t="e">
        <f>($D35*'[1]功能-城建'!HN31)*T$6+AN32</f>
        <v>#REF!</v>
      </c>
      <c r="AO33" s="8" t="e">
        <f>($D35*'[1]功能-城建'!HO31)*U$6+AO32</f>
        <v>#REF!</v>
      </c>
      <c r="AP33" s="8" t="e">
        <f>($D35*'[1]功能-城建'!HP31)*V$6+AP32</f>
        <v>#REF!</v>
      </c>
      <c r="AQ33" s="8" t="e">
        <f>($D35*'[1]功能-城建'!HQ31)*W$6+AQ32</f>
        <v>#REF!</v>
      </c>
      <c r="AU33" s="8">
        <v>28</v>
      </c>
      <c r="AV33" s="8" t="e">
        <f>($E35*'[1]功能-城建'!GF31)*S$6+AV32</f>
        <v>#REF!</v>
      </c>
      <c r="AW33" s="8" t="e">
        <f>($E35*'[1]功能-城建'!GG31)*T$6+AW32</f>
        <v>#REF!</v>
      </c>
      <c r="AX33" s="8" t="e">
        <f>($E35*'[1]功能-城建'!GH31)*U$6+AX32</f>
        <v>#REF!</v>
      </c>
      <c r="AY33" s="8" t="e">
        <f>($E35*'[1]功能-城建'!GI31)*V$6+AY32</f>
        <v>#REF!</v>
      </c>
      <c r="AZ33" s="8" t="e">
        <f>($E35*'[1]功能-城建'!GJ31)*W$6+AZ32</f>
        <v>#REF!</v>
      </c>
      <c r="BD33" s="8">
        <v>28</v>
      </c>
      <c r="BE33" s="8" t="e">
        <f t="shared" si="40"/>
        <v>#REF!</v>
      </c>
      <c r="BF33" s="8" t="e">
        <f t="shared" si="40"/>
        <v>#REF!</v>
      </c>
      <c r="BG33" s="8" t="e">
        <f t="shared" si="40"/>
        <v>#REF!</v>
      </c>
      <c r="BH33" s="8" t="e">
        <f t="shared" si="40"/>
        <v>#REF!</v>
      </c>
      <c r="BI33" s="8" t="e">
        <f t="shared" si="40"/>
        <v>#REF!</v>
      </c>
      <c r="BM33" s="8">
        <v>28</v>
      </c>
      <c r="BN33" s="8" t="e">
        <f t="shared" si="41"/>
        <v>#REF!</v>
      </c>
      <c r="BO33" s="8" t="e">
        <f t="shared" si="41"/>
        <v>#REF!</v>
      </c>
      <c r="BP33" s="8" t="e">
        <f t="shared" si="41"/>
        <v>#REF!</v>
      </c>
      <c r="BQ33" s="8" t="e">
        <f t="shared" si="41"/>
        <v>#REF!</v>
      </c>
      <c r="BR33" s="8" t="e">
        <f t="shared" si="41"/>
        <v>#REF!</v>
      </c>
      <c r="BV33" s="8">
        <v>28</v>
      </c>
      <c r="BW33" s="8" t="e">
        <f t="shared" si="42"/>
        <v>#REF!</v>
      </c>
      <c r="BX33" s="8" t="e">
        <f t="shared" si="42"/>
        <v>#REF!</v>
      </c>
      <c r="BY33" s="8" t="e">
        <f t="shared" si="42"/>
        <v>#REF!</v>
      </c>
      <c r="BZ33" s="8" t="e">
        <f t="shared" si="42"/>
        <v>#REF!</v>
      </c>
      <c r="CA33" s="8" t="e">
        <f t="shared" si="42"/>
        <v>#REF!</v>
      </c>
      <c r="CE33" s="8">
        <v>28</v>
      </c>
      <c r="CF33" s="18" t="e">
        <f t="shared" si="11"/>
        <v>#REF!</v>
      </c>
      <c r="CG33" s="18" t="e">
        <f t="shared" si="12"/>
        <v>#REF!</v>
      </c>
      <c r="CH33" s="18" t="e">
        <f t="shared" si="13"/>
        <v>#REF!</v>
      </c>
      <c r="CI33" s="18" t="e">
        <f t="shared" si="14"/>
        <v>#REF!</v>
      </c>
      <c r="CJ33" s="18" t="e">
        <f t="shared" si="15"/>
        <v>#REF!</v>
      </c>
      <c r="CN33" s="8">
        <v>28</v>
      </c>
      <c r="CO33" s="18" t="e">
        <f t="shared" si="16"/>
        <v>#REF!</v>
      </c>
      <c r="CP33" s="18" t="e">
        <f t="shared" si="17"/>
        <v>#REF!</v>
      </c>
      <c r="CQ33" s="18" t="e">
        <f t="shared" si="18"/>
        <v>#REF!</v>
      </c>
      <c r="CR33" s="18" t="e">
        <f t="shared" si="19"/>
        <v>#REF!</v>
      </c>
      <c r="CS33" s="18" t="e">
        <f t="shared" si="20"/>
        <v>#REF!</v>
      </c>
      <c r="CW33" s="8">
        <v>28</v>
      </c>
      <c r="CX33" s="18" t="e">
        <f t="shared" si="21"/>
        <v>#REF!</v>
      </c>
      <c r="CY33" s="18" t="e">
        <f t="shared" si="22"/>
        <v>#REF!</v>
      </c>
      <c r="CZ33" s="18" t="e">
        <f t="shared" si="23"/>
        <v>#REF!</v>
      </c>
      <c r="DA33" s="18" t="e">
        <f t="shared" si="24"/>
        <v>#REF!</v>
      </c>
      <c r="DB33" s="18" t="e">
        <f t="shared" si="25"/>
        <v>#REF!</v>
      </c>
      <c r="DF33" s="8">
        <v>28</v>
      </c>
      <c r="DG33" s="8" t="e">
        <f t="shared" si="26"/>
        <v>#REF!</v>
      </c>
      <c r="DH33" s="8" t="e">
        <f t="shared" si="27"/>
        <v>#REF!</v>
      </c>
      <c r="DI33" s="8" t="e">
        <f t="shared" si="28"/>
        <v>#REF!</v>
      </c>
      <c r="DJ33" s="8" t="e">
        <f t="shared" si="29"/>
        <v>#REF!</v>
      </c>
      <c r="DK33" s="8" t="e">
        <f t="shared" si="30"/>
        <v>#REF!</v>
      </c>
      <c r="DO33" s="8">
        <v>28</v>
      </c>
      <c r="DP33" s="8" t="e">
        <f t="shared" si="31"/>
        <v>#REF!</v>
      </c>
      <c r="DQ33" s="8" t="e">
        <f t="shared" si="32"/>
        <v>#REF!</v>
      </c>
      <c r="DR33" s="8" t="e">
        <f t="shared" si="33"/>
        <v>#REF!</v>
      </c>
      <c r="DS33" s="8" t="e">
        <f t="shared" si="34"/>
        <v>#REF!</v>
      </c>
      <c r="DT33" s="8" t="e">
        <f t="shared" si="35"/>
        <v>#REF!</v>
      </c>
    </row>
    <row r="34" spans="2:124">
      <c r="B34" s="8">
        <v>27</v>
      </c>
      <c r="C34" s="19" t="e">
        <f t="shared" si="38"/>
        <v>#REF!</v>
      </c>
      <c r="D34" s="19" t="e">
        <f t="shared" si="38"/>
        <v>#REF!</v>
      </c>
      <c r="E34" s="19" t="e">
        <f t="shared" si="38"/>
        <v>#REF!</v>
      </c>
      <c r="F34" s="19" t="e">
        <f t="shared" si="38"/>
        <v>#REF!</v>
      </c>
      <c r="G34" s="19" t="e">
        <f t="shared" si="38"/>
        <v>#REF!</v>
      </c>
      <c r="H34" s="19" t="e">
        <f t="shared" si="39"/>
        <v>#REF!</v>
      </c>
      <c r="I34" s="19" t="e">
        <f t="shared" si="39"/>
        <v>#REF!</v>
      </c>
      <c r="J34" s="19" t="e">
        <f t="shared" si="39"/>
        <v>#REF!</v>
      </c>
      <c r="K34" s="19" t="e">
        <f t="shared" si="39"/>
        <v>#REF!</v>
      </c>
      <c r="L34" s="16" t="e">
        <f t="shared" si="39"/>
        <v>#REF!</v>
      </c>
      <c r="M34" s="16" t="e">
        <f t="shared" si="39"/>
        <v>#REF!</v>
      </c>
      <c r="AC34" s="8">
        <v>29</v>
      </c>
      <c r="AD34" s="8" t="e">
        <f>($C36*'[1]功能-城建'!EX32)*S$6+AD33</f>
        <v>#REF!</v>
      </c>
      <c r="AE34" s="8" t="e">
        <f>($C36*'[1]功能-城建'!EY32)*T$6+AE33</f>
        <v>#REF!</v>
      </c>
      <c r="AF34" s="8" t="e">
        <f>($C36*'[1]功能-城建'!EZ32)*U$6+AF33</f>
        <v>#REF!</v>
      </c>
      <c r="AG34" s="8" t="e">
        <f>($C36*'[1]功能-城建'!FA32)*V$6+AG33</f>
        <v>#REF!</v>
      </c>
      <c r="AH34" s="8" t="e">
        <f>($C36*'[1]功能-城建'!FB32)*W$6+AH33</f>
        <v>#REF!</v>
      </c>
      <c r="AL34" s="8">
        <v>29</v>
      </c>
      <c r="AM34" s="8" t="e">
        <f>($D36*'[1]功能-城建'!HM32)*S$6+AM33</f>
        <v>#REF!</v>
      </c>
      <c r="AN34" s="8" t="e">
        <f>($D36*'[1]功能-城建'!HN32)*T$6+AN33</f>
        <v>#REF!</v>
      </c>
      <c r="AO34" s="8" t="e">
        <f>($D36*'[1]功能-城建'!HO32)*U$6+AO33</f>
        <v>#REF!</v>
      </c>
      <c r="AP34" s="8" t="e">
        <f>($D36*'[1]功能-城建'!HP32)*V$6+AP33</f>
        <v>#REF!</v>
      </c>
      <c r="AQ34" s="8" t="e">
        <f>($D36*'[1]功能-城建'!HQ32)*W$6+AQ33</f>
        <v>#REF!</v>
      </c>
      <c r="AU34" s="8">
        <v>29</v>
      </c>
      <c r="AV34" s="8" t="e">
        <f>($E36*'[1]功能-城建'!GF32)*S$6+AV33</f>
        <v>#REF!</v>
      </c>
      <c r="AW34" s="8" t="e">
        <f>($E36*'[1]功能-城建'!GG32)*T$6+AW33</f>
        <v>#REF!</v>
      </c>
      <c r="AX34" s="8" t="e">
        <f>($E36*'[1]功能-城建'!GH32)*U$6+AX33</f>
        <v>#REF!</v>
      </c>
      <c r="AY34" s="8" t="e">
        <f>($E36*'[1]功能-城建'!GI32)*V$6+AY33</f>
        <v>#REF!</v>
      </c>
      <c r="AZ34" s="8" t="e">
        <f>($E36*'[1]功能-城建'!GJ32)*W$6+AZ33</f>
        <v>#REF!</v>
      </c>
      <c r="BD34" s="8">
        <v>29</v>
      </c>
      <c r="BE34" s="8" t="e">
        <f t="shared" si="40"/>
        <v>#REF!</v>
      </c>
      <c r="BF34" s="8" t="e">
        <f t="shared" si="40"/>
        <v>#REF!</v>
      </c>
      <c r="BG34" s="8" t="e">
        <f t="shared" si="40"/>
        <v>#REF!</v>
      </c>
      <c r="BH34" s="8" t="e">
        <f t="shared" si="40"/>
        <v>#REF!</v>
      </c>
      <c r="BI34" s="8" t="e">
        <f t="shared" si="40"/>
        <v>#REF!</v>
      </c>
      <c r="BM34" s="8">
        <v>29</v>
      </c>
      <c r="BN34" s="8" t="e">
        <f t="shared" si="41"/>
        <v>#REF!</v>
      </c>
      <c r="BO34" s="8" t="e">
        <f t="shared" si="41"/>
        <v>#REF!</v>
      </c>
      <c r="BP34" s="8" t="e">
        <f t="shared" si="41"/>
        <v>#REF!</v>
      </c>
      <c r="BQ34" s="8" t="e">
        <f t="shared" si="41"/>
        <v>#REF!</v>
      </c>
      <c r="BR34" s="8" t="e">
        <f t="shared" si="41"/>
        <v>#REF!</v>
      </c>
      <c r="BV34" s="8">
        <v>29</v>
      </c>
      <c r="BW34" s="8" t="e">
        <f t="shared" si="42"/>
        <v>#REF!</v>
      </c>
      <c r="BX34" s="8" t="e">
        <f t="shared" si="42"/>
        <v>#REF!</v>
      </c>
      <c r="BY34" s="8" t="e">
        <f t="shared" si="42"/>
        <v>#REF!</v>
      </c>
      <c r="BZ34" s="8" t="e">
        <f t="shared" si="42"/>
        <v>#REF!</v>
      </c>
      <c r="CA34" s="8" t="e">
        <f t="shared" si="42"/>
        <v>#REF!</v>
      </c>
      <c r="CE34" s="8">
        <v>29</v>
      </c>
      <c r="CF34" s="18" t="e">
        <f t="shared" si="11"/>
        <v>#REF!</v>
      </c>
      <c r="CG34" s="18" t="e">
        <f t="shared" si="12"/>
        <v>#REF!</v>
      </c>
      <c r="CH34" s="18" t="e">
        <f t="shared" si="13"/>
        <v>#REF!</v>
      </c>
      <c r="CI34" s="18" t="e">
        <f t="shared" si="14"/>
        <v>#REF!</v>
      </c>
      <c r="CJ34" s="18" t="e">
        <f t="shared" si="15"/>
        <v>#REF!</v>
      </c>
      <c r="CN34" s="8">
        <v>29</v>
      </c>
      <c r="CO34" s="18" t="e">
        <f t="shared" si="16"/>
        <v>#REF!</v>
      </c>
      <c r="CP34" s="18" t="e">
        <f t="shared" si="17"/>
        <v>#REF!</v>
      </c>
      <c r="CQ34" s="18" t="e">
        <f t="shared" si="18"/>
        <v>#REF!</v>
      </c>
      <c r="CR34" s="18" t="e">
        <f t="shared" si="19"/>
        <v>#REF!</v>
      </c>
      <c r="CS34" s="18" t="e">
        <f t="shared" si="20"/>
        <v>#REF!</v>
      </c>
      <c r="CW34" s="8">
        <v>29</v>
      </c>
      <c r="CX34" s="18" t="e">
        <f t="shared" si="21"/>
        <v>#REF!</v>
      </c>
      <c r="CY34" s="18" t="e">
        <f t="shared" si="22"/>
        <v>#REF!</v>
      </c>
      <c r="CZ34" s="18" t="e">
        <f t="shared" si="23"/>
        <v>#REF!</v>
      </c>
      <c r="DA34" s="18" t="e">
        <f t="shared" si="24"/>
        <v>#REF!</v>
      </c>
      <c r="DB34" s="18" t="e">
        <f t="shared" si="25"/>
        <v>#REF!</v>
      </c>
      <c r="DF34" s="8">
        <v>29</v>
      </c>
      <c r="DG34" s="8" t="e">
        <f t="shared" si="26"/>
        <v>#REF!</v>
      </c>
      <c r="DH34" s="8" t="e">
        <f t="shared" si="27"/>
        <v>#REF!</v>
      </c>
      <c r="DI34" s="8" t="e">
        <f t="shared" si="28"/>
        <v>#REF!</v>
      </c>
      <c r="DJ34" s="8" t="e">
        <f t="shared" si="29"/>
        <v>#REF!</v>
      </c>
      <c r="DK34" s="8" t="e">
        <f t="shared" si="30"/>
        <v>#REF!</v>
      </c>
      <c r="DO34" s="8">
        <v>29</v>
      </c>
      <c r="DP34" s="8" t="e">
        <f t="shared" si="31"/>
        <v>#REF!</v>
      </c>
      <c r="DQ34" s="8" t="e">
        <f t="shared" si="32"/>
        <v>#REF!</v>
      </c>
      <c r="DR34" s="8" t="e">
        <f t="shared" si="33"/>
        <v>#REF!</v>
      </c>
      <c r="DS34" s="8" t="e">
        <f t="shared" si="34"/>
        <v>#REF!</v>
      </c>
      <c r="DT34" s="8" t="e">
        <f t="shared" si="35"/>
        <v>#REF!</v>
      </c>
    </row>
    <row r="35" spans="2:124">
      <c r="B35" s="8">
        <v>28</v>
      </c>
      <c r="C35" s="19" t="e">
        <f t="shared" si="38"/>
        <v>#REF!</v>
      </c>
      <c r="D35" s="19" t="e">
        <f t="shared" si="38"/>
        <v>#REF!</v>
      </c>
      <c r="E35" s="19" t="e">
        <f t="shared" si="38"/>
        <v>#REF!</v>
      </c>
      <c r="F35" s="19" t="e">
        <f t="shared" si="38"/>
        <v>#REF!</v>
      </c>
      <c r="G35" s="19" t="e">
        <f t="shared" si="38"/>
        <v>#REF!</v>
      </c>
      <c r="H35" s="19" t="e">
        <f t="shared" si="39"/>
        <v>#REF!</v>
      </c>
      <c r="I35" s="19" t="e">
        <f t="shared" si="39"/>
        <v>#REF!</v>
      </c>
      <c r="J35" s="19" t="e">
        <f t="shared" si="39"/>
        <v>#REF!</v>
      </c>
      <c r="K35" s="19" t="e">
        <f t="shared" si="39"/>
        <v>#REF!</v>
      </c>
      <c r="L35" s="16" t="e">
        <f t="shared" si="39"/>
        <v>#REF!</v>
      </c>
      <c r="M35" s="16" t="e">
        <f t="shared" si="39"/>
        <v>#REF!</v>
      </c>
      <c r="AC35" s="8">
        <v>30</v>
      </c>
      <c r="AD35" s="8" t="e">
        <f>($C37*'[1]功能-城建'!EX33)*S$6+AD34</f>
        <v>#REF!</v>
      </c>
      <c r="AE35" s="8" t="e">
        <f>($C37*'[1]功能-城建'!EY33)*T$6+AE34</f>
        <v>#REF!</v>
      </c>
      <c r="AF35" s="8" t="e">
        <f>($C37*'[1]功能-城建'!EZ33)*U$6+AF34</f>
        <v>#REF!</v>
      </c>
      <c r="AG35" s="8" t="e">
        <f>($C37*'[1]功能-城建'!FA33)*V$6+AG34</f>
        <v>#REF!</v>
      </c>
      <c r="AH35" s="8" t="e">
        <f>($C37*'[1]功能-城建'!FB33)*W$6+AH34</f>
        <v>#REF!</v>
      </c>
      <c r="AL35" s="8">
        <v>30</v>
      </c>
      <c r="AM35" s="8" t="e">
        <f>($D37*'[1]功能-城建'!HM33)*S$6+AM34</f>
        <v>#REF!</v>
      </c>
      <c r="AN35" s="8" t="e">
        <f>($D37*'[1]功能-城建'!HN33)*T$6+AN34</f>
        <v>#REF!</v>
      </c>
      <c r="AO35" s="8" t="e">
        <f>($D37*'[1]功能-城建'!HO33)*U$6+AO34</f>
        <v>#REF!</v>
      </c>
      <c r="AP35" s="8" t="e">
        <f>($D37*'[1]功能-城建'!HP33)*V$6+AP34</f>
        <v>#REF!</v>
      </c>
      <c r="AQ35" s="8" t="e">
        <f>($D37*'[1]功能-城建'!HQ33)*W$6+AQ34</f>
        <v>#REF!</v>
      </c>
      <c r="AU35" s="8">
        <v>30</v>
      </c>
      <c r="AV35" s="8" t="e">
        <f>($E37*'[1]功能-城建'!GF33)*S$6+AV34</f>
        <v>#REF!</v>
      </c>
      <c r="AW35" s="8" t="e">
        <f>($E37*'[1]功能-城建'!GG33)*T$6+AW34</f>
        <v>#REF!</v>
      </c>
      <c r="AX35" s="8" t="e">
        <f>($E37*'[1]功能-城建'!GH33)*U$6+AX34</f>
        <v>#REF!</v>
      </c>
      <c r="AY35" s="8" t="e">
        <f>($E37*'[1]功能-城建'!GI33)*V$6+AY34</f>
        <v>#REF!</v>
      </c>
      <c r="AZ35" s="8" t="e">
        <f>($E37*'[1]功能-城建'!GJ33)*W$6+AZ34</f>
        <v>#REF!</v>
      </c>
      <c r="BD35" s="8">
        <v>30</v>
      </c>
      <c r="BE35" s="8" t="e">
        <f t="shared" si="40"/>
        <v>#REF!</v>
      </c>
      <c r="BF35" s="8" t="e">
        <f t="shared" si="40"/>
        <v>#REF!</v>
      </c>
      <c r="BG35" s="8" t="e">
        <f t="shared" si="40"/>
        <v>#REF!</v>
      </c>
      <c r="BH35" s="8" t="e">
        <f t="shared" si="40"/>
        <v>#REF!</v>
      </c>
      <c r="BI35" s="8" t="e">
        <f t="shared" si="40"/>
        <v>#REF!</v>
      </c>
      <c r="BM35" s="8">
        <v>30</v>
      </c>
      <c r="BN35" s="8" t="e">
        <f t="shared" si="41"/>
        <v>#REF!</v>
      </c>
      <c r="BO35" s="8" t="e">
        <f t="shared" si="41"/>
        <v>#REF!</v>
      </c>
      <c r="BP35" s="8" t="e">
        <f t="shared" si="41"/>
        <v>#REF!</v>
      </c>
      <c r="BQ35" s="8" t="e">
        <f t="shared" si="41"/>
        <v>#REF!</v>
      </c>
      <c r="BR35" s="8" t="e">
        <f t="shared" si="41"/>
        <v>#REF!</v>
      </c>
      <c r="BV35" s="8">
        <v>30</v>
      </c>
      <c r="BW35" s="8" t="e">
        <f t="shared" si="42"/>
        <v>#REF!</v>
      </c>
      <c r="BX35" s="8" t="e">
        <f t="shared" si="42"/>
        <v>#REF!</v>
      </c>
      <c r="BY35" s="8" t="e">
        <f t="shared" si="42"/>
        <v>#REF!</v>
      </c>
      <c r="BZ35" s="8" t="e">
        <f t="shared" si="42"/>
        <v>#REF!</v>
      </c>
      <c r="CA35" s="8" t="e">
        <f t="shared" si="42"/>
        <v>#REF!</v>
      </c>
      <c r="CE35" s="8">
        <v>30</v>
      </c>
      <c r="CF35" s="18" t="e">
        <f t="shared" si="11"/>
        <v>#REF!</v>
      </c>
      <c r="CG35" s="18" t="e">
        <f t="shared" si="12"/>
        <v>#REF!</v>
      </c>
      <c r="CH35" s="18" t="e">
        <f t="shared" si="13"/>
        <v>#REF!</v>
      </c>
      <c r="CI35" s="18" t="e">
        <f t="shared" si="14"/>
        <v>#REF!</v>
      </c>
      <c r="CJ35" s="18" t="e">
        <f t="shared" si="15"/>
        <v>#REF!</v>
      </c>
      <c r="CN35" s="8">
        <v>30</v>
      </c>
      <c r="CO35" s="18" t="e">
        <f t="shared" si="16"/>
        <v>#REF!</v>
      </c>
      <c r="CP35" s="18" t="e">
        <f t="shared" si="17"/>
        <v>#REF!</v>
      </c>
      <c r="CQ35" s="18" t="e">
        <f t="shared" si="18"/>
        <v>#REF!</v>
      </c>
      <c r="CR35" s="18" t="e">
        <f t="shared" si="19"/>
        <v>#REF!</v>
      </c>
      <c r="CS35" s="18" t="e">
        <f t="shared" si="20"/>
        <v>#REF!</v>
      </c>
      <c r="CW35" s="8">
        <v>30</v>
      </c>
      <c r="CX35" s="18" t="e">
        <f t="shared" si="21"/>
        <v>#REF!</v>
      </c>
      <c r="CY35" s="18" t="e">
        <f t="shared" si="22"/>
        <v>#REF!</v>
      </c>
      <c r="CZ35" s="18" t="e">
        <f t="shared" si="23"/>
        <v>#REF!</v>
      </c>
      <c r="DA35" s="18" t="e">
        <f t="shared" si="24"/>
        <v>#REF!</v>
      </c>
      <c r="DB35" s="18" t="e">
        <f t="shared" si="25"/>
        <v>#REF!</v>
      </c>
      <c r="DF35" s="8">
        <v>30</v>
      </c>
      <c r="DG35" s="8" t="e">
        <f t="shared" si="26"/>
        <v>#REF!</v>
      </c>
      <c r="DH35" s="8" t="e">
        <f t="shared" si="27"/>
        <v>#REF!</v>
      </c>
      <c r="DI35" s="8" t="e">
        <f t="shared" si="28"/>
        <v>#REF!</v>
      </c>
      <c r="DJ35" s="8" t="e">
        <f t="shared" si="29"/>
        <v>#REF!</v>
      </c>
      <c r="DK35" s="8" t="e">
        <f t="shared" si="30"/>
        <v>#REF!</v>
      </c>
      <c r="DO35" s="8">
        <v>30</v>
      </c>
      <c r="DP35" s="8" t="e">
        <f t="shared" si="31"/>
        <v>#REF!</v>
      </c>
      <c r="DQ35" s="8" t="e">
        <f t="shared" si="32"/>
        <v>#REF!</v>
      </c>
      <c r="DR35" s="8" t="e">
        <f t="shared" si="33"/>
        <v>#REF!</v>
      </c>
      <c r="DS35" s="8" t="e">
        <f t="shared" si="34"/>
        <v>#REF!</v>
      </c>
      <c r="DT35" s="8" t="e">
        <f t="shared" si="35"/>
        <v>#REF!</v>
      </c>
    </row>
    <row r="36" spans="2:124">
      <c r="B36" s="8">
        <v>29</v>
      </c>
      <c r="C36" s="19" t="e">
        <f t="shared" si="38"/>
        <v>#REF!</v>
      </c>
      <c r="D36" s="19" t="e">
        <f t="shared" si="38"/>
        <v>#REF!</v>
      </c>
      <c r="E36" s="19" t="e">
        <f t="shared" si="38"/>
        <v>#REF!</v>
      </c>
      <c r="F36" s="19" t="e">
        <f t="shared" si="38"/>
        <v>#REF!</v>
      </c>
      <c r="G36" s="19" t="e">
        <f t="shared" si="38"/>
        <v>#REF!</v>
      </c>
      <c r="H36" s="19" t="e">
        <f t="shared" si="39"/>
        <v>#REF!</v>
      </c>
      <c r="I36" s="19" t="e">
        <f t="shared" si="39"/>
        <v>#REF!</v>
      </c>
      <c r="J36" s="19" t="e">
        <f t="shared" si="39"/>
        <v>#REF!</v>
      </c>
      <c r="K36" s="19" t="e">
        <f t="shared" si="39"/>
        <v>#REF!</v>
      </c>
      <c r="L36" s="16" t="e">
        <f t="shared" si="39"/>
        <v>#REF!</v>
      </c>
      <c r="M36" s="16" t="e">
        <f t="shared" si="39"/>
        <v>#REF!</v>
      </c>
      <c r="AC36" s="8">
        <v>31</v>
      </c>
      <c r="AD36" s="8" t="e">
        <f>($C38*'[1]功能-城建'!EX34)*S$6+AD35</f>
        <v>#REF!</v>
      </c>
      <c r="AE36" s="8" t="e">
        <f>($C38*'[1]功能-城建'!EY34)*T$6+AE35</f>
        <v>#REF!</v>
      </c>
      <c r="AF36" s="8" t="e">
        <f>($C38*'[1]功能-城建'!EZ34)*U$6+AF35</f>
        <v>#REF!</v>
      </c>
      <c r="AG36" s="8" t="e">
        <f>($C38*'[1]功能-城建'!FA34)*V$6+AG35</f>
        <v>#REF!</v>
      </c>
      <c r="AH36" s="8" t="e">
        <f>($C38*'[1]功能-城建'!FB34)*W$6+AH35</f>
        <v>#REF!</v>
      </c>
      <c r="AL36" s="8">
        <v>31</v>
      </c>
      <c r="AM36" s="8" t="e">
        <f>($D38*'[1]功能-城建'!HM34)*S$6+AM35</f>
        <v>#REF!</v>
      </c>
      <c r="AN36" s="8" t="e">
        <f>($D38*'[1]功能-城建'!HN34)*T$6+AN35</f>
        <v>#REF!</v>
      </c>
      <c r="AO36" s="8" t="e">
        <f>($D38*'[1]功能-城建'!HO34)*U$6+AO35</f>
        <v>#REF!</v>
      </c>
      <c r="AP36" s="8" t="e">
        <f>($D38*'[1]功能-城建'!HP34)*V$6+AP35</f>
        <v>#REF!</v>
      </c>
      <c r="AQ36" s="8" t="e">
        <f>($D38*'[1]功能-城建'!HQ34)*W$6+AQ35</f>
        <v>#REF!</v>
      </c>
      <c r="AU36" s="8">
        <v>31</v>
      </c>
      <c r="AV36" s="8" t="e">
        <f>($E38*'[1]功能-城建'!GF34)*S$6+AV35</f>
        <v>#REF!</v>
      </c>
      <c r="AW36" s="8" t="e">
        <f>($E38*'[1]功能-城建'!GG34)*T$6+AW35</f>
        <v>#REF!</v>
      </c>
      <c r="AX36" s="8" t="e">
        <f>($E38*'[1]功能-城建'!GH34)*U$6+AX35</f>
        <v>#REF!</v>
      </c>
      <c r="AY36" s="8" t="e">
        <f>($E38*'[1]功能-城建'!GI34)*V$6+AY35</f>
        <v>#REF!</v>
      </c>
      <c r="AZ36" s="8" t="e">
        <f>($E38*'[1]功能-城建'!GJ34)*W$6+AZ35</f>
        <v>#REF!</v>
      </c>
      <c r="BD36" s="8">
        <v>31</v>
      </c>
      <c r="BE36" s="8" t="e">
        <f t="shared" si="40"/>
        <v>#REF!</v>
      </c>
      <c r="BF36" s="8" t="e">
        <f t="shared" si="40"/>
        <v>#REF!</v>
      </c>
      <c r="BG36" s="8" t="e">
        <f t="shared" si="40"/>
        <v>#REF!</v>
      </c>
      <c r="BH36" s="8" t="e">
        <f t="shared" si="40"/>
        <v>#REF!</v>
      </c>
      <c r="BI36" s="8" t="e">
        <f t="shared" si="40"/>
        <v>#REF!</v>
      </c>
      <c r="BM36" s="8">
        <v>31</v>
      </c>
      <c r="BN36" s="8" t="e">
        <f t="shared" si="41"/>
        <v>#REF!</v>
      </c>
      <c r="BO36" s="8" t="e">
        <f t="shared" si="41"/>
        <v>#REF!</v>
      </c>
      <c r="BP36" s="8" t="e">
        <f t="shared" si="41"/>
        <v>#REF!</v>
      </c>
      <c r="BQ36" s="8" t="e">
        <f t="shared" si="41"/>
        <v>#REF!</v>
      </c>
      <c r="BR36" s="8" t="e">
        <f t="shared" si="41"/>
        <v>#REF!</v>
      </c>
      <c r="BV36" s="8">
        <v>31</v>
      </c>
      <c r="BW36" s="8" t="e">
        <f t="shared" si="42"/>
        <v>#REF!</v>
      </c>
      <c r="BX36" s="8" t="e">
        <f t="shared" si="42"/>
        <v>#REF!</v>
      </c>
      <c r="BY36" s="8" t="e">
        <f t="shared" si="42"/>
        <v>#REF!</v>
      </c>
      <c r="BZ36" s="8" t="e">
        <f t="shared" si="42"/>
        <v>#REF!</v>
      </c>
      <c r="CA36" s="8" t="e">
        <f t="shared" si="42"/>
        <v>#REF!</v>
      </c>
      <c r="CE36" s="8">
        <v>31</v>
      </c>
      <c r="CF36" s="18" t="e">
        <f t="shared" si="11"/>
        <v>#REF!</v>
      </c>
      <c r="CG36" s="18" t="e">
        <f t="shared" si="12"/>
        <v>#REF!</v>
      </c>
      <c r="CH36" s="18" t="e">
        <f t="shared" si="13"/>
        <v>#REF!</v>
      </c>
      <c r="CI36" s="18" t="e">
        <f t="shared" si="14"/>
        <v>#REF!</v>
      </c>
      <c r="CJ36" s="18" t="e">
        <f t="shared" si="15"/>
        <v>#REF!</v>
      </c>
      <c r="CN36" s="8">
        <v>31</v>
      </c>
      <c r="CO36" s="18" t="e">
        <f t="shared" si="16"/>
        <v>#REF!</v>
      </c>
      <c r="CP36" s="18" t="e">
        <f t="shared" si="17"/>
        <v>#REF!</v>
      </c>
      <c r="CQ36" s="18" t="e">
        <f t="shared" si="18"/>
        <v>#REF!</v>
      </c>
      <c r="CR36" s="18" t="e">
        <f t="shared" si="19"/>
        <v>#REF!</v>
      </c>
      <c r="CS36" s="18" t="e">
        <f t="shared" si="20"/>
        <v>#REF!</v>
      </c>
      <c r="CW36" s="8">
        <v>31</v>
      </c>
      <c r="CX36" s="18" t="e">
        <f t="shared" si="21"/>
        <v>#REF!</v>
      </c>
      <c r="CY36" s="18" t="e">
        <f t="shared" si="22"/>
        <v>#REF!</v>
      </c>
      <c r="CZ36" s="18" t="e">
        <f t="shared" si="23"/>
        <v>#REF!</v>
      </c>
      <c r="DA36" s="18" t="e">
        <f t="shared" si="24"/>
        <v>#REF!</v>
      </c>
      <c r="DB36" s="18" t="e">
        <f t="shared" si="25"/>
        <v>#REF!</v>
      </c>
      <c r="DF36" s="8">
        <v>31</v>
      </c>
      <c r="DG36" s="8" t="e">
        <f t="shared" si="26"/>
        <v>#REF!</v>
      </c>
      <c r="DH36" s="8" t="e">
        <f t="shared" si="27"/>
        <v>#REF!</v>
      </c>
      <c r="DI36" s="8" t="e">
        <f t="shared" si="28"/>
        <v>#REF!</v>
      </c>
      <c r="DJ36" s="8" t="e">
        <f t="shared" si="29"/>
        <v>#REF!</v>
      </c>
      <c r="DK36" s="8" t="e">
        <f t="shared" si="30"/>
        <v>#REF!</v>
      </c>
      <c r="DO36" s="8">
        <v>31</v>
      </c>
      <c r="DP36" s="8" t="e">
        <f t="shared" si="31"/>
        <v>#REF!</v>
      </c>
      <c r="DQ36" s="8" t="e">
        <f t="shared" si="32"/>
        <v>#REF!</v>
      </c>
      <c r="DR36" s="8" t="e">
        <f t="shared" si="33"/>
        <v>#REF!</v>
      </c>
      <c r="DS36" s="8" t="e">
        <f t="shared" si="34"/>
        <v>#REF!</v>
      </c>
      <c r="DT36" s="8" t="e">
        <f t="shared" si="35"/>
        <v>#REF!</v>
      </c>
    </row>
    <row r="37" spans="2:124">
      <c r="B37" s="8">
        <v>30</v>
      </c>
      <c r="C37" s="19" t="e">
        <f t="shared" si="38"/>
        <v>#REF!</v>
      </c>
      <c r="D37" s="19" t="e">
        <f t="shared" si="38"/>
        <v>#REF!</v>
      </c>
      <c r="E37" s="19" t="e">
        <f t="shared" ref="E37:G37" si="43">MIN(E$5,MAX(E$5/($D$2-$D$1)*($B37-$D$1),0))</f>
        <v>#REF!</v>
      </c>
      <c r="F37" s="19" t="e">
        <f t="shared" si="43"/>
        <v>#REF!</v>
      </c>
      <c r="G37" s="19" t="e">
        <f t="shared" si="43"/>
        <v>#REF!</v>
      </c>
      <c r="H37" s="19" t="e">
        <f t="shared" si="39"/>
        <v>#REF!</v>
      </c>
      <c r="I37" s="19" t="e">
        <f t="shared" si="39"/>
        <v>#REF!</v>
      </c>
      <c r="J37" s="19" t="e">
        <f t="shared" si="39"/>
        <v>#REF!</v>
      </c>
      <c r="K37" s="19" t="e">
        <f t="shared" si="39"/>
        <v>#REF!</v>
      </c>
      <c r="L37" s="16" t="e">
        <f t="shared" si="39"/>
        <v>#REF!</v>
      </c>
      <c r="M37" s="16" t="e">
        <f t="shared" si="39"/>
        <v>#REF!</v>
      </c>
      <c r="AC37" s="8">
        <v>32</v>
      </c>
      <c r="AD37" s="8" t="e">
        <f>($C39*'[1]功能-城建'!EX35)*S$6+AD36</f>
        <v>#REF!</v>
      </c>
      <c r="AE37" s="8" t="e">
        <f>($C39*'[1]功能-城建'!EY35)*T$6+AE36</f>
        <v>#REF!</v>
      </c>
      <c r="AF37" s="8" t="e">
        <f>($C39*'[1]功能-城建'!EZ35)*U$6+AF36</f>
        <v>#REF!</v>
      </c>
      <c r="AG37" s="8" t="e">
        <f>($C39*'[1]功能-城建'!FA35)*V$6+AG36</f>
        <v>#REF!</v>
      </c>
      <c r="AH37" s="8" t="e">
        <f>($C39*'[1]功能-城建'!FB35)*W$6+AH36</f>
        <v>#REF!</v>
      </c>
      <c r="AL37" s="8">
        <v>32</v>
      </c>
      <c r="AM37" s="8" t="e">
        <f>($D39*'[1]功能-城建'!HM35)*S$6+AM36</f>
        <v>#REF!</v>
      </c>
      <c r="AN37" s="8" t="e">
        <f>($D39*'[1]功能-城建'!HN35)*T$6+AN36</f>
        <v>#REF!</v>
      </c>
      <c r="AO37" s="8" t="e">
        <f>($D39*'[1]功能-城建'!HO35)*U$6+AO36</f>
        <v>#REF!</v>
      </c>
      <c r="AP37" s="8" t="e">
        <f>($D39*'[1]功能-城建'!HP35)*V$6+AP36</f>
        <v>#REF!</v>
      </c>
      <c r="AQ37" s="8" t="e">
        <f>($D39*'[1]功能-城建'!HQ35)*W$6+AQ36</f>
        <v>#REF!</v>
      </c>
      <c r="AU37" s="8">
        <v>32</v>
      </c>
      <c r="AV37" s="8" t="e">
        <f>($E39*'[1]功能-城建'!GF35)*S$6+AV36</f>
        <v>#REF!</v>
      </c>
      <c r="AW37" s="8" t="e">
        <f>($E39*'[1]功能-城建'!GG35)*T$6+AW36</f>
        <v>#REF!</v>
      </c>
      <c r="AX37" s="8" t="e">
        <f>($E39*'[1]功能-城建'!GH35)*U$6+AX36</f>
        <v>#REF!</v>
      </c>
      <c r="AY37" s="8" t="e">
        <f>($E39*'[1]功能-城建'!GI35)*V$6+AY36</f>
        <v>#REF!</v>
      </c>
      <c r="AZ37" s="8" t="e">
        <f>($E39*'[1]功能-城建'!GJ35)*W$6+AZ36</f>
        <v>#REF!</v>
      </c>
      <c r="BD37" s="8">
        <v>32</v>
      </c>
      <c r="BE37" s="8" t="e">
        <f t="shared" si="40"/>
        <v>#REF!</v>
      </c>
      <c r="BF37" s="8" t="e">
        <f t="shared" si="40"/>
        <v>#REF!</v>
      </c>
      <c r="BG37" s="8" t="e">
        <f t="shared" si="40"/>
        <v>#REF!</v>
      </c>
      <c r="BH37" s="8" t="e">
        <f t="shared" si="40"/>
        <v>#REF!</v>
      </c>
      <c r="BI37" s="8" t="e">
        <f t="shared" si="40"/>
        <v>#REF!</v>
      </c>
      <c r="BM37" s="8">
        <v>32</v>
      </c>
      <c r="BN37" s="8" t="e">
        <f t="shared" si="41"/>
        <v>#REF!</v>
      </c>
      <c r="BO37" s="8" t="e">
        <f t="shared" si="41"/>
        <v>#REF!</v>
      </c>
      <c r="BP37" s="8" t="e">
        <f t="shared" si="41"/>
        <v>#REF!</v>
      </c>
      <c r="BQ37" s="8" t="e">
        <f t="shared" si="41"/>
        <v>#REF!</v>
      </c>
      <c r="BR37" s="8" t="e">
        <f t="shared" si="41"/>
        <v>#REF!</v>
      </c>
      <c r="BV37" s="8">
        <v>32</v>
      </c>
      <c r="BW37" s="8" t="e">
        <f t="shared" si="42"/>
        <v>#REF!</v>
      </c>
      <c r="BX37" s="8" t="e">
        <f t="shared" si="42"/>
        <v>#REF!</v>
      </c>
      <c r="BY37" s="8" t="e">
        <f t="shared" si="42"/>
        <v>#REF!</v>
      </c>
      <c r="BZ37" s="8" t="e">
        <f t="shared" si="42"/>
        <v>#REF!</v>
      </c>
      <c r="CA37" s="8" t="e">
        <f t="shared" si="42"/>
        <v>#REF!</v>
      </c>
      <c r="CE37" s="8">
        <v>32</v>
      </c>
      <c r="CF37" s="18" t="e">
        <f t="shared" si="11"/>
        <v>#REF!</v>
      </c>
      <c r="CG37" s="18" t="e">
        <f t="shared" si="12"/>
        <v>#REF!</v>
      </c>
      <c r="CH37" s="18" t="e">
        <f t="shared" si="13"/>
        <v>#REF!</v>
      </c>
      <c r="CI37" s="18" t="e">
        <f t="shared" si="14"/>
        <v>#REF!</v>
      </c>
      <c r="CJ37" s="18" t="e">
        <f t="shared" si="15"/>
        <v>#REF!</v>
      </c>
      <c r="CN37" s="8">
        <v>32</v>
      </c>
      <c r="CO37" s="18" t="e">
        <f t="shared" si="16"/>
        <v>#REF!</v>
      </c>
      <c r="CP37" s="18" t="e">
        <f t="shared" si="17"/>
        <v>#REF!</v>
      </c>
      <c r="CQ37" s="18" t="e">
        <f t="shared" si="18"/>
        <v>#REF!</v>
      </c>
      <c r="CR37" s="18" t="e">
        <f t="shared" si="19"/>
        <v>#REF!</v>
      </c>
      <c r="CS37" s="18" t="e">
        <f t="shared" si="20"/>
        <v>#REF!</v>
      </c>
      <c r="CW37" s="8">
        <v>32</v>
      </c>
      <c r="CX37" s="18" t="e">
        <f t="shared" si="21"/>
        <v>#REF!</v>
      </c>
      <c r="CY37" s="18" t="e">
        <f t="shared" si="22"/>
        <v>#REF!</v>
      </c>
      <c r="CZ37" s="18" t="e">
        <f t="shared" si="23"/>
        <v>#REF!</v>
      </c>
      <c r="DA37" s="18" t="e">
        <f t="shared" si="24"/>
        <v>#REF!</v>
      </c>
      <c r="DB37" s="18" t="e">
        <f t="shared" si="25"/>
        <v>#REF!</v>
      </c>
      <c r="DF37" s="8">
        <v>32</v>
      </c>
      <c r="DG37" s="8" t="e">
        <f t="shared" si="26"/>
        <v>#REF!</v>
      </c>
      <c r="DH37" s="8" t="e">
        <f t="shared" si="27"/>
        <v>#REF!</v>
      </c>
      <c r="DI37" s="8" t="e">
        <f t="shared" si="28"/>
        <v>#REF!</v>
      </c>
      <c r="DJ37" s="8" t="e">
        <f t="shared" si="29"/>
        <v>#REF!</v>
      </c>
      <c r="DK37" s="8" t="e">
        <f t="shared" si="30"/>
        <v>#REF!</v>
      </c>
      <c r="DO37" s="8">
        <v>32</v>
      </c>
      <c r="DP37" s="8" t="e">
        <f t="shared" si="31"/>
        <v>#REF!</v>
      </c>
      <c r="DQ37" s="8" t="e">
        <f t="shared" si="32"/>
        <v>#REF!</v>
      </c>
      <c r="DR37" s="8" t="e">
        <f t="shared" si="33"/>
        <v>#REF!</v>
      </c>
      <c r="DS37" s="8" t="e">
        <f t="shared" si="34"/>
        <v>#REF!</v>
      </c>
      <c r="DT37" s="8" t="e">
        <f t="shared" si="35"/>
        <v>#REF!</v>
      </c>
    </row>
    <row r="38" spans="2:124">
      <c r="B38" s="8">
        <v>31</v>
      </c>
      <c r="C38" s="19" t="e">
        <f t="shared" ref="C38:G53" si="44">MIN(C$5,MAX(C$5/($D$2-$D$1)*($B38-$D$1),0))</f>
        <v>#REF!</v>
      </c>
      <c r="D38" s="19" t="e">
        <f t="shared" si="44"/>
        <v>#REF!</v>
      </c>
      <c r="E38" s="19" t="e">
        <f t="shared" si="44"/>
        <v>#REF!</v>
      </c>
      <c r="F38" s="19" t="e">
        <f t="shared" si="44"/>
        <v>#REF!</v>
      </c>
      <c r="G38" s="19" t="e">
        <f t="shared" si="44"/>
        <v>#REF!</v>
      </c>
      <c r="H38" s="19" t="e">
        <f t="shared" si="39"/>
        <v>#REF!</v>
      </c>
      <c r="I38" s="19" t="e">
        <f t="shared" si="39"/>
        <v>#REF!</v>
      </c>
      <c r="J38" s="19" t="e">
        <f t="shared" si="39"/>
        <v>#REF!</v>
      </c>
      <c r="K38" s="19" t="e">
        <f t="shared" si="39"/>
        <v>#REF!</v>
      </c>
      <c r="L38" s="16" t="e">
        <f t="shared" si="39"/>
        <v>#REF!</v>
      </c>
      <c r="M38" s="16" t="e">
        <f t="shared" si="39"/>
        <v>#REF!</v>
      </c>
      <c r="AC38" s="8">
        <v>33</v>
      </c>
      <c r="AD38" s="8" t="e">
        <f>($C40*'[1]功能-城建'!EX36)*S$6+AD37</f>
        <v>#REF!</v>
      </c>
      <c r="AE38" s="8" t="e">
        <f>($C40*'[1]功能-城建'!EY36)*T$6+AE37</f>
        <v>#REF!</v>
      </c>
      <c r="AF38" s="8" t="e">
        <f>($C40*'[1]功能-城建'!EZ36)*U$6+AF37</f>
        <v>#REF!</v>
      </c>
      <c r="AG38" s="8" t="e">
        <f>($C40*'[1]功能-城建'!FA36)*V$6+AG37</f>
        <v>#REF!</v>
      </c>
      <c r="AH38" s="8" t="e">
        <f>($C40*'[1]功能-城建'!FB36)*W$6+AH37</f>
        <v>#REF!</v>
      </c>
      <c r="AL38" s="8">
        <v>33</v>
      </c>
      <c r="AM38" s="8" t="e">
        <f>($D40*'[1]功能-城建'!HM36)*S$6+AM37</f>
        <v>#REF!</v>
      </c>
      <c r="AN38" s="8" t="e">
        <f>($D40*'[1]功能-城建'!HN36)*T$6+AN37</f>
        <v>#REF!</v>
      </c>
      <c r="AO38" s="8" t="e">
        <f>($D40*'[1]功能-城建'!HO36)*U$6+AO37</f>
        <v>#REF!</v>
      </c>
      <c r="AP38" s="8" t="e">
        <f>($D40*'[1]功能-城建'!HP36)*V$6+AP37</f>
        <v>#REF!</v>
      </c>
      <c r="AQ38" s="8" t="e">
        <f>($D40*'[1]功能-城建'!HQ36)*W$6+AQ37</f>
        <v>#REF!</v>
      </c>
      <c r="AU38" s="8">
        <v>33</v>
      </c>
      <c r="AV38" s="8" t="e">
        <f>($E40*'[1]功能-城建'!GF36)*S$6+AV37</f>
        <v>#REF!</v>
      </c>
      <c r="AW38" s="8" t="e">
        <f>($E40*'[1]功能-城建'!GG36)*T$6+AW37</f>
        <v>#REF!</v>
      </c>
      <c r="AX38" s="8" t="e">
        <f>($E40*'[1]功能-城建'!GH36)*U$6+AX37</f>
        <v>#REF!</v>
      </c>
      <c r="AY38" s="8" t="e">
        <f>($E40*'[1]功能-城建'!GI36)*V$6+AY37</f>
        <v>#REF!</v>
      </c>
      <c r="AZ38" s="8" t="e">
        <f>($E40*'[1]功能-城建'!GJ36)*W$6+AZ37</f>
        <v>#REF!</v>
      </c>
      <c r="BD38" s="8">
        <v>33</v>
      </c>
      <c r="BE38" s="8" t="e">
        <f t="shared" si="40"/>
        <v>#REF!</v>
      </c>
      <c r="BF38" s="8" t="e">
        <f t="shared" si="40"/>
        <v>#REF!</v>
      </c>
      <c r="BG38" s="8" t="e">
        <f t="shared" si="40"/>
        <v>#REF!</v>
      </c>
      <c r="BH38" s="8" t="e">
        <f t="shared" si="40"/>
        <v>#REF!</v>
      </c>
      <c r="BI38" s="8" t="e">
        <f t="shared" si="40"/>
        <v>#REF!</v>
      </c>
      <c r="BM38" s="8">
        <v>33</v>
      </c>
      <c r="BN38" s="8" t="e">
        <f t="shared" si="41"/>
        <v>#REF!</v>
      </c>
      <c r="BO38" s="8" t="e">
        <f t="shared" si="41"/>
        <v>#REF!</v>
      </c>
      <c r="BP38" s="8" t="e">
        <f t="shared" si="41"/>
        <v>#REF!</v>
      </c>
      <c r="BQ38" s="8" t="e">
        <f t="shared" si="41"/>
        <v>#REF!</v>
      </c>
      <c r="BR38" s="8" t="e">
        <f t="shared" si="41"/>
        <v>#REF!</v>
      </c>
      <c r="BV38" s="8">
        <v>33</v>
      </c>
      <c r="BW38" s="8" t="e">
        <f t="shared" si="42"/>
        <v>#REF!</v>
      </c>
      <c r="BX38" s="8" t="e">
        <f t="shared" si="42"/>
        <v>#REF!</v>
      </c>
      <c r="BY38" s="8" t="e">
        <f t="shared" si="42"/>
        <v>#REF!</v>
      </c>
      <c r="BZ38" s="8" t="e">
        <f t="shared" si="42"/>
        <v>#REF!</v>
      </c>
      <c r="CA38" s="8" t="e">
        <f t="shared" si="42"/>
        <v>#REF!</v>
      </c>
      <c r="CE38" s="8">
        <v>33</v>
      </c>
      <c r="CF38" s="18" t="e">
        <f t="shared" si="11"/>
        <v>#REF!</v>
      </c>
      <c r="CG38" s="18" t="e">
        <f t="shared" si="12"/>
        <v>#REF!</v>
      </c>
      <c r="CH38" s="18" t="e">
        <f t="shared" si="13"/>
        <v>#REF!</v>
      </c>
      <c r="CI38" s="18" t="e">
        <f t="shared" si="14"/>
        <v>#REF!</v>
      </c>
      <c r="CJ38" s="18" t="e">
        <f t="shared" si="15"/>
        <v>#REF!</v>
      </c>
      <c r="CN38" s="8">
        <v>33</v>
      </c>
      <c r="CO38" s="18" t="e">
        <f t="shared" si="16"/>
        <v>#REF!</v>
      </c>
      <c r="CP38" s="18" t="e">
        <f t="shared" si="17"/>
        <v>#REF!</v>
      </c>
      <c r="CQ38" s="18" t="e">
        <f t="shared" si="18"/>
        <v>#REF!</v>
      </c>
      <c r="CR38" s="18" t="e">
        <f t="shared" si="19"/>
        <v>#REF!</v>
      </c>
      <c r="CS38" s="18" t="e">
        <f t="shared" si="20"/>
        <v>#REF!</v>
      </c>
      <c r="CW38" s="8">
        <v>33</v>
      </c>
      <c r="CX38" s="18" t="e">
        <f t="shared" si="21"/>
        <v>#REF!</v>
      </c>
      <c r="CY38" s="18" t="e">
        <f t="shared" si="22"/>
        <v>#REF!</v>
      </c>
      <c r="CZ38" s="18" t="e">
        <f t="shared" si="23"/>
        <v>#REF!</v>
      </c>
      <c r="DA38" s="18" t="e">
        <f t="shared" si="24"/>
        <v>#REF!</v>
      </c>
      <c r="DB38" s="18" t="e">
        <f t="shared" si="25"/>
        <v>#REF!</v>
      </c>
      <c r="DF38" s="8">
        <v>33</v>
      </c>
      <c r="DG38" s="8" t="e">
        <f t="shared" si="26"/>
        <v>#REF!</v>
      </c>
      <c r="DH38" s="8" t="e">
        <f t="shared" si="27"/>
        <v>#REF!</v>
      </c>
      <c r="DI38" s="8" t="e">
        <f t="shared" si="28"/>
        <v>#REF!</v>
      </c>
      <c r="DJ38" s="8" t="e">
        <f t="shared" si="29"/>
        <v>#REF!</v>
      </c>
      <c r="DK38" s="8" t="e">
        <f t="shared" si="30"/>
        <v>#REF!</v>
      </c>
      <c r="DO38" s="8">
        <v>33</v>
      </c>
      <c r="DP38" s="8" t="e">
        <f t="shared" si="31"/>
        <v>#REF!</v>
      </c>
      <c r="DQ38" s="8" t="e">
        <f t="shared" si="32"/>
        <v>#REF!</v>
      </c>
      <c r="DR38" s="8" t="e">
        <f t="shared" si="33"/>
        <v>#REF!</v>
      </c>
      <c r="DS38" s="8" t="e">
        <f t="shared" si="34"/>
        <v>#REF!</v>
      </c>
      <c r="DT38" s="8" t="e">
        <f t="shared" si="35"/>
        <v>#REF!</v>
      </c>
    </row>
    <row r="39" spans="2:124">
      <c r="B39" s="8">
        <v>32</v>
      </c>
      <c r="C39" s="19" t="e">
        <f t="shared" si="44"/>
        <v>#REF!</v>
      </c>
      <c r="D39" s="19" t="e">
        <f t="shared" si="44"/>
        <v>#REF!</v>
      </c>
      <c r="E39" s="19" t="e">
        <f t="shared" si="44"/>
        <v>#REF!</v>
      </c>
      <c r="F39" s="19" t="e">
        <f t="shared" si="44"/>
        <v>#REF!</v>
      </c>
      <c r="G39" s="19" t="e">
        <f t="shared" si="44"/>
        <v>#REF!</v>
      </c>
      <c r="H39" s="19" t="e">
        <f t="shared" si="39"/>
        <v>#REF!</v>
      </c>
      <c r="I39" s="19" t="e">
        <f t="shared" si="39"/>
        <v>#REF!</v>
      </c>
      <c r="J39" s="19" t="e">
        <f t="shared" si="39"/>
        <v>#REF!</v>
      </c>
      <c r="K39" s="19" t="e">
        <f t="shared" si="39"/>
        <v>#REF!</v>
      </c>
      <c r="L39" s="16" t="e">
        <f t="shared" si="39"/>
        <v>#REF!</v>
      </c>
      <c r="M39" s="16" t="e">
        <f t="shared" si="39"/>
        <v>#REF!</v>
      </c>
      <c r="AC39" s="8">
        <v>34</v>
      </c>
      <c r="AD39" s="8" t="e">
        <f>($C41*'[1]功能-城建'!EX37)*S$6+AD38</f>
        <v>#REF!</v>
      </c>
      <c r="AE39" s="8" t="e">
        <f>($C41*'[1]功能-城建'!EY37)*T$6+AE38</f>
        <v>#REF!</v>
      </c>
      <c r="AF39" s="8" t="e">
        <f>($C41*'[1]功能-城建'!EZ37)*U$6+AF38</f>
        <v>#REF!</v>
      </c>
      <c r="AG39" s="8" t="e">
        <f>($C41*'[1]功能-城建'!FA37)*V$6+AG38</f>
        <v>#REF!</v>
      </c>
      <c r="AH39" s="8" t="e">
        <f>($C41*'[1]功能-城建'!FB37)*W$6+AH38</f>
        <v>#REF!</v>
      </c>
      <c r="AL39" s="8">
        <v>34</v>
      </c>
      <c r="AM39" s="8" t="e">
        <f>($D41*'[1]功能-城建'!HM37)*S$6+AM38</f>
        <v>#REF!</v>
      </c>
      <c r="AN39" s="8" t="e">
        <f>($D41*'[1]功能-城建'!HN37)*T$6+AN38</f>
        <v>#REF!</v>
      </c>
      <c r="AO39" s="8" t="e">
        <f>($D41*'[1]功能-城建'!HO37)*U$6+AO38</f>
        <v>#REF!</v>
      </c>
      <c r="AP39" s="8" t="e">
        <f>($D41*'[1]功能-城建'!HP37)*V$6+AP38</f>
        <v>#REF!</v>
      </c>
      <c r="AQ39" s="8" t="e">
        <f>($D41*'[1]功能-城建'!HQ37)*W$6+AQ38</f>
        <v>#REF!</v>
      </c>
      <c r="AU39" s="8">
        <v>34</v>
      </c>
      <c r="AV39" s="8" t="e">
        <f>($E41*'[1]功能-城建'!GF37)*S$6+AV38</f>
        <v>#REF!</v>
      </c>
      <c r="AW39" s="8" t="e">
        <f>($E41*'[1]功能-城建'!GG37)*T$6+AW38</f>
        <v>#REF!</v>
      </c>
      <c r="AX39" s="8" t="e">
        <f>($E41*'[1]功能-城建'!GH37)*U$6+AX38</f>
        <v>#REF!</v>
      </c>
      <c r="AY39" s="8" t="e">
        <f>($E41*'[1]功能-城建'!GI37)*V$6+AY38</f>
        <v>#REF!</v>
      </c>
      <c r="AZ39" s="8" t="e">
        <f>($E41*'[1]功能-城建'!GJ37)*W$6+AZ38</f>
        <v>#REF!</v>
      </c>
      <c r="BD39" s="8">
        <v>34</v>
      </c>
      <c r="BE39" s="8" t="e">
        <f t="shared" ref="BE39:BI54" si="45">$F41*S$6</f>
        <v>#REF!</v>
      </c>
      <c r="BF39" s="8" t="e">
        <f t="shared" si="45"/>
        <v>#REF!</v>
      </c>
      <c r="BG39" s="8" t="e">
        <f t="shared" si="45"/>
        <v>#REF!</v>
      </c>
      <c r="BH39" s="8" t="e">
        <f t="shared" si="45"/>
        <v>#REF!</v>
      </c>
      <c r="BI39" s="8" t="e">
        <f t="shared" si="45"/>
        <v>#REF!</v>
      </c>
      <c r="BM39" s="8">
        <v>34</v>
      </c>
      <c r="BN39" s="8" t="e">
        <f t="shared" ref="BN39:BR54" si="46">$G41*S$6</f>
        <v>#REF!</v>
      </c>
      <c r="BO39" s="8" t="e">
        <f t="shared" si="46"/>
        <v>#REF!</v>
      </c>
      <c r="BP39" s="8" t="e">
        <f t="shared" si="46"/>
        <v>#REF!</v>
      </c>
      <c r="BQ39" s="8" t="e">
        <f t="shared" si="46"/>
        <v>#REF!</v>
      </c>
      <c r="BR39" s="8" t="e">
        <f t="shared" si="46"/>
        <v>#REF!</v>
      </c>
      <c r="BV39" s="8">
        <v>34</v>
      </c>
      <c r="BW39" s="8" t="e">
        <f t="shared" ref="BW39:CA54" si="47">$H41*S$6</f>
        <v>#REF!</v>
      </c>
      <c r="BX39" s="8" t="e">
        <f t="shared" si="47"/>
        <v>#REF!</v>
      </c>
      <c r="BY39" s="8" t="e">
        <f t="shared" si="47"/>
        <v>#REF!</v>
      </c>
      <c r="BZ39" s="8" t="e">
        <f t="shared" si="47"/>
        <v>#REF!</v>
      </c>
      <c r="CA39" s="8" t="e">
        <f t="shared" si="47"/>
        <v>#REF!</v>
      </c>
      <c r="CE39" s="8">
        <v>34</v>
      </c>
      <c r="CF39" s="18" t="e">
        <f t="shared" si="11"/>
        <v>#REF!</v>
      </c>
      <c r="CG39" s="18" t="e">
        <f t="shared" si="12"/>
        <v>#REF!</v>
      </c>
      <c r="CH39" s="18" t="e">
        <f t="shared" si="13"/>
        <v>#REF!</v>
      </c>
      <c r="CI39" s="18" t="e">
        <f t="shared" si="14"/>
        <v>#REF!</v>
      </c>
      <c r="CJ39" s="18" t="e">
        <f t="shared" si="15"/>
        <v>#REF!</v>
      </c>
      <c r="CN39" s="8">
        <v>34</v>
      </c>
      <c r="CO39" s="18" t="e">
        <f t="shared" si="16"/>
        <v>#REF!</v>
      </c>
      <c r="CP39" s="18" t="e">
        <f t="shared" si="17"/>
        <v>#REF!</v>
      </c>
      <c r="CQ39" s="18" t="e">
        <f t="shared" si="18"/>
        <v>#REF!</v>
      </c>
      <c r="CR39" s="18" t="e">
        <f t="shared" si="19"/>
        <v>#REF!</v>
      </c>
      <c r="CS39" s="18" t="e">
        <f t="shared" si="20"/>
        <v>#REF!</v>
      </c>
      <c r="CW39" s="8">
        <v>34</v>
      </c>
      <c r="CX39" s="18" t="e">
        <f t="shared" si="21"/>
        <v>#REF!</v>
      </c>
      <c r="CY39" s="18" t="e">
        <f t="shared" si="22"/>
        <v>#REF!</v>
      </c>
      <c r="CZ39" s="18" t="e">
        <f t="shared" si="23"/>
        <v>#REF!</v>
      </c>
      <c r="DA39" s="18" t="e">
        <f t="shared" si="24"/>
        <v>#REF!</v>
      </c>
      <c r="DB39" s="18" t="e">
        <f t="shared" si="25"/>
        <v>#REF!</v>
      </c>
      <c r="DF39" s="8">
        <v>34</v>
      </c>
      <c r="DG39" s="8" t="e">
        <f t="shared" si="26"/>
        <v>#REF!</v>
      </c>
      <c r="DH39" s="8" t="e">
        <f t="shared" si="27"/>
        <v>#REF!</v>
      </c>
      <c r="DI39" s="8" t="e">
        <f t="shared" si="28"/>
        <v>#REF!</v>
      </c>
      <c r="DJ39" s="8" t="e">
        <f t="shared" si="29"/>
        <v>#REF!</v>
      </c>
      <c r="DK39" s="8" t="e">
        <f t="shared" si="30"/>
        <v>#REF!</v>
      </c>
      <c r="DO39" s="8">
        <v>34</v>
      </c>
      <c r="DP39" s="8" t="e">
        <f t="shared" si="31"/>
        <v>#REF!</v>
      </c>
      <c r="DQ39" s="8" t="e">
        <f t="shared" si="32"/>
        <v>#REF!</v>
      </c>
      <c r="DR39" s="8" t="e">
        <f t="shared" si="33"/>
        <v>#REF!</v>
      </c>
      <c r="DS39" s="8" t="e">
        <f t="shared" si="34"/>
        <v>#REF!</v>
      </c>
      <c r="DT39" s="8" t="e">
        <f t="shared" si="35"/>
        <v>#REF!</v>
      </c>
    </row>
    <row r="40" spans="2:124">
      <c r="B40" s="8">
        <v>33</v>
      </c>
      <c r="C40" s="19" t="e">
        <f t="shared" si="44"/>
        <v>#REF!</v>
      </c>
      <c r="D40" s="19" t="e">
        <f t="shared" si="44"/>
        <v>#REF!</v>
      </c>
      <c r="E40" s="19" t="e">
        <f t="shared" si="44"/>
        <v>#REF!</v>
      </c>
      <c r="F40" s="19" t="e">
        <f t="shared" si="44"/>
        <v>#REF!</v>
      </c>
      <c r="G40" s="19" t="e">
        <f t="shared" si="44"/>
        <v>#REF!</v>
      </c>
      <c r="H40" s="19" t="e">
        <f t="shared" si="39"/>
        <v>#REF!</v>
      </c>
      <c r="I40" s="19" t="e">
        <f t="shared" si="39"/>
        <v>#REF!</v>
      </c>
      <c r="J40" s="19" t="e">
        <f t="shared" si="39"/>
        <v>#REF!</v>
      </c>
      <c r="K40" s="19" t="e">
        <f t="shared" si="39"/>
        <v>#REF!</v>
      </c>
      <c r="L40" s="16" t="e">
        <f t="shared" si="39"/>
        <v>#REF!</v>
      </c>
      <c r="M40" s="16" t="e">
        <f t="shared" si="39"/>
        <v>#REF!</v>
      </c>
      <c r="AC40" s="8">
        <v>35</v>
      </c>
      <c r="AD40" s="8" t="e">
        <f>($C42*'[1]功能-城建'!EX38)*S$6+AD39</f>
        <v>#REF!</v>
      </c>
      <c r="AE40" s="8" t="e">
        <f>($C42*'[1]功能-城建'!EY38)*T$6+AE39</f>
        <v>#REF!</v>
      </c>
      <c r="AF40" s="8" t="e">
        <f>($C42*'[1]功能-城建'!EZ38)*U$6+AF39</f>
        <v>#REF!</v>
      </c>
      <c r="AG40" s="8" t="e">
        <f>($C42*'[1]功能-城建'!FA38)*V$6+AG39</f>
        <v>#REF!</v>
      </c>
      <c r="AH40" s="8" t="e">
        <f>($C42*'[1]功能-城建'!FB38)*W$6+AH39</f>
        <v>#REF!</v>
      </c>
      <c r="AL40" s="8">
        <v>35</v>
      </c>
      <c r="AM40" s="8" t="e">
        <f>($D42*'[1]功能-城建'!HM38)*S$6+AM39</f>
        <v>#REF!</v>
      </c>
      <c r="AN40" s="8" t="e">
        <f>($D42*'[1]功能-城建'!HN38)*T$6+AN39</f>
        <v>#REF!</v>
      </c>
      <c r="AO40" s="8" t="e">
        <f>($D42*'[1]功能-城建'!HO38)*U$6+AO39</f>
        <v>#REF!</v>
      </c>
      <c r="AP40" s="8" t="e">
        <f>($D42*'[1]功能-城建'!HP38)*V$6+AP39</f>
        <v>#REF!</v>
      </c>
      <c r="AQ40" s="8" t="e">
        <f>($D42*'[1]功能-城建'!HQ38)*W$6+AQ39</f>
        <v>#REF!</v>
      </c>
      <c r="AU40" s="8">
        <v>35</v>
      </c>
      <c r="AV40" s="8" t="e">
        <f>($E42*'[1]功能-城建'!GF38)*S$6+AV39</f>
        <v>#REF!</v>
      </c>
      <c r="AW40" s="8" t="e">
        <f>($E42*'[1]功能-城建'!GG38)*T$6+AW39</f>
        <v>#REF!</v>
      </c>
      <c r="AX40" s="8" t="e">
        <f>($E42*'[1]功能-城建'!GH38)*U$6+AX39</f>
        <v>#REF!</v>
      </c>
      <c r="AY40" s="8" t="e">
        <f>($E42*'[1]功能-城建'!GI38)*V$6+AY39</f>
        <v>#REF!</v>
      </c>
      <c r="AZ40" s="8" t="e">
        <f>($E42*'[1]功能-城建'!GJ38)*W$6+AZ39</f>
        <v>#REF!</v>
      </c>
      <c r="BD40" s="8">
        <v>35</v>
      </c>
      <c r="BE40" s="8" t="e">
        <f t="shared" si="45"/>
        <v>#REF!</v>
      </c>
      <c r="BF40" s="8" t="e">
        <f t="shared" si="45"/>
        <v>#REF!</v>
      </c>
      <c r="BG40" s="8" t="e">
        <f t="shared" si="45"/>
        <v>#REF!</v>
      </c>
      <c r="BH40" s="8" t="e">
        <f t="shared" si="45"/>
        <v>#REF!</v>
      </c>
      <c r="BI40" s="8" t="e">
        <f t="shared" si="45"/>
        <v>#REF!</v>
      </c>
      <c r="BM40" s="8">
        <v>35</v>
      </c>
      <c r="BN40" s="8" t="e">
        <f t="shared" si="46"/>
        <v>#REF!</v>
      </c>
      <c r="BO40" s="8" t="e">
        <f t="shared" si="46"/>
        <v>#REF!</v>
      </c>
      <c r="BP40" s="8" t="e">
        <f t="shared" si="46"/>
        <v>#REF!</v>
      </c>
      <c r="BQ40" s="8" t="e">
        <f t="shared" si="46"/>
        <v>#REF!</v>
      </c>
      <c r="BR40" s="8" t="e">
        <f t="shared" si="46"/>
        <v>#REF!</v>
      </c>
      <c r="BV40" s="8">
        <v>35</v>
      </c>
      <c r="BW40" s="8" t="e">
        <f t="shared" si="47"/>
        <v>#REF!</v>
      </c>
      <c r="BX40" s="8" t="e">
        <f t="shared" si="47"/>
        <v>#REF!</v>
      </c>
      <c r="BY40" s="8" t="e">
        <f t="shared" si="47"/>
        <v>#REF!</v>
      </c>
      <c r="BZ40" s="8" t="e">
        <f t="shared" si="47"/>
        <v>#REF!</v>
      </c>
      <c r="CA40" s="8" t="e">
        <f t="shared" si="47"/>
        <v>#REF!</v>
      </c>
      <c r="CE40" s="8">
        <v>35</v>
      </c>
      <c r="CF40" s="18" t="e">
        <f t="shared" si="11"/>
        <v>#REF!</v>
      </c>
      <c r="CG40" s="18" t="e">
        <f t="shared" si="12"/>
        <v>#REF!</v>
      </c>
      <c r="CH40" s="18" t="e">
        <f t="shared" si="13"/>
        <v>#REF!</v>
      </c>
      <c r="CI40" s="18" t="e">
        <f t="shared" si="14"/>
        <v>#REF!</v>
      </c>
      <c r="CJ40" s="18" t="e">
        <f t="shared" si="15"/>
        <v>#REF!</v>
      </c>
      <c r="CN40" s="8">
        <v>35</v>
      </c>
      <c r="CO40" s="18" t="e">
        <f t="shared" si="16"/>
        <v>#REF!</v>
      </c>
      <c r="CP40" s="18" t="e">
        <f t="shared" si="17"/>
        <v>#REF!</v>
      </c>
      <c r="CQ40" s="18" t="e">
        <f t="shared" si="18"/>
        <v>#REF!</v>
      </c>
      <c r="CR40" s="18" t="e">
        <f t="shared" si="19"/>
        <v>#REF!</v>
      </c>
      <c r="CS40" s="18" t="e">
        <f t="shared" si="20"/>
        <v>#REF!</v>
      </c>
      <c r="CW40" s="8">
        <v>35</v>
      </c>
      <c r="CX40" s="18" t="e">
        <f t="shared" si="21"/>
        <v>#REF!</v>
      </c>
      <c r="CY40" s="18" t="e">
        <f t="shared" si="22"/>
        <v>#REF!</v>
      </c>
      <c r="CZ40" s="18" t="e">
        <f t="shared" si="23"/>
        <v>#REF!</v>
      </c>
      <c r="DA40" s="18" t="e">
        <f t="shared" si="24"/>
        <v>#REF!</v>
      </c>
      <c r="DB40" s="18" t="e">
        <f t="shared" si="25"/>
        <v>#REF!</v>
      </c>
      <c r="DF40" s="8">
        <v>35</v>
      </c>
      <c r="DG40" s="8" t="e">
        <f t="shared" si="26"/>
        <v>#REF!</v>
      </c>
      <c r="DH40" s="8" t="e">
        <f t="shared" si="27"/>
        <v>#REF!</v>
      </c>
      <c r="DI40" s="8" t="e">
        <f t="shared" si="28"/>
        <v>#REF!</v>
      </c>
      <c r="DJ40" s="8" t="e">
        <f t="shared" si="29"/>
        <v>#REF!</v>
      </c>
      <c r="DK40" s="8" t="e">
        <f t="shared" si="30"/>
        <v>#REF!</v>
      </c>
      <c r="DO40" s="8">
        <v>35</v>
      </c>
      <c r="DP40" s="8" t="e">
        <f t="shared" si="31"/>
        <v>#REF!</v>
      </c>
      <c r="DQ40" s="8" t="e">
        <f t="shared" si="32"/>
        <v>#REF!</v>
      </c>
      <c r="DR40" s="8" t="e">
        <f t="shared" si="33"/>
        <v>#REF!</v>
      </c>
      <c r="DS40" s="8" t="e">
        <f t="shared" si="34"/>
        <v>#REF!</v>
      </c>
      <c r="DT40" s="8" t="e">
        <f t="shared" si="35"/>
        <v>#REF!</v>
      </c>
    </row>
    <row r="41" spans="2:124">
      <c r="B41" s="8">
        <v>34</v>
      </c>
      <c r="C41" s="19" t="e">
        <f t="shared" si="44"/>
        <v>#REF!</v>
      </c>
      <c r="D41" s="19" t="e">
        <f t="shared" si="44"/>
        <v>#REF!</v>
      </c>
      <c r="E41" s="19" t="e">
        <f t="shared" si="44"/>
        <v>#REF!</v>
      </c>
      <c r="F41" s="19" t="e">
        <f t="shared" si="44"/>
        <v>#REF!</v>
      </c>
      <c r="G41" s="19" t="e">
        <f t="shared" si="44"/>
        <v>#REF!</v>
      </c>
      <c r="H41" s="19" t="e">
        <f t="shared" si="39"/>
        <v>#REF!</v>
      </c>
      <c r="I41" s="19" t="e">
        <f t="shared" si="39"/>
        <v>#REF!</v>
      </c>
      <c r="J41" s="19" t="e">
        <f t="shared" si="39"/>
        <v>#REF!</v>
      </c>
      <c r="K41" s="19" t="e">
        <f t="shared" si="39"/>
        <v>#REF!</v>
      </c>
      <c r="L41" s="16" t="e">
        <f t="shared" si="39"/>
        <v>#REF!</v>
      </c>
      <c r="M41" s="16" t="e">
        <f t="shared" si="39"/>
        <v>#REF!</v>
      </c>
      <c r="AC41" s="8">
        <v>36</v>
      </c>
      <c r="AD41" s="8" t="e">
        <f>($C43*'[1]功能-城建'!EX39)*S$6+AD40</f>
        <v>#REF!</v>
      </c>
      <c r="AE41" s="8" t="e">
        <f>($C43*'[1]功能-城建'!EY39)*T$6+AE40</f>
        <v>#REF!</v>
      </c>
      <c r="AF41" s="8" t="e">
        <f>($C43*'[1]功能-城建'!EZ39)*U$6+AF40</f>
        <v>#REF!</v>
      </c>
      <c r="AG41" s="8" t="e">
        <f>($C43*'[1]功能-城建'!FA39)*V$6+AG40</f>
        <v>#REF!</v>
      </c>
      <c r="AH41" s="8" t="e">
        <f>($C43*'[1]功能-城建'!FB39)*W$6+AH40</f>
        <v>#REF!</v>
      </c>
      <c r="AL41" s="8">
        <v>36</v>
      </c>
      <c r="AM41" s="8" t="e">
        <f>($D43*'[1]功能-城建'!HM39)*S$6+AM40</f>
        <v>#REF!</v>
      </c>
      <c r="AN41" s="8" t="e">
        <f>($D43*'[1]功能-城建'!HN39)*T$6+AN40</f>
        <v>#REF!</v>
      </c>
      <c r="AO41" s="8" t="e">
        <f>($D43*'[1]功能-城建'!HO39)*U$6+AO40</f>
        <v>#REF!</v>
      </c>
      <c r="AP41" s="8" t="e">
        <f>($D43*'[1]功能-城建'!HP39)*V$6+AP40</f>
        <v>#REF!</v>
      </c>
      <c r="AQ41" s="8" t="e">
        <f>($D43*'[1]功能-城建'!HQ39)*W$6+AQ40</f>
        <v>#REF!</v>
      </c>
      <c r="AU41" s="8">
        <v>36</v>
      </c>
      <c r="AV41" s="8" t="e">
        <f>($E43*'[1]功能-城建'!GF39)*S$6+AV40</f>
        <v>#REF!</v>
      </c>
      <c r="AW41" s="8" t="e">
        <f>($E43*'[1]功能-城建'!GG39)*T$6+AW40</f>
        <v>#REF!</v>
      </c>
      <c r="AX41" s="8" t="e">
        <f>($E43*'[1]功能-城建'!GH39)*U$6+AX40</f>
        <v>#REF!</v>
      </c>
      <c r="AY41" s="8" t="e">
        <f>($E43*'[1]功能-城建'!GI39)*V$6+AY40</f>
        <v>#REF!</v>
      </c>
      <c r="AZ41" s="8" t="e">
        <f>($E43*'[1]功能-城建'!GJ39)*W$6+AZ40</f>
        <v>#REF!</v>
      </c>
      <c r="BD41" s="8">
        <v>36</v>
      </c>
      <c r="BE41" s="8" t="e">
        <f t="shared" si="45"/>
        <v>#REF!</v>
      </c>
      <c r="BF41" s="8" t="e">
        <f t="shared" si="45"/>
        <v>#REF!</v>
      </c>
      <c r="BG41" s="8" t="e">
        <f t="shared" si="45"/>
        <v>#REF!</v>
      </c>
      <c r="BH41" s="8" t="e">
        <f t="shared" si="45"/>
        <v>#REF!</v>
      </c>
      <c r="BI41" s="8" t="e">
        <f t="shared" si="45"/>
        <v>#REF!</v>
      </c>
      <c r="BM41" s="8">
        <v>36</v>
      </c>
      <c r="BN41" s="8" t="e">
        <f t="shared" si="46"/>
        <v>#REF!</v>
      </c>
      <c r="BO41" s="8" t="e">
        <f t="shared" si="46"/>
        <v>#REF!</v>
      </c>
      <c r="BP41" s="8" t="e">
        <f t="shared" si="46"/>
        <v>#REF!</v>
      </c>
      <c r="BQ41" s="8" t="e">
        <f t="shared" si="46"/>
        <v>#REF!</v>
      </c>
      <c r="BR41" s="8" t="e">
        <f t="shared" si="46"/>
        <v>#REF!</v>
      </c>
      <c r="BV41" s="8">
        <v>36</v>
      </c>
      <c r="BW41" s="8" t="e">
        <f t="shared" si="47"/>
        <v>#REF!</v>
      </c>
      <c r="BX41" s="8" t="e">
        <f t="shared" si="47"/>
        <v>#REF!</v>
      </c>
      <c r="BY41" s="8" t="e">
        <f t="shared" si="47"/>
        <v>#REF!</v>
      </c>
      <c r="BZ41" s="8" t="e">
        <f t="shared" si="47"/>
        <v>#REF!</v>
      </c>
      <c r="CA41" s="8" t="e">
        <f t="shared" si="47"/>
        <v>#REF!</v>
      </c>
      <c r="CE41" s="8">
        <v>36</v>
      </c>
      <c r="CF41" s="18" t="e">
        <f t="shared" si="11"/>
        <v>#REF!</v>
      </c>
      <c r="CG41" s="18" t="e">
        <f t="shared" si="12"/>
        <v>#REF!</v>
      </c>
      <c r="CH41" s="18" t="e">
        <f t="shared" si="13"/>
        <v>#REF!</v>
      </c>
      <c r="CI41" s="18" t="e">
        <f t="shared" si="14"/>
        <v>#REF!</v>
      </c>
      <c r="CJ41" s="18" t="e">
        <f t="shared" si="15"/>
        <v>#REF!</v>
      </c>
      <c r="CN41" s="8">
        <v>36</v>
      </c>
      <c r="CO41" s="18" t="e">
        <f t="shared" si="16"/>
        <v>#REF!</v>
      </c>
      <c r="CP41" s="18" t="e">
        <f t="shared" si="17"/>
        <v>#REF!</v>
      </c>
      <c r="CQ41" s="18" t="e">
        <f t="shared" si="18"/>
        <v>#REF!</v>
      </c>
      <c r="CR41" s="18" t="e">
        <f t="shared" si="19"/>
        <v>#REF!</v>
      </c>
      <c r="CS41" s="18" t="e">
        <f t="shared" si="20"/>
        <v>#REF!</v>
      </c>
      <c r="CW41" s="8">
        <v>36</v>
      </c>
      <c r="CX41" s="18" t="e">
        <f t="shared" si="21"/>
        <v>#REF!</v>
      </c>
      <c r="CY41" s="18" t="e">
        <f t="shared" si="22"/>
        <v>#REF!</v>
      </c>
      <c r="CZ41" s="18" t="e">
        <f t="shared" si="23"/>
        <v>#REF!</v>
      </c>
      <c r="DA41" s="18" t="e">
        <f t="shared" si="24"/>
        <v>#REF!</v>
      </c>
      <c r="DB41" s="18" t="e">
        <f t="shared" si="25"/>
        <v>#REF!</v>
      </c>
      <c r="DF41" s="8">
        <v>36</v>
      </c>
      <c r="DG41" s="8" t="e">
        <f t="shared" si="26"/>
        <v>#REF!</v>
      </c>
      <c r="DH41" s="8" t="e">
        <f t="shared" si="27"/>
        <v>#REF!</v>
      </c>
      <c r="DI41" s="8" t="e">
        <f t="shared" si="28"/>
        <v>#REF!</v>
      </c>
      <c r="DJ41" s="8" t="e">
        <f t="shared" si="29"/>
        <v>#REF!</v>
      </c>
      <c r="DK41" s="8" t="e">
        <f t="shared" si="30"/>
        <v>#REF!</v>
      </c>
      <c r="DO41" s="8">
        <v>36</v>
      </c>
      <c r="DP41" s="8" t="e">
        <f t="shared" si="31"/>
        <v>#REF!</v>
      </c>
      <c r="DQ41" s="8" t="e">
        <f t="shared" si="32"/>
        <v>#REF!</v>
      </c>
      <c r="DR41" s="8" t="e">
        <f t="shared" si="33"/>
        <v>#REF!</v>
      </c>
      <c r="DS41" s="8" t="e">
        <f t="shared" si="34"/>
        <v>#REF!</v>
      </c>
      <c r="DT41" s="8" t="e">
        <f t="shared" si="35"/>
        <v>#REF!</v>
      </c>
    </row>
    <row r="42" spans="2:124">
      <c r="B42" s="8">
        <v>35</v>
      </c>
      <c r="C42" s="19" t="e">
        <f t="shared" si="44"/>
        <v>#REF!</v>
      </c>
      <c r="D42" s="19" t="e">
        <f t="shared" si="44"/>
        <v>#REF!</v>
      </c>
      <c r="E42" s="19" t="e">
        <f t="shared" si="44"/>
        <v>#REF!</v>
      </c>
      <c r="F42" s="19" t="e">
        <f t="shared" si="44"/>
        <v>#REF!</v>
      </c>
      <c r="G42" s="19" t="e">
        <f t="shared" si="44"/>
        <v>#REF!</v>
      </c>
      <c r="H42" s="19" t="e">
        <f t="shared" si="39"/>
        <v>#REF!</v>
      </c>
      <c r="I42" s="19" t="e">
        <f t="shared" si="39"/>
        <v>#REF!</v>
      </c>
      <c r="J42" s="19" t="e">
        <f t="shared" si="39"/>
        <v>#REF!</v>
      </c>
      <c r="K42" s="19" t="e">
        <f t="shared" si="39"/>
        <v>#REF!</v>
      </c>
      <c r="L42" s="16" t="e">
        <f t="shared" si="39"/>
        <v>#REF!</v>
      </c>
      <c r="M42" s="16" t="e">
        <f t="shared" si="39"/>
        <v>#REF!</v>
      </c>
      <c r="AC42" s="8">
        <v>37</v>
      </c>
      <c r="AD42" s="8" t="e">
        <f>($C44*'[1]功能-城建'!EX40)*S$6+AD41</f>
        <v>#REF!</v>
      </c>
      <c r="AE42" s="8" t="e">
        <f>($C44*'[1]功能-城建'!EY40)*T$6+AE41</f>
        <v>#REF!</v>
      </c>
      <c r="AF42" s="8" t="e">
        <f>($C44*'[1]功能-城建'!EZ40)*U$6+AF41</f>
        <v>#REF!</v>
      </c>
      <c r="AG42" s="8" t="e">
        <f>($C44*'[1]功能-城建'!FA40)*V$6+AG41</f>
        <v>#REF!</v>
      </c>
      <c r="AH42" s="8" t="e">
        <f>($C44*'[1]功能-城建'!FB40)*W$6+AH41</f>
        <v>#REF!</v>
      </c>
      <c r="AL42" s="8">
        <v>37</v>
      </c>
      <c r="AM42" s="8" t="e">
        <f>($D44*'[1]功能-城建'!HM40)*S$6+AM41</f>
        <v>#REF!</v>
      </c>
      <c r="AN42" s="8" t="e">
        <f>($D44*'[1]功能-城建'!HN40)*T$6+AN41</f>
        <v>#REF!</v>
      </c>
      <c r="AO42" s="8" t="e">
        <f>($D44*'[1]功能-城建'!HO40)*U$6+AO41</f>
        <v>#REF!</v>
      </c>
      <c r="AP42" s="8" t="e">
        <f>($D44*'[1]功能-城建'!HP40)*V$6+AP41</f>
        <v>#REF!</v>
      </c>
      <c r="AQ42" s="8" t="e">
        <f>($D44*'[1]功能-城建'!HQ40)*W$6+AQ41</f>
        <v>#REF!</v>
      </c>
      <c r="AU42" s="8">
        <v>37</v>
      </c>
      <c r="AV42" s="8" t="e">
        <f>($E44*'[1]功能-城建'!GF40)*S$6+AV41</f>
        <v>#REF!</v>
      </c>
      <c r="AW42" s="8" t="e">
        <f>($E44*'[1]功能-城建'!GG40)*T$6+AW41</f>
        <v>#REF!</v>
      </c>
      <c r="AX42" s="8" t="e">
        <f>($E44*'[1]功能-城建'!GH40)*U$6+AX41</f>
        <v>#REF!</v>
      </c>
      <c r="AY42" s="8" t="e">
        <f>($E44*'[1]功能-城建'!GI40)*V$6+AY41</f>
        <v>#REF!</v>
      </c>
      <c r="AZ42" s="8" t="e">
        <f>($E44*'[1]功能-城建'!GJ40)*W$6+AZ41</f>
        <v>#REF!</v>
      </c>
      <c r="BD42" s="8">
        <v>37</v>
      </c>
      <c r="BE42" s="8" t="e">
        <f t="shared" si="45"/>
        <v>#REF!</v>
      </c>
      <c r="BF42" s="8" t="e">
        <f t="shared" si="45"/>
        <v>#REF!</v>
      </c>
      <c r="BG42" s="8" t="e">
        <f t="shared" si="45"/>
        <v>#REF!</v>
      </c>
      <c r="BH42" s="8" t="e">
        <f t="shared" si="45"/>
        <v>#REF!</v>
      </c>
      <c r="BI42" s="8" t="e">
        <f t="shared" si="45"/>
        <v>#REF!</v>
      </c>
      <c r="BM42" s="8">
        <v>37</v>
      </c>
      <c r="BN42" s="8" t="e">
        <f t="shared" si="46"/>
        <v>#REF!</v>
      </c>
      <c r="BO42" s="8" t="e">
        <f t="shared" si="46"/>
        <v>#REF!</v>
      </c>
      <c r="BP42" s="8" t="e">
        <f t="shared" si="46"/>
        <v>#REF!</v>
      </c>
      <c r="BQ42" s="8" t="e">
        <f t="shared" si="46"/>
        <v>#REF!</v>
      </c>
      <c r="BR42" s="8" t="e">
        <f t="shared" si="46"/>
        <v>#REF!</v>
      </c>
      <c r="BV42" s="8">
        <v>37</v>
      </c>
      <c r="BW42" s="8" t="e">
        <f t="shared" si="47"/>
        <v>#REF!</v>
      </c>
      <c r="BX42" s="8" t="e">
        <f t="shared" si="47"/>
        <v>#REF!</v>
      </c>
      <c r="BY42" s="8" t="e">
        <f t="shared" si="47"/>
        <v>#REF!</v>
      </c>
      <c r="BZ42" s="8" t="e">
        <f t="shared" si="47"/>
        <v>#REF!</v>
      </c>
      <c r="CA42" s="8" t="e">
        <f t="shared" si="47"/>
        <v>#REF!</v>
      </c>
      <c r="CE42" s="8">
        <v>37</v>
      </c>
      <c r="CF42" s="18" t="e">
        <f t="shared" si="11"/>
        <v>#REF!</v>
      </c>
      <c r="CG42" s="18" t="e">
        <f t="shared" si="12"/>
        <v>#REF!</v>
      </c>
      <c r="CH42" s="18" t="e">
        <f t="shared" si="13"/>
        <v>#REF!</v>
      </c>
      <c r="CI42" s="18" t="e">
        <f t="shared" si="14"/>
        <v>#REF!</v>
      </c>
      <c r="CJ42" s="18" t="e">
        <f t="shared" si="15"/>
        <v>#REF!</v>
      </c>
      <c r="CN42" s="8">
        <v>37</v>
      </c>
      <c r="CO42" s="18" t="e">
        <f t="shared" si="16"/>
        <v>#REF!</v>
      </c>
      <c r="CP42" s="18" t="e">
        <f t="shared" si="17"/>
        <v>#REF!</v>
      </c>
      <c r="CQ42" s="18" t="e">
        <f t="shared" si="18"/>
        <v>#REF!</v>
      </c>
      <c r="CR42" s="18" t="e">
        <f t="shared" si="19"/>
        <v>#REF!</v>
      </c>
      <c r="CS42" s="18" t="e">
        <f t="shared" si="20"/>
        <v>#REF!</v>
      </c>
      <c r="CW42" s="8">
        <v>37</v>
      </c>
      <c r="CX42" s="18" t="e">
        <f t="shared" si="21"/>
        <v>#REF!</v>
      </c>
      <c r="CY42" s="18" t="e">
        <f t="shared" si="22"/>
        <v>#REF!</v>
      </c>
      <c r="CZ42" s="18" t="e">
        <f t="shared" si="23"/>
        <v>#REF!</v>
      </c>
      <c r="DA42" s="18" t="e">
        <f t="shared" si="24"/>
        <v>#REF!</v>
      </c>
      <c r="DB42" s="18" t="e">
        <f t="shared" si="25"/>
        <v>#REF!</v>
      </c>
      <c r="DF42" s="8">
        <v>37</v>
      </c>
      <c r="DG42" s="8" t="e">
        <f t="shared" si="26"/>
        <v>#REF!</v>
      </c>
      <c r="DH42" s="8" t="e">
        <f t="shared" si="27"/>
        <v>#REF!</v>
      </c>
      <c r="DI42" s="8" t="e">
        <f t="shared" si="28"/>
        <v>#REF!</v>
      </c>
      <c r="DJ42" s="8" t="e">
        <f t="shared" si="29"/>
        <v>#REF!</v>
      </c>
      <c r="DK42" s="8" t="e">
        <f t="shared" si="30"/>
        <v>#REF!</v>
      </c>
      <c r="DO42" s="8">
        <v>37</v>
      </c>
      <c r="DP42" s="8" t="e">
        <f t="shared" si="31"/>
        <v>#REF!</v>
      </c>
      <c r="DQ42" s="8" t="e">
        <f t="shared" si="32"/>
        <v>#REF!</v>
      </c>
      <c r="DR42" s="8" t="e">
        <f t="shared" si="33"/>
        <v>#REF!</v>
      </c>
      <c r="DS42" s="8" t="e">
        <f t="shared" si="34"/>
        <v>#REF!</v>
      </c>
      <c r="DT42" s="8" t="e">
        <f t="shared" si="35"/>
        <v>#REF!</v>
      </c>
    </row>
    <row r="43" spans="2:124">
      <c r="B43" s="8">
        <v>36</v>
      </c>
      <c r="C43" s="19" t="e">
        <f t="shared" si="44"/>
        <v>#REF!</v>
      </c>
      <c r="D43" s="19" t="e">
        <f t="shared" si="44"/>
        <v>#REF!</v>
      </c>
      <c r="E43" s="19" t="e">
        <f t="shared" si="44"/>
        <v>#REF!</v>
      </c>
      <c r="F43" s="19" t="e">
        <f t="shared" si="44"/>
        <v>#REF!</v>
      </c>
      <c r="G43" s="19" t="e">
        <f t="shared" si="44"/>
        <v>#REF!</v>
      </c>
      <c r="H43" s="19" t="e">
        <f t="shared" si="39"/>
        <v>#REF!</v>
      </c>
      <c r="I43" s="19" t="e">
        <f t="shared" si="39"/>
        <v>#REF!</v>
      </c>
      <c r="J43" s="19" t="e">
        <f t="shared" si="39"/>
        <v>#REF!</v>
      </c>
      <c r="K43" s="19" t="e">
        <f t="shared" si="39"/>
        <v>#REF!</v>
      </c>
      <c r="L43" s="16" t="e">
        <f t="shared" si="39"/>
        <v>#REF!</v>
      </c>
      <c r="M43" s="16" t="e">
        <f t="shared" si="39"/>
        <v>#REF!</v>
      </c>
      <c r="AC43" s="8">
        <v>38</v>
      </c>
      <c r="AD43" s="8" t="e">
        <f>($C45*'[1]功能-城建'!EX41)*S$6+AD42</f>
        <v>#REF!</v>
      </c>
      <c r="AE43" s="8" t="e">
        <f>($C45*'[1]功能-城建'!EY41)*T$6+AE42</f>
        <v>#REF!</v>
      </c>
      <c r="AF43" s="8" t="e">
        <f>($C45*'[1]功能-城建'!EZ41)*U$6+AF42</f>
        <v>#REF!</v>
      </c>
      <c r="AG43" s="8" t="e">
        <f>($C45*'[1]功能-城建'!FA41)*V$6+AG42</f>
        <v>#REF!</v>
      </c>
      <c r="AH43" s="8" t="e">
        <f>($C45*'[1]功能-城建'!FB41)*W$6+AH42</f>
        <v>#REF!</v>
      </c>
      <c r="AL43" s="8">
        <v>38</v>
      </c>
      <c r="AM43" s="8" t="e">
        <f>($D45*'[1]功能-城建'!HM41)*S$6+AM42</f>
        <v>#REF!</v>
      </c>
      <c r="AN43" s="8" t="e">
        <f>($D45*'[1]功能-城建'!HN41)*T$6+AN42</f>
        <v>#REF!</v>
      </c>
      <c r="AO43" s="8" t="e">
        <f>($D45*'[1]功能-城建'!HO41)*U$6+AO42</f>
        <v>#REF!</v>
      </c>
      <c r="AP43" s="8" t="e">
        <f>($D45*'[1]功能-城建'!HP41)*V$6+AP42</f>
        <v>#REF!</v>
      </c>
      <c r="AQ43" s="8" t="e">
        <f>($D45*'[1]功能-城建'!HQ41)*W$6+AQ42</f>
        <v>#REF!</v>
      </c>
      <c r="AU43" s="8">
        <v>38</v>
      </c>
      <c r="AV43" s="8" t="e">
        <f>($E45*'[1]功能-城建'!GF41)*S$6+AV42</f>
        <v>#REF!</v>
      </c>
      <c r="AW43" s="8" t="e">
        <f>($E45*'[1]功能-城建'!GG41)*T$6+AW42</f>
        <v>#REF!</v>
      </c>
      <c r="AX43" s="8" t="e">
        <f>($E45*'[1]功能-城建'!GH41)*U$6+AX42</f>
        <v>#REF!</v>
      </c>
      <c r="AY43" s="8" t="e">
        <f>($E45*'[1]功能-城建'!GI41)*V$6+AY42</f>
        <v>#REF!</v>
      </c>
      <c r="AZ43" s="8" t="e">
        <f>($E45*'[1]功能-城建'!GJ41)*W$6+AZ42</f>
        <v>#REF!</v>
      </c>
      <c r="BD43" s="8">
        <v>38</v>
      </c>
      <c r="BE43" s="8" t="e">
        <f t="shared" si="45"/>
        <v>#REF!</v>
      </c>
      <c r="BF43" s="8" t="e">
        <f t="shared" si="45"/>
        <v>#REF!</v>
      </c>
      <c r="BG43" s="8" t="e">
        <f t="shared" si="45"/>
        <v>#REF!</v>
      </c>
      <c r="BH43" s="8" t="e">
        <f t="shared" si="45"/>
        <v>#REF!</v>
      </c>
      <c r="BI43" s="8" t="e">
        <f t="shared" si="45"/>
        <v>#REF!</v>
      </c>
      <c r="BM43" s="8">
        <v>38</v>
      </c>
      <c r="BN43" s="8" t="e">
        <f t="shared" si="46"/>
        <v>#REF!</v>
      </c>
      <c r="BO43" s="8" t="e">
        <f t="shared" si="46"/>
        <v>#REF!</v>
      </c>
      <c r="BP43" s="8" t="e">
        <f t="shared" si="46"/>
        <v>#REF!</v>
      </c>
      <c r="BQ43" s="8" t="e">
        <f t="shared" si="46"/>
        <v>#REF!</v>
      </c>
      <c r="BR43" s="8" t="e">
        <f t="shared" si="46"/>
        <v>#REF!</v>
      </c>
      <c r="BV43" s="8">
        <v>38</v>
      </c>
      <c r="BW43" s="8" t="e">
        <f t="shared" si="47"/>
        <v>#REF!</v>
      </c>
      <c r="BX43" s="8" t="e">
        <f t="shared" si="47"/>
        <v>#REF!</v>
      </c>
      <c r="BY43" s="8" t="e">
        <f t="shared" si="47"/>
        <v>#REF!</v>
      </c>
      <c r="BZ43" s="8" t="e">
        <f t="shared" si="47"/>
        <v>#REF!</v>
      </c>
      <c r="CA43" s="8" t="e">
        <f t="shared" si="47"/>
        <v>#REF!</v>
      </c>
      <c r="CE43" s="8">
        <v>38</v>
      </c>
      <c r="CF43" s="18" t="e">
        <f t="shared" si="11"/>
        <v>#REF!</v>
      </c>
      <c r="CG43" s="18" t="e">
        <f t="shared" si="12"/>
        <v>#REF!</v>
      </c>
      <c r="CH43" s="18" t="e">
        <f t="shared" si="13"/>
        <v>#REF!</v>
      </c>
      <c r="CI43" s="18" t="e">
        <f t="shared" si="14"/>
        <v>#REF!</v>
      </c>
      <c r="CJ43" s="18" t="e">
        <f t="shared" si="15"/>
        <v>#REF!</v>
      </c>
      <c r="CN43" s="8">
        <v>38</v>
      </c>
      <c r="CO43" s="18" t="e">
        <f t="shared" si="16"/>
        <v>#REF!</v>
      </c>
      <c r="CP43" s="18" t="e">
        <f t="shared" si="17"/>
        <v>#REF!</v>
      </c>
      <c r="CQ43" s="18" t="e">
        <f t="shared" si="18"/>
        <v>#REF!</v>
      </c>
      <c r="CR43" s="18" t="e">
        <f t="shared" si="19"/>
        <v>#REF!</v>
      </c>
      <c r="CS43" s="18" t="e">
        <f t="shared" si="20"/>
        <v>#REF!</v>
      </c>
      <c r="CW43" s="8">
        <v>38</v>
      </c>
      <c r="CX43" s="18" t="e">
        <f t="shared" si="21"/>
        <v>#REF!</v>
      </c>
      <c r="CY43" s="18" t="e">
        <f t="shared" si="22"/>
        <v>#REF!</v>
      </c>
      <c r="CZ43" s="18" t="e">
        <f t="shared" si="23"/>
        <v>#REF!</v>
      </c>
      <c r="DA43" s="18" t="e">
        <f t="shared" si="24"/>
        <v>#REF!</v>
      </c>
      <c r="DB43" s="18" t="e">
        <f t="shared" si="25"/>
        <v>#REF!</v>
      </c>
      <c r="DF43" s="8">
        <v>38</v>
      </c>
      <c r="DG43" s="8" t="e">
        <f t="shared" si="26"/>
        <v>#REF!</v>
      </c>
      <c r="DH43" s="8" t="e">
        <f t="shared" si="27"/>
        <v>#REF!</v>
      </c>
      <c r="DI43" s="8" t="e">
        <f t="shared" si="28"/>
        <v>#REF!</v>
      </c>
      <c r="DJ43" s="8" t="e">
        <f t="shared" si="29"/>
        <v>#REF!</v>
      </c>
      <c r="DK43" s="8" t="e">
        <f t="shared" si="30"/>
        <v>#REF!</v>
      </c>
      <c r="DO43" s="8">
        <v>38</v>
      </c>
      <c r="DP43" s="8" t="e">
        <f t="shared" si="31"/>
        <v>#REF!</v>
      </c>
      <c r="DQ43" s="8" t="e">
        <f t="shared" si="32"/>
        <v>#REF!</v>
      </c>
      <c r="DR43" s="8" t="e">
        <f t="shared" si="33"/>
        <v>#REF!</v>
      </c>
      <c r="DS43" s="8" t="e">
        <f t="shared" si="34"/>
        <v>#REF!</v>
      </c>
      <c r="DT43" s="8" t="e">
        <f t="shared" si="35"/>
        <v>#REF!</v>
      </c>
    </row>
    <row r="44" spans="2:124">
      <c r="B44" s="8">
        <v>37</v>
      </c>
      <c r="C44" s="19" t="e">
        <f t="shared" si="44"/>
        <v>#REF!</v>
      </c>
      <c r="D44" s="19" t="e">
        <f t="shared" si="44"/>
        <v>#REF!</v>
      </c>
      <c r="E44" s="19" t="e">
        <f t="shared" si="44"/>
        <v>#REF!</v>
      </c>
      <c r="F44" s="19" t="e">
        <f t="shared" si="44"/>
        <v>#REF!</v>
      </c>
      <c r="G44" s="19" t="e">
        <f t="shared" si="44"/>
        <v>#REF!</v>
      </c>
      <c r="H44" s="19" t="e">
        <f t="shared" si="39"/>
        <v>#REF!</v>
      </c>
      <c r="I44" s="19" t="e">
        <f t="shared" si="39"/>
        <v>#REF!</v>
      </c>
      <c r="J44" s="19" t="e">
        <f t="shared" si="39"/>
        <v>#REF!</v>
      </c>
      <c r="K44" s="19" t="e">
        <f t="shared" si="39"/>
        <v>#REF!</v>
      </c>
      <c r="L44" s="16" t="e">
        <f t="shared" si="39"/>
        <v>#REF!</v>
      </c>
      <c r="M44" s="16" t="e">
        <f t="shared" si="39"/>
        <v>#REF!</v>
      </c>
      <c r="AC44" s="8">
        <v>39</v>
      </c>
      <c r="AD44" s="8" t="e">
        <f>($C46*'[1]功能-城建'!EX42)*S$6+AD43</f>
        <v>#REF!</v>
      </c>
      <c r="AE44" s="8" t="e">
        <f>($C46*'[1]功能-城建'!EY42)*T$6+AE43</f>
        <v>#REF!</v>
      </c>
      <c r="AF44" s="8" t="e">
        <f>($C46*'[1]功能-城建'!EZ42)*U$6+AF43</f>
        <v>#REF!</v>
      </c>
      <c r="AG44" s="8" t="e">
        <f>($C46*'[1]功能-城建'!FA42)*V$6+AG43</f>
        <v>#REF!</v>
      </c>
      <c r="AH44" s="8" t="e">
        <f>($C46*'[1]功能-城建'!FB42)*W$6+AH43</f>
        <v>#REF!</v>
      </c>
      <c r="AL44" s="8">
        <v>39</v>
      </c>
      <c r="AM44" s="8" t="e">
        <f>($D46*'[1]功能-城建'!HM42)*S$6+AM43</f>
        <v>#REF!</v>
      </c>
      <c r="AN44" s="8" t="e">
        <f>($D46*'[1]功能-城建'!HN42)*T$6+AN43</f>
        <v>#REF!</v>
      </c>
      <c r="AO44" s="8" t="e">
        <f>($D46*'[1]功能-城建'!HO42)*U$6+AO43</f>
        <v>#REF!</v>
      </c>
      <c r="AP44" s="8" t="e">
        <f>($D46*'[1]功能-城建'!HP42)*V$6+AP43</f>
        <v>#REF!</v>
      </c>
      <c r="AQ44" s="8" t="e">
        <f>($D46*'[1]功能-城建'!HQ42)*W$6+AQ43</f>
        <v>#REF!</v>
      </c>
      <c r="AU44" s="8">
        <v>39</v>
      </c>
      <c r="AV44" s="8" t="e">
        <f>($E46*'[1]功能-城建'!GF42)*S$6+AV43</f>
        <v>#REF!</v>
      </c>
      <c r="AW44" s="8" t="e">
        <f>($E46*'[1]功能-城建'!GG42)*T$6+AW43</f>
        <v>#REF!</v>
      </c>
      <c r="AX44" s="8" t="e">
        <f>($E46*'[1]功能-城建'!GH42)*U$6+AX43</f>
        <v>#REF!</v>
      </c>
      <c r="AY44" s="8" t="e">
        <f>($E46*'[1]功能-城建'!GI42)*V$6+AY43</f>
        <v>#REF!</v>
      </c>
      <c r="AZ44" s="8" t="e">
        <f>($E46*'[1]功能-城建'!GJ42)*W$6+AZ43</f>
        <v>#REF!</v>
      </c>
      <c r="BD44" s="8">
        <v>39</v>
      </c>
      <c r="BE44" s="8" t="e">
        <f t="shared" si="45"/>
        <v>#REF!</v>
      </c>
      <c r="BF44" s="8" t="e">
        <f t="shared" si="45"/>
        <v>#REF!</v>
      </c>
      <c r="BG44" s="8" t="e">
        <f t="shared" si="45"/>
        <v>#REF!</v>
      </c>
      <c r="BH44" s="8" t="e">
        <f t="shared" si="45"/>
        <v>#REF!</v>
      </c>
      <c r="BI44" s="8" t="e">
        <f t="shared" si="45"/>
        <v>#REF!</v>
      </c>
      <c r="BM44" s="8">
        <v>39</v>
      </c>
      <c r="BN44" s="8" t="e">
        <f t="shared" si="46"/>
        <v>#REF!</v>
      </c>
      <c r="BO44" s="8" t="e">
        <f t="shared" si="46"/>
        <v>#REF!</v>
      </c>
      <c r="BP44" s="8" t="e">
        <f t="shared" si="46"/>
        <v>#REF!</v>
      </c>
      <c r="BQ44" s="8" t="e">
        <f t="shared" si="46"/>
        <v>#REF!</v>
      </c>
      <c r="BR44" s="8" t="e">
        <f t="shared" si="46"/>
        <v>#REF!</v>
      </c>
      <c r="BV44" s="8">
        <v>39</v>
      </c>
      <c r="BW44" s="8" t="e">
        <f t="shared" si="47"/>
        <v>#REF!</v>
      </c>
      <c r="BX44" s="8" t="e">
        <f t="shared" si="47"/>
        <v>#REF!</v>
      </c>
      <c r="BY44" s="8" t="e">
        <f t="shared" si="47"/>
        <v>#REF!</v>
      </c>
      <c r="BZ44" s="8" t="e">
        <f t="shared" si="47"/>
        <v>#REF!</v>
      </c>
      <c r="CA44" s="8" t="e">
        <f t="shared" si="47"/>
        <v>#REF!</v>
      </c>
      <c r="CE44" s="8">
        <v>39</v>
      </c>
      <c r="CF44" s="18" t="e">
        <f t="shared" si="11"/>
        <v>#REF!</v>
      </c>
      <c r="CG44" s="18" t="e">
        <f t="shared" si="12"/>
        <v>#REF!</v>
      </c>
      <c r="CH44" s="18" t="e">
        <f t="shared" si="13"/>
        <v>#REF!</v>
      </c>
      <c r="CI44" s="18" t="e">
        <f t="shared" si="14"/>
        <v>#REF!</v>
      </c>
      <c r="CJ44" s="18" t="e">
        <f t="shared" si="15"/>
        <v>#REF!</v>
      </c>
      <c r="CN44" s="8">
        <v>39</v>
      </c>
      <c r="CO44" s="18" t="e">
        <f t="shared" si="16"/>
        <v>#REF!</v>
      </c>
      <c r="CP44" s="18" t="e">
        <f t="shared" si="17"/>
        <v>#REF!</v>
      </c>
      <c r="CQ44" s="18" t="e">
        <f t="shared" si="18"/>
        <v>#REF!</v>
      </c>
      <c r="CR44" s="18" t="e">
        <f t="shared" si="19"/>
        <v>#REF!</v>
      </c>
      <c r="CS44" s="18" t="e">
        <f t="shared" si="20"/>
        <v>#REF!</v>
      </c>
      <c r="CW44" s="8">
        <v>39</v>
      </c>
      <c r="CX44" s="18" t="e">
        <f t="shared" si="21"/>
        <v>#REF!</v>
      </c>
      <c r="CY44" s="18" t="e">
        <f t="shared" si="22"/>
        <v>#REF!</v>
      </c>
      <c r="CZ44" s="18" t="e">
        <f t="shared" si="23"/>
        <v>#REF!</v>
      </c>
      <c r="DA44" s="18" t="e">
        <f t="shared" si="24"/>
        <v>#REF!</v>
      </c>
      <c r="DB44" s="18" t="e">
        <f t="shared" si="25"/>
        <v>#REF!</v>
      </c>
      <c r="DF44" s="8">
        <v>39</v>
      </c>
      <c r="DG44" s="8" t="e">
        <f t="shared" si="26"/>
        <v>#REF!</v>
      </c>
      <c r="DH44" s="8" t="e">
        <f t="shared" si="27"/>
        <v>#REF!</v>
      </c>
      <c r="DI44" s="8" t="e">
        <f t="shared" si="28"/>
        <v>#REF!</v>
      </c>
      <c r="DJ44" s="8" t="e">
        <f t="shared" si="29"/>
        <v>#REF!</v>
      </c>
      <c r="DK44" s="8" t="e">
        <f t="shared" si="30"/>
        <v>#REF!</v>
      </c>
      <c r="DO44" s="8">
        <v>39</v>
      </c>
      <c r="DP44" s="8" t="e">
        <f t="shared" si="31"/>
        <v>#REF!</v>
      </c>
      <c r="DQ44" s="8" t="e">
        <f t="shared" si="32"/>
        <v>#REF!</v>
      </c>
      <c r="DR44" s="8" t="e">
        <f t="shared" si="33"/>
        <v>#REF!</v>
      </c>
      <c r="DS44" s="8" t="e">
        <f t="shared" si="34"/>
        <v>#REF!</v>
      </c>
      <c r="DT44" s="8" t="e">
        <f t="shared" si="35"/>
        <v>#REF!</v>
      </c>
    </row>
    <row r="45" spans="2:124">
      <c r="B45" s="8">
        <v>38</v>
      </c>
      <c r="C45" s="19" t="e">
        <f t="shared" si="44"/>
        <v>#REF!</v>
      </c>
      <c r="D45" s="19" t="e">
        <f t="shared" si="44"/>
        <v>#REF!</v>
      </c>
      <c r="E45" s="19" t="e">
        <f t="shared" si="44"/>
        <v>#REF!</v>
      </c>
      <c r="F45" s="19" t="e">
        <f t="shared" si="44"/>
        <v>#REF!</v>
      </c>
      <c r="G45" s="19" t="e">
        <f t="shared" si="44"/>
        <v>#REF!</v>
      </c>
      <c r="H45" s="19" t="e">
        <f t="shared" si="39"/>
        <v>#REF!</v>
      </c>
      <c r="I45" s="19" t="e">
        <f t="shared" si="39"/>
        <v>#REF!</v>
      </c>
      <c r="J45" s="19" t="e">
        <f t="shared" si="39"/>
        <v>#REF!</v>
      </c>
      <c r="K45" s="19" t="e">
        <f t="shared" si="39"/>
        <v>#REF!</v>
      </c>
      <c r="L45" s="16" t="e">
        <f t="shared" si="39"/>
        <v>#REF!</v>
      </c>
      <c r="M45" s="16" t="e">
        <f t="shared" si="39"/>
        <v>#REF!</v>
      </c>
      <c r="AC45" s="8">
        <v>40</v>
      </c>
      <c r="AD45" s="8" t="e">
        <f>($C47*'[1]功能-城建'!EX43)*S$6+AD44</f>
        <v>#REF!</v>
      </c>
      <c r="AE45" s="8" t="e">
        <f>($C47*'[1]功能-城建'!EY43)*T$6+AE44</f>
        <v>#REF!</v>
      </c>
      <c r="AF45" s="8" t="e">
        <f>($C47*'[1]功能-城建'!EZ43)*U$6+AF44</f>
        <v>#REF!</v>
      </c>
      <c r="AG45" s="8" t="e">
        <f>($C47*'[1]功能-城建'!FA43)*V$6+AG44</f>
        <v>#REF!</v>
      </c>
      <c r="AH45" s="8" t="e">
        <f>($C47*'[1]功能-城建'!FB43)*W$6+AH44</f>
        <v>#REF!</v>
      </c>
      <c r="AL45" s="8">
        <v>40</v>
      </c>
      <c r="AM45" s="8" t="e">
        <f>($D47*'[1]功能-城建'!HM43)*S$6+AM44</f>
        <v>#REF!</v>
      </c>
      <c r="AN45" s="8" t="e">
        <f>($D47*'[1]功能-城建'!HN43)*T$6+AN44</f>
        <v>#REF!</v>
      </c>
      <c r="AO45" s="8" t="e">
        <f>($D47*'[1]功能-城建'!HO43)*U$6+AO44</f>
        <v>#REF!</v>
      </c>
      <c r="AP45" s="8" t="e">
        <f>($D47*'[1]功能-城建'!HP43)*V$6+AP44</f>
        <v>#REF!</v>
      </c>
      <c r="AQ45" s="8" t="e">
        <f>($D47*'[1]功能-城建'!HQ43)*W$6+AQ44</f>
        <v>#REF!</v>
      </c>
      <c r="AU45" s="8">
        <v>40</v>
      </c>
      <c r="AV45" s="8" t="e">
        <f>($E47*'[1]功能-城建'!GF43)*S$6+AV44</f>
        <v>#REF!</v>
      </c>
      <c r="AW45" s="8" t="e">
        <f>($E47*'[1]功能-城建'!GG43)*T$6+AW44</f>
        <v>#REF!</v>
      </c>
      <c r="AX45" s="8" t="e">
        <f>($E47*'[1]功能-城建'!GH43)*U$6+AX44</f>
        <v>#REF!</v>
      </c>
      <c r="AY45" s="8" t="e">
        <f>($E47*'[1]功能-城建'!GI43)*V$6+AY44</f>
        <v>#REF!</v>
      </c>
      <c r="AZ45" s="8" t="e">
        <f>($E47*'[1]功能-城建'!GJ43)*W$6+AZ44</f>
        <v>#REF!</v>
      </c>
      <c r="BD45" s="8">
        <v>40</v>
      </c>
      <c r="BE45" s="8" t="e">
        <f t="shared" si="45"/>
        <v>#REF!</v>
      </c>
      <c r="BF45" s="8" t="e">
        <f t="shared" si="45"/>
        <v>#REF!</v>
      </c>
      <c r="BG45" s="8" t="e">
        <f t="shared" si="45"/>
        <v>#REF!</v>
      </c>
      <c r="BH45" s="8" t="e">
        <f t="shared" si="45"/>
        <v>#REF!</v>
      </c>
      <c r="BI45" s="8" t="e">
        <f t="shared" si="45"/>
        <v>#REF!</v>
      </c>
      <c r="BM45" s="8">
        <v>40</v>
      </c>
      <c r="BN45" s="8" t="e">
        <f t="shared" si="46"/>
        <v>#REF!</v>
      </c>
      <c r="BO45" s="8" t="e">
        <f t="shared" si="46"/>
        <v>#REF!</v>
      </c>
      <c r="BP45" s="8" t="e">
        <f t="shared" si="46"/>
        <v>#REF!</v>
      </c>
      <c r="BQ45" s="8" t="e">
        <f t="shared" si="46"/>
        <v>#REF!</v>
      </c>
      <c r="BR45" s="8" t="e">
        <f t="shared" si="46"/>
        <v>#REF!</v>
      </c>
      <c r="BV45" s="8">
        <v>40</v>
      </c>
      <c r="BW45" s="8" t="e">
        <f t="shared" si="47"/>
        <v>#REF!</v>
      </c>
      <c r="BX45" s="8" t="e">
        <f t="shared" si="47"/>
        <v>#REF!</v>
      </c>
      <c r="BY45" s="8" t="e">
        <f t="shared" si="47"/>
        <v>#REF!</v>
      </c>
      <c r="BZ45" s="8" t="e">
        <f t="shared" si="47"/>
        <v>#REF!</v>
      </c>
      <c r="CA45" s="8" t="e">
        <f t="shared" si="47"/>
        <v>#REF!</v>
      </c>
      <c r="CE45" s="8">
        <v>40</v>
      </c>
      <c r="CF45" s="18" t="e">
        <f t="shared" si="11"/>
        <v>#REF!</v>
      </c>
      <c r="CG45" s="18" t="e">
        <f t="shared" si="12"/>
        <v>#REF!</v>
      </c>
      <c r="CH45" s="18" t="e">
        <f t="shared" si="13"/>
        <v>#REF!</v>
      </c>
      <c r="CI45" s="18" t="e">
        <f t="shared" si="14"/>
        <v>#REF!</v>
      </c>
      <c r="CJ45" s="18" t="e">
        <f t="shared" si="15"/>
        <v>#REF!</v>
      </c>
      <c r="CN45" s="8">
        <v>40</v>
      </c>
      <c r="CO45" s="18" t="e">
        <f t="shared" si="16"/>
        <v>#REF!</v>
      </c>
      <c r="CP45" s="18" t="e">
        <f t="shared" si="17"/>
        <v>#REF!</v>
      </c>
      <c r="CQ45" s="18" t="e">
        <f t="shared" si="18"/>
        <v>#REF!</v>
      </c>
      <c r="CR45" s="18" t="e">
        <f t="shared" si="19"/>
        <v>#REF!</v>
      </c>
      <c r="CS45" s="18" t="e">
        <f t="shared" si="20"/>
        <v>#REF!</v>
      </c>
      <c r="CW45" s="8">
        <v>40</v>
      </c>
      <c r="CX45" s="18" t="e">
        <f t="shared" si="21"/>
        <v>#REF!</v>
      </c>
      <c r="CY45" s="18" t="e">
        <f t="shared" si="22"/>
        <v>#REF!</v>
      </c>
      <c r="CZ45" s="18" t="e">
        <f t="shared" si="23"/>
        <v>#REF!</v>
      </c>
      <c r="DA45" s="18" t="e">
        <f t="shared" si="24"/>
        <v>#REF!</v>
      </c>
      <c r="DB45" s="18" t="e">
        <f t="shared" si="25"/>
        <v>#REF!</v>
      </c>
      <c r="DF45" s="8">
        <v>40</v>
      </c>
      <c r="DG45" s="8" t="e">
        <f t="shared" si="26"/>
        <v>#REF!</v>
      </c>
      <c r="DH45" s="8" t="e">
        <f t="shared" si="27"/>
        <v>#REF!</v>
      </c>
      <c r="DI45" s="8" t="e">
        <f t="shared" si="28"/>
        <v>#REF!</v>
      </c>
      <c r="DJ45" s="8" t="e">
        <f t="shared" si="29"/>
        <v>#REF!</v>
      </c>
      <c r="DK45" s="8" t="e">
        <f t="shared" si="30"/>
        <v>#REF!</v>
      </c>
      <c r="DO45" s="8">
        <v>40</v>
      </c>
      <c r="DP45" s="8" t="e">
        <f t="shared" si="31"/>
        <v>#REF!</v>
      </c>
      <c r="DQ45" s="8" t="e">
        <f t="shared" si="32"/>
        <v>#REF!</v>
      </c>
      <c r="DR45" s="8" t="e">
        <f t="shared" si="33"/>
        <v>#REF!</v>
      </c>
      <c r="DS45" s="8" t="e">
        <f t="shared" si="34"/>
        <v>#REF!</v>
      </c>
      <c r="DT45" s="8" t="e">
        <f t="shared" si="35"/>
        <v>#REF!</v>
      </c>
    </row>
    <row r="46" spans="2:124">
      <c r="B46" s="8">
        <v>39</v>
      </c>
      <c r="C46" s="19" t="e">
        <f t="shared" si="44"/>
        <v>#REF!</v>
      </c>
      <c r="D46" s="19" t="e">
        <f t="shared" si="44"/>
        <v>#REF!</v>
      </c>
      <c r="E46" s="19" t="e">
        <f t="shared" si="44"/>
        <v>#REF!</v>
      </c>
      <c r="F46" s="19" t="e">
        <f t="shared" si="44"/>
        <v>#REF!</v>
      </c>
      <c r="G46" s="19" t="e">
        <f t="shared" si="44"/>
        <v>#REF!</v>
      </c>
      <c r="H46" s="19" t="e">
        <f t="shared" si="39"/>
        <v>#REF!</v>
      </c>
      <c r="I46" s="19" t="e">
        <f t="shared" si="39"/>
        <v>#REF!</v>
      </c>
      <c r="J46" s="19" t="e">
        <f t="shared" si="39"/>
        <v>#REF!</v>
      </c>
      <c r="K46" s="19" t="e">
        <f t="shared" si="39"/>
        <v>#REF!</v>
      </c>
      <c r="L46" s="16" t="e">
        <f t="shared" si="39"/>
        <v>#REF!</v>
      </c>
      <c r="M46" s="16" t="e">
        <f t="shared" si="39"/>
        <v>#REF!</v>
      </c>
      <c r="AC46" s="8">
        <v>41</v>
      </c>
      <c r="AD46" s="8" t="e">
        <f>($C48*'[1]功能-城建'!EX44)*S$6+AD45</f>
        <v>#REF!</v>
      </c>
      <c r="AE46" s="8" t="e">
        <f>($C48*'[1]功能-城建'!EY44)*T$6+AE45</f>
        <v>#REF!</v>
      </c>
      <c r="AF46" s="8" t="e">
        <f>($C48*'[1]功能-城建'!EZ44)*U$6+AF45</f>
        <v>#REF!</v>
      </c>
      <c r="AG46" s="8" t="e">
        <f>($C48*'[1]功能-城建'!FA44)*V$6+AG45</f>
        <v>#REF!</v>
      </c>
      <c r="AH46" s="8" t="e">
        <f>($C48*'[1]功能-城建'!FB44)*W$6+AH45</f>
        <v>#REF!</v>
      </c>
      <c r="AL46" s="8">
        <v>41</v>
      </c>
      <c r="AM46" s="8" t="e">
        <f>($D48*'[1]功能-城建'!HM44)*S$6+AM45</f>
        <v>#REF!</v>
      </c>
      <c r="AN46" s="8" t="e">
        <f>($D48*'[1]功能-城建'!HN44)*T$6+AN45</f>
        <v>#REF!</v>
      </c>
      <c r="AO46" s="8" t="e">
        <f>($D48*'[1]功能-城建'!HO44)*U$6+AO45</f>
        <v>#REF!</v>
      </c>
      <c r="AP46" s="8" t="e">
        <f>($D48*'[1]功能-城建'!HP44)*V$6+AP45</f>
        <v>#REF!</v>
      </c>
      <c r="AQ46" s="8" t="e">
        <f>($D48*'[1]功能-城建'!HQ44)*W$6+AQ45</f>
        <v>#REF!</v>
      </c>
      <c r="AU46" s="8">
        <v>41</v>
      </c>
      <c r="AV46" s="8" t="e">
        <f>($E48*'[1]功能-城建'!GF44)*S$6+AV45</f>
        <v>#REF!</v>
      </c>
      <c r="AW46" s="8" t="e">
        <f>($E48*'[1]功能-城建'!GG44)*T$6+AW45</f>
        <v>#REF!</v>
      </c>
      <c r="AX46" s="8" t="e">
        <f>($E48*'[1]功能-城建'!GH44)*U$6+AX45</f>
        <v>#REF!</v>
      </c>
      <c r="AY46" s="8" t="e">
        <f>($E48*'[1]功能-城建'!GI44)*V$6+AY45</f>
        <v>#REF!</v>
      </c>
      <c r="AZ46" s="8" t="e">
        <f>($E48*'[1]功能-城建'!GJ44)*W$6+AZ45</f>
        <v>#REF!</v>
      </c>
      <c r="BD46" s="8">
        <v>41</v>
      </c>
      <c r="BE46" s="8" t="e">
        <f t="shared" si="45"/>
        <v>#REF!</v>
      </c>
      <c r="BF46" s="8" t="e">
        <f t="shared" si="45"/>
        <v>#REF!</v>
      </c>
      <c r="BG46" s="8" t="e">
        <f t="shared" si="45"/>
        <v>#REF!</v>
      </c>
      <c r="BH46" s="8" t="e">
        <f t="shared" si="45"/>
        <v>#REF!</v>
      </c>
      <c r="BI46" s="8" t="e">
        <f t="shared" si="45"/>
        <v>#REF!</v>
      </c>
      <c r="BM46" s="8">
        <v>41</v>
      </c>
      <c r="BN46" s="8" t="e">
        <f t="shared" si="46"/>
        <v>#REF!</v>
      </c>
      <c r="BO46" s="8" t="e">
        <f t="shared" si="46"/>
        <v>#REF!</v>
      </c>
      <c r="BP46" s="8" t="e">
        <f t="shared" si="46"/>
        <v>#REF!</v>
      </c>
      <c r="BQ46" s="8" t="e">
        <f t="shared" si="46"/>
        <v>#REF!</v>
      </c>
      <c r="BR46" s="8" t="e">
        <f t="shared" si="46"/>
        <v>#REF!</v>
      </c>
      <c r="BV46" s="8">
        <v>41</v>
      </c>
      <c r="BW46" s="8" t="e">
        <f t="shared" si="47"/>
        <v>#REF!</v>
      </c>
      <c r="BX46" s="8" t="e">
        <f t="shared" si="47"/>
        <v>#REF!</v>
      </c>
      <c r="BY46" s="8" t="e">
        <f t="shared" si="47"/>
        <v>#REF!</v>
      </c>
      <c r="BZ46" s="8" t="e">
        <f t="shared" si="47"/>
        <v>#REF!</v>
      </c>
      <c r="CA46" s="8" t="e">
        <f t="shared" si="47"/>
        <v>#REF!</v>
      </c>
      <c r="CE46" s="8">
        <v>41</v>
      </c>
      <c r="CF46" s="18" t="e">
        <f t="shared" si="11"/>
        <v>#REF!</v>
      </c>
      <c r="CG46" s="18" t="e">
        <f t="shared" si="12"/>
        <v>#REF!</v>
      </c>
      <c r="CH46" s="18" t="e">
        <f t="shared" si="13"/>
        <v>#REF!</v>
      </c>
      <c r="CI46" s="18" t="e">
        <f t="shared" si="14"/>
        <v>#REF!</v>
      </c>
      <c r="CJ46" s="18" t="e">
        <f t="shared" si="15"/>
        <v>#REF!</v>
      </c>
      <c r="CN46" s="8">
        <v>41</v>
      </c>
      <c r="CO46" s="18" t="e">
        <f t="shared" si="16"/>
        <v>#REF!</v>
      </c>
      <c r="CP46" s="18" t="e">
        <f t="shared" si="17"/>
        <v>#REF!</v>
      </c>
      <c r="CQ46" s="18" t="e">
        <f t="shared" si="18"/>
        <v>#REF!</v>
      </c>
      <c r="CR46" s="18" t="e">
        <f t="shared" si="19"/>
        <v>#REF!</v>
      </c>
      <c r="CS46" s="18" t="e">
        <f t="shared" si="20"/>
        <v>#REF!</v>
      </c>
      <c r="CW46" s="8">
        <v>41</v>
      </c>
      <c r="CX46" s="18" t="e">
        <f t="shared" si="21"/>
        <v>#REF!</v>
      </c>
      <c r="CY46" s="18" t="e">
        <f t="shared" si="22"/>
        <v>#REF!</v>
      </c>
      <c r="CZ46" s="18" t="e">
        <f t="shared" si="23"/>
        <v>#REF!</v>
      </c>
      <c r="DA46" s="18" t="e">
        <f t="shared" si="24"/>
        <v>#REF!</v>
      </c>
      <c r="DB46" s="18" t="e">
        <f t="shared" si="25"/>
        <v>#REF!</v>
      </c>
      <c r="DF46" s="8">
        <v>41</v>
      </c>
      <c r="DG46" s="8" t="e">
        <f t="shared" si="26"/>
        <v>#REF!</v>
      </c>
      <c r="DH46" s="8" t="e">
        <f t="shared" si="27"/>
        <v>#REF!</v>
      </c>
      <c r="DI46" s="8" t="e">
        <f t="shared" si="28"/>
        <v>#REF!</v>
      </c>
      <c r="DJ46" s="8" t="e">
        <f t="shared" si="29"/>
        <v>#REF!</v>
      </c>
      <c r="DK46" s="8" t="e">
        <f t="shared" si="30"/>
        <v>#REF!</v>
      </c>
      <c r="DO46" s="8">
        <v>41</v>
      </c>
      <c r="DP46" s="8" t="e">
        <f t="shared" si="31"/>
        <v>#REF!</v>
      </c>
      <c r="DQ46" s="8" t="e">
        <f t="shared" si="32"/>
        <v>#REF!</v>
      </c>
      <c r="DR46" s="8" t="e">
        <f t="shared" si="33"/>
        <v>#REF!</v>
      </c>
      <c r="DS46" s="8" t="e">
        <f t="shared" si="34"/>
        <v>#REF!</v>
      </c>
      <c r="DT46" s="8" t="e">
        <f t="shared" si="35"/>
        <v>#REF!</v>
      </c>
    </row>
    <row r="47" spans="2:124">
      <c r="B47" s="8">
        <v>40</v>
      </c>
      <c r="C47" s="19" t="e">
        <f t="shared" si="44"/>
        <v>#REF!</v>
      </c>
      <c r="D47" s="19" t="e">
        <f t="shared" si="44"/>
        <v>#REF!</v>
      </c>
      <c r="E47" s="19" t="e">
        <f t="shared" si="44"/>
        <v>#REF!</v>
      </c>
      <c r="F47" s="19" t="e">
        <f t="shared" si="44"/>
        <v>#REF!</v>
      </c>
      <c r="G47" s="19" t="e">
        <f t="shared" si="44"/>
        <v>#REF!</v>
      </c>
      <c r="H47" s="19" t="e">
        <f t="shared" si="39"/>
        <v>#REF!</v>
      </c>
      <c r="I47" s="19" t="e">
        <f t="shared" si="39"/>
        <v>#REF!</v>
      </c>
      <c r="J47" s="19" t="e">
        <f t="shared" si="39"/>
        <v>#REF!</v>
      </c>
      <c r="K47" s="19" t="e">
        <f t="shared" si="39"/>
        <v>#REF!</v>
      </c>
      <c r="L47" s="16" t="e">
        <f t="shared" si="39"/>
        <v>#REF!</v>
      </c>
      <c r="M47" s="16" t="e">
        <f t="shared" si="39"/>
        <v>#REF!</v>
      </c>
      <c r="AC47" s="8">
        <v>42</v>
      </c>
      <c r="AD47" s="8" t="e">
        <f>($C49*'[1]功能-城建'!EX45)*S$6+AD46</f>
        <v>#REF!</v>
      </c>
      <c r="AE47" s="8" t="e">
        <f>($C49*'[1]功能-城建'!EY45)*T$6+AE46</f>
        <v>#REF!</v>
      </c>
      <c r="AF47" s="8" t="e">
        <f>($C49*'[1]功能-城建'!EZ45)*U$6+AF46</f>
        <v>#REF!</v>
      </c>
      <c r="AG47" s="8" t="e">
        <f>($C49*'[1]功能-城建'!FA45)*V$6+AG46</f>
        <v>#REF!</v>
      </c>
      <c r="AH47" s="8" t="e">
        <f>($C49*'[1]功能-城建'!FB45)*W$6+AH46</f>
        <v>#REF!</v>
      </c>
      <c r="AL47" s="8">
        <v>42</v>
      </c>
      <c r="AM47" s="8" t="e">
        <f>($D49*'[1]功能-城建'!HM45)*S$6+AM46</f>
        <v>#REF!</v>
      </c>
      <c r="AN47" s="8" t="e">
        <f>($D49*'[1]功能-城建'!HN45)*T$6+AN46</f>
        <v>#REF!</v>
      </c>
      <c r="AO47" s="8" t="e">
        <f>($D49*'[1]功能-城建'!HO45)*U$6+AO46</f>
        <v>#REF!</v>
      </c>
      <c r="AP47" s="8" t="e">
        <f>($D49*'[1]功能-城建'!HP45)*V$6+AP46</f>
        <v>#REF!</v>
      </c>
      <c r="AQ47" s="8" t="e">
        <f>($D49*'[1]功能-城建'!HQ45)*W$6+AQ46</f>
        <v>#REF!</v>
      </c>
      <c r="AU47" s="8">
        <v>42</v>
      </c>
      <c r="AV47" s="8" t="e">
        <f>($E49*'[1]功能-城建'!GF45)*S$6+AV46</f>
        <v>#REF!</v>
      </c>
      <c r="AW47" s="8" t="e">
        <f>($E49*'[1]功能-城建'!GG45)*T$6+AW46</f>
        <v>#REF!</v>
      </c>
      <c r="AX47" s="8" t="e">
        <f>($E49*'[1]功能-城建'!GH45)*U$6+AX46</f>
        <v>#REF!</v>
      </c>
      <c r="AY47" s="8" t="e">
        <f>($E49*'[1]功能-城建'!GI45)*V$6+AY46</f>
        <v>#REF!</v>
      </c>
      <c r="AZ47" s="8" t="e">
        <f>($E49*'[1]功能-城建'!GJ45)*W$6+AZ46</f>
        <v>#REF!</v>
      </c>
      <c r="BD47" s="8">
        <v>42</v>
      </c>
      <c r="BE47" s="8" t="e">
        <f t="shared" si="45"/>
        <v>#REF!</v>
      </c>
      <c r="BF47" s="8" t="e">
        <f t="shared" si="45"/>
        <v>#REF!</v>
      </c>
      <c r="BG47" s="8" t="e">
        <f t="shared" si="45"/>
        <v>#REF!</v>
      </c>
      <c r="BH47" s="8" t="e">
        <f t="shared" si="45"/>
        <v>#REF!</v>
      </c>
      <c r="BI47" s="8" t="e">
        <f t="shared" si="45"/>
        <v>#REF!</v>
      </c>
      <c r="BM47" s="8">
        <v>42</v>
      </c>
      <c r="BN47" s="8" t="e">
        <f t="shared" si="46"/>
        <v>#REF!</v>
      </c>
      <c r="BO47" s="8" t="e">
        <f t="shared" si="46"/>
        <v>#REF!</v>
      </c>
      <c r="BP47" s="8" t="e">
        <f t="shared" si="46"/>
        <v>#REF!</v>
      </c>
      <c r="BQ47" s="8" t="e">
        <f t="shared" si="46"/>
        <v>#REF!</v>
      </c>
      <c r="BR47" s="8" t="e">
        <f t="shared" si="46"/>
        <v>#REF!</v>
      </c>
      <c r="BV47" s="8">
        <v>42</v>
      </c>
      <c r="BW47" s="8" t="e">
        <f t="shared" si="47"/>
        <v>#REF!</v>
      </c>
      <c r="BX47" s="8" t="e">
        <f t="shared" si="47"/>
        <v>#REF!</v>
      </c>
      <c r="BY47" s="8" t="e">
        <f t="shared" si="47"/>
        <v>#REF!</v>
      </c>
      <c r="BZ47" s="8" t="e">
        <f t="shared" si="47"/>
        <v>#REF!</v>
      </c>
      <c r="CA47" s="8" t="e">
        <f t="shared" si="47"/>
        <v>#REF!</v>
      </c>
      <c r="CE47" s="8">
        <v>42</v>
      </c>
      <c r="CF47" s="18" t="e">
        <f t="shared" si="11"/>
        <v>#REF!</v>
      </c>
      <c r="CG47" s="18" t="e">
        <f t="shared" si="12"/>
        <v>#REF!</v>
      </c>
      <c r="CH47" s="18" t="e">
        <f t="shared" si="13"/>
        <v>#REF!</v>
      </c>
      <c r="CI47" s="18" t="e">
        <f t="shared" si="14"/>
        <v>#REF!</v>
      </c>
      <c r="CJ47" s="18" t="e">
        <f t="shared" si="15"/>
        <v>#REF!</v>
      </c>
      <c r="CN47" s="8">
        <v>42</v>
      </c>
      <c r="CO47" s="18" t="e">
        <f t="shared" si="16"/>
        <v>#REF!</v>
      </c>
      <c r="CP47" s="18" t="e">
        <f t="shared" si="17"/>
        <v>#REF!</v>
      </c>
      <c r="CQ47" s="18" t="e">
        <f t="shared" si="18"/>
        <v>#REF!</v>
      </c>
      <c r="CR47" s="18" t="e">
        <f t="shared" si="19"/>
        <v>#REF!</v>
      </c>
      <c r="CS47" s="18" t="e">
        <f t="shared" si="20"/>
        <v>#REF!</v>
      </c>
      <c r="CW47" s="8">
        <v>42</v>
      </c>
      <c r="CX47" s="18" t="e">
        <f t="shared" si="21"/>
        <v>#REF!</v>
      </c>
      <c r="CY47" s="18" t="e">
        <f t="shared" si="22"/>
        <v>#REF!</v>
      </c>
      <c r="CZ47" s="18" t="e">
        <f t="shared" si="23"/>
        <v>#REF!</v>
      </c>
      <c r="DA47" s="18" t="e">
        <f t="shared" si="24"/>
        <v>#REF!</v>
      </c>
      <c r="DB47" s="18" t="e">
        <f t="shared" si="25"/>
        <v>#REF!</v>
      </c>
      <c r="DF47" s="8">
        <v>42</v>
      </c>
      <c r="DG47" s="8" t="e">
        <f t="shared" si="26"/>
        <v>#REF!</v>
      </c>
      <c r="DH47" s="8" t="e">
        <f t="shared" si="27"/>
        <v>#REF!</v>
      </c>
      <c r="DI47" s="8" t="e">
        <f t="shared" si="28"/>
        <v>#REF!</v>
      </c>
      <c r="DJ47" s="8" t="e">
        <f t="shared" si="29"/>
        <v>#REF!</v>
      </c>
      <c r="DK47" s="8" t="e">
        <f t="shared" si="30"/>
        <v>#REF!</v>
      </c>
      <c r="DO47" s="8">
        <v>42</v>
      </c>
      <c r="DP47" s="8" t="e">
        <f t="shared" si="31"/>
        <v>#REF!</v>
      </c>
      <c r="DQ47" s="8" t="e">
        <f t="shared" si="32"/>
        <v>#REF!</v>
      </c>
      <c r="DR47" s="8" t="e">
        <f t="shared" si="33"/>
        <v>#REF!</v>
      </c>
      <c r="DS47" s="8" t="e">
        <f t="shared" si="34"/>
        <v>#REF!</v>
      </c>
      <c r="DT47" s="8" t="e">
        <f t="shared" si="35"/>
        <v>#REF!</v>
      </c>
    </row>
    <row r="48" spans="2:124">
      <c r="B48" s="8">
        <v>41</v>
      </c>
      <c r="C48" s="19" t="e">
        <f t="shared" si="44"/>
        <v>#REF!</v>
      </c>
      <c r="D48" s="19" t="e">
        <f t="shared" si="44"/>
        <v>#REF!</v>
      </c>
      <c r="E48" s="19" t="e">
        <f t="shared" si="44"/>
        <v>#REF!</v>
      </c>
      <c r="F48" s="19" t="e">
        <f t="shared" si="44"/>
        <v>#REF!</v>
      </c>
      <c r="G48" s="19" t="e">
        <f t="shared" si="44"/>
        <v>#REF!</v>
      </c>
      <c r="H48" s="19" t="e">
        <f t="shared" si="39"/>
        <v>#REF!</v>
      </c>
      <c r="I48" s="19" t="e">
        <f t="shared" si="39"/>
        <v>#REF!</v>
      </c>
      <c r="J48" s="19" t="e">
        <f t="shared" si="39"/>
        <v>#REF!</v>
      </c>
      <c r="K48" s="19" t="e">
        <f t="shared" si="39"/>
        <v>#REF!</v>
      </c>
      <c r="L48" s="16" t="e">
        <f t="shared" si="39"/>
        <v>#REF!</v>
      </c>
      <c r="M48" s="16" t="e">
        <f t="shared" si="39"/>
        <v>#REF!</v>
      </c>
      <c r="AC48" s="8">
        <v>43</v>
      </c>
      <c r="AD48" s="8" t="e">
        <f>($C50*'[1]功能-城建'!EX46)*S$6+AD47</f>
        <v>#REF!</v>
      </c>
      <c r="AE48" s="8" t="e">
        <f>($C50*'[1]功能-城建'!EY46)*T$6+AE47</f>
        <v>#REF!</v>
      </c>
      <c r="AF48" s="8" t="e">
        <f>($C50*'[1]功能-城建'!EZ46)*U$6+AF47</f>
        <v>#REF!</v>
      </c>
      <c r="AG48" s="8" t="e">
        <f>($C50*'[1]功能-城建'!FA46)*V$6+AG47</f>
        <v>#REF!</v>
      </c>
      <c r="AH48" s="8" t="e">
        <f>($C50*'[1]功能-城建'!FB46)*W$6+AH47</f>
        <v>#REF!</v>
      </c>
      <c r="AL48" s="8">
        <v>43</v>
      </c>
      <c r="AM48" s="8" t="e">
        <f>($D50*'[1]功能-城建'!HM46)*S$6+AM47</f>
        <v>#REF!</v>
      </c>
      <c r="AN48" s="8" t="e">
        <f>($D50*'[1]功能-城建'!HN46)*T$6+AN47</f>
        <v>#REF!</v>
      </c>
      <c r="AO48" s="8" t="e">
        <f>($D50*'[1]功能-城建'!HO46)*U$6+AO47</f>
        <v>#REF!</v>
      </c>
      <c r="AP48" s="8" t="e">
        <f>($D50*'[1]功能-城建'!HP46)*V$6+AP47</f>
        <v>#REF!</v>
      </c>
      <c r="AQ48" s="8" t="e">
        <f>($D50*'[1]功能-城建'!HQ46)*W$6+AQ47</f>
        <v>#REF!</v>
      </c>
      <c r="AU48" s="8">
        <v>43</v>
      </c>
      <c r="AV48" s="8" t="e">
        <f>($E50*'[1]功能-城建'!GF46)*S$6+AV47</f>
        <v>#REF!</v>
      </c>
      <c r="AW48" s="8" t="e">
        <f>($E50*'[1]功能-城建'!GG46)*T$6+AW47</f>
        <v>#REF!</v>
      </c>
      <c r="AX48" s="8" t="e">
        <f>($E50*'[1]功能-城建'!GH46)*U$6+AX47</f>
        <v>#REF!</v>
      </c>
      <c r="AY48" s="8" t="e">
        <f>($E50*'[1]功能-城建'!GI46)*V$6+AY47</f>
        <v>#REF!</v>
      </c>
      <c r="AZ48" s="8" t="e">
        <f>($E50*'[1]功能-城建'!GJ46)*W$6+AZ47</f>
        <v>#REF!</v>
      </c>
      <c r="BD48" s="8">
        <v>43</v>
      </c>
      <c r="BE48" s="8" t="e">
        <f t="shared" si="45"/>
        <v>#REF!</v>
      </c>
      <c r="BF48" s="8" t="e">
        <f t="shared" si="45"/>
        <v>#REF!</v>
      </c>
      <c r="BG48" s="8" t="e">
        <f t="shared" si="45"/>
        <v>#REF!</v>
      </c>
      <c r="BH48" s="8" t="e">
        <f t="shared" si="45"/>
        <v>#REF!</v>
      </c>
      <c r="BI48" s="8" t="e">
        <f t="shared" si="45"/>
        <v>#REF!</v>
      </c>
      <c r="BM48" s="8">
        <v>43</v>
      </c>
      <c r="BN48" s="8" t="e">
        <f t="shared" si="46"/>
        <v>#REF!</v>
      </c>
      <c r="BO48" s="8" t="e">
        <f t="shared" si="46"/>
        <v>#REF!</v>
      </c>
      <c r="BP48" s="8" t="e">
        <f t="shared" si="46"/>
        <v>#REF!</v>
      </c>
      <c r="BQ48" s="8" t="e">
        <f t="shared" si="46"/>
        <v>#REF!</v>
      </c>
      <c r="BR48" s="8" t="e">
        <f t="shared" si="46"/>
        <v>#REF!</v>
      </c>
      <c r="BV48" s="8">
        <v>43</v>
      </c>
      <c r="BW48" s="8" t="e">
        <f t="shared" si="47"/>
        <v>#REF!</v>
      </c>
      <c r="BX48" s="8" t="e">
        <f t="shared" si="47"/>
        <v>#REF!</v>
      </c>
      <c r="BY48" s="8" t="e">
        <f t="shared" si="47"/>
        <v>#REF!</v>
      </c>
      <c r="BZ48" s="8" t="e">
        <f t="shared" si="47"/>
        <v>#REF!</v>
      </c>
      <c r="CA48" s="8" t="e">
        <f t="shared" si="47"/>
        <v>#REF!</v>
      </c>
      <c r="CE48" s="8">
        <v>43</v>
      </c>
      <c r="CF48" s="18" t="e">
        <f t="shared" si="11"/>
        <v>#REF!</v>
      </c>
      <c r="CG48" s="18" t="e">
        <f t="shared" si="12"/>
        <v>#REF!</v>
      </c>
      <c r="CH48" s="18" t="e">
        <f t="shared" si="13"/>
        <v>#REF!</v>
      </c>
      <c r="CI48" s="18" t="e">
        <f t="shared" si="14"/>
        <v>#REF!</v>
      </c>
      <c r="CJ48" s="18" t="e">
        <f t="shared" si="15"/>
        <v>#REF!</v>
      </c>
      <c r="CN48" s="8">
        <v>43</v>
      </c>
      <c r="CO48" s="18" t="e">
        <f t="shared" si="16"/>
        <v>#REF!</v>
      </c>
      <c r="CP48" s="18" t="e">
        <f t="shared" si="17"/>
        <v>#REF!</v>
      </c>
      <c r="CQ48" s="18" t="e">
        <f t="shared" si="18"/>
        <v>#REF!</v>
      </c>
      <c r="CR48" s="18" t="e">
        <f t="shared" si="19"/>
        <v>#REF!</v>
      </c>
      <c r="CS48" s="18" t="e">
        <f t="shared" si="20"/>
        <v>#REF!</v>
      </c>
      <c r="CW48" s="8">
        <v>43</v>
      </c>
      <c r="CX48" s="18" t="e">
        <f t="shared" si="21"/>
        <v>#REF!</v>
      </c>
      <c r="CY48" s="18" t="e">
        <f t="shared" si="22"/>
        <v>#REF!</v>
      </c>
      <c r="CZ48" s="18" t="e">
        <f t="shared" si="23"/>
        <v>#REF!</v>
      </c>
      <c r="DA48" s="18" t="e">
        <f t="shared" si="24"/>
        <v>#REF!</v>
      </c>
      <c r="DB48" s="18" t="e">
        <f t="shared" si="25"/>
        <v>#REF!</v>
      </c>
      <c r="DF48" s="8">
        <v>43</v>
      </c>
      <c r="DG48" s="8" t="e">
        <f t="shared" si="26"/>
        <v>#REF!</v>
      </c>
      <c r="DH48" s="8" t="e">
        <f t="shared" si="27"/>
        <v>#REF!</v>
      </c>
      <c r="DI48" s="8" t="e">
        <f t="shared" si="28"/>
        <v>#REF!</v>
      </c>
      <c r="DJ48" s="8" t="e">
        <f t="shared" si="29"/>
        <v>#REF!</v>
      </c>
      <c r="DK48" s="8" t="e">
        <f t="shared" si="30"/>
        <v>#REF!</v>
      </c>
      <c r="DO48" s="8">
        <v>43</v>
      </c>
      <c r="DP48" s="8" t="e">
        <f t="shared" si="31"/>
        <v>#REF!</v>
      </c>
      <c r="DQ48" s="8" t="e">
        <f t="shared" si="32"/>
        <v>#REF!</v>
      </c>
      <c r="DR48" s="8" t="e">
        <f t="shared" si="33"/>
        <v>#REF!</v>
      </c>
      <c r="DS48" s="8" t="e">
        <f t="shared" si="34"/>
        <v>#REF!</v>
      </c>
      <c r="DT48" s="8" t="e">
        <f t="shared" si="35"/>
        <v>#REF!</v>
      </c>
    </row>
    <row r="49" spans="2:124">
      <c r="B49" s="8">
        <v>42</v>
      </c>
      <c r="C49" s="19" t="e">
        <f t="shared" si="44"/>
        <v>#REF!</v>
      </c>
      <c r="D49" s="19" t="e">
        <f t="shared" si="44"/>
        <v>#REF!</v>
      </c>
      <c r="E49" s="19" t="e">
        <f t="shared" si="44"/>
        <v>#REF!</v>
      </c>
      <c r="F49" s="19" t="e">
        <f t="shared" si="44"/>
        <v>#REF!</v>
      </c>
      <c r="G49" s="19" t="e">
        <f t="shared" si="44"/>
        <v>#REF!</v>
      </c>
      <c r="H49" s="19" t="e">
        <f t="shared" si="39"/>
        <v>#REF!</v>
      </c>
      <c r="I49" s="19" t="e">
        <f t="shared" si="39"/>
        <v>#REF!</v>
      </c>
      <c r="J49" s="19" t="e">
        <f t="shared" si="39"/>
        <v>#REF!</v>
      </c>
      <c r="K49" s="19" t="e">
        <f t="shared" si="39"/>
        <v>#REF!</v>
      </c>
      <c r="L49" s="16" t="e">
        <f t="shared" si="39"/>
        <v>#REF!</v>
      </c>
      <c r="M49" s="16" t="e">
        <f t="shared" si="39"/>
        <v>#REF!</v>
      </c>
      <c r="AC49" s="8">
        <v>44</v>
      </c>
      <c r="AD49" s="8" t="e">
        <f>($C51*'[1]功能-城建'!EX47)*S$6+AD48</f>
        <v>#REF!</v>
      </c>
      <c r="AE49" s="8" t="e">
        <f>($C51*'[1]功能-城建'!EY47)*T$6+AE48</f>
        <v>#REF!</v>
      </c>
      <c r="AF49" s="8" t="e">
        <f>($C51*'[1]功能-城建'!EZ47)*U$6+AF48</f>
        <v>#REF!</v>
      </c>
      <c r="AG49" s="8" t="e">
        <f>($C51*'[1]功能-城建'!FA47)*V$6+AG48</f>
        <v>#REF!</v>
      </c>
      <c r="AH49" s="8" t="e">
        <f>($C51*'[1]功能-城建'!FB47)*W$6+AH48</f>
        <v>#REF!</v>
      </c>
      <c r="AL49" s="8">
        <v>44</v>
      </c>
      <c r="AM49" s="8" t="e">
        <f>($D51*'[1]功能-城建'!HM47)*S$6+AM48</f>
        <v>#REF!</v>
      </c>
      <c r="AN49" s="8" t="e">
        <f>($D51*'[1]功能-城建'!HN47)*T$6+AN48</f>
        <v>#REF!</v>
      </c>
      <c r="AO49" s="8" t="e">
        <f>($D51*'[1]功能-城建'!HO47)*U$6+AO48</f>
        <v>#REF!</v>
      </c>
      <c r="AP49" s="8" t="e">
        <f>($D51*'[1]功能-城建'!HP47)*V$6+AP48</f>
        <v>#REF!</v>
      </c>
      <c r="AQ49" s="8" t="e">
        <f>($D51*'[1]功能-城建'!HQ47)*W$6+AQ48</f>
        <v>#REF!</v>
      </c>
      <c r="AU49" s="8">
        <v>44</v>
      </c>
      <c r="AV49" s="8" t="e">
        <f>($E51*'[1]功能-城建'!GF47)*S$6+AV48</f>
        <v>#REF!</v>
      </c>
      <c r="AW49" s="8" t="e">
        <f>($E51*'[1]功能-城建'!GG47)*T$6+AW48</f>
        <v>#REF!</v>
      </c>
      <c r="AX49" s="8" t="e">
        <f>($E51*'[1]功能-城建'!GH47)*U$6+AX48</f>
        <v>#REF!</v>
      </c>
      <c r="AY49" s="8" t="e">
        <f>($E51*'[1]功能-城建'!GI47)*V$6+AY48</f>
        <v>#REF!</v>
      </c>
      <c r="AZ49" s="8" t="e">
        <f>($E51*'[1]功能-城建'!GJ47)*W$6+AZ48</f>
        <v>#REF!</v>
      </c>
      <c r="BD49" s="8">
        <v>44</v>
      </c>
      <c r="BE49" s="8" t="e">
        <f t="shared" si="45"/>
        <v>#REF!</v>
      </c>
      <c r="BF49" s="8" t="e">
        <f t="shared" si="45"/>
        <v>#REF!</v>
      </c>
      <c r="BG49" s="8" t="e">
        <f t="shared" si="45"/>
        <v>#REF!</v>
      </c>
      <c r="BH49" s="8" t="e">
        <f t="shared" si="45"/>
        <v>#REF!</v>
      </c>
      <c r="BI49" s="8" t="e">
        <f t="shared" si="45"/>
        <v>#REF!</v>
      </c>
      <c r="BM49" s="8">
        <v>44</v>
      </c>
      <c r="BN49" s="8" t="e">
        <f t="shared" si="46"/>
        <v>#REF!</v>
      </c>
      <c r="BO49" s="8" t="e">
        <f t="shared" si="46"/>
        <v>#REF!</v>
      </c>
      <c r="BP49" s="8" t="e">
        <f t="shared" si="46"/>
        <v>#REF!</v>
      </c>
      <c r="BQ49" s="8" t="e">
        <f t="shared" si="46"/>
        <v>#REF!</v>
      </c>
      <c r="BR49" s="8" t="e">
        <f t="shared" si="46"/>
        <v>#REF!</v>
      </c>
      <c r="BV49" s="8">
        <v>44</v>
      </c>
      <c r="BW49" s="8" t="e">
        <f t="shared" si="47"/>
        <v>#REF!</v>
      </c>
      <c r="BX49" s="8" t="e">
        <f t="shared" si="47"/>
        <v>#REF!</v>
      </c>
      <c r="BY49" s="8" t="e">
        <f t="shared" si="47"/>
        <v>#REF!</v>
      </c>
      <c r="BZ49" s="8" t="e">
        <f t="shared" si="47"/>
        <v>#REF!</v>
      </c>
      <c r="CA49" s="8" t="e">
        <f t="shared" si="47"/>
        <v>#REF!</v>
      </c>
      <c r="CE49" s="8">
        <v>44</v>
      </c>
      <c r="CF49" s="18" t="e">
        <f t="shared" si="11"/>
        <v>#REF!</v>
      </c>
      <c r="CG49" s="18" t="e">
        <f t="shared" si="12"/>
        <v>#REF!</v>
      </c>
      <c r="CH49" s="18" t="e">
        <f t="shared" si="13"/>
        <v>#REF!</v>
      </c>
      <c r="CI49" s="18" t="e">
        <f t="shared" si="14"/>
        <v>#REF!</v>
      </c>
      <c r="CJ49" s="18" t="e">
        <f t="shared" si="15"/>
        <v>#REF!</v>
      </c>
      <c r="CN49" s="8">
        <v>44</v>
      </c>
      <c r="CO49" s="18" t="e">
        <f t="shared" si="16"/>
        <v>#REF!</v>
      </c>
      <c r="CP49" s="18" t="e">
        <f t="shared" si="17"/>
        <v>#REF!</v>
      </c>
      <c r="CQ49" s="18" t="e">
        <f t="shared" si="18"/>
        <v>#REF!</v>
      </c>
      <c r="CR49" s="18" t="e">
        <f t="shared" si="19"/>
        <v>#REF!</v>
      </c>
      <c r="CS49" s="18" t="e">
        <f t="shared" si="20"/>
        <v>#REF!</v>
      </c>
      <c r="CW49" s="8">
        <v>44</v>
      </c>
      <c r="CX49" s="18" t="e">
        <f t="shared" si="21"/>
        <v>#REF!</v>
      </c>
      <c r="CY49" s="18" t="e">
        <f t="shared" si="22"/>
        <v>#REF!</v>
      </c>
      <c r="CZ49" s="18" t="e">
        <f t="shared" si="23"/>
        <v>#REF!</v>
      </c>
      <c r="DA49" s="18" t="e">
        <f t="shared" si="24"/>
        <v>#REF!</v>
      </c>
      <c r="DB49" s="18" t="e">
        <f t="shared" si="25"/>
        <v>#REF!</v>
      </c>
      <c r="DF49" s="8">
        <v>44</v>
      </c>
      <c r="DG49" s="8" t="e">
        <f t="shared" si="26"/>
        <v>#REF!</v>
      </c>
      <c r="DH49" s="8" t="e">
        <f t="shared" si="27"/>
        <v>#REF!</v>
      </c>
      <c r="DI49" s="8" t="e">
        <f t="shared" si="28"/>
        <v>#REF!</v>
      </c>
      <c r="DJ49" s="8" t="e">
        <f t="shared" si="29"/>
        <v>#REF!</v>
      </c>
      <c r="DK49" s="8" t="e">
        <f t="shared" si="30"/>
        <v>#REF!</v>
      </c>
      <c r="DO49" s="8">
        <v>44</v>
      </c>
      <c r="DP49" s="8" t="e">
        <f t="shared" si="31"/>
        <v>#REF!</v>
      </c>
      <c r="DQ49" s="8" t="e">
        <f t="shared" si="32"/>
        <v>#REF!</v>
      </c>
      <c r="DR49" s="8" t="e">
        <f t="shared" si="33"/>
        <v>#REF!</v>
      </c>
      <c r="DS49" s="8" t="e">
        <f t="shared" si="34"/>
        <v>#REF!</v>
      </c>
      <c r="DT49" s="8" t="e">
        <f t="shared" si="35"/>
        <v>#REF!</v>
      </c>
    </row>
    <row r="50" spans="2:124">
      <c r="B50" s="8">
        <v>43</v>
      </c>
      <c r="C50" s="19" t="e">
        <f t="shared" si="44"/>
        <v>#REF!</v>
      </c>
      <c r="D50" s="19" t="e">
        <f t="shared" si="44"/>
        <v>#REF!</v>
      </c>
      <c r="E50" s="19" t="e">
        <f t="shared" si="44"/>
        <v>#REF!</v>
      </c>
      <c r="F50" s="19" t="e">
        <f t="shared" si="44"/>
        <v>#REF!</v>
      </c>
      <c r="G50" s="19" t="e">
        <f t="shared" si="44"/>
        <v>#REF!</v>
      </c>
      <c r="H50" s="19" t="e">
        <f t="shared" si="39"/>
        <v>#REF!</v>
      </c>
      <c r="I50" s="19" t="e">
        <f t="shared" si="39"/>
        <v>#REF!</v>
      </c>
      <c r="J50" s="19" t="e">
        <f t="shared" si="39"/>
        <v>#REF!</v>
      </c>
      <c r="K50" s="19" t="e">
        <f t="shared" si="39"/>
        <v>#REF!</v>
      </c>
      <c r="L50" s="16" t="e">
        <f t="shared" si="39"/>
        <v>#REF!</v>
      </c>
      <c r="M50" s="16" t="e">
        <f t="shared" si="39"/>
        <v>#REF!</v>
      </c>
      <c r="AC50" s="8">
        <v>45</v>
      </c>
      <c r="AD50" s="8" t="e">
        <f>($C52*'[1]功能-城建'!EX48)*S$6+AD49</f>
        <v>#REF!</v>
      </c>
      <c r="AE50" s="8" t="e">
        <f>($C52*'[1]功能-城建'!EY48)*T$6+AE49</f>
        <v>#REF!</v>
      </c>
      <c r="AF50" s="8" t="e">
        <f>($C52*'[1]功能-城建'!EZ48)*U$6+AF49</f>
        <v>#REF!</v>
      </c>
      <c r="AG50" s="8" t="e">
        <f>($C52*'[1]功能-城建'!FA48)*V$6+AG49</f>
        <v>#REF!</v>
      </c>
      <c r="AH50" s="8" t="e">
        <f>($C52*'[1]功能-城建'!FB48)*W$6+AH49</f>
        <v>#REF!</v>
      </c>
      <c r="AL50" s="8">
        <v>45</v>
      </c>
      <c r="AM50" s="8" t="e">
        <f>($D52*'[1]功能-城建'!HM48)*S$6+AM49</f>
        <v>#REF!</v>
      </c>
      <c r="AN50" s="8" t="e">
        <f>($D52*'[1]功能-城建'!HN48)*T$6+AN49</f>
        <v>#REF!</v>
      </c>
      <c r="AO50" s="8" t="e">
        <f>($D52*'[1]功能-城建'!HO48)*U$6+AO49</f>
        <v>#REF!</v>
      </c>
      <c r="AP50" s="8" t="e">
        <f>($D52*'[1]功能-城建'!HP48)*V$6+AP49</f>
        <v>#REF!</v>
      </c>
      <c r="AQ50" s="8" t="e">
        <f>($D52*'[1]功能-城建'!HQ48)*W$6+AQ49</f>
        <v>#REF!</v>
      </c>
      <c r="AU50" s="8">
        <v>45</v>
      </c>
      <c r="AV50" s="8" t="e">
        <f>($E52*'[1]功能-城建'!GF48)*S$6+AV49</f>
        <v>#REF!</v>
      </c>
      <c r="AW50" s="8" t="e">
        <f>($E52*'[1]功能-城建'!GG48)*T$6+AW49</f>
        <v>#REF!</v>
      </c>
      <c r="AX50" s="8" t="e">
        <f>($E52*'[1]功能-城建'!GH48)*U$6+AX49</f>
        <v>#REF!</v>
      </c>
      <c r="AY50" s="8" t="e">
        <f>($E52*'[1]功能-城建'!GI48)*V$6+AY49</f>
        <v>#REF!</v>
      </c>
      <c r="AZ50" s="8" t="e">
        <f>($E52*'[1]功能-城建'!GJ48)*W$6+AZ49</f>
        <v>#REF!</v>
      </c>
      <c r="BD50" s="8">
        <v>45</v>
      </c>
      <c r="BE50" s="8" t="e">
        <f t="shared" si="45"/>
        <v>#REF!</v>
      </c>
      <c r="BF50" s="8" t="e">
        <f t="shared" si="45"/>
        <v>#REF!</v>
      </c>
      <c r="BG50" s="8" t="e">
        <f t="shared" si="45"/>
        <v>#REF!</v>
      </c>
      <c r="BH50" s="8" t="e">
        <f t="shared" si="45"/>
        <v>#REF!</v>
      </c>
      <c r="BI50" s="8" t="e">
        <f t="shared" si="45"/>
        <v>#REF!</v>
      </c>
      <c r="BM50" s="8">
        <v>45</v>
      </c>
      <c r="BN50" s="8" t="e">
        <f t="shared" si="46"/>
        <v>#REF!</v>
      </c>
      <c r="BO50" s="8" t="e">
        <f t="shared" si="46"/>
        <v>#REF!</v>
      </c>
      <c r="BP50" s="8" t="e">
        <f t="shared" si="46"/>
        <v>#REF!</v>
      </c>
      <c r="BQ50" s="8" t="e">
        <f t="shared" si="46"/>
        <v>#REF!</v>
      </c>
      <c r="BR50" s="8" t="e">
        <f t="shared" si="46"/>
        <v>#REF!</v>
      </c>
      <c r="BV50" s="8">
        <v>45</v>
      </c>
      <c r="BW50" s="8" t="e">
        <f t="shared" si="47"/>
        <v>#REF!</v>
      </c>
      <c r="BX50" s="8" t="e">
        <f t="shared" si="47"/>
        <v>#REF!</v>
      </c>
      <c r="BY50" s="8" t="e">
        <f t="shared" si="47"/>
        <v>#REF!</v>
      </c>
      <c r="BZ50" s="8" t="e">
        <f t="shared" si="47"/>
        <v>#REF!</v>
      </c>
      <c r="CA50" s="8" t="e">
        <f t="shared" si="47"/>
        <v>#REF!</v>
      </c>
      <c r="CE50" s="8">
        <v>45</v>
      </c>
      <c r="CF50" s="18" t="e">
        <f t="shared" si="11"/>
        <v>#REF!</v>
      </c>
      <c r="CG50" s="18" t="e">
        <f t="shared" si="12"/>
        <v>#REF!</v>
      </c>
      <c r="CH50" s="18" t="e">
        <f t="shared" si="13"/>
        <v>#REF!</v>
      </c>
      <c r="CI50" s="18" t="e">
        <f t="shared" si="14"/>
        <v>#REF!</v>
      </c>
      <c r="CJ50" s="18" t="e">
        <f t="shared" si="15"/>
        <v>#REF!</v>
      </c>
      <c r="CN50" s="8">
        <v>45</v>
      </c>
      <c r="CO50" s="18" t="e">
        <f t="shared" si="16"/>
        <v>#REF!</v>
      </c>
      <c r="CP50" s="18" t="e">
        <f t="shared" si="17"/>
        <v>#REF!</v>
      </c>
      <c r="CQ50" s="18" t="e">
        <f t="shared" si="18"/>
        <v>#REF!</v>
      </c>
      <c r="CR50" s="18" t="e">
        <f t="shared" si="19"/>
        <v>#REF!</v>
      </c>
      <c r="CS50" s="18" t="e">
        <f t="shared" si="20"/>
        <v>#REF!</v>
      </c>
      <c r="CW50" s="8">
        <v>45</v>
      </c>
      <c r="CX50" s="18" t="e">
        <f t="shared" si="21"/>
        <v>#REF!</v>
      </c>
      <c r="CY50" s="18" t="e">
        <f t="shared" si="22"/>
        <v>#REF!</v>
      </c>
      <c r="CZ50" s="18" t="e">
        <f t="shared" si="23"/>
        <v>#REF!</v>
      </c>
      <c r="DA50" s="18" t="e">
        <f t="shared" si="24"/>
        <v>#REF!</v>
      </c>
      <c r="DB50" s="18" t="e">
        <f t="shared" si="25"/>
        <v>#REF!</v>
      </c>
      <c r="DF50" s="8">
        <v>45</v>
      </c>
      <c r="DG50" s="8" t="e">
        <f t="shared" si="26"/>
        <v>#REF!</v>
      </c>
      <c r="DH50" s="8" t="e">
        <f t="shared" si="27"/>
        <v>#REF!</v>
      </c>
      <c r="DI50" s="8" t="e">
        <f t="shared" si="28"/>
        <v>#REF!</v>
      </c>
      <c r="DJ50" s="8" t="e">
        <f t="shared" si="29"/>
        <v>#REF!</v>
      </c>
      <c r="DK50" s="8" t="e">
        <f t="shared" si="30"/>
        <v>#REF!</v>
      </c>
      <c r="DO50" s="8">
        <v>45</v>
      </c>
      <c r="DP50" s="8" t="e">
        <f t="shared" si="31"/>
        <v>#REF!</v>
      </c>
      <c r="DQ50" s="8" t="e">
        <f t="shared" si="32"/>
        <v>#REF!</v>
      </c>
      <c r="DR50" s="8" t="e">
        <f t="shared" si="33"/>
        <v>#REF!</v>
      </c>
      <c r="DS50" s="8" t="e">
        <f t="shared" si="34"/>
        <v>#REF!</v>
      </c>
      <c r="DT50" s="8" t="e">
        <f t="shared" si="35"/>
        <v>#REF!</v>
      </c>
    </row>
    <row r="51" spans="2:124">
      <c r="B51" s="8">
        <v>44</v>
      </c>
      <c r="C51" s="19" t="e">
        <f t="shared" si="44"/>
        <v>#REF!</v>
      </c>
      <c r="D51" s="19" t="e">
        <f t="shared" si="44"/>
        <v>#REF!</v>
      </c>
      <c r="E51" s="19" t="e">
        <f t="shared" si="44"/>
        <v>#REF!</v>
      </c>
      <c r="F51" s="19" t="e">
        <f t="shared" si="44"/>
        <v>#REF!</v>
      </c>
      <c r="G51" s="19" t="e">
        <f t="shared" si="44"/>
        <v>#REF!</v>
      </c>
      <c r="H51" s="19" t="e">
        <f t="shared" si="39"/>
        <v>#REF!</v>
      </c>
      <c r="I51" s="19" t="e">
        <f t="shared" si="39"/>
        <v>#REF!</v>
      </c>
      <c r="J51" s="19" t="e">
        <f t="shared" si="39"/>
        <v>#REF!</v>
      </c>
      <c r="K51" s="19" t="e">
        <f t="shared" si="39"/>
        <v>#REF!</v>
      </c>
      <c r="L51" s="16" t="e">
        <f t="shared" si="39"/>
        <v>#REF!</v>
      </c>
      <c r="M51" s="16" t="e">
        <f t="shared" si="39"/>
        <v>#REF!</v>
      </c>
      <c r="AC51" s="8">
        <v>46</v>
      </c>
      <c r="AD51" s="8" t="e">
        <f>($C53*'[1]功能-城建'!EX49)*S$6+AD50</f>
        <v>#REF!</v>
      </c>
      <c r="AE51" s="8" t="e">
        <f>($C53*'[1]功能-城建'!EY49)*T$6+AE50</f>
        <v>#REF!</v>
      </c>
      <c r="AF51" s="8" t="e">
        <f>($C53*'[1]功能-城建'!EZ49)*U$6+AF50</f>
        <v>#REF!</v>
      </c>
      <c r="AG51" s="8" t="e">
        <f>($C53*'[1]功能-城建'!FA49)*V$6+AG50</f>
        <v>#REF!</v>
      </c>
      <c r="AH51" s="8" t="e">
        <f>($C53*'[1]功能-城建'!FB49)*W$6+AH50</f>
        <v>#REF!</v>
      </c>
      <c r="AL51" s="8">
        <v>46</v>
      </c>
      <c r="AM51" s="8" t="e">
        <f>($D53*'[1]功能-城建'!HM49)*S$6+AM50</f>
        <v>#REF!</v>
      </c>
      <c r="AN51" s="8" t="e">
        <f>($D53*'[1]功能-城建'!HN49)*T$6+AN50</f>
        <v>#REF!</v>
      </c>
      <c r="AO51" s="8" t="e">
        <f>($D53*'[1]功能-城建'!HO49)*U$6+AO50</f>
        <v>#REF!</v>
      </c>
      <c r="AP51" s="8" t="e">
        <f>($D53*'[1]功能-城建'!HP49)*V$6+AP50</f>
        <v>#REF!</v>
      </c>
      <c r="AQ51" s="8" t="e">
        <f>($D53*'[1]功能-城建'!HQ49)*W$6+AQ50</f>
        <v>#REF!</v>
      </c>
      <c r="AU51" s="8">
        <v>46</v>
      </c>
      <c r="AV51" s="8" t="e">
        <f>($E53*'[1]功能-城建'!GF49)*S$6+AV50</f>
        <v>#REF!</v>
      </c>
      <c r="AW51" s="8" t="e">
        <f>($E53*'[1]功能-城建'!GG49)*T$6+AW50</f>
        <v>#REF!</v>
      </c>
      <c r="AX51" s="8" t="e">
        <f>($E53*'[1]功能-城建'!GH49)*U$6+AX50</f>
        <v>#REF!</v>
      </c>
      <c r="AY51" s="8" t="e">
        <f>($E53*'[1]功能-城建'!GI49)*V$6+AY50</f>
        <v>#REF!</v>
      </c>
      <c r="AZ51" s="8" t="e">
        <f>($E53*'[1]功能-城建'!GJ49)*W$6+AZ50</f>
        <v>#REF!</v>
      </c>
      <c r="BD51" s="8">
        <v>46</v>
      </c>
      <c r="BE51" s="8" t="e">
        <f t="shared" si="45"/>
        <v>#REF!</v>
      </c>
      <c r="BF51" s="8" t="e">
        <f t="shared" si="45"/>
        <v>#REF!</v>
      </c>
      <c r="BG51" s="8" t="e">
        <f t="shared" si="45"/>
        <v>#REF!</v>
      </c>
      <c r="BH51" s="8" t="e">
        <f t="shared" si="45"/>
        <v>#REF!</v>
      </c>
      <c r="BI51" s="8" t="e">
        <f t="shared" si="45"/>
        <v>#REF!</v>
      </c>
      <c r="BM51" s="8">
        <v>46</v>
      </c>
      <c r="BN51" s="8" t="e">
        <f t="shared" si="46"/>
        <v>#REF!</v>
      </c>
      <c r="BO51" s="8" t="e">
        <f t="shared" si="46"/>
        <v>#REF!</v>
      </c>
      <c r="BP51" s="8" t="e">
        <f t="shared" si="46"/>
        <v>#REF!</v>
      </c>
      <c r="BQ51" s="8" t="e">
        <f t="shared" si="46"/>
        <v>#REF!</v>
      </c>
      <c r="BR51" s="8" t="e">
        <f t="shared" si="46"/>
        <v>#REF!</v>
      </c>
      <c r="BV51" s="8">
        <v>46</v>
      </c>
      <c r="BW51" s="8" t="e">
        <f t="shared" si="47"/>
        <v>#REF!</v>
      </c>
      <c r="BX51" s="8" t="e">
        <f t="shared" si="47"/>
        <v>#REF!</v>
      </c>
      <c r="BY51" s="8" t="e">
        <f t="shared" si="47"/>
        <v>#REF!</v>
      </c>
      <c r="BZ51" s="8" t="e">
        <f t="shared" si="47"/>
        <v>#REF!</v>
      </c>
      <c r="CA51" s="8" t="e">
        <f t="shared" si="47"/>
        <v>#REF!</v>
      </c>
      <c r="CE51" s="8">
        <v>46</v>
      </c>
      <c r="CF51" s="18" t="e">
        <f t="shared" si="11"/>
        <v>#REF!</v>
      </c>
      <c r="CG51" s="18" t="e">
        <f t="shared" si="12"/>
        <v>#REF!</v>
      </c>
      <c r="CH51" s="18" t="e">
        <f t="shared" si="13"/>
        <v>#REF!</v>
      </c>
      <c r="CI51" s="18" t="e">
        <f t="shared" si="14"/>
        <v>#REF!</v>
      </c>
      <c r="CJ51" s="18" t="e">
        <f t="shared" si="15"/>
        <v>#REF!</v>
      </c>
      <c r="CN51" s="8">
        <v>46</v>
      </c>
      <c r="CO51" s="18" t="e">
        <f t="shared" si="16"/>
        <v>#REF!</v>
      </c>
      <c r="CP51" s="18" t="e">
        <f t="shared" si="17"/>
        <v>#REF!</v>
      </c>
      <c r="CQ51" s="18" t="e">
        <f t="shared" si="18"/>
        <v>#REF!</v>
      </c>
      <c r="CR51" s="18" t="e">
        <f t="shared" si="19"/>
        <v>#REF!</v>
      </c>
      <c r="CS51" s="18" t="e">
        <f t="shared" si="20"/>
        <v>#REF!</v>
      </c>
      <c r="CW51" s="8">
        <v>46</v>
      </c>
      <c r="CX51" s="18" t="e">
        <f t="shared" si="21"/>
        <v>#REF!</v>
      </c>
      <c r="CY51" s="18" t="e">
        <f t="shared" si="22"/>
        <v>#REF!</v>
      </c>
      <c r="CZ51" s="18" t="e">
        <f t="shared" si="23"/>
        <v>#REF!</v>
      </c>
      <c r="DA51" s="18" t="e">
        <f t="shared" si="24"/>
        <v>#REF!</v>
      </c>
      <c r="DB51" s="18" t="e">
        <f t="shared" si="25"/>
        <v>#REF!</v>
      </c>
      <c r="DF51" s="8">
        <v>46</v>
      </c>
      <c r="DG51" s="8" t="e">
        <f t="shared" si="26"/>
        <v>#REF!</v>
      </c>
      <c r="DH51" s="8" t="e">
        <f t="shared" si="27"/>
        <v>#REF!</v>
      </c>
      <c r="DI51" s="8" t="e">
        <f t="shared" si="28"/>
        <v>#REF!</v>
      </c>
      <c r="DJ51" s="8" t="e">
        <f t="shared" si="29"/>
        <v>#REF!</v>
      </c>
      <c r="DK51" s="8" t="e">
        <f t="shared" si="30"/>
        <v>#REF!</v>
      </c>
      <c r="DO51" s="8">
        <v>46</v>
      </c>
      <c r="DP51" s="8" t="e">
        <f t="shared" si="31"/>
        <v>#REF!</v>
      </c>
      <c r="DQ51" s="8" t="e">
        <f t="shared" si="32"/>
        <v>#REF!</v>
      </c>
      <c r="DR51" s="8" t="e">
        <f t="shared" si="33"/>
        <v>#REF!</v>
      </c>
      <c r="DS51" s="8" t="e">
        <f t="shared" si="34"/>
        <v>#REF!</v>
      </c>
      <c r="DT51" s="8" t="e">
        <f t="shared" si="35"/>
        <v>#REF!</v>
      </c>
    </row>
    <row r="52" spans="2:124">
      <c r="B52" s="8">
        <v>45</v>
      </c>
      <c r="C52" s="19" t="e">
        <f t="shared" si="44"/>
        <v>#REF!</v>
      </c>
      <c r="D52" s="19" t="e">
        <f t="shared" si="44"/>
        <v>#REF!</v>
      </c>
      <c r="E52" s="19" t="e">
        <f t="shared" si="44"/>
        <v>#REF!</v>
      </c>
      <c r="F52" s="19" t="e">
        <f t="shared" si="44"/>
        <v>#REF!</v>
      </c>
      <c r="G52" s="19" t="e">
        <f t="shared" si="44"/>
        <v>#REF!</v>
      </c>
      <c r="H52" s="19" t="e">
        <f t="shared" si="39"/>
        <v>#REF!</v>
      </c>
      <c r="I52" s="19" t="e">
        <f t="shared" si="39"/>
        <v>#REF!</v>
      </c>
      <c r="J52" s="19" t="e">
        <f t="shared" si="39"/>
        <v>#REF!</v>
      </c>
      <c r="K52" s="19" t="e">
        <f t="shared" si="39"/>
        <v>#REF!</v>
      </c>
      <c r="L52" s="16" t="e">
        <f t="shared" si="39"/>
        <v>#REF!</v>
      </c>
      <c r="M52" s="16" t="e">
        <f t="shared" si="39"/>
        <v>#REF!</v>
      </c>
      <c r="AC52" s="8">
        <v>47</v>
      </c>
      <c r="AD52" s="8" t="e">
        <f>($C54*'[1]功能-城建'!EX50)*S$6+AD51</f>
        <v>#REF!</v>
      </c>
      <c r="AE52" s="8" t="e">
        <f>($C54*'[1]功能-城建'!EY50)*T$6+AE51</f>
        <v>#REF!</v>
      </c>
      <c r="AF52" s="8" t="e">
        <f>($C54*'[1]功能-城建'!EZ50)*U$6+AF51</f>
        <v>#REF!</v>
      </c>
      <c r="AG52" s="8" t="e">
        <f>($C54*'[1]功能-城建'!FA50)*V$6+AG51</f>
        <v>#REF!</v>
      </c>
      <c r="AH52" s="8" t="e">
        <f>($C54*'[1]功能-城建'!FB50)*W$6+AH51</f>
        <v>#REF!</v>
      </c>
      <c r="AL52" s="8">
        <v>47</v>
      </c>
      <c r="AM52" s="8" t="e">
        <f>($D54*'[1]功能-城建'!HM50)*S$6+AM51</f>
        <v>#REF!</v>
      </c>
      <c r="AN52" s="8" t="e">
        <f>($D54*'[1]功能-城建'!HN50)*T$6+AN51</f>
        <v>#REF!</v>
      </c>
      <c r="AO52" s="8" t="e">
        <f>($D54*'[1]功能-城建'!HO50)*U$6+AO51</f>
        <v>#REF!</v>
      </c>
      <c r="AP52" s="8" t="e">
        <f>($D54*'[1]功能-城建'!HP50)*V$6+AP51</f>
        <v>#REF!</v>
      </c>
      <c r="AQ52" s="8" t="e">
        <f>($D54*'[1]功能-城建'!HQ50)*W$6+AQ51</f>
        <v>#REF!</v>
      </c>
      <c r="AU52" s="8">
        <v>47</v>
      </c>
      <c r="AV52" s="8" t="e">
        <f>($E54*'[1]功能-城建'!GF50)*S$6+AV51</f>
        <v>#REF!</v>
      </c>
      <c r="AW52" s="8" t="e">
        <f>($E54*'[1]功能-城建'!GG50)*T$6+AW51</f>
        <v>#REF!</v>
      </c>
      <c r="AX52" s="8" t="e">
        <f>($E54*'[1]功能-城建'!GH50)*U$6+AX51</f>
        <v>#REF!</v>
      </c>
      <c r="AY52" s="8" t="e">
        <f>($E54*'[1]功能-城建'!GI50)*V$6+AY51</f>
        <v>#REF!</v>
      </c>
      <c r="AZ52" s="8" t="e">
        <f>($E54*'[1]功能-城建'!GJ50)*W$6+AZ51</f>
        <v>#REF!</v>
      </c>
      <c r="BD52" s="8">
        <v>47</v>
      </c>
      <c r="BE52" s="8" t="e">
        <f t="shared" si="45"/>
        <v>#REF!</v>
      </c>
      <c r="BF52" s="8" t="e">
        <f t="shared" si="45"/>
        <v>#REF!</v>
      </c>
      <c r="BG52" s="8" t="e">
        <f t="shared" si="45"/>
        <v>#REF!</v>
      </c>
      <c r="BH52" s="8" t="e">
        <f t="shared" si="45"/>
        <v>#REF!</v>
      </c>
      <c r="BI52" s="8" t="e">
        <f t="shared" si="45"/>
        <v>#REF!</v>
      </c>
      <c r="BM52" s="8">
        <v>47</v>
      </c>
      <c r="BN52" s="8" t="e">
        <f t="shared" si="46"/>
        <v>#REF!</v>
      </c>
      <c r="BO52" s="8" t="e">
        <f t="shared" si="46"/>
        <v>#REF!</v>
      </c>
      <c r="BP52" s="8" t="e">
        <f t="shared" si="46"/>
        <v>#REF!</v>
      </c>
      <c r="BQ52" s="8" t="e">
        <f t="shared" si="46"/>
        <v>#REF!</v>
      </c>
      <c r="BR52" s="8" t="e">
        <f t="shared" si="46"/>
        <v>#REF!</v>
      </c>
      <c r="BV52" s="8">
        <v>47</v>
      </c>
      <c r="BW52" s="8" t="e">
        <f t="shared" si="47"/>
        <v>#REF!</v>
      </c>
      <c r="BX52" s="8" t="e">
        <f t="shared" si="47"/>
        <v>#REF!</v>
      </c>
      <c r="BY52" s="8" t="e">
        <f t="shared" si="47"/>
        <v>#REF!</v>
      </c>
      <c r="BZ52" s="8" t="e">
        <f t="shared" si="47"/>
        <v>#REF!</v>
      </c>
      <c r="CA52" s="8" t="e">
        <f t="shared" si="47"/>
        <v>#REF!</v>
      </c>
      <c r="CE52" s="8">
        <v>47</v>
      </c>
      <c r="CF52" s="18" t="e">
        <f t="shared" si="11"/>
        <v>#REF!</v>
      </c>
      <c r="CG52" s="18" t="e">
        <f t="shared" si="12"/>
        <v>#REF!</v>
      </c>
      <c r="CH52" s="18" t="e">
        <f t="shared" si="13"/>
        <v>#REF!</v>
      </c>
      <c r="CI52" s="18" t="e">
        <f t="shared" si="14"/>
        <v>#REF!</v>
      </c>
      <c r="CJ52" s="18" t="e">
        <f t="shared" si="15"/>
        <v>#REF!</v>
      </c>
      <c r="CN52" s="8">
        <v>47</v>
      </c>
      <c r="CO52" s="18" t="e">
        <f t="shared" si="16"/>
        <v>#REF!</v>
      </c>
      <c r="CP52" s="18" t="e">
        <f t="shared" si="17"/>
        <v>#REF!</v>
      </c>
      <c r="CQ52" s="18" t="e">
        <f t="shared" si="18"/>
        <v>#REF!</v>
      </c>
      <c r="CR52" s="18" t="e">
        <f t="shared" si="19"/>
        <v>#REF!</v>
      </c>
      <c r="CS52" s="18" t="e">
        <f t="shared" si="20"/>
        <v>#REF!</v>
      </c>
      <c r="CW52" s="8">
        <v>47</v>
      </c>
      <c r="CX52" s="18" t="e">
        <f t="shared" si="21"/>
        <v>#REF!</v>
      </c>
      <c r="CY52" s="18" t="e">
        <f t="shared" si="22"/>
        <v>#REF!</v>
      </c>
      <c r="CZ52" s="18" t="e">
        <f t="shared" si="23"/>
        <v>#REF!</v>
      </c>
      <c r="DA52" s="18" t="e">
        <f t="shared" si="24"/>
        <v>#REF!</v>
      </c>
      <c r="DB52" s="18" t="e">
        <f t="shared" si="25"/>
        <v>#REF!</v>
      </c>
      <c r="DF52" s="8">
        <v>47</v>
      </c>
      <c r="DG52" s="8" t="e">
        <f t="shared" si="26"/>
        <v>#REF!</v>
      </c>
      <c r="DH52" s="8" t="e">
        <f t="shared" si="27"/>
        <v>#REF!</v>
      </c>
      <c r="DI52" s="8" t="e">
        <f t="shared" si="28"/>
        <v>#REF!</v>
      </c>
      <c r="DJ52" s="8" t="e">
        <f t="shared" si="29"/>
        <v>#REF!</v>
      </c>
      <c r="DK52" s="8" t="e">
        <f t="shared" si="30"/>
        <v>#REF!</v>
      </c>
      <c r="DO52" s="8">
        <v>47</v>
      </c>
      <c r="DP52" s="8" t="e">
        <f t="shared" si="31"/>
        <v>#REF!</v>
      </c>
      <c r="DQ52" s="8" t="e">
        <f t="shared" si="32"/>
        <v>#REF!</v>
      </c>
      <c r="DR52" s="8" t="e">
        <f t="shared" si="33"/>
        <v>#REF!</v>
      </c>
      <c r="DS52" s="8" t="e">
        <f t="shared" si="34"/>
        <v>#REF!</v>
      </c>
      <c r="DT52" s="8" t="e">
        <f t="shared" si="35"/>
        <v>#REF!</v>
      </c>
    </row>
    <row r="53" spans="2:124">
      <c r="B53" s="8">
        <v>46</v>
      </c>
      <c r="C53" s="19" t="e">
        <f t="shared" si="44"/>
        <v>#REF!</v>
      </c>
      <c r="D53" s="19" t="e">
        <f t="shared" si="44"/>
        <v>#REF!</v>
      </c>
      <c r="E53" s="19" t="e">
        <f t="shared" si="44"/>
        <v>#REF!</v>
      </c>
      <c r="F53" s="19" t="e">
        <f t="shared" si="44"/>
        <v>#REF!</v>
      </c>
      <c r="G53" s="19" t="e">
        <f t="shared" si="44"/>
        <v>#REF!</v>
      </c>
      <c r="H53" s="19" t="e">
        <f t="shared" ref="H53:M68" si="48">MIN(H$5,MAX(H$5/($D$2-$D$1)*($B53-$D$1),0))</f>
        <v>#REF!</v>
      </c>
      <c r="I53" s="19" t="e">
        <f t="shared" si="48"/>
        <v>#REF!</v>
      </c>
      <c r="J53" s="19" t="e">
        <f t="shared" si="48"/>
        <v>#REF!</v>
      </c>
      <c r="K53" s="19" t="e">
        <f t="shared" si="48"/>
        <v>#REF!</v>
      </c>
      <c r="L53" s="16" t="e">
        <f t="shared" si="48"/>
        <v>#REF!</v>
      </c>
      <c r="M53" s="16" t="e">
        <f t="shared" si="48"/>
        <v>#REF!</v>
      </c>
      <c r="AC53" s="8">
        <v>48</v>
      </c>
      <c r="AD53" s="8" t="e">
        <f>($C55*'[1]功能-城建'!EX51)*S$6+AD52</f>
        <v>#REF!</v>
      </c>
      <c r="AE53" s="8" t="e">
        <f>($C55*'[1]功能-城建'!EY51)*T$6+AE52</f>
        <v>#REF!</v>
      </c>
      <c r="AF53" s="8" t="e">
        <f>($C55*'[1]功能-城建'!EZ51)*U$6+AF52</f>
        <v>#REF!</v>
      </c>
      <c r="AG53" s="8" t="e">
        <f>($C55*'[1]功能-城建'!FA51)*V$6+AG52</f>
        <v>#REF!</v>
      </c>
      <c r="AH53" s="8" t="e">
        <f>($C55*'[1]功能-城建'!FB51)*W$6+AH52</f>
        <v>#REF!</v>
      </c>
      <c r="AL53" s="8">
        <v>48</v>
      </c>
      <c r="AM53" s="8" t="e">
        <f>($D55*'[1]功能-城建'!HM51)*S$6+AM52</f>
        <v>#REF!</v>
      </c>
      <c r="AN53" s="8" t="e">
        <f>($D55*'[1]功能-城建'!HN51)*T$6+AN52</f>
        <v>#REF!</v>
      </c>
      <c r="AO53" s="8" t="e">
        <f>($D55*'[1]功能-城建'!HO51)*U$6+AO52</f>
        <v>#REF!</v>
      </c>
      <c r="AP53" s="8" t="e">
        <f>($D55*'[1]功能-城建'!HP51)*V$6+AP52</f>
        <v>#REF!</v>
      </c>
      <c r="AQ53" s="8" t="e">
        <f>($D55*'[1]功能-城建'!HQ51)*W$6+AQ52</f>
        <v>#REF!</v>
      </c>
      <c r="AU53" s="8">
        <v>48</v>
      </c>
      <c r="AV53" s="8" t="e">
        <f>($E55*'[1]功能-城建'!GF51)*S$6+AV52</f>
        <v>#REF!</v>
      </c>
      <c r="AW53" s="8" t="e">
        <f>($E55*'[1]功能-城建'!GG51)*T$6+AW52</f>
        <v>#REF!</v>
      </c>
      <c r="AX53" s="8" t="e">
        <f>($E55*'[1]功能-城建'!GH51)*U$6+AX52</f>
        <v>#REF!</v>
      </c>
      <c r="AY53" s="8" t="e">
        <f>($E55*'[1]功能-城建'!GI51)*V$6+AY52</f>
        <v>#REF!</v>
      </c>
      <c r="AZ53" s="8" t="e">
        <f>($E55*'[1]功能-城建'!GJ51)*W$6+AZ52</f>
        <v>#REF!</v>
      </c>
      <c r="BD53" s="8">
        <v>48</v>
      </c>
      <c r="BE53" s="8" t="e">
        <f t="shared" si="45"/>
        <v>#REF!</v>
      </c>
      <c r="BF53" s="8" t="e">
        <f t="shared" si="45"/>
        <v>#REF!</v>
      </c>
      <c r="BG53" s="8" t="e">
        <f t="shared" si="45"/>
        <v>#REF!</v>
      </c>
      <c r="BH53" s="8" t="e">
        <f t="shared" si="45"/>
        <v>#REF!</v>
      </c>
      <c r="BI53" s="8" t="e">
        <f t="shared" si="45"/>
        <v>#REF!</v>
      </c>
      <c r="BM53" s="8">
        <v>48</v>
      </c>
      <c r="BN53" s="8" t="e">
        <f t="shared" si="46"/>
        <v>#REF!</v>
      </c>
      <c r="BO53" s="8" t="e">
        <f t="shared" si="46"/>
        <v>#REF!</v>
      </c>
      <c r="BP53" s="8" t="e">
        <f t="shared" si="46"/>
        <v>#REF!</v>
      </c>
      <c r="BQ53" s="8" t="e">
        <f t="shared" si="46"/>
        <v>#REF!</v>
      </c>
      <c r="BR53" s="8" t="e">
        <f t="shared" si="46"/>
        <v>#REF!</v>
      </c>
      <c r="BV53" s="8">
        <v>48</v>
      </c>
      <c r="BW53" s="8" t="e">
        <f t="shared" si="47"/>
        <v>#REF!</v>
      </c>
      <c r="BX53" s="8" t="e">
        <f t="shared" si="47"/>
        <v>#REF!</v>
      </c>
      <c r="BY53" s="8" t="e">
        <f t="shared" si="47"/>
        <v>#REF!</v>
      </c>
      <c r="BZ53" s="8" t="e">
        <f t="shared" si="47"/>
        <v>#REF!</v>
      </c>
      <c r="CA53" s="8" t="e">
        <f t="shared" si="47"/>
        <v>#REF!</v>
      </c>
      <c r="CE53" s="8">
        <v>48</v>
      </c>
      <c r="CF53" s="18" t="e">
        <f t="shared" si="11"/>
        <v>#REF!</v>
      </c>
      <c r="CG53" s="18" t="e">
        <f t="shared" si="12"/>
        <v>#REF!</v>
      </c>
      <c r="CH53" s="18" t="e">
        <f t="shared" si="13"/>
        <v>#REF!</v>
      </c>
      <c r="CI53" s="18" t="e">
        <f t="shared" si="14"/>
        <v>#REF!</v>
      </c>
      <c r="CJ53" s="18" t="e">
        <f t="shared" si="15"/>
        <v>#REF!</v>
      </c>
      <c r="CN53" s="8">
        <v>48</v>
      </c>
      <c r="CO53" s="18" t="e">
        <f t="shared" si="16"/>
        <v>#REF!</v>
      </c>
      <c r="CP53" s="18" t="e">
        <f t="shared" si="17"/>
        <v>#REF!</v>
      </c>
      <c r="CQ53" s="18" t="e">
        <f t="shared" si="18"/>
        <v>#REF!</v>
      </c>
      <c r="CR53" s="18" t="e">
        <f t="shared" si="19"/>
        <v>#REF!</v>
      </c>
      <c r="CS53" s="18" t="e">
        <f t="shared" si="20"/>
        <v>#REF!</v>
      </c>
      <c r="CW53" s="8">
        <v>48</v>
      </c>
      <c r="CX53" s="18" t="e">
        <f t="shared" si="21"/>
        <v>#REF!</v>
      </c>
      <c r="CY53" s="18" t="e">
        <f t="shared" si="22"/>
        <v>#REF!</v>
      </c>
      <c r="CZ53" s="18" t="e">
        <f t="shared" si="23"/>
        <v>#REF!</v>
      </c>
      <c r="DA53" s="18" t="e">
        <f t="shared" si="24"/>
        <v>#REF!</v>
      </c>
      <c r="DB53" s="18" t="e">
        <f t="shared" si="25"/>
        <v>#REF!</v>
      </c>
      <c r="DF53" s="8">
        <v>48</v>
      </c>
      <c r="DG53" s="8" t="e">
        <f t="shared" si="26"/>
        <v>#REF!</v>
      </c>
      <c r="DH53" s="8" t="e">
        <f t="shared" si="27"/>
        <v>#REF!</v>
      </c>
      <c r="DI53" s="8" t="e">
        <f t="shared" si="28"/>
        <v>#REF!</v>
      </c>
      <c r="DJ53" s="8" t="e">
        <f t="shared" si="29"/>
        <v>#REF!</v>
      </c>
      <c r="DK53" s="8" t="e">
        <f t="shared" si="30"/>
        <v>#REF!</v>
      </c>
      <c r="DO53" s="8">
        <v>48</v>
      </c>
      <c r="DP53" s="8" t="e">
        <f t="shared" si="31"/>
        <v>#REF!</v>
      </c>
      <c r="DQ53" s="8" t="e">
        <f t="shared" si="32"/>
        <v>#REF!</v>
      </c>
      <c r="DR53" s="8" t="e">
        <f t="shared" si="33"/>
        <v>#REF!</v>
      </c>
      <c r="DS53" s="8" t="e">
        <f t="shared" si="34"/>
        <v>#REF!</v>
      </c>
      <c r="DT53" s="8" t="e">
        <f t="shared" si="35"/>
        <v>#REF!</v>
      </c>
    </row>
    <row r="54" spans="2:124">
      <c r="B54" s="8">
        <v>47</v>
      </c>
      <c r="C54" s="19" t="e">
        <f t="shared" ref="C54:G69" si="49">MIN(C$5,MAX(C$5/($D$2-$D$1)*($B54-$D$1),0))</f>
        <v>#REF!</v>
      </c>
      <c r="D54" s="19" t="e">
        <f t="shared" si="49"/>
        <v>#REF!</v>
      </c>
      <c r="E54" s="19" t="e">
        <f t="shared" si="49"/>
        <v>#REF!</v>
      </c>
      <c r="F54" s="19" t="e">
        <f t="shared" si="49"/>
        <v>#REF!</v>
      </c>
      <c r="G54" s="19" t="e">
        <f t="shared" si="49"/>
        <v>#REF!</v>
      </c>
      <c r="H54" s="19" t="e">
        <f t="shared" si="48"/>
        <v>#REF!</v>
      </c>
      <c r="I54" s="19" t="e">
        <f t="shared" si="48"/>
        <v>#REF!</v>
      </c>
      <c r="J54" s="19" t="e">
        <f t="shared" si="48"/>
        <v>#REF!</v>
      </c>
      <c r="K54" s="19" t="e">
        <f t="shared" si="48"/>
        <v>#REF!</v>
      </c>
      <c r="L54" s="16" t="e">
        <f t="shared" si="48"/>
        <v>#REF!</v>
      </c>
      <c r="M54" s="16" t="e">
        <f t="shared" si="48"/>
        <v>#REF!</v>
      </c>
      <c r="AC54" s="8">
        <v>49</v>
      </c>
      <c r="AD54" s="8" t="e">
        <f>($C56*'[1]功能-城建'!EX52)*S$6+AD53</f>
        <v>#REF!</v>
      </c>
      <c r="AE54" s="8" t="e">
        <f>($C56*'[1]功能-城建'!EY52)*T$6+AE53</f>
        <v>#REF!</v>
      </c>
      <c r="AF54" s="8" t="e">
        <f>($C56*'[1]功能-城建'!EZ52)*U$6+AF53</f>
        <v>#REF!</v>
      </c>
      <c r="AG54" s="8" t="e">
        <f>($C56*'[1]功能-城建'!FA52)*V$6+AG53</f>
        <v>#REF!</v>
      </c>
      <c r="AH54" s="8" t="e">
        <f>($C56*'[1]功能-城建'!FB52)*W$6+AH53</f>
        <v>#REF!</v>
      </c>
      <c r="AL54" s="8">
        <v>49</v>
      </c>
      <c r="AM54" s="8" t="e">
        <f>($D56*'[1]功能-城建'!HM52)*S$6+AM53</f>
        <v>#REF!</v>
      </c>
      <c r="AN54" s="8" t="e">
        <f>($D56*'[1]功能-城建'!HN52)*T$6+AN53</f>
        <v>#REF!</v>
      </c>
      <c r="AO54" s="8" t="e">
        <f>($D56*'[1]功能-城建'!HO52)*U$6+AO53</f>
        <v>#REF!</v>
      </c>
      <c r="AP54" s="8" t="e">
        <f>($D56*'[1]功能-城建'!HP52)*V$6+AP53</f>
        <v>#REF!</v>
      </c>
      <c r="AQ54" s="8" t="e">
        <f>($D56*'[1]功能-城建'!HQ52)*W$6+AQ53</f>
        <v>#REF!</v>
      </c>
      <c r="AU54" s="8">
        <v>49</v>
      </c>
      <c r="AV54" s="8" t="e">
        <f>($E56*'[1]功能-城建'!GF52)*S$6+AV53</f>
        <v>#REF!</v>
      </c>
      <c r="AW54" s="8" t="e">
        <f>($E56*'[1]功能-城建'!GG52)*T$6+AW53</f>
        <v>#REF!</v>
      </c>
      <c r="AX54" s="8" t="e">
        <f>($E56*'[1]功能-城建'!GH52)*U$6+AX53</f>
        <v>#REF!</v>
      </c>
      <c r="AY54" s="8" t="e">
        <f>($E56*'[1]功能-城建'!GI52)*V$6+AY53</f>
        <v>#REF!</v>
      </c>
      <c r="AZ54" s="8" t="e">
        <f>($E56*'[1]功能-城建'!GJ52)*W$6+AZ53</f>
        <v>#REF!</v>
      </c>
      <c r="BD54" s="8">
        <v>49</v>
      </c>
      <c r="BE54" s="8" t="e">
        <f t="shared" si="45"/>
        <v>#REF!</v>
      </c>
      <c r="BF54" s="8" t="e">
        <f t="shared" si="45"/>
        <v>#REF!</v>
      </c>
      <c r="BG54" s="8" t="e">
        <f t="shared" si="45"/>
        <v>#REF!</v>
      </c>
      <c r="BH54" s="8" t="e">
        <f t="shared" si="45"/>
        <v>#REF!</v>
      </c>
      <c r="BI54" s="8" t="e">
        <f t="shared" si="45"/>
        <v>#REF!</v>
      </c>
      <c r="BM54" s="8">
        <v>49</v>
      </c>
      <c r="BN54" s="8" t="e">
        <f t="shared" si="46"/>
        <v>#REF!</v>
      </c>
      <c r="BO54" s="8" t="e">
        <f t="shared" si="46"/>
        <v>#REF!</v>
      </c>
      <c r="BP54" s="8" t="e">
        <f t="shared" si="46"/>
        <v>#REF!</v>
      </c>
      <c r="BQ54" s="8" t="e">
        <f t="shared" si="46"/>
        <v>#REF!</v>
      </c>
      <c r="BR54" s="8" t="e">
        <f t="shared" si="46"/>
        <v>#REF!</v>
      </c>
      <c r="BV54" s="8">
        <v>49</v>
      </c>
      <c r="BW54" s="8" t="e">
        <f t="shared" si="47"/>
        <v>#REF!</v>
      </c>
      <c r="BX54" s="8" t="e">
        <f t="shared" si="47"/>
        <v>#REF!</v>
      </c>
      <c r="BY54" s="8" t="e">
        <f t="shared" si="47"/>
        <v>#REF!</v>
      </c>
      <c r="BZ54" s="8" t="e">
        <f t="shared" si="47"/>
        <v>#REF!</v>
      </c>
      <c r="CA54" s="8" t="e">
        <f t="shared" si="47"/>
        <v>#REF!</v>
      </c>
      <c r="CE54" s="8">
        <v>49</v>
      </c>
      <c r="CF54" s="18" t="e">
        <f t="shared" si="11"/>
        <v>#REF!</v>
      </c>
      <c r="CG54" s="18" t="e">
        <f t="shared" si="12"/>
        <v>#REF!</v>
      </c>
      <c r="CH54" s="18" t="e">
        <f t="shared" si="13"/>
        <v>#REF!</v>
      </c>
      <c r="CI54" s="18" t="e">
        <f t="shared" si="14"/>
        <v>#REF!</v>
      </c>
      <c r="CJ54" s="18" t="e">
        <f t="shared" si="15"/>
        <v>#REF!</v>
      </c>
      <c r="CN54" s="8">
        <v>49</v>
      </c>
      <c r="CO54" s="18" t="e">
        <f t="shared" si="16"/>
        <v>#REF!</v>
      </c>
      <c r="CP54" s="18" t="e">
        <f t="shared" si="17"/>
        <v>#REF!</v>
      </c>
      <c r="CQ54" s="18" t="e">
        <f t="shared" si="18"/>
        <v>#REF!</v>
      </c>
      <c r="CR54" s="18" t="e">
        <f t="shared" si="19"/>
        <v>#REF!</v>
      </c>
      <c r="CS54" s="18" t="e">
        <f t="shared" si="20"/>
        <v>#REF!</v>
      </c>
      <c r="CW54" s="8">
        <v>49</v>
      </c>
      <c r="CX54" s="18" t="e">
        <f t="shared" si="21"/>
        <v>#REF!</v>
      </c>
      <c r="CY54" s="18" t="e">
        <f t="shared" si="22"/>
        <v>#REF!</v>
      </c>
      <c r="CZ54" s="18" t="e">
        <f t="shared" si="23"/>
        <v>#REF!</v>
      </c>
      <c r="DA54" s="18" t="e">
        <f t="shared" si="24"/>
        <v>#REF!</v>
      </c>
      <c r="DB54" s="18" t="e">
        <f t="shared" si="25"/>
        <v>#REF!</v>
      </c>
      <c r="DF54" s="8">
        <v>49</v>
      </c>
      <c r="DG54" s="8" t="e">
        <f t="shared" si="26"/>
        <v>#REF!</v>
      </c>
      <c r="DH54" s="8" t="e">
        <f t="shared" si="27"/>
        <v>#REF!</v>
      </c>
      <c r="DI54" s="8" t="e">
        <f t="shared" si="28"/>
        <v>#REF!</v>
      </c>
      <c r="DJ54" s="8" t="e">
        <f t="shared" si="29"/>
        <v>#REF!</v>
      </c>
      <c r="DK54" s="8" t="e">
        <f t="shared" si="30"/>
        <v>#REF!</v>
      </c>
      <c r="DO54" s="8">
        <v>49</v>
      </c>
      <c r="DP54" s="8" t="e">
        <f t="shared" si="31"/>
        <v>#REF!</v>
      </c>
      <c r="DQ54" s="8" t="e">
        <f t="shared" si="32"/>
        <v>#REF!</v>
      </c>
      <c r="DR54" s="8" t="e">
        <f t="shared" si="33"/>
        <v>#REF!</v>
      </c>
      <c r="DS54" s="8" t="e">
        <f t="shared" si="34"/>
        <v>#REF!</v>
      </c>
      <c r="DT54" s="8" t="e">
        <f t="shared" si="35"/>
        <v>#REF!</v>
      </c>
    </row>
    <row r="55" spans="2:124">
      <c r="B55" s="8">
        <v>48</v>
      </c>
      <c r="C55" s="19" t="e">
        <f t="shared" si="49"/>
        <v>#REF!</v>
      </c>
      <c r="D55" s="19" t="e">
        <f t="shared" si="49"/>
        <v>#REF!</v>
      </c>
      <c r="E55" s="19" t="e">
        <f t="shared" si="49"/>
        <v>#REF!</v>
      </c>
      <c r="F55" s="19" t="e">
        <f t="shared" si="49"/>
        <v>#REF!</v>
      </c>
      <c r="G55" s="19" t="e">
        <f t="shared" si="49"/>
        <v>#REF!</v>
      </c>
      <c r="H55" s="19" t="e">
        <f t="shared" si="48"/>
        <v>#REF!</v>
      </c>
      <c r="I55" s="19" t="e">
        <f t="shared" si="48"/>
        <v>#REF!</v>
      </c>
      <c r="J55" s="19" t="e">
        <f t="shared" si="48"/>
        <v>#REF!</v>
      </c>
      <c r="K55" s="19" t="e">
        <f t="shared" si="48"/>
        <v>#REF!</v>
      </c>
      <c r="L55" s="16" t="e">
        <f t="shared" si="48"/>
        <v>#REF!</v>
      </c>
      <c r="M55" s="16" t="e">
        <f t="shared" si="48"/>
        <v>#REF!</v>
      </c>
      <c r="AC55" s="8">
        <v>50</v>
      </c>
      <c r="AD55" s="8" t="e">
        <f>($C57*'[1]功能-城建'!EX53)*S$6+AD54</f>
        <v>#REF!</v>
      </c>
      <c r="AE55" s="8" t="e">
        <f>($C57*'[1]功能-城建'!EY53)*T$6+AE54</f>
        <v>#REF!</v>
      </c>
      <c r="AF55" s="8" t="e">
        <f>($C57*'[1]功能-城建'!EZ53)*U$6+AF54</f>
        <v>#REF!</v>
      </c>
      <c r="AG55" s="8" t="e">
        <f>($C57*'[1]功能-城建'!FA53)*V$6+AG54</f>
        <v>#REF!</v>
      </c>
      <c r="AH55" s="8" t="e">
        <f>($C57*'[1]功能-城建'!FB53)*W$6+AH54</f>
        <v>#REF!</v>
      </c>
      <c r="AL55" s="8">
        <v>50</v>
      </c>
      <c r="AM55" s="8" t="e">
        <f>($D57*'[1]功能-城建'!HM53)*S$6+AM54</f>
        <v>#REF!</v>
      </c>
      <c r="AN55" s="8" t="e">
        <f>($D57*'[1]功能-城建'!HN53)*T$6+AN54</f>
        <v>#REF!</v>
      </c>
      <c r="AO55" s="8" t="e">
        <f>($D57*'[1]功能-城建'!HO53)*U$6+AO54</f>
        <v>#REF!</v>
      </c>
      <c r="AP55" s="8" t="e">
        <f>($D57*'[1]功能-城建'!HP53)*V$6+AP54</f>
        <v>#REF!</v>
      </c>
      <c r="AQ55" s="8" t="e">
        <f>($D57*'[1]功能-城建'!HQ53)*W$6+AQ54</f>
        <v>#REF!</v>
      </c>
      <c r="AU55" s="8">
        <v>50</v>
      </c>
      <c r="AV55" s="8" t="e">
        <f>($E57*'[1]功能-城建'!GF53)*S$6+AV54</f>
        <v>#REF!</v>
      </c>
      <c r="AW55" s="8" t="e">
        <f>($E57*'[1]功能-城建'!GG53)*T$6+AW54</f>
        <v>#REF!</v>
      </c>
      <c r="AX55" s="8" t="e">
        <f>($E57*'[1]功能-城建'!GH53)*U$6+AX54</f>
        <v>#REF!</v>
      </c>
      <c r="AY55" s="8" t="e">
        <f>($E57*'[1]功能-城建'!GI53)*V$6+AY54</f>
        <v>#REF!</v>
      </c>
      <c r="AZ55" s="8" t="e">
        <f>($E57*'[1]功能-城建'!GJ53)*W$6+AZ54</f>
        <v>#REF!</v>
      </c>
      <c r="BD55" s="8">
        <v>50</v>
      </c>
      <c r="BE55" s="8" t="e">
        <f t="shared" ref="BE55:BI70" si="50">$F57*S$6</f>
        <v>#REF!</v>
      </c>
      <c r="BF55" s="8" t="e">
        <f t="shared" si="50"/>
        <v>#REF!</v>
      </c>
      <c r="BG55" s="8" t="e">
        <f t="shared" si="50"/>
        <v>#REF!</v>
      </c>
      <c r="BH55" s="8" t="e">
        <f t="shared" si="50"/>
        <v>#REF!</v>
      </c>
      <c r="BI55" s="8" t="e">
        <f t="shared" si="50"/>
        <v>#REF!</v>
      </c>
      <c r="BM55" s="8">
        <v>50</v>
      </c>
      <c r="BN55" s="8" t="e">
        <f t="shared" ref="BN55:BR70" si="51">$G57*S$6</f>
        <v>#REF!</v>
      </c>
      <c r="BO55" s="8" t="e">
        <f t="shared" si="51"/>
        <v>#REF!</v>
      </c>
      <c r="BP55" s="8" t="e">
        <f t="shared" si="51"/>
        <v>#REF!</v>
      </c>
      <c r="BQ55" s="8" t="e">
        <f t="shared" si="51"/>
        <v>#REF!</v>
      </c>
      <c r="BR55" s="8" t="e">
        <f t="shared" si="51"/>
        <v>#REF!</v>
      </c>
      <c r="BV55" s="8">
        <v>50</v>
      </c>
      <c r="BW55" s="8" t="e">
        <f t="shared" ref="BW55:CA70" si="52">$H57*S$6</f>
        <v>#REF!</v>
      </c>
      <c r="BX55" s="8" t="e">
        <f t="shared" si="52"/>
        <v>#REF!</v>
      </c>
      <c r="BY55" s="8" t="e">
        <f t="shared" si="52"/>
        <v>#REF!</v>
      </c>
      <c r="BZ55" s="8" t="e">
        <f t="shared" si="52"/>
        <v>#REF!</v>
      </c>
      <c r="CA55" s="8" t="e">
        <f t="shared" si="52"/>
        <v>#REF!</v>
      </c>
      <c r="CE55" s="8">
        <v>50</v>
      </c>
      <c r="CF55" s="18" t="e">
        <f t="shared" si="11"/>
        <v>#REF!</v>
      </c>
      <c r="CG55" s="18" t="e">
        <f t="shared" si="12"/>
        <v>#REF!</v>
      </c>
      <c r="CH55" s="18" t="e">
        <f t="shared" si="13"/>
        <v>#REF!</v>
      </c>
      <c r="CI55" s="18" t="e">
        <f t="shared" si="14"/>
        <v>#REF!</v>
      </c>
      <c r="CJ55" s="18" t="e">
        <f t="shared" si="15"/>
        <v>#REF!</v>
      </c>
      <c r="CN55" s="8">
        <v>50</v>
      </c>
      <c r="CO55" s="18" t="e">
        <f t="shared" si="16"/>
        <v>#REF!</v>
      </c>
      <c r="CP55" s="18" t="e">
        <f t="shared" si="17"/>
        <v>#REF!</v>
      </c>
      <c r="CQ55" s="18" t="e">
        <f t="shared" si="18"/>
        <v>#REF!</v>
      </c>
      <c r="CR55" s="18" t="e">
        <f t="shared" si="19"/>
        <v>#REF!</v>
      </c>
      <c r="CS55" s="18" t="e">
        <f t="shared" si="20"/>
        <v>#REF!</v>
      </c>
      <c r="CW55" s="8">
        <v>50</v>
      </c>
      <c r="CX55" s="18" t="e">
        <f t="shared" si="21"/>
        <v>#REF!</v>
      </c>
      <c r="CY55" s="18" t="e">
        <f t="shared" si="22"/>
        <v>#REF!</v>
      </c>
      <c r="CZ55" s="18" t="e">
        <f t="shared" si="23"/>
        <v>#REF!</v>
      </c>
      <c r="DA55" s="18" t="e">
        <f t="shared" si="24"/>
        <v>#REF!</v>
      </c>
      <c r="DB55" s="18" t="e">
        <f t="shared" si="25"/>
        <v>#REF!</v>
      </c>
      <c r="DF55" s="8">
        <v>50</v>
      </c>
      <c r="DG55" s="8" t="e">
        <f t="shared" si="26"/>
        <v>#REF!</v>
      </c>
      <c r="DH55" s="8" t="e">
        <f t="shared" si="27"/>
        <v>#REF!</v>
      </c>
      <c r="DI55" s="8" t="e">
        <f t="shared" si="28"/>
        <v>#REF!</v>
      </c>
      <c r="DJ55" s="8" t="e">
        <f t="shared" si="29"/>
        <v>#REF!</v>
      </c>
      <c r="DK55" s="8" t="e">
        <f t="shared" si="30"/>
        <v>#REF!</v>
      </c>
      <c r="DO55" s="8">
        <v>50</v>
      </c>
      <c r="DP55" s="8" t="e">
        <f t="shared" si="31"/>
        <v>#REF!</v>
      </c>
      <c r="DQ55" s="8" t="e">
        <f t="shared" si="32"/>
        <v>#REF!</v>
      </c>
      <c r="DR55" s="8" t="e">
        <f t="shared" si="33"/>
        <v>#REF!</v>
      </c>
      <c r="DS55" s="8" t="e">
        <f t="shared" si="34"/>
        <v>#REF!</v>
      </c>
      <c r="DT55" s="8" t="e">
        <f t="shared" si="35"/>
        <v>#REF!</v>
      </c>
    </row>
    <row r="56" spans="2:124">
      <c r="B56" s="8">
        <v>49</v>
      </c>
      <c r="C56" s="19" t="e">
        <f t="shared" si="49"/>
        <v>#REF!</v>
      </c>
      <c r="D56" s="19" t="e">
        <f t="shared" si="49"/>
        <v>#REF!</v>
      </c>
      <c r="E56" s="19" t="e">
        <f t="shared" si="49"/>
        <v>#REF!</v>
      </c>
      <c r="F56" s="19" t="e">
        <f t="shared" si="49"/>
        <v>#REF!</v>
      </c>
      <c r="G56" s="19" t="e">
        <f t="shared" si="49"/>
        <v>#REF!</v>
      </c>
      <c r="H56" s="19" t="e">
        <f t="shared" si="48"/>
        <v>#REF!</v>
      </c>
      <c r="I56" s="19" t="e">
        <f t="shared" si="48"/>
        <v>#REF!</v>
      </c>
      <c r="J56" s="19" t="e">
        <f t="shared" si="48"/>
        <v>#REF!</v>
      </c>
      <c r="K56" s="19" t="e">
        <f t="shared" si="48"/>
        <v>#REF!</v>
      </c>
      <c r="L56" s="16" t="e">
        <f t="shared" si="48"/>
        <v>#REF!</v>
      </c>
      <c r="M56" s="16" t="e">
        <f t="shared" si="48"/>
        <v>#REF!</v>
      </c>
      <c r="AC56" s="8">
        <v>51</v>
      </c>
      <c r="AD56" s="8" t="e">
        <f>($C58*'[1]功能-城建'!EX54)*S$6+AD55</f>
        <v>#REF!</v>
      </c>
      <c r="AE56" s="8" t="e">
        <f>($C58*'[1]功能-城建'!EY54)*T$6+AE55</f>
        <v>#REF!</v>
      </c>
      <c r="AF56" s="8" t="e">
        <f>($C58*'[1]功能-城建'!EZ54)*U$6+AF55</f>
        <v>#REF!</v>
      </c>
      <c r="AG56" s="8" t="e">
        <f>($C58*'[1]功能-城建'!FA54)*V$6+AG55</f>
        <v>#REF!</v>
      </c>
      <c r="AH56" s="8" t="e">
        <f>($C58*'[1]功能-城建'!FB54)*W$6+AH55</f>
        <v>#REF!</v>
      </c>
      <c r="AL56" s="8">
        <v>51</v>
      </c>
      <c r="AM56" s="8" t="e">
        <f>($D58*'[1]功能-城建'!HM54)*S$6+AM55</f>
        <v>#REF!</v>
      </c>
      <c r="AN56" s="8" t="e">
        <f>($D58*'[1]功能-城建'!HN54)*T$6+AN55</f>
        <v>#REF!</v>
      </c>
      <c r="AO56" s="8" t="e">
        <f>($D58*'[1]功能-城建'!HO54)*U$6+AO55</f>
        <v>#REF!</v>
      </c>
      <c r="AP56" s="8" t="e">
        <f>($D58*'[1]功能-城建'!HP54)*V$6+AP55</f>
        <v>#REF!</v>
      </c>
      <c r="AQ56" s="8" t="e">
        <f>($D58*'[1]功能-城建'!HQ54)*W$6+AQ55</f>
        <v>#REF!</v>
      </c>
      <c r="AU56" s="8">
        <v>51</v>
      </c>
      <c r="AV56" s="8" t="e">
        <f>($E58*'[1]功能-城建'!GF54)*S$6+AV55</f>
        <v>#REF!</v>
      </c>
      <c r="AW56" s="8" t="e">
        <f>($E58*'[1]功能-城建'!GG54)*T$6+AW55</f>
        <v>#REF!</v>
      </c>
      <c r="AX56" s="8" t="e">
        <f>($E58*'[1]功能-城建'!GH54)*U$6+AX55</f>
        <v>#REF!</v>
      </c>
      <c r="AY56" s="8" t="e">
        <f>($E58*'[1]功能-城建'!GI54)*V$6+AY55</f>
        <v>#REF!</v>
      </c>
      <c r="AZ56" s="8" t="e">
        <f>($E58*'[1]功能-城建'!GJ54)*W$6+AZ55</f>
        <v>#REF!</v>
      </c>
      <c r="BD56" s="8">
        <v>51</v>
      </c>
      <c r="BE56" s="8" t="e">
        <f t="shared" si="50"/>
        <v>#REF!</v>
      </c>
      <c r="BF56" s="8" t="e">
        <f t="shared" si="50"/>
        <v>#REF!</v>
      </c>
      <c r="BG56" s="8" t="e">
        <f t="shared" si="50"/>
        <v>#REF!</v>
      </c>
      <c r="BH56" s="8" t="e">
        <f t="shared" si="50"/>
        <v>#REF!</v>
      </c>
      <c r="BI56" s="8" t="e">
        <f t="shared" si="50"/>
        <v>#REF!</v>
      </c>
      <c r="BM56" s="8">
        <v>51</v>
      </c>
      <c r="BN56" s="8" t="e">
        <f t="shared" si="51"/>
        <v>#REF!</v>
      </c>
      <c r="BO56" s="8" t="e">
        <f t="shared" si="51"/>
        <v>#REF!</v>
      </c>
      <c r="BP56" s="8" t="e">
        <f t="shared" si="51"/>
        <v>#REF!</v>
      </c>
      <c r="BQ56" s="8" t="e">
        <f t="shared" si="51"/>
        <v>#REF!</v>
      </c>
      <c r="BR56" s="8" t="e">
        <f t="shared" si="51"/>
        <v>#REF!</v>
      </c>
      <c r="BV56" s="8">
        <v>51</v>
      </c>
      <c r="BW56" s="8" t="e">
        <f t="shared" si="52"/>
        <v>#REF!</v>
      </c>
      <c r="BX56" s="8" t="e">
        <f t="shared" si="52"/>
        <v>#REF!</v>
      </c>
      <c r="BY56" s="8" t="e">
        <f t="shared" si="52"/>
        <v>#REF!</v>
      </c>
      <c r="BZ56" s="8" t="e">
        <f t="shared" si="52"/>
        <v>#REF!</v>
      </c>
      <c r="CA56" s="8" t="e">
        <f t="shared" si="52"/>
        <v>#REF!</v>
      </c>
      <c r="CE56" s="8">
        <v>51</v>
      </c>
      <c r="CF56" s="18" t="e">
        <f t="shared" si="11"/>
        <v>#REF!</v>
      </c>
      <c r="CG56" s="18" t="e">
        <f t="shared" si="12"/>
        <v>#REF!</v>
      </c>
      <c r="CH56" s="18" t="e">
        <f t="shared" si="13"/>
        <v>#REF!</v>
      </c>
      <c r="CI56" s="18" t="e">
        <f t="shared" si="14"/>
        <v>#REF!</v>
      </c>
      <c r="CJ56" s="18" t="e">
        <f t="shared" si="15"/>
        <v>#REF!</v>
      </c>
      <c r="CN56" s="8">
        <v>51</v>
      </c>
      <c r="CO56" s="18" t="e">
        <f t="shared" si="16"/>
        <v>#REF!</v>
      </c>
      <c r="CP56" s="18" t="e">
        <f t="shared" si="17"/>
        <v>#REF!</v>
      </c>
      <c r="CQ56" s="18" t="e">
        <f t="shared" si="18"/>
        <v>#REF!</v>
      </c>
      <c r="CR56" s="18" t="e">
        <f t="shared" si="19"/>
        <v>#REF!</v>
      </c>
      <c r="CS56" s="18" t="e">
        <f t="shared" si="20"/>
        <v>#REF!</v>
      </c>
      <c r="CW56" s="8">
        <v>51</v>
      </c>
      <c r="CX56" s="18" t="e">
        <f t="shared" si="21"/>
        <v>#REF!</v>
      </c>
      <c r="CY56" s="18" t="e">
        <f t="shared" si="22"/>
        <v>#REF!</v>
      </c>
      <c r="CZ56" s="18" t="e">
        <f t="shared" si="23"/>
        <v>#REF!</v>
      </c>
      <c r="DA56" s="18" t="e">
        <f t="shared" si="24"/>
        <v>#REF!</v>
      </c>
      <c r="DB56" s="18" t="e">
        <f t="shared" si="25"/>
        <v>#REF!</v>
      </c>
      <c r="DF56" s="8">
        <v>51</v>
      </c>
      <c r="DG56" s="8" t="e">
        <f t="shared" si="26"/>
        <v>#REF!</v>
      </c>
      <c r="DH56" s="8" t="e">
        <f t="shared" si="27"/>
        <v>#REF!</v>
      </c>
      <c r="DI56" s="8" t="e">
        <f t="shared" si="28"/>
        <v>#REF!</v>
      </c>
      <c r="DJ56" s="8" t="e">
        <f t="shared" si="29"/>
        <v>#REF!</v>
      </c>
      <c r="DK56" s="8" t="e">
        <f t="shared" si="30"/>
        <v>#REF!</v>
      </c>
      <c r="DO56" s="8">
        <v>51</v>
      </c>
      <c r="DP56" s="8" t="e">
        <f t="shared" si="31"/>
        <v>#REF!</v>
      </c>
      <c r="DQ56" s="8" t="e">
        <f t="shared" si="32"/>
        <v>#REF!</v>
      </c>
      <c r="DR56" s="8" t="e">
        <f t="shared" si="33"/>
        <v>#REF!</v>
      </c>
      <c r="DS56" s="8" t="e">
        <f t="shared" si="34"/>
        <v>#REF!</v>
      </c>
      <c r="DT56" s="8" t="e">
        <f t="shared" si="35"/>
        <v>#REF!</v>
      </c>
    </row>
    <row r="57" spans="2:124">
      <c r="B57" s="8">
        <v>50</v>
      </c>
      <c r="C57" s="19" t="e">
        <f t="shared" si="49"/>
        <v>#REF!</v>
      </c>
      <c r="D57" s="19" t="e">
        <f t="shared" si="49"/>
        <v>#REF!</v>
      </c>
      <c r="E57" s="19" t="e">
        <f t="shared" si="49"/>
        <v>#REF!</v>
      </c>
      <c r="F57" s="19" t="e">
        <f t="shared" si="49"/>
        <v>#REF!</v>
      </c>
      <c r="G57" s="19" t="e">
        <f t="shared" si="49"/>
        <v>#REF!</v>
      </c>
      <c r="H57" s="19" t="e">
        <f t="shared" si="48"/>
        <v>#REF!</v>
      </c>
      <c r="I57" s="19" t="e">
        <f t="shared" si="48"/>
        <v>#REF!</v>
      </c>
      <c r="J57" s="19" t="e">
        <f t="shared" si="48"/>
        <v>#REF!</v>
      </c>
      <c r="K57" s="19" t="e">
        <f t="shared" si="48"/>
        <v>#REF!</v>
      </c>
      <c r="L57" s="16" t="e">
        <f t="shared" si="48"/>
        <v>#REF!</v>
      </c>
      <c r="M57" s="16" t="e">
        <f t="shared" si="48"/>
        <v>#REF!</v>
      </c>
      <c r="AC57" s="8">
        <v>52</v>
      </c>
      <c r="AD57" s="8" t="e">
        <f>($C59*'[1]功能-城建'!EX55)*S$6+AD56</f>
        <v>#REF!</v>
      </c>
      <c r="AE57" s="8" t="e">
        <f>($C59*'[1]功能-城建'!EY55)*T$6+AE56</f>
        <v>#REF!</v>
      </c>
      <c r="AF57" s="8" t="e">
        <f>($C59*'[1]功能-城建'!EZ55)*U$6+AF56</f>
        <v>#REF!</v>
      </c>
      <c r="AG57" s="8" t="e">
        <f>($C59*'[1]功能-城建'!FA55)*V$6+AG56</f>
        <v>#REF!</v>
      </c>
      <c r="AH57" s="8" t="e">
        <f>($C59*'[1]功能-城建'!FB55)*W$6+AH56</f>
        <v>#REF!</v>
      </c>
      <c r="AL57" s="8">
        <v>52</v>
      </c>
      <c r="AM57" s="8" t="e">
        <f>($D59*'[1]功能-城建'!HM55)*S$6+AM56</f>
        <v>#REF!</v>
      </c>
      <c r="AN57" s="8" t="e">
        <f>($D59*'[1]功能-城建'!HN55)*T$6+AN56</f>
        <v>#REF!</v>
      </c>
      <c r="AO57" s="8" t="e">
        <f>($D59*'[1]功能-城建'!HO55)*U$6+AO56</f>
        <v>#REF!</v>
      </c>
      <c r="AP57" s="8" t="e">
        <f>($D59*'[1]功能-城建'!HP55)*V$6+AP56</f>
        <v>#REF!</v>
      </c>
      <c r="AQ57" s="8" t="e">
        <f>($D59*'[1]功能-城建'!HQ55)*W$6+AQ56</f>
        <v>#REF!</v>
      </c>
      <c r="AU57" s="8">
        <v>52</v>
      </c>
      <c r="AV57" s="8" t="e">
        <f>($E59*'[1]功能-城建'!GF55)*S$6+AV56</f>
        <v>#REF!</v>
      </c>
      <c r="AW57" s="8" t="e">
        <f>($E59*'[1]功能-城建'!GG55)*T$6+AW56</f>
        <v>#REF!</v>
      </c>
      <c r="AX57" s="8" t="e">
        <f>($E59*'[1]功能-城建'!GH55)*U$6+AX56</f>
        <v>#REF!</v>
      </c>
      <c r="AY57" s="8" t="e">
        <f>($E59*'[1]功能-城建'!GI55)*V$6+AY56</f>
        <v>#REF!</v>
      </c>
      <c r="AZ57" s="8" t="e">
        <f>($E59*'[1]功能-城建'!GJ55)*W$6+AZ56</f>
        <v>#REF!</v>
      </c>
      <c r="BD57" s="8">
        <v>52</v>
      </c>
      <c r="BE57" s="8" t="e">
        <f t="shared" si="50"/>
        <v>#REF!</v>
      </c>
      <c r="BF57" s="8" t="e">
        <f t="shared" si="50"/>
        <v>#REF!</v>
      </c>
      <c r="BG57" s="8" t="e">
        <f t="shared" si="50"/>
        <v>#REF!</v>
      </c>
      <c r="BH57" s="8" t="e">
        <f t="shared" si="50"/>
        <v>#REF!</v>
      </c>
      <c r="BI57" s="8" t="e">
        <f t="shared" si="50"/>
        <v>#REF!</v>
      </c>
      <c r="BM57" s="8">
        <v>52</v>
      </c>
      <c r="BN57" s="8" t="e">
        <f t="shared" si="51"/>
        <v>#REF!</v>
      </c>
      <c r="BO57" s="8" t="e">
        <f t="shared" si="51"/>
        <v>#REF!</v>
      </c>
      <c r="BP57" s="8" t="e">
        <f t="shared" si="51"/>
        <v>#REF!</v>
      </c>
      <c r="BQ57" s="8" t="e">
        <f t="shared" si="51"/>
        <v>#REF!</v>
      </c>
      <c r="BR57" s="8" t="e">
        <f t="shared" si="51"/>
        <v>#REF!</v>
      </c>
      <c r="BV57" s="8">
        <v>52</v>
      </c>
      <c r="BW57" s="8" t="e">
        <f t="shared" si="52"/>
        <v>#REF!</v>
      </c>
      <c r="BX57" s="8" t="e">
        <f t="shared" si="52"/>
        <v>#REF!</v>
      </c>
      <c r="BY57" s="8" t="e">
        <f t="shared" si="52"/>
        <v>#REF!</v>
      </c>
      <c r="BZ57" s="8" t="e">
        <f t="shared" si="52"/>
        <v>#REF!</v>
      </c>
      <c r="CA57" s="8" t="e">
        <f t="shared" si="52"/>
        <v>#REF!</v>
      </c>
      <c r="CE57" s="8">
        <v>52</v>
      </c>
      <c r="CF57" s="18" t="e">
        <f t="shared" si="11"/>
        <v>#REF!</v>
      </c>
      <c r="CG57" s="18" t="e">
        <f t="shared" si="12"/>
        <v>#REF!</v>
      </c>
      <c r="CH57" s="18" t="e">
        <f t="shared" si="13"/>
        <v>#REF!</v>
      </c>
      <c r="CI57" s="18" t="e">
        <f t="shared" si="14"/>
        <v>#REF!</v>
      </c>
      <c r="CJ57" s="18" t="e">
        <f t="shared" si="15"/>
        <v>#REF!</v>
      </c>
      <c r="CN57" s="8">
        <v>52</v>
      </c>
      <c r="CO57" s="18" t="e">
        <f t="shared" si="16"/>
        <v>#REF!</v>
      </c>
      <c r="CP57" s="18" t="e">
        <f t="shared" si="17"/>
        <v>#REF!</v>
      </c>
      <c r="CQ57" s="18" t="e">
        <f t="shared" si="18"/>
        <v>#REF!</v>
      </c>
      <c r="CR57" s="18" t="e">
        <f t="shared" si="19"/>
        <v>#REF!</v>
      </c>
      <c r="CS57" s="18" t="e">
        <f t="shared" si="20"/>
        <v>#REF!</v>
      </c>
      <c r="CW57" s="8">
        <v>52</v>
      </c>
      <c r="CX57" s="18" t="e">
        <f t="shared" si="21"/>
        <v>#REF!</v>
      </c>
      <c r="CY57" s="18" t="e">
        <f t="shared" si="22"/>
        <v>#REF!</v>
      </c>
      <c r="CZ57" s="18" t="e">
        <f t="shared" si="23"/>
        <v>#REF!</v>
      </c>
      <c r="DA57" s="18" t="e">
        <f t="shared" si="24"/>
        <v>#REF!</v>
      </c>
      <c r="DB57" s="18" t="e">
        <f t="shared" si="25"/>
        <v>#REF!</v>
      </c>
      <c r="DF57" s="8">
        <v>52</v>
      </c>
      <c r="DG57" s="8" t="e">
        <f t="shared" si="26"/>
        <v>#REF!</v>
      </c>
      <c r="DH57" s="8" t="e">
        <f t="shared" si="27"/>
        <v>#REF!</v>
      </c>
      <c r="DI57" s="8" t="e">
        <f t="shared" si="28"/>
        <v>#REF!</v>
      </c>
      <c r="DJ57" s="8" t="e">
        <f t="shared" si="29"/>
        <v>#REF!</v>
      </c>
      <c r="DK57" s="8" t="e">
        <f t="shared" si="30"/>
        <v>#REF!</v>
      </c>
      <c r="DO57" s="8">
        <v>52</v>
      </c>
      <c r="DP57" s="8" t="e">
        <f t="shared" si="31"/>
        <v>#REF!</v>
      </c>
      <c r="DQ57" s="8" t="e">
        <f t="shared" si="32"/>
        <v>#REF!</v>
      </c>
      <c r="DR57" s="8" t="e">
        <f t="shared" si="33"/>
        <v>#REF!</v>
      </c>
      <c r="DS57" s="8" t="e">
        <f t="shared" si="34"/>
        <v>#REF!</v>
      </c>
      <c r="DT57" s="8" t="e">
        <f t="shared" si="35"/>
        <v>#REF!</v>
      </c>
    </row>
    <row r="58" spans="2:124">
      <c r="B58" s="8">
        <v>51</v>
      </c>
      <c r="C58" s="19" t="e">
        <f t="shared" si="49"/>
        <v>#REF!</v>
      </c>
      <c r="D58" s="19" t="e">
        <f t="shared" si="49"/>
        <v>#REF!</v>
      </c>
      <c r="E58" s="19" t="e">
        <f t="shared" si="49"/>
        <v>#REF!</v>
      </c>
      <c r="F58" s="19" t="e">
        <f t="shared" si="49"/>
        <v>#REF!</v>
      </c>
      <c r="G58" s="19" t="e">
        <f t="shared" si="49"/>
        <v>#REF!</v>
      </c>
      <c r="H58" s="19" t="e">
        <f t="shared" si="48"/>
        <v>#REF!</v>
      </c>
      <c r="I58" s="19" t="e">
        <f t="shared" si="48"/>
        <v>#REF!</v>
      </c>
      <c r="J58" s="19" t="e">
        <f t="shared" si="48"/>
        <v>#REF!</v>
      </c>
      <c r="K58" s="19" t="e">
        <f t="shared" si="48"/>
        <v>#REF!</v>
      </c>
      <c r="L58" s="16" t="e">
        <f t="shared" si="48"/>
        <v>#REF!</v>
      </c>
      <c r="M58" s="16" t="e">
        <f t="shared" si="48"/>
        <v>#REF!</v>
      </c>
      <c r="AC58" s="8">
        <v>53</v>
      </c>
      <c r="AD58" s="8" t="e">
        <f>($C60*'[1]功能-城建'!EX56)*S$6+AD57</f>
        <v>#REF!</v>
      </c>
      <c r="AE58" s="8" t="e">
        <f>($C60*'[1]功能-城建'!EY56)*T$6+AE57</f>
        <v>#REF!</v>
      </c>
      <c r="AF58" s="8" t="e">
        <f>($C60*'[1]功能-城建'!EZ56)*U$6+AF57</f>
        <v>#REF!</v>
      </c>
      <c r="AG58" s="8" t="e">
        <f>($C60*'[1]功能-城建'!FA56)*V$6+AG57</f>
        <v>#REF!</v>
      </c>
      <c r="AH58" s="8" t="e">
        <f>($C60*'[1]功能-城建'!FB56)*W$6+AH57</f>
        <v>#REF!</v>
      </c>
      <c r="AL58" s="8">
        <v>53</v>
      </c>
      <c r="AM58" s="8" t="e">
        <f>($D60*'[1]功能-城建'!HM56)*S$6+AM57</f>
        <v>#REF!</v>
      </c>
      <c r="AN58" s="8" t="e">
        <f>($D60*'[1]功能-城建'!HN56)*T$6+AN57</f>
        <v>#REF!</v>
      </c>
      <c r="AO58" s="8" t="e">
        <f>($D60*'[1]功能-城建'!HO56)*U$6+AO57</f>
        <v>#REF!</v>
      </c>
      <c r="AP58" s="8" t="e">
        <f>($D60*'[1]功能-城建'!HP56)*V$6+AP57</f>
        <v>#REF!</v>
      </c>
      <c r="AQ58" s="8" t="e">
        <f>($D60*'[1]功能-城建'!HQ56)*W$6+AQ57</f>
        <v>#REF!</v>
      </c>
      <c r="AU58" s="8">
        <v>53</v>
      </c>
      <c r="AV58" s="8" t="e">
        <f>($E60*'[1]功能-城建'!GF56)*S$6+AV57</f>
        <v>#REF!</v>
      </c>
      <c r="AW58" s="8" t="e">
        <f>($E60*'[1]功能-城建'!GG56)*T$6+AW57</f>
        <v>#REF!</v>
      </c>
      <c r="AX58" s="8" t="e">
        <f>($E60*'[1]功能-城建'!GH56)*U$6+AX57</f>
        <v>#REF!</v>
      </c>
      <c r="AY58" s="8" t="e">
        <f>($E60*'[1]功能-城建'!GI56)*V$6+AY57</f>
        <v>#REF!</v>
      </c>
      <c r="AZ58" s="8" t="e">
        <f>($E60*'[1]功能-城建'!GJ56)*W$6+AZ57</f>
        <v>#REF!</v>
      </c>
      <c r="BD58" s="8">
        <v>53</v>
      </c>
      <c r="BE58" s="8" t="e">
        <f t="shared" si="50"/>
        <v>#REF!</v>
      </c>
      <c r="BF58" s="8" t="e">
        <f t="shared" si="50"/>
        <v>#REF!</v>
      </c>
      <c r="BG58" s="8" t="e">
        <f t="shared" si="50"/>
        <v>#REF!</v>
      </c>
      <c r="BH58" s="8" t="e">
        <f t="shared" si="50"/>
        <v>#REF!</v>
      </c>
      <c r="BI58" s="8" t="e">
        <f t="shared" si="50"/>
        <v>#REF!</v>
      </c>
      <c r="BM58" s="8">
        <v>53</v>
      </c>
      <c r="BN58" s="8" t="e">
        <f t="shared" si="51"/>
        <v>#REF!</v>
      </c>
      <c r="BO58" s="8" t="e">
        <f t="shared" si="51"/>
        <v>#REF!</v>
      </c>
      <c r="BP58" s="8" t="e">
        <f t="shared" si="51"/>
        <v>#REF!</v>
      </c>
      <c r="BQ58" s="8" t="e">
        <f t="shared" si="51"/>
        <v>#REF!</v>
      </c>
      <c r="BR58" s="8" t="e">
        <f t="shared" si="51"/>
        <v>#REF!</v>
      </c>
      <c r="BV58" s="8">
        <v>53</v>
      </c>
      <c r="BW58" s="8" t="e">
        <f t="shared" si="52"/>
        <v>#REF!</v>
      </c>
      <c r="BX58" s="8" t="e">
        <f t="shared" si="52"/>
        <v>#REF!</v>
      </c>
      <c r="BY58" s="8" t="e">
        <f t="shared" si="52"/>
        <v>#REF!</v>
      </c>
      <c r="BZ58" s="8" t="e">
        <f t="shared" si="52"/>
        <v>#REF!</v>
      </c>
      <c r="CA58" s="8" t="e">
        <f t="shared" si="52"/>
        <v>#REF!</v>
      </c>
      <c r="CE58" s="8">
        <v>53</v>
      </c>
      <c r="CF58" s="18" t="e">
        <f t="shared" si="11"/>
        <v>#REF!</v>
      </c>
      <c r="CG58" s="18" t="e">
        <f t="shared" si="12"/>
        <v>#REF!</v>
      </c>
      <c r="CH58" s="18" t="e">
        <f t="shared" si="13"/>
        <v>#REF!</v>
      </c>
      <c r="CI58" s="18" t="e">
        <f t="shared" si="14"/>
        <v>#REF!</v>
      </c>
      <c r="CJ58" s="18" t="e">
        <f t="shared" si="15"/>
        <v>#REF!</v>
      </c>
      <c r="CN58" s="8">
        <v>53</v>
      </c>
      <c r="CO58" s="18" t="e">
        <f t="shared" si="16"/>
        <v>#REF!</v>
      </c>
      <c r="CP58" s="18" t="e">
        <f t="shared" si="17"/>
        <v>#REF!</v>
      </c>
      <c r="CQ58" s="18" t="e">
        <f t="shared" si="18"/>
        <v>#REF!</v>
      </c>
      <c r="CR58" s="18" t="e">
        <f t="shared" si="19"/>
        <v>#REF!</v>
      </c>
      <c r="CS58" s="18" t="e">
        <f t="shared" si="20"/>
        <v>#REF!</v>
      </c>
      <c r="CW58" s="8">
        <v>53</v>
      </c>
      <c r="CX58" s="18" t="e">
        <f t="shared" si="21"/>
        <v>#REF!</v>
      </c>
      <c r="CY58" s="18" t="e">
        <f t="shared" si="22"/>
        <v>#REF!</v>
      </c>
      <c r="CZ58" s="18" t="e">
        <f t="shared" si="23"/>
        <v>#REF!</v>
      </c>
      <c r="DA58" s="18" t="e">
        <f t="shared" si="24"/>
        <v>#REF!</v>
      </c>
      <c r="DB58" s="18" t="e">
        <f t="shared" si="25"/>
        <v>#REF!</v>
      </c>
      <c r="DF58" s="8">
        <v>53</v>
      </c>
      <c r="DG58" s="8" t="e">
        <f t="shared" si="26"/>
        <v>#REF!</v>
      </c>
      <c r="DH58" s="8" t="e">
        <f t="shared" si="27"/>
        <v>#REF!</v>
      </c>
      <c r="DI58" s="8" t="e">
        <f t="shared" si="28"/>
        <v>#REF!</v>
      </c>
      <c r="DJ58" s="8" t="e">
        <f t="shared" si="29"/>
        <v>#REF!</v>
      </c>
      <c r="DK58" s="8" t="e">
        <f t="shared" si="30"/>
        <v>#REF!</v>
      </c>
      <c r="DO58" s="8">
        <v>53</v>
      </c>
      <c r="DP58" s="8" t="e">
        <f t="shared" si="31"/>
        <v>#REF!</v>
      </c>
      <c r="DQ58" s="8" t="e">
        <f t="shared" si="32"/>
        <v>#REF!</v>
      </c>
      <c r="DR58" s="8" t="e">
        <f t="shared" si="33"/>
        <v>#REF!</v>
      </c>
      <c r="DS58" s="8" t="e">
        <f t="shared" si="34"/>
        <v>#REF!</v>
      </c>
      <c r="DT58" s="8" t="e">
        <f t="shared" si="35"/>
        <v>#REF!</v>
      </c>
    </row>
    <row r="59" spans="2:124">
      <c r="B59" s="8">
        <v>52</v>
      </c>
      <c r="C59" s="19" t="e">
        <f t="shared" si="49"/>
        <v>#REF!</v>
      </c>
      <c r="D59" s="19" t="e">
        <f t="shared" si="49"/>
        <v>#REF!</v>
      </c>
      <c r="E59" s="19" t="e">
        <f t="shared" si="49"/>
        <v>#REF!</v>
      </c>
      <c r="F59" s="19" t="e">
        <f t="shared" si="49"/>
        <v>#REF!</v>
      </c>
      <c r="G59" s="19" t="e">
        <f t="shared" si="49"/>
        <v>#REF!</v>
      </c>
      <c r="H59" s="19" t="e">
        <f t="shared" si="48"/>
        <v>#REF!</v>
      </c>
      <c r="I59" s="19" t="e">
        <f t="shared" si="48"/>
        <v>#REF!</v>
      </c>
      <c r="J59" s="19" t="e">
        <f t="shared" si="48"/>
        <v>#REF!</v>
      </c>
      <c r="K59" s="19" t="e">
        <f t="shared" si="48"/>
        <v>#REF!</v>
      </c>
      <c r="L59" s="16" t="e">
        <f t="shared" si="48"/>
        <v>#REF!</v>
      </c>
      <c r="M59" s="16" t="e">
        <f t="shared" si="48"/>
        <v>#REF!</v>
      </c>
      <c r="AC59" s="8">
        <v>54</v>
      </c>
      <c r="AD59" s="8" t="e">
        <f>($C61*'[1]功能-城建'!EX57)*S$6+AD58</f>
        <v>#REF!</v>
      </c>
      <c r="AE59" s="8" t="e">
        <f>($C61*'[1]功能-城建'!EY57)*T$6+AE58</f>
        <v>#REF!</v>
      </c>
      <c r="AF59" s="8" t="e">
        <f>($C61*'[1]功能-城建'!EZ57)*U$6+AF58</f>
        <v>#REF!</v>
      </c>
      <c r="AG59" s="8" t="e">
        <f>($C61*'[1]功能-城建'!FA57)*V$6+AG58</f>
        <v>#REF!</v>
      </c>
      <c r="AH59" s="8" t="e">
        <f>($C61*'[1]功能-城建'!FB57)*W$6+AH58</f>
        <v>#REF!</v>
      </c>
      <c r="AL59" s="8">
        <v>54</v>
      </c>
      <c r="AM59" s="8" t="e">
        <f>($D61*'[1]功能-城建'!HM57)*S$6+AM58</f>
        <v>#REF!</v>
      </c>
      <c r="AN59" s="8" t="e">
        <f>($D61*'[1]功能-城建'!HN57)*T$6+AN58</f>
        <v>#REF!</v>
      </c>
      <c r="AO59" s="8" t="e">
        <f>($D61*'[1]功能-城建'!HO57)*U$6+AO58</f>
        <v>#REF!</v>
      </c>
      <c r="AP59" s="8" t="e">
        <f>($D61*'[1]功能-城建'!HP57)*V$6+AP58</f>
        <v>#REF!</v>
      </c>
      <c r="AQ59" s="8" t="e">
        <f>($D61*'[1]功能-城建'!HQ57)*W$6+AQ58</f>
        <v>#REF!</v>
      </c>
      <c r="AU59" s="8">
        <v>54</v>
      </c>
      <c r="AV59" s="8" t="e">
        <f>($E61*'[1]功能-城建'!GF57)*S$6+AV58</f>
        <v>#REF!</v>
      </c>
      <c r="AW59" s="8" t="e">
        <f>($E61*'[1]功能-城建'!GG57)*T$6+AW58</f>
        <v>#REF!</v>
      </c>
      <c r="AX59" s="8" t="e">
        <f>($E61*'[1]功能-城建'!GH57)*U$6+AX58</f>
        <v>#REF!</v>
      </c>
      <c r="AY59" s="8" t="e">
        <f>($E61*'[1]功能-城建'!GI57)*V$6+AY58</f>
        <v>#REF!</v>
      </c>
      <c r="AZ59" s="8" t="e">
        <f>($E61*'[1]功能-城建'!GJ57)*W$6+AZ58</f>
        <v>#REF!</v>
      </c>
      <c r="BD59" s="8">
        <v>54</v>
      </c>
      <c r="BE59" s="8" t="e">
        <f t="shared" si="50"/>
        <v>#REF!</v>
      </c>
      <c r="BF59" s="8" t="e">
        <f t="shared" si="50"/>
        <v>#REF!</v>
      </c>
      <c r="BG59" s="8" t="e">
        <f t="shared" si="50"/>
        <v>#REF!</v>
      </c>
      <c r="BH59" s="8" t="e">
        <f t="shared" si="50"/>
        <v>#REF!</v>
      </c>
      <c r="BI59" s="8" t="e">
        <f t="shared" si="50"/>
        <v>#REF!</v>
      </c>
      <c r="BM59" s="8">
        <v>54</v>
      </c>
      <c r="BN59" s="8" t="e">
        <f t="shared" si="51"/>
        <v>#REF!</v>
      </c>
      <c r="BO59" s="8" t="e">
        <f t="shared" si="51"/>
        <v>#REF!</v>
      </c>
      <c r="BP59" s="8" t="e">
        <f t="shared" si="51"/>
        <v>#REF!</v>
      </c>
      <c r="BQ59" s="8" t="e">
        <f t="shared" si="51"/>
        <v>#REF!</v>
      </c>
      <c r="BR59" s="8" t="e">
        <f t="shared" si="51"/>
        <v>#REF!</v>
      </c>
      <c r="BV59" s="8">
        <v>54</v>
      </c>
      <c r="BW59" s="8" t="e">
        <f t="shared" si="52"/>
        <v>#REF!</v>
      </c>
      <c r="BX59" s="8" t="e">
        <f t="shared" si="52"/>
        <v>#REF!</v>
      </c>
      <c r="BY59" s="8" t="e">
        <f t="shared" si="52"/>
        <v>#REF!</v>
      </c>
      <c r="BZ59" s="8" t="e">
        <f t="shared" si="52"/>
        <v>#REF!</v>
      </c>
      <c r="CA59" s="8" t="e">
        <f t="shared" si="52"/>
        <v>#REF!</v>
      </c>
      <c r="CE59" s="8">
        <v>54</v>
      </c>
      <c r="CF59" s="18" t="e">
        <f t="shared" si="11"/>
        <v>#REF!</v>
      </c>
      <c r="CG59" s="18" t="e">
        <f t="shared" si="12"/>
        <v>#REF!</v>
      </c>
      <c r="CH59" s="18" t="e">
        <f t="shared" si="13"/>
        <v>#REF!</v>
      </c>
      <c r="CI59" s="18" t="e">
        <f t="shared" si="14"/>
        <v>#REF!</v>
      </c>
      <c r="CJ59" s="18" t="e">
        <f t="shared" si="15"/>
        <v>#REF!</v>
      </c>
      <c r="CN59" s="8">
        <v>54</v>
      </c>
      <c r="CO59" s="18" t="e">
        <f t="shared" si="16"/>
        <v>#REF!</v>
      </c>
      <c r="CP59" s="18" t="e">
        <f t="shared" si="17"/>
        <v>#REF!</v>
      </c>
      <c r="CQ59" s="18" t="e">
        <f t="shared" si="18"/>
        <v>#REF!</v>
      </c>
      <c r="CR59" s="18" t="e">
        <f t="shared" si="19"/>
        <v>#REF!</v>
      </c>
      <c r="CS59" s="18" t="e">
        <f t="shared" si="20"/>
        <v>#REF!</v>
      </c>
      <c r="CW59" s="8">
        <v>54</v>
      </c>
      <c r="CX59" s="18" t="e">
        <f t="shared" si="21"/>
        <v>#REF!</v>
      </c>
      <c r="CY59" s="18" t="e">
        <f t="shared" si="22"/>
        <v>#REF!</v>
      </c>
      <c r="CZ59" s="18" t="e">
        <f t="shared" si="23"/>
        <v>#REF!</v>
      </c>
      <c r="DA59" s="18" t="e">
        <f t="shared" si="24"/>
        <v>#REF!</v>
      </c>
      <c r="DB59" s="18" t="e">
        <f t="shared" si="25"/>
        <v>#REF!</v>
      </c>
      <c r="DF59" s="8">
        <v>54</v>
      </c>
      <c r="DG59" s="8" t="e">
        <f t="shared" si="26"/>
        <v>#REF!</v>
      </c>
      <c r="DH59" s="8" t="e">
        <f t="shared" si="27"/>
        <v>#REF!</v>
      </c>
      <c r="DI59" s="8" t="e">
        <f t="shared" si="28"/>
        <v>#REF!</v>
      </c>
      <c r="DJ59" s="8" t="e">
        <f t="shared" si="29"/>
        <v>#REF!</v>
      </c>
      <c r="DK59" s="8" t="e">
        <f t="shared" si="30"/>
        <v>#REF!</v>
      </c>
      <c r="DO59" s="8">
        <v>54</v>
      </c>
      <c r="DP59" s="8" t="e">
        <f t="shared" si="31"/>
        <v>#REF!</v>
      </c>
      <c r="DQ59" s="8" t="e">
        <f t="shared" si="32"/>
        <v>#REF!</v>
      </c>
      <c r="DR59" s="8" t="e">
        <f t="shared" si="33"/>
        <v>#REF!</v>
      </c>
      <c r="DS59" s="8" t="e">
        <f t="shared" si="34"/>
        <v>#REF!</v>
      </c>
      <c r="DT59" s="8" t="e">
        <f t="shared" si="35"/>
        <v>#REF!</v>
      </c>
    </row>
    <row r="60" spans="2:124">
      <c r="B60" s="8">
        <v>53</v>
      </c>
      <c r="C60" s="19" t="e">
        <f t="shared" si="49"/>
        <v>#REF!</v>
      </c>
      <c r="D60" s="19" t="e">
        <f t="shared" si="49"/>
        <v>#REF!</v>
      </c>
      <c r="E60" s="19" t="e">
        <f t="shared" si="49"/>
        <v>#REF!</v>
      </c>
      <c r="F60" s="19" t="e">
        <f t="shared" si="49"/>
        <v>#REF!</v>
      </c>
      <c r="G60" s="19" t="e">
        <f t="shared" si="49"/>
        <v>#REF!</v>
      </c>
      <c r="H60" s="19" t="e">
        <f t="shared" si="48"/>
        <v>#REF!</v>
      </c>
      <c r="I60" s="19" t="e">
        <f t="shared" si="48"/>
        <v>#REF!</v>
      </c>
      <c r="J60" s="19" t="e">
        <f t="shared" si="48"/>
        <v>#REF!</v>
      </c>
      <c r="K60" s="19" t="e">
        <f t="shared" si="48"/>
        <v>#REF!</v>
      </c>
      <c r="L60" s="16" t="e">
        <f t="shared" si="48"/>
        <v>#REF!</v>
      </c>
      <c r="M60" s="16" t="e">
        <f t="shared" si="48"/>
        <v>#REF!</v>
      </c>
      <c r="AC60" s="8">
        <v>55</v>
      </c>
      <c r="AD60" s="8" t="e">
        <f>($C62*'[1]功能-城建'!EX58)*S$6+AD59</f>
        <v>#REF!</v>
      </c>
      <c r="AE60" s="8" t="e">
        <f>($C62*'[1]功能-城建'!EY58)*T$6+AE59</f>
        <v>#REF!</v>
      </c>
      <c r="AF60" s="8" t="e">
        <f>($C62*'[1]功能-城建'!EZ58)*U$6+AF59</f>
        <v>#REF!</v>
      </c>
      <c r="AG60" s="8" t="e">
        <f>($C62*'[1]功能-城建'!FA58)*V$6+AG59</f>
        <v>#REF!</v>
      </c>
      <c r="AH60" s="8" t="e">
        <f>($C62*'[1]功能-城建'!FB58)*W$6+AH59</f>
        <v>#REF!</v>
      </c>
      <c r="AL60" s="8">
        <v>55</v>
      </c>
      <c r="AM60" s="8" t="e">
        <f>($D62*'[1]功能-城建'!HM58)*S$6+AM59</f>
        <v>#REF!</v>
      </c>
      <c r="AN60" s="8" t="e">
        <f>($D62*'[1]功能-城建'!HN58)*T$6+AN59</f>
        <v>#REF!</v>
      </c>
      <c r="AO60" s="8" t="e">
        <f>($D62*'[1]功能-城建'!HO58)*U$6+AO59</f>
        <v>#REF!</v>
      </c>
      <c r="AP60" s="8" t="e">
        <f>($D62*'[1]功能-城建'!HP58)*V$6+AP59</f>
        <v>#REF!</v>
      </c>
      <c r="AQ60" s="8" t="e">
        <f>($D62*'[1]功能-城建'!HQ58)*W$6+AQ59</f>
        <v>#REF!</v>
      </c>
      <c r="AU60" s="8">
        <v>55</v>
      </c>
      <c r="AV60" s="8" t="e">
        <f>($E62*'[1]功能-城建'!GF58)*S$6+AV59</f>
        <v>#REF!</v>
      </c>
      <c r="AW60" s="8" t="e">
        <f>($E62*'[1]功能-城建'!GG58)*T$6+AW59</f>
        <v>#REF!</v>
      </c>
      <c r="AX60" s="8" t="e">
        <f>($E62*'[1]功能-城建'!GH58)*U$6+AX59</f>
        <v>#REF!</v>
      </c>
      <c r="AY60" s="8" t="e">
        <f>($E62*'[1]功能-城建'!GI58)*V$6+AY59</f>
        <v>#REF!</v>
      </c>
      <c r="AZ60" s="8" t="e">
        <f>($E62*'[1]功能-城建'!GJ58)*W$6+AZ59</f>
        <v>#REF!</v>
      </c>
      <c r="BD60" s="8">
        <v>55</v>
      </c>
      <c r="BE60" s="8" t="e">
        <f t="shared" si="50"/>
        <v>#REF!</v>
      </c>
      <c r="BF60" s="8" t="e">
        <f t="shared" si="50"/>
        <v>#REF!</v>
      </c>
      <c r="BG60" s="8" t="e">
        <f t="shared" si="50"/>
        <v>#REF!</v>
      </c>
      <c r="BH60" s="8" t="e">
        <f t="shared" si="50"/>
        <v>#REF!</v>
      </c>
      <c r="BI60" s="8" t="e">
        <f t="shared" si="50"/>
        <v>#REF!</v>
      </c>
      <c r="BM60" s="8">
        <v>55</v>
      </c>
      <c r="BN60" s="8" t="e">
        <f t="shared" si="51"/>
        <v>#REF!</v>
      </c>
      <c r="BO60" s="8" t="e">
        <f t="shared" si="51"/>
        <v>#REF!</v>
      </c>
      <c r="BP60" s="8" t="e">
        <f t="shared" si="51"/>
        <v>#REF!</v>
      </c>
      <c r="BQ60" s="8" t="e">
        <f t="shared" si="51"/>
        <v>#REF!</v>
      </c>
      <c r="BR60" s="8" t="e">
        <f t="shared" si="51"/>
        <v>#REF!</v>
      </c>
      <c r="BV60" s="8">
        <v>55</v>
      </c>
      <c r="BW60" s="8" t="e">
        <f t="shared" si="52"/>
        <v>#REF!</v>
      </c>
      <c r="BX60" s="8" t="e">
        <f t="shared" si="52"/>
        <v>#REF!</v>
      </c>
      <c r="BY60" s="8" t="e">
        <f t="shared" si="52"/>
        <v>#REF!</v>
      </c>
      <c r="BZ60" s="8" t="e">
        <f t="shared" si="52"/>
        <v>#REF!</v>
      </c>
      <c r="CA60" s="8" t="e">
        <f t="shared" si="52"/>
        <v>#REF!</v>
      </c>
      <c r="CE60" s="8">
        <v>55</v>
      </c>
      <c r="CF60" s="18" t="e">
        <f t="shared" si="11"/>
        <v>#REF!</v>
      </c>
      <c r="CG60" s="18" t="e">
        <f t="shared" si="12"/>
        <v>#REF!</v>
      </c>
      <c r="CH60" s="18" t="e">
        <f t="shared" si="13"/>
        <v>#REF!</v>
      </c>
      <c r="CI60" s="18" t="e">
        <f t="shared" si="14"/>
        <v>#REF!</v>
      </c>
      <c r="CJ60" s="18" t="e">
        <f t="shared" si="15"/>
        <v>#REF!</v>
      </c>
      <c r="CN60" s="8">
        <v>55</v>
      </c>
      <c r="CO60" s="18" t="e">
        <f t="shared" si="16"/>
        <v>#REF!</v>
      </c>
      <c r="CP60" s="18" t="e">
        <f t="shared" si="17"/>
        <v>#REF!</v>
      </c>
      <c r="CQ60" s="18" t="e">
        <f t="shared" si="18"/>
        <v>#REF!</v>
      </c>
      <c r="CR60" s="18" t="e">
        <f t="shared" si="19"/>
        <v>#REF!</v>
      </c>
      <c r="CS60" s="18" t="e">
        <f t="shared" si="20"/>
        <v>#REF!</v>
      </c>
      <c r="CW60" s="8">
        <v>55</v>
      </c>
      <c r="CX60" s="18" t="e">
        <f t="shared" si="21"/>
        <v>#REF!</v>
      </c>
      <c r="CY60" s="18" t="e">
        <f t="shared" si="22"/>
        <v>#REF!</v>
      </c>
      <c r="CZ60" s="18" t="e">
        <f t="shared" si="23"/>
        <v>#REF!</v>
      </c>
      <c r="DA60" s="18" t="e">
        <f t="shared" si="24"/>
        <v>#REF!</v>
      </c>
      <c r="DB60" s="18" t="e">
        <f t="shared" si="25"/>
        <v>#REF!</v>
      </c>
      <c r="DF60" s="8">
        <v>55</v>
      </c>
      <c r="DG60" s="8" t="e">
        <f t="shared" si="26"/>
        <v>#REF!</v>
      </c>
      <c r="DH60" s="8" t="e">
        <f t="shared" si="27"/>
        <v>#REF!</v>
      </c>
      <c r="DI60" s="8" t="e">
        <f t="shared" si="28"/>
        <v>#REF!</v>
      </c>
      <c r="DJ60" s="8" t="e">
        <f t="shared" si="29"/>
        <v>#REF!</v>
      </c>
      <c r="DK60" s="8" t="e">
        <f t="shared" si="30"/>
        <v>#REF!</v>
      </c>
      <c r="DO60" s="8">
        <v>55</v>
      </c>
      <c r="DP60" s="8" t="e">
        <f t="shared" si="31"/>
        <v>#REF!</v>
      </c>
      <c r="DQ60" s="8" t="e">
        <f t="shared" si="32"/>
        <v>#REF!</v>
      </c>
      <c r="DR60" s="8" t="e">
        <f t="shared" si="33"/>
        <v>#REF!</v>
      </c>
      <c r="DS60" s="8" t="e">
        <f t="shared" si="34"/>
        <v>#REF!</v>
      </c>
      <c r="DT60" s="8" t="e">
        <f t="shared" si="35"/>
        <v>#REF!</v>
      </c>
    </row>
    <row r="61" spans="2:124">
      <c r="B61" s="8">
        <v>54</v>
      </c>
      <c r="C61" s="19" t="e">
        <f t="shared" si="49"/>
        <v>#REF!</v>
      </c>
      <c r="D61" s="19" t="e">
        <f t="shared" si="49"/>
        <v>#REF!</v>
      </c>
      <c r="E61" s="19" t="e">
        <f t="shared" si="49"/>
        <v>#REF!</v>
      </c>
      <c r="F61" s="19" t="e">
        <f t="shared" si="49"/>
        <v>#REF!</v>
      </c>
      <c r="G61" s="19" t="e">
        <f t="shared" si="49"/>
        <v>#REF!</v>
      </c>
      <c r="H61" s="19" t="e">
        <f t="shared" si="48"/>
        <v>#REF!</v>
      </c>
      <c r="I61" s="19" t="e">
        <f t="shared" si="48"/>
        <v>#REF!</v>
      </c>
      <c r="J61" s="19" t="e">
        <f t="shared" si="48"/>
        <v>#REF!</v>
      </c>
      <c r="K61" s="19" t="e">
        <f t="shared" si="48"/>
        <v>#REF!</v>
      </c>
      <c r="L61" s="16" t="e">
        <f t="shared" si="48"/>
        <v>#REF!</v>
      </c>
      <c r="M61" s="16" t="e">
        <f t="shared" si="48"/>
        <v>#REF!</v>
      </c>
      <c r="AC61" s="8">
        <v>56</v>
      </c>
      <c r="AD61" s="8" t="e">
        <f>($C63*'[1]功能-城建'!EX59)*S$6+AD60</f>
        <v>#REF!</v>
      </c>
      <c r="AE61" s="8" t="e">
        <f>($C63*'[1]功能-城建'!EY59)*T$6+AE60</f>
        <v>#REF!</v>
      </c>
      <c r="AF61" s="8" t="e">
        <f>($C63*'[1]功能-城建'!EZ59)*U$6+AF60</f>
        <v>#REF!</v>
      </c>
      <c r="AG61" s="8" t="e">
        <f>($C63*'[1]功能-城建'!FA59)*V$6+AG60</f>
        <v>#REF!</v>
      </c>
      <c r="AH61" s="8" t="e">
        <f>($C63*'[1]功能-城建'!FB59)*W$6+AH60</f>
        <v>#REF!</v>
      </c>
      <c r="AL61" s="8">
        <v>56</v>
      </c>
      <c r="AM61" s="8" t="e">
        <f>($D63*'[1]功能-城建'!HM59)*S$6+AM60</f>
        <v>#REF!</v>
      </c>
      <c r="AN61" s="8" t="e">
        <f>($D63*'[1]功能-城建'!HN59)*T$6+AN60</f>
        <v>#REF!</v>
      </c>
      <c r="AO61" s="8" t="e">
        <f>($D63*'[1]功能-城建'!HO59)*U$6+AO60</f>
        <v>#REF!</v>
      </c>
      <c r="AP61" s="8" t="e">
        <f>($D63*'[1]功能-城建'!HP59)*V$6+AP60</f>
        <v>#REF!</v>
      </c>
      <c r="AQ61" s="8" t="e">
        <f>($D63*'[1]功能-城建'!HQ59)*W$6+AQ60</f>
        <v>#REF!</v>
      </c>
      <c r="AU61" s="8">
        <v>56</v>
      </c>
      <c r="AV61" s="8" t="e">
        <f>($E63*'[1]功能-城建'!GF59)*S$6+AV60</f>
        <v>#REF!</v>
      </c>
      <c r="AW61" s="8" t="e">
        <f>($E63*'[1]功能-城建'!GG59)*T$6+AW60</f>
        <v>#REF!</v>
      </c>
      <c r="AX61" s="8" t="e">
        <f>($E63*'[1]功能-城建'!GH59)*U$6+AX60</f>
        <v>#REF!</v>
      </c>
      <c r="AY61" s="8" t="e">
        <f>($E63*'[1]功能-城建'!GI59)*V$6+AY60</f>
        <v>#REF!</v>
      </c>
      <c r="AZ61" s="8" t="e">
        <f>($E63*'[1]功能-城建'!GJ59)*W$6+AZ60</f>
        <v>#REF!</v>
      </c>
      <c r="BD61" s="8">
        <v>56</v>
      </c>
      <c r="BE61" s="8" t="e">
        <f t="shared" si="50"/>
        <v>#REF!</v>
      </c>
      <c r="BF61" s="8" t="e">
        <f t="shared" si="50"/>
        <v>#REF!</v>
      </c>
      <c r="BG61" s="8" t="e">
        <f t="shared" si="50"/>
        <v>#REF!</v>
      </c>
      <c r="BH61" s="8" t="e">
        <f t="shared" si="50"/>
        <v>#REF!</v>
      </c>
      <c r="BI61" s="8" t="e">
        <f t="shared" si="50"/>
        <v>#REF!</v>
      </c>
      <c r="BM61" s="8">
        <v>56</v>
      </c>
      <c r="BN61" s="8" t="e">
        <f t="shared" si="51"/>
        <v>#REF!</v>
      </c>
      <c r="BO61" s="8" t="e">
        <f t="shared" si="51"/>
        <v>#REF!</v>
      </c>
      <c r="BP61" s="8" t="e">
        <f t="shared" si="51"/>
        <v>#REF!</v>
      </c>
      <c r="BQ61" s="8" t="e">
        <f t="shared" si="51"/>
        <v>#REF!</v>
      </c>
      <c r="BR61" s="8" t="e">
        <f t="shared" si="51"/>
        <v>#REF!</v>
      </c>
      <c r="BV61" s="8">
        <v>56</v>
      </c>
      <c r="BW61" s="8" t="e">
        <f t="shared" si="52"/>
        <v>#REF!</v>
      </c>
      <c r="BX61" s="8" t="e">
        <f t="shared" si="52"/>
        <v>#REF!</v>
      </c>
      <c r="BY61" s="8" t="e">
        <f t="shared" si="52"/>
        <v>#REF!</v>
      </c>
      <c r="BZ61" s="8" t="e">
        <f t="shared" si="52"/>
        <v>#REF!</v>
      </c>
      <c r="CA61" s="8" t="e">
        <f t="shared" si="52"/>
        <v>#REF!</v>
      </c>
      <c r="CE61" s="8">
        <v>56</v>
      </c>
      <c r="CF61" s="18" t="e">
        <f t="shared" si="11"/>
        <v>#REF!</v>
      </c>
      <c r="CG61" s="18" t="e">
        <f t="shared" si="12"/>
        <v>#REF!</v>
      </c>
      <c r="CH61" s="18" t="e">
        <f t="shared" si="13"/>
        <v>#REF!</v>
      </c>
      <c r="CI61" s="18" t="e">
        <f t="shared" si="14"/>
        <v>#REF!</v>
      </c>
      <c r="CJ61" s="18" t="e">
        <f t="shared" si="15"/>
        <v>#REF!</v>
      </c>
      <c r="CN61" s="8">
        <v>56</v>
      </c>
      <c r="CO61" s="18" t="e">
        <f t="shared" si="16"/>
        <v>#REF!</v>
      </c>
      <c r="CP61" s="18" t="e">
        <f t="shared" si="17"/>
        <v>#REF!</v>
      </c>
      <c r="CQ61" s="18" t="e">
        <f t="shared" si="18"/>
        <v>#REF!</v>
      </c>
      <c r="CR61" s="18" t="e">
        <f t="shared" si="19"/>
        <v>#REF!</v>
      </c>
      <c r="CS61" s="18" t="e">
        <f t="shared" si="20"/>
        <v>#REF!</v>
      </c>
      <c r="CW61" s="8">
        <v>56</v>
      </c>
      <c r="CX61" s="18" t="e">
        <f t="shared" si="21"/>
        <v>#REF!</v>
      </c>
      <c r="CY61" s="18" t="e">
        <f t="shared" si="22"/>
        <v>#REF!</v>
      </c>
      <c r="CZ61" s="18" t="e">
        <f t="shared" si="23"/>
        <v>#REF!</v>
      </c>
      <c r="DA61" s="18" t="e">
        <f t="shared" si="24"/>
        <v>#REF!</v>
      </c>
      <c r="DB61" s="18" t="e">
        <f t="shared" si="25"/>
        <v>#REF!</v>
      </c>
      <c r="DF61" s="8">
        <v>56</v>
      </c>
      <c r="DG61" s="8" t="e">
        <f t="shared" si="26"/>
        <v>#REF!</v>
      </c>
      <c r="DH61" s="8" t="e">
        <f t="shared" si="27"/>
        <v>#REF!</v>
      </c>
      <c r="DI61" s="8" t="e">
        <f t="shared" si="28"/>
        <v>#REF!</v>
      </c>
      <c r="DJ61" s="8" t="e">
        <f t="shared" si="29"/>
        <v>#REF!</v>
      </c>
      <c r="DK61" s="8" t="e">
        <f t="shared" si="30"/>
        <v>#REF!</v>
      </c>
      <c r="DO61" s="8">
        <v>56</v>
      </c>
      <c r="DP61" s="8" t="e">
        <f t="shared" si="31"/>
        <v>#REF!</v>
      </c>
      <c r="DQ61" s="8" t="e">
        <f t="shared" si="32"/>
        <v>#REF!</v>
      </c>
      <c r="DR61" s="8" t="e">
        <f t="shared" si="33"/>
        <v>#REF!</v>
      </c>
      <c r="DS61" s="8" t="e">
        <f t="shared" si="34"/>
        <v>#REF!</v>
      </c>
      <c r="DT61" s="8" t="e">
        <f t="shared" si="35"/>
        <v>#REF!</v>
      </c>
    </row>
    <row r="62" spans="2:124">
      <c r="B62" s="8">
        <v>55</v>
      </c>
      <c r="C62" s="19" t="e">
        <f t="shared" si="49"/>
        <v>#REF!</v>
      </c>
      <c r="D62" s="19" t="e">
        <f t="shared" si="49"/>
        <v>#REF!</v>
      </c>
      <c r="E62" s="19" t="e">
        <f t="shared" si="49"/>
        <v>#REF!</v>
      </c>
      <c r="F62" s="19" t="e">
        <f t="shared" si="49"/>
        <v>#REF!</v>
      </c>
      <c r="G62" s="19" t="e">
        <f t="shared" si="49"/>
        <v>#REF!</v>
      </c>
      <c r="H62" s="19" t="e">
        <f t="shared" si="48"/>
        <v>#REF!</v>
      </c>
      <c r="I62" s="19" t="e">
        <f t="shared" si="48"/>
        <v>#REF!</v>
      </c>
      <c r="J62" s="19" t="e">
        <f t="shared" si="48"/>
        <v>#REF!</v>
      </c>
      <c r="K62" s="19" t="e">
        <f t="shared" si="48"/>
        <v>#REF!</v>
      </c>
      <c r="L62" s="16" t="e">
        <f t="shared" si="48"/>
        <v>#REF!</v>
      </c>
      <c r="M62" s="16" t="e">
        <f t="shared" si="48"/>
        <v>#REF!</v>
      </c>
      <c r="AC62" s="8">
        <v>57</v>
      </c>
      <c r="AD62" s="8" t="e">
        <f>($C64*'[1]功能-城建'!EX60)*S$6+AD61</f>
        <v>#REF!</v>
      </c>
      <c r="AE62" s="8" t="e">
        <f>($C64*'[1]功能-城建'!EY60)*T$6+AE61</f>
        <v>#REF!</v>
      </c>
      <c r="AF62" s="8" t="e">
        <f>($C64*'[1]功能-城建'!EZ60)*U$6+AF61</f>
        <v>#REF!</v>
      </c>
      <c r="AG62" s="8" t="e">
        <f>($C64*'[1]功能-城建'!FA60)*V$6+AG61</f>
        <v>#REF!</v>
      </c>
      <c r="AH62" s="8" t="e">
        <f>($C64*'[1]功能-城建'!FB60)*W$6+AH61</f>
        <v>#REF!</v>
      </c>
      <c r="AL62" s="8">
        <v>57</v>
      </c>
      <c r="AM62" s="8" t="e">
        <f>($D64*'[1]功能-城建'!HM60)*S$6+AM61</f>
        <v>#REF!</v>
      </c>
      <c r="AN62" s="8" t="e">
        <f>($D64*'[1]功能-城建'!HN60)*T$6+AN61</f>
        <v>#REF!</v>
      </c>
      <c r="AO62" s="8" t="e">
        <f>($D64*'[1]功能-城建'!HO60)*U$6+AO61</f>
        <v>#REF!</v>
      </c>
      <c r="AP62" s="8" t="e">
        <f>($D64*'[1]功能-城建'!HP60)*V$6+AP61</f>
        <v>#REF!</v>
      </c>
      <c r="AQ62" s="8" t="e">
        <f>($D64*'[1]功能-城建'!HQ60)*W$6+AQ61</f>
        <v>#REF!</v>
      </c>
      <c r="AU62" s="8">
        <v>57</v>
      </c>
      <c r="AV62" s="8" t="e">
        <f>($E64*'[1]功能-城建'!GF60)*S$6+AV61</f>
        <v>#REF!</v>
      </c>
      <c r="AW62" s="8" t="e">
        <f>($E64*'[1]功能-城建'!GG60)*T$6+AW61</f>
        <v>#REF!</v>
      </c>
      <c r="AX62" s="8" t="e">
        <f>($E64*'[1]功能-城建'!GH60)*U$6+AX61</f>
        <v>#REF!</v>
      </c>
      <c r="AY62" s="8" t="e">
        <f>($E64*'[1]功能-城建'!GI60)*V$6+AY61</f>
        <v>#REF!</v>
      </c>
      <c r="AZ62" s="8" t="e">
        <f>($E64*'[1]功能-城建'!GJ60)*W$6+AZ61</f>
        <v>#REF!</v>
      </c>
      <c r="BD62" s="8">
        <v>57</v>
      </c>
      <c r="BE62" s="8" t="e">
        <f t="shared" si="50"/>
        <v>#REF!</v>
      </c>
      <c r="BF62" s="8" t="e">
        <f t="shared" si="50"/>
        <v>#REF!</v>
      </c>
      <c r="BG62" s="8" t="e">
        <f t="shared" si="50"/>
        <v>#REF!</v>
      </c>
      <c r="BH62" s="8" t="e">
        <f t="shared" si="50"/>
        <v>#REF!</v>
      </c>
      <c r="BI62" s="8" t="e">
        <f t="shared" si="50"/>
        <v>#REF!</v>
      </c>
      <c r="BM62" s="8">
        <v>57</v>
      </c>
      <c r="BN62" s="8" t="e">
        <f t="shared" si="51"/>
        <v>#REF!</v>
      </c>
      <c r="BO62" s="8" t="e">
        <f t="shared" si="51"/>
        <v>#REF!</v>
      </c>
      <c r="BP62" s="8" t="e">
        <f t="shared" si="51"/>
        <v>#REF!</v>
      </c>
      <c r="BQ62" s="8" t="e">
        <f t="shared" si="51"/>
        <v>#REF!</v>
      </c>
      <c r="BR62" s="8" t="e">
        <f t="shared" si="51"/>
        <v>#REF!</v>
      </c>
      <c r="BV62" s="8">
        <v>57</v>
      </c>
      <c r="BW62" s="8" t="e">
        <f t="shared" si="52"/>
        <v>#REF!</v>
      </c>
      <c r="BX62" s="8" t="e">
        <f t="shared" si="52"/>
        <v>#REF!</v>
      </c>
      <c r="BY62" s="8" t="e">
        <f t="shared" si="52"/>
        <v>#REF!</v>
      </c>
      <c r="BZ62" s="8" t="e">
        <f t="shared" si="52"/>
        <v>#REF!</v>
      </c>
      <c r="CA62" s="8" t="e">
        <f t="shared" si="52"/>
        <v>#REF!</v>
      </c>
      <c r="CE62" s="8">
        <v>57</v>
      </c>
      <c r="CF62" s="18" t="e">
        <f t="shared" si="11"/>
        <v>#REF!</v>
      </c>
      <c r="CG62" s="18" t="e">
        <f t="shared" si="12"/>
        <v>#REF!</v>
      </c>
      <c r="CH62" s="18" t="e">
        <f t="shared" si="13"/>
        <v>#REF!</v>
      </c>
      <c r="CI62" s="18" t="e">
        <f t="shared" si="14"/>
        <v>#REF!</v>
      </c>
      <c r="CJ62" s="18" t="e">
        <f t="shared" si="15"/>
        <v>#REF!</v>
      </c>
      <c r="CN62" s="8">
        <v>57</v>
      </c>
      <c r="CO62" s="18" t="e">
        <f t="shared" si="16"/>
        <v>#REF!</v>
      </c>
      <c r="CP62" s="18" t="e">
        <f t="shared" si="17"/>
        <v>#REF!</v>
      </c>
      <c r="CQ62" s="18" t="e">
        <f t="shared" si="18"/>
        <v>#REF!</v>
      </c>
      <c r="CR62" s="18" t="e">
        <f t="shared" si="19"/>
        <v>#REF!</v>
      </c>
      <c r="CS62" s="18" t="e">
        <f t="shared" si="20"/>
        <v>#REF!</v>
      </c>
      <c r="CW62" s="8">
        <v>57</v>
      </c>
      <c r="CX62" s="18" t="e">
        <f t="shared" si="21"/>
        <v>#REF!</v>
      </c>
      <c r="CY62" s="18" t="e">
        <f t="shared" si="22"/>
        <v>#REF!</v>
      </c>
      <c r="CZ62" s="18" t="e">
        <f t="shared" si="23"/>
        <v>#REF!</v>
      </c>
      <c r="DA62" s="18" t="e">
        <f t="shared" si="24"/>
        <v>#REF!</v>
      </c>
      <c r="DB62" s="18" t="e">
        <f t="shared" si="25"/>
        <v>#REF!</v>
      </c>
      <c r="DF62" s="8">
        <v>57</v>
      </c>
      <c r="DG62" s="8" t="e">
        <f t="shared" si="26"/>
        <v>#REF!</v>
      </c>
      <c r="DH62" s="8" t="e">
        <f t="shared" si="27"/>
        <v>#REF!</v>
      </c>
      <c r="DI62" s="8" t="e">
        <f t="shared" si="28"/>
        <v>#REF!</v>
      </c>
      <c r="DJ62" s="8" t="e">
        <f t="shared" si="29"/>
        <v>#REF!</v>
      </c>
      <c r="DK62" s="8" t="e">
        <f t="shared" si="30"/>
        <v>#REF!</v>
      </c>
      <c r="DO62" s="8">
        <v>57</v>
      </c>
      <c r="DP62" s="8" t="e">
        <f t="shared" si="31"/>
        <v>#REF!</v>
      </c>
      <c r="DQ62" s="8" t="e">
        <f t="shared" si="32"/>
        <v>#REF!</v>
      </c>
      <c r="DR62" s="8" t="e">
        <f t="shared" si="33"/>
        <v>#REF!</v>
      </c>
      <c r="DS62" s="8" t="e">
        <f t="shared" si="34"/>
        <v>#REF!</v>
      </c>
      <c r="DT62" s="8" t="e">
        <f t="shared" si="35"/>
        <v>#REF!</v>
      </c>
    </row>
    <row r="63" spans="2:124">
      <c r="B63" s="8">
        <v>56</v>
      </c>
      <c r="C63" s="19" t="e">
        <f t="shared" si="49"/>
        <v>#REF!</v>
      </c>
      <c r="D63" s="19" t="e">
        <f t="shared" si="49"/>
        <v>#REF!</v>
      </c>
      <c r="E63" s="19" t="e">
        <f t="shared" si="49"/>
        <v>#REF!</v>
      </c>
      <c r="F63" s="19" t="e">
        <f t="shared" si="49"/>
        <v>#REF!</v>
      </c>
      <c r="G63" s="19" t="e">
        <f t="shared" si="49"/>
        <v>#REF!</v>
      </c>
      <c r="H63" s="19" t="e">
        <f t="shared" si="48"/>
        <v>#REF!</v>
      </c>
      <c r="I63" s="19" t="e">
        <f t="shared" si="48"/>
        <v>#REF!</v>
      </c>
      <c r="J63" s="19" t="e">
        <f t="shared" si="48"/>
        <v>#REF!</v>
      </c>
      <c r="K63" s="19" t="e">
        <f t="shared" si="48"/>
        <v>#REF!</v>
      </c>
      <c r="L63" s="16" t="e">
        <f t="shared" si="48"/>
        <v>#REF!</v>
      </c>
      <c r="M63" s="16" t="e">
        <f t="shared" si="48"/>
        <v>#REF!</v>
      </c>
      <c r="AC63" s="8">
        <v>58</v>
      </c>
      <c r="AD63" s="8" t="e">
        <f>($C65*'[1]功能-城建'!EX61)*S$6+AD62</f>
        <v>#REF!</v>
      </c>
      <c r="AE63" s="8" t="e">
        <f>($C65*'[1]功能-城建'!EY61)*T$6+AE62</f>
        <v>#REF!</v>
      </c>
      <c r="AF63" s="8" t="e">
        <f>($C65*'[1]功能-城建'!EZ61)*U$6+AF62</f>
        <v>#REF!</v>
      </c>
      <c r="AG63" s="8" t="e">
        <f>($C65*'[1]功能-城建'!FA61)*V$6+AG62</f>
        <v>#REF!</v>
      </c>
      <c r="AH63" s="8" t="e">
        <f>($C65*'[1]功能-城建'!FB61)*W$6+AH62</f>
        <v>#REF!</v>
      </c>
      <c r="AL63" s="8">
        <v>58</v>
      </c>
      <c r="AM63" s="8" t="e">
        <f>($D65*'[1]功能-城建'!HM61)*S$6+AM62</f>
        <v>#REF!</v>
      </c>
      <c r="AN63" s="8" t="e">
        <f>($D65*'[1]功能-城建'!HN61)*T$6+AN62</f>
        <v>#REF!</v>
      </c>
      <c r="AO63" s="8" t="e">
        <f>($D65*'[1]功能-城建'!HO61)*U$6+AO62</f>
        <v>#REF!</v>
      </c>
      <c r="AP63" s="8" t="e">
        <f>($D65*'[1]功能-城建'!HP61)*V$6+AP62</f>
        <v>#REF!</v>
      </c>
      <c r="AQ63" s="8" t="e">
        <f>($D65*'[1]功能-城建'!HQ61)*W$6+AQ62</f>
        <v>#REF!</v>
      </c>
      <c r="AU63" s="8">
        <v>58</v>
      </c>
      <c r="AV63" s="8" t="e">
        <f>($E65*'[1]功能-城建'!GF61)*S$6+AV62</f>
        <v>#REF!</v>
      </c>
      <c r="AW63" s="8" t="e">
        <f>($E65*'[1]功能-城建'!GG61)*T$6+AW62</f>
        <v>#REF!</v>
      </c>
      <c r="AX63" s="8" t="e">
        <f>($E65*'[1]功能-城建'!GH61)*U$6+AX62</f>
        <v>#REF!</v>
      </c>
      <c r="AY63" s="8" t="e">
        <f>($E65*'[1]功能-城建'!GI61)*V$6+AY62</f>
        <v>#REF!</v>
      </c>
      <c r="AZ63" s="8" t="e">
        <f>($E65*'[1]功能-城建'!GJ61)*W$6+AZ62</f>
        <v>#REF!</v>
      </c>
      <c r="BD63" s="8">
        <v>58</v>
      </c>
      <c r="BE63" s="8" t="e">
        <f t="shared" si="50"/>
        <v>#REF!</v>
      </c>
      <c r="BF63" s="8" t="e">
        <f t="shared" si="50"/>
        <v>#REF!</v>
      </c>
      <c r="BG63" s="8" t="e">
        <f t="shared" si="50"/>
        <v>#REF!</v>
      </c>
      <c r="BH63" s="8" t="e">
        <f t="shared" si="50"/>
        <v>#REF!</v>
      </c>
      <c r="BI63" s="8" t="e">
        <f t="shared" si="50"/>
        <v>#REF!</v>
      </c>
      <c r="BM63" s="8">
        <v>58</v>
      </c>
      <c r="BN63" s="8" t="e">
        <f t="shared" si="51"/>
        <v>#REF!</v>
      </c>
      <c r="BO63" s="8" t="e">
        <f t="shared" si="51"/>
        <v>#REF!</v>
      </c>
      <c r="BP63" s="8" t="e">
        <f t="shared" si="51"/>
        <v>#REF!</v>
      </c>
      <c r="BQ63" s="8" t="e">
        <f t="shared" si="51"/>
        <v>#REF!</v>
      </c>
      <c r="BR63" s="8" t="e">
        <f t="shared" si="51"/>
        <v>#REF!</v>
      </c>
      <c r="BV63" s="8">
        <v>58</v>
      </c>
      <c r="BW63" s="8" t="e">
        <f t="shared" si="52"/>
        <v>#REF!</v>
      </c>
      <c r="BX63" s="8" t="e">
        <f t="shared" si="52"/>
        <v>#REF!</v>
      </c>
      <c r="BY63" s="8" t="e">
        <f t="shared" si="52"/>
        <v>#REF!</v>
      </c>
      <c r="BZ63" s="8" t="e">
        <f t="shared" si="52"/>
        <v>#REF!</v>
      </c>
      <c r="CA63" s="8" t="e">
        <f t="shared" si="52"/>
        <v>#REF!</v>
      </c>
      <c r="CE63" s="8">
        <v>58</v>
      </c>
      <c r="CF63" s="18" t="e">
        <f t="shared" si="11"/>
        <v>#REF!</v>
      </c>
      <c r="CG63" s="18" t="e">
        <f t="shared" si="12"/>
        <v>#REF!</v>
      </c>
      <c r="CH63" s="18" t="e">
        <f t="shared" si="13"/>
        <v>#REF!</v>
      </c>
      <c r="CI63" s="18" t="e">
        <f t="shared" si="14"/>
        <v>#REF!</v>
      </c>
      <c r="CJ63" s="18" t="e">
        <f t="shared" si="15"/>
        <v>#REF!</v>
      </c>
      <c r="CN63" s="8">
        <v>58</v>
      </c>
      <c r="CO63" s="18" t="e">
        <f t="shared" si="16"/>
        <v>#REF!</v>
      </c>
      <c r="CP63" s="18" t="e">
        <f t="shared" si="17"/>
        <v>#REF!</v>
      </c>
      <c r="CQ63" s="18" t="e">
        <f t="shared" si="18"/>
        <v>#REF!</v>
      </c>
      <c r="CR63" s="18" t="e">
        <f t="shared" si="19"/>
        <v>#REF!</v>
      </c>
      <c r="CS63" s="18" t="e">
        <f t="shared" si="20"/>
        <v>#REF!</v>
      </c>
      <c r="CW63" s="8">
        <v>58</v>
      </c>
      <c r="CX63" s="18" t="e">
        <f t="shared" si="21"/>
        <v>#REF!</v>
      </c>
      <c r="CY63" s="18" t="e">
        <f t="shared" si="22"/>
        <v>#REF!</v>
      </c>
      <c r="CZ63" s="18" t="e">
        <f t="shared" si="23"/>
        <v>#REF!</v>
      </c>
      <c r="DA63" s="18" t="e">
        <f t="shared" si="24"/>
        <v>#REF!</v>
      </c>
      <c r="DB63" s="18" t="e">
        <f t="shared" si="25"/>
        <v>#REF!</v>
      </c>
      <c r="DF63" s="8">
        <v>58</v>
      </c>
      <c r="DG63" s="8" t="e">
        <f t="shared" si="26"/>
        <v>#REF!</v>
      </c>
      <c r="DH63" s="8" t="e">
        <f t="shared" si="27"/>
        <v>#REF!</v>
      </c>
      <c r="DI63" s="8" t="e">
        <f t="shared" si="28"/>
        <v>#REF!</v>
      </c>
      <c r="DJ63" s="8" t="e">
        <f t="shared" si="29"/>
        <v>#REF!</v>
      </c>
      <c r="DK63" s="8" t="e">
        <f t="shared" si="30"/>
        <v>#REF!</v>
      </c>
      <c r="DO63" s="8">
        <v>58</v>
      </c>
      <c r="DP63" s="8" t="e">
        <f t="shared" si="31"/>
        <v>#REF!</v>
      </c>
      <c r="DQ63" s="8" t="e">
        <f t="shared" si="32"/>
        <v>#REF!</v>
      </c>
      <c r="DR63" s="8" t="e">
        <f t="shared" si="33"/>
        <v>#REF!</v>
      </c>
      <c r="DS63" s="8" t="e">
        <f t="shared" si="34"/>
        <v>#REF!</v>
      </c>
      <c r="DT63" s="8" t="e">
        <f t="shared" si="35"/>
        <v>#REF!</v>
      </c>
    </row>
    <row r="64" spans="2:124">
      <c r="B64" s="8">
        <v>57</v>
      </c>
      <c r="C64" s="19" t="e">
        <f t="shared" si="49"/>
        <v>#REF!</v>
      </c>
      <c r="D64" s="19" t="e">
        <f t="shared" si="49"/>
        <v>#REF!</v>
      </c>
      <c r="E64" s="19" t="e">
        <f t="shared" si="49"/>
        <v>#REF!</v>
      </c>
      <c r="F64" s="19" t="e">
        <f t="shared" si="49"/>
        <v>#REF!</v>
      </c>
      <c r="G64" s="19" t="e">
        <f t="shared" si="49"/>
        <v>#REF!</v>
      </c>
      <c r="H64" s="19" t="e">
        <f t="shared" si="48"/>
        <v>#REF!</v>
      </c>
      <c r="I64" s="19" t="e">
        <f t="shared" si="48"/>
        <v>#REF!</v>
      </c>
      <c r="J64" s="19" t="e">
        <f t="shared" si="48"/>
        <v>#REF!</v>
      </c>
      <c r="K64" s="19" t="e">
        <f t="shared" si="48"/>
        <v>#REF!</v>
      </c>
      <c r="L64" s="16" t="e">
        <f t="shared" si="48"/>
        <v>#REF!</v>
      </c>
      <c r="M64" s="16" t="e">
        <f t="shared" si="48"/>
        <v>#REF!</v>
      </c>
      <c r="AC64" s="8">
        <v>59</v>
      </c>
      <c r="AD64" s="8" t="e">
        <f>($C66*'[1]功能-城建'!EX62)*S$6+AD63</f>
        <v>#REF!</v>
      </c>
      <c r="AE64" s="8" t="e">
        <f>($C66*'[1]功能-城建'!EY62)*T$6+AE63</f>
        <v>#REF!</v>
      </c>
      <c r="AF64" s="8" t="e">
        <f>($C66*'[1]功能-城建'!EZ62)*U$6+AF63</f>
        <v>#REF!</v>
      </c>
      <c r="AG64" s="8" t="e">
        <f>($C66*'[1]功能-城建'!FA62)*V$6+AG63</f>
        <v>#REF!</v>
      </c>
      <c r="AH64" s="8" t="e">
        <f>($C66*'[1]功能-城建'!FB62)*W$6+AH63</f>
        <v>#REF!</v>
      </c>
      <c r="AL64" s="8">
        <v>59</v>
      </c>
      <c r="AM64" s="8" t="e">
        <f>($D66*'[1]功能-城建'!HM62)*S$6+AM63</f>
        <v>#REF!</v>
      </c>
      <c r="AN64" s="8" t="e">
        <f>($D66*'[1]功能-城建'!HN62)*T$6+AN63</f>
        <v>#REF!</v>
      </c>
      <c r="AO64" s="8" t="e">
        <f>($D66*'[1]功能-城建'!HO62)*U$6+AO63</f>
        <v>#REF!</v>
      </c>
      <c r="AP64" s="8" t="e">
        <f>($D66*'[1]功能-城建'!HP62)*V$6+AP63</f>
        <v>#REF!</v>
      </c>
      <c r="AQ64" s="8" t="e">
        <f>($D66*'[1]功能-城建'!HQ62)*W$6+AQ63</f>
        <v>#REF!</v>
      </c>
      <c r="AU64" s="8">
        <v>59</v>
      </c>
      <c r="AV64" s="8" t="e">
        <f>($E66*'[1]功能-城建'!GF62)*S$6+AV63</f>
        <v>#REF!</v>
      </c>
      <c r="AW64" s="8" t="e">
        <f>($E66*'[1]功能-城建'!GG62)*T$6+AW63</f>
        <v>#REF!</v>
      </c>
      <c r="AX64" s="8" t="e">
        <f>($E66*'[1]功能-城建'!GH62)*U$6+AX63</f>
        <v>#REF!</v>
      </c>
      <c r="AY64" s="8" t="e">
        <f>($E66*'[1]功能-城建'!GI62)*V$6+AY63</f>
        <v>#REF!</v>
      </c>
      <c r="AZ64" s="8" t="e">
        <f>($E66*'[1]功能-城建'!GJ62)*W$6+AZ63</f>
        <v>#REF!</v>
      </c>
      <c r="BD64" s="8">
        <v>59</v>
      </c>
      <c r="BE64" s="8" t="e">
        <f t="shared" si="50"/>
        <v>#REF!</v>
      </c>
      <c r="BF64" s="8" t="e">
        <f t="shared" si="50"/>
        <v>#REF!</v>
      </c>
      <c r="BG64" s="8" t="e">
        <f t="shared" si="50"/>
        <v>#REF!</v>
      </c>
      <c r="BH64" s="8" t="e">
        <f t="shared" si="50"/>
        <v>#REF!</v>
      </c>
      <c r="BI64" s="8" t="e">
        <f t="shared" si="50"/>
        <v>#REF!</v>
      </c>
      <c r="BM64" s="8">
        <v>59</v>
      </c>
      <c r="BN64" s="8" t="e">
        <f t="shared" si="51"/>
        <v>#REF!</v>
      </c>
      <c r="BO64" s="8" t="e">
        <f t="shared" si="51"/>
        <v>#REF!</v>
      </c>
      <c r="BP64" s="8" t="e">
        <f t="shared" si="51"/>
        <v>#REF!</v>
      </c>
      <c r="BQ64" s="8" t="e">
        <f t="shared" si="51"/>
        <v>#REF!</v>
      </c>
      <c r="BR64" s="8" t="e">
        <f t="shared" si="51"/>
        <v>#REF!</v>
      </c>
      <c r="BV64" s="8">
        <v>59</v>
      </c>
      <c r="BW64" s="8" t="e">
        <f t="shared" si="52"/>
        <v>#REF!</v>
      </c>
      <c r="BX64" s="8" t="e">
        <f t="shared" si="52"/>
        <v>#REF!</v>
      </c>
      <c r="BY64" s="8" t="e">
        <f t="shared" si="52"/>
        <v>#REF!</v>
      </c>
      <c r="BZ64" s="8" t="e">
        <f t="shared" si="52"/>
        <v>#REF!</v>
      </c>
      <c r="CA64" s="8" t="e">
        <f t="shared" si="52"/>
        <v>#REF!</v>
      </c>
      <c r="CE64" s="8">
        <v>59</v>
      </c>
      <c r="CF64" s="18" t="e">
        <f t="shared" si="11"/>
        <v>#REF!</v>
      </c>
      <c r="CG64" s="18" t="e">
        <f t="shared" si="12"/>
        <v>#REF!</v>
      </c>
      <c r="CH64" s="18" t="e">
        <f t="shared" si="13"/>
        <v>#REF!</v>
      </c>
      <c r="CI64" s="18" t="e">
        <f t="shared" si="14"/>
        <v>#REF!</v>
      </c>
      <c r="CJ64" s="18" t="e">
        <f t="shared" si="15"/>
        <v>#REF!</v>
      </c>
      <c r="CN64" s="8">
        <v>59</v>
      </c>
      <c r="CO64" s="18" t="e">
        <f t="shared" si="16"/>
        <v>#REF!</v>
      </c>
      <c r="CP64" s="18" t="e">
        <f t="shared" si="17"/>
        <v>#REF!</v>
      </c>
      <c r="CQ64" s="18" t="e">
        <f t="shared" si="18"/>
        <v>#REF!</v>
      </c>
      <c r="CR64" s="18" t="e">
        <f t="shared" si="19"/>
        <v>#REF!</v>
      </c>
      <c r="CS64" s="18" t="e">
        <f t="shared" si="20"/>
        <v>#REF!</v>
      </c>
      <c r="CW64" s="8">
        <v>59</v>
      </c>
      <c r="CX64" s="18" t="e">
        <f t="shared" si="21"/>
        <v>#REF!</v>
      </c>
      <c r="CY64" s="18" t="e">
        <f t="shared" si="22"/>
        <v>#REF!</v>
      </c>
      <c r="CZ64" s="18" t="e">
        <f t="shared" si="23"/>
        <v>#REF!</v>
      </c>
      <c r="DA64" s="18" t="e">
        <f t="shared" si="24"/>
        <v>#REF!</v>
      </c>
      <c r="DB64" s="18" t="e">
        <f t="shared" si="25"/>
        <v>#REF!</v>
      </c>
      <c r="DF64" s="8">
        <v>59</v>
      </c>
      <c r="DG64" s="8" t="e">
        <f t="shared" si="26"/>
        <v>#REF!</v>
      </c>
      <c r="DH64" s="8" t="e">
        <f t="shared" si="27"/>
        <v>#REF!</v>
      </c>
      <c r="DI64" s="8" t="e">
        <f t="shared" si="28"/>
        <v>#REF!</v>
      </c>
      <c r="DJ64" s="8" t="e">
        <f t="shared" si="29"/>
        <v>#REF!</v>
      </c>
      <c r="DK64" s="8" t="e">
        <f t="shared" si="30"/>
        <v>#REF!</v>
      </c>
      <c r="DO64" s="8">
        <v>59</v>
      </c>
      <c r="DP64" s="8" t="e">
        <f t="shared" si="31"/>
        <v>#REF!</v>
      </c>
      <c r="DQ64" s="8" t="e">
        <f t="shared" si="32"/>
        <v>#REF!</v>
      </c>
      <c r="DR64" s="8" t="e">
        <f t="shared" si="33"/>
        <v>#REF!</v>
      </c>
      <c r="DS64" s="8" t="e">
        <f t="shared" si="34"/>
        <v>#REF!</v>
      </c>
      <c r="DT64" s="8" t="e">
        <f t="shared" si="35"/>
        <v>#REF!</v>
      </c>
    </row>
    <row r="65" spans="2:124">
      <c r="B65" s="8">
        <v>58</v>
      </c>
      <c r="C65" s="19" t="e">
        <f t="shared" si="49"/>
        <v>#REF!</v>
      </c>
      <c r="D65" s="19" t="e">
        <f t="shared" si="49"/>
        <v>#REF!</v>
      </c>
      <c r="E65" s="19" t="e">
        <f t="shared" si="49"/>
        <v>#REF!</v>
      </c>
      <c r="F65" s="19" t="e">
        <f t="shared" si="49"/>
        <v>#REF!</v>
      </c>
      <c r="G65" s="19" t="e">
        <f t="shared" si="49"/>
        <v>#REF!</v>
      </c>
      <c r="H65" s="19" t="e">
        <f t="shared" si="48"/>
        <v>#REF!</v>
      </c>
      <c r="I65" s="19" t="e">
        <f t="shared" si="48"/>
        <v>#REF!</v>
      </c>
      <c r="J65" s="19" t="e">
        <f t="shared" si="48"/>
        <v>#REF!</v>
      </c>
      <c r="K65" s="19" t="e">
        <f t="shared" si="48"/>
        <v>#REF!</v>
      </c>
      <c r="L65" s="16" t="e">
        <f t="shared" si="48"/>
        <v>#REF!</v>
      </c>
      <c r="M65" s="16" t="e">
        <f t="shared" si="48"/>
        <v>#REF!</v>
      </c>
      <c r="AC65" s="8">
        <v>60</v>
      </c>
      <c r="AD65" s="8" t="e">
        <f>($C67*'[1]功能-城建'!EX63)*S$6+AD64</f>
        <v>#REF!</v>
      </c>
      <c r="AE65" s="8" t="e">
        <f>($C67*'[1]功能-城建'!EY63)*T$6+AE64</f>
        <v>#REF!</v>
      </c>
      <c r="AF65" s="8" t="e">
        <f>($C67*'[1]功能-城建'!EZ63)*U$6+AF64</f>
        <v>#REF!</v>
      </c>
      <c r="AG65" s="8" t="e">
        <f>($C67*'[1]功能-城建'!FA63)*V$6+AG64</f>
        <v>#REF!</v>
      </c>
      <c r="AH65" s="8" t="e">
        <f>($C67*'[1]功能-城建'!FB63)*W$6+AH64</f>
        <v>#REF!</v>
      </c>
      <c r="AL65" s="8">
        <v>60</v>
      </c>
      <c r="AM65" s="8" t="e">
        <f>($D67*'[1]功能-城建'!HM63)*S$6+AM64</f>
        <v>#REF!</v>
      </c>
      <c r="AN65" s="8" t="e">
        <f>($D67*'[1]功能-城建'!HN63)*T$6+AN64</f>
        <v>#REF!</v>
      </c>
      <c r="AO65" s="8" t="e">
        <f>($D67*'[1]功能-城建'!HO63)*U$6+AO64</f>
        <v>#REF!</v>
      </c>
      <c r="AP65" s="8" t="e">
        <f>($D67*'[1]功能-城建'!HP63)*V$6+AP64</f>
        <v>#REF!</v>
      </c>
      <c r="AQ65" s="8" t="e">
        <f>($D67*'[1]功能-城建'!HQ63)*W$6+AQ64</f>
        <v>#REF!</v>
      </c>
      <c r="AU65" s="8">
        <v>60</v>
      </c>
      <c r="AV65" s="8" t="e">
        <f>($E67*'[1]功能-城建'!GF63)*S$6+AV64</f>
        <v>#REF!</v>
      </c>
      <c r="AW65" s="8" t="e">
        <f>($E67*'[1]功能-城建'!GG63)*T$6+AW64</f>
        <v>#REF!</v>
      </c>
      <c r="AX65" s="8" t="e">
        <f>($E67*'[1]功能-城建'!GH63)*U$6+AX64</f>
        <v>#REF!</v>
      </c>
      <c r="AY65" s="8" t="e">
        <f>($E67*'[1]功能-城建'!GI63)*V$6+AY64</f>
        <v>#REF!</v>
      </c>
      <c r="AZ65" s="8" t="e">
        <f>($E67*'[1]功能-城建'!GJ63)*W$6+AZ64</f>
        <v>#REF!</v>
      </c>
      <c r="BD65" s="8">
        <v>60</v>
      </c>
      <c r="BE65" s="8" t="e">
        <f t="shared" si="50"/>
        <v>#REF!</v>
      </c>
      <c r="BF65" s="8" t="e">
        <f t="shared" si="50"/>
        <v>#REF!</v>
      </c>
      <c r="BG65" s="8" t="e">
        <f t="shared" si="50"/>
        <v>#REF!</v>
      </c>
      <c r="BH65" s="8" t="e">
        <f t="shared" si="50"/>
        <v>#REF!</v>
      </c>
      <c r="BI65" s="8" t="e">
        <f t="shared" si="50"/>
        <v>#REF!</v>
      </c>
      <c r="BM65" s="8">
        <v>60</v>
      </c>
      <c r="BN65" s="8" t="e">
        <f t="shared" si="51"/>
        <v>#REF!</v>
      </c>
      <c r="BO65" s="8" t="e">
        <f t="shared" si="51"/>
        <v>#REF!</v>
      </c>
      <c r="BP65" s="8" t="e">
        <f t="shared" si="51"/>
        <v>#REF!</v>
      </c>
      <c r="BQ65" s="8" t="e">
        <f t="shared" si="51"/>
        <v>#REF!</v>
      </c>
      <c r="BR65" s="8" t="e">
        <f t="shared" si="51"/>
        <v>#REF!</v>
      </c>
      <c r="BV65" s="8">
        <v>60</v>
      </c>
      <c r="BW65" s="8" t="e">
        <f t="shared" si="52"/>
        <v>#REF!</v>
      </c>
      <c r="BX65" s="8" t="e">
        <f t="shared" si="52"/>
        <v>#REF!</v>
      </c>
      <c r="BY65" s="8" t="e">
        <f t="shared" si="52"/>
        <v>#REF!</v>
      </c>
      <c r="BZ65" s="8" t="e">
        <f t="shared" si="52"/>
        <v>#REF!</v>
      </c>
      <c r="CA65" s="8" t="e">
        <f t="shared" si="52"/>
        <v>#REF!</v>
      </c>
      <c r="CE65" s="8">
        <v>60</v>
      </c>
      <c r="CF65" s="18" t="e">
        <f t="shared" si="11"/>
        <v>#REF!</v>
      </c>
      <c r="CG65" s="18" t="e">
        <f t="shared" si="12"/>
        <v>#REF!</v>
      </c>
      <c r="CH65" s="18" t="e">
        <f t="shared" si="13"/>
        <v>#REF!</v>
      </c>
      <c r="CI65" s="18" t="e">
        <f t="shared" si="14"/>
        <v>#REF!</v>
      </c>
      <c r="CJ65" s="18" t="e">
        <f t="shared" si="15"/>
        <v>#REF!</v>
      </c>
      <c r="CN65" s="8">
        <v>60</v>
      </c>
      <c r="CO65" s="18" t="e">
        <f t="shared" si="16"/>
        <v>#REF!</v>
      </c>
      <c r="CP65" s="18" t="e">
        <f t="shared" si="17"/>
        <v>#REF!</v>
      </c>
      <c r="CQ65" s="18" t="e">
        <f t="shared" si="18"/>
        <v>#REF!</v>
      </c>
      <c r="CR65" s="18" t="e">
        <f t="shared" si="19"/>
        <v>#REF!</v>
      </c>
      <c r="CS65" s="18" t="e">
        <f t="shared" si="20"/>
        <v>#REF!</v>
      </c>
      <c r="CW65" s="8">
        <v>60</v>
      </c>
      <c r="CX65" s="18" t="e">
        <f t="shared" si="21"/>
        <v>#REF!</v>
      </c>
      <c r="CY65" s="18" t="e">
        <f t="shared" si="22"/>
        <v>#REF!</v>
      </c>
      <c r="CZ65" s="18" t="e">
        <f t="shared" si="23"/>
        <v>#REF!</v>
      </c>
      <c r="DA65" s="18" t="e">
        <f t="shared" si="24"/>
        <v>#REF!</v>
      </c>
      <c r="DB65" s="18" t="e">
        <f t="shared" si="25"/>
        <v>#REF!</v>
      </c>
      <c r="DF65" s="8">
        <v>60</v>
      </c>
      <c r="DG65" s="8" t="e">
        <f t="shared" si="26"/>
        <v>#REF!</v>
      </c>
      <c r="DH65" s="8" t="e">
        <f t="shared" si="27"/>
        <v>#REF!</v>
      </c>
      <c r="DI65" s="8" t="e">
        <f t="shared" si="28"/>
        <v>#REF!</v>
      </c>
      <c r="DJ65" s="8" t="e">
        <f t="shared" si="29"/>
        <v>#REF!</v>
      </c>
      <c r="DK65" s="8" t="e">
        <f t="shared" si="30"/>
        <v>#REF!</v>
      </c>
      <c r="DO65" s="8">
        <v>60</v>
      </c>
      <c r="DP65" s="8" t="e">
        <f t="shared" si="31"/>
        <v>#REF!</v>
      </c>
      <c r="DQ65" s="8" t="e">
        <f t="shared" si="32"/>
        <v>#REF!</v>
      </c>
      <c r="DR65" s="8" t="e">
        <f t="shared" si="33"/>
        <v>#REF!</v>
      </c>
      <c r="DS65" s="8" t="e">
        <f t="shared" si="34"/>
        <v>#REF!</v>
      </c>
      <c r="DT65" s="8" t="e">
        <f t="shared" si="35"/>
        <v>#REF!</v>
      </c>
    </row>
    <row r="66" spans="2:124">
      <c r="B66" s="8">
        <v>59</v>
      </c>
      <c r="C66" s="19" t="e">
        <f t="shared" si="49"/>
        <v>#REF!</v>
      </c>
      <c r="D66" s="19" t="e">
        <f t="shared" si="49"/>
        <v>#REF!</v>
      </c>
      <c r="E66" s="19" t="e">
        <f t="shared" si="49"/>
        <v>#REF!</v>
      </c>
      <c r="F66" s="19" t="e">
        <f t="shared" si="49"/>
        <v>#REF!</v>
      </c>
      <c r="G66" s="19" t="e">
        <f t="shared" si="49"/>
        <v>#REF!</v>
      </c>
      <c r="H66" s="19" t="e">
        <f t="shared" si="48"/>
        <v>#REF!</v>
      </c>
      <c r="I66" s="19" t="e">
        <f t="shared" si="48"/>
        <v>#REF!</v>
      </c>
      <c r="J66" s="19" t="e">
        <f t="shared" si="48"/>
        <v>#REF!</v>
      </c>
      <c r="K66" s="19" t="e">
        <f t="shared" si="48"/>
        <v>#REF!</v>
      </c>
      <c r="L66" s="16" t="e">
        <f t="shared" si="48"/>
        <v>#REF!</v>
      </c>
      <c r="M66" s="16" t="e">
        <f t="shared" si="48"/>
        <v>#REF!</v>
      </c>
      <c r="AC66" s="8">
        <v>61</v>
      </c>
      <c r="AD66" s="8" t="e">
        <f>($C68*'[1]功能-城建'!EX64)*S$6+AD65</f>
        <v>#REF!</v>
      </c>
      <c r="AE66" s="8" t="e">
        <f>($C68*'[1]功能-城建'!EY64)*T$6+AE65</f>
        <v>#REF!</v>
      </c>
      <c r="AF66" s="8" t="e">
        <f>($C68*'[1]功能-城建'!EZ64)*U$6+AF65</f>
        <v>#REF!</v>
      </c>
      <c r="AG66" s="8" t="e">
        <f>($C68*'[1]功能-城建'!FA64)*V$6+AG65</f>
        <v>#REF!</v>
      </c>
      <c r="AH66" s="8" t="e">
        <f>($C68*'[1]功能-城建'!FB64)*W$6+AH65</f>
        <v>#REF!</v>
      </c>
      <c r="AL66" s="8">
        <v>61</v>
      </c>
      <c r="AM66" s="8" t="e">
        <f>($D68*'[1]功能-城建'!HM64)*S$6+AM65</f>
        <v>#REF!</v>
      </c>
      <c r="AN66" s="8" t="e">
        <f>($D68*'[1]功能-城建'!HN64)*T$6+AN65</f>
        <v>#REF!</v>
      </c>
      <c r="AO66" s="8" t="e">
        <f>($D68*'[1]功能-城建'!HO64)*U$6+AO65</f>
        <v>#REF!</v>
      </c>
      <c r="AP66" s="8" t="e">
        <f>($D68*'[1]功能-城建'!HP64)*V$6+AP65</f>
        <v>#REF!</v>
      </c>
      <c r="AQ66" s="8" t="e">
        <f>($D68*'[1]功能-城建'!HQ64)*W$6+AQ65</f>
        <v>#REF!</v>
      </c>
      <c r="AU66" s="8">
        <v>61</v>
      </c>
      <c r="AV66" s="8" t="e">
        <f>($E68*'[1]功能-城建'!GF64)*S$6+AV65</f>
        <v>#REF!</v>
      </c>
      <c r="AW66" s="8" t="e">
        <f>($E68*'[1]功能-城建'!GG64)*T$6+AW65</f>
        <v>#REF!</v>
      </c>
      <c r="AX66" s="8" t="e">
        <f>($E68*'[1]功能-城建'!GH64)*U$6+AX65</f>
        <v>#REF!</v>
      </c>
      <c r="AY66" s="8" t="e">
        <f>($E68*'[1]功能-城建'!GI64)*V$6+AY65</f>
        <v>#REF!</v>
      </c>
      <c r="AZ66" s="8" t="e">
        <f>($E68*'[1]功能-城建'!GJ64)*W$6+AZ65</f>
        <v>#REF!</v>
      </c>
      <c r="BD66" s="8">
        <v>61</v>
      </c>
      <c r="BE66" s="8" t="e">
        <f t="shared" si="50"/>
        <v>#REF!</v>
      </c>
      <c r="BF66" s="8" t="e">
        <f t="shared" si="50"/>
        <v>#REF!</v>
      </c>
      <c r="BG66" s="8" t="e">
        <f t="shared" si="50"/>
        <v>#REF!</v>
      </c>
      <c r="BH66" s="8" t="e">
        <f t="shared" si="50"/>
        <v>#REF!</v>
      </c>
      <c r="BI66" s="8" t="e">
        <f t="shared" si="50"/>
        <v>#REF!</v>
      </c>
      <c r="BM66" s="8">
        <v>61</v>
      </c>
      <c r="BN66" s="8" t="e">
        <f t="shared" si="51"/>
        <v>#REF!</v>
      </c>
      <c r="BO66" s="8" t="e">
        <f t="shared" si="51"/>
        <v>#REF!</v>
      </c>
      <c r="BP66" s="8" t="e">
        <f t="shared" si="51"/>
        <v>#REF!</v>
      </c>
      <c r="BQ66" s="8" t="e">
        <f t="shared" si="51"/>
        <v>#REF!</v>
      </c>
      <c r="BR66" s="8" t="e">
        <f t="shared" si="51"/>
        <v>#REF!</v>
      </c>
      <c r="BV66" s="8">
        <v>61</v>
      </c>
      <c r="BW66" s="8" t="e">
        <f t="shared" si="52"/>
        <v>#REF!</v>
      </c>
      <c r="BX66" s="8" t="e">
        <f t="shared" si="52"/>
        <v>#REF!</v>
      </c>
      <c r="BY66" s="8" t="e">
        <f t="shared" si="52"/>
        <v>#REF!</v>
      </c>
      <c r="BZ66" s="8" t="e">
        <f t="shared" si="52"/>
        <v>#REF!</v>
      </c>
      <c r="CA66" s="8" t="e">
        <f t="shared" si="52"/>
        <v>#REF!</v>
      </c>
      <c r="CE66" s="8">
        <v>61</v>
      </c>
      <c r="CF66" s="18" t="e">
        <f t="shared" si="11"/>
        <v>#REF!</v>
      </c>
      <c r="CG66" s="18" t="e">
        <f t="shared" si="12"/>
        <v>#REF!</v>
      </c>
      <c r="CH66" s="18" t="e">
        <f t="shared" si="13"/>
        <v>#REF!</v>
      </c>
      <c r="CI66" s="18" t="e">
        <f t="shared" si="14"/>
        <v>#REF!</v>
      </c>
      <c r="CJ66" s="18" t="e">
        <f t="shared" si="15"/>
        <v>#REF!</v>
      </c>
      <c r="CN66" s="8">
        <v>61</v>
      </c>
      <c r="CO66" s="18" t="e">
        <f t="shared" si="16"/>
        <v>#REF!</v>
      </c>
      <c r="CP66" s="18" t="e">
        <f t="shared" si="17"/>
        <v>#REF!</v>
      </c>
      <c r="CQ66" s="18" t="e">
        <f t="shared" si="18"/>
        <v>#REF!</v>
      </c>
      <c r="CR66" s="18" t="e">
        <f t="shared" si="19"/>
        <v>#REF!</v>
      </c>
      <c r="CS66" s="18" t="e">
        <f t="shared" si="20"/>
        <v>#REF!</v>
      </c>
      <c r="CW66" s="8">
        <v>61</v>
      </c>
      <c r="CX66" s="18" t="e">
        <f t="shared" si="21"/>
        <v>#REF!</v>
      </c>
      <c r="CY66" s="18" t="e">
        <f t="shared" si="22"/>
        <v>#REF!</v>
      </c>
      <c r="CZ66" s="18" t="e">
        <f t="shared" si="23"/>
        <v>#REF!</v>
      </c>
      <c r="DA66" s="18" t="e">
        <f t="shared" si="24"/>
        <v>#REF!</v>
      </c>
      <c r="DB66" s="18" t="e">
        <f t="shared" si="25"/>
        <v>#REF!</v>
      </c>
      <c r="DF66" s="8">
        <v>61</v>
      </c>
      <c r="DG66" s="8" t="e">
        <f t="shared" si="26"/>
        <v>#REF!</v>
      </c>
      <c r="DH66" s="8" t="e">
        <f t="shared" si="27"/>
        <v>#REF!</v>
      </c>
      <c r="DI66" s="8" t="e">
        <f t="shared" si="28"/>
        <v>#REF!</v>
      </c>
      <c r="DJ66" s="8" t="e">
        <f t="shared" si="29"/>
        <v>#REF!</v>
      </c>
      <c r="DK66" s="8" t="e">
        <f t="shared" si="30"/>
        <v>#REF!</v>
      </c>
      <c r="DO66" s="8">
        <v>61</v>
      </c>
      <c r="DP66" s="8" t="e">
        <f t="shared" si="31"/>
        <v>#REF!</v>
      </c>
      <c r="DQ66" s="8" t="e">
        <f t="shared" si="32"/>
        <v>#REF!</v>
      </c>
      <c r="DR66" s="8" t="e">
        <f t="shared" si="33"/>
        <v>#REF!</v>
      </c>
      <c r="DS66" s="8" t="e">
        <f t="shared" si="34"/>
        <v>#REF!</v>
      </c>
      <c r="DT66" s="8" t="e">
        <f t="shared" si="35"/>
        <v>#REF!</v>
      </c>
    </row>
    <row r="67" spans="2:124">
      <c r="B67" s="8">
        <v>60</v>
      </c>
      <c r="C67" s="19" t="e">
        <f t="shared" si="49"/>
        <v>#REF!</v>
      </c>
      <c r="D67" s="19" t="e">
        <f t="shared" si="49"/>
        <v>#REF!</v>
      </c>
      <c r="E67" s="19" t="e">
        <f t="shared" si="49"/>
        <v>#REF!</v>
      </c>
      <c r="F67" s="19" t="e">
        <f t="shared" si="49"/>
        <v>#REF!</v>
      </c>
      <c r="G67" s="19" t="e">
        <f t="shared" si="49"/>
        <v>#REF!</v>
      </c>
      <c r="H67" s="19" t="e">
        <f t="shared" si="48"/>
        <v>#REF!</v>
      </c>
      <c r="I67" s="19" t="e">
        <f t="shared" si="48"/>
        <v>#REF!</v>
      </c>
      <c r="J67" s="19" t="e">
        <f t="shared" si="48"/>
        <v>#REF!</v>
      </c>
      <c r="K67" s="19" t="e">
        <f t="shared" si="48"/>
        <v>#REF!</v>
      </c>
      <c r="L67" s="16" t="e">
        <f t="shared" si="48"/>
        <v>#REF!</v>
      </c>
      <c r="M67" s="16" t="e">
        <f t="shared" si="48"/>
        <v>#REF!</v>
      </c>
      <c r="AC67" s="8">
        <v>62</v>
      </c>
      <c r="AD67" s="8" t="e">
        <f>($C69*'[1]功能-城建'!EX65)*S$6+AD66</f>
        <v>#REF!</v>
      </c>
      <c r="AE67" s="8" t="e">
        <f>($C69*'[1]功能-城建'!EY65)*T$6+AE66</f>
        <v>#REF!</v>
      </c>
      <c r="AF67" s="8" t="e">
        <f>($C69*'[1]功能-城建'!EZ65)*U$6+AF66</f>
        <v>#REF!</v>
      </c>
      <c r="AG67" s="8" t="e">
        <f>($C69*'[1]功能-城建'!FA65)*V$6+AG66</f>
        <v>#REF!</v>
      </c>
      <c r="AH67" s="8" t="e">
        <f>($C69*'[1]功能-城建'!FB65)*W$6+AH66</f>
        <v>#REF!</v>
      </c>
      <c r="AL67" s="8">
        <v>62</v>
      </c>
      <c r="AM67" s="8" t="e">
        <f>($D69*'[1]功能-城建'!HM65)*S$6+AM66</f>
        <v>#REF!</v>
      </c>
      <c r="AN67" s="8" t="e">
        <f>($D69*'[1]功能-城建'!HN65)*T$6+AN66</f>
        <v>#REF!</v>
      </c>
      <c r="AO67" s="8" t="e">
        <f>($D69*'[1]功能-城建'!HO65)*U$6+AO66</f>
        <v>#REF!</v>
      </c>
      <c r="AP67" s="8" t="e">
        <f>($D69*'[1]功能-城建'!HP65)*V$6+AP66</f>
        <v>#REF!</v>
      </c>
      <c r="AQ67" s="8" t="e">
        <f>($D69*'[1]功能-城建'!HQ65)*W$6+AQ66</f>
        <v>#REF!</v>
      </c>
      <c r="AU67" s="8">
        <v>62</v>
      </c>
      <c r="AV67" s="8" t="e">
        <f>($E69*'[1]功能-城建'!GF65)*S$6+AV66</f>
        <v>#REF!</v>
      </c>
      <c r="AW67" s="8" t="e">
        <f>($E69*'[1]功能-城建'!GG65)*T$6+AW66</f>
        <v>#REF!</v>
      </c>
      <c r="AX67" s="8" t="e">
        <f>($E69*'[1]功能-城建'!GH65)*U$6+AX66</f>
        <v>#REF!</v>
      </c>
      <c r="AY67" s="8" t="e">
        <f>($E69*'[1]功能-城建'!GI65)*V$6+AY66</f>
        <v>#REF!</v>
      </c>
      <c r="AZ67" s="8" t="e">
        <f>($E69*'[1]功能-城建'!GJ65)*W$6+AZ66</f>
        <v>#REF!</v>
      </c>
      <c r="BD67" s="8">
        <v>62</v>
      </c>
      <c r="BE67" s="8" t="e">
        <f t="shared" si="50"/>
        <v>#REF!</v>
      </c>
      <c r="BF67" s="8" t="e">
        <f t="shared" si="50"/>
        <v>#REF!</v>
      </c>
      <c r="BG67" s="8" t="e">
        <f t="shared" si="50"/>
        <v>#REF!</v>
      </c>
      <c r="BH67" s="8" t="e">
        <f t="shared" si="50"/>
        <v>#REF!</v>
      </c>
      <c r="BI67" s="8" t="e">
        <f t="shared" si="50"/>
        <v>#REF!</v>
      </c>
      <c r="BM67" s="8">
        <v>62</v>
      </c>
      <c r="BN67" s="8" t="e">
        <f t="shared" si="51"/>
        <v>#REF!</v>
      </c>
      <c r="BO67" s="8" t="e">
        <f t="shared" si="51"/>
        <v>#REF!</v>
      </c>
      <c r="BP67" s="8" t="e">
        <f t="shared" si="51"/>
        <v>#REF!</v>
      </c>
      <c r="BQ67" s="8" t="e">
        <f t="shared" si="51"/>
        <v>#REF!</v>
      </c>
      <c r="BR67" s="8" t="e">
        <f t="shared" si="51"/>
        <v>#REF!</v>
      </c>
      <c r="BV67" s="8">
        <v>62</v>
      </c>
      <c r="BW67" s="8" t="e">
        <f t="shared" si="52"/>
        <v>#REF!</v>
      </c>
      <c r="BX67" s="8" t="e">
        <f t="shared" si="52"/>
        <v>#REF!</v>
      </c>
      <c r="BY67" s="8" t="e">
        <f t="shared" si="52"/>
        <v>#REF!</v>
      </c>
      <c r="BZ67" s="8" t="e">
        <f t="shared" si="52"/>
        <v>#REF!</v>
      </c>
      <c r="CA67" s="8" t="e">
        <f t="shared" si="52"/>
        <v>#REF!</v>
      </c>
      <c r="CE67" s="8">
        <v>62</v>
      </c>
      <c r="CF67" s="18" t="e">
        <f t="shared" si="11"/>
        <v>#REF!</v>
      </c>
      <c r="CG67" s="18" t="e">
        <f t="shared" si="12"/>
        <v>#REF!</v>
      </c>
      <c r="CH67" s="18" t="e">
        <f t="shared" si="13"/>
        <v>#REF!</v>
      </c>
      <c r="CI67" s="18" t="e">
        <f t="shared" si="14"/>
        <v>#REF!</v>
      </c>
      <c r="CJ67" s="18" t="e">
        <f t="shared" si="15"/>
        <v>#REF!</v>
      </c>
      <c r="CN67" s="8">
        <v>62</v>
      </c>
      <c r="CO67" s="18" t="e">
        <f t="shared" si="16"/>
        <v>#REF!</v>
      </c>
      <c r="CP67" s="18" t="e">
        <f t="shared" si="17"/>
        <v>#REF!</v>
      </c>
      <c r="CQ67" s="18" t="e">
        <f t="shared" si="18"/>
        <v>#REF!</v>
      </c>
      <c r="CR67" s="18" t="e">
        <f t="shared" si="19"/>
        <v>#REF!</v>
      </c>
      <c r="CS67" s="18" t="e">
        <f t="shared" si="20"/>
        <v>#REF!</v>
      </c>
      <c r="CW67" s="8">
        <v>62</v>
      </c>
      <c r="CX67" s="18" t="e">
        <f t="shared" si="21"/>
        <v>#REF!</v>
      </c>
      <c r="CY67" s="18" t="e">
        <f t="shared" si="22"/>
        <v>#REF!</v>
      </c>
      <c r="CZ67" s="18" t="e">
        <f t="shared" si="23"/>
        <v>#REF!</v>
      </c>
      <c r="DA67" s="18" t="e">
        <f t="shared" si="24"/>
        <v>#REF!</v>
      </c>
      <c r="DB67" s="18" t="e">
        <f t="shared" si="25"/>
        <v>#REF!</v>
      </c>
      <c r="DF67" s="8">
        <v>62</v>
      </c>
      <c r="DG67" s="8" t="e">
        <f t="shared" si="26"/>
        <v>#REF!</v>
      </c>
      <c r="DH67" s="8" t="e">
        <f t="shared" si="27"/>
        <v>#REF!</v>
      </c>
      <c r="DI67" s="8" t="e">
        <f t="shared" si="28"/>
        <v>#REF!</v>
      </c>
      <c r="DJ67" s="8" t="e">
        <f t="shared" si="29"/>
        <v>#REF!</v>
      </c>
      <c r="DK67" s="8" t="e">
        <f t="shared" si="30"/>
        <v>#REF!</v>
      </c>
      <c r="DO67" s="8">
        <v>62</v>
      </c>
      <c r="DP67" s="8" t="e">
        <f t="shared" si="31"/>
        <v>#REF!</v>
      </c>
      <c r="DQ67" s="8" t="e">
        <f t="shared" si="32"/>
        <v>#REF!</v>
      </c>
      <c r="DR67" s="8" t="e">
        <f t="shared" si="33"/>
        <v>#REF!</v>
      </c>
      <c r="DS67" s="8" t="e">
        <f t="shared" si="34"/>
        <v>#REF!</v>
      </c>
      <c r="DT67" s="8" t="e">
        <f t="shared" si="35"/>
        <v>#REF!</v>
      </c>
    </row>
    <row r="68" spans="2:124">
      <c r="B68" s="8">
        <v>61</v>
      </c>
      <c r="C68" s="19" t="e">
        <f t="shared" si="49"/>
        <v>#REF!</v>
      </c>
      <c r="D68" s="19" t="e">
        <f t="shared" si="49"/>
        <v>#REF!</v>
      </c>
      <c r="E68" s="19" t="e">
        <f t="shared" si="49"/>
        <v>#REF!</v>
      </c>
      <c r="F68" s="19" t="e">
        <f t="shared" si="49"/>
        <v>#REF!</v>
      </c>
      <c r="G68" s="19" t="e">
        <f t="shared" si="49"/>
        <v>#REF!</v>
      </c>
      <c r="H68" s="19" t="e">
        <f t="shared" si="48"/>
        <v>#REF!</v>
      </c>
      <c r="I68" s="19" t="e">
        <f t="shared" si="48"/>
        <v>#REF!</v>
      </c>
      <c r="J68" s="19" t="e">
        <f t="shared" si="48"/>
        <v>#REF!</v>
      </c>
      <c r="K68" s="19" t="e">
        <f t="shared" si="48"/>
        <v>#REF!</v>
      </c>
      <c r="L68" s="16" t="e">
        <f t="shared" si="48"/>
        <v>#REF!</v>
      </c>
      <c r="M68" s="16" t="e">
        <f t="shared" si="48"/>
        <v>#REF!</v>
      </c>
      <c r="AC68" s="8">
        <v>63</v>
      </c>
      <c r="AD68" s="8" t="e">
        <f>($C70*'[1]功能-城建'!EX66)*S$6+AD67</f>
        <v>#REF!</v>
      </c>
      <c r="AE68" s="8" t="e">
        <f>($C70*'[1]功能-城建'!EY66)*T$6+AE67</f>
        <v>#REF!</v>
      </c>
      <c r="AF68" s="8" t="e">
        <f>($C70*'[1]功能-城建'!EZ66)*U$6+AF67</f>
        <v>#REF!</v>
      </c>
      <c r="AG68" s="8" t="e">
        <f>($C70*'[1]功能-城建'!FA66)*V$6+AG67</f>
        <v>#REF!</v>
      </c>
      <c r="AH68" s="8" t="e">
        <f>($C70*'[1]功能-城建'!FB66)*W$6+AH67</f>
        <v>#REF!</v>
      </c>
      <c r="AL68" s="8">
        <v>63</v>
      </c>
      <c r="AM68" s="8" t="e">
        <f>($D70*'[1]功能-城建'!HM66)*S$6+AM67</f>
        <v>#REF!</v>
      </c>
      <c r="AN68" s="8" t="e">
        <f>($D70*'[1]功能-城建'!HN66)*T$6+AN67</f>
        <v>#REF!</v>
      </c>
      <c r="AO68" s="8" t="e">
        <f>($D70*'[1]功能-城建'!HO66)*U$6+AO67</f>
        <v>#REF!</v>
      </c>
      <c r="AP68" s="8" t="e">
        <f>($D70*'[1]功能-城建'!HP66)*V$6+AP67</f>
        <v>#REF!</v>
      </c>
      <c r="AQ68" s="8" t="e">
        <f>($D70*'[1]功能-城建'!HQ66)*W$6+AQ67</f>
        <v>#REF!</v>
      </c>
      <c r="AU68" s="8">
        <v>63</v>
      </c>
      <c r="AV68" s="8" t="e">
        <f>($E70*'[1]功能-城建'!GF66)*S$6+AV67</f>
        <v>#REF!</v>
      </c>
      <c r="AW68" s="8" t="e">
        <f>($E70*'[1]功能-城建'!GG66)*T$6+AW67</f>
        <v>#REF!</v>
      </c>
      <c r="AX68" s="8" t="e">
        <f>($E70*'[1]功能-城建'!GH66)*U$6+AX67</f>
        <v>#REF!</v>
      </c>
      <c r="AY68" s="8" t="e">
        <f>($E70*'[1]功能-城建'!GI66)*V$6+AY67</f>
        <v>#REF!</v>
      </c>
      <c r="AZ68" s="8" t="e">
        <f>($E70*'[1]功能-城建'!GJ66)*W$6+AZ67</f>
        <v>#REF!</v>
      </c>
      <c r="BD68" s="8">
        <v>63</v>
      </c>
      <c r="BE68" s="8" t="e">
        <f t="shared" si="50"/>
        <v>#REF!</v>
      </c>
      <c r="BF68" s="8" t="e">
        <f t="shared" si="50"/>
        <v>#REF!</v>
      </c>
      <c r="BG68" s="8" t="e">
        <f t="shared" si="50"/>
        <v>#REF!</v>
      </c>
      <c r="BH68" s="8" t="e">
        <f t="shared" si="50"/>
        <v>#REF!</v>
      </c>
      <c r="BI68" s="8" t="e">
        <f t="shared" si="50"/>
        <v>#REF!</v>
      </c>
      <c r="BM68" s="8">
        <v>63</v>
      </c>
      <c r="BN68" s="8" t="e">
        <f t="shared" si="51"/>
        <v>#REF!</v>
      </c>
      <c r="BO68" s="8" t="e">
        <f t="shared" si="51"/>
        <v>#REF!</v>
      </c>
      <c r="BP68" s="8" t="e">
        <f t="shared" si="51"/>
        <v>#REF!</v>
      </c>
      <c r="BQ68" s="8" t="e">
        <f t="shared" si="51"/>
        <v>#REF!</v>
      </c>
      <c r="BR68" s="8" t="e">
        <f t="shared" si="51"/>
        <v>#REF!</v>
      </c>
      <c r="BV68" s="8">
        <v>63</v>
      </c>
      <c r="BW68" s="8" t="e">
        <f t="shared" si="52"/>
        <v>#REF!</v>
      </c>
      <c r="BX68" s="8" t="e">
        <f t="shared" si="52"/>
        <v>#REF!</v>
      </c>
      <c r="BY68" s="8" t="e">
        <f t="shared" si="52"/>
        <v>#REF!</v>
      </c>
      <c r="BZ68" s="8" t="e">
        <f t="shared" si="52"/>
        <v>#REF!</v>
      </c>
      <c r="CA68" s="8" t="e">
        <f t="shared" si="52"/>
        <v>#REF!</v>
      </c>
      <c r="CE68" s="8">
        <v>63</v>
      </c>
      <c r="CF68" s="18" t="e">
        <f t="shared" si="11"/>
        <v>#REF!</v>
      </c>
      <c r="CG68" s="18" t="e">
        <f t="shared" si="12"/>
        <v>#REF!</v>
      </c>
      <c r="CH68" s="18" t="e">
        <f t="shared" si="13"/>
        <v>#REF!</v>
      </c>
      <c r="CI68" s="18" t="e">
        <f t="shared" si="14"/>
        <v>#REF!</v>
      </c>
      <c r="CJ68" s="18" t="e">
        <f t="shared" si="15"/>
        <v>#REF!</v>
      </c>
      <c r="CN68" s="8">
        <v>63</v>
      </c>
      <c r="CO68" s="18" t="e">
        <f t="shared" si="16"/>
        <v>#REF!</v>
      </c>
      <c r="CP68" s="18" t="e">
        <f t="shared" si="17"/>
        <v>#REF!</v>
      </c>
      <c r="CQ68" s="18" t="e">
        <f t="shared" si="18"/>
        <v>#REF!</v>
      </c>
      <c r="CR68" s="18" t="e">
        <f t="shared" si="19"/>
        <v>#REF!</v>
      </c>
      <c r="CS68" s="18" t="e">
        <f t="shared" si="20"/>
        <v>#REF!</v>
      </c>
      <c r="CW68" s="8">
        <v>63</v>
      </c>
      <c r="CX68" s="18" t="e">
        <f t="shared" si="21"/>
        <v>#REF!</v>
      </c>
      <c r="CY68" s="18" t="e">
        <f t="shared" si="22"/>
        <v>#REF!</v>
      </c>
      <c r="CZ68" s="18" t="e">
        <f t="shared" si="23"/>
        <v>#REF!</v>
      </c>
      <c r="DA68" s="18" t="e">
        <f t="shared" si="24"/>
        <v>#REF!</v>
      </c>
      <c r="DB68" s="18" t="e">
        <f t="shared" si="25"/>
        <v>#REF!</v>
      </c>
      <c r="DF68" s="8">
        <v>63</v>
      </c>
      <c r="DG68" s="8" t="e">
        <f t="shared" si="26"/>
        <v>#REF!</v>
      </c>
      <c r="DH68" s="8" t="e">
        <f t="shared" si="27"/>
        <v>#REF!</v>
      </c>
      <c r="DI68" s="8" t="e">
        <f t="shared" si="28"/>
        <v>#REF!</v>
      </c>
      <c r="DJ68" s="8" t="e">
        <f t="shared" si="29"/>
        <v>#REF!</v>
      </c>
      <c r="DK68" s="8" t="e">
        <f t="shared" si="30"/>
        <v>#REF!</v>
      </c>
      <c r="DO68" s="8">
        <v>63</v>
      </c>
      <c r="DP68" s="8" t="e">
        <f t="shared" si="31"/>
        <v>#REF!</v>
      </c>
      <c r="DQ68" s="8" t="e">
        <f t="shared" si="32"/>
        <v>#REF!</v>
      </c>
      <c r="DR68" s="8" t="e">
        <f t="shared" si="33"/>
        <v>#REF!</v>
      </c>
      <c r="DS68" s="8" t="e">
        <f t="shared" si="34"/>
        <v>#REF!</v>
      </c>
      <c r="DT68" s="8" t="e">
        <f t="shared" si="35"/>
        <v>#REF!</v>
      </c>
    </row>
    <row r="69" spans="2:124">
      <c r="B69" s="8">
        <v>62</v>
      </c>
      <c r="C69" s="19" t="e">
        <f t="shared" si="49"/>
        <v>#REF!</v>
      </c>
      <c r="D69" s="19" t="e">
        <f t="shared" si="49"/>
        <v>#REF!</v>
      </c>
      <c r="E69" s="19" t="e">
        <f t="shared" si="49"/>
        <v>#REF!</v>
      </c>
      <c r="F69" s="19" t="e">
        <f t="shared" si="49"/>
        <v>#REF!</v>
      </c>
      <c r="G69" s="19" t="e">
        <f t="shared" si="49"/>
        <v>#REF!</v>
      </c>
      <c r="H69" s="19" t="e">
        <f t="shared" ref="H69:M84" si="53">MIN(H$5,MAX(H$5/($D$2-$D$1)*($B69-$D$1),0))</f>
        <v>#REF!</v>
      </c>
      <c r="I69" s="19" t="e">
        <f t="shared" si="53"/>
        <v>#REF!</v>
      </c>
      <c r="J69" s="19" t="e">
        <f t="shared" si="53"/>
        <v>#REF!</v>
      </c>
      <c r="K69" s="19" t="e">
        <f t="shared" si="53"/>
        <v>#REF!</v>
      </c>
      <c r="L69" s="16" t="e">
        <f t="shared" si="53"/>
        <v>#REF!</v>
      </c>
      <c r="M69" s="16" t="e">
        <f t="shared" si="53"/>
        <v>#REF!</v>
      </c>
      <c r="AC69" s="8">
        <v>64</v>
      </c>
      <c r="AD69" s="8" t="e">
        <f>($C71*'[1]功能-城建'!EX67)*S$6+AD68</f>
        <v>#REF!</v>
      </c>
      <c r="AE69" s="8" t="e">
        <f>($C71*'[1]功能-城建'!EY67)*T$6+AE68</f>
        <v>#REF!</v>
      </c>
      <c r="AF69" s="8" t="e">
        <f>($C71*'[1]功能-城建'!EZ67)*U$6+AF68</f>
        <v>#REF!</v>
      </c>
      <c r="AG69" s="8" t="e">
        <f>($C71*'[1]功能-城建'!FA67)*V$6+AG68</f>
        <v>#REF!</v>
      </c>
      <c r="AH69" s="8" t="e">
        <f>($C71*'[1]功能-城建'!FB67)*W$6+AH68</f>
        <v>#REF!</v>
      </c>
      <c r="AL69" s="8">
        <v>64</v>
      </c>
      <c r="AM69" s="8" t="e">
        <f>($D71*'[1]功能-城建'!HM67)*S$6+AM68</f>
        <v>#REF!</v>
      </c>
      <c r="AN69" s="8" t="e">
        <f>($D71*'[1]功能-城建'!HN67)*T$6+AN68</f>
        <v>#REF!</v>
      </c>
      <c r="AO69" s="8" t="e">
        <f>($D71*'[1]功能-城建'!HO67)*U$6+AO68</f>
        <v>#REF!</v>
      </c>
      <c r="AP69" s="8" t="e">
        <f>($D71*'[1]功能-城建'!HP67)*V$6+AP68</f>
        <v>#REF!</v>
      </c>
      <c r="AQ69" s="8" t="e">
        <f>($D71*'[1]功能-城建'!HQ67)*W$6+AQ68</f>
        <v>#REF!</v>
      </c>
      <c r="AU69" s="8">
        <v>64</v>
      </c>
      <c r="AV69" s="8" t="e">
        <f>($E71*'[1]功能-城建'!GF67)*S$6+AV68</f>
        <v>#REF!</v>
      </c>
      <c r="AW69" s="8" t="e">
        <f>($E71*'[1]功能-城建'!GG67)*T$6+AW68</f>
        <v>#REF!</v>
      </c>
      <c r="AX69" s="8" t="e">
        <f>($E71*'[1]功能-城建'!GH67)*U$6+AX68</f>
        <v>#REF!</v>
      </c>
      <c r="AY69" s="8" t="e">
        <f>($E71*'[1]功能-城建'!GI67)*V$6+AY68</f>
        <v>#REF!</v>
      </c>
      <c r="AZ69" s="8" t="e">
        <f>($E71*'[1]功能-城建'!GJ67)*W$6+AZ68</f>
        <v>#REF!</v>
      </c>
      <c r="BD69" s="8">
        <v>64</v>
      </c>
      <c r="BE69" s="8" t="e">
        <f t="shared" si="50"/>
        <v>#REF!</v>
      </c>
      <c r="BF69" s="8" t="e">
        <f t="shared" si="50"/>
        <v>#REF!</v>
      </c>
      <c r="BG69" s="8" t="e">
        <f t="shared" si="50"/>
        <v>#REF!</v>
      </c>
      <c r="BH69" s="8" t="e">
        <f t="shared" si="50"/>
        <v>#REF!</v>
      </c>
      <c r="BI69" s="8" t="e">
        <f t="shared" si="50"/>
        <v>#REF!</v>
      </c>
      <c r="BM69" s="8">
        <v>64</v>
      </c>
      <c r="BN69" s="8" t="e">
        <f t="shared" si="51"/>
        <v>#REF!</v>
      </c>
      <c r="BO69" s="8" t="e">
        <f t="shared" si="51"/>
        <v>#REF!</v>
      </c>
      <c r="BP69" s="8" t="e">
        <f t="shared" si="51"/>
        <v>#REF!</v>
      </c>
      <c r="BQ69" s="8" t="e">
        <f t="shared" si="51"/>
        <v>#REF!</v>
      </c>
      <c r="BR69" s="8" t="e">
        <f t="shared" si="51"/>
        <v>#REF!</v>
      </c>
      <c r="BV69" s="8">
        <v>64</v>
      </c>
      <c r="BW69" s="8" t="e">
        <f t="shared" si="52"/>
        <v>#REF!</v>
      </c>
      <c r="BX69" s="8" t="e">
        <f t="shared" si="52"/>
        <v>#REF!</v>
      </c>
      <c r="BY69" s="8" t="e">
        <f t="shared" si="52"/>
        <v>#REF!</v>
      </c>
      <c r="BZ69" s="8" t="e">
        <f t="shared" si="52"/>
        <v>#REF!</v>
      </c>
      <c r="CA69" s="8" t="e">
        <f t="shared" si="52"/>
        <v>#REF!</v>
      </c>
      <c r="CE69" s="8">
        <v>64</v>
      </c>
      <c r="CF69" s="18" t="e">
        <f t="shared" si="11"/>
        <v>#REF!</v>
      </c>
      <c r="CG69" s="18" t="e">
        <f t="shared" si="12"/>
        <v>#REF!</v>
      </c>
      <c r="CH69" s="18" t="e">
        <f t="shared" si="13"/>
        <v>#REF!</v>
      </c>
      <c r="CI69" s="18" t="e">
        <f t="shared" si="14"/>
        <v>#REF!</v>
      </c>
      <c r="CJ69" s="18" t="e">
        <f t="shared" si="15"/>
        <v>#REF!</v>
      </c>
      <c r="CN69" s="8">
        <v>64</v>
      </c>
      <c r="CO69" s="18" t="e">
        <f t="shared" si="16"/>
        <v>#REF!</v>
      </c>
      <c r="CP69" s="18" t="e">
        <f t="shared" si="17"/>
        <v>#REF!</v>
      </c>
      <c r="CQ69" s="18" t="e">
        <f t="shared" si="18"/>
        <v>#REF!</v>
      </c>
      <c r="CR69" s="18" t="e">
        <f t="shared" si="19"/>
        <v>#REF!</v>
      </c>
      <c r="CS69" s="18" t="e">
        <f t="shared" si="20"/>
        <v>#REF!</v>
      </c>
      <c r="CW69" s="8">
        <v>64</v>
      </c>
      <c r="CX69" s="18" t="e">
        <f t="shared" si="21"/>
        <v>#REF!</v>
      </c>
      <c r="CY69" s="18" t="e">
        <f t="shared" si="22"/>
        <v>#REF!</v>
      </c>
      <c r="CZ69" s="18" t="e">
        <f t="shared" si="23"/>
        <v>#REF!</v>
      </c>
      <c r="DA69" s="18" t="e">
        <f t="shared" si="24"/>
        <v>#REF!</v>
      </c>
      <c r="DB69" s="18" t="e">
        <f t="shared" si="25"/>
        <v>#REF!</v>
      </c>
      <c r="DF69" s="8">
        <v>64</v>
      </c>
      <c r="DG69" s="8" t="e">
        <f t="shared" si="26"/>
        <v>#REF!</v>
      </c>
      <c r="DH69" s="8" t="e">
        <f t="shared" si="27"/>
        <v>#REF!</v>
      </c>
      <c r="DI69" s="8" t="e">
        <f t="shared" si="28"/>
        <v>#REF!</v>
      </c>
      <c r="DJ69" s="8" t="e">
        <f t="shared" si="29"/>
        <v>#REF!</v>
      </c>
      <c r="DK69" s="8" t="e">
        <f t="shared" si="30"/>
        <v>#REF!</v>
      </c>
      <c r="DO69" s="8">
        <v>64</v>
      </c>
      <c r="DP69" s="8" t="e">
        <f t="shared" si="31"/>
        <v>#REF!</v>
      </c>
      <c r="DQ69" s="8" t="e">
        <f t="shared" si="32"/>
        <v>#REF!</v>
      </c>
      <c r="DR69" s="8" t="e">
        <f t="shared" si="33"/>
        <v>#REF!</v>
      </c>
      <c r="DS69" s="8" t="e">
        <f t="shared" si="34"/>
        <v>#REF!</v>
      </c>
      <c r="DT69" s="8" t="e">
        <f t="shared" si="35"/>
        <v>#REF!</v>
      </c>
    </row>
    <row r="70" spans="2:124">
      <c r="B70" s="8">
        <v>63</v>
      </c>
      <c r="C70" s="19" t="e">
        <f t="shared" ref="C70:G85" si="54">MIN(C$5,MAX(C$5/($D$2-$D$1)*($B70-$D$1),0))</f>
        <v>#REF!</v>
      </c>
      <c r="D70" s="19" t="e">
        <f t="shared" si="54"/>
        <v>#REF!</v>
      </c>
      <c r="E70" s="19" t="e">
        <f t="shared" si="54"/>
        <v>#REF!</v>
      </c>
      <c r="F70" s="19" t="e">
        <f t="shared" si="54"/>
        <v>#REF!</v>
      </c>
      <c r="G70" s="19" t="e">
        <f t="shared" si="54"/>
        <v>#REF!</v>
      </c>
      <c r="H70" s="19" t="e">
        <f t="shared" si="53"/>
        <v>#REF!</v>
      </c>
      <c r="I70" s="19" t="e">
        <f t="shared" si="53"/>
        <v>#REF!</v>
      </c>
      <c r="J70" s="19" t="e">
        <f t="shared" si="53"/>
        <v>#REF!</v>
      </c>
      <c r="K70" s="19" t="e">
        <f t="shared" si="53"/>
        <v>#REF!</v>
      </c>
      <c r="L70" s="16" t="e">
        <f t="shared" si="53"/>
        <v>#REF!</v>
      </c>
      <c r="M70" s="16" t="e">
        <f t="shared" si="53"/>
        <v>#REF!</v>
      </c>
      <c r="AC70" s="8">
        <v>65</v>
      </c>
      <c r="AD70" s="8" t="e">
        <f>($C72*'[1]功能-城建'!EX68)*S$6+AD69</f>
        <v>#REF!</v>
      </c>
      <c r="AE70" s="8" t="e">
        <f>($C72*'[1]功能-城建'!EY68)*T$6+AE69</f>
        <v>#REF!</v>
      </c>
      <c r="AF70" s="8" t="e">
        <f>($C72*'[1]功能-城建'!EZ68)*U$6+AF69</f>
        <v>#REF!</v>
      </c>
      <c r="AG70" s="8" t="e">
        <f>($C72*'[1]功能-城建'!FA68)*V$6+AG69</f>
        <v>#REF!</v>
      </c>
      <c r="AH70" s="8" t="e">
        <f>($C72*'[1]功能-城建'!FB68)*W$6+AH69</f>
        <v>#REF!</v>
      </c>
      <c r="AL70" s="8">
        <v>65</v>
      </c>
      <c r="AM70" s="8" t="e">
        <f>($D72*'[1]功能-城建'!HM68)*S$6+AM69</f>
        <v>#REF!</v>
      </c>
      <c r="AN70" s="8" t="e">
        <f>($D72*'[1]功能-城建'!HN68)*T$6+AN69</f>
        <v>#REF!</v>
      </c>
      <c r="AO70" s="8" t="e">
        <f>($D72*'[1]功能-城建'!HO68)*U$6+AO69</f>
        <v>#REF!</v>
      </c>
      <c r="AP70" s="8" t="e">
        <f>($D72*'[1]功能-城建'!HP68)*V$6+AP69</f>
        <v>#REF!</v>
      </c>
      <c r="AQ70" s="8" t="e">
        <f>($D72*'[1]功能-城建'!HQ68)*W$6+AQ69</f>
        <v>#REF!</v>
      </c>
      <c r="AU70" s="8">
        <v>65</v>
      </c>
      <c r="AV70" s="8" t="e">
        <f>($E72*'[1]功能-城建'!GF68)*S$6+AV69</f>
        <v>#REF!</v>
      </c>
      <c r="AW70" s="8" t="e">
        <f>($E72*'[1]功能-城建'!GG68)*T$6+AW69</f>
        <v>#REF!</v>
      </c>
      <c r="AX70" s="8" t="e">
        <f>($E72*'[1]功能-城建'!GH68)*U$6+AX69</f>
        <v>#REF!</v>
      </c>
      <c r="AY70" s="8" t="e">
        <f>($E72*'[1]功能-城建'!GI68)*V$6+AY69</f>
        <v>#REF!</v>
      </c>
      <c r="AZ70" s="8" t="e">
        <f>($E72*'[1]功能-城建'!GJ68)*W$6+AZ69</f>
        <v>#REF!</v>
      </c>
      <c r="BD70" s="8">
        <v>65</v>
      </c>
      <c r="BE70" s="8" t="e">
        <f t="shared" si="50"/>
        <v>#REF!</v>
      </c>
      <c r="BF70" s="8" t="e">
        <f t="shared" si="50"/>
        <v>#REF!</v>
      </c>
      <c r="BG70" s="8" t="e">
        <f t="shared" si="50"/>
        <v>#REF!</v>
      </c>
      <c r="BH70" s="8" t="e">
        <f t="shared" si="50"/>
        <v>#REF!</v>
      </c>
      <c r="BI70" s="8" t="e">
        <f t="shared" si="50"/>
        <v>#REF!</v>
      </c>
      <c r="BM70" s="8">
        <v>65</v>
      </c>
      <c r="BN70" s="8" t="e">
        <f t="shared" si="51"/>
        <v>#REF!</v>
      </c>
      <c r="BO70" s="8" t="e">
        <f t="shared" si="51"/>
        <v>#REF!</v>
      </c>
      <c r="BP70" s="8" t="e">
        <f t="shared" si="51"/>
        <v>#REF!</v>
      </c>
      <c r="BQ70" s="8" t="e">
        <f t="shared" si="51"/>
        <v>#REF!</v>
      </c>
      <c r="BR70" s="8" t="e">
        <f t="shared" si="51"/>
        <v>#REF!</v>
      </c>
      <c r="BV70" s="8">
        <v>65</v>
      </c>
      <c r="BW70" s="8" t="e">
        <f t="shared" si="52"/>
        <v>#REF!</v>
      </c>
      <c r="BX70" s="8" t="e">
        <f t="shared" si="52"/>
        <v>#REF!</v>
      </c>
      <c r="BY70" s="8" t="e">
        <f t="shared" si="52"/>
        <v>#REF!</v>
      </c>
      <c r="BZ70" s="8" t="e">
        <f t="shared" si="52"/>
        <v>#REF!</v>
      </c>
      <c r="CA70" s="8" t="e">
        <f t="shared" si="52"/>
        <v>#REF!</v>
      </c>
      <c r="CE70" s="8">
        <v>65</v>
      </c>
      <c r="CF70" s="18" t="e">
        <f t="shared" si="11"/>
        <v>#REF!</v>
      </c>
      <c r="CG70" s="18" t="e">
        <f t="shared" si="12"/>
        <v>#REF!</v>
      </c>
      <c r="CH70" s="18" t="e">
        <f t="shared" si="13"/>
        <v>#REF!</v>
      </c>
      <c r="CI70" s="18" t="e">
        <f t="shared" si="14"/>
        <v>#REF!</v>
      </c>
      <c r="CJ70" s="18" t="e">
        <f t="shared" si="15"/>
        <v>#REF!</v>
      </c>
      <c r="CN70" s="8">
        <v>65</v>
      </c>
      <c r="CO70" s="18" t="e">
        <f t="shared" si="16"/>
        <v>#REF!</v>
      </c>
      <c r="CP70" s="18" t="e">
        <f t="shared" si="17"/>
        <v>#REF!</v>
      </c>
      <c r="CQ70" s="18" t="e">
        <f t="shared" si="18"/>
        <v>#REF!</v>
      </c>
      <c r="CR70" s="18" t="e">
        <f t="shared" si="19"/>
        <v>#REF!</v>
      </c>
      <c r="CS70" s="18" t="e">
        <f t="shared" si="20"/>
        <v>#REF!</v>
      </c>
      <c r="CW70" s="8">
        <v>65</v>
      </c>
      <c r="CX70" s="18" t="e">
        <f t="shared" si="21"/>
        <v>#REF!</v>
      </c>
      <c r="CY70" s="18" t="e">
        <f t="shared" si="22"/>
        <v>#REF!</v>
      </c>
      <c r="CZ70" s="18" t="e">
        <f t="shared" si="23"/>
        <v>#REF!</v>
      </c>
      <c r="DA70" s="18" t="e">
        <f t="shared" si="24"/>
        <v>#REF!</v>
      </c>
      <c r="DB70" s="18" t="e">
        <f t="shared" si="25"/>
        <v>#REF!</v>
      </c>
      <c r="DF70" s="8">
        <v>65</v>
      </c>
      <c r="DG70" s="8" t="e">
        <f t="shared" si="26"/>
        <v>#REF!</v>
      </c>
      <c r="DH70" s="8" t="e">
        <f t="shared" si="27"/>
        <v>#REF!</v>
      </c>
      <c r="DI70" s="8" t="e">
        <f t="shared" si="28"/>
        <v>#REF!</v>
      </c>
      <c r="DJ70" s="8" t="e">
        <f t="shared" si="29"/>
        <v>#REF!</v>
      </c>
      <c r="DK70" s="8" t="e">
        <f t="shared" si="30"/>
        <v>#REF!</v>
      </c>
      <c r="DO70" s="8">
        <v>65</v>
      </c>
      <c r="DP70" s="8" t="e">
        <f t="shared" si="31"/>
        <v>#REF!</v>
      </c>
      <c r="DQ70" s="8" t="e">
        <f t="shared" si="32"/>
        <v>#REF!</v>
      </c>
      <c r="DR70" s="8" t="e">
        <f t="shared" si="33"/>
        <v>#REF!</v>
      </c>
      <c r="DS70" s="8" t="e">
        <f t="shared" si="34"/>
        <v>#REF!</v>
      </c>
      <c r="DT70" s="8" t="e">
        <f t="shared" si="35"/>
        <v>#REF!</v>
      </c>
    </row>
    <row r="71" spans="2:124">
      <c r="B71" s="8">
        <v>64</v>
      </c>
      <c r="C71" s="19" t="e">
        <f t="shared" si="54"/>
        <v>#REF!</v>
      </c>
      <c r="D71" s="19" t="e">
        <f t="shared" si="54"/>
        <v>#REF!</v>
      </c>
      <c r="E71" s="19" t="e">
        <f t="shared" si="54"/>
        <v>#REF!</v>
      </c>
      <c r="F71" s="19" t="e">
        <f t="shared" si="54"/>
        <v>#REF!</v>
      </c>
      <c r="G71" s="19" t="e">
        <f t="shared" si="54"/>
        <v>#REF!</v>
      </c>
      <c r="H71" s="19" t="e">
        <f t="shared" si="53"/>
        <v>#REF!</v>
      </c>
      <c r="I71" s="19" t="e">
        <f t="shared" si="53"/>
        <v>#REF!</v>
      </c>
      <c r="J71" s="19" t="e">
        <f t="shared" si="53"/>
        <v>#REF!</v>
      </c>
      <c r="K71" s="19" t="e">
        <f t="shared" si="53"/>
        <v>#REF!</v>
      </c>
      <c r="L71" s="16" t="e">
        <f t="shared" si="53"/>
        <v>#REF!</v>
      </c>
      <c r="M71" s="16" t="e">
        <f t="shared" si="53"/>
        <v>#REF!</v>
      </c>
      <c r="AC71" s="8">
        <v>66</v>
      </c>
      <c r="AD71" s="8" t="e">
        <f>($C73*'[1]功能-城建'!EX69)*S$6+AD70</f>
        <v>#REF!</v>
      </c>
      <c r="AE71" s="8" t="e">
        <f>($C73*'[1]功能-城建'!EY69)*T$6+AE70</f>
        <v>#REF!</v>
      </c>
      <c r="AF71" s="8" t="e">
        <f>($C73*'[1]功能-城建'!EZ69)*U$6+AF70</f>
        <v>#REF!</v>
      </c>
      <c r="AG71" s="8" t="e">
        <f>($C73*'[1]功能-城建'!FA69)*V$6+AG70</f>
        <v>#REF!</v>
      </c>
      <c r="AH71" s="8" t="e">
        <f>($C73*'[1]功能-城建'!FB69)*W$6+AH70</f>
        <v>#REF!</v>
      </c>
      <c r="AL71" s="8">
        <v>66</v>
      </c>
      <c r="AM71" s="8" t="e">
        <f>($D73*'[1]功能-城建'!HM69)*S$6+AM70</f>
        <v>#REF!</v>
      </c>
      <c r="AN71" s="8" t="e">
        <f>($D73*'[1]功能-城建'!HN69)*T$6+AN70</f>
        <v>#REF!</v>
      </c>
      <c r="AO71" s="8" t="e">
        <f>($D73*'[1]功能-城建'!HO69)*U$6+AO70</f>
        <v>#REF!</v>
      </c>
      <c r="AP71" s="8" t="e">
        <f>($D73*'[1]功能-城建'!HP69)*V$6+AP70</f>
        <v>#REF!</v>
      </c>
      <c r="AQ71" s="8" t="e">
        <f>($D73*'[1]功能-城建'!HQ69)*W$6+AQ70</f>
        <v>#REF!</v>
      </c>
      <c r="AU71" s="8">
        <v>66</v>
      </c>
      <c r="AV71" s="8" t="e">
        <f>($E73*'[1]功能-城建'!GF69)*S$6+AV70</f>
        <v>#REF!</v>
      </c>
      <c r="AW71" s="8" t="e">
        <f>($E73*'[1]功能-城建'!GG69)*T$6+AW70</f>
        <v>#REF!</v>
      </c>
      <c r="AX71" s="8" t="e">
        <f>($E73*'[1]功能-城建'!GH69)*U$6+AX70</f>
        <v>#REF!</v>
      </c>
      <c r="AY71" s="8" t="e">
        <f>($E73*'[1]功能-城建'!GI69)*V$6+AY70</f>
        <v>#REF!</v>
      </c>
      <c r="AZ71" s="8" t="e">
        <f>($E73*'[1]功能-城建'!GJ69)*W$6+AZ70</f>
        <v>#REF!</v>
      </c>
      <c r="BD71" s="8">
        <v>66</v>
      </c>
      <c r="BE71" s="8" t="e">
        <f t="shared" ref="BE71:BI86" si="55">$F73*S$6</f>
        <v>#REF!</v>
      </c>
      <c r="BF71" s="8" t="e">
        <f t="shared" si="55"/>
        <v>#REF!</v>
      </c>
      <c r="BG71" s="8" t="e">
        <f t="shared" si="55"/>
        <v>#REF!</v>
      </c>
      <c r="BH71" s="8" t="e">
        <f t="shared" si="55"/>
        <v>#REF!</v>
      </c>
      <c r="BI71" s="8" t="e">
        <f t="shared" si="55"/>
        <v>#REF!</v>
      </c>
      <c r="BM71" s="8">
        <v>66</v>
      </c>
      <c r="BN71" s="8" t="e">
        <f t="shared" ref="BN71:BR86" si="56">$G73*S$6</f>
        <v>#REF!</v>
      </c>
      <c r="BO71" s="8" t="e">
        <f t="shared" si="56"/>
        <v>#REF!</v>
      </c>
      <c r="BP71" s="8" t="e">
        <f t="shared" si="56"/>
        <v>#REF!</v>
      </c>
      <c r="BQ71" s="8" t="e">
        <f t="shared" si="56"/>
        <v>#REF!</v>
      </c>
      <c r="BR71" s="8" t="e">
        <f t="shared" si="56"/>
        <v>#REF!</v>
      </c>
      <c r="BV71" s="8">
        <v>66</v>
      </c>
      <c r="BW71" s="8" t="e">
        <f t="shared" ref="BW71:CA86" si="57">$H73*S$6</f>
        <v>#REF!</v>
      </c>
      <c r="BX71" s="8" t="e">
        <f t="shared" si="57"/>
        <v>#REF!</v>
      </c>
      <c r="BY71" s="8" t="e">
        <f t="shared" si="57"/>
        <v>#REF!</v>
      </c>
      <c r="BZ71" s="8" t="e">
        <f t="shared" si="57"/>
        <v>#REF!</v>
      </c>
      <c r="CA71" s="8" t="e">
        <f t="shared" si="57"/>
        <v>#REF!</v>
      </c>
      <c r="CE71" s="8">
        <v>66</v>
      </c>
      <c r="CF71" s="18" t="e">
        <f t="shared" ref="CF71:CF105" si="58">$I73*S$6</f>
        <v>#REF!</v>
      </c>
      <c r="CG71" s="18" t="e">
        <f t="shared" ref="CG71:CG105" si="59">$I73*T$6</f>
        <v>#REF!</v>
      </c>
      <c r="CH71" s="18" t="e">
        <f t="shared" ref="CH71:CH105" si="60">$I73*U$6</f>
        <v>#REF!</v>
      </c>
      <c r="CI71" s="18" t="e">
        <f t="shared" ref="CI71:CI105" si="61">$I73*V$6</f>
        <v>#REF!</v>
      </c>
      <c r="CJ71" s="18" t="e">
        <f t="shared" ref="CJ71:CJ105" si="62">$I73*W$6</f>
        <v>#REF!</v>
      </c>
      <c r="CN71" s="8">
        <v>66</v>
      </c>
      <c r="CO71" s="18" t="e">
        <f t="shared" ref="CO71:CO105" si="63">$J73*S$6</f>
        <v>#REF!</v>
      </c>
      <c r="CP71" s="18" t="e">
        <f t="shared" ref="CP71:CP105" si="64">$J73*T$6</f>
        <v>#REF!</v>
      </c>
      <c r="CQ71" s="18" t="e">
        <f t="shared" ref="CQ71:CQ105" si="65">$J73*U$6</f>
        <v>#REF!</v>
      </c>
      <c r="CR71" s="18" t="e">
        <f t="shared" ref="CR71:CR105" si="66">$J73*V$6</f>
        <v>#REF!</v>
      </c>
      <c r="CS71" s="18" t="e">
        <f t="shared" ref="CS71:CS105" si="67">$J73*W$6</f>
        <v>#REF!</v>
      </c>
      <c r="CW71" s="8">
        <v>66</v>
      </c>
      <c r="CX71" s="18" t="e">
        <f t="shared" ref="CX71:CX105" si="68">$K73*S$6</f>
        <v>#REF!</v>
      </c>
      <c r="CY71" s="18" t="e">
        <f t="shared" ref="CY71:CY105" si="69">$K73*T$6</f>
        <v>#REF!</v>
      </c>
      <c r="CZ71" s="18" t="e">
        <f t="shared" ref="CZ71:CZ105" si="70">$K73*U$6</f>
        <v>#REF!</v>
      </c>
      <c r="DA71" s="18" t="e">
        <f t="shared" ref="DA71:DA105" si="71">$K73*V$6</f>
        <v>#REF!</v>
      </c>
      <c r="DB71" s="18" t="e">
        <f t="shared" ref="DB71:DB105" si="72">$K73*W$6</f>
        <v>#REF!</v>
      </c>
      <c r="DF71" s="8">
        <v>66</v>
      </c>
      <c r="DG71" s="8" t="e">
        <f t="shared" ref="DG71:DG105" si="73">$L73*S$6</f>
        <v>#REF!</v>
      </c>
      <c r="DH71" s="8" t="e">
        <f t="shared" ref="DH71:DH105" si="74">$L73*T$6</f>
        <v>#REF!</v>
      </c>
      <c r="DI71" s="8" t="e">
        <f t="shared" ref="DI71:DI105" si="75">$L73*U$6</f>
        <v>#REF!</v>
      </c>
      <c r="DJ71" s="8" t="e">
        <f t="shared" ref="DJ71:DJ105" si="76">$L73*V$6</f>
        <v>#REF!</v>
      </c>
      <c r="DK71" s="8" t="e">
        <f t="shared" ref="DK71:DK105" si="77">$L73*W$6</f>
        <v>#REF!</v>
      </c>
      <c r="DO71" s="8">
        <v>66</v>
      </c>
      <c r="DP71" s="8" t="e">
        <f t="shared" ref="DP71:DP105" si="78">$M73*S$6</f>
        <v>#REF!</v>
      </c>
      <c r="DQ71" s="8" t="e">
        <f t="shared" ref="DQ71:DQ105" si="79">$M73*T$6</f>
        <v>#REF!</v>
      </c>
      <c r="DR71" s="8" t="e">
        <f t="shared" ref="DR71:DR105" si="80">$M73*U$6</f>
        <v>#REF!</v>
      </c>
      <c r="DS71" s="8" t="e">
        <f t="shared" ref="DS71:DS105" si="81">$M73*V$6</f>
        <v>#REF!</v>
      </c>
      <c r="DT71" s="8" t="e">
        <f t="shared" ref="DT71:DT105" si="82">$M73*W$6</f>
        <v>#REF!</v>
      </c>
    </row>
    <row r="72" spans="2:124">
      <c r="B72" s="8">
        <v>65</v>
      </c>
      <c r="C72" s="19" t="e">
        <f t="shared" si="54"/>
        <v>#REF!</v>
      </c>
      <c r="D72" s="19" t="e">
        <f t="shared" si="54"/>
        <v>#REF!</v>
      </c>
      <c r="E72" s="19" t="e">
        <f t="shared" si="54"/>
        <v>#REF!</v>
      </c>
      <c r="F72" s="19" t="e">
        <f t="shared" si="54"/>
        <v>#REF!</v>
      </c>
      <c r="G72" s="19" t="e">
        <f t="shared" si="54"/>
        <v>#REF!</v>
      </c>
      <c r="H72" s="19" t="e">
        <f t="shared" si="53"/>
        <v>#REF!</v>
      </c>
      <c r="I72" s="19" t="e">
        <f t="shared" si="53"/>
        <v>#REF!</v>
      </c>
      <c r="J72" s="19" t="e">
        <f t="shared" si="53"/>
        <v>#REF!</v>
      </c>
      <c r="K72" s="19" t="e">
        <f t="shared" si="53"/>
        <v>#REF!</v>
      </c>
      <c r="L72" s="16" t="e">
        <f t="shared" si="53"/>
        <v>#REF!</v>
      </c>
      <c r="M72" s="16" t="e">
        <f t="shared" si="53"/>
        <v>#REF!</v>
      </c>
      <c r="AC72" s="8">
        <v>67</v>
      </c>
      <c r="AD72" s="8" t="e">
        <f>($C74*'[1]功能-城建'!EX70)*S$6+AD71</f>
        <v>#REF!</v>
      </c>
      <c r="AE72" s="8" t="e">
        <f>($C74*'[1]功能-城建'!EY70)*T$6+AE71</f>
        <v>#REF!</v>
      </c>
      <c r="AF72" s="8" t="e">
        <f>($C74*'[1]功能-城建'!EZ70)*U$6+AF71</f>
        <v>#REF!</v>
      </c>
      <c r="AG72" s="8" t="e">
        <f>($C74*'[1]功能-城建'!FA70)*V$6+AG71</f>
        <v>#REF!</v>
      </c>
      <c r="AH72" s="8" t="e">
        <f>($C74*'[1]功能-城建'!FB70)*W$6+AH71</f>
        <v>#REF!</v>
      </c>
      <c r="AL72" s="8">
        <v>67</v>
      </c>
      <c r="AM72" s="8" t="e">
        <f>($D74*'[1]功能-城建'!HM70)*S$6+AM71</f>
        <v>#REF!</v>
      </c>
      <c r="AN72" s="8" t="e">
        <f>($D74*'[1]功能-城建'!HN70)*T$6+AN71</f>
        <v>#REF!</v>
      </c>
      <c r="AO72" s="8" t="e">
        <f>($D74*'[1]功能-城建'!HO70)*U$6+AO71</f>
        <v>#REF!</v>
      </c>
      <c r="AP72" s="8" t="e">
        <f>($D74*'[1]功能-城建'!HP70)*V$6+AP71</f>
        <v>#REF!</v>
      </c>
      <c r="AQ72" s="8" t="e">
        <f>($D74*'[1]功能-城建'!HQ70)*W$6+AQ71</f>
        <v>#REF!</v>
      </c>
      <c r="AU72" s="8">
        <v>67</v>
      </c>
      <c r="AV72" s="8" t="e">
        <f>($E74*'[1]功能-城建'!GF70)*S$6+AV71</f>
        <v>#REF!</v>
      </c>
      <c r="AW72" s="8" t="e">
        <f>($E74*'[1]功能-城建'!GG70)*T$6+AW71</f>
        <v>#REF!</v>
      </c>
      <c r="AX72" s="8" t="e">
        <f>($E74*'[1]功能-城建'!GH70)*U$6+AX71</f>
        <v>#REF!</v>
      </c>
      <c r="AY72" s="8" t="e">
        <f>($E74*'[1]功能-城建'!GI70)*V$6+AY71</f>
        <v>#REF!</v>
      </c>
      <c r="AZ72" s="8" t="e">
        <f>($E74*'[1]功能-城建'!GJ70)*W$6+AZ71</f>
        <v>#REF!</v>
      </c>
      <c r="BD72" s="8">
        <v>67</v>
      </c>
      <c r="BE72" s="8" t="e">
        <f t="shared" si="55"/>
        <v>#REF!</v>
      </c>
      <c r="BF72" s="8" t="e">
        <f t="shared" si="55"/>
        <v>#REF!</v>
      </c>
      <c r="BG72" s="8" t="e">
        <f t="shared" si="55"/>
        <v>#REF!</v>
      </c>
      <c r="BH72" s="8" t="e">
        <f t="shared" si="55"/>
        <v>#REF!</v>
      </c>
      <c r="BI72" s="8" t="e">
        <f t="shared" si="55"/>
        <v>#REF!</v>
      </c>
      <c r="BM72" s="8">
        <v>67</v>
      </c>
      <c r="BN72" s="8" t="e">
        <f t="shared" si="56"/>
        <v>#REF!</v>
      </c>
      <c r="BO72" s="8" t="e">
        <f t="shared" si="56"/>
        <v>#REF!</v>
      </c>
      <c r="BP72" s="8" t="e">
        <f t="shared" si="56"/>
        <v>#REF!</v>
      </c>
      <c r="BQ72" s="8" t="e">
        <f t="shared" si="56"/>
        <v>#REF!</v>
      </c>
      <c r="BR72" s="8" t="e">
        <f t="shared" si="56"/>
        <v>#REF!</v>
      </c>
      <c r="BV72" s="8">
        <v>67</v>
      </c>
      <c r="BW72" s="8" t="e">
        <f t="shared" si="57"/>
        <v>#REF!</v>
      </c>
      <c r="BX72" s="8" t="e">
        <f t="shared" si="57"/>
        <v>#REF!</v>
      </c>
      <c r="BY72" s="8" t="e">
        <f t="shared" si="57"/>
        <v>#REF!</v>
      </c>
      <c r="BZ72" s="8" t="e">
        <f t="shared" si="57"/>
        <v>#REF!</v>
      </c>
      <c r="CA72" s="8" t="e">
        <f t="shared" si="57"/>
        <v>#REF!</v>
      </c>
      <c r="CE72" s="8">
        <v>67</v>
      </c>
      <c r="CF72" s="18" t="e">
        <f t="shared" si="58"/>
        <v>#REF!</v>
      </c>
      <c r="CG72" s="18" t="e">
        <f t="shared" si="59"/>
        <v>#REF!</v>
      </c>
      <c r="CH72" s="18" t="e">
        <f t="shared" si="60"/>
        <v>#REF!</v>
      </c>
      <c r="CI72" s="18" t="e">
        <f t="shared" si="61"/>
        <v>#REF!</v>
      </c>
      <c r="CJ72" s="18" t="e">
        <f t="shared" si="62"/>
        <v>#REF!</v>
      </c>
      <c r="CN72" s="8">
        <v>67</v>
      </c>
      <c r="CO72" s="18" t="e">
        <f t="shared" si="63"/>
        <v>#REF!</v>
      </c>
      <c r="CP72" s="18" t="e">
        <f t="shared" si="64"/>
        <v>#REF!</v>
      </c>
      <c r="CQ72" s="18" t="e">
        <f t="shared" si="65"/>
        <v>#REF!</v>
      </c>
      <c r="CR72" s="18" t="e">
        <f t="shared" si="66"/>
        <v>#REF!</v>
      </c>
      <c r="CS72" s="18" t="e">
        <f t="shared" si="67"/>
        <v>#REF!</v>
      </c>
      <c r="CW72" s="8">
        <v>67</v>
      </c>
      <c r="CX72" s="18" t="e">
        <f t="shared" si="68"/>
        <v>#REF!</v>
      </c>
      <c r="CY72" s="18" t="e">
        <f t="shared" si="69"/>
        <v>#REF!</v>
      </c>
      <c r="CZ72" s="18" t="e">
        <f t="shared" si="70"/>
        <v>#REF!</v>
      </c>
      <c r="DA72" s="18" t="e">
        <f t="shared" si="71"/>
        <v>#REF!</v>
      </c>
      <c r="DB72" s="18" t="e">
        <f t="shared" si="72"/>
        <v>#REF!</v>
      </c>
      <c r="DF72" s="8">
        <v>67</v>
      </c>
      <c r="DG72" s="8" t="e">
        <f t="shared" si="73"/>
        <v>#REF!</v>
      </c>
      <c r="DH72" s="8" t="e">
        <f t="shared" si="74"/>
        <v>#REF!</v>
      </c>
      <c r="DI72" s="8" t="e">
        <f t="shared" si="75"/>
        <v>#REF!</v>
      </c>
      <c r="DJ72" s="8" t="e">
        <f t="shared" si="76"/>
        <v>#REF!</v>
      </c>
      <c r="DK72" s="8" t="e">
        <f t="shared" si="77"/>
        <v>#REF!</v>
      </c>
      <c r="DO72" s="8">
        <v>67</v>
      </c>
      <c r="DP72" s="8" t="e">
        <f t="shared" si="78"/>
        <v>#REF!</v>
      </c>
      <c r="DQ72" s="8" t="e">
        <f t="shared" si="79"/>
        <v>#REF!</v>
      </c>
      <c r="DR72" s="8" t="e">
        <f t="shared" si="80"/>
        <v>#REF!</v>
      </c>
      <c r="DS72" s="8" t="e">
        <f t="shared" si="81"/>
        <v>#REF!</v>
      </c>
      <c r="DT72" s="8" t="e">
        <f t="shared" si="82"/>
        <v>#REF!</v>
      </c>
    </row>
    <row r="73" spans="2:124">
      <c r="B73" s="8">
        <v>66</v>
      </c>
      <c r="C73" s="19" t="e">
        <f t="shared" si="54"/>
        <v>#REF!</v>
      </c>
      <c r="D73" s="19" t="e">
        <f t="shared" si="54"/>
        <v>#REF!</v>
      </c>
      <c r="E73" s="19" t="e">
        <f t="shared" si="54"/>
        <v>#REF!</v>
      </c>
      <c r="F73" s="19" t="e">
        <f t="shared" si="54"/>
        <v>#REF!</v>
      </c>
      <c r="G73" s="19" t="e">
        <f t="shared" si="54"/>
        <v>#REF!</v>
      </c>
      <c r="H73" s="19" t="e">
        <f t="shared" si="53"/>
        <v>#REF!</v>
      </c>
      <c r="I73" s="19" t="e">
        <f t="shared" si="53"/>
        <v>#REF!</v>
      </c>
      <c r="J73" s="19" t="e">
        <f t="shared" si="53"/>
        <v>#REF!</v>
      </c>
      <c r="K73" s="19" t="e">
        <f t="shared" si="53"/>
        <v>#REF!</v>
      </c>
      <c r="L73" s="16" t="e">
        <f t="shared" si="53"/>
        <v>#REF!</v>
      </c>
      <c r="M73" s="16" t="e">
        <f t="shared" si="53"/>
        <v>#REF!</v>
      </c>
      <c r="AC73" s="8">
        <v>68</v>
      </c>
      <c r="AD73" s="8" t="e">
        <f>($C75*'[1]功能-城建'!EX71)*S$6+AD72</f>
        <v>#REF!</v>
      </c>
      <c r="AE73" s="8" t="e">
        <f>($C75*'[1]功能-城建'!EY71)*T$6+AE72</f>
        <v>#REF!</v>
      </c>
      <c r="AF73" s="8" t="e">
        <f>($C75*'[1]功能-城建'!EZ71)*U$6+AF72</f>
        <v>#REF!</v>
      </c>
      <c r="AG73" s="8" t="e">
        <f>($C75*'[1]功能-城建'!FA71)*V$6+AG72</f>
        <v>#REF!</v>
      </c>
      <c r="AH73" s="8" t="e">
        <f>($C75*'[1]功能-城建'!FB71)*W$6+AH72</f>
        <v>#REF!</v>
      </c>
      <c r="AL73" s="8">
        <v>68</v>
      </c>
      <c r="AM73" s="8" t="e">
        <f>($D75*'[1]功能-城建'!HM71)*S$6+AM72</f>
        <v>#REF!</v>
      </c>
      <c r="AN73" s="8" t="e">
        <f>($D75*'[1]功能-城建'!HN71)*T$6+AN72</f>
        <v>#REF!</v>
      </c>
      <c r="AO73" s="8" t="e">
        <f>($D75*'[1]功能-城建'!HO71)*U$6+AO72</f>
        <v>#REF!</v>
      </c>
      <c r="AP73" s="8" t="e">
        <f>($D75*'[1]功能-城建'!HP71)*V$6+AP72</f>
        <v>#REF!</v>
      </c>
      <c r="AQ73" s="8" t="e">
        <f>($D75*'[1]功能-城建'!HQ71)*W$6+AQ72</f>
        <v>#REF!</v>
      </c>
      <c r="AU73" s="8">
        <v>68</v>
      </c>
      <c r="AV73" s="8" t="e">
        <f>($E75*'[1]功能-城建'!GF71)*S$6+AV72</f>
        <v>#REF!</v>
      </c>
      <c r="AW73" s="8" t="e">
        <f>($E75*'[1]功能-城建'!GG71)*T$6+AW72</f>
        <v>#REF!</v>
      </c>
      <c r="AX73" s="8" t="e">
        <f>($E75*'[1]功能-城建'!GH71)*U$6+AX72</f>
        <v>#REF!</v>
      </c>
      <c r="AY73" s="8" t="e">
        <f>($E75*'[1]功能-城建'!GI71)*V$6+AY72</f>
        <v>#REF!</v>
      </c>
      <c r="AZ73" s="8" t="e">
        <f>($E75*'[1]功能-城建'!GJ71)*W$6+AZ72</f>
        <v>#REF!</v>
      </c>
      <c r="BD73" s="8">
        <v>68</v>
      </c>
      <c r="BE73" s="8" t="e">
        <f t="shared" si="55"/>
        <v>#REF!</v>
      </c>
      <c r="BF73" s="8" t="e">
        <f t="shared" si="55"/>
        <v>#REF!</v>
      </c>
      <c r="BG73" s="8" t="e">
        <f t="shared" si="55"/>
        <v>#REF!</v>
      </c>
      <c r="BH73" s="8" t="e">
        <f t="shared" si="55"/>
        <v>#REF!</v>
      </c>
      <c r="BI73" s="8" t="e">
        <f t="shared" si="55"/>
        <v>#REF!</v>
      </c>
      <c r="BM73" s="8">
        <v>68</v>
      </c>
      <c r="BN73" s="8" t="e">
        <f t="shared" si="56"/>
        <v>#REF!</v>
      </c>
      <c r="BO73" s="8" t="e">
        <f t="shared" si="56"/>
        <v>#REF!</v>
      </c>
      <c r="BP73" s="8" t="e">
        <f t="shared" si="56"/>
        <v>#REF!</v>
      </c>
      <c r="BQ73" s="8" t="e">
        <f t="shared" si="56"/>
        <v>#REF!</v>
      </c>
      <c r="BR73" s="8" t="e">
        <f t="shared" si="56"/>
        <v>#REF!</v>
      </c>
      <c r="BV73" s="8">
        <v>68</v>
      </c>
      <c r="BW73" s="8" t="e">
        <f t="shared" si="57"/>
        <v>#REF!</v>
      </c>
      <c r="BX73" s="8" t="e">
        <f t="shared" si="57"/>
        <v>#REF!</v>
      </c>
      <c r="BY73" s="8" t="e">
        <f t="shared" si="57"/>
        <v>#REF!</v>
      </c>
      <c r="BZ73" s="8" t="e">
        <f t="shared" si="57"/>
        <v>#REF!</v>
      </c>
      <c r="CA73" s="8" t="e">
        <f t="shared" si="57"/>
        <v>#REF!</v>
      </c>
      <c r="CE73" s="8">
        <v>68</v>
      </c>
      <c r="CF73" s="18" t="e">
        <f t="shared" si="58"/>
        <v>#REF!</v>
      </c>
      <c r="CG73" s="18" t="e">
        <f t="shared" si="59"/>
        <v>#REF!</v>
      </c>
      <c r="CH73" s="18" t="e">
        <f t="shared" si="60"/>
        <v>#REF!</v>
      </c>
      <c r="CI73" s="18" t="e">
        <f t="shared" si="61"/>
        <v>#REF!</v>
      </c>
      <c r="CJ73" s="18" t="e">
        <f t="shared" si="62"/>
        <v>#REF!</v>
      </c>
      <c r="CN73" s="8">
        <v>68</v>
      </c>
      <c r="CO73" s="18" t="e">
        <f t="shared" si="63"/>
        <v>#REF!</v>
      </c>
      <c r="CP73" s="18" t="e">
        <f t="shared" si="64"/>
        <v>#REF!</v>
      </c>
      <c r="CQ73" s="18" t="e">
        <f t="shared" si="65"/>
        <v>#REF!</v>
      </c>
      <c r="CR73" s="18" t="e">
        <f t="shared" si="66"/>
        <v>#REF!</v>
      </c>
      <c r="CS73" s="18" t="e">
        <f t="shared" si="67"/>
        <v>#REF!</v>
      </c>
      <c r="CW73" s="8">
        <v>68</v>
      </c>
      <c r="CX73" s="18" t="e">
        <f t="shared" si="68"/>
        <v>#REF!</v>
      </c>
      <c r="CY73" s="18" t="e">
        <f t="shared" si="69"/>
        <v>#REF!</v>
      </c>
      <c r="CZ73" s="18" t="e">
        <f t="shared" si="70"/>
        <v>#REF!</v>
      </c>
      <c r="DA73" s="18" t="e">
        <f t="shared" si="71"/>
        <v>#REF!</v>
      </c>
      <c r="DB73" s="18" t="e">
        <f t="shared" si="72"/>
        <v>#REF!</v>
      </c>
      <c r="DF73" s="8">
        <v>68</v>
      </c>
      <c r="DG73" s="8" t="e">
        <f t="shared" si="73"/>
        <v>#REF!</v>
      </c>
      <c r="DH73" s="8" t="e">
        <f t="shared" si="74"/>
        <v>#REF!</v>
      </c>
      <c r="DI73" s="8" t="e">
        <f t="shared" si="75"/>
        <v>#REF!</v>
      </c>
      <c r="DJ73" s="8" t="e">
        <f t="shared" si="76"/>
        <v>#REF!</v>
      </c>
      <c r="DK73" s="8" t="e">
        <f t="shared" si="77"/>
        <v>#REF!</v>
      </c>
      <c r="DO73" s="8">
        <v>68</v>
      </c>
      <c r="DP73" s="8" t="e">
        <f t="shared" si="78"/>
        <v>#REF!</v>
      </c>
      <c r="DQ73" s="8" t="e">
        <f t="shared" si="79"/>
        <v>#REF!</v>
      </c>
      <c r="DR73" s="8" t="e">
        <f t="shared" si="80"/>
        <v>#REF!</v>
      </c>
      <c r="DS73" s="8" t="e">
        <f t="shared" si="81"/>
        <v>#REF!</v>
      </c>
      <c r="DT73" s="8" t="e">
        <f t="shared" si="82"/>
        <v>#REF!</v>
      </c>
    </row>
    <row r="74" spans="2:124">
      <c r="B74" s="8">
        <v>67</v>
      </c>
      <c r="C74" s="19" t="e">
        <f t="shared" si="54"/>
        <v>#REF!</v>
      </c>
      <c r="D74" s="19" t="e">
        <f t="shared" si="54"/>
        <v>#REF!</v>
      </c>
      <c r="E74" s="19" t="e">
        <f t="shared" si="54"/>
        <v>#REF!</v>
      </c>
      <c r="F74" s="19" t="e">
        <f t="shared" si="54"/>
        <v>#REF!</v>
      </c>
      <c r="G74" s="19" t="e">
        <f t="shared" si="54"/>
        <v>#REF!</v>
      </c>
      <c r="H74" s="19" t="e">
        <f t="shared" si="53"/>
        <v>#REF!</v>
      </c>
      <c r="I74" s="19" t="e">
        <f t="shared" si="53"/>
        <v>#REF!</v>
      </c>
      <c r="J74" s="19" t="e">
        <f t="shared" si="53"/>
        <v>#REF!</v>
      </c>
      <c r="K74" s="19" t="e">
        <f t="shared" si="53"/>
        <v>#REF!</v>
      </c>
      <c r="L74" s="16" t="e">
        <f t="shared" si="53"/>
        <v>#REF!</v>
      </c>
      <c r="M74" s="16" t="e">
        <f t="shared" si="53"/>
        <v>#REF!</v>
      </c>
      <c r="AC74" s="8">
        <v>69</v>
      </c>
      <c r="AD74" s="8" t="e">
        <f>($C76*'[1]功能-城建'!EX72)*S$6+AD73</f>
        <v>#REF!</v>
      </c>
      <c r="AE74" s="8" t="e">
        <f>($C76*'[1]功能-城建'!EY72)*T$6+AE73</f>
        <v>#REF!</v>
      </c>
      <c r="AF74" s="8" t="e">
        <f>($C76*'[1]功能-城建'!EZ72)*U$6+AF73</f>
        <v>#REF!</v>
      </c>
      <c r="AG74" s="8" t="e">
        <f>($C76*'[1]功能-城建'!FA72)*V$6+AG73</f>
        <v>#REF!</v>
      </c>
      <c r="AH74" s="8" t="e">
        <f>($C76*'[1]功能-城建'!FB72)*W$6+AH73</f>
        <v>#REF!</v>
      </c>
      <c r="AL74" s="8">
        <v>69</v>
      </c>
      <c r="AM74" s="8" t="e">
        <f>($D76*'[1]功能-城建'!HM72)*S$6+AM73</f>
        <v>#REF!</v>
      </c>
      <c r="AN74" s="8" t="e">
        <f>($D76*'[1]功能-城建'!HN72)*T$6+AN73</f>
        <v>#REF!</v>
      </c>
      <c r="AO74" s="8" t="e">
        <f>($D76*'[1]功能-城建'!HO72)*U$6+AO73</f>
        <v>#REF!</v>
      </c>
      <c r="AP74" s="8" t="e">
        <f>($D76*'[1]功能-城建'!HP72)*V$6+AP73</f>
        <v>#REF!</v>
      </c>
      <c r="AQ74" s="8" t="e">
        <f>($D76*'[1]功能-城建'!HQ72)*W$6+AQ73</f>
        <v>#REF!</v>
      </c>
      <c r="AU74" s="8">
        <v>69</v>
      </c>
      <c r="AV74" s="8" t="e">
        <f>($E76*'[1]功能-城建'!GF72)*S$6+AV73</f>
        <v>#REF!</v>
      </c>
      <c r="AW74" s="8" t="e">
        <f>($E76*'[1]功能-城建'!GG72)*T$6+AW73</f>
        <v>#REF!</v>
      </c>
      <c r="AX74" s="8" t="e">
        <f>($E76*'[1]功能-城建'!GH72)*U$6+AX73</f>
        <v>#REF!</v>
      </c>
      <c r="AY74" s="8" t="e">
        <f>($E76*'[1]功能-城建'!GI72)*V$6+AY73</f>
        <v>#REF!</v>
      </c>
      <c r="AZ74" s="8" t="e">
        <f>($E76*'[1]功能-城建'!GJ72)*W$6+AZ73</f>
        <v>#REF!</v>
      </c>
      <c r="BD74" s="8">
        <v>69</v>
      </c>
      <c r="BE74" s="8" t="e">
        <f t="shared" si="55"/>
        <v>#REF!</v>
      </c>
      <c r="BF74" s="8" t="e">
        <f t="shared" si="55"/>
        <v>#REF!</v>
      </c>
      <c r="BG74" s="8" t="e">
        <f t="shared" si="55"/>
        <v>#REF!</v>
      </c>
      <c r="BH74" s="8" t="e">
        <f t="shared" si="55"/>
        <v>#REF!</v>
      </c>
      <c r="BI74" s="8" t="e">
        <f t="shared" si="55"/>
        <v>#REF!</v>
      </c>
      <c r="BM74" s="8">
        <v>69</v>
      </c>
      <c r="BN74" s="8" t="e">
        <f t="shared" si="56"/>
        <v>#REF!</v>
      </c>
      <c r="BO74" s="8" t="e">
        <f t="shared" si="56"/>
        <v>#REF!</v>
      </c>
      <c r="BP74" s="8" t="e">
        <f t="shared" si="56"/>
        <v>#REF!</v>
      </c>
      <c r="BQ74" s="8" t="e">
        <f t="shared" si="56"/>
        <v>#REF!</v>
      </c>
      <c r="BR74" s="8" t="e">
        <f t="shared" si="56"/>
        <v>#REF!</v>
      </c>
      <c r="BV74" s="8">
        <v>69</v>
      </c>
      <c r="BW74" s="8" t="e">
        <f t="shared" si="57"/>
        <v>#REF!</v>
      </c>
      <c r="BX74" s="8" t="e">
        <f t="shared" si="57"/>
        <v>#REF!</v>
      </c>
      <c r="BY74" s="8" t="e">
        <f t="shared" si="57"/>
        <v>#REF!</v>
      </c>
      <c r="BZ74" s="8" t="e">
        <f t="shared" si="57"/>
        <v>#REF!</v>
      </c>
      <c r="CA74" s="8" t="e">
        <f t="shared" si="57"/>
        <v>#REF!</v>
      </c>
      <c r="CE74" s="8">
        <v>69</v>
      </c>
      <c r="CF74" s="18" t="e">
        <f t="shared" si="58"/>
        <v>#REF!</v>
      </c>
      <c r="CG74" s="18" t="e">
        <f t="shared" si="59"/>
        <v>#REF!</v>
      </c>
      <c r="CH74" s="18" t="e">
        <f t="shared" si="60"/>
        <v>#REF!</v>
      </c>
      <c r="CI74" s="18" t="e">
        <f t="shared" si="61"/>
        <v>#REF!</v>
      </c>
      <c r="CJ74" s="18" t="e">
        <f t="shared" si="62"/>
        <v>#REF!</v>
      </c>
      <c r="CN74" s="8">
        <v>69</v>
      </c>
      <c r="CO74" s="18" t="e">
        <f t="shared" si="63"/>
        <v>#REF!</v>
      </c>
      <c r="CP74" s="18" t="e">
        <f t="shared" si="64"/>
        <v>#REF!</v>
      </c>
      <c r="CQ74" s="18" t="e">
        <f t="shared" si="65"/>
        <v>#REF!</v>
      </c>
      <c r="CR74" s="18" t="e">
        <f t="shared" si="66"/>
        <v>#REF!</v>
      </c>
      <c r="CS74" s="18" t="e">
        <f t="shared" si="67"/>
        <v>#REF!</v>
      </c>
      <c r="CW74" s="8">
        <v>69</v>
      </c>
      <c r="CX74" s="18" t="e">
        <f t="shared" si="68"/>
        <v>#REF!</v>
      </c>
      <c r="CY74" s="18" t="e">
        <f t="shared" si="69"/>
        <v>#REF!</v>
      </c>
      <c r="CZ74" s="18" t="e">
        <f t="shared" si="70"/>
        <v>#REF!</v>
      </c>
      <c r="DA74" s="18" t="e">
        <f t="shared" si="71"/>
        <v>#REF!</v>
      </c>
      <c r="DB74" s="18" t="e">
        <f t="shared" si="72"/>
        <v>#REF!</v>
      </c>
      <c r="DF74" s="8">
        <v>69</v>
      </c>
      <c r="DG74" s="8" t="e">
        <f t="shared" si="73"/>
        <v>#REF!</v>
      </c>
      <c r="DH74" s="8" t="e">
        <f t="shared" si="74"/>
        <v>#REF!</v>
      </c>
      <c r="DI74" s="8" t="e">
        <f t="shared" si="75"/>
        <v>#REF!</v>
      </c>
      <c r="DJ74" s="8" t="e">
        <f t="shared" si="76"/>
        <v>#REF!</v>
      </c>
      <c r="DK74" s="8" t="e">
        <f t="shared" si="77"/>
        <v>#REF!</v>
      </c>
      <c r="DO74" s="8">
        <v>69</v>
      </c>
      <c r="DP74" s="8" t="e">
        <f t="shared" si="78"/>
        <v>#REF!</v>
      </c>
      <c r="DQ74" s="8" t="e">
        <f t="shared" si="79"/>
        <v>#REF!</v>
      </c>
      <c r="DR74" s="8" t="e">
        <f t="shared" si="80"/>
        <v>#REF!</v>
      </c>
      <c r="DS74" s="8" t="e">
        <f t="shared" si="81"/>
        <v>#REF!</v>
      </c>
      <c r="DT74" s="8" t="e">
        <f t="shared" si="82"/>
        <v>#REF!</v>
      </c>
    </row>
    <row r="75" spans="2:124">
      <c r="B75" s="8">
        <v>68</v>
      </c>
      <c r="C75" s="19" t="e">
        <f t="shared" si="54"/>
        <v>#REF!</v>
      </c>
      <c r="D75" s="19" t="e">
        <f t="shared" si="54"/>
        <v>#REF!</v>
      </c>
      <c r="E75" s="19" t="e">
        <f t="shared" si="54"/>
        <v>#REF!</v>
      </c>
      <c r="F75" s="19" t="e">
        <f t="shared" si="54"/>
        <v>#REF!</v>
      </c>
      <c r="G75" s="19" t="e">
        <f t="shared" si="54"/>
        <v>#REF!</v>
      </c>
      <c r="H75" s="19" t="e">
        <f t="shared" si="53"/>
        <v>#REF!</v>
      </c>
      <c r="I75" s="19" t="e">
        <f t="shared" si="53"/>
        <v>#REF!</v>
      </c>
      <c r="J75" s="19" t="e">
        <f t="shared" si="53"/>
        <v>#REF!</v>
      </c>
      <c r="K75" s="19" t="e">
        <f t="shared" si="53"/>
        <v>#REF!</v>
      </c>
      <c r="L75" s="16" t="e">
        <f t="shared" si="53"/>
        <v>#REF!</v>
      </c>
      <c r="M75" s="16" t="e">
        <f t="shared" si="53"/>
        <v>#REF!</v>
      </c>
      <c r="AC75" s="8">
        <v>70</v>
      </c>
      <c r="AD75" s="8" t="e">
        <f>($C77*'[1]功能-城建'!EX73)*S$6+AD74</f>
        <v>#REF!</v>
      </c>
      <c r="AE75" s="8" t="e">
        <f>($C77*'[1]功能-城建'!EY73)*T$6+AE74</f>
        <v>#REF!</v>
      </c>
      <c r="AF75" s="8" t="e">
        <f>($C77*'[1]功能-城建'!EZ73)*U$6+AF74</f>
        <v>#REF!</v>
      </c>
      <c r="AG75" s="8" t="e">
        <f>($C77*'[1]功能-城建'!FA73)*V$6+AG74</f>
        <v>#REF!</v>
      </c>
      <c r="AH75" s="8" t="e">
        <f>($C77*'[1]功能-城建'!FB73)*W$6+AH74</f>
        <v>#REF!</v>
      </c>
      <c r="AL75" s="8">
        <v>70</v>
      </c>
      <c r="AM75" s="8" t="e">
        <f>($D77*'[1]功能-城建'!HM73)*S$6+AM74</f>
        <v>#REF!</v>
      </c>
      <c r="AN75" s="8" t="e">
        <f>($D77*'[1]功能-城建'!HN73)*T$6+AN74</f>
        <v>#REF!</v>
      </c>
      <c r="AO75" s="8" t="e">
        <f>($D77*'[1]功能-城建'!HO73)*U$6+AO74</f>
        <v>#REF!</v>
      </c>
      <c r="AP75" s="8" t="e">
        <f>($D77*'[1]功能-城建'!HP73)*V$6+AP74</f>
        <v>#REF!</v>
      </c>
      <c r="AQ75" s="8" t="e">
        <f>($D77*'[1]功能-城建'!HQ73)*W$6+AQ74</f>
        <v>#REF!</v>
      </c>
      <c r="AU75" s="8">
        <v>70</v>
      </c>
      <c r="AV75" s="8" t="e">
        <f>($E77*'[1]功能-城建'!GF73)*S$6+AV74</f>
        <v>#REF!</v>
      </c>
      <c r="AW75" s="8" t="e">
        <f>($E77*'[1]功能-城建'!GG73)*T$6+AW74</f>
        <v>#REF!</v>
      </c>
      <c r="AX75" s="8" t="e">
        <f>($E77*'[1]功能-城建'!GH73)*U$6+AX74</f>
        <v>#REF!</v>
      </c>
      <c r="AY75" s="8" t="e">
        <f>($E77*'[1]功能-城建'!GI73)*V$6+AY74</f>
        <v>#REF!</v>
      </c>
      <c r="AZ75" s="8" t="e">
        <f>($E77*'[1]功能-城建'!GJ73)*W$6+AZ74</f>
        <v>#REF!</v>
      </c>
      <c r="BD75" s="8">
        <v>70</v>
      </c>
      <c r="BE75" s="8" t="e">
        <f t="shared" si="55"/>
        <v>#REF!</v>
      </c>
      <c r="BF75" s="8" t="e">
        <f t="shared" si="55"/>
        <v>#REF!</v>
      </c>
      <c r="BG75" s="8" t="e">
        <f t="shared" si="55"/>
        <v>#REF!</v>
      </c>
      <c r="BH75" s="8" t="e">
        <f t="shared" si="55"/>
        <v>#REF!</v>
      </c>
      <c r="BI75" s="8" t="e">
        <f t="shared" si="55"/>
        <v>#REF!</v>
      </c>
      <c r="BM75" s="8">
        <v>70</v>
      </c>
      <c r="BN75" s="8" t="e">
        <f t="shared" si="56"/>
        <v>#REF!</v>
      </c>
      <c r="BO75" s="8" t="e">
        <f t="shared" si="56"/>
        <v>#REF!</v>
      </c>
      <c r="BP75" s="8" t="e">
        <f t="shared" si="56"/>
        <v>#REF!</v>
      </c>
      <c r="BQ75" s="8" t="e">
        <f t="shared" si="56"/>
        <v>#REF!</v>
      </c>
      <c r="BR75" s="8" t="e">
        <f t="shared" si="56"/>
        <v>#REF!</v>
      </c>
      <c r="BV75" s="8">
        <v>70</v>
      </c>
      <c r="BW75" s="8" t="e">
        <f t="shared" si="57"/>
        <v>#REF!</v>
      </c>
      <c r="BX75" s="8" t="e">
        <f t="shared" si="57"/>
        <v>#REF!</v>
      </c>
      <c r="BY75" s="8" t="e">
        <f t="shared" si="57"/>
        <v>#REF!</v>
      </c>
      <c r="BZ75" s="8" t="e">
        <f t="shared" si="57"/>
        <v>#REF!</v>
      </c>
      <c r="CA75" s="8" t="e">
        <f t="shared" si="57"/>
        <v>#REF!</v>
      </c>
      <c r="CE75" s="8">
        <v>70</v>
      </c>
      <c r="CF75" s="18" t="e">
        <f t="shared" si="58"/>
        <v>#REF!</v>
      </c>
      <c r="CG75" s="18" t="e">
        <f t="shared" si="59"/>
        <v>#REF!</v>
      </c>
      <c r="CH75" s="18" t="e">
        <f t="shared" si="60"/>
        <v>#REF!</v>
      </c>
      <c r="CI75" s="18" t="e">
        <f t="shared" si="61"/>
        <v>#REF!</v>
      </c>
      <c r="CJ75" s="18" t="e">
        <f t="shared" si="62"/>
        <v>#REF!</v>
      </c>
      <c r="CN75" s="8">
        <v>70</v>
      </c>
      <c r="CO75" s="18" t="e">
        <f t="shared" si="63"/>
        <v>#REF!</v>
      </c>
      <c r="CP75" s="18" t="e">
        <f t="shared" si="64"/>
        <v>#REF!</v>
      </c>
      <c r="CQ75" s="18" t="e">
        <f t="shared" si="65"/>
        <v>#REF!</v>
      </c>
      <c r="CR75" s="18" t="e">
        <f t="shared" si="66"/>
        <v>#REF!</v>
      </c>
      <c r="CS75" s="18" t="e">
        <f t="shared" si="67"/>
        <v>#REF!</v>
      </c>
      <c r="CW75" s="8">
        <v>70</v>
      </c>
      <c r="CX75" s="18" t="e">
        <f t="shared" si="68"/>
        <v>#REF!</v>
      </c>
      <c r="CY75" s="18" t="e">
        <f t="shared" si="69"/>
        <v>#REF!</v>
      </c>
      <c r="CZ75" s="18" t="e">
        <f t="shared" si="70"/>
        <v>#REF!</v>
      </c>
      <c r="DA75" s="18" t="e">
        <f t="shared" si="71"/>
        <v>#REF!</v>
      </c>
      <c r="DB75" s="18" t="e">
        <f t="shared" si="72"/>
        <v>#REF!</v>
      </c>
      <c r="DF75" s="8">
        <v>70</v>
      </c>
      <c r="DG75" s="8" t="e">
        <f t="shared" si="73"/>
        <v>#REF!</v>
      </c>
      <c r="DH75" s="8" t="e">
        <f t="shared" si="74"/>
        <v>#REF!</v>
      </c>
      <c r="DI75" s="8" t="e">
        <f t="shared" si="75"/>
        <v>#REF!</v>
      </c>
      <c r="DJ75" s="8" t="e">
        <f t="shared" si="76"/>
        <v>#REF!</v>
      </c>
      <c r="DK75" s="8" t="e">
        <f t="shared" si="77"/>
        <v>#REF!</v>
      </c>
      <c r="DO75" s="8">
        <v>70</v>
      </c>
      <c r="DP75" s="8" t="e">
        <f t="shared" si="78"/>
        <v>#REF!</v>
      </c>
      <c r="DQ75" s="8" t="e">
        <f t="shared" si="79"/>
        <v>#REF!</v>
      </c>
      <c r="DR75" s="8" t="e">
        <f t="shared" si="80"/>
        <v>#REF!</v>
      </c>
      <c r="DS75" s="8" t="e">
        <f t="shared" si="81"/>
        <v>#REF!</v>
      </c>
      <c r="DT75" s="8" t="e">
        <f t="shared" si="82"/>
        <v>#REF!</v>
      </c>
    </row>
    <row r="76" spans="2:124">
      <c r="B76" s="8">
        <v>69</v>
      </c>
      <c r="C76" s="19" t="e">
        <f t="shared" si="54"/>
        <v>#REF!</v>
      </c>
      <c r="D76" s="19" t="e">
        <f t="shared" si="54"/>
        <v>#REF!</v>
      </c>
      <c r="E76" s="19" t="e">
        <f t="shared" si="54"/>
        <v>#REF!</v>
      </c>
      <c r="F76" s="19" t="e">
        <f t="shared" si="54"/>
        <v>#REF!</v>
      </c>
      <c r="G76" s="19" t="e">
        <f t="shared" si="54"/>
        <v>#REF!</v>
      </c>
      <c r="H76" s="19" t="e">
        <f t="shared" si="53"/>
        <v>#REF!</v>
      </c>
      <c r="I76" s="19" t="e">
        <f t="shared" si="53"/>
        <v>#REF!</v>
      </c>
      <c r="J76" s="19" t="e">
        <f t="shared" si="53"/>
        <v>#REF!</v>
      </c>
      <c r="K76" s="19" t="e">
        <f t="shared" si="53"/>
        <v>#REF!</v>
      </c>
      <c r="L76" s="16" t="e">
        <f t="shared" si="53"/>
        <v>#REF!</v>
      </c>
      <c r="M76" s="16" t="e">
        <f t="shared" si="53"/>
        <v>#REF!</v>
      </c>
      <c r="AC76" s="8">
        <v>71</v>
      </c>
      <c r="AD76" s="8" t="e">
        <f>($C78*'[1]功能-城建'!EX74)*S$6+AD75</f>
        <v>#REF!</v>
      </c>
      <c r="AE76" s="8" t="e">
        <f>($C78*'[1]功能-城建'!EY74)*T$6+AE75</f>
        <v>#REF!</v>
      </c>
      <c r="AF76" s="8" t="e">
        <f>($C78*'[1]功能-城建'!EZ74)*U$6+AF75</f>
        <v>#REF!</v>
      </c>
      <c r="AG76" s="8" t="e">
        <f>($C78*'[1]功能-城建'!FA74)*V$6+AG75</f>
        <v>#REF!</v>
      </c>
      <c r="AH76" s="8" t="e">
        <f>($C78*'[1]功能-城建'!FB74)*W$6+AH75</f>
        <v>#REF!</v>
      </c>
      <c r="AL76" s="8">
        <v>71</v>
      </c>
      <c r="AM76" s="8" t="e">
        <f>($D78*'[1]功能-城建'!HM74)*S$6+AM75</f>
        <v>#REF!</v>
      </c>
      <c r="AN76" s="8" t="e">
        <f>($D78*'[1]功能-城建'!HN74)*T$6+AN75</f>
        <v>#REF!</v>
      </c>
      <c r="AO76" s="8" t="e">
        <f>($D78*'[1]功能-城建'!HO74)*U$6+AO75</f>
        <v>#REF!</v>
      </c>
      <c r="AP76" s="8" t="e">
        <f>($D78*'[1]功能-城建'!HP74)*V$6+AP75</f>
        <v>#REF!</v>
      </c>
      <c r="AQ76" s="8" t="e">
        <f>($D78*'[1]功能-城建'!HQ74)*W$6+AQ75</f>
        <v>#REF!</v>
      </c>
      <c r="AU76" s="8">
        <v>71</v>
      </c>
      <c r="AV76" s="8" t="e">
        <f>($E78*'[1]功能-城建'!GF74)*S$6+AV75</f>
        <v>#REF!</v>
      </c>
      <c r="AW76" s="8" t="e">
        <f>($E78*'[1]功能-城建'!GG74)*T$6+AW75</f>
        <v>#REF!</v>
      </c>
      <c r="AX76" s="8" t="e">
        <f>($E78*'[1]功能-城建'!GH74)*U$6+AX75</f>
        <v>#REF!</v>
      </c>
      <c r="AY76" s="8" t="e">
        <f>($E78*'[1]功能-城建'!GI74)*V$6+AY75</f>
        <v>#REF!</v>
      </c>
      <c r="AZ76" s="8" t="e">
        <f>($E78*'[1]功能-城建'!GJ74)*W$6+AZ75</f>
        <v>#REF!</v>
      </c>
      <c r="BD76" s="8">
        <v>71</v>
      </c>
      <c r="BE76" s="8" t="e">
        <f t="shared" si="55"/>
        <v>#REF!</v>
      </c>
      <c r="BF76" s="8" t="e">
        <f t="shared" si="55"/>
        <v>#REF!</v>
      </c>
      <c r="BG76" s="8" t="e">
        <f t="shared" si="55"/>
        <v>#REF!</v>
      </c>
      <c r="BH76" s="8" t="e">
        <f t="shared" si="55"/>
        <v>#REF!</v>
      </c>
      <c r="BI76" s="8" t="e">
        <f t="shared" si="55"/>
        <v>#REF!</v>
      </c>
      <c r="BM76" s="8">
        <v>71</v>
      </c>
      <c r="BN76" s="8" t="e">
        <f t="shared" si="56"/>
        <v>#REF!</v>
      </c>
      <c r="BO76" s="8" t="e">
        <f t="shared" si="56"/>
        <v>#REF!</v>
      </c>
      <c r="BP76" s="8" t="e">
        <f t="shared" si="56"/>
        <v>#REF!</v>
      </c>
      <c r="BQ76" s="8" t="e">
        <f t="shared" si="56"/>
        <v>#REF!</v>
      </c>
      <c r="BR76" s="8" t="e">
        <f t="shared" si="56"/>
        <v>#REF!</v>
      </c>
      <c r="BV76" s="8">
        <v>71</v>
      </c>
      <c r="BW76" s="8" t="e">
        <f t="shared" si="57"/>
        <v>#REF!</v>
      </c>
      <c r="BX76" s="8" t="e">
        <f t="shared" si="57"/>
        <v>#REF!</v>
      </c>
      <c r="BY76" s="8" t="e">
        <f t="shared" si="57"/>
        <v>#REF!</v>
      </c>
      <c r="BZ76" s="8" t="e">
        <f t="shared" si="57"/>
        <v>#REF!</v>
      </c>
      <c r="CA76" s="8" t="e">
        <f t="shared" si="57"/>
        <v>#REF!</v>
      </c>
      <c r="CE76" s="8">
        <v>71</v>
      </c>
      <c r="CF76" s="18" t="e">
        <f t="shared" si="58"/>
        <v>#REF!</v>
      </c>
      <c r="CG76" s="18" t="e">
        <f t="shared" si="59"/>
        <v>#REF!</v>
      </c>
      <c r="CH76" s="18" t="e">
        <f t="shared" si="60"/>
        <v>#REF!</v>
      </c>
      <c r="CI76" s="18" t="e">
        <f t="shared" si="61"/>
        <v>#REF!</v>
      </c>
      <c r="CJ76" s="18" t="e">
        <f t="shared" si="62"/>
        <v>#REF!</v>
      </c>
      <c r="CN76" s="8">
        <v>71</v>
      </c>
      <c r="CO76" s="18" t="e">
        <f t="shared" si="63"/>
        <v>#REF!</v>
      </c>
      <c r="CP76" s="18" t="e">
        <f t="shared" si="64"/>
        <v>#REF!</v>
      </c>
      <c r="CQ76" s="18" t="e">
        <f t="shared" si="65"/>
        <v>#REF!</v>
      </c>
      <c r="CR76" s="18" t="e">
        <f t="shared" si="66"/>
        <v>#REF!</v>
      </c>
      <c r="CS76" s="18" t="e">
        <f t="shared" si="67"/>
        <v>#REF!</v>
      </c>
      <c r="CW76" s="8">
        <v>71</v>
      </c>
      <c r="CX76" s="18" t="e">
        <f t="shared" si="68"/>
        <v>#REF!</v>
      </c>
      <c r="CY76" s="18" t="e">
        <f t="shared" si="69"/>
        <v>#REF!</v>
      </c>
      <c r="CZ76" s="18" t="e">
        <f t="shared" si="70"/>
        <v>#REF!</v>
      </c>
      <c r="DA76" s="18" t="e">
        <f t="shared" si="71"/>
        <v>#REF!</v>
      </c>
      <c r="DB76" s="18" t="e">
        <f t="shared" si="72"/>
        <v>#REF!</v>
      </c>
      <c r="DF76" s="8">
        <v>71</v>
      </c>
      <c r="DG76" s="8" t="e">
        <f t="shared" si="73"/>
        <v>#REF!</v>
      </c>
      <c r="DH76" s="8" t="e">
        <f t="shared" si="74"/>
        <v>#REF!</v>
      </c>
      <c r="DI76" s="8" t="e">
        <f t="shared" si="75"/>
        <v>#REF!</v>
      </c>
      <c r="DJ76" s="8" t="e">
        <f t="shared" si="76"/>
        <v>#REF!</v>
      </c>
      <c r="DK76" s="8" t="e">
        <f t="shared" si="77"/>
        <v>#REF!</v>
      </c>
      <c r="DO76" s="8">
        <v>71</v>
      </c>
      <c r="DP76" s="8" t="e">
        <f t="shared" si="78"/>
        <v>#REF!</v>
      </c>
      <c r="DQ76" s="8" t="e">
        <f t="shared" si="79"/>
        <v>#REF!</v>
      </c>
      <c r="DR76" s="8" t="e">
        <f t="shared" si="80"/>
        <v>#REF!</v>
      </c>
      <c r="DS76" s="8" t="e">
        <f t="shared" si="81"/>
        <v>#REF!</v>
      </c>
      <c r="DT76" s="8" t="e">
        <f t="shared" si="82"/>
        <v>#REF!</v>
      </c>
    </row>
    <row r="77" spans="2:124">
      <c r="B77" s="8">
        <v>70</v>
      </c>
      <c r="C77" s="19" t="e">
        <f t="shared" si="54"/>
        <v>#REF!</v>
      </c>
      <c r="D77" s="19" t="e">
        <f t="shared" si="54"/>
        <v>#REF!</v>
      </c>
      <c r="E77" s="19" t="e">
        <f t="shared" si="54"/>
        <v>#REF!</v>
      </c>
      <c r="F77" s="19" t="e">
        <f t="shared" si="54"/>
        <v>#REF!</v>
      </c>
      <c r="G77" s="19" t="e">
        <f t="shared" si="54"/>
        <v>#REF!</v>
      </c>
      <c r="H77" s="19" t="e">
        <f t="shared" si="53"/>
        <v>#REF!</v>
      </c>
      <c r="I77" s="19" t="e">
        <f t="shared" si="53"/>
        <v>#REF!</v>
      </c>
      <c r="J77" s="19" t="e">
        <f t="shared" si="53"/>
        <v>#REF!</v>
      </c>
      <c r="K77" s="19" t="e">
        <f t="shared" si="53"/>
        <v>#REF!</v>
      </c>
      <c r="L77" s="16" t="e">
        <f t="shared" si="53"/>
        <v>#REF!</v>
      </c>
      <c r="M77" s="16" t="e">
        <f t="shared" si="53"/>
        <v>#REF!</v>
      </c>
      <c r="AC77" s="8">
        <v>72</v>
      </c>
      <c r="AD77" s="8" t="e">
        <f>($C79*'[1]功能-城建'!EX75)*S$6+AD76</f>
        <v>#REF!</v>
      </c>
      <c r="AE77" s="8" t="e">
        <f>($C79*'[1]功能-城建'!EY75)*T$6+AE76</f>
        <v>#REF!</v>
      </c>
      <c r="AF77" s="8" t="e">
        <f>($C79*'[1]功能-城建'!EZ75)*U$6+AF76</f>
        <v>#REF!</v>
      </c>
      <c r="AG77" s="8" t="e">
        <f>($C79*'[1]功能-城建'!FA75)*V$6+AG76</f>
        <v>#REF!</v>
      </c>
      <c r="AH77" s="8" t="e">
        <f>($C79*'[1]功能-城建'!FB75)*W$6+AH76</f>
        <v>#REF!</v>
      </c>
      <c r="AL77" s="8">
        <v>72</v>
      </c>
      <c r="AM77" s="8" t="e">
        <f>($D79*'[1]功能-城建'!HM75)*S$6+AM76</f>
        <v>#REF!</v>
      </c>
      <c r="AN77" s="8" t="e">
        <f>($D79*'[1]功能-城建'!HN75)*T$6+AN76</f>
        <v>#REF!</v>
      </c>
      <c r="AO77" s="8" t="e">
        <f>($D79*'[1]功能-城建'!HO75)*U$6+AO76</f>
        <v>#REF!</v>
      </c>
      <c r="AP77" s="8" t="e">
        <f>($D79*'[1]功能-城建'!HP75)*V$6+AP76</f>
        <v>#REF!</v>
      </c>
      <c r="AQ77" s="8" t="e">
        <f>($D79*'[1]功能-城建'!HQ75)*W$6+AQ76</f>
        <v>#REF!</v>
      </c>
      <c r="AU77" s="8">
        <v>72</v>
      </c>
      <c r="AV77" s="8" t="e">
        <f>($E79*'[1]功能-城建'!GF75)*S$6+AV76</f>
        <v>#REF!</v>
      </c>
      <c r="AW77" s="8" t="e">
        <f>($E79*'[1]功能-城建'!GG75)*T$6+AW76</f>
        <v>#REF!</v>
      </c>
      <c r="AX77" s="8" t="e">
        <f>($E79*'[1]功能-城建'!GH75)*U$6+AX76</f>
        <v>#REF!</v>
      </c>
      <c r="AY77" s="8" t="e">
        <f>($E79*'[1]功能-城建'!GI75)*V$6+AY76</f>
        <v>#REF!</v>
      </c>
      <c r="AZ77" s="8" t="e">
        <f>($E79*'[1]功能-城建'!GJ75)*W$6+AZ76</f>
        <v>#REF!</v>
      </c>
      <c r="BD77" s="8">
        <v>72</v>
      </c>
      <c r="BE77" s="8" t="e">
        <f t="shared" si="55"/>
        <v>#REF!</v>
      </c>
      <c r="BF77" s="8" t="e">
        <f t="shared" si="55"/>
        <v>#REF!</v>
      </c>
      <c r="BG77" s="8" t="e">
        <f t="shared" si="55"/>
        <v>#REF!</v>
      </c>
      <c r="BH77" s="8" t="e">
        <f t="shared" si="55"/>
        <v>#REF!</v>
      </c>
      <c r="BI77" s="8" t="e">
        <f t="shared" si="55"/>
        <v>#REF!</v>
      </c>
      <c r="BM77" s="8">
        <v>72</v>
      </c>
      <c r="BN77" s="8" t="e">
        <f t="shared" si="56"/>
        <v>#REF!</v>
      </c>
      <c r="BO77" s="8" t="e">
        <f t="shared" si="56"/>
        <v>#REF!</v>
      </c>
      <c r="BP77" s="8" t="e">
        <f t="shared" si="56"/>
        <v>#REF!</v>
      </c>
      <c r="BQ77" s="8" t="e">
        <f t="shared" si="56"/>
        <v>#REF!</v>
      </c>
      <c r="BR77" s="8" t="e">
        <f t="shared" si="56"/>
        <v>#REF!</v>
      </c>
      <c r="BV77" s="8">
        <v>72</v>
      </c>
      <c r="BW77" s="8" t="e">
        <f t="shared" si="57"/>
        <v>#REF!</v>
      </c>
      <c r="BX77" s="8" t="e">
        <f t="shared" si="57"/>
        <v>#REF!</v>
      </c>
      <c r="BY77" s="8" t="e">
        <f t="shared" si="57"/>
        <v>#REF!</v>
      </c>
      <c r="BZ77" s="8" t="e">
        <f t="shared" si="57"/>
        <v>#REF!</v>
      </c>
      <c r="CA77" s="8" t="e">
        <f t="shared" si="57"/>
        <v>#REF!</v>
      </c>
      <c r="CE77" s="8">
        <v>72</v>
      </c>
      <c r="CF77" s="18" t="e">
        <f t="shared" si="58"/>
        <v>#REF!</v>
      </c>
      <c r="CG77" s="18" t="e">
        <f t="shared" si="59"/>
        <v>#REF!</v>
      </c>
      <c r="CH77" s="18" t="e">
        <f t="shared" si="60"/>
        <v>#REF!</v>
      </c>
      <c r="CI77" s="18" t="e">
        <f t="shared" si="61"/>
        <v>#REF!</v>
      </c>
      <c r="CJ77" s="18" t="e">
        <f t="shared" si="62"/>
        <v>#REF!</v>
      </c>
      <c r="CN77" s="8">
        <v>72</v>
      </c>
      <c r="CO77" s="18" t="e">
        <f t="shared" si="63"/>
        <v>#REF!</v>
      </c>
      <c r="CP77" s="18" t="e">
        <f t="shared" si="64"/>
        <v>#REF!</v>
      </c>
      <c r="CQ77" s="18" t="e">
        <f t="shared" si="65"/>
        <v>#REF!</v>
      </c>
      <c r="CR77" s="18" t="e">
        <f t="shared" si="66"/>
        <v>#REF!</v>
      </c>
      <c r="CS77" s="18" t="e">
        <f t="shared" si="67"/>
        <v>#REF!</v>
      </c>
      <c r="CW77" s="8">
        <v>72</v>
      </c>
      <c r="CX77" s="18" t="e">
        <f t="shared" si="68"/>
        <v>#REF!</v>
      </c>
      <c r="CY77" s="18" t="e">
        <f t="shared" si="69"/>
        <v>#REF!</v>
      </c>
      <c r="CZ77" s="18" t="e">
        <f t="shared" si="70"/>
        <v>#REF!</v>
      </c>
      <c r="DA77" s="18" t="e">
        <f t="shared" si="71"/>
        <v>#REF!</v>
      </c>
      <c r="DB77" s="18" t="e">
        <f t="shared" si="72"/>
        <v>#REF!</v>
      </c>
      <c r="DF77" s="8">
        <v>72</v>
      </c>
      <c r="DG77" s="8" t="e">
        <f t="shared" si="73"/>
        <v>#REF!</v>
      </c>
      <c r="DH77" s="8" t="e">
        <f t="shared" si="74"/>
        <v>#REF!</v>
      </c>
      <c r="DI77" s="8" t="e">
        <f t="shared" si="75"/>
        <v>#REF!</v>
      </c>
      <c r="DJ77" s="8" t="e">
        <f t="shared" si="76"/>
        <v>#REF!</v>
      </c>
      <c r="DK77" s="8" t="e">
        <f t="shared" si="77"/>
        <v>#REF!</v>
      </c>
      <c r="DO77" s="8">
        <v>72</v>
      </c>
      <c r="DP77" s="8" t="e">
        <f t="shared" si="78"/>
        <v>#REF!</v>
      </c>
      <c r="DQ77" s="8" t="e">
        <f t="shared" si="79"/>
        <v>#REF!</v>
      </c>
      <c r="DR77" s="8" t="e">
        <f t="shared" si="80"/>
        <v>#REF!</v>
      </c>
      <c r="DS77" s="8" t="e">
        <f t="shared" si="81"/>
        <v>#REF!</v>
      </c>
      <c r="DT77" s="8" t="e">
        <f t="shared" si="82"/>
        <v>#REF!</v>
      </c>
    </row>
    <row r="78" spans="2:124">
      <c r="B78" s="8">
        <v>71</v>
      </c>
      <c r="C78" s="19" t="e">
        <f t="shared" si="54"/>
        <v>#REF!</v>
      </c>
      <c r="D78" s="19" t="e">
        <f t="shared" si="54"/>
        <v>#REF!</v>
      </c>
      <c r="E78" s="19" t="e">
        <f t="shared" si="54"/>
        <v>#REF!</v>
      </c>
      <c r="F78" s="19" t="e">
        <f t="shared" si="54"/>
        <v>#REF!</v>
      </c>
      <c r="G78" s="19" t="e">
        <f t="shared" si="54"/>
        <v>#REF!</v>
      </c>
      <c r="H78" s="19" t="e">
        <f t="shared" si="53"/>
        <v>#REF!</v>
      </c>
      <c r="I78" s="19" t="e">
        <f t="shared" si="53"/>
        <v>#REF!</v>
      </c>
      <c r="J78" s="19" t="e">
        <f t="shared" si="53"/>
        <v>#REF!</v>
      </c>
      <c r="K78" s="19" t="e">
        <f t="shared" si="53"/>
        <v>#REF!</v>
      </c>
      <c r="L78" s="16" t="e">
        <f t="shared" si="53"/>
        <v>#REF!</v>
      </c>
      <c r="M78" s="16" t="e">
        <f t="shared" si="53"/>
        <v>#REF!</v>
      </c>
      <c r="AC78" s="8">
        <v>73</v>
      </c>
      <c r="AD78" s="8" t="e">
        <f>($C80*'[1]功能-城建'!EX76)*S$6+AD77</f>
        <v>#REF!</v>
      </c>
      <c r="AE78" s="8" t="e">
        <f>($C80*'[1]功能-城建'!EY76)*T$6+AE77</f>
        <v>#REF!</v>
      </c>
      <c r="AF78" s="8" t="e">
        <f>($C80*'[1]功能-城建'!EZ76)*U$6+AF77</f>
        <v>#REF!</v>
      </c>
      <c r="AG78" s="8" t="e">
        <f>($C80*'[1]功能-城建'!FA76)*V$6+AG77</f>
        <v>#REF!</v>
      </c>
      <c r="AH78" s="8" t="e">
        <f>($C80*'[1]功能-城建'!FB76)*W$6+AH77</f>
        <v>#REF!</v>
      </c>
      <c r="AL78" s="8">
        <v>73</v>
      </c>
      <c r="AM78" s="8" t="e">
        <f>($D80*'[1]功能-城建'!HM76)*S$6+AM77</f>
        <v>#REF!</v>
      </c>
      <c r="AN78" s="8" t="e">
        <f>($D80*'[1]功能-城建'!HN76)*T$6+AN77</f>
        <v>#REF!</v>
      </c>
      <c r="AO78" s="8" t="e">
        <f>($D80*'[1]功能-城建'!HO76)*U$6+AO77</f>
        <v>#REF!</v>
      </c>
      <c r="AP78" s="8" t="e">
        <f>($D80*'[1]功能-城建'!HP76)*V$6+AP77</f>
        <v>#REF!</v>
      </c>
      <c r="AQ78" s="8" t="e">
        <f>($D80*'[1]功能-城建'!HQ76)*W$6+AQ77</f>
        <v>#REF!</v>
      </c>
      <c r="AU78" s="8">
        <v>73</v>
      </c>
      <c r="AV78" s="8" t="e">
        <f>($E80*'[1]功能-城建'!GF76)*S$6+AV77</f>
        <v>#REF!</v>
      </c>
      <c r="AW78" s="8" t="e">
        <f>($E80*'[1]功能-城建'!GG76)*T$6+AW77</f>
        <v>#REF!</v>
      </c>
      <c r="AX78" s="8" t="e">
        <f>($E80*'[1]功能-城建'!GH76)*U$6+AX77</f>
        <v>#REF!</v>
      </c>
      <c r="AY78" s="8" t="e">
        <f>($E80*'[1]功能-城建'!GI76)*V$6+AY77</f>
        <v>#REF!</v>
      </c>
      <c r="AZ78" s="8" t="e">
        <f>($E80*'[1]功能-城建'!GJ76)*W$6+AZ77</f>
        <v>#REF!</v>
      </c>
      <c r="BD78" s="8">
        <v>73</v>
      </c>
      <c r="BE78" s="8" t="e">
        <f t="shared" si="55"/>
        <v>#REF!</v>
      </c>
      <c r="BF78" s="8" t="e">
        <f t="shared" si="55"/>
        <v>#REF!</v>
      </c>
      <c r="BG78" s="8" t="e">
        <f t="shared" si="55"/>
        <v>#REF!</v>
      </c>
      <c r="BH78" s="8" t="e">
        <f t="shared" si="55"/>
        <v>#REF!</v>
      </c>
      <c r="BI78" s="8" t="e">
        <f t="shared" si="55"/>
        <v>#REF!</v>
      </c>
      <c r="BM78" s="8">
        <v>73</v>
      </c>
      <c r="BN78" s="8" t="e">
        <f t="shared" si="56"/>
        <v>#REF!</v>
      </c>
      <c r="BO78" s="8" t="e">
        <f t="shared" si="56"/>
        <v>#REF!</v>
      </c>
      <c r="BP78" s="8" t="e">
        <f t="shared" si="56"/>
        <v>#REF!</v>
      </c>
      <c r="BQ78" s="8" t="e">
        <f t="shared" si="56"/>
        <v>#REF!</v>
      </c>
      <c r="BR78" s="8" t="e">
        <f t="shared" si="56"/>
        <v>#REF!</v>
      </c>
      <c r="BV78" s="8">
        <v>73</v>
      </c>
      <c r="BW78" s="8" t="e">
        <f t="shared" si="57"/>
        <v>#REF!</v>
      </c>
      <c r="BX78" s="8" t="e">
        <f t="shared" si="57"/>
        <v>#REF!</v>
      </c>
      <c r="BY78" s="8" t="e">
        <f t="shared" si="57"/>
        <v>#REF!</v>
      </c>
      <c r="BZ78" s="8" t="e">
        <f t="shared" si="57"/>
        <v>#REF!</v>
      </c>
      <c r="CA78" s="8" t="e">
        <f t="shared" si="57"/>
        <v>#REF!</v>
      </c>
      <c r="CE78" s="8">
        <v>73</v>
      </c>
      <c r="CF78" s="18" t="e">
        <f t="shared" si="58"/>
        <v>#REF!</v>
      </c>
      <c r="CG78" s="18" t="e">
        <f t="shared" si="59"/>
        <v>#REF!</v>
      </c>
      <c r="CH78" s="18" t="e">
        <f t="shared" si="60"/>
        <v>#REF!</v>
      </c>
      <c r="CI78" s="18" t="e">
        <f t="shared" si="61"/>
        <v>#REF!</v>
      </c>
      <c r="CJ78" s="18" t="e">
        <f t="shared" si="62"/>
        <v>#REF!</v>
      </c>
      <c r="CN78" s="8">
        <v>73</v>
      </c>
      <c r="CO78" s="18" t="e">
        <f t="shared" si="63"/>
        <v>#REF!</v>
      </c>
      <c r="CP78" s="18" t="e">
        <f t="shared" si="64"/>
        <v>#REF!</v>
      </c>
      <c r="CQ78" s="18" t="e">
        <f t="shared" si="65"/>
        <v>#REF!</v>
      </c>
      <c r="CR78" s="18" t="e">
        <f t="shared" si="66"/>
        <v>#REF!</v>
      </c>
      <c r="CS78" s="18" t="e">
        <f t="shared" si="67"/>
        <v>#REF!</v>
      </c>
      <c r="CW78" s="8">
        <v>73</v>
      </c>
      <c r="CX78" s="18" t="e">
        <f t="shared" si="68"/>
        <v>#REF!</v>
      </c>
      <c r="CY78" s="18" t="e">
        <f t="shared" si="69"/>
        <v>#REF!</v>
      </c>
      <c r="CZ78" s="18" t="e">
        <f t="shared" si="70"/>
        <v>#REF!</v>
      </c>
      <c r="DA78" s="18" t="e">
        <f t="shared" si="71"/>
        <v>#REF!</v>
      </c>
      <c r="DB78" s="18" t="e">
        <f t="shared" si="72"/>
        <v>#REF!</v>
      </c>
      <c r="DF78" s="8">
        <v>73</v>
      </c>
      <c r="DG78" s="8" t="e">
        <f t="shared" si="73"/>
        <v>#REF!</v>
      </c>
      <c r="DH78" s="8" t="e">
        <f t="shared" si="74"/>
        <v>#REF!</v>
      </c>
      <c r="DI78" s="8" t="e">
        <f t="shared" si="75"/>
        <v>#REF!</v>
      </c>
      <c r="DJ78" s="8" t="e">
        <f t="shared" si="76"/>
        <v>#REF!</v>
      </c>
      <c r="DK78" s="8" t="e">
        <f t="shared" si="77"/>
        <v>#REF!</v>
      </c>
      <c r="DO78" s="8">
        <v>73</v>
      </c>
      <c r="DP78" s="8" t="e">
        <f t="shared" si="78"/>
        <v>#REF!</v>
      </c>
      <c r="DQ78" s="8" t="e">
        <f t="shared" si="79"/>
        <v>#REF!</v>
      </c>
      <c r="DR78" s="8" t="e">
        <f t="shared" si="80"/>
        <v>#REF!</v>
      </c>
      <c r="DS78" s="8" t="e">
        <f t="shared" si="81"/>
        <v>#REF!</v>
      </c>
      <c r="DT78" s="8" t="e">
        <f t="shared" si="82"/>
        <v>#REF!</v>
      </c>
    </row>
    <row r="79" spans="2:124">
      <c r="B79" s="8">
        <v>72</v>
      </c>
      <c r="C79" s="19" t="e">
        <f t="shared" si="54"/>
        <v>#REF!</v>
      </c>
      <c r="D79" s="19" t="e">
        <f t="shared" si="54"/>
        <v>#REF!</v>
      </c>
      <c r="E79" s="19" t="e">
        <f t="shared" si="54"/>
        <v>#REF!</v>
      </c>
      <c r="F79" s="19" t="e">
        <f t="shared" si="54"/>
        <v>#REF!</v>
      </c>
      <c r="G79" s="19" t="e">
        <f t="shared" si="54"/>
        <v>#REF!</v>
      </c>
      <c r="H79" s="19" t="e">
        <f t="shared" si="53"/>
        <v>#REF!</v>
      </c>
      <c r="I79" s="19" t="e">
        <f t="shared" si="53"/>
        <v>#REF!</v>
      </c>
      <c r="J79" s="19" t="e">
        <f t="shared" si="53"/>
        <v>#REF!</v>
      </c>
      <c r="K79" s="19" t="e">
        <f t="shared" si="53"/>
        <v>#REF!</v>
      </c>
      <c r="L79" s="16" t="e">
        <f t="shared" si="53"/>
        <v>#REF!</v>
      </c>
      <c r="M79" s="16" t="e">
        <f t="shared" si="53"/>
        <v>#REF!</v>
      </c>
      <c r="AC79" s="8">
        <v>74</v>
      </c>
      <c r="AD79" s="8" t="e">
        <f>($C81*'[1]功能-城建'!EX77)*S$6+AD78</f>
        <v>#REF!</v>
      </c>
      <c r="AE79" s="8" t="e">
        <f>($C81*'[1]功能-城建'!EY77)*T$6+AE78</f>
        <v>#REF!</v>
      </c>
      <c r="AF79" s="8" t="e">
        <f>($C81*'[1]功能-城建'!EZ77)*U$6+AF78</f>
        <v>#REF!</v>
      </c>
      <c r="AG79" s="8" t="e">
        <f>($C81*'[1]功能-城建'!FA77)*V$6+AG78</f>
        <v>#REF!</v>
      </c>
      <c r="AH79" s="8" t="e">
        <f>($C81*'[1]功能-城建'!FB77)*W$6+AH78</f>
        <v>#REF!</v>
      </c>
      <c r="AL79" s="8">
        <v>74</v>
      </c>
      <c r="AM79" s="8" t="e">
        <f>($D81*'[1]功能-城建'!HM77)*S$6+AM78</f>
        <v>#REF!</v>
      </c>
      <c r="AN79" s="8" t="e">
        <f>($D81*'[1]功能-城建'!HN77)*T$6+AN78</f>
        <v>#REF!</v>
      </c>
      <c r="AO79" s="8" t="e">
        <f>($D81*'[1]功能-城建'!HO77)*U$6+AO78</f>
        <v>#REF!</v>
      </c>
      <c r="AP79" s="8" t="e">
        <f>($D81*'[1]功能-城建'!HP77)*V$6+AP78</f>
        <v>#REF!</v>
      </c>
      <c r="AQ79" s="8" t="e">
        <f>($D81*'[1]功能-城建'!HQ77)*W$6+AQ78</f>
        <v>#REF!</v>
      </c>
      <c r="AU79" s="8">
        <v>74</v>
      </c>
      <c r="AV79" s="8" t="e">
        <f>($E81*'[1]功能-城建'!GF77)*S$6+AV78</f>
        <v>#REF!</v>
      </c>
      <c r="AW79" s="8" t="e">
        <f>($E81*'[1]功能-城建'!GG77)*T$6+AW78</f>
        <v>#REF!</v>
      </c>
      <c r="AX79" s="8" t="e">
        <f>($E81*'[1]功能-城建'!GH77)*U$6+AX78</f>
        <v>#REF!</v>
      </c>
      <c r="AY79" s="8" t="e">
        <f>($E81*'[1]功能-城建'!GI77)*V$6+AY78</f>
        <v>#REF!</v>
      </c>
      <c r="AZ79" s="8" t="e">
        <f>($E81*'[1]功能-城建'!GJ77)*W$6+AZ78</f>
        <v>#REF!</v>
      </c>
      <c r="BD79" s="8">
        <v>74</v>
      </c>
      <c r="BE79" s="8" t="e">
        <f t="shared" si="55"/>
        <v>#REF!</v>
      </c>
      <c r="BF79" s="8" t="e">
        <f t="shared" si="55"/>
        <v>#REF!</v>
      </c>
      <c r="BG79" s="8" t="e">
        <f t="shared" si="55"/>
        <v>#REF!</v>
      </c>
      <c r="BH79" s="8" t="e">
        <f t="shared" si="55"/>
        <v>#REF!</v>
      </c>
      <c r="BI79" s="8" t="e">
        <f t="shared" si="55"/>
        <v>#REF!</v>
      </c>
      <c r="BM79" s="8">
        <v>74</v>
      </c>
      <c r="BN79" s="8" t="e">
        <f t="shared" si="56"/>
        <v>#REF!</v>
      </c>
      <c r="BO79" s="8" t="e">
        <f t="shared" si="56"/>
        <v>#REF!</v>
      </c>
      <c r="BP79" s="8" t="e">
        <f t="shared" si="56"/>
        <v>#REF!</v>
      </c>
      <c r="BQ79" s="8" t="e">
        <f t="shared" si="56"/>
        <v>#REF!</v>
      </c>
      <c r="BR79" s="8" t="e">
        <f t="shared" si="56"/>
        <v>#REF!</v>
      </c>
      <c r="BV79" s="8">
        <v>74</v>
      </c>
      <c r="BW79" s="8" t="e">
        <f t="shared" si="57"/>
        <v>#REF!</v>
      </c>
      <c r="BX79" s="8" t="e">
        <f t="shared" si="57"/>
        <v>#REF!</v>
      </c>
      <c r="BY79" s="8" t="e">
        <f t="shared" si="57"/>
        <v>#REF!</v>
      </c>
      <c r="BZ79" s="8" t="e">
        <f t="shared" si="57"/>
        <v>#REF!</v>
      </c>
      <c r="CA79" s="8" t="e">
        <f t="shared" si="57"/>
        <v>#REF!</v>
      </c>
      <c r="CE79" s="8">
        <v>74</v>
      </c>
      <c r="CF79" s="18" t="e">
        <f t="shared" si="58"/>
        <v>#REF!</v>
      </c>
      <c r="CG79" s="18" t="e">
        <f t="shared" si="59"/>
        <v>#REF!</v>
      </c>
      <c r="CH79" s="18" t="e">
        <f t="shared" si="60"/>
        <v>#REF!</v>
      </c>
      <c r="CI79" s="18" t="e">
        <f t="shared" si="61"/>
        <v>#REF!</v>
      </c>
      <c r="CJ79" s="18" t="e">
        <f t="shared" si="62"/>
        <v>#REF!</v>
      </c>
      <c r="CN79" s="8">
        <v>74</v>
      </c>
      <c r="CO79" s="18" t="e">
        <f t="shared" si="63"/>
        <v>#REF!</v>
      </c>
      <c r="CP79" s="18" t="e">
        <f t="shared" si="64"/>
        <v>#REF!</v>
      </c>
      <c r="CQ79" s="18" t="e">
        <f t="shared" si="65"/>
        <v>#REF!</v>
      </c>
      <c r="CR79" s="18" t="e">
        <f t="shared" si="66"/>
        <v>#REF!</v>
      </c>
      <c r="CS79" s="18" t="e">
        <f t="shared" si="67"/>
        <v>#REF!</v>
      </c>
      <c r="CW79" s="8">
        <v>74</v>
      </c>
      <c r="CX79" s="18" t="e">
        <f t="shared" si="68"/>
        <v>#REF!</v>
      </c>
      <c r="CY79" s="18" t="e">
        <f t="shared" si="69"/>
        <v>#REF!</v>
      </c>
      <c r="CZ79" s="18" t="e">
        <f t="shared" si="70"/>
        <v>#REF!</v>
      </c>
      <c r="DA79" s="18" t="e">
        <f t="shared" si="71"/>
        <v>#REF!</v>
      </c>
      <c r="DB79" s="18" t="e">
        <f t="shared" si="72"/>
        <v>#REF!</v>
      </c>
      <c r="DF79" s="8">
        <v>74</v>
      </c>
      <c r="DG79" s="8" t="e">
        <f t="shared" si="73"/>
        <v>#REF!</v>
      </c>
      <c r="DH79" s="8" t="e">
        <f t="shared" si="74"/>
        <v>#REF!</v>
      </c>
      <c r="DI79" s="8" t="e">
        <f t="shared" si="75"/>
        <v>#REF!</v>
      </c>
      <c r="DJ79" s="8" t="e">
        <f t="shared" si="76"/>
        <v>#REF!</v>
      </c>
      <c r="DK79" s="8" t="e">
        <f t="shared" si="77"/>
        <v>#REF!</v>
      </c>
      <c r="DO79" s="8">
        <v>74</v>
      </c>
      <c r="DP79" s="8" t="e">
        <f t="shared" si="78"/>
        <v>#REF!</v>
      </c>
      <c r="DQ79" s="8" t="e">
        <f t="shared" si="79"/>
        <v>#REF!</v>
      </c>
      <c r="DR79" s="8" t="e">
        <f t="shared" si="80"/>
        <v>#REF!</v>
      </c>
      <c r="DS79" s="8" t="e">
        <f t="shared" si="81"/>
        <v>#REF!</v>
      </c>
      <c r="DT79" s="8" t="e">
        <f t="shared" si="82"/>
        <v>#REF!</v>
      </c>
    </row>
    <row r="80" spans="2:124">
      <c r="B80" s="8">
        <v>73</v>
      </c>
      <c r="C80" s="19" t="e">
        <f t="shared" si="54"/>
        <v>#REF!</v>
      </c>
      <c r="D80" s="19" t="e">
        <f t="shared" si="54"/>
        <v>#REF!</v>
      </c>
      <c r="E80" s="19" t="e">
        <f t="shared" si="54"/>
        <v>#REF!</v>
      </c>
      <c r="F80" s="19" t="e">
        <f t="shared" si="54"/>
        <v>#REF!</v>
      </c>
      <c r="G80" s="19" t="e">
        <f t="shared" si="54"/>
        <v>#REF!</v>
      </c>
      <c r="H80" s="19" t="e">
        <f t="shared" si="53"/>
        <v>#REF!</v>
      </c>
      <c r="I80" s="19" t="e">
        <f t="shared" si="53"/>
        <v>#REF!</v>
      </c>
      <c r="J80" s="19" t="e">
        <f t="shared" si="53"/>
        <v>#REF!</v>
      </c>
      <c r="K80" s="19" t="e">
        <f t="shared" si="53"/>
        <v>#REF!</v>
      </c>
      <c r="L80" s="16" t="e">
        <f t="shared" si="53"/>
        <v>#REF!</v>
      </c>
      <c r="M80" s="16" t="e">
        <f t="shared" si="53"/>
        <v>#REF!</v>
      </c>
      <c r="AC80" s="8">
        <v>75</v>
      </c>
      <c r="AD80" s="8" t="e">
        <f>($C82*'[1]功能-城建'!EX78)*S$6+AD79</f>
        <v>#REF!</v>
      </c>
      <c r="AE80" s="8" t="e">
        <f>($C82*'[1]功能-城建'!EY78)*T$6+AE79</f>
        <v>#REF!</v>
      </c>
      <c r="AF80" s="8" t="e">
        <f>($C82*'[1]功能-城建'!EZ78)*U$6+AF79</f>
        <v>#REF!</v>
      </c>
      <c r="AG80" s="8" t="e">
        <f>($C82*'[1]功能-城建'!FA78)*V$6+AG79</f>
        <v>#REF!</v>
      </c>
      <c r="AH80" s="8" t="e">
        <f>($C82*'[1]功能-城建'!FB78)*W$6+AH79</f>
        <v>#REF!</v>
      </c>
      <c r="AL80" s="8">
        <v>75</v>
      </c>
      <c r="AM80" s="8" t="e">
        <f>($D82*'[1]功能-城建'!HM78)*S$6+AM79</f>
        <v>#REF!</v>
      </c>
      <c r="AN80" s="8" t="e">
        <f>($D82*'[1]功能-城建'!HN78)*T$6+AN79</f>
        <v>#REF!</v>
      </c>
      <c r="AO80" s="8" t="e">
        <f>($D82*'[1]功能-城建'!HO78)*U$6+AO79</f>
        <v>#REF!</v>
      </c>
      <c r="AP80" s="8" t="e">
        <f>($D82*'[1]功能-城建'!HP78)*V$6+AP79</f>
        <v>#REF!</v>
      </c>
      <c r="AQ80" s="8" t="e">
        <f>($D82*'[1]功能-城建'!HQ78)*W$6+AQ79</f>
        <v>#REF!</v>
      </c>
      <c r="AU80" s="8">
        <v>75</v>
      </c>
      <c r="AV80" s="8" t="e">
        <f>($E82*'[1]功能-城建'!GF78)*S$6+AV79</f>
        <v>#REF!</v>
      </c>
      <c r="AW80" s="8" t="e">
        <f>($E82*'[1]功能-城建'!GG78)*T$6+AW79</f>
        <v>#REF!</v>
      </c>
      <c r="AX80" s="8" t="e">
        <f>($E82*'[1]功能-城建'!GH78)*U$6+AX79</f>
        <v>#REF!</v>
      </c>
      <c r="AY80" s="8" t="e">
        <f>($E82*'[1]功能-城建'!GI78)*V$6+AY79</f>
        <v>#REF!</v>
      </c>
      <c r="AZ80" s="8" t="e">
        <f>($E82*'[1]功能-城建'!GJ78)*W$6+AZ79</f>
        <v>#REF!</v>
      </c>
      <c r="BD80" s="8">
        <v>75</v>
      </c>
      <c r="BE80" s="8" t="e">
        <f t="shared" si="55"/>
        <v>#REF!</v>
      </c>
      <c r="BF80" s="8" t="e">
        <f t="shared" si="55"/>
        <v>#REF!</v>
      </c>
      <c r="BG80" s="8" t="e">
        <f t="shared" si="55"/>
        <v>#REF!</v>
      </c>
      <c r="BH80" s="8" t="e">
        <f t="shared" si="55"/>
        <v>#REF!</v>
      </c>
      <c r="BI80" s="8" t="e">
        <f t="shared" si="55"/>
        <v>#REF!</v>
      </c>
      <c r="BM80" s="8">
        <v>75</v>
      </c>
      <c r="BN80" s="8" t="e">
        <f t="shared" si="56"/>
        <v>#REF!</v>
      </c>
      <c r="BO80" s="8" t="e">
        <f t="shared" si="56"/>
        <v>#REF!</v>
      </c>
      <c r="BP80" s="8" t="e">
        <f t="shared" si="56"/>
        <v>#REF!</v>
      </c>
      <c r="BQ80" s="8" t="e">
        <f t="shared" si="56"/>
        <v>#REF!</v>
      </c>
      <c r="BR80" s="8" t="e">
        <f t="shared" si="56"/>
        <v>#REF!</v>
      </c>
      <c r="BV80" s="8">
        <v>75</v>
      </c>
      <c r="BW80" s="8" t="e">
        <f t="shared" si="57"/>
        <v>#REF!</v>
      </c>
      <c r="BX80" s="8" t="e">
        <f t="shared" si="57"/>
        <v>#REF!</v>
      </c>
      <c r="BY80" s="8" t="e">
        <f t="shared" si="57"/>
        <v>#REF!</v>
      </c>
      <c r="BZ80" s="8" t="e">
        <f t="shared" si="57"/>
        <v>#REF!</v>
      </c>
      <c r="CA80" s="8" t="e">
        <f t="shared" si="57"/>
        <v>#REF!</v>
      </c>
      <c r="CE80" s="8">
        <v>75</v>
      </c>
      <c r="CF80" s="18" t="e">
        <f t="shared" si="58"/>
        <v>#REF!</v>
      </c>
      <c r="CG80" s="18" t="e">
        <f t="shared" si="59"/>
        <v>#REF!</v>
      </c>
      <c r="CH80" s="18" t="e">
        <f t="shared" si="60"/>
        <v>#REF!</v>
      </c>
      <c r="CI80" s="18" t="e">
        <f t="shared" si="61"/>
        <v>#REF!</v>
      </c>
      <c r="CJ80" s="18" t="e">
        <f t="shared" si="62"/>
        <v>#REF!</v>
      </c>
      <c r="CN80" s="8">
        <v>75</v>
      </c>
      <c r="CO80" s="18" t="e">
        <f t="shared" si="63"/>
        <v>#REF!</v>
      </c>
      <c r="CP80" s="18" t="e">
        <f t="shared" si="64"/>
        <v>#REF!</v>
      </c>
      <c r="CQ80" s="18" t="e">
        <f t="shared" si="65"/>
        <v>#REF!</v>
      </c>
      <c r="CR80" s="18" t="e">
        <f t="shared" si="66"/>
        <v>#REF!</v>
      </c>
      <c r="CS80" s="18" t="e">
        <f t="shared" si="67"/>
        <v>#REF!</v>
      </c>
      <c r="CW80" s="8">
        <v>75</v>
      </c>
      <c r="CX80" s="18" t="e">
        <f t="shared" si="68"/>
        <v>#REF!</v>
      </c>
      <c r="CY80" s="18" t="e">
        <f t="shared" si="69"/>
        <v>#REF!</v>
      </c>
      <c r="CZ80" s="18" t="e">
        <f t="shared" si="70"/>
        <v>#REF!</v>
      </c>
      <c r="DA80" s="18" t="e">
        <f t="shared" si="71"/>
        <v>#REF!</v>
      </c>
      <c r="DB80" s="18" t="e">
        <f t="shared" si="72"/>
        <v>#REF!</v>
      </c>
      <c r="DF80" s="8">
        <v>75</v>
      </c>
      <c r="DG80" s="8" t="e">
        <f t="shared" si="73"/>
        <v>#REF!</v>
      </c>
      <c r="DH80" s="8" t="e">
        <f t="shared" si="74"/>
        <v>#REF!</v>
      </c>
      <c r="DI80" s="8" t="e">
        <f t="shared" si="75"/>
        <v>#REF!</v>
      </c>
      <c r="DJ80" s="8" t="e">
        <f t="shared" si="76"/>
        <v>#REF!</v>
      </c>
      <c r="DK80" s="8" t="e">
        <f t="shared" si="77"/>
        <v>#REF!</v>
      </c>
      <c r="DO80" s="8">
        <v>75</v>
      </c>
      <c r="DP80" s="8" t="e">
        <f t="shared" si="78"/>
        <v>#REF!</v>
      </c>
      <c r="DQ80" s="8" t="e">
        <f t="shared" si="79"/>
        <v>#REF!</v>
      </c>
      <c r="DR80" s="8" t="e">
        <f t="shared" si="80"/>
        <v>#REF!</v>
      </c>
      <c r="DS80" s="8" t="e">
        <f t="shared" si="81"/>
        <v>#REF!</v>
      </c>
      <c r="DT80" s="8" t="e">
        <f t="shared" si="82"/>
        <v>#REF!</v>
      </c>
    </row>
    <row r="81" spans="2:124">
      <c r="B81" s="8">
        <v>74</v>
      </c>
      <c r="C81" s="19" t="e">
        <f t="shared" si="54"/>
        <v>#REF!</v>
      </c>
      <c r="D81" s="19" t="e">
        <f t="shared" si="54"/>
        <v>#REF!</v>
      </c>
      <c r="E81" s="19" t="e">
        <f t="shared" si="54"/>
        <v>#REF!</v>
      </c>
      <c r="F81" s="19" t="e">
        <f t="shared" si="54"/>
        <v>#REF!</v>
      </c>
      <c r="G81" s="19" t="e">
        <f t="shared" si="54"/>
        <v>#REF!</v>
      </c>
      <c r="H81" s="19" t="e">
        <f t="shared" si="53"/>
        <v>#REF!</v>
      </c>
      <c r="I81" s="19" t="e">
        <f t="shared" si="53"/>
        <v>#REF!</v>
      </c>
      <c r="J81" s="19" t="e">
        <f t="shared" si="53"/>
        <v>#REF!</v>
      </c>
      <c r="K81" s="19" t="e">
        <f t="shared" si="53"/>
        <v>#REF!</v>
      </c>
      <c r="L81" s="16" t="e">
        <f t="shared" si="53"/>
        <v>#REF!</v>
      </c>
      <c r="M81" s="16" t="e">
        <f t="shared" si="53"/>
        <v>#REF!</v>
      </c>
      <c r="AC81" s="8">
        <v>76</v>
      </c>
      <c r="AD81" s="8" t="e">
        <f>($C83*'[1]功能-城建'!EX79)*S$6+AD80</f>
        <v>#REF!</v>
      </c>
      <c r="AE81" s="8" t="e">
        <f>($C83*'[1]功能-城建'!EY79)*T$6+AE80</f>
        <v>#REF!</v>
      </c>
      <c r="AF81" s="8" t="e">
        <f>($C83*'[1]功能-城建'!EZ79)*U$6+AF80</f>
        <v>#REF!</v>
      </c>
      <c r="AG81" s="8" t="e">
        <f>($C83*'[1]功能-城建'!FA79)*V$6+AG80</f>
        <v>#REF!</v>
      </c>
      <c r="AH81" s="8" t="e">
        <f>($C83*'[1]功能-城建'!FB79)*W$6+AH80</f>
        <v>#REF!</v>
      </c>
      <c r="AL81" s="8">
        <v>76</v>
      </c>
      <c r="AM81" s="8" t="e">
        <f>($D83*'[1]功能-城建'!HM79)*S$6+AM80</f>
        <v>#REF!</v>
      </c>
      <c r="AN81" s="8" t="e">
        <f>($D83*'[1]功能-城建'!HN79)*T$6+AN80</f>
        <v>#REF!</v>
      </c>
      <c r="AO81" s="8" t="e">
        <f>($D83*'[1]功能-城建'!HO79)*U$6+AO80</f>
        <v>#REF!</v>
      </c>
      <c r="AP81" s="8" t="e">
        <f>($D83*'[1]功能-城建'!HP79)*V$6+AP80</f>
        <v>#REF!</v>
      </c>
      <c r="AQ81" s="8" t="e">
        <f>($D83*'[1]功能-城建'!HQ79)*W$6+AQ80</f>
        <v>#REF!</v>
      </c>
      <c r="AU81" s="8">
        <v>76</v>
      </c>
      <c r="AV81" s="8" t="e">
        <f>($E83*'[1]功能-城建'!GF79)*S$6+AV80</f>
        <v>#REF!</v>
      </c>
      <c r="AW81" s="8" t="e">
        <f>($E83*'[1]功能-城建'!GG79)*T$6+AW80</f>
        <v>#REF!</v>
      </c>
      <c r="AX81" s="8" t="e">
        <f>($E83*'[1]功能-城建'!GH79)*U$6+AX80</f>
        <v>#REF!</v>
      </c>
      <c r="AY81" s="8" t="e">
        <f>($E83*'[1]功能-城建'!GI79)*V$6+AY80</f>
        <v>#REF!</v>
      </c>
      <c r="AZ81" s="8" t="e">
        <f>($E83*'[1]功能-城建'!GJ79)*W$6+AZ80</f>
        <v>#REF!</v>
      </c>
      <c r="BD81" s="8">
        <v>76</v>
      </c>
      <c r="BE81" s="8" t="e">
        <f t="shared" si="55"/>
        <v>#REF!</v>
      </c>
      <c r="BF81" s="8" t="e">
        <f t="shared" si="55"/>
        <v>#REF!</v>
      </c>
      <c r="BG81" s="8" t="e">
        <f t="shared" si="55"/>
        <v>#REF!</v>
      </c>
      <c r="BH81" s="8" t="e">
        <f t="shared" si="55"/>
        <v>#REF!</v>
      </c>
      <c r="BI81" s="8" t="e">
        <f t="shared" si="55"/>
        <v>#REF!</v>
      </c>
      <c r="BM81" s="8">
        <v>76</v>
      </c>
      <c r="BN81" s="8" t="e">
        <f t="shared" si="56"/>
        <v>#REF!</v>
      </c>
      <c r="BO81" s="8" t="e">
        <f t="shared" si="56"/>
        <v>#REF!</v>
      </c>
      <c r="BP81" s="8" t="e">
        <f t="shared" si="56"/>
        <v>#REF!</v>
      </c>
      <c r="BQ81" s="8" t="e">
        <f t="shared" si="56"/>
        <v>#REF!</v>
      </c>
      <c r="BR81" s="8" t="e">
        <f t="shared" si="56"/>
        <v>#REF!</v>
      </c>
      <c r="BV81" s="8">
        <v>76</v>
      </c>
      <c r="BW81" s="8" t="e">
        <f t="shared" si="57"/>
        <v>#REF!</v>
      </c>
      <c r="BX81" s="8" t="e">
        <f t="shared" si="57"/>
        <v>#REF!</v>
      </c>
      <c r="BY81" s="8" t="e">
        <f t="shared" si="57"/>
        <v>#REF!</v>
      </c>
      <c r="BZ81" s="8" t="e">
        <f t="shared" si="57"/>
        <v>#REF!</v>
      </c>
      <c r="CA81" s="8" t="e">
        <f t="shared" si="57"/>
        <v>#REF!</v>
      </c>
      <c r="CE81" s="8">
        <v>76</v>
      </c>
      <c r="CF81" s="18" t="e">
        <f t="shared" si="58"/>
        <v>#REF!</v>
      </c>
      <c r="CG81" s="18" t="e">
        <f t="shared" si="59"/>
        <v>#REF!</v>
      </c>
      <c r="CH81" s="18" t="e">
        <f t="shared" si="60"/>
        <v>#REF!</v>
      </c>
      <c r="CI81" s="18" t="e">
        <f t="shared" si="61"/>
        <v>#REF!</v>
      </c>
      <c r="CJ81" s="18" t="e">
        <f t="shared" si="62"/>
        <v>#REF!</v>
      </c>
      <c r="CN81" s="8">
        <v>76</v>
      </c>
      <c r="CO81" s="18" t="e">
        <f t="shared" si="63"/>
        <v>#REF!</v>
      </c>
      <c r="CP81" s="18" t="e">
        <f t="shared" si="64"/>
        <v>#REF!</v>
      </c>
      <c r="CQ81" s="18" t="e">
        <f t="shared" si="65"/>
        <v>#REF!</v>
      </c>
      <c r="CR81" s="18" t="e">
        <f t="shared" si="66"/>
        <v>#REF!</v>
      </c>
      <c r="CS81" s="18" t="e">
        <f t="shared" si="67"/>
        <v>#REF!</v>
      </c>
      <c r="CW81" s="8">
        <v>76</v>
      </c>
      <c r="CX81" s="18" t="e">
        <f t="shared" si="68"/>
        <v>#REF!</v>
      </c>
      <c r="CY81" s="18" t="e">
        <f t="shared" si="69"/>
        <v>#REF!</v>
      </c>
      <c r="CZ81" s="18" t="e">
        <f t="shared" si="70"/>
        <v>#REF!</v>
      </c>
      <c r="DA81" s="18" t="e">
        <f t="shared" si="71"/>
        <v>#REF!</v>
      </c>
      <c r="DB81" s="18" t="e">
        <f t="shared" si="72"/>
        <v>#REF!</v>
      </c>
      <c r="DF81" s="8">
        <v>76</v>
      </c>
      <c r="DG81" s="8" t="e">
        <f t="shared" si="73"/>
        <v>#REF!</v>
      </c>
      <c r="DH81" s="8" t="e">
        <f t="shared" si="74"/>
        <v>#REF!</v>
      </c>
      <c r="DI81" s="8" t="e">
        <f t="shared" si="75"/>
        <v>#REF!</v>
      </c>
      <c r="DJ81" s="8" t="e">
        <f t="shared" si="76"/>
        <v>#REF!</v>
      </c>
      <c r="DK81" s="8" t="e">
        <f t="shared" si="77"/>
        <v>#REF!</v>
      </c>
      <c r="DO81" s="8">
        <v>76</v>
      </c>
      <c r="DP81" s="8" t="e">
        <f t="shared" si="78"/>
        <v>#REF!</v>
      </c>
      <c r="DQ81" s="8" t="e">
        <f t="shared" si="79"/>
        <v>#REF!</v>
      </c>
      <c r="DR81" s="8" t="e">
        <f t="shared" si="80"/>
        <v>#REF!</v>
      </c>
      <c r="DS81" s="8" t="e">
        <f t="shared" si="81"/>
        <v>#REF!</v>
      </c>
      <c r="DT81" s="8" t="e">
        <f t="shared" si="82"/>
        <v>#REF!</v>
      </c>
    </row>
    <row r="82" spans="2:124">
      <c r="B82" s="8">
        <v>75</v>
      </c>
      <c r="C82" s="19" t="e">
        <f t="shared" si="54"/>
        <v>#REF!</v>
      </c>
      <c r="D82" s="19" t="e">
        <f t="shared" si="54"/>
        <v>#REF!</v>
      </c>
      <c r="E82" s="19" t="e">
        <f t="shared" si="54"/>
        <v>#REF!</v>
      </c>
      <c r="F82" s="19" t="e">
        <f t="shared" si="54"/>
        <v>#REF!</v>
      </c>
      <c r="G82" s="19" t="e">
        <f t="shared" si="54"/>
        <v>#REF!</v>
      </c>
      <c r="H82" s="19" t="e">
        <f t="shared" si="53"/>
        <v>#REF!</v>
      </c>
      <c r="I82" s="19" t="e">
        <f t="shared" si="53"/>
        <v>#REF!</v>
      </c>
      <c r="J82" s="19" t="e">
        <f t="shared" si="53"/>
        <v>#REF!</v>
      </c>
      <c r="K82" s="19" t="e">
        <f t="shared" si="53"/>
        <v>#REF!</v>
      </c>
      <c r="L82" s="16" t="e">
        <f t="shared" si="53"/>
        <v>#REF!</v>
      </c>
      <c r="M82" s="16" t="e">
        <f t="shared" si="53"/>
        <v>#REF!</v>
      </c>
      <c r="AC82" s="8">
        <v>77</v>
      </c>
      <c r="AD82" s="8" t="e">
        <f>($C84*'[1]功能-城建'!EX80)*S$6+AD81</f>
        <v>#REF!</v>
      </c>
      <c r="AE82" s="8" t="e">
        <f>($C84*'[1]功能-城建'!EY80)*T$6+AE81</f>
        <v>#REF!</v>
      </c>
      <c r="AF82" s="8" t="e">
        <f>($C84*'[1]功能-城建'!EZ80)*U$6+AF81</f>
        <v>#REF!</v>
      </c>
      <c r="AG82" s="8" t="e">
        <f>($C84*'[1]功能-城建'!FA80)*V$6+AG81</f>
        <v>#REF!</v>
      </c>
      <c r="AH82" s="8" t="e">
        <f>($C84*'[1]功能-城建'!FB80)*W$6+AH81</f>
        <v>#REF!</v>
      </c>
      <c r="AL82" s="8">
        <v>77</v>
      </c>
      <c r="AM82" s="8" t="e">
        <f>($D84*'[1]功能-城建'!HM80)*S$6+AM81</f>
        <v>#REF!</v>
      </c>
      <c r="AN82" s="8" t="e">
        <f>($D84*'[1]功能-城建'!HN80)*T$6+AN81</f>
        <v>#REF!</v>
      </c>
      <c r="AO82" s="8" t="e">
        <f>($D84*'[1]功能-城建'!HO80)*U$6+AO81</f>
        <v>#REF!</v>
      </c>
      <c r="AP82" s="8" t="e">
        <f>($D84*'[1]功能-城建'!HP80)*V$6+AP81</f>
        <v>#REF!</v>
      </c>
      <c r="AQ82" s="8" t="e">
        <f>($D84*'[1]功能-城建'!HQ80)*W$6+AQ81</f>
        <v>#REF!</v>
      </c>
      <c r="AU82" s="8">
        <v>77</v>
      </c>
      <c r="AV82" s="8" t="e">
        <f>($E84*'[1]功能-城建'!GF80)*S$6+AV81</f>
        <v>#REF!</v>
      </c>
      <c r="AW82" s="8" t="e">
        <f>($E84*'[1]功能-城建'!GG80)*T$6+AW81</f>
        <v>#REF!</v>
      </c>
      <c r="AX82" s="8" t="e">
        <f>($E84*'[1]功能-城建'!GH80)*U$6+AX81</f>
        <v>#REF!</v>
      </c>
      <c r="AY82" s="8" t="e">
        <f>($E84*'[1]功能-城建'!GI80)*V$6+AY81</f>
        <v>#REF!</v>
      </c>
      <c r="AZ82" s="8" t="e">
        <f>($E84*'[1]功能-城建'!GJ80)*W$6+AZ81</f>
        <v>#REF!</v>
      </c>
      <c r="BD82" s="8">
        <v>77</v>
      </c>
      <c r="BE82" s="8" t="e">
        <f t="shared" si="55"/>
        <v>#REF!</v>
      </c>
      <c r="BF82" s="8" t="e">
        <f t="shared" si="55"/>
        <v>#REF!</v>
      </c>
      <c r="BG82" s="8" t="e">
        <f t="shared" si="55"/>
        <v>#REF!</v>
      </c>
      <c r="BH82" s="8" t="e">
        <f t="shared" si="55"/>
        <v>#REF!</v>
      </c>
      <c r="BI82" s="8" t="e">
        <f t="shared" si="55"/>
        <v>#REF!</v>
      </c>
      <c r="BM82" s="8">
        <v>77</v>
      </c>
      <c r="BN82" s="8" t="e">
        <f t="shared" si="56"/>
        <v>#REF!</v>
      </c>
      <c r="BO82" s="8" t="e">
        <f t="shared" si="56"/>
        <v>#REF!</v>
      </c>
      <c r="BP82" s="8" t="e">
        <f t="shared" si="56"/>
        <v>#REF!</v>
      </c>
      <c r="BQ82" s="8" t="e">
        <f t="shared" si="56"/>
        <v>#REF!</v>
      </c>
      <c r="BR82" s="8" t="e">
        <f t="shared" si="56"/>
        <v>#REF!</v>
      </c>
      <c r="BV82" s="8">
        <v>77</v>
      </c>
      <c r="BW82" s="8" t="e">
        <f t="shared" si="57"/>
        <v>#REF!</v>
      </c>
      <c r="BX82" s="8" t="e">
        <f t="shared" si="57"/>
        <v>#REF!</v>
      </c>
      <c r="BY82" s="8" t="e">
        <f t="shared" si="57"/>
        <v>#REF!</v>
      </c>
      <c r="BZ82" s="8" t="e">
        <f t="shared" si="57"/>
        <v>#REF!</v>
      </c>
      <c r="CA82" s="8" t="e">
        <f t="shared" si="57"/>
        <v>#REF!</v>
      </c>
      <c r="CE82" s="8">
        <v>77</v>
      </c>
      <c r="CF82" s="18" t="e">
        <f t="shared" si="58"/>
        <v>#REF!</v>
      </c>
      <c r="CG82" s="18" t="e">
        <f t="shared" si="59"/>
        <v>#REF!</v>
      </c>
      <c r="CH82" s="18" t="e">
        <f t="shared" si="60"/>
        <v>#REF!</v>
      </c>
      <c r="CI82" s="18" t="e">
        <f t="shared" si="61"/>
        <v>#REF!</v>
      </c>
      <c r="CJ82" s="18" t="e">
        <f t="shared" si="62"/>
        <v>#REF!</v>
      </c>
      <c r="CN82" s="8">
        <v>77</v>
      </c>
      <c r="CO82" s="18" t="e">
        <f t="shared" si="63"/>
        <v>#REF!</v>
      </c>
      <c r="CP82" s="18" t="e">
        <f t="shared" si="64"/>
        <v>#REF!</v>
      </c>
      <c r="CQ82" s="18" t="e">
        <f t="shared" si="65"/>
        <v>#REF!</v>
      </c>
      <c r="CR82" s="18" t="e">
        <f t="shared" si="66"/>
        <v>#REF!</v>
      </c>
      <c r="CS82" s="18" t="e">
        <f t="shared" si="67"/>
        <v>#REF!</v>
      </c>
      <c r="CW82" s="8">
        <v>77</v>
      </c>
      <c r="CX82" s="18" t="e">
        <f t="shared" si="68"/>
        <v>#REF!</v>
      </c>
      <c r="CY82" s="18" t="e">
        <f t="shared" si="69"/>
        <v>#REF!</v>
      </c>
      <c r="CZ82" s="18" t="e">
        <f t="shared" si="70"/>
        <v>#REF!</v>
      </c>
      <c r="DA82" s="18" t="e">
        <f t="shared" si="71"/>
        <v>#REF!</v>
      </c>
      <c r="DB82" s="18" t="e">
        <f t="shared" si="72"/>
        <v>#REF!</v>
      </c>
      <c r="DF82" s="8">
        <v>77</v>
      </c>
      <c r="DG82" s="8" t="e">
        <f t="shared" si="73"/>
        <v>#REF!</v>
      </c>
      <c r="DH82" s="8" t="e">
        <f t="shared" si="74"/>
        <v>#REF!</v>
      </c>
      <c r="DI82" s="8" t="e">
        <f t="shared" si="75"/>
        <v>#REF!</v>
      </c>
      <c r="DJ82" s="8" t="e">
        <f t="shared" si="76"/>
        <v>#REF!</v>
      </c>
      <c r="DK82" s="8" t="e">
        <f t="shared" si="77"/>
        <v>#REF!</v>
      </c>
      <c r="DO82" s="8">
        <v>77</v>
      </c>
      <c r="DP82" s="8" t="e">
        <f t="shared" si="78"/>
        <v>#REF!</v>
      </c>
      <c r="DQ82" s="8" t="e">
        <f t="shared" si="79"/>
        <v>#REF!</v>
      </c>
      <c r="DR82" s="8" t="e">
        <f t="shared" si="80"/>
        <v>#REF!</v>
      </c>
      <c r="DS82" s="8" t="e">
        <f t="shared" si="81"/>
        <v>#REF!</v>
      </c>
      <c r="DT82" s="8" t="e">
        <f t="shared" si="82"/>
        <v>#REF!</v>
      </c>
    </row>
    <row r="83" spans="2:124">
      <c r="B83" s="8">
        <v>76</v>
      </c>
      <c r="C83" s="19" t="e">
        <f t="shared" si="54"/>
        <v>#REF!</v>
      </c>
      <c r="D83" s="19" t="e">
        <f t="shared" si="54"/>
        <v>#REF!</v>
      </c>
      <c r="E83" s="19" t="e">
        <f t="shared" si="54"/>
        <v>#REF!</v>
      </c>
      <c r="F83" s="19" t="e">
        <f t="shared" si="54"/>
        <v>#REF!</v>
      </c>
      <c r="G83" s="19" t="e">
        <f t="shared" si="54"/>
        <v>#REF!</v>
      </c>
      <c r="H83" s="19" t="e">
        <f t="shared" si="53"/>
        <v>#REF!</v>
      </c>
      <c r="I83" s="19" t="e">
        <f t="shared" si="53"/>
        <v>#REF!</v>
      </c>
      <c r="J83" s="19" t="e">
        <f t="shared" si="53"/>
        <v>#REF!</v>
      </c>
      <c r="K83" s="19" t="e">
        <f t="shared" si="53"/>
        <v>#REF!</v>
      </c>
      <c r="L83" s="16" t="e">
        <f t="shared" si="53"/>
        <v>#REF!</v>
      </c>
      <c r="M83" s="16" t="e">
        <f t="shared" si="53"/>
        <v>#REF!</v>
      </c>
      <c r="AC83" s="8">
        <v>78</v>
      </c>
      <c r="AD83" s="8" t="e">
        <f>($C85*'[1]功能-城建'!EX81)*S$6+AD82</f>
        <v>#REF!</v>
      </c>
      <c r="AE83" s="8" t="e">
        <f>($C85*'[1]功能-城建'!EY81)*T$6+AE82</f>
        <v>#REF!</v>
      </c>
      <c r="AF83" s="8" t="e">
        <f>($C85*'[1]功能-城建'!EZ81)*U$6+AF82</f>
        <v>#REF!</v>
      </c>
      <c r="AG83" s="8" t="e">
        <f>($C85*'[1]功能-城建'!FA81)*V$6+AG82</f>
        <v>#REF!</v>
      </c>
      <c r="AH83" s="8" t="e">
        <f>($C85*'[1]功能-城建'!FB81)*W$6+AH82</f>
        <v>#REF!</v>
      </c>
      <c r="AL83" s="8">
        <v>78</v>
      </c>
      <c r="AM83" s="8" t="e">
        <f>($D85*'[1]功能-城建'!HM81)*S$6+AM82</f>
        <v>#REF!</v>
      </c>
      <c r="AN83" s="8" t="e">
        <f>($D85*'[1]功能-城建'!HN81)*T$6+AN82</f>
        <v>#REF!</v>
      </c>
      <c r="AO83" s="8" t="e">
        <f>($D85*'[1]功能-城建'!HO81)*U$6+AO82</f>
        <v>#REF!</v>
      </c>
      <c r="AP83" s="8" t="e">
        <f>($D85*'[1]功能-城建'!HP81)*V$6+AP82</f>
        <v>#REF!</v>
      </c>
      <c r="AQ83" s="8" t="e">
        <f>($D85*'[1]功能-城建'!HQ81)*W$6+AQ82</f>
        <v>#REF!</v>
      </c>
      <c r="AU83" s="8">
        <v>78</v>
      </c>
      <c r="AV83" s="8" t="e">
        <f>($E85*'[1]功能-城建'!GF81)*S$6+AV82</f>
        <v>#REF!</v>
      </c>
      <c r="AW83" s="8" t="e">
        <f>($E85*'[1]功能-城建'!GG81)*T$6+AW82</f>
        <v>#REF!</v>
      </c>
      <c r="AX83" s="8" t="e">
        <f>($E85*'[1]功能-城建'!GH81)*U$6+AX82</f>
        <v>#REF!</v>
      </c>
      <c r="AY83" s="8" t="e">
        <f>($E85*'[1]功能-城建'!GI81)*V$6+AY82</f>
        <v>#REF!</v>
      </c>
      <c r="AZ83" s="8" t="e">
        <f>($E85*'[1]功能-城建'!GJ81)*W$6+AZ82</f>
        <v>#REF!</v>
      </c>
      <c r="BD83" s="8">
        <v>78</v>
      </c>
      <c r="BE83" s="8" t="e">
        <f t="shared" si="55"/>
        <v>#REF!</v>
      </c>
      <c r="BF83" s="8" t="e">
        <f t="shared" si="55"/>
        <v>#REF!</v>
      </c>
      <c r="BG83" s="8" t="e">
        <f t="shared" si="55"/>
        <v>#REF!</v>
      </c>
      <c r="BH83" s="8" t="e">
        <f t="shared" si="55"/>
        <v>#REF!</v>
      </c>
      <c r="BI83" s="8" t="e">
        <f t="shared" si="55"/>
        <v>#REF!</v>
      </c>
      <c r="BM83" s="8">
        <v>78</v>
      </c>
      <c r="BN83" s="8" t="e">
        <f t="shared" si="56"/>
        <v>#REF!</v>
      </c>
      <c r="BO83" s="8" t="e">
        <f t="shared" si="56"/>
        <v>#REF!</v>
      </c>
      <c r="BP83" s="8" t="e">
        <f t="shared" si="56"/>
        <v>#REF!</v>
      </c>
      <c r="BQ83" s="8" t="e">
        <f t="shared" si="56"/>
        <v>#REF!</v>
      </c>
      <c r="BR83" s="8" t="e">
        <f t="shared" si="56"/>
        <v>#REF!</v>
      </c>
      <c r="BV83" s="8">
        <v>78</v>
      </c>
      <c r="BW83" s="8" t="e">
        <f t="shared" si="57"/>
        <v>#REF!</v>
      </c>
      <c r="BX83" s="8" t="e">
        <f t="shared" si="57"/>
        <v>#REF!</v>
      </c>
      <c r="BY83" s="8" t="e">
        <f t="shared" si="57"/>
        <v>#REF!</v>
      </c>
      <c r="BZ83" s="8" t="e">
        <f t="shared" si="57"/>
        <v>#REF!</v>
      </c>
      <c r="CA83" s="8" t="e">
        <f t="shared" si="57"/>
        <v>#REF!</v>
      </c>
      <c r="CE83" s="8">
        <v>78</v>
      </c>
      <c r="CF83" s="18" t="e">
        <f t="shared" si="58"/>
        <v>#REF!</v>
      </c>
      <c r="CG83" s="18" t="e">
        <f t="shared" si="59"/>
        <v>#REF!</v>
      </c>
      <c r="CH83" s="18" t="e">
        <f t="shared" si="60"/>
        <v>#REF!</v>
      </c>
      <c r="CI83" s="18" t="e">
        <f t="shared" si="61"/>
        <v>#REF!</v>
      </c>
      <c r="CJ83" s="18" t="e">
        <f t="shared" si="62"/>
        <v>#REF!</v>
      </c>
      <c r="CN83" s="8">
        <v>78</v>
      </c>
      <c r="CO83" s="18" t="e">
        <f t="shared" si="63"/>
        <v>#REF!</v>
      </c>
      <c r="CP83" s="18" t="e">
        <f t="shared" si="64"/>
        <v>#REF!</v>
      </c>
      <c r="CQ83" s="18" t="e">
        <f t="shared" si="65"/>
        <v>#REF!</v>
      </c>
      <c r="CR83" s="18" t="e">
        <f t="shared" si="66"/>
        <v>#REF!</v>
      </c>
      <c r="CS83" s="18" t="e">
        <f t="shared" si="67"/>
        <v>#REF!</v>
      </c>
      <c r="CW83" s="8">
        <v>78</v>
      </c>
      <c r="CX83" s="18" t="e">
        <f t="shared" si="68"/>
        <v>#REF!</v>
      </c>
      <c r="CY83" s="18" t="e">
        <f t="shared" si="69"/>
        <v>#REF!</v>
      </c>
      <c r="CZ83" s="18" t="e">
        <f t="shared" si="70"/>
        <v>#REF!</v>
      </c>
      <c r="DA83" s="18" t="e">
        <f t="shared" si="71"/>
        <v>#REF!</v>
      </c>
      <c r="DB83" s="18" t="e">
        <f t="shared" si="72"/>
        <v>#REF!</v>
      </c>
      <c r="DF83" s="8">
        <v>78</v>
      </c>
      <c r="DG83" s="8" t="e">
        <f t="shared" si="73"/>
        <v>#REF!</v>
      </c>
      <c r="DH83" s="8" t="e">
        <f t="shared" si="74"/>
        <v>#REF!</v>
      </c>
      <c r="DI83" s="8" t="e">
        <f t="shared" si="75"/>
        <v>#REF!</v>
      </c>
      <c r="DJ83" s="8" t="e">
        <f t="shared" si="76"/>
        <v>#REF!</v>
      </c>
      <c r="DK83" s="8" t="e">
        <f t="shared" si="77"/>
        <v>#REF!</v>
      </c>
      <c r="DO83" s="8">
        <v>78</v>
      </c>
      <c r="DP83" s="8" t="e">
        <f t="shared" si="78"/>
        <v>#REF!</v>
      </c>
      <c r="DQ83" s="8" t="e">
        <f t="shared" si="79"/>
        <v>#REF!</v>
      </c>
      <c r="DR83" s="8" t="e">
        <f t="shared" si="80"/>
        <v>#REF!</v>
      </c>
      <c r="DS83" s="8" t="e">
        <f t="shared" si="81"/>
        <v>#REF!</v>
      </c>
      <c r="DT83" s="8" t="e">
        <f t="shared" si="82"/>
        <v>#REF!</v>
      </c>
    </row>
    <row r="84" spans="2:124">
      <c r="B84" s="8">
        <v>77</v>
      </c>
      <c r="C84" s="19" t="e">
        <f t="shared" si="54"/>
        <v>#REF!</v>
      </c>
      <c r="D84" s="19" t="e">
        <f t="shared" si="54"/>
        <v>#REF!</v>
      </c>
      <c r="E84" s="19" t="e">
        <f t="shared" si="54"/>
        <v>#REF!</v>
      </c>
      <c r="F84" s="19" t="e">
        <f t="shared" si="54"/>
        <v>#REF!</v>
      </c>
      <c r="G84" s="19" t="e">
        <f t="shared" si="54"/>
        <v>#REF!</v>
      </c>
      <c r="H84" s="19" t="e">
        <f t="shared" si="53"/>
        <v>#REF!</v>
      </c>
      <c r="I84" s="19" t="e">
        <f t="shared" si="53"/>
        <v>#REF!</v>
      </c>
      <c r="J84" s="19" t="e">
        <f t="shared" si="53"/>
        <v>#REF!</v>
      </c>
      <c r="K84" s="19" t="e">
        <f t="shared" si="53"/>
        <v>#REF!</v>
      </c>
      <c r="L84" s="16" t="e">
        <f t="shared" si="53"/>
        <v>#REF!</v>
      </c>
      <c r="M84" s="16" t="e">
        <f t="shared" si="53"/>
        <v>#REF!</v>
      </c>
      <c r="AC84" s="8">
        <v>79</v>
      </c>
      <c r="AD84" s="8" t="e">
        <f>($C86*'[1]功能-城建'!EX82)*S$6+AD83</f>
        <v>#REF!</v>
      </c>
      <c r="AE84" s="8" t="e">
        <f>($C86*'[1]功能-城建'!EY82)*T$6+AE83</f>
        <v>#REF!</v>
      </c>
      <c r="AF84" s="8" t="e">
        <f>($C86*'[1]功能-城建'!EZ82)*U$6+AF83</f>
        <v>#REF!</v>
      </c>
      <c r="AG84" s="8" t="e">
        <f>($C86*'[1]功能-城建'!FA82)*V$6+AG83</f>
        <v>#REF!</v>
      </c>
      <c r="AH84" s="8" t="e">
        <f>($C86*'[1]功能-城建'!FB82)*W$6+AH83</f>
        <v>#REF!</v>
      </c>
      <c r="AL84" s="8">
        <v>79</v>
      </c>
      <c r="AM84" s="8" t="e">
        <f>($D86*'[1]功能-城建'!HM82)*S$6+AM83</f>
        <v>#REF!</v>
      </c>
      <c r="AN84" s="8" t="e">
        <f>($D86*'[1]功能-城建'!HN82)*T$6+AN83</f>
        <v>#REF!</v>
      </c>
      <c r="AO84" s="8" t="e">
        <f>($D86*'[1]功能-城建'!HO82)*U$6+AO83</f>
        <v>#REF!</v>
      </c>
      <c r="AP84" s="8" t="e">
        <f>($D86*'[1]功能-城建'!HP82)*V$6+AP83</f>
        <v>#REF!</v>
      </c>
      <c r="AQ84" s="8" t="e">
        <f>($D86*'[1]功能-城建'!HQ82)*W$6+AQ83</f>
        <v>#REF!</v>
      </c>
      <c r="AU84" s="8">
        <v>79</v>
      </c>
      <c r="AV84" s="8" t="e">
        <f>($E86*'[1]功能-城建'!GF82)*S$6+AV83</f>
        <v>#REF!</v>
      </c>
      <c r="AW84" s="8" t="e">
        <f>($E86*'[1]功能-城建'!GG82)*T$6+AW83</f>
        <v>#REF!</v>
      </c>
      <c r="AX84" s="8" t="e">
        <f>($E86*'[1]功能-城建'!GH82)*U$6+AX83</f>
        <v>#REF!</v>
      </c>
      <c r="AY84" s="8" t="e">
        <f>($E86*'[1]功能-城建'!GI82)*V$6+AY83</f>
        <v>#REF!</v>
      </c>
      <c r="AZ84" s="8" t="e">
        <f>($E86*'[1]功能-城建'!GJ82)*W$6+AZ83</f>
        <v>#REF!</v>
      </c>
      <c r="BD84" s="8">
        <v>79</v>
      </c>
      <c r="BE84" s="8" t="e">
        <f t="shared" si="55"/>
        <v>#REF!</v>
      </c>
      <c r="BF84" s="8" t="e">
        <f t="shared" si="55"/>
        <v>#REF!</v>
      </c>
      <c r="BG84" s="8" t="e">
        <f t="shared" si="55"/>
        <v>#REF!</v>
      </c>
      <c r="BH84" s="8" t="e">
        <f t="shared" si="55"/>
        <v>#REF!</v>
      </c>
      <c r="BI84" s="8" t="e">
        <f t="shared" si="55"/>
        <v>#REF!</v>
      </c>
      <c r="BM84" s="8">
        <v>79</v>
      </c>
      <c r="BN84" s="8" t="e">
        <f t="shared" si="56"/>
        <v>#REF!</v>
      </c>
      <c r="BO84" s="8" t="e">
        <f t="shared" si="56"/>
        <v>#REF!</v>
      </c>
      <c r="BP84" s="8" t="e">
        <f t="shared" si="56"/>
        <v>#REF!</v>
      </c>
      <c r="BQ84" s="8" t="e">
        <f t="shared" si="56"/>
        <v>#REF!</v>
      </c>
      <c r="BR84" s="8" t="e">
        <f t="shared" si="56"/>
        <v>#REF!</v>
      </c>
      <c r="BV84" s="8">
        <v>79</v>
      </c>
      <c r="BW84" s="8" t="e">
        <f t="shared" si="57"/>
        <v>#REF!</v>
      </c>
      <c r="BX84" s="8" t="e">
        <f t="shared" si="57"/>
        <v>#REF!</v>
      </c>
      <c r="BY84" s="8" t="e">
        <f t="shared" si="57"/>
        <v>#REF!</v>
      </c>
      <c r="BZ84" s="8" t="e">
        <f t="shared" si="57"/>
        <v>#REF!</v>
      </c>
      <c r="CA84" s="8" t="e">
        <f t="shared" si="57"/>
        <v>#REF!</v>
      </c>
      <c r="CE84" s="8">
        <v>79</v>
      </c>
      <c r="CF84" s="18" t="e">
        <f t="shared" si="58"/>
        <v>#REF!</v>
      </c>
      <c r="CG84" s="18" t="e">
        <f t="shared" si="59"/>
        <v>#REF!</v>
      </c>
      <c r="CH84" s="18" t="e">
        <f t="shared" si="60"/>
        <v>#REF!</v>
      </c>
      <c r="CI84" s="18" t="e">
        <f t="shared" si="61"/>
        <v>#REF!</v>
      </c>
      <c r="CJ84" s="18" t="e">
        <f t="shared" si="62"/>
        <v>#REF!</v>
      </c>
      <c r="CN84" s="8">
        <v>79</v>
      </c>
      <c r="CO84" s="18" t="e">
        <f t="shared" si="63"/>
        <v>#REF!</v>
      </c>
      <c r="CP84" s="18" t="e">
        <f t="shared" si="64"/>
        <v>#REF!</v>
      </c>
      <c r="CQ84" s="18" t="e">
        <f t="shared" si="65"/>
        <v>#REF!</v>
      </c>
      <c r="CR84" s="18" t="e">
        <f t="shared" si="66"/>
        <v>#REF!</v>
      </c>
      <c r="CS84" s="18" t="e">
        <f t="shared" si="67"/>
        <v>#REF!</v>
      </c>
      <c r="CW84" s="8">
        <v>79</v>
      </c>
      <c r="CX84" s="18" t="e">
        <f t="shared" si="68"/>
        <v>#REF!</v>
      </c>
      <c r="CY84" s="18" t="e">
        <f t="shared" si="69"/>
        <v>#REF!</v>
      </c>
      <c r="CZ84" s="18" t="e">
        <f t="shared" si="70"/>
        <v>#REF!</v>
      </c>
      <c r="DA84" s="18" t="e">
        <f t="shared" si="71"/>
        <v>#REF!</v>
      </c>
      <c r="DB84" s="18" t="e">
        <f t="shared" si="72"/>
        <v>#REF!</v>
      </c>
      <c r="DF84" s="8">
        <v>79</v>
      </c>
      <c r="DG84" s="8" t="e">
        <f t="shared" si="73"/>
        <v>#REF!</v>
      </c>
      <c r="DH84" s="8" t="e">
        <f t="shared" si="74"/>
        <v>#REF!</v>
      </c>
      <c r="DI84" s="8" t="e">
        <f t="shared" si="75"/>
        <v>#REF!</v>
      </c>
      <c r="DJ84" s="8" t="e">
        <f t="shared" si="76"/>
        <v>#REF!</v>
      </c>
      <c r="DK84" s="8" t="e">
        <f t="shared" si="77"/>
        <v>#REF!</v>
      </c>
      <c r="DO84" s="8">
        <v>79</v>
      </c>
      <c r="DP84" s="8" t="e">
        <f t="shared" si="78"/>
        <v>#REF!</v>
      </c>
      <c r="DQ84" s="8" t="e">
        <f t="shared" si="79"/>
        <v>#REF!</v>
      </c>
      <c r="DR84" s="8" t="e">
        <f t="shared" si="80"/>
        <v>#REF!</v>
      </c>
      <c r="DS84" s="8" t="e">
        <f t="shared" si="81"/>
        <v>#REF!</v>
      </c>
      <c r="DT84" s="8" t="e">
        <f t="shared" si="82"/>
        <v>#REF!</v>
      </c>
    </row>
    <row r="85" spans="2:124">
      <c r="B85" s="8">
        <v>78</v>
      </c>
      <c r="C85" s="19" t="e">
        <f t="shared" si="54"/>
        <v>#REF!</v>
      </c>
      <c r="D85" s="19" t="e">
        <f t="shared" si="54"/>
        <v>#REF!</v>
      </c>
      <c r="E85" s="19" t="e">
        <f t="shared" si="54"/>
        <v>#REF!</v>
      </c>
      <c r="F85" s="19" t="e">
        <f t="shared" si="54"/>
        <v>#REF!</v>
      </c>
      <c r="G85" s="19" t="e">
        <f t="shared" si="54"/>
        <v>#REF!</v>
      </c>
      <c r="H85" s="19" t="e">
        <f t="shared" ref="H85:M100" si="83">MIN(H$5,MAX(H$5/($D$2-$D$1)*($B85-$D$1),0))</f>
        <v>#REF!</v>
      </c>
      <c r="I85" s="19" t="e">
        <f t="shared" si="83"/>
        <v>#REF!</v>
      </c>
      <c r="J85" s="19" t="e">
        <f t="shared" si="83"/>
        <v>#REF!</v>
      </c>
      <c r="K85" s="19" t="e">
        <f t="shared" si="83"/>
        <v>#REF!</v>
      </c>
      <c r="L85" s="16" t="e">
        <f t="shared" si="83"/>
        <v>#REF!</v>
      </c>
      <c r="M85" s="16" t="e">
        <f t="shared" si="83"/>
        <v>#REF!</v>
      </c>
      <c r="AC85" s="8">
        <v>80</v>
      </c>
      <c r="AD85" s="8" t="e">
        <f>($C87*'[1]功能-城建'!EX83)*S$6+AD84</f>
        <v>#REF!</v>
      </c>
      <c r="AE85" s="8" t="e">
        <f>($C87*'[1]功能-城建'!EY83)*T$6+AE84</f>
        <v>#REF!</v>
      </c>
      <c r="AF85" s="8" t="e">
        <f>($C87*'[1]功能-城建'!EZ83)*U$6+AF84</f>
        <v>#REF!</v>
      </c>
      <c r="AG85" s="8" t="e">
        <f>($C87*'[1]功能-城建'!FA83)*V$6+AG84</f>
        <v>#REF!</v>
      </c>
      <c r="AH85" s="8" t="e">
        <f>($C87*'[1]功能-城建'!FB83)*W$6+AH84</f>
        <v>#REF!</v>
      </c>
      <c r="AL85" s="8">
        <v>80</v>
      </c>
      <c r="AM85" s="8" t="e">
        <f>($D87*'[1]功能-城建'!HM83)*S$6+AM84</f>
        <v>#REF!</v>
      </c>
      <c r="AN85" s="8" t="e">
        <f>($D87*'[1]功能-城建'!HN83)*T$6+AN84</f>
        <v>#REF!</v>
      </c>
      <c r="AO85" s="8" t="e">
        <f>($D87*'[1]功能-城建'!HO83)*U$6+AO84</f>
        <v>#REF!</v>
      </c>
      <c r="AP85" s="8" t="e">
        <f>($D87*'[1]功能-城建'!HP83)*V$6+AP84</f>
        <v>#REF!</v>
      </c>
      <c r="AQ85" s="8" t="e">
        <f>($D87*'[1]功能-城建'!HQ83)*W$6+AQ84</f>
        <v>#REF!</v>
      </c>
      <c r="AU85" s="8">
        <v>80</v>
      </c>
      <c r="AV85" s="8" t="e">
        <f>($E87*'[1]功能-城建'!GF83)*S$6+AV84</f>
        <v>#REF!</v>
      </c>
      <c r="AW85" s="8" t="e">
        <f>($E87*'[1]功能-城建'!GG83)*T$6+AW84</f>
        <v>#REF!</v>
      </c>
      <c r="AX85" s="8" t="e">
        <f>($E87*'[1]功能-城建'!GH83)*U$6+AX84</f>
        <v>#REF!</v>
      </c>
      <c r="AY85" s="8" t="e">
        <f>($E87*'[1]功能-城建'!GI83)*V$6+AY84</f>
        <v>#REF!</v>
      </c>
      <c r="AZ85" s="8" t="e">
        <f>($E87*'[1]功能-城建'!GJ83)*W$6+AZ84</f>
        <v>#REF!</v>
      </c>
      <c r="BD85" s="8">
        <v>80</v>
      </c>
      <c r="BE85" s="8" t="e">
        <f t="shared" si="55"/>
        <v>#REF!</v>
      </c>
      <c r="BF85" s="8" t="e">
        <f t="shared" si="55"/>
        <v>#REF!</v>
      </c>
      <c r="BG85" s="8" t="e">
        <f t="shared" si="55"/>
        <v>#REF!</v>
      </c>
      <c r="BH85" s="8" t="e">
        <f t="shared" si="55"/>
        <v>#REF!</v>
      </c>
      <c r="BI85" s="8" t="e">
        <f t="shared" si="55"/>
        <v>#REF!</v>
      </c>
      <c r="BM85" s="8">
        <v>80</v>
      </c>
      <c r="BN85" s="8" t="e">
        <f t="shared" si="56"/>
        <v>#REF!</v>
      </c>
      <c r="BO85" s="8" t="e">
        <f t="shared" si="56"/>
        <v>#REF!</v>
      </c>
      <c r="BP85" s="8" t="e">
        <f t="shared" si="56"/>
        <v>#REF!</v>
      </c>
      <c r="BQ85" s="8" t="e">
        <f t="shared" si="56"/>
        <v>#REF!</v>
      </c>
      <c r="BR85" s="8" t="e">
        <f t="shared" si="56"/>
        <v>#REF!</v>
      </c>
      <c r="BV85" s="8">
        <v>80</v>
      </c>
      <c r="BW85" s="8" t="e">
        <f t="shared" si="57"/>
        <v>#REF!</v>
      </c>
      <c r="BX85" s="8" t="e">
        <f t="shared" si="57"/>
        <v>#REF!</v>
      </c>
      <c r="BY85" s="8" t="e">
        <f t="shared" si="57"/>
        <v>#REF!</v>
      </c>
      <c r="BZ85" s="8" t="e">
        <f t="shared" si="57"/>
        <v>#REF!</v>
      </c>
      <c r="CA85" s="8" t="e">
        <f t="shared" si="57"/>
        <v>#REF!</v>
      </c>
      <c r="CE85" s="8">
        <v>80</v>
      </c>
      <c r="CF85" s="18" t="e">
        <f t="shared" si="58"/>
        <v>#REF!</v>
      </c>
      <c r="CG85" s="18" t="e">
        <f t="shared" si="59"/>
        <v>#REF!</v>
      </c>
      <c r="CH85" s="18" t="e">
        <f t="shared" si="60"/>
        <v>#REF!</v>
      </c>
      <c r="CI85" s="18" t="e">
        <f t="shared" si="61"/>
        <v>#REF!</v>
      </c>
      <c r="CJ85" s="18" t="e">
        <f t="shared" si="62"/>
        <v>#REF!</v>
      </c>
      <c r="CN85" s="8">
        <v>80</v>
      </c>
      <c r="CO85" s="18" t="e">
        <f t="shared" si="63"/>
        <v>#REF!</v>
      </c>
      <c r="CP85" s="18" t="e">
        <f t="shared" si="64"/>
        <v>#REF!</v>
      </c>
      <c r="CQ85" s="18" t="e">
        <f t="shared" si="65"/>
        <v>#REF!</v>
      </c>
      <c r="CR85" s="18" t="e">
        <f t="shared" si="66"/>
        <v>#REF!</v>
      </c>
      <c r="CS85" s="18" t="e">
        <f t="shared" si="67"/>
        <v>#REF!</v>
      </c>
      <c r="CW85" s="8">
        <v>80</v>
      </c>
      <c r="CX85" s="18" t="e">
        <f t="shared" si="68"/>
        <v>#REF!</v>
      </c>
      <c r="CY85" s="18" t="e">
        <f t="shared" si="69"/>
        <v>#REF!</v>
      </c>
      <c r="CZ85" s="18" t="e">
        <f t="shared" si="70"/>
        <v>#REF!</v>
      </c>
      <c r="DA85" s="18" t="e">
        <f t="shared" si="71"/>
        <v>#REF!</v>
      </c>
      <c r="DB85" s="18" t="e">
        <f t="shared" si="72"/>
        <v>#REF!</v>
      </c>
      <c r="DF85" s="8">
        <v>80</v>
      </c>
      <c r="DG85" s="8" t="e">
        <f t="shared" si="73"/>
        <v>#REF!</v>
      </c>
      <c r="DH85" s="8" t="e">
        <f t="shared" si="74"/>
        <v>#REF!</v>
      </c>
      <c r="DI85" s="8" t="e">
        <f t="shared" si="75"/>
        <v>#REF!</v>
      </c>
      <c r="DJ85" s="8" t="e">
        <f t="shared" si="76"/>
        <v>#REF!</v>
      </c>
      <c r="DK85" s="8" t="e">
        <f t="shared" si="77"/>
        <v>#REF!</v>
      </c>
      <c r="DO85" s="8">
        <v>80</v>
      </c>
      <c r="DP85" s="8" t="e">
        <f t="shared" si="78"/>
        <v>#REF!</v>
      </c>
      <c r="DQ85" s="8" t="e">
        <f t="shared" si="79"/>
        <v>#REF!</v>
      </c>
      <c r="DR85" s="8" t="e">
        <f t="shared" si="80"/>
        <v>#REF!</v>
      </c>
      <c r="DS85" s="8" t="e">
        <f t="shared" si="81"/>
        <v>#REF!</v>
      </c>
      <c r="DT85" s="8" t="e">
        <f t="shared" si="82"/>
        <v>#REF!</v>
      </c>
    </row>
    <row r="86" spans="2:124">
      <c r="B86" s="8">
        <v>79</v>
      </c>
      <c r="C86" s="19" t="e">
        <f t="shared" ref="C86:G101" si="84">MIN(C$5,MAX(C$5/($D$2-$D$1)*($B86-$D$1),0))</f>
        <v>#REF!</v>
      </c>
      <c r="D86" s="19" t="e">
        <f t="shared" si="84"/>
        <v>#REF!</v>
      </c>
      <c r="E86" s="19" t="e">
        <f t="shared" si="84"/>
        <v>#REF!</v>
      </c>
      <c r="F86" s="19" t="e">
        <f t="shared" si="84"/>
        <v>#REF!</v>
      </c>
      <c r="G86" s="19" t="e">
        <f t="shared" si="84"/>
        <v>#REF!</v>
      </c>
      <c r="H86" s="19" t="e">
        <f t="shared" si="83"/>
        <v>#REF!</v>
      </c>
      <c r="I86" s="19" t="e">
        <f t="shared" si="83"/>
        <v>#REF!</v>
      </c>
      <c r="J86" s="19" t="e">
        <f t="shared" si="83"/>
        <v>#REF!</v>
      </c>
      <c r="K86" s="19" t="e">
        <f t="shared" si="83"/>
        <v>#REF!</v>
      </c>
      <c r="L86" s="16" t="e">
        <f t="shared" si="83"/>
        <v>#REF!</v>
      </c>
      <c r="M86" s="16" t="e">
        <f t="shared" si="83"/>
        <v>#REF!</v>
      </c>
      <c r="AC86" s="8">
        <v>81</v>
      </c>
      <c r="AD86" s="8" t="e">
        <f>($C88*'[1]功能-城建'!EX84)*S$6+AD85</f>
        <v>#REF!</v>
      </c>
      <c r="AE86" s="8" t="e">
        <f>($C88*'[1]功能-城建'!EY84)*T$6+AE85</f>
        <v>#REF!</v>
      </c>
      <c r="AF86" s="8" t="e">
        <f>($C88*'[1]功能-城建'!EZ84)*U$6+AF85</f>
        <v>#REF!</v>
      </c>
      <c r="AG86" s="8" t="e">
        <f>($C88*'[1]功能-城建'!FA84)*V$6+AG85</f>
        <v>#REF!</v>
      </c>
      <c r="AH86" s="8" t="e">
        <f>($C88*'[1]功能-城建'!FB84)*W$6+AH85</f>
        <v>#REF!</v>
      </c>
      <c r="AL86" s="8">
        <v>81</v>
      </c>
      <c r="AM86" s="8" t="e">
        <f>($D88*'[1]功能-城建'!HM84)*S$6+AM85</f>
        <v>#REF!</v>
      </c>
      <c r="AN86" s="8" t="e">
        <f>($D88*'[1]功能-城建'!HN84)*T$6+AN85</f>
        <v>#REF!</v>
      </c>
      <c r="AO86" s="8" t="e">
        <f>($D88*'[1]功能-城建'!HO84)*U$6+AO85</f>
        <v>#REF!</v>
      </c>
      <c r="AP86" s="8" t="e">
        <f>($D88*'[1]功能-城建'!HP84)*V$6+AP85</f>
        <v>#REF!</v>
      </c>
      <c r="AQ86" s="8" t="e">
        <f>($D88*'[1]功能-城建'!HQ84)*W$6+AQ85</f>
        <v>#REF!</v>
      </c>
      <c r="AU86" s="8">
        <v>81</v>
      </c>
      <c r="AV86" s="8" t="e">
        <f>($E88*'[1]功能-城建'!GF84)*S$6+AV85</f>
        <v>#REF!</v>
      </c>
      <c r="AW86" s="8" t="e">
        <f>($E88*'[1]功能-城建'!GG84)*T$6+AW85</f>
        <v>#REF!</v>
      </c>
      <c r="AX86" s="8" t="e">
        <f>($E88*'[1]功能-城建'!GH84)*U$6+AX85</f>
        <v>#REF!</v>
      </c>
      <c r="AY86" s="8" t="e">
        <f>($E88*'[1]功能-城建'!GI84)*V$6+AY85</f>
        <v>#REF!</v>
      </c>
      <c r="AZ86" s="8" t="e">
        <f>($E88*'[1]功能-城建'!GJ84)*W$6+AZ85</f>
        <v>#REF!</v>
      </c>
      <c r="BD86" s="8">
        <v>81</v>
      </c>
      <c r="BE86" s="8" t="e">
        <f t="shared" si="55"/>
        <v>#REF!</v>
      </c>
      <c r="BF86" s="8" t="e">
        <f t="shared" si="55"/>
        <v>#REF!</v>
      </c>
      <c r="BG86" s="8" t="e">
        <f t="shared" si="55"/>
        <v>#REF!</v>
      </c>
      <c r="BH86" s="8" t="e">
        <f t="shared" si="55"/>
        <v>#REF!</v>
      </c>
      <c r="BI86" s="8" t="e">
        <f t="shared" si="55"/>
        <v>#REF!</v>
      </c>
      <c r="BM86" s="8">
        <v>81</v>
      </c>
      <c r="BN86" s="8" t="e">
        <f t="shared" si="56"/>
        <v>#REF!</v>
      </c>
      <c r="BO86" s="8" t="e">
        <f t="shared" si="56"/>
        <v>#REF!</v>
      </c>
      <c r="BP86" s="8" t="e">
        <f t="shared" si="56"/>
        <v>#REF!</v>
      </c>
      <c r="BQ86" s="8" t="e">
        <f t="shared" si="56"/>
        <v>#REF!</v>
      </c>
      <c r="BR86" s="8" t="e">
        <f t="shared" si="56"/>
        <v>#REF!</v>
      </c>
      <c r="BV86" s="8">
        <v>81</v>
      </c>
      <c r="BW86" s="8" t="e">
        <f t="shared" si="57"/>
        <v>#REF!</v>
      </c>
      <c r="BX86" s="8" t="e">
        <f t="shared" si="57"/>
        <v>#REF!</v>
      </c>
      <c r="BY86" s="8" t="e">
        <f t="shared" si="57"/>
        <v>#REF!</v>
      </c>
      <c r="BZ86" s="8" t="e">
        <f t="shared" si="57"/>
        <v>#REF!</v>
      </c>
      <c r="CA86" s="8" t="e">
        <f t="shared" si="57"/>
        <v>#REF!</v>
      </c>
      <c r="CE86" s="8">
        <v>81</v>
      </c>
      <c r="CF86" s="18" t="e">
        <f t="shared" si="58"/>
        <v>#REF!</v>
      </c>
      <c r="CG86" s="18" t="e">
        <f t="shared" si="59"/>
        <v>#REF!</v>
      </c>
      <c r="CH86" s="18" t="e">
        <f t="shared" si="60"/>
        <v>#REF!</v>
      </c>
      <c r="CI86" s="18" t="e">
        <f t="shared" si="61"/>
        <v>#REF!</v>
      </c>
      <c r="CJ86" s="18" t="e">
        <f t="shared" si="62"/>
        <v>#REF!</v>
      </c>
      <c r="CN86" s="8">
        <v>81</v>
      </c>
      <c r="CO86" s="18" t="e">
        <f t="shared" si="63"/>
        <v>#REF!</v>
      </c>
      <c r="CP86" s="18" t="e">
        <f t="shared" si="64"/>
        <v>#REF!</v>
      </c>
      <c r="CQ86" s="18" t="e">
        <f t="shared" si="65"/>
        <v>#REF!</v>
      </c>
      <c r="CR86" s="18" t="e">
        <f t="shared" si="66"/>
        <v>#REF!</v>
      </c>
      <c r="CS86" s="18" t="e">
        <f t="shared" si="67"/>
        <v>#REF!</v>
      </c>
      <c r="CW86" s="8">
        <v>81</v>
      </c>
      <c r="CX86" s="18" t="e">
        <f t="shared" si="68"/>
        <v>#REF!</v>
      </c>
      <c r="CY86" s="18" t="e">
        <f t="shared" si="69"/>
        <v>#REF!</v>
      </c>
      <c r="CZ86" s="18" t="e">
        <f t="shared" si="70"/>
        <v>#REF!</v>
      </c>
      <c r="DA86" s="18" t="e">
        <f t="shared" si="71"/>
        <v>#REF!</v>
      </c>
      <c r="DB86" s="18" t="e">
        <f t="shared" si="72"/>
        <v>#REF!</v>
      </c>
      <c r="DF86" s="8">
        <v>81</v>
      </c>
      <c r="DG86" s="8" t="e">
        <f t="shared" si="73"/>
        <v>#REF!</v>
      </c>
      <c r="DH86" s="8" t="e">
        <f t="shared" si="74"/>
        <v>#REF!</v>
      </c>
      <c r="DI86" s="8" t="e">
        <f t="shared" si="75"/>
        <v>#REF!</v>
      </c>
      <c r="DJ86" s="8" t="e">
        <f t="shared" si="76"/>
        <v>#REF!</v>
      </c>
      <c r="DK86" s="8" t="e">
        <f t="shared" si="77"/>
        <v>#REF!</v>
      </c>
      <c r="DO86" s="8">
        <v>81</v>
      </c>
      <c r="DP86" s="8" t="e">
        <f t="shared" si="78"/>
        <v>#REF!</v>
      </c>
      <c r="DQ86" s="8" t="e">
        <f t="shared" si="79"/>
        <v>#REF!</v>
      </c>
      <c r="DR86" s="8" t="e">
        <f t="shared" si="80"/>
        <v>#REF!</v>
      </c>
      <c r="DS86" s="8" t="e">
        <f t="shared" si="81"/>
        <v>#REF!</v>
      </c>
      <c r="DT86" s="8" t="e">
        <f t="shared" si="82"/>
        <v>#REF!</v>
      </c>
    </row>
    <row r="87" spans="2:124">
      <c r="B87" s="8">
        <v>80</v>
      </c>
      <c r="C87" s="19" t="e">
        <f t="shared" si="84"/>
        <v>#REF!</v>
      </c>
      <c r="D87" s="19" t="e">
        <f t="shared" si="84"/>
        <v>#REF!</v>
      </c>
      <c r="E87" s="19" t="e">
        <f t="shared" si="84"/>
        <v>#REF!</v>
      </c>
      <c r="F87" s="19" t="e">
        <f t="shared" si="84"/>
        <v>#REF!</v>
      </c>
      <c r="G87" s="19" t="e">
        <f t="shared" si="84"/>
        <v>#REF!</v>
      </c>
      <c r="H87" s="19" t="e">
        <f t="shared" si="83"/>
        <v>#REF!</v>
      </c>
      <c r="I87" s="19" t="e">
        <f t="shared" si="83"/>
        <v>#REF!</v>
      </c>
      <c r="J87" s="19" t="e">
        <f t="shared" si="83"/>
        <v>#REF!</v>
      </c>
      <c r="K87" s="19" t="e">
        <f t="shared" si="83"/>
        <v>#REF!</v>
      </c>
      <c r="L87" s="16" t="e">
        <f t="shared" si="83"/>
        <v>#REF!</v>
      </c>
      <c r="M87" s="16" t="e">
        <f t="shared" si="83"/>
        <v>#REF!</v>
      </c>
      <c r="AC87" s="8">
        <v>82</v>
      </c>
      <c r="AD87" s="8" t="e">
        <f>($C89*'[1]功能-城建'!EX85)*S$6+AD86</f>
        <v>#REF!</v>
      </c>
      <c r="AE87" s="8" t="e">
        <f>($C89*'[1]功能-城建'!EY85)*T$6+AE86</f>
        <v>#REF!</v>
      </c>
      <c r="AF87" s="8" t="e">
        <f>($C89*'[1]功能-城建'!EZ85)*U$6+AF86</f>
        <v>#REF!</v>
      </c>
      <c r="AG87" s="8" t="e">
        <f>($C89*'[1]功能-城建'!FA85)*V$6+AG86</f>
        <v>#REF!</v>
      </c>
      <c r="AH87" s="8" t="e">
        <f>($C89*'[1]功能-城建'!FB85)*W$6+AH86</f>
        <v>#REF!</v>
      </c>
      <c r="AL87" s="8">
        <v>82</v>
      </c>
      <c r="AM87" s="8" t="e">
        <f>($D89*'[1]功能-城建'!HM85)*S$6+AM86</f>
        <v>#REF!</v>
      </c>
      <c r="AN87" s="8" t="e">
        <f>($D89*'[1]功能-城建'!HN85)*T$6+AN86</f>
        <v>#REF!</v>
      </c>
      <c r="AO87" s="8" t="e">
        <f>($D89*'[1]功能-城建'!HO85)*U$6+AO86</f>
        <v>#REF!</v>
      </c>
      <c r="AP87" s="8" t="e">
        <f>($D89*'[1]功能-城建'!HP85)*V$6+AP86</f>
        <v>#REF!</v>
      </c>
      <c r="AQ87" s="8" t="e">
        <f>($D89*'[1]功能-城建'!HQ85)*W$6+AQ86</f>
        <v>#REF!</v>
      </c>
      <c r="AU87" s="8">
        <v>82</v>
      </c>
      <c r="AV87" s="8" t="e">
        <f>($E89*'[1]功能-城建'!GF85)*S$6+AV86</f>
        <v>#REF!</v>
      </c>
      <c r="AW87" s="8" t="e">
        <f>($E89*'[1]功能-城建'!GG85)*T$6+AW86</f>
        <v>#REF!</v>
      </c>
      <c r="AX87" s="8" t="e">
        <f>($E89*'[1]功能-城建'!GH85)*U$6+AX86</f>
        <v>#REF!</v>
      </c>
      <c r="AY87" s="8" t="e">
        <f>($E89*'[1]功能-城建'!GI85)*V$6+AY86</f>
        <v>#REF!</v>
      </c>
      <c r="AZ87" s="8" t="e">
        <f>($E89*'[1]功能-城建'!GJ85)*W$6+AZ86</f>
        <v>#REF!</v>
      </c>
      <c r="BD87" s="8">
        <v>82</v>
      </c>
      <c r="BE87" s="8" t="e">
        <f t="shared" ref="BE87:BI102" si="85">$F89*S$6</f>
        <v>#REF!</v>
      </c>
      <c r="BF87" s="8" t="e">
        <f t="shared" si="85"/>
        <v>#REF!</v>
      </c>
      <c r="BG87" s="8" t="e">
        <f t="shared" si="85"/>
        <v>#REF!</v>
      </c>
      <c r="BH87" s="8" t="e">
        <f t="shared" si="85"/>
        <v>#REF!</v>
      </c>
      <c r="BI87" s="8" t="e">
        <f t="shared" si="85"/>
        <v>#REF!</v>
      </c>
      <c r="BM87" s="8">
        <v>82</v>
      </c>
      <c r="BN87" s="8" t="e">
        <f t="shared" ref="BN87:BR102" si="86">$G89*S$6</f>
        <v>#REF!</v>
      </c>
      <c r="BO87" s="8" t="e">
        <f t="shared" si="86"/>
        <v>#REF!</v>
      </c>
      <c r="BP87" s="8" t="e">
        <f t="shared" si="86"/>
        <v>#REF!</v>
      </c>
      <c r="BQ87" s="8" t="e">
        <f t="shared" si="86"/>
        <v>#REF!</v>
      </c>
      <c r="BR87" s="8" t="e">
        <f t="shared" si="86"/>
        <v>#REF!</v>
      </c>
      <c r="BV87" s="8">
        <v>82</v>
      </c>
      <c r="BW87" s="8" t="e">
        <f t="shared" ref="BW87:CA102" si="87">$H89*S$6</f>
        <v>#REF!</v>
      </c>
      <c r="BX87" s="8" t="e">
        <f t="shared" si="87"/>
        <v>#REF!</v>
      </c>
      <c r="BY87" s="8" t="e">
        <f t="shared" si="87"/>
        <v>#REF!</v>
      </c>
      <c r="BZ87" s="8" t="e">
        <f t="shared" si="87"/>
        <v>#REF!</v>
      </c>
      <c r="CA87" s="8" t="e">
        <f t="shared" si="87"/>
        <v>#REF!</v>
      </c>
      <c r="CE87" s="8">
        <v>82</v>
      </c>
      <c r="CF87" s="18" t="e">
        <f t="shared" si="58"/>
        <v>#REF!</v>
      </c>
      <c r="CG87" s="18" t="e">
        <f t="shared" si="59"/>
        <v>#REF!</v>
      </c>
      <c r="CH87" s="18" t="e">
        <f t="shared" si="60"/>
        <v>#REF!</v>
      </c>
      <c r="CI87" s="18" t="e">
        <f t="shared" si="61"/>
        <v>#REF!</v>
      </c>
      <c r="CJ87" s="18" t="e">
        <f t="shared" si="62"/>
        <v>#REF!</v>
      </c>
      <c r="CN87" s="8">
        <v>82</v>
      </c>
      <c r="CO87" s="18" t="e">
        <f t="shared" si="63"/>
        <v>#REF!</v>
      </c>
      <c r="CP87" s="18" t="e">
        <f t="shared" si="64"/>
        <v>#REF!</v>
      </c>
      <c r="CQ87" s="18" t="e">
        <f t="shared" si="65"/>
        <v>#REF!</v>
      </c>
      <c r="CR87" s="18" t="e">
        <f t="shared" si="66"/>
        <v>#REF!</v>
      </c>
      <c r="CS87" s="18" t="e">
        <f t="shared" si="67"/>
        <v>#REF!</v>
      </c>
      <c r="CW87" s="8">
        <v>82</v>
      </c>
      <c r="CX87" s="18" t="e">
        <f t="shared" si="68"/>
        <v>#REF!</v>
      </c>
      <c r="CY87" s="18" t="e">
        <f t="shared" si="69"/>
        <v>#REF!</v>
      </c>
      <c r="CZ87" s="18" t="e">
        <f t="shared" si="70"/>
        <v>#REF!</v>
      </c>
      <c r="DA87" s="18" t="e">
        <f t="shared" si="71"/>
        <v>#REF!</v>
      </c>
      <c r="DB87" s="18" t="e">
        <f t="shared" si="72"/>
        <v>#REF!</v>
      </c>
      <c r="DF87" s="8">
        <v>82</v>
      </c>
      <c r="DG87" s="8" t="e">
        <f t="shared" si="73"/>
        <v>#REF!</v>
      </c>
      <c r="DH87" s="8" t="e">
        <f t="shared" si="74"/>
        <v>#REF!</v>
      </c>
      <c r="DI87" s="8" t="e">
        <f t="shared" si="75"/>
        <v>#REF!</v>
      </c>
      <c r="DJ87" s="8" t="e">
        <f t="shared" si="76"/>
        <v>#REF!</v>
      </c>
      <c r="DK87" s="8" t="e">
        <f t="shared" si="77"/>
        <v>#REF!</v>
      </c>
      <c r="DO87" s="8">
        <v>82</v>
      </c>
      <c r="DP87" s="8" t="e">
        <f t="shared" si="78"/>
        <v>#REF!</v>
      </c>
      <c r="DQ87" s="8" t="e">
        <f t="shared" si="79"/>
        <v>#REF!</v>
      </c>
      <c r="DR87" s="8" t="e">
        <f t="shared" si="80"/>
        <v>#REF!</v>
      </c>
      <c r="DS87" s="8" t="e">
        <f t="shared" si="81"/>
        <v>#REF!</v>
      </c>
      <c r="DT87" s="8" t="e">
        <f t="shared" si="82"/>
        <v>#REF!</v>
      </c>
    </row>
    <row r="88" spans="2:124">
      <c r="B88" s="8">
        <v>81</v>
      </c>
      <c r="C88" s="19" t="e">
        <f t="shared" si="84"/>
        <v>#REF!</v>
      </c>
      <c r="D88" s="19" t="e">
        <f t="shared" si="84"/>
        <v>#REF!</v>
      </c>
      <c r="E88" s="19" t="e">
        <f t="shared" si="84"/>
        <v>#REF!</v>
      </c>
      <c r="F88" s="19" t="e">
        <f t="shared" si="84"/>
        <v>#REF!</v>
      </c>
      <c r="G88" s="19" t="e">
        <f t="shared" si="84"/>
        <v>#REF!</v>
      </c>
      <c r="H88" s="19" t="e">
        <f t="shared" si="83"/>
        <v>#REF!</v>
      </c>
      <c r="I88" s="19" t="e">
        <f t="shared" si="83"/>
        <v>#REF!</v>
      </c>
      <c r="J88" s="19" t="e">
        <f t="shared" si="83"/>
        <v>#REF!</v>
      </c>
      <c r="K88" s="19" t="e">
        <f t="shared" si="83"/>
        <v>#REF!</v>
      </c>
      <c r="L88" s="16" t="e">
        <f t="shared" si="83"/>
        <v>#REF!</v>
      </c>
      <c r="M88" s="16" t="e">
        <f t="shared" si="83"/>
        <v>#REF!</v>
      </c>
      <c r="AC88" s="8">
        <v>83</v>
      </c>
      <c r="AD88" s="8" t="e">
        <f>($C90*'[1]功能-城建'!EX86)*S$6+AD87</f>
        <v>#REF!</v>
      </c>
      <c r="AE88" s="8" t="e">
        <f>($C90*'[1]功能-城建'!EY86)*T$6+AE87</f>
        <v>#REF!</v>
      </c>
      <c r="AF88" s="8" t="e">
        <f>($C90*'[1]功能-城建'!EZ86)*U$6+AF87</f>
        <v>#REF!</v>
      </c>
      <c r="AG88" s="8" t="e">
        <f>($C90*'[1]功能-城建'!FA86)*V$6+AG87</f>
        <v>#REF!</v>
      </c>
      <c r="AH88" s="8" t="e">
        <f>($C90*'[1]功能-城建'!FB86)*W$6+AH87</f>
        <v>#REF!</v>
      </c>
      <c r="AL88" s="8">
        <v>83</v>
      </c>
      <c r="AM88" s="8" t="e">
        <f>($D90*'[1]功能-城建'!HM86)*S$6+AM87</f>
        <v>#REF!</v>
      </c>
      <c r="AN88" s="8" t="e">
        <f>($D90*'[1]功能-城建'!HN86)*T$6+AN87</f>
        <v>#REF!</v>
      </c>
      <c r="AO88" s="8" t="e">
        <f>($D90*'[1]功能-城建'!HO86)*U$6+AO87</f>
        <v>#REF!</v>
      </c>
      <c r="AP88" s="8" t="e">
        <f>($D90*'[1]功能-城建'!HP86)*V$6+AP87</f>
        <v>#REF!</v>
      </c>
      <c r="AQ88" s="8" t="e">
        <f>($D90*'[1]功能-城建'!HQ86)*W$6+AQ87</f>
        <v>#REF!</v>
      </c>
      <c r="AU88" s="8">
        <v>83</v>
      </c>
      <c r="AV88" s="8" t="e">
        <f>($E90*'[1]功能-城建'!GF86)*S$6+AV87</f>
        <v>#REF!</v>
      </c>
      <c r="AW88" s="8" t="e">
        <f>($E90*'[1]功能-城建'!GG86)*T$6+AW87</f>
        <v>#REF!</v>
      </c>
      <c r="AX88" s="8" t="e">
        <f>($E90*'[1]功能-城建'!GH86)*U$6+AX87</f>
        <v>#REF!</v>
      </c>
      <c r="AY88" s="8" t="e">
        <f>($E90*'[1]功能-城建'!GI86)*V$6+AY87</f>
        <v>#REF!</v>
      </c>
      <c r="AZ88" s="8" t="e">
        <f>($E90*'[1]功能-城建'!GJ86)*W$6+AZ87</f>
        <v>#REF!</v>
      </c>
      <c r="BD88" s="8">
        <v>83</v>
      </c>
      <c r="BE88" s="8" t="e">
        <f t="shared" si="85"/>
        <v>#REF!</v>
      </c>
      <c r="BF88" s="8" t="e">
        <f t="shared" si="85"/>
        <v>#REF!</v>
      </c>
      <c r="BG88" s="8" t="e">
        <f t="shared" si="85"/>
        <v>#REF!</v>
      </c>
      <c r="BH88" s="8" t="e">
        <f t="shared" si="85"/>
        <v>#REF!</v>
      </c>
      <c r="BI88" s="8" t="e">
        <f t="shared" si="85"/>
        <v>#REF!</v>
      </c>
      <c r="BM88" s="8">
        <v>83</v>
      </c>
      <c r="BN88" s="8" t="e">
        <f t="shared" si="86"/>
        <v>#REF!</v>
      </c>
      <c r="BO88" s="8" t="e">
        <f t="shared" si="86"/>
        <v>#REF!</v>
      </c>
      <c r="BP88" s="8" t="e">
        <f t="shared" si="86"/>
        <v>#REF!</v>
      </c>
      <c r="BQ88" s="8" t="e">
        <f t="shared" si="86"/>
        <v>#REF!</v>
      </c>
      <c r="BR88" s="8" t="e">
        <f t="shared" si="86"/>
        <v>#REF!</v>
      </c>
      <c r="BV88" s="8">
        <v>83</v>
      </c>
      <c r="BW88" s="8" t="e">
        <f t="shared" si="87"/>
        <v>#REF!</v>
      </c>
      <c r="BX88" s="8" t="e">
        <f t="shared" si="87"/>
        <v>#REF!</v>
      </c>
      <c r="BY88" s="8" t="e">
        <f t="shared" si="87"/>
        <v>#REF!</v>
      </c>
      <c r="BZ88" s="8" t="e">
        <f t="shared" si="87"/>
        <v>#REF!</v>
      </c>
      <c r="CA88" s="8" t="e">
        <f t="shared" si="87"/>
        <v>#REF!</v>
      </c>
      <c r="CE88" s="8">
        <v>83</v>
      </c>
      <c r="CF88" s="18" t="e">
        <f t="shared" si="58"/>
        <v>#REF!</v>
      </c>
      <c r="CG88" s="18" t="e">
        <f t="shared" si="59"/>
        <v>#REF!</v>
      </c>
      <c r="CH88" s="18" t="e">
        <f t="shared" si="60"/>
        <v>#REF!</v>
      </c>
      <c r="CI88" s="18" t="e">
        <f t="shared" si="61"/>
        <v>#REF!</v>
      </c>
      <c r="CJ88" s="18" t="e">
        <f t="shared" si="62"/>
        <v>#REF!</v>
      </c>
      <c r="CN88" s="8">
        <v>83</v>
      </c>
      <c r="CO88" s="18" t="e">
        <f t="shared" si="63"/>
        <v>#REF!</v>
      </c>
      <c r="CP88" s="18" t="e">
        <f t="shared" si="64"/>
        <v>#REF!</v>
      </c>
      <c r="CQ88" s="18" t="e">
        <f t="shared" si="65"/>
        <v>#REF!</v>
      </c>
      <c r="CR88" s="18" t="e">
        <f t="shared" si="66"/>
        <v>#REF!</v>
      </c>
      <c r="CS88" s="18" t="e">
        <f t="shared" si="67"/>
        <v>#REF!</v>
      </c>
      <c r="CW88" s="8">
        <v>83</v>
      </c>
      <c r="CX88" s="18" t="e">
        <f t="shared" si="68"/>
        <v>#REF!</v>
      </c>
      <c r="CY88" s="18" t="e">
        <f t="shared" si="69"/>
        <v>#REF!</v>
      </c>
      <c r="CZ88" s="18" t="e">
        <f t="shared" si="70"/>
        <v>#REF!</v>
      </c>
      <c r="DA88" s="18" t="e">
        <f t="shared" si="71"/>
        <v>#REF!</v>
      </c>
      <c r="DB88" s="18" t="e">
        <f t="shared" si="72"/>
        <v>#REF!</v>
      </c>
      <c r="DF88" s="8">
        <v>83</v>
      </c>
      <c r="DG88" s="8" t="e">
        <f t="shared" si="73"/>
        <v>#REF!</v>
      </c>
      <c r="DH88" s="8" t="e">
        <f t="shared" si="74"/>
        <v>#REF!</v>
      </c>
      <c r="DI88" s="8" t="e">
        <f t="shared" si="75"/>
        <v>#REF!</v>
      </c>
      <c r="DJ88" s="8" t="e">
        <f t="shared" si="76"/>
        <v>#REF!</v>
      </c>
      <c r="DK88" s="8" t="e">
        <f t="shared" si="77"/>
        <v>#REF!</v>
      </c>
      <c r="DO88" s="8">
        <v>83</v>
      </c>
      <c r="DP88" s="8" t="e">
        <f t="shared" si="78"/>
        <v>#REF!</v>
      </c>
      <c r="DQ88" s="8" t="e">
        <f t="shared" si="79"/>
        <v>#REF!</v>
      </c>
      <c r="DR88" s="8" t="e">
        <f t="shared" si="80"/>
        <v>#REF!</v>
      </c>
      <c r="DS88" s="8" t="e">
        <f t="shared" si="81"/>
        <v>#REF!</v>
      </c>
      <c r="DT88" s="8" t="e">
        <f t="shared" si="82"/>
        <v>#REF!</v>
      </c>
    </row>
    <row r="89" spans="2:124">
      <c r="B89" s="8">
        <v>82</v>
      </c>
      <c r="C89" s="19" t="e">
        <f t="shared" si="84"/>
        <v>#REF!</v>
      </c>
      <c r="D89" s="19" t="e">
        <f t="shared" si="84"/>
        <v>#REF!</v>
      </c>
      <c r="E89" s="19" t="e">
        <f t="shared" si="84"/>
        <v>#REF!</v>
      </c>
      <c r="F89" s="19" t="e">
        <f t="shared" si="84"/>
        <v>#REF!</v>
      </c>
      <c r="G89" s="19" t="e">
        <f t="shared" si="84"/>
        <v>#REF!</v>
      </c>
      <c r="H89" s="19" t="e">
        <f t="shared" si="83"/>
        <v>#REF!</v>
      </c>
      <c r="I89" s="19" t="e">
        <f t="shared" si="83"/>
        <v>#REF!</v>
      </c>
      <c r="J89" s="19" t="e">
        <f t="shared" si="83"/>
        <v>#REF!</v>
      </c>
      <c r="K89" s="19" t="e">
        <f t="shared" si="83"/>
        <v>#REF!</v>
      </c>
      <c r="L89" s="16" t="e">
        <f t="shared" si="83"/>
        <v>#REF!</v>
      </c>
      <c r="M89" s="16" t="e">
        <f t="shared" si="83"/>
        <v>#REF!</v>
      </c>
      <c r="AC89" s="8">
        <v>84</v>
      </c>
      <c r="AD89" s="8" t="e">
        <f>($C91*'[1]功能-城建'!EX87)*S$6+AD88</f>
        <v>#REF!</v>
      </c>
      <c r="AE89" s="8" t="e">
        <f>($C91*'[1]功能-城建'!EY87)*T$6+AE88</f>
        <v>#REF!</v>
      </c>
      <c r="AF89" s="8" t="e">
        <f>($C91*'[1]功能-城建'!EZ87)*U$6+AF88</f>
        <v>#REF!</v>
      </c>
      <c r="AG89" s="8" t="e">
        <f>($C91*'[1]功能-城建'!FA87)*V$6+AG88</f>
        <v>#REF!</v>
      </c>
      <c r="AH89" s="8" t="e">
        <f>($C91*'[1]功能-城建'!FB87)*W$6+AH88</f>
        <v>#REF!</v>
      </c>
      <c r="AL89" s="8">
        <v>84</v>
      </c>
      <c r="AM89" s="8" t="e">
        <f>($D91*'[1]功能-城建'!HM87)*S$6+AM88</f>
        <v>#REF!</v>
      </c>
      <c r="AN89" s="8" t="e">
        <f>($D91*'[1]功能-城建'!HN87)*T$6+AN88</f>
        <v>#REF!</v>
      </c>
      <c r="AO89" s="8" t="e">
        <f>($D91*'[1]功能-城建'!HO87)*U$6+AO88</f>
        <v>#REF!</v>
      </c>
      <c r="AP89" s="8" t="e">
        <f>($D91*'[1]功能-城建'!HP87)*V$6+AP88</f>
        <v>#REF!</v>
      </c>
      <c r="AQ89" s="8" t="e">
        <f>($D91*'[1]功能-城建'!HQ87)*W$6+AQ88</f>
        <v>#REF!</v>
      </c>
      <c r="AU89" s="8">
        <v>84</v>
      </c>
      <c r="AV89" s="8" t="e">
        <f>($E91*'[1]功能-城建'!GF87)*S$6+AV88</f>
        <v>#REF!</v>
      </c>
      <c r="AW89" s="8" t="e">
        <f>($E91*'[1]功能-城建'!GG87)*T$6+AW88</f>
        <v>#REF!</v>
      </c>
      <c r="AX89" s="8" t="e">
        <f>($E91*'[1]功能-城建'!GH87)*U$6+AX88</f>
        <v>#REF!</v>
      </c>
      <c r="AY89" s="8" t="e">
        <f>($E91*'[1]功能-城建'!GI87)*V$6+AY88</f>
        <v>#REF!</v>
      </c>
      <c r="AZ89" s="8" t="e">
        <f>($E91*'[1]功能-城建'!GJ87)*W$6+AZ88</f>
        <v>#REF!</v>
      </c>
      <c r="BD89" s="8">
        <v>84</v>
      </c>
      <c r="BE89" s="8" t="e">
        <f t="shared" si="85"/>
        <v>#REF!</v>
      </c>
      <c r="BF89" s="8" t="e">
        <f t="shared" si="85"/>
        <v>#REF!</v>
      </c>
      <c r="BG89" s="8" t="e">
        <f t="shared" si="85"/>
        <v>#REF!</v>
      </c>
      <c r="BH89" s="8" t="e">
        <f t="shared" si="85"/>
        <v>#REF!</v>
      </c>
      <c r="BI89" s="8" t="e">
        <f t="shared" si="85"/>
        <v>#REF!</v>
      </c>
      <c r="BM89" s="8">
        <v>84</v>
      </c>
      <c r="BN89" s="8" t="e">
        <f t="shared" si="86"/>
        <v>#REF!</v>
      </c>
      <c r="BO89" s="8" t="e">
        <f t="shared" si="86"/>
        <v>#REF!</v>
      </c>
      <c r="BP89" s="8" t="e">
        <f t="shared" si="86"/>
        <v>#REF!</v>
      </c>
      <c r="BQ89" s="8" t="e">
        <f t="shared" si="86"/>
        <v>#REF!</v>
      </c>
      <c r="BR89" s="8" t="e">
        <f t="shared" si="86"/>
        <v>#REF!</v>
      </c>
      <c r="BV89" s="8">
        <v>84</v>
      </c>
      <c r="BW89" s="8" t="e">
        <f t="shared" si="87"/>
        <v>#REF!</v>
      </c>
      <c r="BX89" s="8" t="e">
        <f t="shared" si="87"/>
        <v>#REF!</v>
      </c>
      <c r="BY89" s="8" t="e">
        <f t="shared" si="87"/>
        <v>#REF!</v>
      </c>
      <c r="BZ89" s="8" t="e">
        <f t="shared" si="87"/>
        <v>#REF!</v>
      </c>
      <c r="CA89" s="8" t="e">
        <f t="shared" si="87"/>
        <v>#REF!</v>
      </c>
      <c r="CE89" s="8">
        <v>84</v>
      </c>
      <c r="CF89" s="18" t="e">
        <f t="shared" si="58"/>
        <v>#REF!</v>
      </c>
      <c r="CG89" s="18" t="e">
        <f t="shared" si="59"/>
        <v>#REF!</v>
      </c>
      <c r="CH89" s="18" t="e">
        <f t="shared" si="60"/>
        <v>#REF!</v>
      </c>
      <c r="CI89" s="18" t="e">
        <f t="shared" si="61"/>
        <v>#REF!</v>
      </c>
      <c r="CJ89" s="18" t="e">
        <f t="shared" si="62"/>
        <v>#REF!</v>
      </c>
      <c r="CN89" s="8">
        <v>84</v>
      </c>
      <c r="CO89" s="18" t="e">
        <f t="shared" si="63"/>
        <v>#REF!</v>
      </c>
      <c r="CP89" s="18" t="e">
        <f t="shared" si="64"/>
        <v>#REF!</v>
      </c>
      <c r="CQ89" s="18" t="e">
        <f t="shared" si="65"/>
        <v>#REF!</v>
      </c>
      <c r="CR89" s="18" t="e">
        <f t="shared" si="66"/>
        <v>#REF!</v>
      </c>
      <c r="CS89" s="18" t="e">
        <f t="shared" si="67"/>
        <v>#REF!</v>
      </c>
      <c r="CW89" s="8">
        <v>84</v>
      </c>
      <c r="CX89" s="18" t="e">
        <f t="shared" si="68"/>
        <v>#REF!</v>
      </c>
      <c r="CY89" s="18" t="e">
        <f t="shared" si="69"/>
        <v>#REF!</v>
      </c>
      <c r="CZ89" s="18" t="e">
        <f t="shared" si="70"/>
        <v>#REF!</v>
      </c>
      <c r="DA89" s="18" t="e">
        <f t="shared" si="71"/>
        <v>#REF!</v>
      </c>
      <c r="DB89" s="18" t="e">
        <f t="shared" si="72"/>
        <v>#REF!</v>
      </c>
      <c r="DF89" s="8">
        <v>84</v>
      </c>
      <c r="DG89" s="8" t="e">
        <f t="shared" si="73"/>
        <v>#REF!</v>
      </c>
      <c r="DH89" s="8" t="e">
        <f t="shared" si="74"/>
        <v>#REF!</v>
      </c>
      <c r="DI89" s="8" t="e">
        <f t="shared" si="75"/>
        <v>#REF!</v>
      </c>
      <c r="DJ89" s="8" t="e">
        <f t="shared" si="76"/>
        <v>#REF!</v>
      </c>
      <c r="DK89" s="8" t="e">
        <f t="shared" si="77"/>
        <v>#REF!</v>
      </c>
      <c r="DO89" s="8">
        <v>84</v>
      </c>
      <c r="DP89" s="8" t="e">
        <f t="shared" si="78"/>
        <v>#REF!</v>
      </c>
      <c r="DQ89" s="8" t="e">
        <f t="shared" si="79"/>
        <v>#REF!</v>
      </c>
      <c r="DR89" s="8" t="e">
        <f t="shared" si="80"/>
        <v>#REF!</v>
      </c>
      <c r="DS89" s="8" t="e">
        <f t="shared" si="81"/>
        <v>#REF!</v>
      </c>
      <c r="DT89" s="8" t="e">
        <f t="shared" si="82"/>
        <v>#REF!</v>
      </c>
    </row>
    <row r="90" spans="2:124">
      <c r="B90" s="8">
        <v>83</v>
      </c>
      <c r="C90" s="19" t="e">
        <f t="shared" si="84"/>
        <v>#REF!</v>
      </c>
      <c r="D90" s="19" t="e">
        <f t="shared" si="84"/>
        <v>#REF!</v>
      </c>
      <c r="E90" s="19" t="e">
        <f t="shared" si="84"/>
        <v>#REF!</v>
      </c>
      <c r="F90" s="19" t="e">
        <f t="shared" si="84"/>
        <v>#REF!</v>
      </c>
      <c r="G90" s="19" t="e">
        <f t="shared" si="84"/>
        <v>#REF!</v>
      </c>
      <c r="H90" s="19" t="e">
        <f t="shared" si="83"/>
        <v>#REF!</v>
      </c>
      <c r="I90" s="19" t="e">
        <f t="shared" si="83"/>
        <v>#REF!</v>
      </c>
      <c r="J90" s="19" t="e">
        <f t="shared" si="83"/>
        <v>#REF!</v>
      </c>
      <c r="K90" s="19" t="e">
        <f t="shared" si="83"/>
        <v>#REF!</v>
      </c>
      <c r="L90" s="16" t="e">
        <f t="shared" si="83"/>
        <v>#REF!</v>
      </c>
      <c r="M90" s="16" t="e">
        <f t="shared" si="83"/>
        <v>#REF!</v>
      </c>
      <c r="AC90" s="8">
        <v>85</v>
      </c>
      <c r="AD90" s="8" t="e">
        <f>($C92*'[1]功能-城建'!EX88)*S$6+AD89</f>
        <v>#REF!</v>
      </c>
      <c r="AE90" s="8" t="e">
        <f>($C92*'[1]功能-城建'!EY88)*T$6+AE89</f>
        <v>#REF!</v>
      </c>
      <c r="AF90" s="8" t="e">
        <f>($C92*'[1]功能-城建'!EZ88)*U$6+AF89</f>
        <v>#REF!</v>
      </c>
      <c r="AG90" s="8" t="e">
        <f>($C92*'[1]功能-城建'!FA88)*V$6+AG89</f>
        <v>#REF!</v>
      </c>
      <c r="AH90" s="8" t="e">
        <f>($C92*'[1]功能-城建'!FB88)*W$6+AH89</f>
        <v>#REF!</v>
      </c>
      <c r="AL90" s="8">
        <v>85</v>
      </c>
      <c r="AM90" s="8" t="e">
        <f>($D92*'[1]功能-城建'!HM88)*S$6+AM89</f>
        <v>#REF!</v>
      </c>
      <c r="AN90" s="8" t="e">
        <f>($D92*'[1]功能-城建'!HN88)*T$6+AN89</f>
        <v>#REF!</v>
      </c>
      <c r="AO90" s="8" t="e">
        <f>($D92*'[1]功能-城建'!HO88)*U$6+AO89</f>
        <v>#REF!</v>
      </c>
      <c r="AP90" s="8" t="e">
        <f>($D92*'[1]功能-城建'!HP88)*V$6+AP89</f>
        <v>#REF!</v>
      </c>
      <c r="AQ90" s="8" t="e">
        <f>($D92*'[1]功能-城建'!HQ88)*W$6+AQ89</f>
        <v>#REF!</v>
      </c>
      <c r="AU90" s="8">
        <v>85</v>
      </c>
      <c r="AV90" s="8" t="e">
        <f>($E92*'[1]功能-城建'!GF88)*S$6+AV89</f>
        <v>#REF!</v>
      </c>
      <c r="AW90" s="8" t="e">
        <f>($E92*'[1]功能-城建'!GG88)*T$6+AW89</f>
        <v>#REF!</v>
      </c>
      <c r="AX90" s="8" t="e">
        <f>($E92*'[1]功能-城建'!GH88)*U$6+AX89</f>
        <v>#REF!</v>
      </c>
      <c r="AY90" s="8" t="e">
        <f>($E92*'[1]功能-城建'!GI88)*V$6+AY89</f>
        <v>#REF!</v>
      </c>
      <c r="AZ90" s="8" t="e">
        <f>($E92*'[1]功能-城建'!GJ88)*W$6+AZ89</f>
        <v>#REF!</v>
      </c>
      <c r="BD90" s="8">
        <v>85</v>
      </c>
      <c r="BE90" s="8" t="e">
        <f t="shared" si="85"/>
        <v>#REF!</v>
      </c>
      <c r="BF90" s="8" t="e">
        <f t="shared" si="85"/>
        <v>#REF!</v>
      </c>
      <c r="BG90" s="8" t="e">
        <f t="shared" si="85"/>
        <v>#REF!</v>
      </c>
      <c r="BH90" s="8" t="e">
        <f t="shared" si="85"/>
        <v>#REF!</v>
      </c>
      <c r="BI90" s="8" t="e">
        <f t="shared" si="85"/>
        <v>#REF!</v>
      </c>
      <c r="BM90" s="8">
        <v>85</v>
      </c>
      <c r="BN90" s="8" t="e">
        <f t="shared" si="86"/>
        <v>#REF!</v>
      </c>
      <c r="BO90" s="8" t="e">
        <f t="shared" si="86"/>
        <v>#REF!</v>
      </c>
      <c r="BP90" s="8" t="e">
        <f t="shared" si="86"/>
        <v>#REF!</v>
      </c>
      <c r="BQ90" s="8" t="e">
        <f t="shared" si="86"/>
        <v>#REF!</v>
      </c>
      <c r="BR90" s="8" t="e">
        <f t="shared" si="86"/>
        <v>#REF!</v>
      </c>
      <c r="BV90" s="8">
        <v>85</v>
      </c>
      <c r="BW90" s="8" t="e">
        <f t="shared" si="87"/>
        <v>#REF!</v>
      </c>
      <c r="BX90" s="8" t="e">
        <f t="shared" si="87"/>
        <v>#REF!</v>
      </c>
      <c r="BY90" s="8" t="e">
        <f t="shared" si="87"/>
        <v>#REF!</v>
      </c>
      <c r="BZ90" s="8" t="e">
        <f t="shared" si="87"/>
        <v>#REF!</v>
      </c>
      <c r="CA90" s="8" t="e">
        <f t="shared" si="87"/>
        <v>#REF!</v>
      </c>
      <c r="CE90" s="8">
        <v>85</v>
      </c>
      <c r="CF90" s="18" t="e">
        <f t="shared" si="58"/>
        <v>#REF!</v>
      </c>
      <c r="CG90" s="18" t="e">
        <f t="shared" si="59"/>
        <v>#REF!</v>
      </c>
      <c r="CH90" s="18" t="e">
        <f t="shared" si="60"/>
        <v>#REF!</v>
      </c>
      <c r="CI90" s="18" t="e">
        <f t="shared" si="61"/>
        <v>#REF!</v>
      </c>
      <c r="CJ90" s="18" t="e">
        <f t="shared" si="62"/>
        <v>#REF!</v>
      </c>
      <c r="CN90" s="8">
        <v>85</v>
      </c>
      <c r="CO90" s="18" t="e">
        <f t="shared" si="63"/>
        <v>#REF!</v>
      </c>
      <c r="CP90" s="18" t="e">
        <f t="shared" si="64"/>
        <v>#REF!</v>
      </c>
      <c r="CQ90" s="18" t="e">
        <f t="shared" si="65"/>
        <v>#REF!</v>
      </c>
      <c r="CR90" s="18" t="e">
        <f t="shared" si="66"/>
        <v>#REF!</v>
      </c>
      <c r="CS90" s="18" t="e">
        <f t="shared" si="67"/>
        <v>#REF!</v>
      </c>
      <c r="CW90" s="8">
        <v>85</v>
      </c>
      <c r="CX90" s="18" t="e">
        <f t="shared" si="68"/>
        <v>#REF!</v>
      </c>
      <c r="CY90" s="18" t="e">
        <f t="shared" si="69"/>
        <v>#REF!</v>
      </c>
      <c r="CZ90" s="18" t="e">
        <f t="shared" si="70"/>
        <v>#REF!</v>
      </c>
      <c r="DA90" s="18" t="e">
        <f t="shared" si="71"/>
        <v>#REF!</v>
      </c>
      <c r="DB90" s="18" t="e">
        <f t="shared" si="72"/>
        <v>#REF!</v>
      </c>
      <c r="DF90" s="8">
        <v>85</v>
      </c>
      <c r="DG90" s="8" t="e">
        <f t="shared" si="73"/>
        <v>#REF!</v>
      </c>
      <c r="DH90" s="8" t="e">
        <f t="shared" si="74"/>
        <v>#REF!</v>
      </c>
      <c r="DI90" s="8" t="e">
        <f t="shared" si="75"/>
        <v>#REF!</v>
      </c>
      <c r="DJ90" s="8" t="e">
        <f t="shared" si="76"/>
        <v>#REF!</v>
      </c>
      <c r="DK90" s="8" t="e">
        <f t="shared" si="77"/>
        <v>#REF!</v>
      </c>
      <c r="DO90" s="8">
        <v>85</v>
      </c>
      <c r="DP90" s="8" t="e">
        <f t="shared" si="78"/>
        <v>#REF!</v>
      </c>
      <c r="DQ90" s="8" t="e">
        <f t="shared" si="79"/>
        <v>#REF!</v>
      </c>
      <c r="DR90" s="8" t="e">
        <f t="shared" si="80"/>
        <v>#REF!</v>
      </c>
      <c r="DS90" s="8" t="e">
        <f t="shared" si="81"/>
        <v>#REF!</v>
      </c>
      <c r="DT90" s="8" t="e">
        <f t="shared" si="82"/>
        <v>#REF!</v>
      </c>
    </row>
    <row r="91" spans="2:124">
      <c r="B91" s="8">
        <v>84</v>
      </c>
      <c r="C91" s="19" t="e">
        <f t="shared" si="84"/>
        <v>#REF!</v>
      </c>
      <c r="D91" s="19" t="e">
        <f t="shared" si="84"/>
        <v>#REF!</v>
      </c>
      <c r="E91" s="19" t="e">
        <f t="shared" si="84"/>
        <v>#REF!</v>
      </c>
      <c r="F91" s="19" t="e">
        <f t="shared" si="84"/>
        <v>#REF!</v>
      </c>
      <c r="G91" s="19" t="e">
        <f t="shared" si="84"/>
        <v>#REF!</v>
      </c>
      <c r="H91" s="19" t="e">
        <f t="shared" si="83"/>
        <v>#REF!</v>
      </c>
      <c r="I91" s="19" t="e">
        <f t="shared" si="83"/>
        <v>#REF!</v>
      </c>
      <c r="J91" s="19" t="e">
        <f t="shared" si="83"/>
        <v>#REF!</v>
      </c>
      <c r="K91" s="19" t="e">
        <f t="shared" si="83"/>
        <v>#REF!</v>
      </c>
      <c r="L91" s="16" t="e">
        <f t="shared" si="83"/>
        <v>#REF!</v>
      </c>
      <c r="M91" s="16" t="e">
        <f t="shared" si="83"/>
        <v>#REF!</v>
      </c>
      <c r="AC91" s="8">
        <v>86</v>
      </c>
      <c r="AD91" s="8" t="e">
        <f>($C93*'[1]功能-城建'!EX89)*S$6+AD90</f>
        <v>#REF!</v>
      </c>
      <c r="AE91" s="8" t="e">
        <f>($C93*'[1]功能-城建'!EY89)*T$6+AE90</f>
        <v>#REF!</v>
      </c>
      <c r="AF91" s="8" t="e">
        <f>($C93*'[1]功能-城建'!EZ89)*U$6+AF90</f>
        <v>#REF!</v>
      </c>
      <c r="AG91" s="8" t="e">
        <f>($C93*'[1]功能-城建'!FA89)*V$6+AG90</f>
        <v>#REF!</v>
      </c>
      <c r="AH91" s="8" t="e">
        <f>($C93*'[1]功能-城建'!FB89)*W$6+AH90</f>
        <v>#REF!</v>
      </c>
      <c r="AL91" s="8">
        <v>86</v>
      </c>
      <c r="AM91" s="8" t="e">
        <f>($D93*'[1]功能-城建'!HM89)*S$6+AM90</f>
        <v>#REF!</v>
      </c>
      <c r="AN91" s="8" t="e">
        <f>($D93*'[1]功能-城建'!HN89)*T$6+AN90</f>
        <v>#REF!</v>
      </c>
      <c r="AO91" s="8" t="e">
        <f>($D93*'[1]功能-城建'!HO89)*U$6+AO90</f>
        <v>#REF!</v>
      </c>
      <c r="AP91" s="8" t="e">
        <f>($D93*'[1]功能-城建'!HP89)*V$6+AP90</f>
        <v>#REF!</v>
      </c>
      <c r="AQ91" s="8" t="e">
        <f>($D93*'[1]功能-城建'!HQ89)*W$6+AQ90</f>
        <v>#REF!</v>
      </c>
      <c r="AU91" s="8">
        <v>86</v>
      </c>
      <c r="AV91" s="8" t="e">
        <f>($E93*'[1]功能-城建'!GF89)*S$6+AV90</f>
        <v>#REF!</v>
      </c>
      <c r="AW91" s="8" t="e">
        <f>($E93*'[1]功能-城建'!GG89)*T$6+AW90</f>
        <v>#REF!</v>
      </c>
      <c r="AX91" s="8" t="e">
        <f>($E93*'[1]功能-城建'!GH89)*U$6+AX90</f>
        <v>#REF!</v>
      </c>
      <c r="AY91" s="8" t="e">
        <f>($E93*'[1]功能-城建'!GI89)*V$6+AY90</f>
        <v>#REF!</v>
      </c>
      <c r="AZ91" s="8" t="e">
        <f>($E93*'[1]功能-城建'!GJ89)*W$6+AZ90</f>
        <v>#REF!</v>
      </c>
      <c r="BD91" s="8">
        <v>86</v>
      </c>
      <c r="BE91" s="8" t="e">
        <f t="shared" si="85"/>
        <v>#REF!</v>
      </c>
      <c r="BF91" s="8" t="e">
        <f t="shared" si="85"/>
        <v>#REF!</v>
      </c>
      <c r="BG91" s="8" t="e">
        <f t="shared" si="85"/>
        <v>#REF!</v>
      </c>
      <c r="BH91" s="8" t="e">
        <f t="shared" si="85"/>
        <v>#REF!</v>
      </c>
      <c r="BI91" s="8" t="e">
        <f t="shared" si="85"/>
        <v>#REF!</v>
      </c>
      <c r="BM91" s="8">
        <v>86</v>
      </c>
      <c r="BN91" s="8" t="e">
        <f t="shared" si="86"/>
        <v>#REF!</v>
      </c>
      <c r="BO91" s="8" t="e">
        <f t="shared" si="86"/>
        <v>#REF!</v>
      </c>
      <c r="BP91" s="8" t="e">
        <f t="shared" si="86"/>
        <v>#REF!</v>
      </c>
      <c r="BQ91" s="8" t="e">
        <f t="shared" si="86"/>
        <v>#REF!</v>
      </c>
      <c r="BR91" s="8" t="e">
        <f t="shared" si="86"/>
        <v>#REF!</v>
      </c>
      <c r="BV91" s="8">
        <v>86</v>
      </c>
      <c r="BW91" s="8" t="e">
        <f t="shared" si="87"/>
        <v>#REF!</v>
      </c>
      <c r="BX91" s="8" t="e">
        <f t="shared" si="87"/>
        <v>#REF!</v>
      </c>
      <c r="BY91" s="8" t="e">
        <f t="shared" si="87"/>
        <v>#REF!</v>
      </c>
      <c r="BZ91" s="8" t="e">
        <f t="shared" si="87"/>
        <v>#REF!</v>
      </c>
      <c r="CA91" s="8" t="e">
        <f t="shared" si="87"/>
        <v>#REF!</v>
      </c>
      <c r="CE91" s="8">
        <v>86</v>
      </c>
      <c r="CF91" s="18" t="e">
        <f t="shared" si="58"/>
        <v>#REF!</v>
      </c>
      <c r="CG91" s="18" t="e">
        <f t="shared" si="59"/>
        <v>#REF!</v>
      </c>
      <c r="CH91" s="18" t="e">
        <f t="shared" si="60"/>
        <v>#REF!</v>
      </c>
      <c r="CI91" s="18" t="e">
        <f t="shared" si="61"/>
        <v>#REF!</v>
      </c>
      <c r="CJ91" s="18" t="e">
        <f t="shared" si="62"/>
        <v>#REF!</v>
      </c>
      <c r="CN91" s="8">
        <v>86</v>
      </c>
      <c r="CO91" s="18" t="e">
        <f t="shared" si="63"/>
        <v>#REF!</v>
      </c>
      <c r="CP91" s="18" t="e">
        <f t="shared" si="64"/>
        <v>#REF!</v>
      </c>
      <c r="CQ91" s="18" t="e">
        <f t="shared" si="65"/>
        <v>#REF!</v>
      </c>
      <c r="CR91" s="18" t="e">
        <f t="shared" si="66"/>
        <v>#REF!</v>
      </c>
      <c r="CS91" s="18" t="e">
        <f t="shared" si="67"/>
        <v>#REF!</v>
      </c>
      <c r="CW91" s="8">
        <v>86</v>
      </c>
      <c r="CX91" s="18" t="e">
        <f t="shared" si="68"/>
        <v>#REF!</v>
      </c>
      <c r="CY91" s="18" t="e">
        <f t="shared" si="69"/>
        <v>#REF!</v>
      </c>
      <c r="CZ91" s="18" t="e">
        <f t="shared" si="70"/>
        <v>#REF!</v>
      </c>
      <c r="DA91" s="18" t="e">
        <f t="shared" si="71"/>
        <v>#REF!</v>
      </c>
      <c r="DB91" s="18" t="e">
        <f t="shared" si="72"/>
        <v>#REF!</v>
      </c>
      <c r="DF91" s="8">
        <v>86</v>
      </c>
      <c r="DG91" s="8" t="e">
        <f t="shared" si="73"/>
        <v>#REF!</v>
      </c>
      <c r="DH91" s="8" t="e">
        <f t="shared" si="74"/>
        <v>#REF!</v>
      </c>
      <c r="DI91" s="8" t="e">
        <f t="shared" si="75"/>
        <v>#REF!</v>
      </c>
      <c r="DJ91" s="8" t="e">
        <f t="shared" si="76"/>
        <v>#REF!</v>
      </c>
      <c r="DK91" s="8" t="e">
        <f t="shared" si="77"/>
        <v>#REF!</v>
      </c>
      <c r="DO91" s="8">
        <v>86</v>
      </c>
      <c r="DP91" s="8" t="e">
        <f t="shared" si="78"/>
        <v>#REF!</v>
      </c>
      <c r="DQ91" s="8" t="e">
        <f t="shared" si="79"/>
        <v>#REF!</v>
      </c>
      <c r="DR91" s="8" t="e">
        <f t="shared" si="80"/>
        <v>#REF!</v>
      </c>
      <c r="DS91" s="8" t="e">
        <f t="shared" si="81"/>
        <v>#REF!</v>
      </c>
      <c r="DT91" s="8" t="e">
        <f t="shared" si="82"/>
        <v>#REF!</v>
      </c>
    </row>
    <row r="92" spans="2:124">
      <c r="B92" s="8">
        <v>85</v>
      </c>
      <c r="C92" s="19" t="e">
        <f t="shared" si="84"/>
        <v>#REF!</v>
      </c>
      <c r="D92" s="19" t="e">
        <f t="shared" si="84"/>
        <v>#REF!</v>
      </c>
      <c r="E92" s="19" t="e">
        <f t="shared" si="84"/>
        <v>#REF!</v>
      </c>
      <c r="F92" s="19" t="e">
        <f t="shared" si="84"/>
        <v>#REF!</v>
      </c>
      <c r="G92" s="19" t="e">
        <f t="shared" si="84"/>
        <v>#REF!</v>
      </c>
      <c r="H92" s="19" t="e">
        <f t="shared" si="83"/>
        <v>#REF!</v>
      </c>
      <c r="I92" s="19" t="e">
        <f t="shared" si="83"/>
        <v>#REF!</v>
      </c>
      <c r="J92" s="19" t="e">
        <f t="shared" si="83"/>
        <v>#REF!</v>
      </c>
      <c r="K92" s="19" t="e">
        <f t="shared" si="83"/>
        <v>#REF!</v>
      </c>
      <c r="L92" s="16" t="e">
        <f t="shared" si="83"/>
        <v>#REF!</v>
      </c>
      <c r="M92" s="16" t="e">
        <f t="shared" si="83"/>
        <v>#REF!</v>
      </c>
      <c r="AC92" s="8">
        <v>87</v>
      </c>
      <c r="AD92" s="8" t="e">
        <f>($C94*'[1]功能-城建'!EX90)*S$6+AD91</f>
        <v>#REF!</v>
      </c>
      <c r="AE92" s="8" t="e">
        <f>($C94*'[1]功能-城建'!EY90)*T$6+AE91</f>
        <v>#REF!</v>
      </c>
      <c r="AF92" s="8" t="e">
        <f>($C94*'[1]功能-城建'!EZ90)*U$6+AF91</f>
        <v>#REF!</v>
      </c>
      <c r="AG92" s="8" t="e">
        <f>($C94*'[1]功能-城建'!FA90)*V$6+AG91</f>
        <v>#REF!</v>
      </c>
      <c r="AH92" s="8" t="e">
        <f>($C94*'[1]功能-城建'!FB90)*W$6+AH91</f>
        <v>#REF!</v>
      </c>
      <c r="AL92" s="8">
        <v>87</v>
      </c>
      <c r="AM92" s="8" t="e">
        <f>($D94*'[1]功能-城建'!HM90)*S$6+AM91</f>
        <v>#REF!</v>
      </c>
      <c r="AN92" s="8" t="e">
        <f>($D94*'[1]功能-城建'!HN90)*T$6+AN91</f>
        <v>#REF!</v>
      </c>
      <c r="AO92" s="8" t="e">
        <f>($D94*'[1]功能-城建'!HO90)*U$6+AO91</f>
        <v>#REF!</v>
      </c>
      <c r="AP92" s="8" t="e">
        <f>($D94*'[1]功能-城建'!HP90)*V$6+AP91</f>
        <v>#REF!</v>
      </c>
      <c r="AQ92" s="8" t="e">
        <f>($D94*'[1]功能-城建'!HQ90)*W$6+AQ91</f>
        <v>#REF!</v>
      </c>
      <c r="AU92" s="8">
        <v>87</v>
      </c>
      <c r="AV92" s="8" t="e">
        <f>($E94*'[1]功能-城建'!GF90)*S$6+AV91</f>
        <v>#REF!</v>
      </c>
      <c r="AW92" s="8" t="e">
        <f>($E94*'[1]功能-城建'!GG90)*T$6+AW91</f>
        <v>#REF!</v>
      </c>
      <c r="AX92" s="8" t="e">
        <f>($E94*'[1]功能-城建'!GH90)*U$6+AX91</f>
        <v>#REF!</v>
      </c>
      <c r="AY92" s="8" t="e">
        <f>($E94*'[1]功能-城建'!GI90)*V$6+AY91</f>
        <v>#REF!</v>
      </c>
      <c r="AZ92" s="8" t="e">
        <f>($E94*'[1]功能-城建'!GJ90)*W$6+AZ91</f>
        <v>#REF!</v>
      </c>
      <c r="BD92" s="8">
        <v>87</v>
      </c>
      <c r="BE92" s="8" t="e">
        <f t="shared" si="85"/>
        <v>#REF!</v>
      </c>
      <c r="BF92" s="8" t="e">
        <f t="shared" si="85"/>
        <v>#REF!</v>
      </c>
      <c r="BG92" s="8" t="e">
        <f t="shared" si="85"/>
        <v>#REF!</v>
      </c>
      <c r="BH92" s="8" t="e">
        <f t="shared" si="85"/>
        <v>#REF!</v>
      </c>
      <c r="BI92" s="8" t="e">
        <f t="shared" si="85"/>
        <v>#REF!</v>
      </c>
      <c r="BM92" s="8">
        <v>87</v>
      </c>
      <c r="BN92" s="8" t="e">
        <f t="shared" si="86"/>
        <v>#REF!</v>
      </c>
      <c r="BO92" s="8" t="e">
        <f t="shared" si="86"/>
        <v>#REF!</v>
      </c>
      <c r="BP92" s="8" t="e">
        <f t="shared" si="86"/>
        <v>#REF!</v>
      </c>
      <c r="BQ92" s="8" t="e">
        <f t="shared" si="86"/>
        <v>#REF!</v>
      </c>
      <c r="BR92" s="8" t="e">
        <f t="shared" si="86"/>
        <v>#REF!</v>
      </c>
      <c r="BV92" s="8">
        <v>87</v>
      </c>
      <c r="BW92" s="8" t="e">
        <f t="shared" si="87"/>
        <v>#REF!</v>
      </c>
      <c r="BX92" s="8" t="e">
        <f t="shared" si="87"/>
        <v>#REF!</v>
      </c>
      <c r="BY92" s="8" t="e">
        <f t="shared" si="87"/>
        <v>#REF!</v>
      </c>
      <c r="BZ92" s="8" t="e">
        <f t="shared" si="87"/>
        <v>#REF!</v>
      </c>
      <c r="CA92" s="8" t="e">
        <f t="shared" si="87"/>
        <v>#REF!</v>
      </c>
      <c r="CE92" s="8">
        <v>87</v>
      </c>
      <c r="CF92" s="18" t="e">
        <f t="shared" si="58"/>
        <v>#REF!</v>
      </c>
      <c r="CG92" s="18" t="e">
        <f t="shared" si="59"/>
        <v>#REF!</v>
      </c>
      <c r="CH92" s="18" t="e">
        <f t="shared" si="60"/>
        <v>#REF!</v>
      </c>
      <c r="CI92" s="18" t="e">
        <f t="shared" si="61"/>
        <v>#REF!</v>
      </c>
      <c r="CJ92" s="18" t="e">
        <f t="shared" si="62"/>
        <v>#REF!</v>
      </c>
      <c r="CN92" s="8">
        <v>87</v>
      </c>
      <c r="CO92" s="18" t="e">
        <f t="shared" si="63"/>
        <v>#REF!</v>
      </c>
      <c r="CP92" s="18" t="e">
        <f t="shared" si="64"/>
        <v>#REF!</v>
      </c>
      <c r="CQ92" s="18" t="e">
        <f t="shared" si="65"/>
        <v>#REF!</v>
      </c>
      <c r="CR92" s="18" t="e">
        <f t="shared" si="66"/>
        <v>#REF!</v>
      </c>
      <c r="CS92" s="18" t="e">
        <f t="shared" si="67"/>
        <v>#REF!</v>
      </c>
      <c r="CW92" s="8">
        <v>87</v>
      </c>
      <c r="CX92" s="18" t="e">
        <f t="shared" si="68"/>
        <v>#REF!</v>
      </c>
      <c r="CY92" s="18" t="e">
        <f t="shared" si="69"/>
        <v>#REF!</v>
      </c>
      <c r="CZ92" s="18" t="e">
        <f t="shared" si="70"/>
        <v>#REF!</v>
      </c>
      <c r="DA92" s="18" t="e">
        <f t="shared" si="71"/>
        <v>#REF!</v>
      </c>
      <c r="DB92" s="18" t="e">
        <f t="shared" si="72"/>
        <v>#REF!</v>
      </c>
      <c r="DF92" s="8">
        <v>87</v>
      </c>
      <c r="DG92" s="8" t="e">
        <f t="shared" si="73"/>
        <v>#REF!</v>
      </c>
      <c r="DH92" s="8" t="e">
        <f t="shared" si="74"/>
        <v>#REF!</v>
      </c>
      <c r="DI92" s="8" t="e">
        <f t="shared" si="75"/>
        <v>#REF!</v>
      </c>
      <c r="DJ92" s="8" t="e">
        <f t="shared" si="76"/>
        <v>#REF!</v>
      </c>
      <c r="DK92" s="8" t="e">
        <f t="shared" si="77"/>
        <v>#REF!</v>
      </c>
      <c r="DO92" s="8">
        <v>87</v>
      </c>
      <c r="DP92" s="8" t="e">
        <f t="shared" si="78"/>
        <v>#REF!</v>
      </c>
      <c r="DQ92" s="8" t="e">
        <f t="shared" si="79"/>
        <v>#REF!</v>
      </c>
      <c r="DR92" s="8" t="e">
        <f t="shared" si="80"/>
        <v>#REF!</v>
      </c>
      <c r="DS92" s="8" t="e">
        <f t="shared" si="81"/>
        <v>#REF!</v>
      </c>
      <c r="DT92" s="8" t="e">
        <f t="shared" si="82"/>
        <v>#REF!</v>
      </c>
    </row>
    <row r="93" spans="2:124">
      <c r="B93" s="8">
        <v>86</v>
      </c>
      <c r="C93" s="19" t="e">
        <f t="shared" si="84"/>
        <v>#REF!</v>
      </c>
      <c r="D93" s="19" t="e">
        <f t="shared" si="84"/>
        <v>#REF!</v>
      </c>
      <c r="E93" s="19" t="e">
        <f t="shared" si="84"/>
        <v>#REF!</v>
      </c>
      <c r="F93" s="19" t="e">
        <f t="shared" si="84"/>
        <v>#REF!</v>
      </c>
      <c r="G93" s="19" t="e">
        <f t="shared" si="84"/>
        <v>#REF!</v>
      </c>
      <c r="H93" s="19" t="e">
        <f t="shared" si="83"/>
        <v>#REF!</v>
      </c>
      <c r="I93" s="19" t="e">
        <f t="shared" si="83"/>
        <v>#REF!</v>
      </c>
      <c r="J93" s="19" t="e">
        <f t="shared" si="83"/>
        <v>#REF!</v>
      </c>
      <c r="K93" s="19" t="e">
        <f t="shared" si="83"/>
        <v>#REF!</v>
      </c>
      <c r="L93" s="16" t="e">
        <f t="shared" si="83"/>
        <v>#REF!</v>
      </c>
      <c r="M93" s="16" t="e">
        <f t="shared" si="83"/>
        <v>#REF!</v>
      </c>
      <c r="AC93" s="8">
        <v>88</v>
      </c>
      <c r="AD93" s="8" t="e">
        <f>($C95*'[1]功能-城建'!EX91)*S$6+AD92</f>
        <v>#REF!</v>
      </c>
      <c r="AE93" s="8" t="e">
        <f>($C95*'[1]功能-城建'!EY91)*T$6+AE92</f>
        <v>#REF!</v>
      </c>
      <c r="AF93" s="8" t="e">
        <f>($C95*'[1]功能-城建'!EZ91)*U$6+AF92</f>
        <v>#REF!</v>
      </c>
      <c r="AG93" s="8" t="e">
        <f>($C95*'[1]功能-城建'!FA91)*V$6+AG92</f>
        <v>#REF!</v>
      </c>
      <c r="AH93" s="8" t="e">
        <f>($C95*'[1]功能-城建'!FB91)*W$6+AH92</f>
        <v>#REF!</v>
      </c>
      <c r="AL93" s="8">
        <v>88</v>
      </c>
      <c r="AM93" s="8" t="e">
        <f>($D95*'[1]功能-城建'!HM91)*S$6+AM92</f>
        <v>#REF!</v>
      </c>
      <c r="AN93" s="8" t="e">
        <f>($D95*'[1]功能-城建'!HN91)*T$6+AN92</f>
        <v>#REF!</v>
      </c>
      <c r="AO93" s="8" t="e">
        <f>($D95*'[1]功能-城建'!HO91)*U$6+AO92</f>
        <v>#REF!</v>
      </c>
      <c r="AP93" s="8" t="e">
        <f>($D95*'[1]功能-城建'!HP91)*V$6+AP92</f>
        <v>#REF!</v>
      </c>
      <c r="AQ93" s="8" t="e">
        <f>($D95*'[1]功能-城建'!HQ91)*W$6+AQ92</f>
        <v>#REF!</v>
      </c>
      <c r="AU93" s="8">
        <v>88</v>
      </c>
      <c r="AV93" s="8" t="e">
        <f>($E95*'[1]功能-城建'!GF91)*S$6+AV92</f>
        <v>#REF!</v>
      </c>
      <c r="AW93" s="8" t="e">
        <f>($E95*'[1]功能-城建'!GG91)*T$6+AW92</f>
        <v>#REF!</v>
      </c>
      <c r="AX93" s="8" t="e">
        <f>($E95*'[1]功能-城建'!GH91)*U$6+AX92</f>
        <v>#REF!</v>
      </c>
      <c r="AY93" s="8" t="e">
        <f>($E95*'[1]功能-城建'!GI91)*V$6+AY92</f>
        <v>#REF!</v>
      </c>
      <c r="AZ93" s="8" t="e">
        <f>($E95*'[1]功能-城建'!GJ91)*W$6+AZ92</f>
        <v>#REF!</v>
      </c>
      <c r="BD93" s="8">
        <v>88</v>
      </c>
      <c r="BE93" s="8" t="e">
        <f t="shared" si="85"/>
        <v>#REF!</v>
      </c>
      <c r="BF93" s="8" t="e">
        <f t="shared" si="85"/>
        <v>#REF!</v>
      </c>
      <c r="BG93" s="8" t="e">
        <f t="shared" si="85"/>
        <v>#REF!</v>
      </c>
      <c r="BH93" s="8" t="e">
        <f t="shared" si="85"/>
        <v>#REF!</v>
      </c>
      <c r="BI93" s="8" t="e">
        <f t="shared" si="85"/>
        <v>#REF!</v>
      </c>
      <c r="BM93" s="8">
        <v>88</v>
      </c>
      <c r="BN93" s="8" t="e">
        <f t="shared" si="86"/>
        <v>#REF!</v>
      </c>
      <c r="BO93" s="8" t="e">
        <f t="shared" si="86"/>
        <v>#REF!</v>
      </c>
      <c r="BP93" s="8" t="e">
        <f t="shared" si="86"/>
        <v>#REF!</v>
      </c>
      <c r="BQ93" s="8" t="e">
        <f t="shared" si="86"/>
        <v>#REF!</v>
      </c>
      <c r="BR93" s="8" t="e">
        <f t="shared" si="86"/>
        <v>#REF!</v>
      </c>
      <c r="BV93" s="8">
        <v>88</v>
      </c>
      <c r="BW93" s="8" t="e">
        <f t="shared" si="87"/>
        <v>#REF!</v>
      </c>
      <c r="BX93" s="8" t="e">
        <f t="shared" si="87"/>
        <v>#REF!</v>
      </c>
      <c r="BY93" s="8" t="e">
        <f t="shared" si="87"/>
        <v>#REF!</v>
      </c>
      <c r="BZ93" s="8" t="e">
        <f t="shared" si="87"/>
        <v>#REF!</v>
      </c>
      <c r="CA93" s="8" t="e">
        <f t="shared" si="87"/>
        <v>#REF!</v>
      </c>
      <c r="CE93" s="8">
        <v>88</v>
      </c>
      <c r="CF93" s="18" t="e">
        <f t="shared" si="58"/>
        <v>#REF!</v>
      </c>
      <c r="CG93" s="18" t="e">
        <f t="shared" si="59"/>
        <v>#REF!</v>
      </c>
      <c r="CH93" s="18" t="e">
        <f t="shared" si="60"/>
        <v>#REF!</v>
      </c>
      <c r="CI93" s="18" t="e">
        <f t="shared" si="61"/>
        <v>#REF!</v>
      </c>
      <c r="CJ93" s="18" t="e">
        <f t="shared" si="62"/>
        <v>#REF!</v>
      </c>
      <c r="CN93" s="8">
        <v>88</v>
      </c>
      <c r="CO93" s="18" t="e">
        <f t="shared" si="63"/>
        <v>#REF!</v>
      </c>
      <c r="CP93" s="18" t="e">
        <f t="shared" si="64"/>
        <v>#REF!</v>
      </c>
      <c r="CQ93" s="18" t="e">
        <f t="shared" si="65"/>
        <v>#REF!</v>
      </c>
      <c r="CR93" s="18" t="e">
        <f t="shared" si="66"/>
        <v>#REF!</v>
      </c>
      <c r="CS93" s="18" t="e">
        <f t="shared" si="67"/>
        <v>#REF!</v>
      </c>
      <c r="CW93" s="8">
        <v>88</v>
      </c>
      <c r="CX93" s="18" t="e">
        <f t="shared" si="68"/>
        <v>#REF!</v>
      </c>
      <c r="CY93" s="18" t="e">
        <f t="shared" si="69"/>
        <v>#REF!</v>
      </c>
      <c r="CZ93" s="18" t="e">
        <f t="shared" si="70"/>
        <v>#REF!</v>
      </c>
      <c r="DA93" s="18" t="e">
        <f t="shared" si="71"/>
        <v>#REF!</v>
      </c>
      <c r="DB93" s="18" t="e">
        <f t="shared" si="72"/>
        <v>#REF!</v>
      </c>
      <c r="DF93" s="8">
        <v>88</v>
      </c>
      <c r="DG93" s="8" t="e">
        <f t="shared" si="73"/>
        <v>#REF!</v>
      </c>
      <c r="DH93" s="8" t="e">
        <f t="shared" si="74"/>
        <v>#REF!</v>
      </c>
      <c r="DI93" s="8" t="e">
        <f t="shared" si="75"/>
        <v>#REF!</v>
      </c>
      <c r="DJ93" s="8" t="e">
        <f t="shared" si="76"/>
        <v>#REF!</v>
      </c>
      <c r="DK93" s="8" t="e">
        <f t="shared" si="77"/>
        <v>#REF!</v>
      </c>
      <c r="DO93" s="8">
        <v>88</v>
      </c>
      <c r="DP93" s="8" t="e">
        <f t="shared" si="78"/>
        <v>#REF!</v>
      </c>
      <c r="DQ93" s="8" t="e">
        <f t="shared" si="79"/>
        <v>#REF!</v>
      </c>
      <c r="DR93" s="8" t="e">
        <f t="shared" si="80"/>
        <v>#REF!</v>
      </c>
      <c r="DS93" s="8" t="e">
        <f t="shared" si="81"/>
        <v>#REF!</v>
      </c>
      <c r="DT93" s="8" t="e">
        <f t="shared" si="82"/>
        <v>#REF!</v>
      </c>
    </row>
    <row r="94" spans="2:124">
      <c r="B94" s="8">
        <v>87</v>
      </c>
      <c r="C94" s="19" t="e">
        <f t="shared" si="84"/>
        <v>#REF!</v>
      </c>
      <c r="D94" s="19" t="e">
        <f t="shared" si="84"/>
        <v>#REF!</v>
      </c>
      <c r="E94" s="19" t="e">
        <f t="shared" si="84"/>
        <v>#REF!</v>
      </c>
      <c r="F94" s="19" t="e">
        <f t="shared" si="84"/>
        <v>#REF!</v>
      </c>
      <c r="G94" s="19" t="e">
        <f t="shared" si="84"/>
        <v>#REF!</v>
      </c>
      <c r="H94" s="19" t="e">
        <f t="shared" si="83"/>
        <v>#REF!</v>
      </c>
      <c r="I94" s="19" t="e">
        <f t="shared" si="83"/>
        <v>#REF!</v>
      </c>
      <c r="J94" s="19" t="e">
        <f t="shared" si="83"/>
        <v>#REF!</v>
      </c>
      <c r="K94" s="19" t="e">
        <f t="shared" si="83"/>
        <v>#REF!</v>
      </c>
      <c r="L94" s="16" t="e">
        <f t="shared" si="83"/>
        <v>#REF!</v>
      </c>
      <c r="M94" s="16" t="e">
        <f t="shared" si="83"/>
        <v>#REF!</v>
      </c>
      <c r="AC94" s="8">
        <v>89</v>
      </c>
      <c r="AD94" s="8" t="e">
        <f>($C96*'[1]功能-城建'!EX92)*S$6+AD93</f>
        <v>#REF!</v>
      </c>
      <c r="AE94" s="8" t="e">
        <f>($C96*'[1]功能-城建'!EY92)*T$6+AE93</f>
        <v>#REF!</v>
      </c>
      <c r="AF94" s="8" t="e">
        <f>($C96*'[1]功能-城建'!EZ92)*U$6+AF93</f>
        <v>#REF!</v>
      </c>
      <c r="AG94" s="8" t="e">
        <f>($C96*'[1]功能-城建'!FA92)*V$6+AG93</f>
        <v>#REF!</v>
      </c>
      <c r="AH94" s="8" t="e">
        <f>($C96*'[1]功能-城建'!FB92)*W$6+AH93</f>
        <v>#REF!</v>
      </c>
      <c r="AL94" s="8">
        <v>89</v>
      </c>
      <c r="AM94" s="8" t="e">
        <f>($D96*'[1]功能-城建'!HM92)*S$6+AM93</f>
        <v>#REF!</v>
      </c>
      <c r="AN94" s="8" t="e">
        <f>($D96*'[1]功能-城建'!HN92)*T$6+AN93</f>
        <v>#REF!</v>
      </c>
      <c r="AO94" s="8" t="e">
        <f>($D96*'[1]功能-城建'!HO92)*U$6+AO93</f>
        <v>#REF!</v>
      </c>
      <c r="AP94" s="8" t="e">
        <f>($D96*'[1]功能-城建'!HP92)*V$6+AP93</f>
        <v>#REF!</v>
      </c>
      <c r="AQ94" s="8" t="e">
        <f>($D96*'[1]功能-城建'!HQ92)*W$6+AQ93</f>
        <v>#REF!</v>
      </c>
      <c r="AU94" s="8">
        <v>89</v>
      </c>
      <c r="AV94" s="8" t="e">
        <f>($E96*'[1]功能-城建'!GF92)*S$6+AV93</f>
        <v>#REF!</v>
      </c>
      <c r="AW94" s="8" t="e">
        <f>($E96*'[1]功能-城建'!GG92)*T$6+AW93</f>
        <v>#REF!</v>
      </c>
      <c r="AX94" s="8" t="e">
        <f>($E96*'[1]功能-城建'!GH92)*U$6+AX93</f>
        <v>#REF!</v>
      </c>
      <c r="AY94" s="8" t="e">
        <f>($E96*'[1]功能-城建'!GI92)*V$6+AY93</f>
        <v>#REF!</v>
      </c>
      <c r="AZ94" s="8" t="e">
        <f>($E96*'[1]功能-城建'!GJ92)*W$6+AZ93</f>
        <v>#REF!</v>
      </c>
      <c r="BD94" s="8">
        <v>89</v>
      </c>
      <c r="BE94" s="8" t="e">
        <f t="shared" si="85"/>
        <v>#REF!</v>
      </c>
      <c r="BF94" s="8" t="e">
        <f t="shared" si="85"/>
        <v>#REF!</v>
      </c>
      <c r="BG94" s="8" t="e">
        <f t="shared" si="85"/>
        <v>#REF!</v>
      </c>
      <c r="BH94" s="8" t="e">
        <f t="shared" si="85"/>
        <v>#REF!</v>
      </c>
      <c r="BI94" s="8" t="e">
        <f t="shared" si="85"/>
        <v>#REF!</v>
      </c>
      <c r="BM94" s="8">
        <v>89</v>
      </c>
      <c r="BN94" s="8" t="e">
        <f t="shared" si="86"/>
        <v>#REF!</v>
      </c>
      <c r="BO94" s="8" t="e">
        <f t="shared" si="86"/>
        <v>#REF!</v>
      </c>
      <c r="BP94" s="8" t="e">
        <f t="shared" si="86"/>
        <v>#REF!</v>
      </c>
      <c r="BQ94" s="8" t="e">
        <f t="shared" si="86"/>
        <v>#REF!</v>
      </c>
      <c r="BR94" s="8" t="e">
        <f t="shared" si="86"/>
        <v>#REF!</v>
      </c>
      <c r="BV94" s="8">
        <v>89</v>
      </c>
      <c r="BW94" s="8" t="e">
        <f t="shared" si="87"/>
        <v>#REF!</v>
      </c>
      <c r="BX94" s="8" t="e">
        <f t="shared" si="87"/>
        <v>#REF!</v>
      </c>
      <c r="BY94" s="8" t="e">
        <f t="shared" si="87"/>
        <v>#REF!</v>
      </c>
      <c r="BZ94" s="8" t="e">
        <f t="shared" si="87"/>
        <v>#REF!</v>
      </c>
      <c r="CA94" s="8" t="e">
        <f t="shared" si="87"/>
        <v>#REF!</v>
      </c>
      <c r="CE94" s="8">
        <v>89</v>
      </c>
      <c r="CF94" s="18" t="e">
        <f t="shared" si="58"/>
        <v>#REF!</v>
      </c>
      <c r="CG94" s="18" t="e">
        <f t="shared" si="59"/>
        <v>#REF!</v>
      </c>
      <c r="CH94" s="18" t="e">
        <f t="shared" si="60"/>
        <v>#REF!</v>
      </c>
      <c r="CI94" s="18" t="e">
        <f t="shared" si="61"/>
        <v>#REF!</v>
      </c>
      <c r="CJ94" s="18" t="e">
        <f t="shared" si="62"/>
        <v>#REF!</v>
      </c>
      <c r="CN94" s="8">
        <v>89</v>
      </c>
      <c r="CO94" s="18" t="e">
        <f t="shared" si="63"/>
        <v>#REF!</v>
      </c>
      <c r="CP94" s="18" t="e">
        <f t="shared" si="64"/>
        <v>#REF!</v>
      </c>
      <c r="CQ94" s="18" t="e">
        <f t="shared" si="65"/>
        <v>#REF!</v>
      </c>
      <c r="CR94" s="18" t="e">
        <f t="shared" si="66"/>
        <v>#REF!</v>
      </c>
      <c r="CS94" s="18" t="e">
        <f t="shared" si="67"/>
        <v>#REF!</v>
      </c>
      <c r="CW94" s="8">
        <v>89</v>
      </c>
      <c r="CX94" s="18" t="e">
        <f t="shared" si="68"/>
        <v>#REF!</v>
      </c>
      <c r="CY94" s="18" t="e">
        <f t="shared" si="69"/>
        <v>#REF!</v>
      </c>
      <c r="CZ94" s="18" t="e">
        <f t="shared" si="70"/>
        <v>#REF!</v>
      </c>
      <c r="DA94" s="18" t="e">
        <f t="shared" si="71"/>
        <v>#REF!</v>
      </c>
      <c r="DB94" s="18" t="e">
        <f t="shared" si="72"/>
        <v>#REF!</v>
      </c>
      <c r="DF94" s="8">
        <v>89</v>
      </c>
      <c r="DG94" s="8" t="e">
        <f t="shared" si="73"/>
        <v>#REF!</v>
      </c>
      <c r="DH94" s="8" t="e">
        <f t="shared" si="74"/>
        <v>#REF!</v>
      </c>
      <c r="DI94" s="8" t="e">
        <f t="shared" si="75"/>
        <v>#REF!</v>
      </c>
      <c r="DJ94" s="8" t="e">
        <f t="shared" si="76"/>
        <v>#REF!</v>
      </c>
      <c r="DK94" s="8" t="e">
        <f t="shared" si="77"/>
        <v>#REF!</v>
      </c>
      <c r="DO94" s="8">
        <v>89</v>
      </c>
      <c r="DP94" s="8" t="e">
        <f t="shared" si="78"/>
        <v>#REF!</v>
      </c>
      <c r="DQ94" s="8" t="e">
        <f t="shared" si="79"/>
        <v>#REF!</v>
      </c>
      <c r="DR94" s="8" t="e">
        <f t="shared" si="80"/>
        <v>#REF!</v>
      </c>
      <c r="DS94" s="8" t="e">
        <f t="shared" si="81"/>
        <v>#REF!</v>
      </c>
      <c r="DT94" s="8" t="e">
        <f t="shared" si="82"/>
        <v>#REF!</v>
      </c>
    </row>
    <row r="95" spans="2:124">
      <c r="B95" s="8">
        <v>88</v>
      </c>
      <c r="C95" s="19" t="e">
        <f t="shared" si="84"/>
        <v>#REF!</v>
      </c>
      <c r="D95" s="19" t="e">
        <f t="shared" si="84"/>
        <v>#REF!</v>
      </c>
      <c r="E95" s="19" t="e">
        <f t="shared" si="84"/>
        <v>#REF!</v>
      </c>
      <c r="F95" s="19" t="e">
        <f t="shared" si="84"/>
        <v>#REF!</v>
      </c>
      <c r="G95" s="19" t="e">
        <f t="shared" si="84"/>
        <v>#REF!</v>
      </c>
      <c r="H95" s="19" t="e">
        <f t="shared" si="83"/>
        <v>#REF!</v>
      </c>
      <c r="I95" s="19" t="e">
        <f t="shared" si="83"/>
        <v>#REF!</v>
      </c>
      <c r="J95" s="19" t="e">
        <f t="shared" si="83"/>
        <v>#REF!</v>
      </c>
      <c r="K95" s="19" t="e">
        <f t="shared" si="83"/>
        <v>#REF!</v>
      </c>
      <c r="L95" s="16" t="e">
        <f t="shared" si="83"/>
        <v>#REF!</v>
      </c>
      <c r="M95" s="16" t="e">
        <f t="shared" si="83"/>
        <v>#REF!</v>
      </c>
      <c r="AC95" s="8">
        <v>90</v>
      </c>
      <c r="AD95" s="8" t="e">
        <f>($C97*'[1]功能-城建'!EX93)*S$6+AD94</f>
        <v>#REF!</v>
      </c>
      <c r="AE95" s="8" t="e">
        <f>($C97*'[1]功能-城建'!EY93)*T$6+AE94</f>
        <v>#REF!</v>
      </c>
      <c r="AF95" s="8" t="e">
        <f>($C97*'[1]功能-城建'!EZ93)*U$6+AF94</f>
        <v>#REF!</v>
      </c>
      <c r="AG95" s="8" t="e">
        <f>($C97*'[1]功能-城建'!FA93)*V$6+AG94</f>
        <v>#REF!</v>
      </c>
      <c r="AH95" s="8" t="e">
        <f>($C97*'[1]功能-城建'!FB93)*W$6+AH94</f>
        <v>#REF!</v>
      </c>
      <c r="AL95" s="8">
        <v>90</v>
      </c>
      <c r="AM95" s="8" t="e">
        <f>($D97*'[1]功能-城建'!HM93)*S$6+AM94</f>
        <v>#REF!</v>
      </c>
      <c r="AN95" s="8" t="e">
        <f>($D97*'[1]功能-城建'!HN93)*T$6+AN94</f>
        <v>#REF!</v>
      </c>
      <c r="AO95" s="8" t="e">
        <f>($D97*'[1]功能-城建'!HO93)*U$6+AO94</f>
        <v>#REF!</v>
      </c>
      <c r="AP95" s="8" t="e">
        <f>($D97*'[1]功能-城建'!HP93)*V$6+AP94</f>
        <v>#REF!</v>
      </c>
      <c r="AQ95" s="8" t="e">
        <f>($D97*'[1]功能-城建'!HQ93)*W$6+AQ94</f>
        <v>#REF!</v>
      </c>
      <c r="AU95" s="8">
        <v>90</v>
      </c>
      <c r="AV95" s="8" t="e">
        <f>($E97*'[1]功能-城建'!GF93)*S$6+AV94</f>
        <v>#REF!</v>
      </c>
      <c r="AW95" s="8" t="e">
        <f>($E97*'[1]功能-城建'!GG93)*T$6+AW94</f>
        <v>#REF!</v>
      </c>
      <c r="AX95" s="8" t="e">
        <f>($E97*'[1]功能-城建'!GH93)*U$6+AX94</f>
        <v>#REF!</v>
      </c>
      <c r="AY95" s="8" t="e">
        <f>($E97*'[1]功能-城建'!GI93)*V$6+AY94</f>
        <v>#REF!</v>
      </c>
      <c r="AZ95" s="8" t="e">
        <f>($E97*'[1]功能-城建'!GJ93)*W$6+AZ94</f>
        <v>#REF!</v>
      </c>
      <c r="BD95" s="8">
        <v>90</v>
      </c>
      <c r="BE95" s="8" t="e">
        <f t="shared" si="85"/>
        <v>#REF!</v>
      </c>
      <c r="BF95" s="8" t="e">
        <f t="shared" si="85"/>
        <v>#REF!</v>
      </c>
      <c r="BG95" s="8" t="e">
        <f t="shared" si="85"/>
        <v>#REF!</v>
      </c>
      <c r="BH95" s="8" t="e">
        <f t="shared" si="85"/>
        <v>#REF!</v>
      </c>
      <c r="BI95" s="8" t="e">
        <f t="shared" si="85"/>
        <v>#REF!</v>
      </c>
      <c r="BM95" s="8">
        <v>90</v>
      </c>
      <c r="BN95" s="8" t="e">
        <f t="shared" si="86"/>
        <v>#REF!</v>
      </c>
      <c r="BO95" s="8" t="e">
        <f t="shared" si="86"/>
        <v>#REF!</v>
      </c>
      <c r="BP95" s="8" t="e">
        <f t="shared" si="86"/>
        <v>#REF!</v>
      </c>
      <c r="BQ95" s="8" t="e">
        <f t="shared" si="86"/>
        <v>#REF!</v>
      </c>
      <c r="BR95" s="8" t="e">
        <f t="shared" si="86"/>
        <v>#REF!</v>
      </c>
      <c r="BV95" s="8">
        <v>90</v>
      </c>
      <c r="BW95" s="8" t="e">
        <f t="shared" si="87"/>
        <v>#REF!</v>
      </c>
      <c r="BX95" s="8" t="e">
        <f t="shared" si="87"/>
        <v>#REF!</v>
      </c>
      <c r="BY95" s="8" t="e">
        <f t="shared" si="87"/>
        <v>#REF!</v>
      </c>
      <c r="BZ95" s="8" t="e">
        <f t="shared" si="87"/>
        <v>#REF!</v>
      </c>
      <c r="CA95" s="8" t="e">
        <f t="shared" si="87"/>
        <v>#REF!</v>
      </c>
      <c r="CE95" s="8">
        <v>90</v>
      </c>
      <c r="CF95" s="18" t="e">
        <f t="shared" si="58"/>
        <v>#REF!</v>
      </c>
      <c r="CG95" s="18" t="e">
        <f t="shared" si="59"/>
        <v>#REF!</v>
      </c>
      <c r="CH95" s="18" t="e">
        <f t="shared" si="60"/>
        <v>#REF!</v>
      </c>
      <c r="CI95" s="18" t="e">
        <f t="shared" si="61"/>
        <v>#REF!</v>
      </c>
      <c r="CJ95" s="18" t="e">
        <f t="shared" si="62"/>
        <v>#REF!</v>
      </c>
      <c r="CN95" s="8">
        <v>90</v>
      </c>
      <c r="CO95" s="18" t="e">
        <f t="shared" si="63"/>
        <v>#REF!</v>
      </c>
      <c r="CP95" s="18" t="e">
        <f t="shared" si="64"/>
        <v>#REF!</v>
      </c>
      <c r="CQ95" s="18" t="e">
        <f t="shared" si="65"/>
        <v>#REF!</v>
      </c>
      <c r="CR95" s="18" t="e">
        <f t="shared" si="66"/>
        <v>#REF!</v>
      </c>
      <c r="CS95" s="18" t="e">
        <f t="shared" si="67"/>
        <v>#REF!</v>
      </c>
      <c r="CW95" s="8">
        <v>90</v>
      </c>
      <c r="CX95" s="18" t="e">
        <f t="shared" si="68"/>
        <v>#REF!</v>
      </c>
      <c r="CY95" s="18" t="e">
        <f t="shared" si="69"/>
        <v>#REF!</v>
      </c>
      <c r="CZ95" s="18" t="e">
        <f t="shared" si="70"/>
        <v>#REF!</v>
      </c>
      <c r="DA95" s="18" t="e">
        <f t="shared" si="71"/>
        <v>#REF!</v>
      </c>
      <c r="DB95" s="18" t="e">
        <f t="shared" si="72"/>
        <v>#REF!</v>
      </c>
      <c r="DF95" s="8">
        <v>90</v>
      </c>
      <c r="DG95" s="8" t="e">
        <f t="shared" si="73"/>
        <v>#REF!</v>
      </c>
      <c r="DH95" s="8" t="e">
        <f t="shared" si="74"/>
        <v>#REF!</v>
      </c>
      <c r="DI95" s="8" t="e">
        <f t="shared" si="75"/>
        <v>#REF!</v>
      </c>
      <c r="DJ95" s="8" t="e">
        <f t="shared" si="76"/>
        <v>#REF!</v>
      </c>
      <c r="DK95" s="8" t="e">
        <f t="shared" si="77"/>
        <v>#REF!</v>
      </c>
      <c r="DO95" s="8">
        <v>90</v>
      </c>
      <c r="DP95" s="8" t="e">
        <f t="shared" si="78"/>
        <v>#REF!</v>
      </c>
      <c r="DQ95" s="8" t="e">
        <f t="shared" si="79"/>
        <v>#REF!</v>
      </c>
      <c r="DR95" s="8" t="e">
        <f t="shared" si="80"/>
        <v>#REF!</v>
      </c>
      <c r="DS95" s="8" t="e">
        <f t="shared" si="81"/>
        <v>#REF!</v>
      </c>
      <c r="DT95" s="8" t="e">
        <f t="shared" si="82"/>
        <v>#REF!</v>
      </c>
    </row>
    <row r="96" spans="2:124">
      <c r="B96" s="8">
        <v>89</v>
      </c>
      <c r="C96" s="19" t="e">
        <f t="shared" si="84"/>
        <v>#REF!</v>
      </c>
      <c r="D96" s="19" t="e">
        <f t="shared" si="84"/>
        <v>#REF!</v>
      </c>
      <c r="E96" s="19" t="e">
        <f t="shared" si="84"/>
        <v>#REF!</v>
      </c>
      <c r="F96" s="19" t="e">
        <f t="shared" si="84"/>
        <v>#REF!</v>
      </c>
      <c r="G96" s="19" t="e">
        <f t="shared" si="84"/>
        <v>#REF!</v>
      </c>
      <c r="H96" s="19" t="e">
        <f t="shared" si="83"/>
        <v>#REF!</v>
      </c>
      <c r="I96" s="19" t="e">
        <f t="shared" si="83"/>
        <v>#REF!</v>
      </c>
      <c r="J96" s="19" t="e">
        <f t="shared" si="83"/>
        <v>#REF!</v>
      </c>
      <c r="K96" s="19" t="e">
        <f t="shared" si="83"/>
        <v>#REF!</v>
      </c>
      <c r="L96" s="16" t="e">
        <f t="shared" si="83"/>
        <v>#REF!</v>
      </c>
      <c r="M96" s="16" t="e">
        <f t="shared" si="83"/>
        <v>#REF!</v>
      </c>
      <c r="AC96" s="8">
        <v>91</v>
      </c>
      <c r="AD96" s="8" t="e">
        <f>($C98*'[1]功能-城建'!EX94)*S$6+AD95</f>
        <v>#REF!</v>
      </c>
      <c r="AE96" s="8" t="e">
        <f>($C98*'[1]功能-城建'!EY94)*T$6+AE95</f>
        <v>#REF!</v>
      </c>
      <c r="AF96" s="8" t="e">
        <f>($C98*'[1]功能-城建'!EZ94)*U$6+AF95</f>
        <v>#REF!</v>
      </c>
      <c r="AG96" s="8" t="e">
        <f>($C98*'[1]功能-城建'!FA94)*V$6+AG95</f>
        <v>#REF!</v>
      </c>
      <c r="AH96" s="8" t="e">
        <f>($C98*'[1]功能-城建'!FB94)*W$6+AH95</f>
        <v>#REF!</v>
      </c>
      <c r="AL96" s="8">
        <v>91</v>
      </c>
      <c r="AM96" s="8" t="e">
        <f>($D98*'[1]功能-城建'!HM94)*S$6+AM95</f>
        <v>#REF!</v>
      </c>
      <c r="AN96" s="8" t="e">
        <f>($D98*'[1]功能-城建'!HN94)*T$6+AN95</f>
        <v>#REF!</v>
      </c>
      <c r="AO96" s="8" t="e">
        <f>($D98*'[1]功能-城建'!HO94)*U$6+AO95</f>
        <v>#REF!</v>
      </c>
      <c r="AP96" s="8" t="e">
        <f>($D98*'[1]功能-城建'!HP94)*V$6+AP95</f>
        <v>#REF!</v>
      </c>
      <c r="AQ96" s="8" t="e">
        <f>($D98*'[1]功能-城建'!HQ94)*W$6+AQ95</f>
        <v>#REF!</v>
      </c>
      <c r="AU96" s="8">
        <v>91</v>
      </c>
      <c r="AV96" s="8" t="e">
        <f>($E98*'[1]功能-城建'!GF94)*S$6+AV95</f>
        <v>#REF!</v>
      </c>
      <c r="AW96" s="8" t="e">
        <f>($E98*'[1]功能-城建'!GG94)*T$6+AW95</f>
        <v>#REF!</v>
      </c>
      <c r="AX96" s="8" t="e">
        <f>($E98*'[1]功能-城建'!GH94)*U$6+AX95</f>
        <v>#REF!</v>
      </c>
      <c r="AY96" s="8" t="e">
        <f>($E98*'[1]功能-城建'!GI94)*V$6+AY95</f>
        <v>#REF!</v>
      </c>
      <c r="AZ96" s="8" t="e">
        <f>($E98*'[1]功能-城建'!GJ94)*W$6+AZ95</f>
        <v>#REF!</v>
      </c>
      <c r="BD96" s="8">
        <v>91</v>
      </c>
      <c r="BE96" s="8" t="e">
        <f t="shared" si="85"/>
        <v>#REF!</v>
      </c>
      <c r="BF96" s="8" t="e">
        <f t="shared" si="85"/>
        <v>#REF!</v>
      </c>
      <c r="BG96" s="8" t="e">
        <f t="shared" si="85"/>
        <v>#REF!</v>
      </c>
      <c r="BH96" s="8" t="e">
        <f t="shared" si="85"/>
        <v>#REF!</v>
      </c>
      <c r="BI96" s="8" t="e">
        <f t="shared" si="85"/>
        <v>#REF!</v>
      </c>
      <c r="BM96" s="8">
        <v>91</v>
      </c>
      <c r="BN96" s="8" t="e">
        <f t="shared" si="86"/>
        <v>#REF!</v>
      </c>
      <c r="BO96" s="8" t="e">
        <f t="shared" si="86"/>
        <v>#REF!</v>
      </c>
      <c r="BP96" s="8" t="e">
        <f t="shared" si="86"/>
        <v>#REF!</v>
      </c>
      <c r="BQ96" s="8" t="e">
        <f t="shared" si="86"/>
        <v>#REF!</v>
      </c>
      <c r="BR96" s="8" t="e">
        <f t="shared" si="86"/>
        <v>#REF!</v>
      </c>
      <c r="BV96" s="8">
        <v>91</v>
      </c>
      <c r="BW96" s="8" t="e">
        <f t="shared" si="87"/>
        <v>#REF!</v>
      </c>
      <c r="BX96" s="8" t="e">
        <f t="shared" si="87"/>
        <v>#REF!</v>
      </c>
      <c r="BY96" s="8" t="e">
        <f t="shared" si="87"/>
        <v>#REF!</v>
      </c>
      <c r="BZ96" s="8" t="e">
        <f t="shared" si="87"/>
        <v>#REF!</v>
      </c>
      <c r="CA96" s="8" t="e">
        <f t="shared" si="87"/>
        <v>#REF!</v>
      </c>
      <c r="CE96" s="8">
        <v>91</v>
      </c>
      <c r="CF96" s="18" t="e">
        <f t="shared" si="58"/>
        <v>#REF!</v>
      </c>
      <c r="CG96" s="18" t="e">
        <f t="shared" si="59"/>
        <v>#REF!</v>
      </c>
      <c r="CH96" s="18" t="e">
        <f t="shared" si="60"/>
        <v>#REF!</v>
      </c>
      <c r="CI96" s="18" t="e">
        <f t="shared" si="61"/>
        <v>#REF!</v>
      </c>
      <c r="CJ96" s="18" t="e">
        <f t="shared" si="62"/>
        <v>#REF!</v>
      </c>
      <c r="CN96" s="8">
        <v>91</v>
      </c>
      <c r="CO96" s="18" t="e">
        <f t="shared" si="63"/>
        <v>#REF!</v>
      </c>
      <c r="CP96" s="18" t="e">
        <f t="shared" si="64"/>
        <v>#REF!</v>
      </c>
      <c r="CQ96" s="18" t="e">
        <f t="shared" si="65"/>
        <v>#REF!</v>
      </c>
      <c r="CR96" s="18" t="e">
        <f t="shared" si="66"/>
        <v>#REF!</v>
      </c>
      <c r="CS96" s="18" t="e">
        <f t="shared" si="67"/>
        <v>#REF!</v>
      </c>
      <c r="CW96" s="8">
        <v>91</v>
      </c>
      <c r="CX96" s="18" t="e">
        <f t="shared" si="68"/>
        <v>#REF!</v>
      </c>
      <c r="CY96" s="18" t="e">
        <f t="shared" si="69"/>
        <v>#REF!</v>
      </c>
      <c r="CZ96" s="18" t="e">
        <f t="shared" si="70"/>
        <v>#REF!</v>
      </c>
      <c r="DA96" s="18" t="e">
        <f t="shared" si="71"/>
        <v>#REF!</v>
      </c>
      <c r="DB96" s="18" t="e">
        <f t="shared" si="72"/>
        <v>#REF!</v>
      </c>
      <c r="DF96" s="8">
        <v>91</v>
      </c>
      <c r="DG96" s="8" t="e">
        <f t="shared" si="73"/>
        <v>#REF!</v>
      </c>
      <c r="DH96" s="8" t="e">
        <f t="shared" si="74"/>
        <v>#REF!</v>
      </c>
      <c r="DI96" s="8" t="e">
        <f t="shared" si="75"/>
        <v>#REF!</v>
      </c>
      <c r="DJ96" s="8" t="e">
        <f t="shared" si="76"/>
        <v>#REF!</v>
      </c>
      <c r="DK96" s="8" t="e">
        <f t="shared" si="77"/>
        <v>#REF!</v>
      </c>
      <c r="DO96" s="8">
        <v>91</v>
      </c>
      <c r="DP96" s="8" t="e">
        <f t="shared" si="78"/>
        <v>#REF!</v>
      </c>
      <c r="DQ96" s="8" t="e">
        <f t="shared" si="79"/>
        <v>#REF!</v>
      </c>
      <c r="DR96" s="8" t="e">
        <f t="shared" si="80"/>
        <v>#REF!</v>
      </c>
      <c r="DS96" s="8" t="e">
        <f t="shared" si="81"/>
        <v>#REF!</v>
      </c>
      <c r="DT96" s="8" t="e">
        <f t="shared" si="82"/>
        <v>#REF!</v>
      </c>
    </row>
    <row r="97" spans="2:124">
      <c r="B97" s="8">
        <v>90</v>
      </c>
      <c r="C97" s="19" t="e">
        <f t="shared" si="84"/>
        <v>#REF!</v>
      </c>
      <c r="D97" s="19" t="e">
        <f t="shared" si="84"/>
        <v>#REF!</v>
      </c>
      <c r="E97" s="19" t="e">
        <f t="shared" si="84"/>
        <v>#REF!</v>
      </c>
      <c r="F97" s="19" t="e">
        <f t="shared" si="84"/>
        <v>#REF!</v>
      </c>
      <c r="G97" s="19" t="e">
        <f t="shared" si="84"/>
        <v>#REF!</v>
      </c>
      <c r="H97" s="19" t="e">
        <f t="shared" si="83"/>
        <v>#REF!</v>
      </c>
      <c r="I97" s="19" t="e">
        <f t="shared" si="83"/>
        <v>#REF!</v>
      </c>
      <c r="J97" s="19" t="e">
        <f t="shared" si="83"/>
        <v>#REF!</v>
      </c>
      <c r="K97" s="19" t="e">
        <f t="shared" si="83"/>
        <v>#REF!</v>
      </c>
      <c r="L97" s="16" t="e">
        <f t="shared" si="83"/>
        <v>#REF!</v>
      </c>
      <c r="M97" s="16" t="e">
        <f t="shared" si="83"/>
        <v>#REF!</v>
      </c>
      <c r="AC97" s="8">
        <v>92</v>
      </c>
      <c r="AD97" s="8" t="e">
        <f>($C99*'[1]功能-城建'!EX95)*S$6+AD96</f>
        <v>#REF!</v>
      </c>
      <c r="AE97" s="8" t="e">
        <f>($C99*'[1]功能-城建'!EY95)*T$6+AE96</f>
        <v>#REF!</v>
      </c>
      <c r="AF97" s="8" t="e">
        <f>($C99*'[1]功能-城建'!EZ95)*U$6+AF96</f>
        <v>#REF!</v>
      </c>
      <c r="AG97" s="8" t="e">
        <f>($C99*'[1]功能-城建'!FA95)*V$6+AG96</f>
        <v>#REF!</v>
      </c>
      <c r="AH97" s="8" t="e">
        <f>($C99*'[1]功能-城建'!FB95)*W$6+AH96</f>
        <v>#REF!</v>
      </c>
      <c r="AL97" s="8">
        <v>92</v>
      </c>
      <c r="AM97" s="8" t="e">
        <f>($D99*'[1]功能-城建'!HM95)*S$6+AM96</f>
        <v>#REF!</v>
      </c>
      <c r="AN97" s="8" t="e">
        <f>($D99*'[1]功能-城建'!HN95)*T$6+AN96</f>
        <v>#REF!</v>
      </c>
      <c r="AO97" s="8" t="e">
        <f>($D99*'[1]功能-城建'!HO95)*U$6+AO96</f>
        <v>#REF!</v>
      </c>
      <c r="AP97" s="8" t="e">
        <f>($D99*'[1]功能-城建'!HP95)*V$6+AP96</f>
        <v>#REF!</v>
      </c>
      <c r="AQ97" s="8" t="e">
        <f>($D99*'[1]功能-城建'!HQ95)*W$6+AQ96</f>
        <v>#REF!</v>
      </c>
      <c r="AU97" s="8">
        <v>92</v>
      </c>
      <c r="AV97" s="8" t="e">
        <f>($E99*'[1]功能-城建'!GF95)*S$6+AV96</f>
        <v>#REF!</v>
      </c>
      <c r="AW97" s="8" t="e">
        <f>($E99*'[1]功能-城建'!GG95)*T$6+AW96</f>
        <v>#REF!</v>
      </c>
      <c r="AX97" s="8" t="e">
        <f>($E99*'[1]功能-城建'!GH95)*U$6+AX96</f>
        <v>#REF!</v>
      </c>
      <c r="AY97" s="8" t="e">
        <f>($E99*'[1]功能-城建'!GI95)*V$6+AY96</f>
        <v>#REF!</v>
      </c>
      <c r="AZ97" s="8" t="e">
        <f>($E99*'[1]功能-城建'!GJ95)*W$6+AZ96</f>
        <v>#REF!</v>
      </c>
      <c r="BD97" s="8">
        <v>92</v>
      </c>
      <c r="BE97" s="8" t="e">
        <f t="shared" si="85"/>
        <v>#REF!</v>
      </c>
      <c r="BF97" s="8" t="e">
        <f t="shared" si="85"/>
        <v>#REF!</v>
      </c>
      <c r="BG97" s="8" t="e">
        <f t="shared" si="85"/>
        <v>#REF!</v>
      </c>
      <c r="BH97" s="8" t="e">
        <f t="shared" si="85"/>
        <v>#REF!</v>
      </c>
      <c r="BI97" s="8" t="e">
        <f t="shared" si="85"/>
        <v>#REF!</v>
      </c>
      <c r="BM97" s="8">
        <v>92</v>
      </c>
      <c r="BN97" s="8" t="e">
        <f t="shared" si="86"/>
        <v>#REF!</v>
      </c>
      <c r="BO97" s="8" t="e">
        <f t="shared" si="86"/>
        <v>#REF!</v>
      </c>
      <c r="BP97" s="8" t="e">
        <f t="shared" si="86"/>
        <v>#REF!</v>
      </c>
      <c r="BQ97" s="8" t="e">
        <f t="shared" si="86"/>
        <v>#REF!</v>
      </c>
      <c r="BR97" s="8" t="e">
        <f t="shared" si="86"/>
        <v>#REF!</v>
      </c>
      <c r="BV97" s="8">
        <v>92</v>
      </c>
      <c r="BW97" s="8" t="e">
        <f t="shared" si="87"/>
        <v>#REF!</v>
      </c>
      <c r="BX97" s="8" t="e">
        <f t="shared" si="87"/>
        <v>#REF!</v>
      </c>
      <c r="BY97" s="8" t="e">
        <f t="shared" si="87"/>
        <v>#REF!</v>
      </c>
      <c r="BZ97" s="8" t="e">
        <f t="shared" si="87"/>
        <v>#REF!</v>
      </c>
      <c r="CA97" s="8" t="e">
        <f t="shared" si="87"/>
        <v>#REF!</v>
      </c>
      <c r="CE97" s="8">
        <v>92</v>
      </c>
      <c r="CF97" s="18" t="e">
        <f t="shared" si="58"/>
        <v>#REF!</v>
      </c>
      <c r="CG97" s="18" t="e">
        <f t="shared" si="59"/>
        <v>#REF!</v>
      </c>
      <c r="CH97" s="18" t="e">
        <f t="shared" si="60"/>
        <v>#REF!</v>
      </c>
      <c r="CI97" s="18" t="e">
        <f t="shared" si="61"/>
        <v>#REF!</v>
      </c>
      <c r="CJ97" s="18" t="e">
        <f t="shared" si="62"/>
        <v>#REF!</v>
      </c>
      <c r="CN97" s="8">
        <v>92</v>
      </c>
      <c r="CO97" s="18" t="e">
        <f t="shared" si="63"/>
        <v>#REF!</v>
      </c>
      <c r="CP97" s="18" t="e">
        <f t="shared" si="64"/>
        <v>#REF!</v>
      </c>
      <c r="CQ97" s="18" t="e">
        <f t="shared" si="65"/>
        <v>#REF!</v>
      </c>
      <c r="CR97" s="18" t="e">
        <f t="shared" si="66"/>
        <v>#REF!</v>
      </c>
      <c r="CS97" s="18" t="e">
        <f t="shared" si="67"/>
        <v>#REF!</v>
      </c>
      <c r="CW97" s="8">
        <v>92</v>
      </c>
      <c r="CX97" s="18" t="e">
        <f t="shared" si="68"/>
        <v>#REF!</v>
      </c>
      <c r="CY97" s="18" t="e">
        <f t="shared" si="69"/>
        <v>#REF!</v>
      </c>
      <c r="CZ97" s="18" t="e">
        <f t="shared" si="70"/>
        <v>#REF!</v>
      </c>
      <c r="DA97" s="18" t="e">
        <f t="shared" si="71"/>
        <v>#REF!</v>
      </c>
      <c r="DB97" s="18" t="e">
        <f t="shared" si="72"/>
        <v>#REF!</v>
      </c>
      <c r="DF97" s="8">
        <v>92</v>
      </c>
      <c r="DG97" s="8" t="e">
        <f t="shared" si="73"/>
        <v>#REF!</v>
      </c>
      <c r="DH97" s="8" t="e">
        <f t="shared" si="74"/>
        <v>#REF!</v>
      </c>
      <c r="DI97" s="8" t="e">
        <f t="shared" si="75"/>
        <v>#REF!</v>
      </c>
      <c r="DJ97" s="8" t="e">
        <f t="shared" si="76"/>
        <v>#REF!</v>
      </c>
      <c r="DK97" s="8" t="e">
        <f t="shared" si="77"/>
        <v>#REF!</v>
      </c>
      <c r="DO97" s="8">
        <v>92</v>
      </c>
      <c r="DP97" s="8" t="e">
        <f t="shared" si="78"/>
        <v>#REF!</v>
      </c>
      <c r="DQ97" s="8" t="e">
        <f t="shared" si="79"/>
        <v>#REF!</v>
      </c>
      <c r="DR97" s="8" t="e">
        <f t="shared" si="80"/>
        <v>#REF!</v>
      </c>
      <c r="DS97" s="8" t="e">
        <f t="shared" si="81"/>
        <v>#REF!</v>
      </c>
      <c r="DT97" s="8" t="e">
        <f t="shared" si="82"/>
        <v>#REF!</v>
      </c>
    </row>
    <row r="98" spans="2:124">
      <c r="B98" s="8">
        <v>91</v>
      </c>
      <c r="C98" s="19" t="e">
        <f t="shared" si="84"/>
        <v>#REF!</v>
      </c>
      <c r="D98" s="19" t="e">
        <f t="shared" si="84"/>
        <v>#REF!</v>
      </c>
      <c r="E98" s="19" t="e">
        <f t="shared" si="84"/>
        <v>#REF!</v>
      </c>
      <c r="F98" s="19" t="e">
        <f t="shared" si="84"/>
        <v>#REF!</v>
      </c>
      <c r="G98" s="19" t="e">
        <f t="shared" si="84"/>
        <v>#REF!</v>
      </c>
      <c r="H98" s="19" t="e">
        <f t="shared" si="83"/>
        <v>#REF!</v>
      </c>
      <c r="I98" s="19" t="e">
        <f t="shared" si="83"/>
        <v>#REF!</v>
      </c>
      <c r="J98" s="19" t="e">
        <f t="shared" si="83"/>
        <v>#REF!</v>
      </c>
      <c r="K98" s="19" t="e">
        <f t="shared" si="83"/>
        <v>#REF!</v>
      </c>
      <c r="L98" s="16" t="e">
        <f t="shared" si="83"/>
        <v>#REF!</v>
      </c>
      <c r="M98" s="16" t="e">
        <f t="shared" si="83"/>
        <v>#REF!</v>
      </c>
      <c r="AC98" s="8">
        <v>93</v>
      </c>
      <c r="AD98" s="8" t="e">
        <f>($C100*'[1]功能-城建'!EX96)*S$6+AD97</f>
        <v>#REF!</v>
      </c>
      <c r="AE98" s="8" t="e">
        <f>($C100*'[1]功能-城建'!EY96)*T$6+AE97</f>
        <v>#REF!</v>
      </c>
      <c r="AF98" s="8" t="e">
        <f>($C100*'[1]功能-城建'!EZ96)*U$6+AF97</f>
        <v>#REF!</v>
      </c>
      <c r="AG98" s="8" t="e">
        <f>($C100*'[1]功能-城建'!FA96)*V$6+AG97</f>
        <v>#REF!</v>
      </c>
      <c r="AH98" s="8" t="e">
        <f>($C100*'[1]功能-城建'!FB96)*W$6+AH97</f>
        <v>#REF!</v>
      </c>
      <c r="AL98" s="8">
        <v>93</v>
      </c>
      <c r="AM98" s="8" t="e">
        <f>($D100*'[1]功能-城建'!HM96)*S$6+AM97</f>
        <v>#REF!</v>
      </c>
      <c r="AN98" s="8" t="e">
        <f>($D100*'[1]功能-城建'!HN96)*T$6+AN97</f>
        <v>#REF!</v>
      </c>
      <c r="AO98" s="8" t="e">
        <f>($D100*'[1]功能-城建'!HO96)*U$6+AO97</f>
        <v>#REF!</v>
      </c>
      <c r="AP98" s="8" t="e">
        <f>($D100*'[1]功能-城建'!HP96)*V$6+AP97</f>
        <v>#REF!</v>
      </c>
      <c r="AQ98" s="8" t="e">
        <f>($D100*'[1]功能-城建'!HQ96)*W$6+AQ97</f>
        <v>#REF!</v>
      </c>
      <c r="AU98" s="8">
        <v>93</v>
      </c>
      <c r="AV98" s="8" t="e">
        <f>($E100*'[1]功能-城建'!GF96)*S$6+AV97</f>
        <v>#REF!</v>
      </c>
      <c r="AW98" s="8" t="e">
        <f>($E100*'[1]功能-城建'!GG96)*T$6+AW97</f>
        <v>#REF!</v>
      </c>
      <c r="AX98" s="8" t="e">
        <f>($E100*'[1]功能-城建'!GH96)*U$6+AX97</f>
        <v>#REF!</v>
      </c>
      <c r="AY98" s="8" t="e">
        <f>($E100*'[1]功能-城建'!GI96)*V$6+AY97</f>
        <v>#REF!</v>
      </c>
      <c r="AZ98" s="8" t="e">
        <f>($E100*'[1]功能-城建'!GJ96)*W$6+AZ97</f>
        <v>#REF!</v>
      </c>
      <c r="BD98" s="8">
        <v>93</v>
      </c>
      <c r="BE98" s="8" t="e">
        <f t="shared" si="85"/>
        <v>#REF!</v>
      </c>
      <c r="BF98" s="8" t="e">
        <f t="shared" si="85"/>
        <v>#REF!</v>
      </c>
      <c r="BG98" s="8" t="e">
        <f t="shared" si="85"/>
        <v>#REF!</v>
      </c>
      <c r="BH98" s="8" t="e">
        <f t="shared" si="85"/>
        <v>#REF!</v>
      </c>
      <c r="BI98" s="8" t="e">
        <f t="shared" si="85"/>
        <v>#REF!</v>
      </c>
      <c r="BM98" s="8">
        <v>93</v>
      </c>
      <c r="BN98" s="8" t="e">
        <f t="shared" si="86"/>
        <v>#REF!</v>
      </c>
      <c r="BO98" s="8" t="e">
        <f t="shared" si="86"/>
        <v>#REF!</v>
      </c>
      <c r="BP98" s="8" t="e">
        <f t="shared" si="86"/>
        <v>#REF!</v>
      </c>
      <c r="BQ98" s="8" t="e">
        <f t="shared" si="86"/>
        <v>#REF!</v>
      </c>
      <c r="BR98" s="8" t="e">
        <f t="shared" si="86"/>
        <v>#REF!</v>
      </c>
      <c r="BV98" s="8">
        <v>93</v>
      </c>
      <c r="BW98" s="8" t="e">
        <f t="shared" si="87"/>
        <v>#REF!</v>
      </c>
      <c r="BX98" s="8" t="e">
        <f t="shared" si="87"/>
        <v>#REF!</v>
      </c>
      <c r="BY98" s="8" t="e">
        <f t="shared" si="87"/>
        <v>#REF!</v>
      </c>
      <c r="BZ98" s="8" t="e">
        <f t="shared" si="87"/>
        <v>#REF!</v>
      </c>
      <c r="CA98" s="8" t="e">
        <f t="shared" si="87"/>
        <v>#REF!</v>
      </c>
      <c r="CE98" s="8">
        <v>93</v>
      </c>
      <c r="CF98" s="18" t="e">
        <f t="shared" si="58"/>
        <v>#REF!</v>
      </c>
      <c r="CG98" s="18" t="e">
        <f t="shared" si="59"/>
        <v>#REF!</v>
      </c>
      <c r="CH98" s="18" t="e">
        <f t="shared" si="60"/>
        <v>#REF!</v>
      </c>
      <c r="CI98" s="18" t="e">
        <f t="shared" si="61"/>
        <v>#REF!</v>
      </c>
      <c r="CJ98" s="18" t="e">
        <f t="shared" si="62"/>
        <v>#REF!</v>
      </c>
      <c r="CN98" s="8">
        <v>93</v>
      </c>
      <c r="CO98" s="18" t="e">
        <f t="shared" si="63"/>
        <v>#REF!</v>
      </c>
      <c r="CP98" s="18" t="e">
        <f t="shared" si="64"/>
        <v>#REF!</v>
      </c>
      <c r="CQ98" s="18" t="e">
        <f t="shared" si="65"/>
        <v>#REF!</v>
      </c>
      <c r="CR98" s="18" t="e">
        <f t="shared" si="66"/>
        <v>#REF!</v>
      </c>
      <c r="CS98" s="18" t="e">
        <f t="shared" si="67"/>
        <v>#REF!</v>
      </c>
      <c r="CW98" s="8">
        <v>93</v>
      </c>
      <c r="CX98" s="18" t="e">
        <f t="shared" si="68"/>
        <v>#REF!</v>
      </c>
      <c r="CY98" s="18" t="e">
        <f t="shared" si="69"/>
        <v>#REF!</v>
      </c>
      <c r="CZ98" s="18" t="e">
        <f t="shared" si="70"/>
        <v>#REF!</v>
      </c>
      <c r="DA98" s="18" t="e">
        <f t="shared" si="71"/>
        <v>#REF!</v>
      </c>
      <c r="DB98" s="18" t="e">
        <f t="shared" si="72"/>
        <v>#REF!</v>
      </c>
      <c r="DF98" s="8">
        <v>93</v>
      </c>
      <c r="DG98" s="8" t="e">
        <f t="shared" si="73"/>
        <v>#REF!</v>
      </c>
      <c r="DH98" s="8" t="e">
        <f t="shared" si="74"/>
        <v>#REF!</v>
      </c>
      <c r="DI98" s="8" t="e">
        <f t="shared" si="75"/>
        <v>#REF!</v>
      </c>
      <c r="DJ98" s="8" t="e">
        <f t="shared" si="76"/>
        <v>#REF!</v>
      </c>
      <c r="DK98" s="8" t="e">
        <f t="shared" si="77"/>
        <v>#REF!</v>
      </c>
      <c r="DO98" s="8">
        <v>93</v>
      </c>
      <c r="DP98" s="8" t="e">
        <f t="shared" si="78"/>
        <v>#REF!</v>
      </c>
      <c r="DQ98" s="8" t="e">
        <f t="shared" si="79"/>
        <v>#REF!</v>
      </c>
      <c r="DR98" s="8" t="e">
        <f t="shared" si="80"/>
        <v>#REF!</v>
      </c>
      <c r="DS98" s="8" t="e">
        <f t="shared" si="81"/>
        <v>#REF!</v>
      </c>
      <c r="DT98" s="8" t="e">
        <f t="shared" si="82"/>
        <v>#REF!</v>
      </c>
    </row>
    <row r="99" spans="2:124">
      <c r="B99" s="8">
        <v>92</v>
      </c>
      <c r="C99" s="19" t="e">
        <f t="shared" si="84"/>
        <v>#REF!</v>
      </c>
      <c r="D99" s="19" t="e">
        <f t="shared" si="84"/>
        <v>#REF!</v>
      </c>
      <c r="E99" s="19" t="e">
        <f t="shared" si="84"/>
        <v>#REF!</v>
      </c>
      <c r="F99" s="19" t="e">
        <f t="shared" si="84"/>
        <v>#REF!</v>
      </c>
      <c r="G99" s="19" t="e">
        <f t="shared" si="84"/>
        <v>#REF!</v>
      </c>
      <c r="H99" s="19" t="e">
        <f t="shared" si="83"/>
        <v>#REF!</v>
      </c>
      <c r="I99" s="19" t="e">
        <f t="shared" si="83"/>
        <v>#REF!</v>
      </c>
      <c r="J99" s="19" t="e">
        <f t="shared" si="83"/>
        <v>#REF!</v>
      </c>
      <c r="K99" s="19" t="e">
        <f t="shared" si="83"/>
        <v>#REF!</v>
      </c>
      <c r="L99" s="16" t="e">
        <f t="shared" si="83"/>
        <v>#REF!</v>
      </c>
      <c r="M99" s="16" t="e">
        <f t="shared" si="83"/>
        <v>#REF!</v>
      </c>
      <c r="AC99" s="8">
        <v>94</v>
      </c>
      <c r="AD99" s="8" t="e">
        <f>($C101*'[1]功能-城建'!EX97)*S$6+AD98</f>
        <v>#REF!</v>
      </c>
      <c r="AE99" s="8" t="e">
        <f>($C101*'[1]功能-城建'!EY97)*T$6+AE98</f>
        <v>#REF!</v>
      </c>
      <c r="AF99" s="8" t="e">
        <f>($C101*'[1]功能-城建'!EZ97)*U$6+AF98</f>
        <v>#REF!</v>
      </c>
      <c r="AG99" s="8" t="e">
        <f>($C101*'[1]功能-城建'!FA97)*V$6+AG98</f>
        <v>#REF!</v>
      </c>
      <c r="AH99" s="8" t="e">
        <f>($C101*'[1]功能-城建'!FB97)*W$6+AH98</f>
        <v>#REF!</v>
      </c>
      <c r="AL99" s="8">
        <v>94</v>
      </c>
      <c r="AM99" s="8" t="e">
        <f>($D101*'[1]功能-城建'!HM97)*S$6+AM98</f>
        <v>#REF!</v>
      </c>
      <c r="AN99" s="8" t="e">
        <f>($D101*'[1]功能-城建'!HN97)*T$6+AN98</f>
        <v>#REF!</v>
      </c>
      <c r="AO99" s="8" t="e">
        <f>($D101*'[1]功能-城建'!HO97)*U$6+AO98</f>
        <v>#REF!</v>
      </c>
      <c r="AP99" s="8" t="e">
        <f>($D101*'[1]功能-城建'!HP97)*V$6+AP98</f>
        <v>#REF!</v>
      </c>
      <c r="AQ99" s="8" t="e">
        <f>($D101*'[1]功能-城建'!HQ97)*W$6+AQ98</f>
        <v>#REF!</v>
      </c>
      <c r="AU99" s="8">
        <v>94</v>
      </c>
      <c r="AV99" s="8" t="e">
        <f>($E101*'[1]功能-城建'!GF97)*S$6+AV98</f>
        <v>#REF!</v>
      </c>
      <c r="AW99" s="8" t="e">
        <f>($E101*'[1]功能-城建'!GG97)*T$6+AW98</f>
        <v>#REF!</v>
      </c>
      <c r="AX99" s="8" t="e">
        <f>($E101*'[1]功能-城建'!GH97)*U$6+AX98</f>
        <v>#REF!</v>
      </c>
      <c r="AY99" s="8" t="e">
        <f>($E101*'[1]功能-城建'!GI97)*V$6+AY98</f>
        <v>#REF!</v>
      </c>
      <c r="AZ99" s="8" t="e">
        <f>($E101*'[1]功能-城建'!GJ97)*W$6+AZ98</f>
        <v>#REF!</v>
      </c>
      <c r="BD99" s="8">
        <v>94</v>
      </c>
      <c r="BE99" s="8" t="e">
        <f t="shared" si="85"/>
        <v>#REF!</v>
      </c>
      <c r="BF99" s="8" t="e">
        <f t="shared" si="85"/>
        <v>#REF!</v>
      </c>
      <c r="BG99" s="8" t="e">
        <f t="shared" si="85"/>
        <v>#REF!</v>
      </c>
      <c r="BH99" s="8" t="e">
        <f t="shared" si="85"/>
        <v>#REF!</v>
      </c>
      <c r="BI99" s="8" t="e">
        <f t="shared" si="85"/>
        <v>#REF!</v>
      </c>
      <c r="BM99" s="8">
        <v>94</v>
      </c>
      <c r="BN99" s="8" t="e">
        <f t="shared" si="86"/>
        <v>#REF!</v>
      </c>
      <c r="BO99" s="8" t="e">
        <f t="shared" si="86"/>
        <v>#REF!</v>
      </c>
      <c r="BP99" s="8" t="e">
        <f t="shared" si="86"/>
        <v>#REF!</v>
      </c>
      <c r="BQ99" s="8" t="e">
        <f t="shared" si="86"/>
        <v>#REF!</v>
      </c>
      <c r="BR99" s="8" t="e">
        <f t="shared" si="86"/>
        <v>#REF!</v>
      </c>
      <c r="BV99" s="8">
        <v>94</v>
      </c>
      <c r="BW99" s="8" t="e">
        <f t="shared" si="87"/>
        <v>#REF!</v>
      </c>
      <c r="BX99" s="8" t="e">
        <f t="shared" si="87"/>
        <v>#REF!</v>
      </c>
      <c r="BY99" s="8" t="e">
        <f t="shared" si="87"/>
        <v>#REF!</v>
      </c>
      <c r="BZ99" s="8" t="e">
        <f t="shared" si="87"/>
        <v>#REF!</v>
      </c>
      <c r="CA99" s="8" t="e">
        <f t="shared" si="87"/>
        <v>#REF!</v>
      </c>
      <c r="CE99" s="8">
        <v>94</v>
      </c>
      <c r="CF99" s="18" t="e">
        <f t="shared" si="58"/>
        <v>#REF!</v>
      </c>
      <c r="CG99" s="18" t="e">
        <f t="shared" si="59"/>
        <v>#REF!</v>
      </c>
      <c r="CH99" s="18" t="e">
        <f t="shared" si="60"/>
        <v>#REF!</v>
      </c>
      <c r="CI99" s="18" t="e">
        <f t="shared" si="61"/>
        <v>#REF!</v>
      </c>
      <c r="CJ99" s="18" t="e">
        <f t="shared" si="62"/>
        <v>#REF!</v>
      </c>
      <c r="CN99" s="8">
        <v>94</v>
      </c>
      <c r="CO99" s="18" t="e">
        <f t="shared" si="63"/>
        <v>#REF!</v>
      </c>
      <c r="CP99" s="18" t="e">
        <f t="shared" si="64"/>
        <v>#REF!</v>
      </c>
      <c r="CQ99" s="18" t="e">
        <f t="shared" si="65"/>
        <v>#REF!</v>
      </c>
      <c r="CR99" s="18" t="e">
        <f t="shared" si="66"/>
        <v>#REF!</v>
      </c>
      <c r="CS99" s="18" t="e">
        <f t="shared" si="67"/>
        <v>#REF!</v>
      </c>
      <c r="CW99" s="8">
        <v>94</v>
      </c>
      <c r="CX99" s="18" t="e">
        <f t="shared" si="68"/>
        <v>#REF!</v>
      </c>
      <c r="CY99" s="18" t="e">
        <f t="shared" si="69"/>
        <v>#REF!</v>
      </c>
      <c r="CZ99" s="18" t="e">
        <f t="shared" si="70"/>
        <v>#REF!</v>
      </c>
      <c r="DA99" s="18" t="e">
        <f t="shared" si="71"/>
        <v>#REF!</v>
      </c>
      <c r="DB99" s="18" t="e">
        <f t="shared" si="72"/>
        <v>#REF!</v>
      </c>
      <c r="DF99" s="8">
        <v>94</v>
      </c>
      <c r="DG99" s="8" t="e">
        <f t="shared" si="73"/>
        <v>#REF!</v>
      </c>
      <c r="DH99" s="8" t="e">
        <f t="shared" si="74"/>
        <v>#REF!</v>
      </c>
      <c r="DI99" s="8" t="e">
        <f t="shared" si="75"/>
        <v>#REF!</v>
      </c>
      <c r="DJ99" s="8" t="e">
        <f t="shared" si="76"/>
        <v>#REF!</v>
      </c>
      <c r="DK99" s="8" t="e">
        <f t="shared" si="77"/>
        <v>#REF!</v>
      </c>
      <c r="DO99" s="8">
        <v>94</v>
      </c>
      <c r="DP99" s="8" t="e">
        <f t="shared" si="78"/>
        <v>#REF!</v>
      </c>
      <c r="DQ99" s="8" t="e">
        <f t="shared" si="79"/>
        <v>#REF!</v>
      </c>
      <c r="DR99" s="8" t="e">
        <f t="shared" si="80"/>
        <v>#REF!</v>
      </c>
      <c r="DS99" s="8" t="e">
        <f t="shared" si="81"/>
        <v>#REF!</v>
      </c>
      <c r="DT99" s="8" t="e">
        <f t="shared" si="82"/>
        <v>#REF!</v>
      </c>
    </row>
    <row r="100" spans="2:124">
      <c r="B100" s="8">
        <v>93</v>
      </c>
      <c r="C100" s="19" t="e">
        <f t="shared" si="84"/>
        <v>#REF!</v>
      </c>
      <c r="D100" s="19" t="e">
        <f t="shared" si="84"/>
        <v>#REF!</v>
      </c>
      <c r="E100" s="19" t="e">
        <f t="shared" si="84"/>
        <v>#REF!</v>
      </c>
      <c r="F100" s="19" t="e">
        <f t="shared" si="84"/>
        <v>#REF!</v>
      </c>
      <c r="G100" s="19" t="e">
        <f t="shared" si="84"/>
        <v>#REF!</v>
      </c>
      <c r="H100" s="19" t="e">
        <f t="shared" si="83"/>
        <v>#REF!</v>
      </c>
      <c r="I100" s="19" t="e">
        <f t="shared" si="83"/>
        <v>#REF!</v>
      </c>
      <c r="J100" s="19" t="e">
        <f t="shared" si="83"/>
        <v>#REF!</v>
      </c>
      <c r="K100" s="19" t="e">
        <f t="shared" si="83"/>
        <v>#REF!</v>
      </c>
      <c r="L100" s="16" t="e">
        <f t="shared" si="83"/>
        <v>#REF!</v>
      </c>
      <c r="M100" s="16" t="e">
        <f t="shared" si="83"/>
        <v>#REF!</v>
      </c>
      <c r="AC100" s="8">
        <v>95</v>
      </c>
      <c r="AD100" s="8" t="e">
        <f>($C102*'[1]功能-城建'!EX98)*S$6+AD99</f>
        <v>#REF!</v>
      </c>
      <c r="AE100" s="8" t="e">
        <f>($C102*'[1]功能-城建'!EY98)*T$6+AE99</f>
        <v>#REF!</v>
      </c>
      <c r="AF100" s="8" t="e">
        <f>($C102*'[1]功能-城建'!EZ98)*U$6+AF99</f>
        <v>#REF!</v>
      </c>
      <c r="AG100" s="8" t="e">
        <f>($C102*'[1]功能-城建'!FA98)*V$6+AG99</f>
        <v>#REF!</v>
      </c>
      <c r="AH100" s="8" t="e">
        <f>($C102*'[1]功能-城建'!FB98)*W$6+AH99</f>
        <v>#REF!</v>
      </c>
      <c r="AL100" s="8">
        <v>95</v>
      </c>
      <c r="AM100" s="8" t="e">
        <f>($D102*'[1]功能-城建'!HM98)*S$6+AM99</f>
        <v>#REF!</v>
      </c>
      <c r="AN100" s="8" t="e">
        <f>($D102*'[1]功能-城建'!HN98)*T$6+AN99</f>
        <v>#REF!</v>
      </c>
      <c r="AO100" s="8" t="e">
        <f>($D102*'[1]功能-城建'!HO98)*U$6+AO99</f>
        <v>#REF!</v>
      </c>
      <c r="AP100" s="8" t="e">
        <f>($D102*'[1]功能-城建'!HP98)*V$6+AP99</f>
        <v>#REF!</v>
      </c>
      <c r="AQ100" s="8" t="e">
        <f>($D102*'[1]功能-城建'!HQ98)*W$6+AQ99</f>
        <v>#REF!</v>
      </c>
      <c r="AU100" s="8">
        <v>95</v>
      </c>
      <c r="AV100" s="8" t="e">
        <f>($E102*'[1]功能-城建'!GF98)*S$6+AV99</f>
        <v>#REF!</v>
      </c>
      <c r="AW100" s="8" t="e">
        <f>($E102*'[1]功能-城建'!GG98)*T$6+AW99</f>
        <v>#REF!</v>
      </c>
      <c r="AX100" s="8" t="e">
        <f>($E102*'[1]功能-城建'!GH98)*U$6+AX99</f>
        <v>#REF!</v>
      </c>
      <c r="AY100" s="8" t="e">
        <f>($E102*'[1]功能-城建'!GI98)*V$6+AY99</f>
        <v>#REF!</v>
      </c>
      <c r="AZ100" s="8" t="e">
        <f>($E102*'[1]功能-城建'!GJ98)*W$6+AZ99</f>
        <v>#REF!</v>
      </c>
      <c r="BD100" s="8">
        <v>95</v>
      </c>
      <c r="BE100" s="8" t="e">
        <f t="shared" si="85"/>
        <v>#REF!</v>
      </c>
      <c r="BF100" s="8" t="e">
        <f t="shared" si="85"/>
        <v>#REF!</v>
      </c>
      <c r="BG100" s="8" t="e">
        <f t="shared" si="85"/>
        <v>#REF!</v>
      </c>
      <c r="BH100" s="8" t="e">
        <f t="shared" si="85"/>
        <v>#REF!</v>
      </c>
      <c r="BI100" s="8" t="e">
        <f t="shared" si="85"/>
        <v>#REF!</v>
      </c>
      <c r="BM100" s="8">
        <v>95</v>
      </c>
      <c r="BN100" s="8" t="e">
        <f t="shared" si="86"/>
        <v>#REF!</v>
      </c>
      <c r="BO100" s="8" t="e">
        <f t="shared" si="86"/>
        <v>#REF!</v>
      </c>
      <c r="BP100" s="8" t="e">
        <f t="shared" si="86"/>
        <v>#REF!</v>
      </c>
      <c r="BQ100" s="8" t="e">
        <f t="shared" si="86"/>
        <v>#REF!</v>
      </c>
      <c r="BR100" s="8" t="e">
        <f t="shared" si="86"/>
        <v>#REF!</v>
      </c>
      <c r="BV100" s="8">
        <v>95</v>
      </c>
      <c r="BW100" s="8" t="e">
        <f t="shared" si="87"/>
        <v>#REF!</v>
      </c>
      <c r="BX100" s="8" t="e">
        <f t="shared" si="87"/>
        <v>#REF!</v>
      </c>
      <c r="BY100" s="8" t="e">
        <f t="shared" si="87"/>
        <v>#REF!</v>
      </c>
      <c r="BZ100" s="8" t="e">
        <f t="shared" si="87"/>
        <v>#REF!</v>
      </c>
      <c r="CA100" s="8" t="e">
        <f t="shared" si="87"/>
        <v>#REF!</v>
      </c>
      <c r="CE100" s="8">
        <v>95</v>
      </c>
      <c r="CF100" s="18" t="e">
        <f t="shared" si="58"/>
        <v>#REF!</v>
      </c>
      <c r="CG100" s="18" t="e">
        <f t="shared" si="59"/>
        <v>#REF!</v>
      </c>
      <c r="CH100" s="18" t="e">
        <f t="shared" si="60"/>
        <v>#REF!</v>
      </c>
      <c r="CI100" s="18" t="e">
        <f t="shared" si="61"/>
        <v>#REF!</v>
      </c>
      <c r="CJ100" s="18" t="e">
        <f t="shared" si="62"/>
        <v>#REF!</v>
      </c>
      <c r="CN100" s="8">
        <v>95</v>
      </c>
      <c r="CO100" s="18" t="e">
        <f t="shared" si="63"/>
        <v>#REF!</v>
      </c>
      <c r="CP100" s="18" t="e">
        <f t="shared" si="64"/>
        <v>#REF!</v>
      </c>
      <c r="CQ100" s="18" t="e">
        <f t="shared" si="65"/>
        <v>#REF!</v>
      </c>
      <c r="CR100" s="18" t="e">
        <f t="shared" si="66"/>
        <v>#REF!</v>
      </c>
      <c r="CS100" s="18" t="e">
        <f t="shared" si="67"/>
        <v>#REF!</v>
      </c>
      <c r="CW100" s="8">
        <v>95</v>
      </c>
      <c r="CX100" s="18" t="e">
        <f t="shared" si="68"/>
        <v>#REF!</v>
      </c>
      <c r="CY100" s="18" t="e">
        <f t="shared" si="69"/>
        <v>#REF!</v>
      </c>
      <c r="CZ100" s="18" t="e">
        <f t="shared" si="70"/>
        <v>#REF!</v>
      </c>
      <c r="DA100" s="18" t="e">
        <f t="shared" si="71"/>
        <v>#REF!</v>
      </c>
      <c r="DB100" s="18" t="e">
        <f t="shared" si="72"/>
        <v>#REF!</v>
      </c>
      <c r="DF100" s="8">
        <v>95</v>
      </c>
      <c r="DG100" s="8" t="e">
        <f t="shared" si="73"/>
        <v>#REF!</v>
      </c>
      <c r="DH100" s="8" t="e">
        <f t="shared" si="74"/>
        <v>#REF!</v>
      </c>
      <c r="DI100" s="8" t="e">
        <f t="shared" si="75"/>
        <v>#REF!</v>
      </c>
      <c r="DJ100" s="8" t="e">
        <f t="shared" si="76"/>
        <v>#REF!</v>
      </c>
      <c r="DK100" s="8" t="e">
        <f t="shared" si="77"/>
        <v>#REF!</v>
      </c>
      <c r="DO100" s="8">
        <v>95</v>
      </c>
      <c r="DP100" s="8" t="e">
        <f t="shared" si="78"/>
        <v>#REF!</v>
      </c>
      <c r="DQ100" s="8" t="e">
        <f t="shared" si="79"/>
        <v>#REF!</v>
      </c>
      <c r="DR100" s="8" t="e">
        <f t="shared" si="80"/>
        <v>#REF!</v>
      </c>
      <c r="DS100" s="8" t="e">
        <f t="shared" si="81"/>
        <v>#REF!</v>
      </c>
      <c r="DT100" s="8" t="e">
        <f t="shared" si="82"/>
        <v>#REF!</v>
      </c>
    </row>
    <row r="101" spans="2:124">
      <c r="B101" s="8">
        <v>94</v>
      </c>
      <c r="C101" s="19" t="e">
        <f t="shared" si="84"/>
        <v>#REF!</v>
      </c>
      <c r="D101" s="19" t="e">
        <f t="shared" si="84"/>
        <v>#REF!</v>
      </c>
      <c r="E101" s="19" t="e">
        <f t="shared" si="84"/>
        <v>#REF!</v>
      </c>
      <c r="F101" s="19" t="e">
        <f t="shared" si="84"/>
        <v>#REF!</v>
      </c>
      <c r="G101" s="19" t="e">
        <f t="shared" si="84"/>
        <v>#REF!</v>
      </c>
      <c r="H101" s="19" t="e">
        <f t="shared" ref="H101:M107" si="88">MIN(H$5,MAX(H$5/($D$2-$D$1)*($B101-$D$1),0))</f>
        <v>#REF!</v>
      </c>
      <c r="I101" s="19" t="e">
        <f t="shared" si="88"/>
        <v>#REF!</v>
      </c>
      <c r="J101" s="19" t="e">
        <f t="shared" si="88"/>
        <v>#REF!</v>
      </c>
      <c r="K101" s="19" t="e">
        <f t="shared" si="88"/>
        <v>#REF!</v>
      </c>
      <c r="L101" s="16" t="e">
        <f t="shared" si="88"/>
        <v>#REF!</v>
      </c>
      <c r="M101" s="16" t="e">
        <f t="shared" si="88"/>
        <v>#REF!</v>
      </c>
      <c r="AC101" s="8">
        <v>96</v>
      </c>
      <c r="AD101" s="8" t="e">
        <f>($C103*'[1]功能-城建'!EX99)*S$6+AD100</f>
        <v>#REF!</v>
      </c>
      <c r="AE101" s="8" t="e">
        <f>($C103*'[1]功能-城建'!EY99)*T$6+AE100</f>
        <v>#REF!</v>
      </c>
      <c r="AF101" s="8" t="e">
        <f>($C103*'[1]功能-城建'!EZ99)*U$6+AF100</f>
        <v>#REF!</v>
      </c>
      <c r="AG101" s="8" t="e">
        <f>($C103*'[1]功能-城建'!FA99)*V$6+AG100</f>
        <v>#REF!</v>
      </c>
      <c r="AH101" s="8" t="e">
        <f>($C103*'[1]功能-城建'!FB99)*W$6+AH100</f>
        <v>#REF!</v>
      </c>
      <c r="AL101" s="8">
        <v>96</v>
      </c>
      <c r="AM101" s="8" t="e">
        <f>($D103*'[1]功能-城建'!HM99)*S$6+AM100</f>
        <v>#REF!</v>
      </c>
      <c r="AN101" s="8" t="e">
        <f>($D103*'[1]功能-城建'!HN99)*T$6+AN100</f>
        <v>#REF!</v>
      </c>
      <c r="AO101" s="8" t="e">
        <f>($D103*'[1]功能-城建'!HO99)*U$6+AO100</f>
        <v>#REF!</v>
      </c>
      <c r="AP101" s="8" t="e">
        <f>($D103*'[1]功能-城建'!HP99)*V$6+AP100</f>
        <v>#REF!</v>
      </c>
      <c r="AQ101" s="8" t="e">
        <f>($D103*'[1]功能-城建'!HQ99)*W$6+AQ100</f>
        <v>#REF!</v>
      </c>
      <c r="AU101" s="8">
        <v>96</v>
      </c>
      <c r="AV101" s="8" t="e">
        <f>($E103*'[1]功能-城建'!GF99)*S$6+AV100</f>
        <v>#REF!</v>
      </c>
      <c r="AW101" s="8" t="e">
        <f>($E103*'[1]功能-城建'!GG99)*T$6+AW100</f>
        <v>#REF!</v>
      </c>
      <c r="AX101" s="8" t="e">
        <f>($E103*'[1]功能-城建'!GH99)*U$6+AX100</f>
        <v>#REF!</v>
      </c>
      <c r="AY101" s="8" t="e">
        <f>($E103*'[1]功能-城建'!GI99)*V$6+AY100</f>
        <v>#REF!</v>
      </c>
      <c r="AZ101" s="8" t="e">
        <f>($E103*'[1]功能-城建'!GJ99)*W$6+AZ100</f>
        <v>#REF!</v>
      </c>
      <c r="BD101" s="8">
        <v>96</v>
      </c>
      <c r="BE101" s="8" t="e">
        <f t="shared" si="85"/>
        <v>#REF!</v>
      </c>
      <c r="BF101" s="8" t="e">
        <f t="shared" si="85"/>
        <v>#REF!</v>
      </c>
      <c r="BG101" s="8" t="e">
        <f t="shared" si="85"/>
        <v>#REF!</v>
      </c>
      <c r="BH101" s="8" t="e">
        <f t="shared" si="85"/>
        <v>#REF!</v>
      </c>
      <c r="BI101" s="8" t="e">
        <f t="shared" si="85"/>
        <v>#REF!</v>
      </c>
      <c r="BM101" s="8">
        <v>96</v>
      </c>
      <c r="BN101" s="8" t="e">
        <f t="shared" si="86"/>
        <v>#REF!</v>
      </c>
      <c r="BO101" s="8" t="e">
        <f t="shared" si="86"/>
        <v>#REF!</v>
      </c>
      <c r="BP101" s="8" t="e">
        <f t="shared" si="86"/>
        <v>#REF!</v>
      </c>
      <c r="BQ101" s="8" t="e">
        <f t="shared" si="86"/>
        <v>#REF!</v>
      </c>
      <c r="BR101" s="8" t="e">
        <f t="shared" si="86"/>
        <v>#REF!</v>
      </c>
      <c r="BV101" s="8">
        <v>96</v>
      </c>
      <c r="BW101" s="8" t="e">
        <f t="shared" si="87"/>
        <v>#REF!</v>
      </c>
      <c r="BX101" s="8" t="e">
        <f t="shared" si="87"/>
        <v>#REF!</v>
      </c>
      <c r="BY101" s="8" t="e">
        <f t="shared" si="87"/>
        <v>#REF!</v>
      </c>
      <c r="BZ101" s="8" t="e">
        <f t="shared" si="87"/>
        <v>#REF!</v>
      </c>
      <c r="CA101" s="8" t="e">
        <f t="shared" si="87"/>
        <v>#REF!</v>
      </c>
      <c r="CE101" s="8">
        <v>96</v>
      </c>
      <c r="CF101" s="18" t="e">
        <f t="shared" si="58"/>
        <v>#REF!</v>
      </c>
      <c r="CG101" s="18" t="e">
        <f t="shared" si="59"/>
        <v>#REF!</v>
      </c>
      <c r="CH101" s="18" t="e">
        <f t="shared" si="60"/>
        <v>#REF!</v>
      </c>
      <c r="CI101" s="18" t="e">
        <f t="shared" si="61"/>
        <v>#REF!</v>
      </c>
      <c r="CJ101" s="18" t="e">
        <f t="shared" si="62"/>
        <v>#REF!</v>
      </c>
      <c r="CN101" s="8">
        <v>96</v>
      </c>
      <c r="CO101" s="18" t="e">
        <f t="shared" si="63"/>
        <v>#REF!</v>
      </c>
      <c r="CP101" s="18" t="e">
        <f t="shared" si="64"/>
        <v>#REF!</v>
      </c>
      <c r="CQ101" s="18" t="e">
        <f t="shared" si="65"/>
        <v>#REF!</v>
      </c>
      <c r="CR101" s="18" t="e">
        <f t="shared" si="66"/>
        <v>#REF!</v>
      </c>
      <c r="CS101" s="18" t="e">
        <f t="shared" si="67"/>
        <v>#REF!</v>
      </c>
      <c r="CW101" s="8">
        <v>96</v>
      </c>
      <c r="CX101" s="18" t="e">
        <f t="shared" si="68"/>
        <v>#REF!</v>
      </c>
      <c r="CY101" s="18" t="e">
        <f t="shared" si="69"/>
        <v>#REF!</v>
      </c>
      <c r="CZ101" s="18" t="e">
        <f t="shared" si="70"/>
        <v>#REF!</v>
      </c>
      <c r="DA101" s="18" t="e">
        <f t="shared" si="71"/>
        <v>#REF!</v>
      </c>
      <c r="DB101" s="18" t="e">
        <f t="shared" si="72"/>
        <v>#REF!</v>
      </c>
      <c r="DF101" s="8">
        <v>96</v>
      </c>
      <c r="DG101" s="8" t="e">
        <f t="shared" si="73"/>
        <v>#REF!</v>
      </c>
      <c r="DH101" s="8" t="e">
        <f t="shared" si="74"/>
        <v>#REF!</v>
      </c>
      <c r="DI101" s="8" t="e">
        <f t="shared" si="75"/>
        <v>#REF!</v>
      </c>
      <c r="DJ101" s="8" t="e">
        <f t="shared" si="76"/>
        <v>#REF!</v>
      </c>
      <c r="DK101" s="8" t="e">
        <f t="shared" si="77"/>
        <v>#REF!</v>
      </c>
      <c r="DO101" s="8">
        <v>96</v>
      </c>
      <c r="DP101" s="8" t="e">
        <f t="shared" si="78"/>
        <v>#REF!</v>
      </c>
      <c r="DQ101" s="8" t="e">
        <f t="shared" si="79"/>
        <v>#REF!</v>
      </c>
      <c r="DR101" s="8" t="e">
        <f t="shared" si="80"/>
        <v>#REF!</v>
      </c>
      <c r="DS101" s="8" t="e">
        <f t="shared" si="81"/>
        <v>#REF!</v>
      </c>
      <c r="DT101" s="8" t="e">
        <f t="shared" si="82"/>
        <v>#REF!</v>
      </c>
    </row>
    <row r="102" spans="2:124">
      <c r="B102" s="8">
        <v>95</v>
      </c>
      <c r="C102" s="19" t="e">
        <f t="shared" ref="C102:G107" si="89">MIN(C$5,MAX(C$5/($D$2-$D$1)*($B102-$D$1),0))</f>
        <v>#REF!</v>
      </c>
      <c r="D102" s="19" t="e">
        <f t="shared" si="89"/>
        <v>#REF!</v>
      </c>
      <c r="E102" s="19" t="e">
        <f t="shared" si="89"/>
        <v>#REF!</v>
      </c>
      <c r="F102" s="19" t="e">
        <f t="shared" si="89"/>
        <v>#REF!</v>
      </c>
      <c r="G102" s="19" t="e">
        <f t="shared" si="89"/>
        <v>#REF!</v>
      </c>
      <c r="H102" s="19" t="e">
        <f t="shared" si="88"/>
        <v>#REF!</v>
      </c>
      <c r="I102" s="19" t="e">
        <f t="shared" si="88"/>
        <v>#REF!</v>
      </c>
      <c r="J102" s="19" t="e">
        <f t="shared" si="88"/>
        <v>#REF!</v>
      </c>
      <c r="K102" s="19" t="e">
        <f t="shared" si="88"/>
        <v>#REF!</v>
      </c>
      <c r="L102" s="16" t="e">
        <f t="shared" si="88"/>
        <v>#REF!</v>
      </c>
      <c r="M102" s="16" t="e">
        <f t="shared" si="88"/>
        <v>#REF!</v>
      </c>
      <c r="AC102" s="8">
        <v>97</v>
      </c>
      <c r="AD102" s="8" t="e">
        <f>($C104*'[1]功能-城建'!EX100)*S$6+AD101</f>
        <v>#REF!</v>
      </c>
      <c r="AE102" s="8" t="e">
        <f>($C104*'[1]功能-城建'!EY100)*T$6+AE101</f>
        <v>#REF!</v>
      </c>
      <c r="AF102" s="8" t="e">
        <f>($C104*'[1]功能-城建'!EZ100)*U$6+AF101</f>
        <v>#REF!</v>
      </c>
      <c r="AG102" s="8" t="e">
        <f>($C104*'[1]功能-城建'!FA100)*V$6+AG101</f>
        <v>#REF!</v>
      </c>
      <c r="AH102" s="8" t="e">
        <f>($C104*'[1]功能-城建'!FB100)*W$6+AH101</f>
        <v>#REF!</v>
      </c>
      <c r="AL102" s="8">
        <v>97</v>
      </c>
      <c r="AM102" s="8" t="e">
        <f>($D104*'[1]功能-城建'!HM100)*S$6+AM101</f>
        <v>#REF!</v>
      </c>
      <c r="AN102" s="8" t="e">
        <f>($D104*'[1]功能-城建'!HN100)*T$6+AN101</f>
        <v>#REF!</v>
      </c>
      <c r="AO102" s="8" t="e">
        <f>($D104*'[1]功能-城建'!HO100)*U$6+AO101</f>
        <v>#REF!</v>
      </c>
      <c r="AP102" s="8" t="e">
        <f>($D104*'[1]功能-城建'!HP100)*V$6+AP101</f>
        <v>#REF!</v>
      </c>
      <c r="AQ102" s="8" t="e">
        <f>($D104*'[1]功能-城建'!HQ100)*W$6+AQ101</f>
        <v>#REF!</v>
      </c>
      <c r="AU102" s="8">
        <v>97</v>
      </c>
      <c r="AV102" s="8" t="e">
        <f>($E104*'[1]功能-城建'!GF100)*S$6+AV101</f>
        <v>#REF!</v>
      </c>
      <c r="AW102" s="8" t="e">
        <f>($E104*'[1]功能-城建'!GG100)*T$6+AW101</f>
        <v>#REF!</v>
      </c>
      <c r="AX102" s="8" t="e">
        <f>($E104*'[1]功能-城建'!GH100)*U$6+AX101</f>
        <v>#REF!</v>
      </c>
      <c r="AY102" s="8" t="e">
        <f>($E104*'[1]功能-城建'!GI100)*V$6+AY101</f>
        <v>#REF!</v>
      </c>
      <c r="AZ102" s="8" t="e">
        <f>($E104*'[1]功能-城建'!GJ100)*W$6+AZ101</f>
        <v>#REF!</v>
      </c>
      <c r="BD102" s="8">
        <v>97</v>
      </c>
      <c r="BE102" s="8" t="e">
        <f t="shared" si="85"/>
        <v>#REF!</v>
      </c>
      <c r="BF102" s="8" t="e">
        <f t="shared" si="85"/>
        <v>#REF!</v>
      </c>
      <c r="BG102" s="8" t="e">
        <f t="shared" si="85"/>
        <v>#REF!</v>
      </c>
      <c r="BH102" s="8" t="e">
        <f t="shared" si="85"/>
        <v>#REF!</v>
      </c>
      <c r="BI102" s="8" t="e">
        <f t="shared" si="85"/>
        <v>#REF!</v>
      </c>
      <c r="BM102" s="8">
        <v>97</v>
      </c>
      <c r="BN102" s="8" t="e">
        <f t="shared" si="86"/>
        <v>#REF!</v>
      </c>
      <c r="BO102" s="8" t="e">
        <f t="shared" si="86"/>
        <v>#REF!</v>
      </c>
      <c r="BP102" s="8" t="e">
        <f t="shared" si="86"/>
        <v>#REF!</v>
      </c>
      <c r="BQ102" s="8" t="e">
        <f t="shared" si="86"/>
        <v>#REF!</v>
      </c>
      <c r="BR102" s="8" t="e">
        <f t="shared" si="86"/>
        <v>#REF!</v>
      </c>
      <c r="BV102" s="8">
        <v>97</v>
      </c>
      <c r="BW102" s="8" t="e">
        <f t="shared" si="87"/>
        <v>#REF!</v>
      </c>
      <c r="BX102" s="8" t="e">
        <f t="shared" si="87"/>
        <v>#REF!</v>
      </c>
      <c r="BY102" s="8" t="e">
        <f t="shared" si="87"/>
        <v>#REF!</v>
      </c>
      <c r="BZ102" s="8" t="e">
        <f t="shared" si="87"/>
        <v>#REF!</v>
      </c>
      <c r="CA102" s="8" t="e">
        <f t="shared" si="87"/>
        <v>#REF!</v>
      </c>
      <c r="CE102" s="8">
        <v>97</v>
      </c>
      <c r="CF102" s="18" t="e">
        <f t="shared" si="58"/>
        <v>#REF!</v>
      </c>
      <c r="CG102" s="18" t="e">
        <f t="shared" si="59"/>
        <v>#REF!</v>
      </c>
      <c r="CH102" s="18" t="e">
        <f t="shared" si="60"/>
        <v>#REF!</v>
      </c>
      <c r="CI102" s="18" t="e">
        <f t="shared" si="61"/>
        <v>#REF!</v>
      </c>
      <c r="CJ102" s="18" t="e">
        <f t="shared" si="62"/>
        <v>#REF!</v>
      </c>
      <c r="CN102" s="8">
        <v>97</v>
      </c>
      <c r="CO102" s="18" t="e">
        <f t="shared" si="63"/>
        <v>#REF!</v>
      </c>
      <c r="CP102" s="18" t="e">
        <f t="shared" si="64"/>
        <v>#REF!</v>
      </c>
      <c r="CQ102" s="18" t="e">
        <f t="shared" si="65"/>
        <v>#REF!</v>
      </c>
      <c r="CR102" s="18" t="e">
        <f t="shared" si="66"/>
        <v>#REF!</v>
      </c>
      <c r="CS102" s="18" t="e">
        <f t="shared" si="67"/>
        <v>#REF!</v>
      </c>
      <c r="CW102" s="8">
        <v>97</v>
      </c>
      <c r="CX102" s="18" t="e">
        <f t="shared" si="68"/>
        <v>#REF!</v>
      </c>
      <c r="CY102" s="18" t="e">
        <f t="shared" si="69"/>
        <v>#REF!</v>
      </c>
      <c r="CZ102" s="18" t="e">
        <f t="shared" si="70"/>
        <v>#REF!</v>
      </c>
      <c r="DA102" s="18" t="e">
        <f t="shared" si="71"/>
        <v>#REF!</v>
      </c>
      <c r="DB102" s="18" t="e">
        <f t="shared" si="72"/>
        <v>#REF!</v>
      </c>
      <c r="DF102" s="8">
        <v>97</v>
      </c>
      <c r="DG102" s="8" t="e">
        <f t="shared" si="73"/>
        <v>#REF!</v>
      </c>
      <c r="DH102" s="8" t="e">
        <f t="shared" si="74"/>
        <v>#REF!</v>
      </c>
      <c r="DI102" s="8" t="e">
        <f t="shared" si="75"/>
        <v>#REF!</v>
      </c>
      <c r="DJ102" s="8" t="e">
        <f t="shared" si="76"/>
        <v>#REF!</v>
      </c>
      <c r="DK102" s="8" t="e">
        <f t="shared" si="77"/>
        <v>#REF!</v>
      </c>
      <c r="DO102" s="8">
        <v>97</v>
      </c>
      <c r="DP102" s="8" t="e">
        <f t="shared" si="78"/>
        <v>#REF!</v>
      </c>
      <c r="DQ102" s="8" t="e">
        <f t="shared" si="79"/>
        <v>#REF!</v>
      </c>
      <c r="DR102" s="8" t="e">
        <f t="shared" si="80"/>
        <v>#REF!</v>
      </c>
      <c r="DS102" s="8" t="e">
        <f t="shared" si="81"/>
        <v>#REF!</v>
      </c>
      <c r="DT102" s="8" t="e">
        <f t="shared" si="82"/>
        <v>#REF!</v>
      </c>
    </row>
    <row r="103" spans="2:124">
      <c r="B103" s="8">
        <v>96</v>
      </c>
      <c r="C103" s="19" t="e">
        <f t="shared" si="89"/>
        <v>#REF!</v>
      </c>
      <c r="D103" s="19" t="e">
        <f t="shared" si="89"/>
        <v>#REF!</v>
      </c>
      <c r="E103" s="19" t="e">
        <f t="shared" si="89"/>
        <v>#REF!</v>
      </c>
      <c r="F103" s="19" t="e">
        <f t="shared" si="89"/>
        <v>#REF!</v>
      </c>
      <c r="G103" s="19" t="e">
        <f t="shared" si="89"/>
        <v>#REF!</v>
      </c>
      <c r="H103" s="19" t="e">
        <f t="shared" si="88"/>
        <v>#REF!</v>
      </c>
      <c r="I103" s="19" t="e">
        <f t="shared" si="88"/>
        <v>#REF!</v>
      </c>
      <c r="J103" s="19" t="e">
        <f t="shared" si="88"/>
        <v>#REF!</v>
      </c>
      <c r="K103" s="19" t="e">
        <f t="shared" si="88"/>
        <v>#REF!</v>
      </c>
      <c r="L103" s="16" t="e">
        <f t="shared" si="88"/>
        <v>#REF!</v>
      </c>
      <c r="M103" s="16" t="e">
        <f t="shared" si="88"/>
        <v>#REF!</v>
      </c>
      <c r="AC103" s="8">
        <v>98</v>
      </c>
      <c r="AD103" s="8" t="e">
        <f>($C105*'[1]功能-城建'!EX101)*S$6+AD102</f>
        <v>#REF!</v>
      </c>
      <c r="AE103" s="8" t="e">
        <f>($C105*'[1]功能-城建'!EY101)*T$6+AE102</f>
        <v>#REF!</v>
      </c>
      <c r="AF103" s="8" t="e">
        <f>($C105*'[1]功能-城建'!EZ101)*U$6+AF102</f>
        <v>#REF!</v>
      </c>
      <c r="AG103" s="8" t="e">
        <f>($C105*'[1]功能-城建'!FA101)*V$6+AG102</f>
        <v>#REF!</v>
      </c>
      <c r="AH103" s="8" t="e">
        <f>($C105*'[1]功能-城建'!FB101)*W$6+AH102</f>
        <v>#REF!</v>
      </c>
      <c r="AL103" s="8">
        <v>98</v>
      </c>
      <c r="AM103" s="8" t="e">
        <f>($D105*'[1]功能-城建'!HM101)*S$6+AM102</f>
        <v>#REF!</v>
      </c>
      <c r="AN103" s="8" t="e">
        <f>($D105*'[1]功能-城建'!HN101)*T$6+AN102</f>
        <v>#REF!</v>
      </c>
      <c r="AO103" s="8" t="e">
        <f>($D105*'[1]功能-城建'!HO101)*U$6+AO102</f>
        <v>#REF!</v>
      </c>
      <c r="AP103" s="8" t="e">
        <f>($D105*'[1]功能-城建'!HP101)*V$6+AP102</f>
        <v>#REF!</v>
      </c>
      <c r="AQ103" s="8" t="e">
        <f>($D105*'[1]功能-城建'!HQ101)*W$6+AQ102</f>
        <v>#REF!</v>
      </c>
      <c r="AU103" s="8">
        <v>98</v>
      </c>
      <c r="AV103" s="8" t="e">
        <f>($E105*'[1]功能-城建'!GF101)*S$6+AV102</f>
        <v>#REF!</v>
      </c>
      <c r="AW103" s="8" t="e">
        <f>($E105*'[1]功能-城建'!GG101)*T$6+AW102</f>
        <v>#REF!</v>
      </c>
      <c r="AX103" s="8" t="e">
        <f>($E105*'[1]功能-城建'!GH101)*U$6+AX102</f>
        <v>#REF!</v>
      </c>
      <c r="AY103" s="8" t="e">
        <f>($E105*'[1]功能-城建'!GI101)*V$6+AY102</f>
        <v>#REF!</v>
      </c>
      <c r="AZ103" s="8" t="e">
        <f>($E105*'[1]功能-城建'!GJ101)*W$6+AZ102</f>
        <v>#REF!</v>
      </c>
      <c r="BD103" s="8">
        <v>98</v>
      </c>
      <c r="BE103" s="8" t="e">
        <f t="shared" ref="BE103:BI105" si="90">$F105*S$6</f>
        <v>#REF!</v>
      </c>
      <c r="BF103" s="8" t="e">
        <f t="shared" si="90"/>
        <v>#REF!</v>
      </c>
      <c r="BG103" s="8" t="e">
        <f t="shared" si="90"/>
        <v>#REF!</v>
      </c>
      <c r="BH103" s="8" t="e">
        <f t="shared" si="90"/>
        <v>#REF!</v>
      </c>
      <c r="BI103" s="8" t="e">
        <f t="shared" si="90"/>
        <v>#REF!</v>
      </c>
      <c r="BM103" s="8">
        <v>98</v>
      </c>
      <c r="BN103" s="8" t="e">
        <f t="shared" ref="BN103:BR105" si="91">$G105*S$6</f>
        <v>#REF!</v>
      </c>
      <c r="BO103" s="8" t="e">
        <f t="shared" si="91"/>
        <v>#REF!</v>
      </c>
      <c r="BP103" s="8" t="e">
        <f t="shared" si="91"/>
        <v>#REF!</v>
      </c>
      <c r="BQ103" s="8" t="e">
        <f t="shared" si="91"/>
        <v>#REF!</v>
      </c>
      <c r="BR103" s="8" t="e">
        <f t="shared" si="91"/>
        <v>#REF!</v>
      </c>
      <c r="BV103" s="8">
        <v>98</v>
      </c>
      <c r="BW103" s="8" t="e">
        <f t="shared" ref="BW103:CA105" si="92">$H105*S$6</f>
        <v>#REF!</v>
      </c>
      <c r="BX103" s="8" t="e">
        <f t="shared" si="92"/>
        <v>#REF!</v>
      </c>
      <c r="BY103" s="8" t="e">
        <f t="shared" si="92"/>
        <v>#REF!</v>
      </c>
      <c r="BZ103" s="8" t="e">
        <f t="shared" si="92"/>
        <v>#REF!</v>
      </c>
      <c r="CA103" s="8" t="e">
        <f t="shared" si="92"/>
        <v>#REF!</v>
      </c>
      <c r="CE103" s="8">
        <v>98</v>
      </c>
      <c r="CF103" s="18" t="e">
        <f t="shared" si="58"/>
        <v>#REF!</v>
      </c>
      <c r="CG103" s="18" t="e">
        <f t="shared" si="59"/>
        <v>#REF!</v>
      </c>
      <c r="CH103" s="18" t="e">
        <f t="shared" si="60"/>
        <v>#REF!</v>
      </c>
      <c r="CI103" s="18" t="e">
        <f t="shared" si="61"/>
        <v>#REF!</v>
      </c>
      <c r="CJ103" s="18" t="e">
        <f t="shared" si="62"/>
        <v>#REF!</v>
      </c>
      <c r="CN103" s="8">
        <v>98</v>
      </c>
      <c r="CO103" s="18" t="e">
        <f t="shared" si="63"/>
        <v>#REF!</v>
      </c>
      <c r="CP103" s="18" t="e">
        <f t="shared" si="64"/>
        <v>#REF!</v>
      </c>
      <c r="CQ103" s="18" t="e">
        <f t="shared" si="65"/>
        <v>#REF!</v>
      </c>
      <c r="CR103" s="18" t="e">
        <f t="shared" si="66"/>
        <v>#REF!</v>
      </c>
      <c r="CS103" s="18" t="e">
        <f t="shared" si="67"/>
        <v>#REF!</v>
      </c>
      <c r="CW103" s="8">
        <v>98</v>
      </c>
      <c r="CX103" s="18" t="e">
        <f t="shared" si="68"/>
        <v>#REF!</v>
      </c>
      <c r="CY103" s="18" t="e">
        <f t="shared" si="69"/>
        <v>#REF!</v>
      </c>
      <c r="CZ103" s="18" t="e">
        <f t="shared" si="70"/>
        <v>#REF!</v>
      </c>
      <c r="DA103" s="18" t="e">
        <f t="shared" si="71"/>
        <v>#REF!</v>
      </c>
      <c r="DB103" s="18" t="e">
        <f t="shared" si="72"/>
        <v>#REF!</v>
      </c>
      <c r="DF103" s="8">
        <v>98</v>
      </c>
      <c r="DG103" s="8" t="e">
        <f t="shared" si="73"/>
        <v>#REF!</v>
      </c>
      <c r="DH103" s="8" t="e">
        <f t="shared" si="74"/>
        <v>#REF!</v>
      </c>
      <c r="DI103" s="8" t="e">
        <f t="shared" si="75"/>
        <v>#REF!</v>
      </c>
      <c r="DJ103" s="8" t="e">
        <f t="shared" si="76"/>
        <v>#REF!</v>
      </c>
      <c r="DK103" s="8" t="e">
        <f t="shared" si="77"/>
        <v>#REF!</v>
      </c>
      <c r="DO103" s="8">
        <v>98</v>
      </c>
      <c r="DP103" s="8" t="e">
        <f t="shared" si="78"/>
        <v>#REF!</v>
      </c>
      <c r="DQ103" s="8" t="e">
        <f t="shared" si="79"/>
        <v>#REF!</v>
      </c>
      <c r="DR103" s="8" t="e">
        <f t="shared" si="80"/>
        <v>#REF!</v>
      </c>
      <c r="DS103" s="8" t="e">
        <f t="shared" si="81"/>
        <v>#REF!</v>
      </c>
      <c r="DT103" s="8" t="e">
        <f t="shared" si="82"/>
        <v>#REF!</v>
      </c>
    </row>
    <row r="104" spans="2:124">
      <c r="B104" s="8">
        <v>97</v>
      </c>
      <c r="C104" s="19" t="e">
        <f t="shared" si="89"/>
        <v>#REF!</v>
      </c>
      <c r="D104" s="19" t="e">
        <f t="shared" si="89"/>
        <v>#REF!</v>
      </c>
      <c r="E104" s="19" t="e">
        <f t="shared" si="89"/>
        <v>#REF!</v>
      </c>
      <c r="F104" s="19" t="e">
        <f t="shared" si="89"/>
        <v>#REF!</v>
      </c>
      <c r="G104" s="19" t="e">
        <f t="shared" si="89"/>
        <v>#REF!</v>
      </c>
      <c r="H104" s="19" t="e">
        <f t="shared" si="88"/>
        <v>#REF!</v>
      </c>
      <c r="I104" s="19" t="e">
        <f t="shared" si="88"/>
        <v>#REF!</v>
      </c>
      <c r="J104" s="19" t="e">
        <f t="shared" si="88"/>
        <v>#REF!</v>
      </c>
      <c r="K104" s="19" t="e">
        <f t="shared" si="88"/>
        <v>#REF!</v>
      </c>
      <c r="L104" s="16" t="e">
        <f t="shared" si="88"/>
        <v>#REF!</v>
      </c>
      <c r="M104" s="16" t="e">
        <f t="shared" si="88"/>
        <v>#REF!</v>
      </c>
      <c r="AC104" s="8">
        <v>99</v>
      </c>
      <c r="AD104" s="8" t="e">
        <f>($C106*'[1]功能-城建'!EX102)*S$6+AD103</f>
        <v>#REF!</v>
      </c>
      <c r="AE104" s="8" t="e">
        <f>($C106*'[1]功能-城建'!EY102)*T$6+AE103</f>
        <v>#REF!</v>
      </c>
      <c r="AF104" s="8" t="e">
        <f>($C106*'[1]功能-城建'!EZ102)*U$6+AF103</f>
        <v>#REF!</v>
      </c>
      <c r="AG104" s="8" t="e">
        <f>($C106*'[1]功能-城建'!FA102)*V$6+AG103</f>
        <v>#REF!</v>
      </c>
      <c r="AH104" s="8" t="e">
        <f>($C106*'[1]功能-城建'!FB102)*W$6+AH103</f>
        <v>#REF!</v>
      </c>
      <c r="AL104" s="8">
        <v>99</v>
      </c>
      <c r="AM104" s="8" t="e">
        <f>($D106*'[1]功能-城建'!HM102)*S$6+AM103</f>
        <v>#REF!</v>
      </c>
      <c r="AN104" s="8" t="e">
        <f>($D106*'[1]功能-城建'!HN102)*T$6+AN103</f>
        <v>#REF!</v>
      </c>
      <c r="AO104" s="8" t="e">
        <f>($D106*'[1]功能-城建'!HO102)*U$6+AO103</f>
        <v>#REF!</v>
      </c>
      <c r="AP104" s="8" t="e">
        <f>($D106*'[1]功能-城建'!HP102)*V$6+AP103</f>
        <v>#REF!</v>
      </c>
      <c r="AQ104" s="8" t="e">
        <f>($D106*'[1]功能-城建'!HQ102)*W$6+AQ103</f>
        <v>#REF!</v>
      </c>
      <c r="AU104" s="8">
        <v>99</v>
      </c>
      <c r="AV104" s="8" t="e">
        <f>($E106*'[1]功能-城建'!GF102)*S$6+AV103</f>
        <v>#REF!</v>
      </c>
      <c r="AW104" s="8" t="e">
        <f>($E106*'[1]功能-城建'!GG102)*T$6+AW103</f>
        <v>#REF!</v>
      </c>
      <c r="AX104" s="8" t="e">
        <f>($E106*'[1]功能-城建'!GH102)*U$6+AX103</f>
        <v>#REF!</v>
      </c>
      <c r="AY104" s="8" t="e">
        <f>($E106*'[1]功能-城建'!GI102)*V$6+AY103</f>
        <v>#REF!</v>
      </c>
      <c r="AZ104" s="8" t="e">
        <f>($E106*'[1]功能-城建'!GJ102)*W$6+AZ103</f>
        <v>#REF!</v>
      </c>
      <c r="BD104" s="8">
        <v>99</v>
      </c>
      <c r="BE104" s="8" t="e">
        <f t="shared" si="90"/>
        <v>#REF!</v>
      </c>
      <c r="BF104" s="8" t="e">
        <f t="shared" si="90"/>
        <v>#REF!</v>
      </c>
      <c r="BG104" s="8" t="e">
        <f t="shared" si="90"/>
        <v>#REF!</v>
      </c>
      <c r="BH104" s="8" t="e">
        <f t="shared" si="90"/>
        <v>#REF!</v>
      </c>
      <c r="BI104" s="8" t="e">
        <f t="shared" si="90"/>
        <v>#REF!</v>
      </c>
      <c r="BM104" s="8">
        <v>99</v>
      </c>
      <c r="BN104" s="8" t="e">
        <f t="shared" si="91"/>
        <v>#REF!</v>
      </c>
      <c r="BO104" s="8" t="e">
        <f t="shared" si="91"/>
        <v>#REF!</v>
      </c>
      <c r="BP104" s="8" t="e">
        <f t="shared" si="91"/>
        <v>#REF!</v>
      </c>
      <c r="BQ104" s="8" t="e">
        <f t="shared" si="91"/>
        <v>#REF!</v>
      </c>
      <c r="BR104" s="8" t="e">
        <f t="shared" si="91"/>
        <v>#REF!</v>
      </c>
      <c r="BV104" s="8">
        <v>99</v>
      </c>
      <c r="BW104" s="8" t="e">
        <f t="shared" si="92"/>
        <v>#REF!</v>
      </c>
      <c r="BX104" s="8" t="e">
        <f t="shared" si="92"/>
        <v>#REF!</v>
      </c>
      <c r="BY104" s="8" t="e">
        <f t="shared" si="92"/>
        <v>#REF!</v>
      </c>
      <c r="BZ104" s="8" t="e">
        <f t="shared" si="92"/>
        <v>#REF!</v>
      </c>
      <c r="CA104" s="8" t="e">
        <f t="shared" si="92"/>
        <v>#REF!</v>
      </c>
      <c r="CE104" s="8">
        <v>99</v>
      </c>
      <c r="CF104" s="18" t="e">
        <f t="shared" si="58"/>
        <v>#REF!</v>
      </c>
      <c r="CG104" s="18" t="e">
        <f t="shared" si="59"/>
        <v>#REF!</v>
      </c>
      <c r="CH104" s="18" t="e">
        <f t="shared" si="60"/>
        <v>#REF!</v>
      </c>
      <c r="CI104" s="18" t="e">
        <f t="shared" si="61"/>
        <v>#REF!</v>
      </c>
      <c r="CJ104" s="18" t="e">
        <f t="shared" si="62"/>
        <v>#REF!</v>
      </c>
      <c r="CN104" s="8">
        <v>99</v>
      </c>
      <c r="CO104" s="18" t="e">
        <f t="shared" si="63"/>
        <v>#REF!</v>
      </c>
      <c r="CP104" s="18" t="e">
        <f t="shared" si="64"/>
        <v>#REF!</v>
      </c>
      <c r="CQ104" s="18" t="e">
        <f t="shared" si="65"/>
        <v>#REF!</v>
      </c>
      <c r="CR104" s="18" t="e">
        <f t="shared" si="66"/>
        <v>#REF!</v>
      </c>
      <c r="CS104" s="18" t="e">
        <f t="shared" si="67"/>
        <v>#REF!</v>
      </c>
      <c r="CW104" s="8">
        <v>99</v>
      </c>
      <c r="CX104" s="18" t="e">
        <f t="shared" si="68"/>
        <v>#REF!</v>
      </c>
      <c r="CY104" s="18" t="e">
        <f t="shared" si="69"/>
        <v>#REF!</v>
      </c>
      <c r="CZ104" s="18" t="e">
        <f t="shared" si="70"/>
        <v>#REF!</v>
      </c>
      <c r="DA104" s="18" t="e">
        <f t="shared" si="71"/>
        <v>#REF!</v>
      </c>
      <c r="DB104" s="18" t="e">
        <f t="shared" si="72"/>
        <v>#REF!</v>
      </c>
      <c r="DF104" s="8">
        <v>99</v>
      </c>
      <c r="DG104" s="8" t="e">
        <f t="shared" si="73"/>
        <v>#REF!</v>
      </c>
      <c r="DH104" s="8" t="e">
        <f t="shared" si="74"/>
        <v>#REF!</v>
      </c>
      <c r="DI104" s="8" t="e">
        <f t="shared" si="75"/>
        <v>#REF!</v>
      </c>
      <c r="DJ104" s="8" t="e">
        <f t="shared" si="76"/>
        <v>#REF!</v>
      </c>
      <c r="DK104" s="8" t="e">
        <f t="shared" si="77"/>
        <v>#REF!</v>
      </c>
      <c r="DO104" s="8">
        <v>99</v>
      </c>
      <c r="DP104" s="8" t="e">
        <f t="shared" si="78"/>
        <v>#REF!</v>
      </c>
      <c r="DQ104" s="8" t="e">
        <f t="shared" si="79"/>
        <v>#REF!</v>
      </c>
      <c r="DR104" s="8" t="e">
        <f t="shared" si="80"/>
        <v>#REF!</v>
      </c>
      <c r="DS104" s="8" t="e">
        <f t="shared" si="81"/>
        <v>#REF!</v>
      </c>
      <c r="DT104" s="8" t="e">
        <f t="shared" si="82"/>
        <v>#REF!</v>
      </c>
    </row>
    <row r="105" spans="2:124">
      <c r="B105" s="8">
        <v>98</v>
      </c>
      <c r="C105" s="19" t="e">
        <f t="shared" si="89"/>
        <v>#REF!</v>
      </c>
      <c r="D105" s="19" t="e">
        <f t="shared" si="89"/>
        <v>#REF!</v>
      </c>
      <c r="E105" s="19" t="e">
        <f t="shared" si="89"/>
        <v>#REF!</v>
      </c>
      <c r="F105" s="19" t="e">
        <f t="shared" si="89"/>
        <v>#REF!</v>
      </c>
      <c r="G105" s="19" t="e">
        <f t="shared" si="89"/>
        <v>#REF!</v>
      </c>
      <c r="H105" s="19" t="e">
        <f t="shared" si="88"/>
        <v>#REF!</v>
      </c>
      <c r="I105" s="19" t="e">
        <f t="shared" si="88"/>
        <v>#REF!</v>
      </c>
      <c r="J105" s="19" t="e">
        <f t="shared" si="88"/>
        <v>#REF!</v>
      </c>
      <c r="K105" s="19" t="e">
        <f t="shared" si="88"/>
        <v>#REF!</v>
      </c>
      <c r="L105" s="16" t="e">
        <f t="shared" si="88"/>
        <v>#REF!</v>
      </c>
      <c r="M105" s="16" t="e">
        <f t="shared" si="88"/>
        <v>#REF!</v>
      </c>
      <c r="AC105" s="8">
        <v>100</v>
      </c>
      <c r="AD105" s="8" t="e">
        <f>($C107*'[1]功能-城建'!EX103)*S$6+AD104</f>
        <v>#REF!</v>
      </c>
      <c r="AE105" s="8" t="e">
        <f>($C107*'[1]功能-城建'!EY103)*T$6+AE104</f>
        <v>#REF!</v>
      </c>
      <c r="AF105" s="8" t="e">
        <f>($C107*'[1]功能-城建'!EZ103)*U$6+AF104</f>
        <v>#REF!</v>
      </c>
      <c r="AG105" s="8" t="e">
        <f>($C107*'[1]功能-城建'!FA103)*V$6+AG104</f>
        <v>#REF!</v>
      </c>
      <c r="AH105" s="8" t="e">
        <f>($C107*'[1]功能-城建'!FB103)*W$6+AH104</f>
        <v>#REF!</v>
      </c>
      <c r="AL105" s="8">
        <v>100</v>
      </c>
      <c r="AM105" s="8" t="e">
        <f>($D107*'[1]功能-城建'!HM103)*S$6+AM104</f>
        <v>#REF!</v>
      </c>
      <c r="AN105" s="8" t="e">
        <f>($D107*'[1]功能-城建'!HN103)*T$6+AN104</f>
        <v>#REF!</v>
      </c>
      <c r="AO105" s="8" t="e">
        <f>($D107*'[1]功能-城建'!HO103)*U$6+AO104</f>
        <v>#REF!</v>
      </c>
      <c r="AP105" s="8" t="e">
        <f>($D107*'[1]功能-城建'!HP103)*V$6+AP104</f>
        <v>#REF!</v>
      </c>
      <c r="AQ105" s="8" t="e">
        <f>($D107*'[1]功能-城建'!HQ103)*W$6+AQ104</f>
        <v>#REF!</v>
      </c>
      <c r="AU105" s="8">
        <v>100</v>
      </c>
      <c r="AV105" s="8" t="e">
        <f>($E107*'[1]功能-城建'!GF103)*S$6+AV104</f>
        <v>#REF!</v>
      </c>
      <c r="AW105" s="8" t="e">
        <f>($E107*'[1]功能-城建'!GG103)*T$6+AW104</f>
        <v>#REF!</v>
      </c>
      <c r="AX105" s="8" t="e">
        <f>($E107*'[1]功能-城建'!GH103)*U$6+AX104</f>
        <v>#REF!</v>
      </c>
      <c r="AY105" s="8" t="e">
        <f>($E107*'[1]功能-城建'!GI103)*V$6+AY104</f>
        <v>#REF!</v>
      </c>
      <c r="AZ105" s="8" t="e">
        <f>($E107*'[1]功能-城建'!GJ103)*W$6+AZ104</f>
        <v>#REF!</v>
      </c>
      <c r="BD105" s="8">
        <v>100</v>
      </c>
      <c r="BE105" s="8" t="e">
        <f t="shared" si="90"/>
        <v>#REF!</v>
      </c>
      <c r="BF105" s="8" t="e">
        <f t="shared" si="90"/>
        <v>#REF!</v>
      </c>
      <c r="BG105" s="8" t="e">
        <f t="shared" si="90"/>
        <v>#REF!</v>
      </c>
      <c r="BH105" s="8" t="e">
        <f t="shared" si="90"/>
        <v>#REF!</v>
      </c>
      <c r="BI105" s="8" t="e">
        <f t="shared" si="90"/>
        <v>#REF!</v>
      </c>
      <c r="BM105" s="8">
        <v>100</v>
      </c>
      <c r="BN105" s="8" t="e">
        <f t="shared" si="91"/>
        <v>#REF!</v>
      </c>
      <c r="BO105" s="8" t="e">
        <f t="shared" si="91"/>
        <v>#REF!</v>
      </c>
      <c r="BP105" s="8" t="e">
        <f t="shared" si="91"/>
        <v>#REF!</v>
      </c>
      <c r="BQ105" s="8" t="e">
        <f t="shared" si="91"/>
        <v>#REF!</v>
      </c>
      <c r="BR105" s="8" t="e">
        <f t="shared" si="91"/>
        <v>#REF!</v>
      </c>
      <c r="BV105" s="8">
        <v>100</v>
      </c>
      <c r="BW105" s="8" t="e">
        <f t="shared" si="92"/>
        <v>#REF!</v>
      </c>
      <c r="BX105" s="8" t="e">
        <f t="shared" si="92"/>
        <v>#REF!</v>
      </c>
      <c r="BY105" s="8" t="e">
        <f t="shared" si="92"/>
        <v>#REF!</v>
      </c>
      <c r="BZ105" s="8" t="e">
        <f t="shared" si="92"/>
        <v>#REF!</v>
      </c>
      <c r="CA105" s="8" t="e">
        <f t="shared" si="92"/>
        <v>#REF!</v>
      </c>
      <c r="CE105" s="8">
        <v>100</v>
      </c>
      <c r="CF105" s="18" t="e">
        <f t="shared" si="58"/>
        <v>#REF!</v>
      </c>
      <c r="CG105" s="18" t="e">
        <f t="shared" si="59"/>
        <v>#REF!</v>
      </c>
      <c r="CH105" s="18" t="e">
        <f t="shared" si="60"/>
        <v>#REF!</v>
      </c>
      <c r="CI105" s="18" t="e">
        <f t="shared" si="61"/>
        <v>#REF!</v>
      </c>
      <c r="CJ105" s="18" t="e">
        <f t="shared" si="62"/>
        <v>#REF!</v>
      </c>
      <c r="CN105" s="8">
        <v>100</v>
      </c>
      <c r="CO105" s="18" t="e">
        <f t="shared" si="63"/>
        <v>#REF!</v>
      </c>
      <c r="CP105" s="18" t="e">
        <f t="shared" si="64"/>
        <v>#REF!</v>
      </c>
      <c r="CQ105" s="18" t="e">
        <f t="shared" si="65"/>
        <v>#REF!</v>
      </c>
      <c r="CR105" s="18" t="e">
        <f t="shared" si="66"/>
        <v>#REF!</v>
      </c>
      <c r="CS105" s="18" t="e">
        <f t="shared" si="67"/>
        <v>#REF!</v>
      </c>
      <c r="CW105" s="8">
        <v>100</v>
      </c>
      <c r="CX105" s="18" t="e">
        <f t="shared" si="68"/>
        <v>#REF!</v>
      </c>
      <c r="CY105" s="18" t="e">
        <f t="shared" si="69"/>
        <v>#REF!</v>
      </c>
      <c r="CZ105" s="18" t="e">
        <f t="shared" si="70"/>
        <v>#REF!</v>
      </c>
      <c r="DA105" s="18" t="e">
        <f t="shared" si="71"/>
        <v>#REF!</v>
      </c>
      <c r="DB105" s="18" t="e">
        <f t="shared" si="72"/>
        <v>#REF!</v>
      </c>
      <c r="DF105" s="8">
        <v>100</v>
      </c>
      <c r="DG105" s="8" t="e">
        <f t="shared" si="73"/>
        <v>#REF!</v>
      </c>
      <c r="DH105" s="8" t="e">
        <f t="shared" si="74"/>
        <v>#REF!</v>
      </c>
      <c r="DI105" s="8" t="e">
        <f t="shared" si="75"/>
        <v>#REF!</v>
      </c>
      <c r="DJ105" s="8" t="e">
        <f t="shared" si="76"/>
        <v>#REF!</v>
      </c>
      <c r="DK105" s="8" t="e">
        <f t="shared" si="77"/>
        <v>#REF!</v>
      </c>
      <c r="DO105" s="8">
        <v>100</v>
      </c>
      <c r="DP105" s="8" t="e">
        <f t="shared" si="78"/>
        <v>#REF!</v>
      </c>
      <c r="DQ105" s="8" t="e">
        <f t="shared" si="79"/>
        <v>#REF!</v>
      </c>
      <c r="DR105" s="8" t="e">
        <f t="shared" si="80"/>
        <v>#REF!</v>
      </c>
      <c r="DS105" s="8" t="e">
        <f t="shared" si="81"/>
        <v>#REF!</v>
      </c>
      <c r="DT105" s="8" t="e">
        <f t="shared" si="82"/>
        <v>#REF!</v>
      </c>
    </row>
    <row r="106" spans="2:124">
      <c r="B106" s="8">
        <v>99</v>
      </c>
      <c r="C106" s="19" t="e">
        <f t="shared" si="89"/>
        <v>#REF!</v>
      </c>
      <c r="D106" s="19" t="e">
        <f t="shared" si="89"/>
        <v>#REF!</v>
      </c>
      <c r="E106" s="19" t="e">
        <f t="shared" si="89"/>
        <v>#REF!</v>
      </c>
      <c r="F106" s="19" t="e">
        <f t="shared" si="89"/>
        <v>#REF!</v>
      </c>
      <c r="G106" s="19" t="e">
        <f t="shared" si="89"/>
        <v>#REF!</v>
      </c>
      <c r="H106" s="19" t="e">
        <f t="shared" si="88"/>
        <v>#REF!</v>
      </c>
      <c r="I106" s="19" t="e">
        <f t="shared" si="88"/>
        <v>#REF!</v>
      </c>
      <c r="J106" s="19" t="e">
        <f t="shared" si="88"/>
        <v>#REF!</v>
      </c>
      <c r="K106" s="19" t="e">
        <f t="shared" si="88"/>
        <v>#REF!</v>
      </c>
      <c r="L106" s="16" t="e">
        <f t="shared" si="88"/>
        <v>#REF!</v>
      </c>
      <c r="M106" s="16" t="e">
        <f t="shared" si="88"/>
        <v>#REF!</v>
      </c>
    </row>
    <row r="107" spans="2:124">
      <c r="B107" s="8">
        <v>100</v>
      </c>
      <c r="C107" s="19" t="e">
        <f t="shared" si="89"/>
        <v>#REF!</v>
      </c>
      <c r="D107" s="19" t="e">
        <f t="shared" si="89"/>
        <v>#REF!</v>
      </c>
      <c r="E107" s="19" t="e">
        <f t="shared" si="89"/>
        <v>#REF!</v>
      </c>
      <c r="F107" s="19" t="e">
        <f t="shared" si="89"/>
        <v>#REF!</v>
      </c>
      <c r="G107" s="19" t="e">
        <f t="shared" si="89"/>
        <v>#REF!</v>
      </c>
      <c r="H107" s="19" t="e">
        <f t="shared" si="88"/>
        <v>#REF!</v>
      </c>
      <c r="I107" s="19" t="e">
        <f t="shared" si="88"/>
        <v>#REF!</v>
      </c>
      <c r="J107" s="19" t="e">
        <f t="shared" si="88"/>
        <v>#REF!</v>
      </c>
      <c r="K107" s="19" t="e">
        <f t="shared" si="88"/>
        <v>#REF!</v>
      </c>
      <c r="L107" s="16" t="e">
        <f t="shared" si="88"/>
        <v>#REF!</v>
      </c>
      <c r="M107" s="16" t="e">
        <f t="shared" si="88"/>
        <v>#REF!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Sheet2</vt:lpstr>
      <vt:lpstr>总纲</vt:lpstr>
      <vt:lpstr>其他调用</vt:lpstr>
      <vt:lpstr>将星点产出</vt:lpstr>
      <vt:lpstr>星阵点亮</vt:lpstr>
      <vt:lpstr>圣人主推（去掉）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2023-01-31T04:16:23Z</dcterms:modified>
</cp:coreProperties>
</file>