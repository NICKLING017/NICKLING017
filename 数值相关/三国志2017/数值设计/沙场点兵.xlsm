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CD6C8BE3-082E-45DB-967A-CA0B526E7951}" xr6:coauthVersionLast="47" xr6:coauthVersionMax="47" xr10:uidLastSave="{00000000-0000-0000-0000-000000000000}"/>
  <bookViews>
    <workbookView xWindow="-120" yWindow="-120" windowWidth="29040" windowHeight="15840" tabRatio="894" activeTab="2" xr2:uid="{00000000-000D-0000-FFFF-FFFF00000000}"/>
  </bookViews>
  <sheets>
    <sheet name="节奏总纲" sheetId="6" r:id="rId1"/>
    <sheet name="匹配规则" sheetId="31" r:id="rId2"/>
    <sheet name="玩法和奖励设计" sheetId="28" r:id="rId3"/>
    <sheet name="道具信息" sheetId="30" r:id="rId4"/>
  </sheets>
  <functionGroups builtInGroupCount="19"/>
  <externalReferences>
    <externalReference r:id="rId5"/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L21" i="28" l="1"/>
  <c r="AL22" i="28"/>
  <c r="AL23" i="28"/>
  <c r="AL24" i="28"/>
  <c r="AL25" i="28"/>
  <c r="AL26" i="28"/>
  <c r="AL27" i="28"/>
  <c r="AL28" i="28"/>
  <c r="AL29" i="28"/>
  <c r="AL30" i="28"/>
  <c r="AL20" i="28"/>
  <c r="C4" i="30"/>
  <c r="D4" i="30"/>
  <c r="E4" i="30"/>
  <c r="F4" i="30"/>
  <c r="G4" i="30"/>
  <c r="H4" i="30"/>
  <c r="I4" i="30"/>
  <c r="J4" i="30"/>
  <c r="K4" i="30"/>
  <c r="L4" i="30"/>
  <c r="M4" i="30"/>
  <c r="N4" i="30"/>
  <c r="O4" i="30"/>
  <c r="P4" i="30"/>
  <c r="Q4" i="30"/>
  <c r="R4" i="30"/>
  <c r="C5" i="30"/>
  <c r="D5" i="30"/>
  <c r="E5" i="30"/>
  <c r="F5" i="30"/>
  <c r="G5" i="30"/>
  <c r="H5" i="30"/>
  <c r="I5" i="30"/>
  <c r="J5" i="30"/>
  <c r="K5" i="30"/>
  <c r="L5" i="30"/>
  <c r="M5" i="30"/>
  <c r="N5" i="30"/>
  <c r="O5" i="30"/>
  <c r="P5" i="30"/>
  <c r="Q5" i="30"/>
  <c r="R5" i="30"/>
  <c r="C6" i="30"/>
  <c r="D6" i="30"/>
  <c r="E6" i="30"/>
  <c r="F6" i="30"/>
  <c r="G6" i="30"/>
  <c r="H6" i="30"/>
  <c r="I6" i="30"/>
  <c r="J6" i="30"/>
  <c r="K6" i="30"/>
  <c r="L6" i="30"/>
  <c r="M6" i="30"/>
  <c r="N6" i="30"/>
  <c r="O6" i="30"/>
  <c r="P6" i="30"/>
  <c r="Q6" i="30"/>
  <c r="R6" i="30"/>
  <c r="C7" i="30"/>
  <c r="D7" i="30"/>
  <c r="E7" i="30"/>
  <c r="F7" i="30"/>
  <c r="G7" i="30"/>
  <c r="H7" i="30"/>
  <c r="I7" i="30"/>
  <c r="J7" i="30"/>
  <c r="K7" i="30"/>
  <c r="L7" i="30"/>
  <c r="M7" i="30"/>
  <c r="N7" i="30"/>
  <c r="O7" i="30"/>
  <c r="P7" i="30"/>
  <c r="Q7" i="30"/>
  <c r="R7" i="30"/>
  <c r="C8" i="30"/>
  <c r="D8" i="30"/>
  <c r="E8" i="30"/>
  <c r="F8" i="30"/>
  <c r="G8" i="30"/>
  <c r="H8" i="30"/>
  <c r="I8" i="30"/>
  <c r="J8" i="30"/>
  <c r="K8" i="30"/>
  <c r="L8" i="30"/>
  <c r="M8" i="30"/>
  <c r="N8" i="30"/>
  <c r="O8" i="30"/>
  <c r="P8" i="30"/>
  <c r="Q8" i="30"/>
  <c r="R8" i="30"/>
  <c r="C9" i="30"/>
  <c r="D9" i="30"/>
  <c r="E9" i="30"/>
  <c r="F9" i="30"/>
  <c r="G9" i="30"/>
  <c r="H9" i="30"/>
  <c r="I9" i="30"/>
  <c r="J9" i="30"/>
  <c r="K9" i="30"/>
  <c r="L9" i="30"/>
  <c r="M9" i="30"/>
  <c r="N9" i="30"/>
  <c r="O9" i="30"/>
  <c r="P9" i="30"/>
  <c r="Q9" i="30"/>
  <c r="R9" i="30"/>
  <c r="C10" i="30"/>
  <c r="D10" i="30"/>
  <c r="E10" i="30"/>
  <c r="F10" i="30"/>
  <c r="G10" i="30"/>
  <c r="H10" i="30"/>
  <c r="I10" i="30"/>
  <c r="J10" i="30"/>
  <c r="K10" i="30"/>
  <c r="L10" i="30"/>
  <c r="M10" i="30"/>
  <c r="N10" i="30"/>
  <c r="O10" i="30"/>
  <c r="P10" i="30"/>
  <c r="Q10" i="30"/>
  <c r="R10" i="30"/>
  <c r="C11" i="30"/>
  <c r="D11" i="30"/>
  <c r="E11" i="30"/>
  <c r="F11" i="30"/>
  <c r="G11" i="30"/>
  <c r="H11" i="30"/>
  <c r="I11" i="30"/>
  <c r="J11" i="30"/>
  <c r="K11" i="30"/>
  <c r="L11" i="30"/>
  <c r="M11" i="30"/>
  <c r="N11" i="30"/>
  <c r="O11" i="30"/>
  <c r="P11" i="30"/>
  <c r="Q11" i="30"/>
  <c r="R11" i="30"/>
  <c r="C12" i="30"/>
  <c r="D12" i="30"/>
  <c r="E12" i="30"/>
  <c r="F12" i="30"/>
  <c r="G12" i="30"/>
  <c r="H12" i="30"/>
  <c r="I12" i="30"/>
  <c r="J12" i="30"/>
  <c r="K12" i="30"/>
  <c r="L12" i="30"/>
  <c r="M12" i="30"/>
  <c r="N12" i="30"/>
  <c r="O12" i="30"/>
  <c r="P12" i="30"/>
  <c r="Q12" i="30"/>
  <c r="R12" i="30"/>
  <c r="C13" i="30"/>
  <c r="D13" i="30"/>
  <c r="E13" i="30"/>
  <c r="F13" i="30"/>
  <c r="G13" i="30"/>
  <c r="H13" i="30"/>
  <c r="I13" i="30"/>
  <c r="J13" i="30"/>
  <c r="K13" i="30"/>
  <c r="L13" i="30"/>
  <c r="M13" i="30"/>
  <c r="N13" i="30"/>
  <c r="O13" i="30"/>
  <c r="P13" i="30"/>
  <c r="Q13" i="30"/>
  <c r="R13" i="30"/>
  <c r="C14" i="30"/>
  <c r="D14" i="30"/>
  <c r="E14" i="30"/>
  <c r="F14" i="30"/>
  <c r="G14" i="30"/>
  <c r="H14" i="30"/>
  <c r="I14" i="30"/>
  <c r="J14" i="30"/>
  <c r="K14" i="30"/>
  <c r="L14" i="30"/>
  <c r="M14" i="30"/>
  <c r="N14" i="30"/>
  <c r="O14" i="30"/>
  <c r="P14" i="30"/>
  <c r="Q14" i="30"/>
  <c r="R14" i="30"/>
  <c r="C15" i="30"/>
  <c r="D15" i="30"/>
  <c r="E15" i="30"/>
  <c r="F15" i="30"/>
  <c r="G15" i="30"/>
  <c r="H15" i="30"/>
  <c r="I15" i="30"/>
  <c r="J15" i="30"/>
  <c r="K15" i="30"/>
  <c r="L15" i="30"/>
  <c r="M15" i="30"/>
  <c r="N15" i="30"/>
  <c r="O15" i="30"/>
  <c r="P15" i="30"/>
  <c r="Q15" i="30"/>
  <c r="R15" i="30"/>
  <c r="C16" i="30"/>
  <c r="D16" i="30"/>
  <c r="E16" i="30"/>
  <c r="F16" i="30"/>
  <c r="G16" i="30"/>
  <c r="H16" i="30"/>
  <c r="I16" i="30"/>
  <c r="J16" i="30"/>
  <c r="K16" i="30"/>
  <c r="L16" i="30"/>
  <c r="M16" i="30"/>
  <c r="N16" i="30"/>
  <c r="O16" i="30"/>
  <c r="P16" i="30"/>
  <c r="Q16" i="30"/>
  <c r="R16" i="30"/>
  <c r="C17" i="30"/>
  <c r="D17" i="30"/>
  <c r="E17" i="30"/>
  <c r="F17" i="30"/>
  <c r="G17" i="30"/>
  <c r="H17" i="30"/>
  <c r="I17" i="30"/>
  <c r="J17" i="30"/>
  <c r="K17" i="30"/>
  <c r="L17" i="30"/>
  <c r="M17" i="30"/>
  <c r="N17" i="30"/>
  <c r="O17" i="30"/>
  <c r="P17" i="30"/>
  <c r="Q17" i="30"/>
  <c r="R17" i="30"/>
  <c r="C18" i="30"/>
  <c r="D18" i="30"/>
  <c r="E18" i="30"/>
  <c r="F18" i="30"/>
  <c r="G18" i="30"/>
  <c r="H18" i="30"/>
  <c r="I18" i="30"/>
  <c r="J18" i="30"/>
  <c r="K18" i="30"/>
  <c r="L18" i="30"/>
  <c r="M18" i="30"/>
  <c r="N18" i="30"/>
  <c r="O18" i="30"/>
  <c r="P18" i="30"/>
  <c r="Q18" i="30"/>
  <c r="R18" i="30"/>
  <c r="C19" i="30"/>
  <c r="D19" i="30"/>
  <c r="E19" i="30"/>
  <c r="F19" i="30"/>
  <c r="G19" i="30"/>
  <c r="H19" i="30"/>
  <c r="I19" i="30"/>
  <c r="J19" i="30"/>
  <c r="K19" i="30"/>
  <c r="L19" i="30"/>
  <c r="M19" i="30"/>
  <c r="N19" i="30"/>
  <c r="O19" i="30"/>
  <c r="P19" i="30"/>
  <c r="Q19" i="30"/>
  <c r="R19" i="30"/>
  <c r="C20" i="30"/>
  <c r="D20" i="30"/>
  <c r="E20" i="30"/>
  <c r="F20" i="30"/>
  <c r="G20" i="30"/>
  <c r="H20" i="30"/>
  <c r="I20" i="30"/>
  <c r="J20" i="30"/>
  <c r="K20" i="30"/>
  <c r="L20" i="30"/>
  <c r="M20" i="30"/>
  <c r="N20" i="30"/>
  <c r="O20" i="30"/>
  <c r="P20" i="30"/>
  <c r="Q20" i="30"/>
  <c r="R20" i="30"/>
  <c r="C21" i="30"/>
  <c r="D21" i="30"/>
  <c r="E21" i="30"/>
  <c r="F21" i="30"/>
  <c r="G21" i="30"/>
  <c r="H21" i="30"/>
  <c r="I21" i="30"/>
  <c r="J21" i="30"/>
  <c r="K21" i="30"/>
  <c r="L21" i="30"/>
  <c r="M21" i="30"/>
  <c r="N21" i="30"/>
  <c r="O21" i="30"/>
  <c r="P21" i="30"/>
  <c r="Q21" i="30"/>
  <c r="R21" i="30"/>
  <c r="C22" i="30"/>
  <c r="D22" i="30"/>
  <c r="E22" i="30"/>
  <c r="F22" i="30"/>
  <c r="G22" i="30"/>
  <c r="H22" i="30"/>
  <c r="I22" i="30"/>
  <c r="J22" i="30"/>
  <c r="K22" i="30"/>
  <c r="L22" i="30"/>
  <c r="M22" i="30"/>
  <c r="N22" i="30"/>
  <c r="O22" i="30"/>
  <c r="P22" i="30"/>
  <c r="Q22" i="30"/>
  <c r="R22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P26" i="30"/>
  <c r="Q26" i="30"/>
  <c r="R26" i="30"/>
  <c r="C27" i="30"/>
  <c r="D27" i="30"/>
  <c r="E27" i="30"/>
  <c r="F27" i="30"/>
  <c r="G27" i="30"/>
  <c r="H27" i="30"/>
  <c r="I27" i="30"/>
  <c r="J27" i="30"/>
  <c r="K27" i="30"/>
  <c r="L27" i="30"/>
  <c r="M27" i="30"/>
  <c r="N27" i="30"/>
  <c r="O27" i="30"/>
  <c r="P27" i="30"/>
  <c r="Q27" i="30"/>
  <c r="R27" i="30"/>
  <c r="C28" i="30"/>
  <c r="D28" i="30"/>
  <c r="E28" i="30"/>
  <c r="F28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C29" i="30"/>
  <c r="D29" i="30"/>
  <c r="E29" i="30"/>
  <c r="F29" i="30"/>
  <c r="G29" i="30"/>
  <c r="H29" i="30"/>
  <c r="I29" i="30"/>
  <c r="J29" i="30"/>
  <c r="K29" i="30"/>
  <c r="L29" i="30"/>
  <c r="M29" i="30"/>
  <c r="N29" i="30"/>
  <c r="O29" i="30"/>
  <c r="P29" i="30"/>
  <c r="Q29" i="30"/>
  <c r="R29" i="30"/>
  <c r="C30" i="30"/>
  <c r="D30" i="30"/>
  <c r="E30" i="30"/>
  <c r="F30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C31" i="30"/>
  <c r="D31" i="30"/>
  <c r="E31" i="30"/>
  <c r="F31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C32" i="30"/>
  <c r="D32" i="30"/>
  <c r="E32" i="30"/>
  <c r="F32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C33" i="30"/>
  <c r="D33" i="30"/>
  <c r="E33" i="30"/>
  <c r="F33" i="30"/>
  <c r="G33" i="30"/>
  <c r="H33" i="30"/>
  <c r="I33" i="30"/>
  <c r="J33" i="30"/>
  <c r="K33" i="30"/>
  <c r="L33" i="30"/>
  <c r="M33" i="30"/>
  <c r="N33" i="30"/>
  <c r="O33" i="30"/>
  <c r="P33" i="30"/>
  <c r="Q33" i="30"/>
  <c r="R33" i="30"/>
  <c r="C34" i="30"/>
  <c r="D34" i="30"/>
  <c r="E34" i="30"/>
  <c r="F34" i="30"/>
  <c r="G34" i="30"/>
  <c r="H34" i="30"/>
  <c r="I34" i="30"/>
  <c r="J34" i="30"/>
  <c r="K34" i="30"/>
  <c r="L34" i="30"/>
  <c r="M34" i="30"/>
  <c r="N34" i="30"/>
  <c r="O34" i="30"/>
  <c r="P34" i="30"/>
  <c r="Q34" i="30"/>
  <c r="R34" i="30"/>
  <c r="C35" i="30"/>
  <c r="D35" i="30"/>
  <c r="E35" i="30"/>
  <c r="F35" i="30"/>
  <c r="G35" i="30"/>
  <c r="H35" i="30"/>
  <c r="I35" i="30"/>
  <c r="J35" i="30"/>
  <c r="K35" i="30"/>
  <c r="L35" i="30"/>
  <c r="M35" i="30"/>
  <c r="N35" i="30"/>
  <c r="O35" i="30"/>
  <c r="P35" i="30"/>
  <c r="Q35" i="30"/>
  <c r="R35" i="30"/>
  <c r="C36" i="30"/>
  <c r="D36" i="30"/>
  <c r="E36" i="30"/>
  <c r="F36" i="30"/>
  <c r="G36" i="30"/>
  <c r="H36" i="30"/>
  <c r="I36" i="30"/>
  <c r="J36" i="30"/>
  <c r="K36" i="30"/>
  <c r="L36" i="30"/>
  <c r="M36" i="30"/>
  <c r="N36" i="30"/>
  <c r="O36" i="30"/>
  <c r="P36" i="30"/>
  <c r="Q36" i="30"/>
  <c r="R36" i="30"/>
  <c r="C37" i="30"/>
  <c r="D37" i="30"/>
  <c r="E37" i="30"/>
  <c r="F37" i="30"/>
  <c r="G37" i="30"/>
  <c r="H37" i="30"/>
  <c r="I37" i="30"/>
  <c r="J37" i="30"/>
  <c r="K37" i="30"/>
  <c r="L37" i="30"/>
  <c r="M37" i="30"/>
  <c r="N37" i="30"/>
  <c r="O37" i="30"/>
  <c r="P37" i="30"/>
  <c r="Q37" i="30"/>
  <c r="R37" i="30"/>
  <c r="C38" i="30"/>
  <c r="D38" i="30"/>
  <c r="E38" i="30"/>
  <c r="F38" i="30"/>
  <c r="G38" i="30"/>
  <c r="H38" i="30"/>
  <c r="I38" i="30"/>
  <c r="J38" i="30"/>
  <c r="K38" i="30"/>
  <c r="L38" i="30"/>
  <c r="M38" i="30"/>
  <c r="N38" i="30"/>
  <c r="O38" i="30"/>
  <c r="P38" i="30"/>
  <c r="Q38" i="30"/>
  <c r="R38" i="30"/>
  <c r="C39" i="30"/>
  <c r="D39" i="30"/>
  <c r="E39" i="30"/>
  <c r="F39" i="30"/>
  <c r="G39" i="30"/>
  <c r="H39" i="30"/>
  <c r="I39" i="30"/>
  <c r="J39" i="30"/>
  <c r="K39" i="30"/>
  <c r="L39" i="30"/>
  <c r="M39" i="30"/>
  <c r="N39" i="30"/>
  <c r="O39" i="30"/>
  <c r="P39" i="30"/>
  <c r="Q39" i="30"/>
  <c r="R39" i="30"/>
  <c r="C40" i="30"/>
  <c r="D40" i="30"/>
  <c r="E40" i="30"/>
  <c r="F40" i="30"/>
  <c r="G40" i="30"/>
  <c r="H40" i="30"/>
  <c r="I40" i="30"/>
  <c r="J40" i="30"/>
  <c r="K40" i="30"/>
  <c r="L40" i="30"/>
  <c r="M40" i="30"/>
  <c r="N40" i="30"/>
  <c r="O40" i="30"/>
  <c r="P40" i="30"/>
  <c r="Q40" i="30"/>
  <c r="R40" i="30"/>
  <c r="C41" i="30"/>
  <c r="D41" i="30"/>
  <c r="E41" i="30"/>
  <c r="F41" i="30"/>
  <c r="G41" i="30"/>
  <c r="H41" i="30"/>
  <c r="I41" i="30"/>
  <c r="J41" i="30"/>
  <c r="K41" i="30"/>
  <c r="L41" i="30"/>
  <c r="M41" i="30"/>
  <c r="N41" i="30"/>
  <c r="O41" i="30"/>
  <c r="P41" i="30"/>
  <c r="Q41" i="30"/>
  <c r="R41" i="30"/>
  <c r="C42" i="30"/>
  <c r="D42" i="30"/>
  <c r="E42" i="30"/>
  <c r="F42" i="30"/>
  <c r="G42" i="30"/>
  <c r="H42" i="30"/>
  <c r="I42" i="30"/>
  <c r="J42" i="30"/>
  <c r="K42" i="30"/>
  <c r="L42" i="30"/>
  <c r="M42" i="30"/>
  <c r="N42" i="30"/>
  <c r="O42" i="30"/>
  <c r="P42" i="30"/>
  <c r="Q42" i="30"/>
  <c r="R42" i="30"/>
  <c r="C43" i="30"/>
  <c r="D43" i="30"/>
  <c r="E43" i="30"/>
  <c r="F43" i="30"/>
  <c r="G43" i="30"/>
  <c r="H43" i="30"/>
  <c r="I43" i="30"/>
  <c r="J43" i="30"/>
  <c r="K43" i="30"/>
  <c r="L43" i="30"/>
  <c r="M43" i="30"/>
  <c r="N43" i="30"/>
  <c r="O43" i="30"/>
  <c r="P43" i="30"/>
  <c r="Q43" i="30"/>
  <c r="R43" i="30"/>
  <c r="C44" i="30"/>
  <c r="D44" i="30"/>
  <c r="E44" i="30"/>
  <c r="F44" i="30"/>
  <c r="G44" i="30"/>
  <c r="H44" i="30"/>
  <c r="I44" i="30"/>
  <c r="J44" i="30"/>
  <c r="K44" i="30"/>
  <c r="L44" i="30"/>
  <c r="M44" i="30"/>
  <c r="N44" i="30"/>
  <c r="O44" i="30"/>
  <c r="P44" i="30"/>
  <c r="Q44" i="30"/>
  <c r="R44" i="30"/>
  <c r="C45" i="30"/>
  <c r="D45" i="30"/>
  <c r="E45" i="30"/>
  <c r="F45" i="30"/>
  <c r="G45" i="30"/>
  <c r="H45" i="30"/>
  <c r="I45" i="30"/>
  <c r="J45" i="30"/>
  <c r="K45" i="30"/>
  <c r="L45" i="30"/>
  <c r="M45" i="30"/>
  <c r="N45" i="30"/>
  <c r="O45" i="30"/>
  <c r="P45" i="30"/>
  <c r="Q45" i="30"/>
  <c r="R45" i="30"/>
  <c r="C46" i="30"/>
  <c r="D46" i="30"/>
  <c r="E46" i="30"/>
  <c r="F46" i="30"/>
  <c r="G46" i="30"/>
  <c r="H46" i="30"/>
  <c r="I46" i="30"/>
  <c r="J46" i="30"/>
  <c r="K46" i="30"/>
  <c r="L46" i="30"/>
  <c r="M46" i="30"/>
  <c r="N46" i="30"/>
  <c r="O46" i="30"/>
  <c r="P46" i="30"/>
  <c r="Q46" i="30"/>
  <c r="R46" i="30"/>
  <c r="C47" i="30"/>
  <c r="D47" i="30"/>
  <c r="E47" i="30"/>
  <c r="F47" i="30"/>
  <c r="G47" i="30"/>
  <c r="H47" i="30"/>
  <c r="I47" i="30"/>
  <c r="J47" i="30"/>
  <c r="K47" i="30"/>
  <c r="L47" i="30"/>
  <c r="M47" i="30"/>
  <c r="N47" i="30"/>
  <c r="O47" i="30"/>
  <c r="P47" i="30"/>
  <c r="Q47" i="30"/>
  <c r="R47" i="30"/>
  <c r="C48" i="30"/>
  <c r="D48" i="30"/>
  <c r="E48" i="30"/>
  <c r="F48" i="30"/>
  <c r="G48" i="30"/>
  <c r="H48" i="30"/>
  <c r="I48" i="30"/>
  <c r="J48" i="30"/>
  <c r="K48" i="30"/>
  <c r="L48" i="30"/>
  <c r="M48" i="30"/>
  <c r="N48" i="30"/>
  <c r="O48" i="30"/>
  <c r="P48" i="30"/>
  <c r="Q48" i="30"/>
  <c r="R48" i="30"/>
  <c r="C49" i="30"/>
  <c r="D49" i="30"/>
  <c r="E49" i="30"/>
  <c r="F49" i="30"/>
  <c r="G49" i="30"/>
  <c r="H49" i="30"/>
  <c r="I49" i="30"/>
  <c r="J49" i="30"/>
  <c r="K49" i="30"/>
  <c r="L49" i="30"/>
  <c r="M49" i="30"/>
  <c r="N49" i="30"/>
  <c r="O49" i="30"/>
  <c r="P49" i="30"/>
  <c r="Q49" i="30"/>
  <c r="R49" i="30"/>
  <c r="C50" i="30"/>
  <c r="D50" i="30"/>
  <c r="E50" i="30"/>
  <c r="F50" i="30"/>
  <c r="G50" i="30"/>
  <c r="H50" i="30"/>
  <c r="I50" i="30"/>
  <c r="J50" i="30"/>
  <c r="K50" i="30"/>
  <c r="L50" i="30"/>
  <c r="M50" i="30"/>
  <c r="N50" i="30"/>
  <c r="O50" i="30"/>
  <c r="P50" i="30"/>
  <c r="Q50" i="30"/>
  <c r="R50" i="30"/>
  <c r="C51" i="30"/>
  <c r="D51" i="30"/>
  <c r="E51" i="30"/>
  <c r="F51" i="30"/>
  <c r="G51" i="30"/>
  <c r="H51" i="30"/>
  <c r="I51" i="30"/>
  <c r="J51" i="30"/>
  <c r="K51" i="30"/>
  <c r="L51" i="30"/>
  <c r="M51" i="30"/>
  <c r="N51" i="30"/>
  <c r="O51" i="30"/>
  <c r="P51" i="30"/>
  <c r="Q51" i="30"/>
  <c r="R51" i="30"/>
  <c r="C52" i="30"/>
  <c r="D52" i="30"/>
  <c r="E52" i="30"/>
  <c r="F52" i="30"/>
  <c r="G52" i="30"/>
  <c r="H52" i="30"/>
  <c r="I52" i="30"/>
  <c r="J52" i="30"/>
  <c r="K52" i="30"/>
  <c r="L52" i="30"/>
  <c r="M52" i="30"/>
  <c r="N52" i="30"/>
  <c r="O52" i="30"/>
  <c r="P52" i="30"/>
  <c r="Q52" i="30"/>
  <c r="R52" i="30"/>
  <c r="C53" i="30"/>
  <c r="D53" i="30"/>
  <c r="E53" i="30"/>
  <c r="F53" i="30"/>
  <c r="G53" i="30"/>
  <c r="H53" i="30"/>
  <c r="I53" i="30"/>
  <c r="J53" i="30"/>
  <c r="K53" i="30"/>
  <c r="L53" i="30"/>
  <c r="M53" i="30"/>
  <c r="N53" i="30"/>
  <c r="O53" i="30"/>
  <c r="P53" i="30"/>
  <c r="Q53" i="30"/>
  <c r="R53" i="30"/>
  <c r="C54" i="30"/>
  <c r="D54" i="30"/>
  <c r="E54" i="30"/>
  <c r="F54" i="30"/>
  <c r="G54" i="30"/>
  <c r="H54" i="30"/>
  <c r="I54" i="30"/>
  <c r="J54" i="30"/>
  <c r="K54" i="30"/>
  <c r="L54" i="30"/>
  <c r="M54" i="30"/>
  <c r="N54" i="30"/>
  <c r="O54" i="30"/>
  <c r="P54" i="30"/>
  <c r="Q54" i="30"/>
  <c r="R54" i="30"/>
  <c r="C55" i="30"/>
  <c r="D55" i="30"/>
  <c r="E55" i="30"/>
  <c r="F55" i="30"/>
  <c r="G55" i="30"/>
  <c r="H55" i="30"/>
  <c r="I55" i="30"/>
  <c r="J55" i="30"/>
  <c r="K55" i="30"/>
  <c r="L55" i="30"/>
  <c r="M55" i="30"/>
  <c r="N55" i="30"/>
  <c r="O55" i="30"/>
  <c r="P55" i="30"/>
  <c r="Q55" i="30"/>
  <c r="R55" i="30"/>
  <c r="C56" i="30"/>
  <c r="D56" i="30"/>
  <c r="E56" i="30"/>
  <c r="F56" i="30"/>
  <c r="G56" i="30"/>
  <c r="H56" i="30"/>
  <c r="I56" i="30"/>
  <c r="J56" i="30"/>
  <c r="K56" i="30"/>
  <c r="L56" i="30"/>
  <c r="M56" i="30"/>
  <c r="N56" i="30"/>
  <c r="O56" i="30"/>
  <c r="P56" i="30"/>
  <c r="Q56" i="30"/>
  <c r="R56" i="30"/>
  <c r="C57" i="30"/>
  <c r="D57" i="30"/>
  <c r="E57" i="30"/>
  <c r="F57" i="30"/>
  <c r="G57" i="30"/>
  <c r="H57" i="30"/>
  <c r="I57" i="30"/>
  <c r="J57" i="30"/>
  <c r="K57" i="30"/>
  <c r="L57" i="30"/>
  <c r="M57" i="30"/>
  <c r="N57" i="30"/>
  <c r="O57" i="30"/>
  <c r="P57" i="30"/>
  <c r="Q57" i="30"/>
  <c r="R57" i="30"/>
  <c r="C58" i="30"/>
  <c r="D58" i="30"/>
  <c r="E58" i="30"/>
  <c r="F58" i="30"/>
  <c r="G58" i="30"/>
  <c r="H58" i="30"/>
  <c r="I58" i="30"/>
  <c r="J58" i="30"/>
  <c r="K58" i="30"/>
  <c r="L58" i="30"/>
  <c r="M58" i="30"/>
  <c r="N58" i="30"/>
  <c r="O58" i="30"/>
  <c r="P58" i="30"/>
  <c r="Q58" i="30"/>
  <c r="R58" i="30"/>
  <c r="C59" i="30"/>
  <c r="D59" i="30"/>
  <c r="E59" i="30"/>
  <c r="F59" i="30"/>
  <c r="G59" i="30"/>
  <c r="H59" i="30"/>
  <c r="I59" i="30"/>
  <c r="J59" i="30"/>
  <c r="K59" i="30"/>
  <c r="L59" i="30"/>
  <c r="M59" i="30"/>
  <c r="N59" i="30"/>
  <c r="O59" i="30"/>
  <c r="P59" i="30"/>
  <c r="Q59" i="30"/>
  <c r="R59" i="30"/>
  <c r="C60" i="30"/>
  <c r="D60" i="30"/>
  <c r="E60" i="30"/>
  <c r="F60" i="30"/>
  <c r="G60" i="30"/>
  <c r="H60" i="30"/>
  <c r="I60" i="30"/>
  <c r="J60" i="30"/>
  <c r="K60" i="30"/>
  <c r="L60" i="30"/>
  <c r="M60" i="30"/>
  <c r="N60" i="30"/>
  <c r="O60" i="30"/>
  <c r="P60" i="30"/>
  <c r="Q60" i="30"/>
  <c r="R60" i="30"/>
  <c r="C61" i="30"/>
  <c r="D61" i="30"/>
  <c r="E61" i="30"/>
  <c r="F61" i="30"/>
  <c r="G61" i="30"/>
  <c r="H61" i="30"/>
  <c r="I61" i="30"/>
  <c r="J61" i="30"/>
  <c r="K61" i="30"/>
  <c r="L61" i="30"/>
  <c r="M61" i="30"/>
  <c r="N61" i="30"/>
  <c r="O61" i="30"/>
  <c r="P61" i="30"/>
  <c r="Q61" i="30"/>
  <c r="R61" i="30"/>
  <c r="C62" i="30"/>
  <c r="D62" i="30"/>
  <c r="E62" i="30"/>
  <c r="F62" i="30"/>
  <c r="G62" i="30"/>
  <c r="H62" i="30"/>
  <c r="I62" i="30"/>
  <c r="J62" i="30"/>
  <c r="K62" i="30"/>
  <c r="L62" i="30"/>
  <c r="M62" i="30"/>
  <c r="N62" i="30"/>
  <c r="O62" i="30"/>
  <c r="P62" i="30"/>
  <c r="Q62" i="30"/>
  <c r="R62" i="30"/>
  <c r="C63" i="30"/>
  <c r="D63" i="30"/>
  <c r="E63" i="30"/>
  <c r="F63" i="30"/>
  <c r="G63" i="30"/>
  <c r="H63" i="30"/>
  <c r="I63" i="30"/>
  <c r="J63" i="30"/>
  <c r="K63" i="30"/>
  <c r="L63" i="30"/>
  <c r="M63" i="30"/>
  <c r="N63" i="30"/>
  <c r="O63" i="30"/>
  <c r="P63" i="30"/>
  <c r="Q63" i="30"/>
  <c r="R63" i="30"/>
  <c r="C64" i="30"/>
  <c r="D64" i="30"/>
  <c r="E64" i="30"/>
  <c r="F64" i="30"/>
  <c r="G64" i="30"/>
  <c r="H64" i="30"/>
  <c r="I64" i="30"/>
  <c r="J64" i="30"/>
  <c r="K64" i="30"/>
  <c r="L64" i="30"/>
  <c r="M64" i="30"/>
  <c r="N64" i="30"/>
  <c r="O64" i="30"/>
  <c r="P64" i="30"/>
  <c r="Q64" i="30"/>
  <c r="R64" i="30"/>
  <c r="C65" i="30"/>
  <c r="D65" i="30"/>
  <c r="E65" i="30"/>
  <c r="F65" i="30"/>
  <c r="G65" i="30"/>
  <c r="H65" i="30"/>
  <c r="I65" i="30"/>
  <c r="J65" i="30"/>
  <c r="K65" i="30"/>
  <c r="L65" i="30"/>
  <c r="M65" i="30"/>
  <c r="N65" i="30"/>
  <c r="O65" i="30"/>
  <c r="P65" i="30"/>
  <c r="Q65" i="30"/>
  <c r="R65" i="30"/>
  <c r="C66" i="30"/>
  <c r="D66" i="30"/>
  <c r="E66" i="30"/>
  <c r="F66" i="30"/>
  <c r="G66" i="30"/>
  <c r="H66" i="30"/>
  <c r="I66" i="30"/>
  <c r="J66" i="30"/>
  <c r="K66" i="30"/>
  <c r="L66" i="30"/>
  <c r="M66" i="30"/>
  <c r="N66" i="30"/>
  <c r="O66" i="30"/>
  <c r="P66" i="30"/>
  <c r="Q66" i="30"/>
  <c r="R66" i="30"/>
  <c r="C67" i="30"/>
  <c r="D67" i="30"/>
  <c r="E67" i="30"/>
  <c r="F67" i="30"/>
  <c r="G67" i="30"/>
  <c r="H67" i="30"/>
  <c r="I67" i="30"/>
  <c r="J67" i="30"/>
  <c r="K67" i="30"/>
  <c r="L67" i="30"/>
  <c r="M67" i="30"/>
  <c r="N67" i="30"/>
  <c r="O67" i="30"/>
  <c r="P67" i="30"/>
  <c r="Q67" i="30"/>
  <c r="R67" i="30"/>
  <c r="C68" i="30"/>
  <c r="D68" i="30"/>
  <c r="E68" i="30"/>
  <c r="F68" i="30"/>
  <c r="G68" i="30"/>
  <c r="H68" i="30"/>
  <c r="I68" i="30"/>
  <c r="J68" i="30"/>
  <c r="K68" i="30"/>
  <c r="L68" i="30"/>
  <c r="M68" i="30"/>
  <c r="N68" i="30"/>
  <c r="O68" i="30"/>
  <c r="P68" i="30"/>
  <c r="Q68" i="30"/>
  <c r="R68" i="30"/>
  <c r="C69" i="30"/>
  <c r="D69" i="30"/>
  <c r="E69" i="30"/>
  <c r="F69" i="30"/>
  <c r="G69" i="30"/>
  <c r="H69" i="30"/>
  <c r="I69" i="30"/>
  <c r="J69" i="30"/>
  <c r="K69" i="30"/>
  <c r="L69" i="30"/>
  <c r="M69" i="30"/>
  <c r="N69" i="30"/>
  <c r="O69" i="30"/>
  <c r="P69" i="30"/>
  <c r="Q69" i="30"/>
  <c r="R69" i="30"/>
  <c r="C70" i="30"/>
  <c r="D70" i="30"/>
  <c r="E70" i="30"/>
  <c r="F70" i="30"/>
  <c r="G70" i="30"/>
  <c r="H70" i="30"/>
  <c r="I70" i="30"/>
  <c r="J70" i="30"/>
  <c r="K70" i="30"/>
  <c r="L70" i="30"/>
  <c r="M70" i="30"/>
  <c r="N70" i="30"/>
  <c r="O70" i="30"/>
  <c r="P70" i="30"/>
  <c r="Q70" i="30"/>
  <c r="R70" i="30"/>
  <c r="C71" i="30"/>
  <c r="D71" i="30"/>
  <c r="E71" i="30"/>
  <c r="F71" i="30"/>
  <c r="G71" i="30"/>
  <c r="H71" i="30"/>
  <c r="I71" i="30"/>
  <c r="J71" i="30"/>
  <c r="K71" i="30"/>
  <c r="L71" i="30"/>
  <c r="M71" i="30"/>
  <c r="N71" i="30"/>
  <c r="O71" i="30"/>
  <c r="P71" i="30"/>
  <c r="Q71" i="30"/>
  <c r="R71" i="30"/>
  <c r="C72" i="30"/>
  <c r="D72" i="30"/>
  <c r="E72" i="30"/>
  <c r="F72" i="30"/>
  <c r="G72" i="30"/>
  <c r="H72" i="30"/>
  <c r="I72" i="30"/>
  <c r="J72" i="30"/>
  <c r="K72" i="30"/>
  <c r="L72" i="30"/>
  <c r="M72" i="30"/>
  <c r="N72" i="30"/>
  <c r="O72" i="30"/>
  <c r="P72" i="30"/>
  <c r="Q72" i="30"/>
  <c r="R72" i="30"/>
  <c r="C73" i="30"/>
  <c r="D73" i="30"/>
  <c r="E73" i="30"/>
  <c r="F73" i="30"/>
  <c r="G73" i="30"/>
  <c r="H73" i="30"/>
  <c r="I73" i="30"/>
  <c r="J73" i="30"/>
  <c r="K73" i="30"/>
  <c r="L73" i="30"/>
  <c r="M73" i="30"/>
  <c r="N73" i="30"/>
  <c r="O73" i="30"/>
  <c r="P73" i="30"/>
  <c r="Q73" i="30"/>
  <c r="R73" i="30"/>
  <c r="C74" i="30"/>
  <c r="D74" i="30"/>
  <c r="E74" i="30"/>
  <c r="F74" i="30"/>
  <c r="G74" i="30"/>
  <c r="H74" i="30"/>
  <c r="I74" i="30"/>
  <c r="J74" i="30"/>
  <c r="K74" i="30"/>
  <c r="L74" i="30"/>
  <c r="M74" i="30"/>
  <c r="N74" i="30"/>
  <c r="O74" i="30"/>
  <c r="P74" i="30"/>
  <c r="Q74" i="30"/>
  <c r="R74" i="30"/>
  <c r="C75" i="30"/>
  <c r="D75" i="30"/>
  <c r="E75" i="30"/>
  <c r="F75" i="30"/>
  <c r="G75" i="30"/>
  <c r="H75" i="30"/>
  <c r="I75" i="30"/>
  <c r="J75" i="30"/>
  <c r="K75" i="30"/>
  <c r="L75" i="30"/>
  <c r="M75" i="30"/>
  <c r="N75" i="30"/>
  <c r="O75" i="30"/>
  <c r="P75" i="30"/>
  <c r="Q75" i="30"/>
  <c r="R75" i="30"/>
  <c r="C76" i="30"/>
  <c r="D76" i="30"/>
  <c r="E76" i="30"/>
  <c r="F76" i="30"/>
  <c r="G76" i="30"/>
  <c r="H76" i="30"/>
  <c r="I76" i="30"/>
  <c r="J76" i="30"/>
  <c r="K76" i="30"/>
  <c r="L76" i="30"/>
  <c r="M76" i="30"/>
  <c r="N76" i="30"/>
  <c r="O76" i="30"/>
  <c r="P76" i="30"/>
  <c r="Q76" i="30"/>
  <c r="R76" i="30"/>
  <c r="C77" i="30"/>
  <c r="D77" i="30"/>
  <c r="E77" i="30"/>
  <c r="F77" i="30"/>
  <c r="G77" i="30"/>
  <c r="H77" i="30"/>
  <c r="I77" i="30"/>
  <c r="J77" i="30"/>
  <c r="K77" i="30"/>
  <c r="L77" i="30"/>
  <c r="M77" i="30"/>
  <c r="N77" i="30"/>
  <c r="O77" i="30"/>
  <c r="P77" i="30"/>
  <c r="Q77" i="30"/>
  <c r="R77" i="30"/>
  <c r="C78" i="30"/>
  <c r="D78" i="30"/>
  <c r="E78" i="30"/>
  <c r="F78" i="30"/>
  <c r="G78" i="30"/>
  <c r="H78" i="30"/>
  <c r="I78" i="30"/>
  <c r="J78" i="30"/>
  <c r="K78" i="30"/>
  <c r="L78" i="30"/>
  <c r="M78" i="30"/>
  <c r="N78" i="30"/>
  <c r="O78" i="30"/>
  <c r="P78" i="30"/>
  <c r="Q78" i="30"/>
  <c r="R78" i="30"/>
  <c r="C79" i="30"/>
  <c r="D79" i="30"/>
  <c r="E79" i="30"/>
  <c r="F79" i="30"/>
  <c r="G79" i="30"/>
  <c r="H79" i="30"/>
  <c r="I79" i="30"/>
  <c r="J79" i="30"/>
  <c r="K79" i="30"/>
  <c r="L79" i="30"/>
  <c r="M79" i="30"/>
  <c r="N79" i="30"/>
  <c r="O79" i="30"/>
  <c r="P79" i="30"/>
  <c r="Q79" i="30"/>
  <c r="R79" i="30"/>
  <c r="C80" i="30"/>
  <c r="D80" i="30"/>
  <c r="E80" i="30"/>
  <c r="F80" i="30"/>
  <c r="G80" i="30"/>
  <c r="H80" i="30"/>
  <c r="I80" i="30"/>
  <c r="J80" i="30"/>
  <c r="K80" i="30"/>
  <c r="L80" i="30"/>
  <c r="M80" i="30"/>
  <c r="N80" i="30"/>
  <c r="O80" i="30"/>
  <c r="P80" i="30"/>
  <c r="Q80" i="30"/>
  <c r="R80" i="30"/>
  <c r="C81" i="30"/>
  <c r="D81" i="30"/>
  <c r="E81" i="30"/>
  <c r="F81" i="30"/>
  <c r="G81" i="30"/>
  <c r="H81" i="30"/>
  <c r="I81" i="30"/>
  <c r="J81" i="30"/>
  <c r="K81" i="30"/>
  <c r="L81" i="30"/>
  <c r="M81" i="30"/>
  <c r="N81" i="30"/>
  <c r="O81" i="30"/>
  <c r="P81" i="30"/>
  <c r="Q81" i="30"/>
  <c r="R81" i="30"/>
  <c r="C82" i="30"/>
  <c r="D82" i="30"/>
  <c r="E82" i="30"/>
  <c r="F82" i="30"/>
  <c r="G82" i="30"/>
  <c r="H82" i="30"/>
  <c r="I82" i="30"/>
  <c r="J82" i="30"/>
  <c r="K82" i="30"/>
  <c r="L82" i="30"/>
  <c r="M82" i="30"/>
  <c r="N82" i="30"/>
  <c r="O82" i="30"/>
  <c r="P82" i="30"/>
  <c r="Q82" i="30"/>
  <c r="R82" i="30"/>
  <c r="C83" i="30"/>
  <c r="D83" i="30"/>
  <c r="E83" i="30"/>
  <c r="F83" i="30"/>
  <c r="G83" i="30"/>
  <c r="H83" i="30"/>
  <c r="I83" i="30"/>
  <c r="J83" i="30"/>
  <c r="K83" i="30"/>
  <c r="L83" i="30"/>
  <c r="M83" i="30"/>
  <c r="N83" i="30"/>
  <c r="O83" i="30"/>
  <c r="P83" i="30"/>
  <c r="Q83" i="30"/>
  <c r="R83" i="30"/>
  <c r="C84" i="30"/>
  <c r="D84" i="30"/>
  <c r="E84" i="30"/>
  <c r="F84" i="30"/>
  <c r="G84" i="30"/>
  <c r="H84" i="30"/>
  <c r="I84" i="30"/>
  <c r="J84" i="30"/>
  <c r="K84" i="30"/>
  <c r="L84" i="30"/>
  <c r="M84" i="30"/>
  <c r="N84" i="30"/>
  <c r="O84" i="30"/>
  <c r="P84" i="30"/>
  <c r="Q84" i="30"/>
  <c r="R84" i="30"/>
  <c r="C85" i="30"/>
  <c r="D85" i="30"/>
  <c r="E85" i="30"/>
  <c r="F85" i="30"/>
  <c r="G85" i="30"/>
  <c r="H85" i="30"/>
  <c r="I85" i="30"/>
  <c r="J85" i="30"/>
  <c r="K85" i="30"/>
  <c r="L85" i="30"/>
  <c r="M85" i="30"/>
  <c r="N85" i="30"/>
  <c r="O85" i="30"/>
  <c r="P85" i="30"/>
  <c r="Q85" i="30"/>
  <c r="R85" i="30"/>
  <c r="C86" i="30"/>
  <c r="D86" i="30"/>
  <c r="E86" i="30"/>
  <c r="F86" i="30"/>
  <c r="G86" i="30"/>
  <c r="H86" i="30"/>
  <c r="I86" i="30"/>
  <c r="J86" i="30"/>
  <c r="K86" i="30"/>
  <c r="L86" i="30"/>
  <c r="M86" i="30"/>
  <c r="N86" i="30"/>
  <c r="O86" i="30"/>
  <c r="P86" i="30"/>
  <c r="Q86" i="30"/>
  <c r="R86" i="30"/>
  <c r="C87" i="30"/>
  <c r="D87" i="30"/>
  <c r="E87" i="30"/>
  <c r="F87" i="30"/>
  <c r="G87" i="30"/>
  <c r="H87" i="30"/>
  <c r="I87" i="30"/>
  <c r="J87" i="30"/>
  <c r="K87" i="30"/>
  <c r="L87" i="30"/>
  <c r="M87" i="30"/>
  <c r="N87" i="30"/>
  <c r="O87" i="30"/>
  <c r="P87" i="30"/>
  <c r="Q87" i="30"/>
  <c r="R87" i="30"/>
  <c r="C88" i="30"/>
  <c r="D88" i="30"/>
  <c r="E88" i="30"/>
  <c r="F88" i="30"/>
  <c r="G88" i="30"/>
  <c r="H88" i="30"/>
  <c r="I88" i="30"/>
  <c r="J88" i="30"/>
  <c r="K88" i="30"/>
  <c r="L88" i="30"/>
  <c r="M88" i="30"/>
  <c r="N88" i="30"/>
  <c r="O88" i="30"/>
  <c r="P88" i="30"/>
  <c r="Q88" i="30"/>
  <c r="R88" i="30"/>
  <c r="C89" i="30"/>
  <c r="D89" i="30"/>
  <c r="E89" i="30"/>
  <c r="F89" i="30"/>
  <c r="G89" i="30"/>
  <c r="H89" i="30"/>
  <c r="I89" i="30"/>
  <c r="J89" i="30"/>
  <c r="K89" i="30"/>
  <c r="L89" i="30"/>
  <c r="M89" i="30"/>
  <c r="N89" i="30"/>
  <c r="O89" i="30"/>
  <c r="P89" i="30"/>
  <c r="Q89" i="30"/>
  <c r="R89" i="30"/>
  <c r="C90" i="30"/>
  <c r="D90" i="30"/>
  <c r="E90" i="30"/>
  <c r="F90" i="30"/>
  <c r="G90" i="30"/>
  <c r="H90" i="30"/>
  <c r="I90" i="30"/>
  <c r="J90" i="30"/>
  <c r="K90" i="30"/>
  <c r="L90" i="30"/>
  <c r="M90" i="30"/>
  <c r="N90" i="30"/>
  <c r="O90" i="30"/>
  <c r="P90" i="30"/>
  <c r="Q90" i="30"/>
  <c r="R90" i="30"/>
  <c r="C91" i="30"/>
  <c r="D91" i="30"/>
  <c r="E91" i="30"/>
  <c r="F91" i="30"/>
  <c r="G91" i="30"/>
  <c r="H91" i="30"/>
  <c r="I91" i="30"/>
  <c r="J91" i="30"/>
  <c r="K91" i="30"/>
  <c r="L91" i="30"/>
  <c r="M91" i="30"/>
  <c r="N91" i="30"/>
  <c r="O91" i="30"/>
  <c r="P91" i="30"/>
  <c r="Q91" i="30"/>
  <c r="R91" i="30"/>
  <c r="C92" i="30"/>
  <c r="D92" i="30"/>
  <c r="E92" i="30"/>
  <c r="F92" i="30"/>
  <c r="G92" i="30"/>
  <c r="H92" i="30"/>
  <c r="I92" i="30"/>
  <c r="J92" i="30"/>
  <c r="K92" i="30"/>
  <c r="L92" i="30"/>
  <c r="M92" i="30"/>
  <c r="N92" i="30"/>
  <c r="O92" i="30"/>
  <c r="P92" i="30"/>
  <c r="Q92" i="30"/>
  <c r="R92" i="30"/>
  <c r="C93" i="30"/>
  <c r="D93" i="30"/>
  <c r="E93" i="30"/>
  <c r="F93" i="30"/>
  <c r="G93" i="30"/>
  <c r="H93" i="30"/>
  <c r="I93" i="30"/>
  <c r="J93" i="30"/>
  <c r="K93" i="30"/>
  <c r="L93" i="30"/>
  <c r="M93" i="30"/>
  <c r="N93" i="30"/>
  <c r="O93" i="30"/>
  <c r="P93" i="30"/>
  <c r="Q93" i="30"/>
  <c r="R93" i="30"/>
  <c r="C94" i="30"/>
  <c r="D94" i="30"/>
  <c r="E94" i="30"/>
  <c r="F94" i="30"/>
  <c r="G94" i="30"/>
  <c r="H94" i="30"/>
  <c r="I94" i="30"/>
  <c r="J94" i="30"/>
  <c r="K94" i="30"/>
  <c r="L94" i="30"/>
  <c r="M94" i="30"/>
  <c r="N94" i="30"/>
  <c r="O94" i="30"/>
  <c r="P94" i="30"/>
  <c r="Q94" i="30"/>
  <c r="R94" i="30"/>
  <c r="C95" i="30"/>
  <c r="D95" i="30"/>
  <c r="E95" i="30"/>
  <c r="F95" i="30"/>
  <c r="G95" i="30"/>
  <c r="H95" i="30"/>
  <c r="I95" i="30"/>
  <c r="J95" i="30"/>
  <c r="K95" i="30"/>
  <c r="L95" i="30"/>
  <c r="M95" i="30"/>
  <c r="N95" i="30"/>
  <c r="O95" i="30"/>
  <c r="P95" i="30"/>
  <c r="Q95" i="30"/>
  <c r="R95" i="30"/>
  <c r="C96" i="30"/>
  <c r="D96" i="30"/>
  <c r="E96" i="30"/>
  <c r="F96" i="30"/>
  <c r="G96" i="30"/>
  <c r="H96" i="30"/>
  <c r="I96" i="30"/>
  <c r="J96" i="30"/>
  <c r="K96" i="30"/>
  <c r="L96" i="30"/>
  <c r="M96" i="30"/>
  <c r="N96" i="30"/>
  <c r="O96" i="30"/>
  <c r="P96" i="30"/>
  <c r="Q96" i="30"/>
  <c r="R96" i="30"/>
  <c r="C97" i="30"/>
  <c r="D97" i="30"/>
  <c r="E97" i="30"/>
  <c r="F97" i="30"/>
  <c r="G97" i="30"/>
  <c r="H97" i="30"/>
  <c r="I97" i="30"/>
  <c r="J97" i="30"/>
  <c r="K97" i="30"/>
  <c r="L97" i="30"/>
  <c r="M97" i="30"/>
  <c r="N97" i="30"/>
  <c r="O97" i="30"/>
  <c r="P97" i="30"/>
  <c r="Q97" i="30"/>
  <c r="R97" i="30"/>
  <c r="C98" i="30"/>
  <c r="D98" i="30"/>
  <c r="E98" i="30"/>
  <c r="F98" i="30"/>
  <c r="G98" i="30"/>
  <c r="H98" i="30"/>
  <c r="I98" i="30"/>
  <c r="J98" i="30"/>
  <c r="K98" i="30"/>
  <c r="L98" i="30"/>
  <c r="M98" i="30"/>
  <c r="N98" i="30"/>
  <c r="O98" i="30"/>
  <c r="P98" i="30"/>
  <c r="Q98" i="30"/>
  <c r="R98" i="30"/>
  <c r="C99" i="30"/>
  <c r="D99" i="30"/>
  <c r="E99" i="30"/>
  <c r="F99" i="30"/>
  <c r="G99" i="30"/>
  <c r="H99" i="30"/>
  <c r="I99" i="30"/>
  <c r="J99" i="30"/>
  <c r="K99" i="30"/>
  <c r="L99" i="30"/>
  <c r="M99" i="30"/>
  <c r="N99" i="30"/>
  <c r="O99" i="30"/>
  <c r="P99" i="30"/>
  <c r="Q99" i="30"/>
  <c r="R99" i="30"/>
  <c r="C100" i="30"/>
  <c r="D100" i="30"/>
  <c r="E100" i="30"/>
  <c r="F100" i="30"/>
  <c r="G100" i="30"/>
  <c r="H100" i="30"/>
  <c r="I100" i="30"/>
  <c r="J100" i="30"/>
  <c r="K100" i="30"/>
  <c r="L100" i="30"/>
  <c r="M100" i="30"/>
  <c r="N100" i="30"/>
  <c r="O100" i="30"/>
  <c r="P100" i="30"/>
  <c r="Q100" i="30"/>
  <c r="R100" i="30"/>
  <c r="C101" i="30"/>
  <c r="D101" i="30"/>
  <c r="E101" i="30"/>
  <c r="F101" i="30"/>
  <c r="G101" i="30"/>
  <c r="H101" i="30"/>
  <c r="I101" i="30"/>
  <c r="J101" i="30"/>
  <c r="K101" i="30"/>
  <c r="L101" i="30"/>
  <c r="M101" i="30"/>
  <c r="N101" i="30"/>
  <c r="O101" i="30"/>
  <c r="P101" i="30"/>
  <c r="Q101" i="30"/>
  <c r="R101" i="30"/>
  <c r="C102" i="30"/>
  <c r="D102" i="30"/>
  <c r="E102" i="30"/>
  <c r="F102" i="30"/>
  <c r="G102" i="30"/>
  <c r="H102" i="30"/>
  <c r="I102" i="30"/>
  <c r="J102" i="30"/>
  <c r="K102" i="30"/>
  <c r="L102" i="30"/>
  <c r="M102" i="30"/>
  <c r="N102" i="30"/>
  <c r="O102" i="30"/>
  <c r="P102" i="30"/>
  <c r="Q102" i="30"/>
  <c r="R102" i="30"/>
  <c r="C103" i="30"/>
  <c r="D103" i="30"/>
  <c r="E103" i="30"/>
  <c r="F103" i="30"/>
  <c r="G103" i="30"/>
  <c r="H103" i="30"/>
  <c r="I103" i="30"/>
  <c r="J103" i="30"/>
  <c r="K103" i="30"/>
  <c r="L103" i="30"/>
  <c r="M103" i="30"/>
  <c r="N103" i="30"/>
  <c r="O103" i="30"/>
  <c r="P103" i="30"/>
  <c r="Q103" i="30"/>
  <c r="R103" i="30"/>
  <c r="C104" i="30"/>
  <c r="D104" i="30"/>
  <c r="E104" i="30"/>
  <c r="F104" i="30"/>
  <c r="G104" i="30"/>
  <c r="H104" i="30"/>
  <c r="I104" i="30"/>
  <c r="J104" i="30"/>
  <c r="K104" i="30"/>
  <c r="L104" i="30"/>
  <c r="M104" i="30"/>
  <c r="N104" i="30"/>
  <c r="O104" i="30"/>
  <c r="P104" i="30"/>
  <c r="Q104" i="30"/>
  <c r="R104" i="30"/>
  <c r="C105" i="30"/>
  <c r="D105" i="30"/>
  <c r="E105" i="30"/>
  <c r="F105" i="30"/>
  <c r="G105" i="30"/>
  <c r="H105" i="30"/>
  <c r="I105" i="30"/>
  <c r="J105" i="30"/>
  <c r="K105" i="30"/>
  <c r="L105" i="30"/>
  <c r="M105" i="30"/>
  <c r="N105" i="30"/>
  <c r="O105" i="30"/>
  <c r="P105" i="30"/>
  <c r="Q105" i="30"/>
  <c r="R105" i="30"/>
  <c r="C106" i="30"/>
  <c r="D106" i="30"/>
  <c r="E106" i="30"/>
  <c r="F106" i="30"/>
  <c r="G106" i="30"/>
  <c r="H106" i="30"/>
  <c r="I106" i="30"/>
  <c r="J106" i="30"/>
  <c r="K106" i="30"/>
  <c r="L106" i="30"/>
  <c r="M106" i="30"/>
  <c r="N106" i="30"/>
  <c r="O106" i="30"/>
  <c r="P106" i="30"/>
  <c r="Q106" i="30"/>
  <c r="R106" i="30"/>
  <c r="C107" i="30"/>
  <c r="D107" i="30"/>
  <c r="E107" i="30"/>
  <c r="F107" i="30"/>
  <c r="G107" i="30"/>
  <c r="H107" i="30"/>
  <c r="I107" i="30"/>
  <c r="J107" i="30"/>
  <c r="K107" i="30"/>
  <c r="L107" i="30"/>
  <c r="M107" i="30"/>
  <c r="N107" i="30"/>
  <c r="O107" i="30"/>
  <c r="P107" i="30"/>
  <c r="Q107" i="30"/>
  <c r="R107" i="30"/>
  <c r="C108" i="30"/>
  <c r="D108" i="30"/>
  <c r="E108" i="30"/>
  <c r="F108" i="30"/>
  <c r="G108" i="30"/>
  <c r="H108" i="30"/>
  <c r="I108" i="30"/>
  <c r="J108" i="30"/>
  <c r="K108" i="30"/>
  <c r="L108" i="30"/>
  <c r="M108" i="30"/>
  <c r="N108" i="30"/>
  <c r="O108" i="30"/>
  <c r="P108" i="30"/>
  <c r="Q108" i="30"/>
  <c r="R108" i="30"/>
  <c r="C109" i="30"/>
  <c r="D109" i="30"/>
  <c r="E109" i="30"/>
  <c r="F109" i="30"/>
  <c r="G109" i="30"/>
  <c r="H109" i="30"/>
  <c r="I109" i="30"/>
  <c r="J109" i="30"/>
  <c r="K109" i="30"/>
  <c r="L109" i="30"/>
  <c r="M109" i="30"/>
  <c r="N109" i="30"/>
  <c r="O109" i="30"/>
  <c r="P109" i="30"/>
  <c r="Q109" i="30"/>
  <c r="R109" i="30"/>
  <c r="C110" i="30"/>
  <c r="D110" i="30"/>
  <c r="E110" i="30"/>
  <c r="F110" i="30"/>
  <c r="G110" i="30"/>
  <c r="H110" i="30"/>
  <c r="I110" i="30"/>
  <c r="J110" i="30"/>
  <c r="K110" i="30"/>
  <c r="L110" i="30"/>
  <c r="M110" i="30"/>
  <c r="N110" i="30"/>
  <c r="O110" i="30"/>
  <c r="P110" i="30"/>
  <c r="Q110" i="30"/>
  <c r="R110" i="30"/>
  <c r="C111" i="30"/>
  <c r="D111" i="30"/>
  <c r="E111" i="30"/>
  <c r="F111" i="30"/>
  <c r="G111" i="30"/>
  <c r="H111" i="30"/>
  <c r="I111" i="30"/>
  <c r="J111" i="30"/>
  <c r="K111" i="30"/>
  <c r="L111" i="30"/>
  <c r="M111" i="30"/>
  <c r="N111" i="30"/>
  <c r="O111" i="30"/>
  <c r="P111" i="30"/>
  <c r="Q111" i="30"/>
  <c r="R111" i="30"/>
  <c r="C112" i="30"/>
  <c r="D112" i="30"/>
  <c r="E112" i="30"/>
  <c r="F112" i="30"/>
  <c r="G112" i="30"/>
  <c r="H112" i="30"/>
  <c r="I112" i="30"/>
  <c r="J112" i="30"/>
  <c r="K112" i="30"/>
  <c r="L112" i="30"/>
  <c r="M112" i="30"/>
  <c r="N112" i="30"/>
  <c r="O112" i="30"/>
  <c r="P112" i="30"/>
  <c r="Q112" i="30"/>
  <c r="R112" i="30"/>
  <c r="C113" i="30"/>
  <c r="D113" i="30"/>
  <c r="E113" i="30"/>
  <c r="F113" i="30"/>
  <c r="G113" i="30"/>
  <c r="H113" i="30"/>
  <c r="I113" i="30"/>
  <c r="J113" i="30"/>
  <c r="K113" i="30"/>
  <c r="L113" i="30"/>
  <c r="M113" i="30"/>
  <c r="N113" i="30"/>
  <c r="O113" i="30"/>
  <c r="P113" i="30"/>
  <c r="Q113" i="30"/>
  <c r="R113" i="30"/>
  <c r="C114" i="30"/>
  <c r="D114" i="30"/>
  <c r="E114" i="30"/>
  <c r="F114" i="30"/>
  <c r="G114" i="30"/>
  <c r="H114" i="30"/>
  <c r="I114" i="30"/>
  <c r="J114" i="30"/>
  <c r="K114" i="30"/>
  <c r="L114" i="30"/>
  <c r="M114" i="30"/>
  <c r="N114" i="30"/>
  <c r="O114" i="30"/>
  <c r="P114" i="30"/>
  <c r="Q114" i="30"/>
  <c r="R114" i="30"/>
  <c r="C115" i="30"/>
  <c r="D115" i="30"/>
  <c r="E115" i="30"/>
  <c r="F115" i="30"/>
  <c r="G115" i="30"/>
  <c r="H115" i="30"/>
  <c r="I115" i="30"/>
  <c r="J115" i="30"/>
  <c r="K115" i="30"/>
  <c r="L115" i="30"/>
  <c r="M115" i="30"/>
  <c r="N115" i="30"/>
  <c r="O115" i="30"/>
  <c r="P115" i="30"/>
  <c r="Q115" i="30"/>
  <c r="R115" i="30"/>
  <c r="C116" i="30"/>
  <c r="D116" i="30"/>
  <c r="E116" i="30"/>
  <c r="F116" i="30"/>
  <c r="G116" i="30"/>
  <c r="H116" i="30"/>
  <c r="I116" i="30"/>
  <c r="J116" i="30"/>
  <c r="K116" i="30"/>
  <c r="L116" i="30"/>
  <c r="M116" i="30"/>
  <c r="N116" i="30"/>
  <c r="O116" i="30"/>
  <c r="P116" i="30"/>
  <c r="Q116" i="30"/>
  <c r="R116" i="30"/>
  <c r="C117" i="30"/>
  <c r="D117" i="30"/>
  <c r="E117" i="30"/>
  <c r="F117" i="30"/>
  <c r="G117" i="30"/>
  <c r="H117" i="30"/>
  <c r="I117" i="30"/>
  <c r="J117" i="30"/>
  <c r="K117" i="30"/>
  <c r="L117" i="30"/>
  <c r="M117" i="30"/>
  <c r="N117" i="30"/>
  <c r="O117" i="30"/>
  <c r="P117" i="30"/>
  <c r="Q117" i="30"/>
  <c r="R117" i="30"/>
  <c r="C118" i="30"/>
  <c r="D118" i="30"/>
  <c r="E118" i="30"/>
  <c r="F118" i="30"/>
  <c r="G118" i="30"/>
  <c r="H118" i="30"/>
  <c r="I118" i="30"/>
  <c r="J118" i="30"/>
  <c r="K118" i="30"/>
  <c r="L118" i="30"/>
  <c r="M118" i="30"/>
  <c r="N118" i="30"/>
  <c r="O118" i="30"/>
  <c r="P118" i="30"/>
  <c r="Q118" i="30"/>
  <c r="R118" i="30"/>
  <c r="C119" i="30"/>
  <c r="D119" i="30"/>
  <c r="E119" i="30"/>
  <c r="F119" i="30"/>
  <c r="G119" i="30"/>
  <c r="H119" i="30"/>
  <c r="I119" i="30"/>
  <c r="J119" i="30"/>
  <c r="K119" i="30"/>
  <c r="L119" i="30"/>
  <c r="M119" i="30"/>
  <c r="N119" i="30"/>
  <c r="O119" i="30"/>
  <c r="P119" i="30"/>
  <c r="Q119" i="30"/>
  <c r="R119" i="30"/>
  <c r="C120" i="30"/>
  <c r="D120" i="30"/>
  <c r="E120" i="30"/>
  <c r="F120" i="30"/>
  <c r="G120" i="30"/>
  <c r="H120" i="30"/>
  <c r="I120" i="30"/>
  <c r="J120" i="30"/>
  <c r="K120" i="30"/>
  <c r="L120" i="30"/>
  <c r="M120" i="30"/>
  <c r="N120" i="30"/>
  <c r="O120" i="30"/>
  <c r="P120" i="30"/>
  <c r="Q120" i="30"/>
  <c r="R120" i="30"/>
  <c r="C121" i="30"/>
  <c r="D121" i="30"/>
  <c r="E121" i="30"/>
  <c r="F121" i="30"/>
  <c r="G121" i="30"/>
  <c r="H121" i="30"/>
  <c r="I121" i="30"/>
  <c r="J121" i="30"/>
  <c r="K121" i="30"/>
  <c r="L121" i="30"/>
  <c r="M121" i="30"/>
  <c r="N121" i="30"/>
  <c r="O121" i="30"/>
  <c r="P121" i="30"/>
  <c r="Q121" i="30"/>
  <c r="R121" i="30"/>
  <c r="C122" i="30"/>
  <c r="D122" i="30"/>
  <c r="E122" i="30"/>
  <c r="F122" i="30"/>
  <c r="G122" i="30"/>
  <c r="H122" i="30"/>
  <c r="I122" i="30"/>
  <c r="J122" i="30"/>
  <c r="K122" i="30"/>
  <c r="L122" i="30"/>
  <c r="M122" i="30"/>
  <c r="N122" i="30"/>
  <c r="O122" i="30"/>
  <c r="P122" i="30"/>
  <c r="Q122" i="30"/>
  <c r="R122" i="30"/>
  <c r="C123" i="30"/>
  <c r="D123" i="30"/>
  <c r="E123" i="30"/>
  <c r="F123" i="30"/>
  <c r="G123" i="30"/>
  <c r="H123" i="30"/>
  <c r="I123" i="30"/>
  <c r="J123" i="30"/>
  <c r="K123" i="30"/>
  <c r="L123" i="30"/>
  <c r="M123" i="30"/>
  <c r="N123" i="30"/>
  <c r="O123" i="30"/>
  <c r="P123" i="30"/>
  <c r="Q123" i="30"/>
  <c r="R123" i="30"/>
  <c r="C124" i="30"/>
  <c r="D124" i="30"/>
  <c r="E124" i="30"/>
  <c r="F124" i="30"/>
  <c r="G124" i="30"/>
  <c r="H124" i="30"/>
  <c r="I124" i="30"/>
  <c r="J124" i="30"/>
  <c r="K124" i="30"/>
  <c r="L124" i="30"/>
  <c r="M124" i="30"/>
  <c r="N124" i="30"/>
  <c r="O124" i="30"/>
  <c r="P124" i="30"/>
  <c r="Q124" i="30"/>
  <c r="R124" i="30"/>
  <c r="C125" i="30"/>
  <c r="D125" i="30"/>
  <c r="E125" i="30"/>
  <c r="F125" i="30"/>
  <c r="G125" i="30"/>
  <c r="H125" i="30"/>
  <c r="I125" i="30"/>
  <c r="J125" i="30"/>
  <c r="K125" i="30"/>
  <c r="L125" i="30"/>
  <c r="M125" i="30"/>
  <c r="N125" i="30"/>
  <c r="O125" i="30"/>
  <c r="P125" i="30"/>
  <c r="Q125" i="30"/>
  <c r="R125" i="30"/>
  <c r="C126" i="30"/>
  <c r="D126" i="30"/>
  <c r="E126" i="30"/>
  <c r="F126" i="30"/>
  <c r="G126" i="30"/>
  <c r="H126" i="30"/>
  <c r="I126" i="30"/>
  <c r="J126" i="30"/>
  <c r="K126" i="30"/>
  <c r="L126" i="30"/>
  <c r="M126" i="30"/>
  <c r="N126" i="30"/>
  <c r="O126" i="30"/>
  <c r="P126" i="30"/>
  <c r="Q126" i="30"/>
  <c r="R126" i="30"/>
  <c r="C127" i="30"/>
  <c r="D127" i="30"/>
  <c r="E127" i="30"/>
  <c r="F127" i="30"/>
  <c r="G127" i="30"/>
  <c r="H127" i="30"/>
  <c r="I127" i="30"/>
  <c r="J127" i="30"/>
  <c r="K127" i="30"/>
  <c r="L127" i="30"/>
  <c r="M127" i="30"/>
  <c r="N127" i="30"/>
  <c r="O127" i="30"/>
  <c r="P127" i="30"/>
  <c r="Q127" i="30"/>
  <c r="R127" i="30"/>
  <c r="C128" i="30"/>
  <c r="D128" i="30"/>
  <c r="E128" i="30"/>
  <c r="F128" i="30"/>
  <c r="G128" i="30"/>
  <c r="H128" i="30"/>
  <c r="I128" i="30"/>
  <c r="J128" i="30"/>
  <c r="K128" i="30"/>
  <c r="L128" i="30"/>
  <c r="M128" i="30"/>
  <c r="N128" i="30"/>
  <c r="O128" i="30"/>
  <c r="P128" i="30"/>
  <c r="Q128" i="30"/>
  <c r="R128" i="30"/>
  <c r="C129" i="30"/>
  <c r="D129" i="30"/>
  <c r="E129" i="30"/>
  <c r="F129" i="30"/>
  <c r="G129" i="30"/>
  <c r="H129" i="30"/>
  <c r="I129" i="30"/>
  <c r="J129" i="30"/>
  <c r="K129" i="30"/>
  <c r="L129" i="30"/>
  <c r="M129" i="30"/>
  <c r="N129" i="30"/>
  <c r="O129" i="30"/>
  <c r="P129" i="30"/>
  <c r="Q129" i="30"/>
  <c r="R129" i="30"/>
  <c r="C130" i="30"/>
  <c r="D130" i="30"/>
  <c r="E130" i="30"/>
  <c r="F130" i="30"/>
  <c r="G130" i="30"/>
  <c r="H130" i="30"/>
  <c r="I130" i="30"/>
  <c r="J130" i="30"/>
  <c r="K130" i="30"/>
  <c r="L130" i="30"/>
  <c r="M130" i="30"/>
  <c r="N130" i="30"/>
  <c r="O130" i="30"/>
  <c r="P130" i="30"/>
  <c r="Q130" i="30"/>
  <c r="R130" i="30"/>
  <c r="C131" i="30"/>
  <c r="D131" i="30"/>
  <c r="E131" i="30"/>
  <c r="F131" i="30"/>
  <c r="G131" i="30"/>
  <c r="H131" i="30"/>
  <c r="I131" i="30"/>
  <c r="J131" i="30"/>
  <c r="K131" i="30"/>
  <c r="L131" i="30"/>
  <c r="M131" i="30"/>
  <c r="N131" i="30"/>
  <c r="O131" i="30"/>
  <c r="P131" i="30"/>
  <c r="Q131" i="30"/>
  <c r="R131" i="30"/>
  <c r="C132" i="30"/>
  <c r="D132" i="30"/>
  <c r="E132" i="30"/>
  <c r="F132" i="30"/>
  <c r="G132" i="30"/>
  <c r="H132" i="30"/>
  <c r="I132" i="30"/>
  <c r="J132" i="30"/>
  <c r="K132" i="30"/>
  <c r="L132" i="30"/>
  <c r="M132" i="30"/>
  <c r="N132" i="30"/>
  <c r="O132" i="30"/>
  <c r="P132" i="30"/>
  <c r="Q132" i="30"/>
  <c r="R132" i="30"/>
  <c r="C133" i="30"/>
  <c r="D133" i="30"/>
  <c r="E133" i="30"/>
  <c r="F133" i="30"/>
  <c r="G133" i="30"/>
  <c r="H133" i="30"/>
  <c r="I133" i="30"/>
  <c r="J133" i="30"/>
  <c r="K133" i="30"/>
  <c r="L133" i="30"/>
  <c r="M133" i="30"/>
  <c r="N133" i="30"/>
  <c r="O133" i="30"/>
  <c r="P133" i="30"/>
  <c r="Q133" i="30"/>
  <c r="R133" i="30"/>
  <c r="C134" i="30"/>
  <c r="D134" i="30"/>
  <c r="E134" i="30"/>
  <c r="F134" i="30"/>
  <c r="G134" i="30"/>
  <c r="H134" i="30"/>
  <c r="I134" i="30"/>
  <c r="J134" i="30"/>
  <c r="K134" i="30"/>
  <c r="L134" i="30"/>
  <c r="M134" i="30"/>
  <c r="N134" i="30"/>
  <c r="O134" i="30"/>
  <c r="P134" i="30"/>
  <c r="Q134" i="30"/>
  <c r="R134" i="30"/>
  <c r="C135" i="30"/>
  <c r="D135" i="30"/>
  <c r="E135" i="30"/>
  <c r="F135" i="30"/>
  <c r="G135" i="30"/>
  <c r="H135" i="30"/>
  <c r="I135" i="30"/>
  <c r="J135" i="30"/>
  <c r="K135" i="30"/>
  <c r="L135" i="30"/>
  <c r="M135" i="30"/>
  <c r="N135" i="30"/>
  <c r="O135" i="30"/>
  <c r="P135" i="30"/>
  <c r="Q135" i="30"/>
  <c r="R135" i="30"/>
  <c r="C136" i="30"/>
  <c r="D136" i="30"/>
  <c r="E136" i="30"/>
  <c r="F136" i="30"/>
  <c r="G136" i="30"/>
  <c r="H136" i="30"/>
  <c r="I136" i="30"/>
  <c r="J136" i="30"/>
  <c r="K136" i="30"/>
  <c r="L136" i="30"/>
  <c r="M136" i="30"/>
  <c r="N136" i="30"/>
  <c r="O136" i="30"/>
  <c r="P136" i="30"/>
  <c r="Q136" i="30"/>
  <c r="R136" i="30"/>
  <c r="C137" i="30"/>
  <c r="D137" i="30"/>
  <c r="E137" i="30"/>
  <c r="F137" i="30"/>
  <c r="G137" i="30"/>
  <c r="H137" i="30"/>
  <c r="I137" i="30"/>
  <c r="J137" i="30"/>
  <c r="K137" i="30"/>
  <c r="L137" i="30"/>
  <c r="M137" i="30"/>
  <c r="N137" i="30"/>
  <c r="O137" i="30"/>
  <c r="P137" i="30"/>
  <c r="Q137" i="30"/>
  <c r="R137" i="30"/>
  <c r="C138" i="30"/>
  <c r="D138" i="30"/>
  <c r="E138" i="30"/>
  <c r="F138" i="30"/>
  <c r="G138" i="30"/>
  <c r="H138" i="30"/>
  <c r="I138" i="30"/>
  <c r="J138" i="30"/>
  <c r="K138" i="30"/>
  <c r="L138" i="30"/>
  <c r="M138" i="30"/>
  <c r="N138" i="30"/>
  <c r="O138" i="30"/>
  <c r="P138" i="30"/>
  <c r="Q138" i="30"/>
  <c r="R138" i="30"/>
  <c r="C139" i="30"/>
  <c r="D139" i="30"/>
  <c r="E139" i="30"/>
  <c r="F139" i="30"/>
  <c r="G139" i="30"/>
  <c r="H139" i="30"/>
  <c r="I139" i="30"/>
  <c r="J139" i="30"/>
  <c r="K139" i="30"/>
  <c r="L139" i="30"/>
  <c r="M139" i="30"/>
  <c r="N139" i="30"/>
  <c r="O139" i="30"/>
  <c r="P139" i="30"/>
  <c r="Q139" i="30"/>
  <c r="R139" i="30"/>
  <c r="C140" i="30"/>
  <c r="D140" i="30"/>
  <c r="E140" i="30"/>
  <c r="F140" i="30"/>
  <c r="G140" i="30"/>
  <c r="H140" i="30"/>
  <c r="I140" i="30"/>
  <c r="J140" i="30"/>
  <c r="K140" i="30"/>
  <c r="L140" i="30"/>
  <c r="M140" i="30"/>
  <c r="N140" i="30"/>
  <c r="O140" i="30"/>
  <c r="P140" i="30"/>
  <c r="Q140" i="30"/>
  <c r="R140" i="30"/>
  <c r="C141" i="30"/>
  <c r="D141" i="30"/>
  <c r="E141" i="30"/>
  <c r="F141" i="30"/>
  <c r="G141" i="30"/>
  <c r="H141" i="30"/>
  <c r="I141" i="30"/>
  <c r="J141" i="30"/>
  <c r="K141" i="30"/>
  <c r="L141" i="30"/>
  <c r="M141" i="30"/>
  <c r="N141" i="30"/>
  <c r="O141" i="30"/>
  <c r="P141" i="30"/>
  <c r="Q141" i="30"/>
  <c r="R141" i="30"/>
  <c r="C142" i="30"/>
  <c r="D142" i="30"/>
  <c r="E142" i="30"/>
  <c r="F142" i="30"/>
  <c r="G142" i="30"/>
  <c r="H142" i="30"/>
  <c r="I142" i="30"/>
  <c r="J142" i="30"/>
  <c r="K142" i="30"/>
  <c r="L142" i="30"/>
  <c r="M142" i="30"/>
  <c r="N142" i="30"/>
  <c r="O142" i="30"/>
  <c r="P142" i="30"/>
  <c r="Q142" i="30"/>
  <c r="R142" i="30"/>
  <c r="C143" i="30"/>
  <c r="D143" i="30"/>
  <c r="E143" i="30"/>
  <c r="F143" i="30"/>
  <c r="G143" i="30"/>
  <c r="H143" i="30"/>
  <c r="I143" i="30"/>
  <c r="J143" i="30"/>
  <c r="K143" i="30"/>
  <c r="L143" i="30"/>
  <c r="M143" i="30"/>
  <c r="N143" i="30"/>
  <c r="O143" i="30"/>
  <c r="P143" i="30"/>
  <c r="Q143" i="30"/>
  <c r="R143" i="30"/>
  <c r="C144" i="30"/>
  <c r="D144" i="30"/>
  <c r="E144" i="30"/>
  <c r="F144" i="30"/>
  <c r="G144" i="30"/>
  <c r="H144" i="30"/>
  <c r="I144" i="30"/>
  <c r="J144" i="30"/>
  <c r="K144" i="30"/>
  <c r="L144" i="30"/>
  <c r="M144" i="30"/>
  <c r="N144" i="30"/>
  <c r="O144" i="30"/>
  <c r="P144" i="30"/>
  <c r="Q144" i="30"/>
  <c r="R144" i="30"/>
  <c r="C145" i="30"/>
  <c r="D145" i="30"/>
  <c r="E145" i="30"/>
  <c r="F145" i="30"/>
  <c r="G145" i="30"/>
  <c r="H145" i="30"/>
  <c r="I145" i="30"/>
  <c r="J145" i="30"/>
  <c r="K145" i="30"/>
  <c r="L145" i="30"/>
  <c r="M145" i="30"/>
  <c r="N145" i="30"/>
  <c r="O145" i="30"/>
  <c r="P145" i="30"/>
  <c r="Q145" i="30"/>
  <c r="R145" i="30"/>
  <c r="C146" i="30"/>
  <c r="D146" i="30"/>
  <c r="E146" i="30"/>
  <c r="F146" i="30"/>
  <c r="G146" i="30"/>
  <c r="H146" i="30"/>
  <c r="I146" i="30"/>
  <c r="J146" i="30"/>
  <c r="K146" i="30"/>
  <c r="L146" i="30"/>
  <c r="M146" i="30"/>
  <c r="N146" i="30"/>
  <c r="O146" i="30"/>
  <c r="P146" i="30"/>
  <c r="Q146" i="30"/>
  <c r="R146" i="30"/>
  <c r="C147" i="30"/>
  <c r="D147" i="30"/>
  <c r="E147" i="30"/>
  <c r="F147" i="30"/>
  <c r="G147" i="30"/>
  <c r="H147" i="30"/>
  <c r="I147" i="30"/>
  <c r="J147" i="30"/>
  <c r="K147" i="30"/>
  <c r="L147" i="30"/>
  <c r="M147" i="30"/>
  <c r="N147" i="30"/>
  <c r="O147" i="30"/>
  <c r="P147" i="30"/>
  <c r="Q147" i="30"/>
  <c r="R147" i="30"/>
  <c r="C148" i="30"/>
  <c r="D148" i="30"/>
  <c r="E148" i="30"/>
  <c r="F148" i="30"/>
  <c r="G148" i="30"/>
  <c r="H148" i="30"/>
  <c r="I148" i="30"/>
  <c r="J148" i="30"/>
  <c r="K148" i="30"/>
  <c r="L148" i="30"/>
  <c r="M148" i="30"/>
  <c r="N148" i="30"/>
  <c r="O148" i="30"/>
  <c r="P148" i="30"/>
  <c r="Q148" i="30"/>
  <c r="R148" i="30"/>
  <c r="C149" i="30"/>
  <c r="D149" i="30"/>
  <c r="E149" i="30"/>
  <c r="F149" i="30"/>
  <c r="G149" i="30"/>
  <c r="H149" i="30"/>
  <c r="I149" i="30"/>
  <c r="J149" i="30"/>
  <c r="K149" i="30"/>
  <c r="L149" i="30"/>
  <c r="M149" i="30"/>
  <c r="N149" i="30"/>
  <c r="O149" i="30"/>
  <c r="P149" i="30"/>
  <c r="Q149" i="30"/>
  <c r="R149" i="30"/>
  <c r="C150" i="30"/>
  <c r="D150" i="30"/>
  <c r="E150" i="30"/>
  <c r="F150" i="30"/>
  <c r="G150" i="30"/>
  <c r="H150" i="30"/>
  <c r="I150" i="30"/>
  <c r="J150" i="30"/>
  <c r="K150" i="30"/>
  <c r="L150" i="30"/>
  <c r="M150" i="30"/>
  <c r="N150" i="30"/>
  <c r="O150" i="30"/>
  <c r="P150" i="30"/>
  <c r="Q150" i="30"/>
  <c r="R150" i="30"/>
  <c r="C151" i="30"/>
  <c r="D151" i="30"/>
  <c r="E151" i="30"/>
  <c r="F151" i="30"/>
  <c r="G151" i="30"/>
  <c r="H151" i="30"/>
  <c r="I151" i="30"/>
  <c r="J151" i="30"/>
  <c r="K151" i="30"/>
  <c r="L151" i="30"/>
  <c r="M151" i="30"/>
  <c r="N151" i="30"/>
  <c r="O151" i="30"/>
  <c r="P151" i="30"/>
  <c r="Q151" i="30"/>
  <c r="R151" i="30"/>
  <c r="C152" i="30"/>
  <c r="D152" i="30"/>
  <c r="E152" i="30"/>
  <c r="F152" i="30"/>
  <c r="G152" i="30"/>
  <c r="H152" i="30"/>
  <c r="I152" i="30"/>
  <c r="J152" i="30"/>
  <c r="K152" i="30"/>
  <c r="L152" i="30"/>
  <c r="M152" i="30"/>
  <c r="N152" i="30"/>
  <c r="O152" i="30"/>
  <c r="P152" i="30"/>
  <c r="Q152" i="30"/>
  <c r="R152" i="30"/>
  <c r="C153" i="30"/>
  <c r="D153" i="30"/>
  <c r="E153" i="30"/>
  <c r="F153" i="30"/>
  <c r="G153" i="30"/>
  <c r="H153" i="30"/>
  <c r="I153" i="30"/>
  <c r="J153" i="30"/>
  <c r="K153" i="30"/>
  <c r="L153" i="30"/>
  <c r="M153" i="30"/>
  <c r="N153" i="30"/>
  <c r="O153" i="30"/>
  <c r="P153" i="30"/>
  <c r="Q153" i="30"/>
  <c r="R153" i="30"/>
  <c r="C154" i="30"/>
  <c r="D154" i="30"/>
  <c r="E154" i="30"/>
  <c r="F154" i="30"/>
  <c r="G154" i="30"/>
  <c r="H154" i="30"/>
  <c r="I154" i="30"/>
  <c r="J154" i="30"/>
  <c r="K154" i="30"/>
  <c r="L154" i="30"/>
  <c r="M154" i="30"/>
  <c r="N154" i="30"/>
  <c r="O154" i="30"/>
  <c r="P154" i="30"/>
  <c r="Q154" i="30"/>
  <c r="R154" i="30"/>
  <c r="C155" i="30"/>
  <c r="D155" i="30"/>
  <c r="E155" i="30"/>
  <c r="F155" i="30"/>
  <c r="G155" i="30"/>
  <c r="H155" i="30"/>
  <c r="I155" i="30"/>
  <c r="J155" i="30"/>
  <c r="K155" i="30"/>
  <c r="L155" i="30"/>
  <c r="M155" i="30"/>
  <c r="N155" i="30"/>
  <c r="O155" i="30"/>
  <c r="P155" i="30"/>
  <c r="Q155" i="30"/>
  <c r="R155" i="30"/>
  <c r="C156" i="30"/>
  <c r="D156" i="30"/>
  <c r="E156" i="30"/>
  <c r="F156" i="30"/>
  <c r="G156" i="30"/>
  <c r="H156" i="30"/>
  <c r="I156" i="30"/>
  <c r="J156" i="30"/>
  <c r="K156" i="30"/>
  <c r="L156" i="30"/>
  <c r="M156" i="30"/>
  <c r="N156" i="30"/>
  <c r="O156" i="30"/>
  <c r="P156" i="30"/>
  <c r="Q156" i="30"/>
  <c r="R156" i="30"/>
  <c r="C157" i="30"/>
  <c r="D157" i="30"/>
  <c r="E157" i="30"/>
  <c r="F157" i="30"/>
  <c r="G157" i="30"/>
  <c r="H157" i="30"/>
  <c r="I157" i="30"/>
  <c r="J157" i="30"/>
  <c r="K157" i="30"/>
  <c r="L157" i="30"/>
  <c r="M157" i="30"/>
  <c r="N157" i="30"/>
  <c r="O157" i="30"/>
  <c r="P157" i="30"/>
  <c r="Q157" i="30"/>
  <c r="R157" i="30"/>
  <c r="C158" i="30"/>
  <c r="D158" i="30"/>
  <c r="E158" i="30"/>
  <c r="F158" i="30"/>
  <c r="G158" i="30"/>
  <c r="H158" i="30"/>
  <c r="I158" i="30"/>
  <c r="J158" i="30"/>
  <c r="K158" i="30"/>
  <c r="L158" i="30"/>
  <c r="M158" i="30"/>
  <c r="N158" i="30"/>
  <c r="O158" i="30"/>
  <c r="P158" i="30"/>
  <c r="Q158" i="30"/>
  <c r="R158" i="30"/>
  <c r="C159" i="30"/>
  <c r="D159" i="30"/>
  <c r="E159" i="30"/>
  <c r="F159" i="30"/>
  <c r="G159" i="30"/>
  <c r="H159" i="30"/>
  <c r="I159" i="30"/>
  <c r="J159" i="30"/>
  <c r="K159" i="30"/>
  <c r="L159" i="30"/>
  <c r="M159" i="30"/>
  <c r="N159" i="30"/>
  <c r="O159" i="30"/>
  <c r="P159" i="30"/>
  <c r="Q159" i="30"/>
  <c r="R159" i="30"/>
  <c r="C160" i="30"/>
  <c r="D160" i="30"/>
  <c r="E160" i="30"/>
  <c r="F160" i="30"/>
  <c r="G160" i="30"/>
  <c r="H160" i="30"/>
  <c r="I160" i="30"/>
  <c r="J160" i="30"/>
  <c r="K160" i="30"/>
  <c r="L160" i="30"/>
  <c r="M160" i="30"/>
  <c r="N160" i="30"/>
  <c r="O160" i="30"/>
  <c r="P160" i="30"/>
  <c r="Q160" i="30"/>
  <c r="R160" i="30"/>
  <c r="C161" i="30"/>
  <c r="D161" i="30"/>
  <c r="E161" i="30"/>
  <c r="F161" i="30"/>
  <c r="G161" i="30"/>
  <c r="H161" i="30"/>
  <c r="I161" i="30"/>
  <c r="J161" i="30"/>
  <c r="K161" i="30"/>
  <c r="L161" i="30"/>
  <c r="M161" i="30"/>
  <c r="N161" i="30"/>
  <c r="O161" i="30"/>
  <c r="P161" i="30"/>
  <c r="Q161" i="30"/>
  <c r="R161" i="30"/>
  <c r="C162" i="30"/>
  <c r="D162" i="30"/>
  <c r="E162" i="30"/>
  <c r="F162" i="30"/>
  <c r="G162" i="30"/>
  <c r="H162" i="30"/>
  <c r="I162" i="30"/>
  <c r="J162" i="30"/>
  <c r="K162" i="30"/>
  <c r="L162" i="30"/>
  <c r="M162" i="30"/>
  <c r="N162" i="30"/>
  <c r="O162" i="30"/>
  <c r="P162" i="30"/>
  <c r="Q162" i="30"/>
  <c r="R162" i="30"/>
  <c r="C163" i="30"/>
  <c r="D163" i="30"/>
  <c r="E163" i="30"/>
  <c r="F163" i="30"/>
  <c r="G163" i="30"/>
  <c r="H163" i="30"/>
  <c r="I163" i="30"/>
  <c r="J163" i="30"/>
  <c r="K163" i="30"/>
  <c r="L163" i="30"/>
  <c r="M163" i="30"/>
  <c r="N163" i="30"/>
  <c r="O163" i="30"/>
  <c r="P163" i="30"/>
  <c r="Q163" i="30"/>
  <c r="R163" i="30"/>
  <c r="C164" i="30"/>
  <c r="D164" i="30"/>
  <c r="E164" i="30"/>
  <c r="F164" i="30"/>
  <c r="G164" i="30"/>
  <c r="H164" i="30"/>
  <c r="I164" i="30"/>
  <c r="J164" i="30"/>
  <c r="K164" i="30"/>
  <c r="L164" i="30"/>
  <c r="M164" i="30"/>
  <c r="N164" i="30"/>
  <c r="O164" i="30"/>
  <c r="P164" i="30"/>
  <c r="Q164" i="30"/>
  <c r="R164" i="30"/>
  <c r="C165" i="30"/>
  <c r="D165" i="30"/>
  <c r="E165" i="30"/>
  <c r="F165" i="30"/>
  <c r="G165" i="30"/>
  <c r="H165" i="30"/>
  <c r="I165" i="30"/>
  <c r="J165" i="30"/>
  <c r="K165" i="30"/>
  <c r="L165" i="30"/>
  <c r="M165" i="30"/>
  <c r="N165" i="30"/>
  <c r="O165" i="30"/>
  <c r="P165" i="30"/>
  <c r="Q165" i="30"/>
  <c r="R165" i="30"/>
  <c r="C166" i="30"/>
  <c r="D166" i="30"/>
  <c r="E166" i="30"/>
  <c r="F166" i="30"/>
  <c r="G166" i="30"/>
  <c r="H166" i="30"/>
  <c r="I166" i="30"/>
  <c r="J166" i="30"/>
  <c r="K166" i="30"/>
  <c r="L166" i="30"/>
  <c r="M166" i="30"/>
  <c r="N166" i="30"/>
  <c r="O166" i="30"/>
  <c r="P166" i="30"/>
  <c r="Q166" i="30"/>
  <c r="R166" i="30"/>
  <c r="C167" i="30"/>
  <c r="D167" i="30"/>
  <c r="E167" i="30"/>
  <c r="F167" i="30"/>
  <c r="G167" i="30"/>
  <c r="H167" i="30"/>
  <c r="I167" i="30"/>
  <c r="J167" i="30"/>
  <c r="K167" i="30"/>
  <c r="L167" i="30"/>
  <c r="M167" i="30"/>
  <c r="N167" i="30"/>
  <c r="O167" i="30"/>
  <c r="P167" i="30"/>
  <c r="Q167" i="30"/>
  <c r="R167" i="30"/>
  <c r="C168" i="30"/>
  <c r="D168" i="30"/>
  <c r="E168" i="30"/>
  <c r="F168" i="30"/>
  <c r="G168" i="30"/>
  <c r="H168" i="30"/>
  <c r="I168" i="30"/>
  <c r="J168" i="30"/>
  <c r="K168" i="30"/>
  <c r="L168" i="30"/>
  <c r="M168" i="30"/>
  <c r="N168" i="30"/>
  <c r="O168" i="30"/>
  <c r="P168" i="30"/>
  <c r="Q168" i="30"/>
  <c r="R168" i="30"/>
  <c r="C169" i="30"/>
  <c r="D169" i="30"/>
  <c r="E169" i="30"/>
  <c r="F169" i="30"/>
  <c r="G169" i="30"/>
  <c r="H169" i="30"/>
  <c r="I169" i="30"/>
  <c r="J169" i="30"/>
  <c r="K169" i="30"/>
  <c r="L169" i="30"/>
  <c r="M169" i="30"/>
  <c r="N169" i="30"/>
  <c r="O169" i="30"/>
  <c r="P169" i="30"/>
  <c r="Q169" i="30"/>
  <c r="R169" i="30"/>
  <c r="C170" i="30"/>
  <c r="D170" i="30"/>
  <c r="E170" i="30"/>
  <c r="F170" i="30"/>
  <c r="G170" i="30"/>
  <c r="H170" i="30"/>
  <c r="I170" i="30"/>
  <c r="J170" i="30"/>
  <c r="K170" i="30"/>
  <c r="L170" i="30"/>
  <c r="M170" i="30"/>
  <c r="N170" i="30"/>
  <c r="O170" i="30"/>
  <c r="P170" i="30"/>
  <c r="Q170" i="30"/>
  <c r="R170" i="30"/>
  <c r="C171" i="30"/>
  <c r="D171" i="30"/>
  <c r="E171" i="30"/>
  <c r="F171" i="30"/>
  <c r="G171" i="30"/>
  <c r="H171" i="30"/>
  <c r="I171" i="30"/>
  <c r="J171" i="30"/>
  <c r="K171" i="30"/>
  <c r="L171" i="30"/>
  <c r="M171" i="30"/>
  <c r="N171" i="30"/>
  <c r="O171" i="30"/>
  <c r="P171" i="30"/>
  <c r="Q171" i="30"/>
  <c r="R171" i="30"/>
  <c r="C172" i="30"/>
  <c r="D172" i="30"/>
  <c r="E172" i="30"/>
  <c r="F172" i="30"/>
  <c r="G172" i="30"/>
  <c r="H172" i="30"/>
  <c r="I172" i="30"/>
  <c r="J172" i="30"/>
  <c r="K172" i="30"/>
  <c r="L172" i="30"/>
  <c r="M172" i="30"/>
  <c r="N172" i="30"/>
  <c r="O172" i="30"/>
  <c r="P172" i="30"/>
  <c r="Q172" i="30"/>
  <c r="R172" i="30"/>
  <c r="C173" i="30"/>
  <c r="D173" i="30"/>
  <c r="E173" i="30"/>
  <c r="F173" i="30"/>
  <c r="G173" i="30"/>
  <c r="H173" i="30"/>
  <c r="I173" i="30"/>
  <c r="J173" i="30"/>
  <c r="K173" i="30"/>
  <c r="L173" i="30"/>
  <c r="M173" i="30"/>
  <c r="N173" i="30"/>
  <c r="O173" i="30"/>
  <c r="P173" i="30"/>
  <c r="Q173" i="30"/>
  <c r="R173" i="30"/>
  <c r="C174" i="30"/>
  <c r="D174" i="30"/>
  <c r="E174" i="30"/>
  <c r="F174" i="30"/>
  <c r="G174" i="30"/>
  <c r="H174" i="30"/>
  <c r="I174" i="30"/>
  <c r="J174" i="30"/>
  <c r="K174" i="30"/>
  <c r="L174" i="30"/>
  <c r="M174" i="30"/>
  <c r="N174" i="30"/>
  <c r="O174" i="30"/>
  <c r="P174" i="30"/>
  <c r="Q174" i="30"/>
  <c r="R174" i="30"/>
  <c r="C175" i="30"/>
  <c r="D175" i="30"/>
  <c r="E175" i="30"/>
  <c r="F175" i="30"/>
  <c r="G175" i="30"/>
  <c r="H175" i="30"/>
  <c r="I175" i="30"/>
  <c r="J175" i="30"/>
  <c r="K175" i="30"/>
  <c r="L175" i="30"/>
  <c r="M175" i="30"/>
  <c r="N175" i="30"/>
  <c r="O175" i="30"/>
  <c r="P175" i="30"/>
  <c r="Q175" i="30"/>
  <c r="R175" i="30"/>
  <c r="C176" i="30"/>
  <c r="D176" i="30"/>
  <c r="E176" i="30"/>
  <c r="F176" i="30"/>
  <c r="G176" i="30"/>
  <c r="H176" i="30"/>
  <c r="I176" i="30"/>
  <c r="J176" i="30"/>
  <c r="K176" i="30"/>
  <c r="L176" i="30"/>
  <c r="M176" i="30"/>
  <c r="N176" i="30"/>
  <c r="O176" i="30"/>
  <c r="P176" i="30"/>
  <c r="Q176" i="30"/>
  <c r="R176" i="30"/>
  <c r="C177" i="30"/>
  <c r="D177" i="30"/>
  <c r="E177" i="30"/>
  <c r="F177" i="30"/>
  <c r="G177" i="30"/>
  <c r="H177" i="30"/>
  <c r="I177" i="30"/>
  <c r="J177" i="30"/>
  <c r="K177" i="30"/>
  <c r="L177" i="30"/>
  <c r="M177" i="30"/>
  <c r="N177" i="30"/>
  <c r="O177" i="30"/>
  <c r="P177" i="30"/>
  <c r="Q177" i="30"/>
  <c r="R177" i="30"/>
  <c r="C178" i="30"/>
  <c r="D178" i="30"/>
  <c r="E178" i="30"/>
  <c r="F178" i="30"/>
  <c r="G178" i="30"/>
  <c r="H178" i="30"/>
  <c r="I178" i="30"/>
  <c r="J178" i="30"/>
  <c r="K178" i="30"/>
  <c r="L178" i="30"/>
  <c r="M178" i="30"/>
  <c r="N178" i="30"/>
  <c r="O178" i="30"/>
  <c r="P178" i="30"/>
  <c r="Q178" i="30"/>
  <c r="R178" i="30"/>
  <c r="C179" i="30"/>
  <c r="D179" i="30"/>
  <c r="E179" i="30"/>
  <c r="F179" i="30"/>
  <c r="G179" i="30"/>
  <c r="H179" i="30"/>
  <c r="I179" i="30"/>
  <c r="J179" i="30"/>
  <c r="K179" i="30"/>
  <c r="L179" i="30"/>
  <c r="M179" i="30"/>
  <c r="N179" i="30"/>
  <c r="O179" i="30"/>
  <c r="P179" i="30"/>
  <c r="Q179" i="30"/>
  <c r="R179" i="30"/>
  <c r="C180" i="30"/>
  <c r="D180" i="30"/>
  <c r="E180" i="30"/>
  <c r="F180" i="30"/>
  <c r="G180" i="30"/>
  <c r="H180" i="30"/>
  <c r="I180" i="30"/>
  <c r="J180" i="30"/>
  <c r="K180" i="30"/>
  <c r="L180" i="30"/>
  <c r="M180" i="30"/>
  <c r="N180" i="30"/>
  <c r="O180" i="30"/>
  <c r="P180" i="30"/>
  <c r="Q180" i="30"/>
  <c r="R180" i="30"/>
  <c r="C181" i="30"/>
  <c r="D181" i="30"/>
  <c r="E181" i="30"/>
  <c r="F181" i="30"/>
  <c r="G181" i="30"/>
  <c r="H181" i="30"/>
  <c r="I181" i="30"/>
  <c r="J181" i="30"/>
  <c r="K181" i="30"/>
  <c r="L181" i="30"/>
  <c r="M181" i="30"/>
  <c r="N181" i="30"/>
  <c r="O181" i="30"/>
  <c r="P181" i="30"/>
  <c r="Q181" i="30"/>
  <c r="R181" i="30"/>
  <c r="C182" i="30"/>
  <c r="D182" i="30"/>
  <c r="E182" i="30"/>
  <c r="F182" i="30"/>
  <c r="G182" i="30"/>
  <c r="H182" i="30"/>
  <c r="I182" i="30"/>
  <c r="J182" i="30"/>
  <c r="K182" i="30"/>
  <c r="L182" i="30"/>
  <c r="M182" i="30"/>
  <c r="N182" i="30"/>
  <c r="O182" i="30"/>
  <c r="P182" i="30"/>
  <c r="Q182" i="30"/>
  <c r="R182" i="30"/>
  <c r="C183" i="30"/>
  <c r="D183" i="30"/>
  <c r="E183" i="30"/>
  <c r="F183" i="30"/>
  <c r="G183" i="30"/>
  <c r="H183" i="30"/>
  <c r="I183" i="30"/>
  <c r="J183" i="30"/>
  <c r="K183" i="30"/>
  <c r="L183" i="30"/>
  <c r="M183" i="30"/>
  <c r="N183" i="30"/>
  <c r="O183" i="30"/>
  <c r="P183" i="30"/>
  <c r="Q183" i="30"/>
  <c r="R183" i="30"/>
  <c r="C184" i="30"/>
  <c r="D184" i="30"/>
  <c r="E184" i="30"/>
  <c r="F184" i="30"/>
  <c r="G184" i="30"/>
  <c r="H184" i="30"/>
  <c r="I184" i="30"/>
  <c r="J184" i="30"/>
  <c r="K184" i="30"/>
  <c r="L184" i="30"/>
  <c r="M184" i="30"/>
  <c r="N184" i="30"/>
  <c r="O184" i="30"/>
  <c r="P184" i="30"/>
  <c r="Q184" i="30"/>
  <c r="R184" i="30"/>
  <c r="C185" i="30"/>
  <c r="D185" i="30"/>
  <c r="E185" i="30"/>
  <c r="F185" i="30"/>
  <c r="G185" i="30"/>
  <c r="H185" i="30"/>
  <c r="I185" i="30"/>
  <c r="J185" i="30"/>
  <c r="K185" i="30"/>
  <c r="L185" i="30"/>
  <c r="M185" i="30"/>
  <c r="N185" i="30"/>
  <c r="O185" i="30"/>
  <c r="P185" i="30"/>
  <c r="Q185" i="30"/>
  <c r="R185" i="30"/>
  <c r="C186" i="30"/>
  <c r="D186" i="30"/>
  <c r="E186" i="30"/>
  <c r="F186" i="30"/>
  <c r="G186" i="30"/>
  <c r="H186" i="30"/>
  <c r="I186" i="30"/>
  <c r="J186" i="30"/>
  <c r="K186" i="30"/>
  <c r="L186" i="30"/>
  <c r="M186" i="30"/>
  <c r="N186" i="30"/>
  <c r="O186" i="30"/>
  <c r="P186" i="30"/>
  <c r="Q186" i="30"/>
  <c r="R186" i="30"/>
  <c r="C187" i="30"/>
  <c r="D187" i="30"/>
  <c r="E187" i="30"/>
  <c r="F187" i="30"/>
  <c r="G187" i="30"/>
  <c r="H187" i="30"/>
  <c r="I187" i="30"/>
  <c r="J187" i="30"/>
  <c r="K187" i="30"/>
  <c r="L187" i="30"/>
  <c r="M187" i="30"/>
  <c r="N187" i="30"/>
  <c r="O187" i="30"/>
  <c r="P187" i="30"/>
  <c r="Q187" i="30"/>
  <c r="R187" i="30"/>
  <c r="C188" i="30"/>
  <c r="D188" i="30"/>
  <c r="E188" i="30"/>
  <c r="F188" i="30"/>
  <c r="G188" i="30"/>
  <c r="H188" i="30"/>
  <c r="I188" i="30"/>
  <c r="J188" i="30"/>
  <c r="K188" i="30"/>
  <c r="L188" i="30"/>
  <c r="M188" i="30"/>
  <c r="N188" i="30"/>
  <c r="O188" i="30"/>
  <c r="P188" i="30"/>
  <c r="Q188" i="30"/>
  <c r="R188" i="30"/>
  <c r="C189" i="30"/>
  <c r="D189" i="30"/>
  <c r="E189" i="30"/>
  <c r="F189" i="30"/>
  <c r="G189" i="30"/>
  <c r="H189" i="30"/>
  <c r="I189" i="30"/>
  <c r="J189" i="30"/>
  <c r="K189" i="30"/>
  <c r="L189" i="30"/>
  <c r="M189" i="30"/>
  <c r="N189" i="30"/>
  <c r="O189" i="30"/>
  <c r="P189" i="30"/>
  <c r="Q189" i="30"/>
  <c r="R189" i="30"/>
  <c r="C190" i="30"/>
  <c r="D190" i="30"/>
  <c r="E190" i="30"/>
  <c r="F190" i="30"/>
  <c r="G190" i="30"/>
  <c r="H190" i="30"/>
  <c r="I190" i="30"/>
  <c r="J190" i="30"/>
  <c r="K190" i="30"/>
  <c r="L190" i="30"/>
  <c r="M190" i="30"/>
  <c r="N190" i="30"/>
  <c r="O190" i="30"/>
  <c r="P190" i="30"/>
  <c r="Q190" i="30"/>
  <c r="R190" i="30"/>
  <c r="C191" i="30"/>
  <c r="D191" i="30"/>
  <c r="E191" i="30"/>
  <c r="F191" i="30"/>
  <c r="G191" i="30"/>
  <c r="H191" i="30"/>
  <c r="I191" i="30"/>
  <c r="J191" i="30"/>
  <c r="K191" i="30"/>
  <c r="L191" i="30"/>
  <c r="M191" i="30"/>
  <c r="N191" i="30"/>
  <c r="O191" i="30"/>
  <c r="P191" i="30"/>
  <c r="Q191" i="30"/>
  <c r="R191" i="30"/>
  <c r="C192" i="30"/>
  <c r="D192" i="30"/>
  <c r="E192" i="30"/>
  <c r="F192" i="30"/>
  <c r="G192" i="30"/>
  <c r="H192" i="30"/>
  <c r="I192" i="30"/>
  <c r="J192" i="30"/>
  <c r="K192" i="30"/>
  <c r="L192" i="30"/>
  <c r="M192" i="30"/>
  <c r="N192" i="30"/>
  <c r="O192" i="30"/>
  <c r="P192" i="30"/>
  <c r="Q192" i="30"/>
  <c r="R192" i="30"/>
  <c r="C193" i="30"/>
  <c r="D193" i="30"/>
  <c r="E193" i="30"/>
  <c r="F193" i="30"/>
  <c r="G193" i="30"/>
  <c r="H193" i="30"/>
  <c r="I193" i="30"/>
  <c r="J193" i="30"/>
  <c r="K193" i="30"/>
  <c r="L193" i="30"/>
  <c r="M193" i="30"/>
  <c r="N193" i="30"/>
  <c r="O193" i="30"/>
  <c r="P193" i="30"/>
  <c r="Q193" i="30"/>
  <c r="R193" i="30"/>
  <c r="C194" i="30"/>
  <c r="D194" i="30"/>
  <c r="E194" i="30"/>
  <c r="F194" i="30"/>
  <c r="G194" i="30"/>
  <c r="H194" i="30"/>
  <c r="I194" i="30"/>
  <c r="J194" i="30"/>
  <c r="K194" i="30"/>
  <c r="L194" i="30"/>
  <c r="M194" i="30"/>
  <c r="N194" i="30"/>
  <c r="O194" i="30"/>
  <c r="P194" i="30"/>
  <c r="Q194" i="30"/>
  <c r="R194" i="30"/>
  <c r="C195" i="30"/>
  <c r="D195" i="30"/>
  <c r="E195" i="30"/>
  <c r="F195" i="30"/>
  <c r="G195" i="30"/>
  <c r="H195" i="30"/>
  <c r="I195" i="30"/>
  <c r="J195" i="30"/>
  <c r="K195" i="30"/>
  <c r="L195" i="30"/>
  <c r="M195" i="30"/>
  <c r="N195" i="30"/>
  <c r="O195" i="30"/>
  <c r="P195" i="30"/>
  <c r="Q195" i="30"/>
  <c r="R195" i="30"/>
  <c r="C196" i="30"/>
  <c r="D196" i="30"/>
  <c r="E196" i="30"/>
  <c r="F196" i="30"/>
  <c r="G196" i="30"/>
  <c r="H196" i="30"/>
  <c r="I196" i="30"/>
  <c r="J196" i="30"/>
  <c r="K196" i="30"/>
  <c r="L196" i="30"/>
  <c r="M196" i="30"/>
  <c r="N196" i="30"/>
  <c r="O196" i="30"/>
  <c r="P196" i="30"/>
  <c r="Q196" i="30"/>
  <c r="R196" i="30"/>
  <c r="C197" i="30"/>
  <c r="D197" i="30"/>
  <c r="E197" i="30"/>
  <c r="F197" i="30"/>
  <c r="G197" i="30"/>
  <c r="H197" i="30"/>
  <c r="I197" i="30"/>
  <c r="J197" i="30"/>
  <c r="K197" i="30"/>
  <c r="L197" i="30"/>
  <c r="M197" i="30"/>
  <c r="N197" i="30"/>
  <c r="O197" i="30"/>
  <c r="P197" i="30"/>
  <c r="Q197" i="30"/>
  <c r="R197" i="30"/>
  <c r="C198" i="30"/>
  <c r="D198" i="30"/>
  <c r="E198" i="30"/>
  <c r="F198" i="30"/>
  <c r="G198" i="30"/>
  <c r="H198" i="30"/>
  <c r="I198" i="30"/>
  <c r="J198" i="30"/>
  <c r="K198" i="30"/>
  <c r="L198" i="30"/>
  <c r="M198" i="30"/>
  <c r="N198" i="30"/>
  <c r="O198" i="30"/>
  <c r="P198" i="30"/>
  <c r="Q198" i="30"/>
  <c r="R198" i="30"/>
  <c r="C199" i="30"/>
  <c r="D199" i="30"/>
  <c r="E199" i="30"/>
  <c r="F199" i="30"/>
  <c r="G199" i="30"/>
  <c r="H199" i="30"/>
  <c r="I199" i="30"/>
  <c r="J199" i="30"/>
  <c r="K199" i="30"/>
  <c r="L199" i="30"/>
  <c r="M199" i="30"/>
  <c r="N199" i="30"/>
  <c r="O199" i="30"/>
  <c r="P199" i="30"/>
  <c r="Q199" i="30"/>
  <c r="R199" i="30"/>
  <c r="C200" i="30"/>
  <c r="D200" i="30"/>
  <c r="E200" i="30"/>
  <c r="F200" i="30"/>
  <c r="G200" i="30"/>
  <c r="H200" i="30"/>
  <c r="I200" i="30"/>
  <c r="J200" i="30"/>
  <c r="K200" i="30"/>
  <c r="L200" i="30"/>
  <c r="M200" i="30"/>
  <c r="N200" i="30"/>
  <c r="O200" i="30"/>
  <c r="P200" i="30"/>
  <c r="Q200" i="30"/>
  <c r="R200" i="30"/>
  <c r="C201" i="30"/>
  <c r="D201" i="30"/>
  <c r="E201" i="30"/>
  <c r="F201" i="30"/>
  <c r="G201" i="30"/>
  <c r="H201" i="30"/>
  <c r="I201" i="30"/>
  <c r="J201" i="30"/>
  <c r="K201" i="30"/>
  <c r="L201" i="30"/>
  <c r="M201" i="30"/>
  <c r="N201" i="30"/>
  <c r="O201" i="30"/>
  <c r="P201" i="30"/>
  <c r="Q201" i="30"/>
  <c r="R201" i="30"/>
  <c r="C202" i="30"/>
  <c r="D202" i="30"/>
  <c r="E202" i="30"/>
  <c r="F202" i="30"/>
  <c r="G202" i="30"/>
  <c r="H202" i="30"/>
  <c r="I202" i="30"/>
  <c r="J202" i="30"/>
  <c r="K202" i="30"/>
  <c r="L202" i="30"/>
  <c r="M202" i="30"/>
  <c r="N202" i="30"/>
  <c r="O202" i="30"/>
  <c r="P202" i="30"/>
  <c r="Q202" i="30"/>
  <c r="R202" i="30"/>
  <c r="C203" i="30"/>
  <c r="D203" i="30"/>
  <c r="E203" i="30"/>
  <c r="F203" i="30"/>
  <c r="G203" i="30"/>
  <c r="H203" i="30"/>
  <c r="I203" i="30"/>
  <c r="J203" i="30"/>
  <c r="K203" i="30"/>
  <c r="L203" i="30"/>
  <c r="M203" i="30"/>
  <c r="N203" i="30"/>
  <c r="O203" i="30"/>
  <c r="P203" i="30"/>
  <c r="Q203" i="30"/>
  <c r="R203" i="30"/>
  <c r="C204" i="30"/>
  <c r="D204" i="30"/>
  <c r="E204" i="30"/>
  <c r="F204" i="30"/>
  <c r="G204" i="30"/>
  <c r="H204" i="30"/>
  <c r="I204" i="30"/>
  <c r="J204" i="30"/>
  <c r="K204" i="30"/>
  <c r="L204" i="30"/>
  <c r="M204" i="30"/>
  <c r="N204" i="30"/>
  <c r="O204" i="30"/>
  <c r="P204" i="30"/>
  <c r="Q204" i="30"/>
  <c r="R204" i="30"/>
  <c r="C205" i="30"/>
  <c r="D205" i="30"/>
  <c r="E205" i="30"/>
  <c r="F205" i="30"/>
  <c r="G205" i="30"/>
  <c r="H205" i="30"/>
  <c r="I205" i="30"/>
  <c r="J205" i="30"/>
  <c r="K205" i="30"/>
  <c r="L205" i="30"/>
  <c r="M205" i="30"/>
  <c r="N205" i="30"/>
  <c r="O205" i="30"/>
  <c r="P205" i="30"/>
  <c r="Q205" i="30"/>
  <c r="R205" i="30"/>
  <c r="C206" i="30"/>
  <c r="D206" i="30"/>
  <c r="E206" i="30"/>
  <c r="F206" i="30"/>
  <c r="G206" i="30"/>
  <c r="H206" i="30"/>
  <c r="I206" i="30"/>
  <c r="J206" i="30"/>
  <c r="K206" i="30"/>
  <c r="L206" i="30"/>
  <c r="M206" i="30"/>
  <c r="N206" i="30"/>
  <c r="O206" i="30"/>
  <c r="P206" i="30"/>
  <c r="Q206" i="30"/>
  <c r="R206" i="30"/>
  <c r="C207" i="30"/>
  <c r="D207" i="30"/>
  <c r="E207" i="30"/>
  <c r="F207" i="30"/>
  <c r="G207" i="30"/>
  <c r="H207" i="30"/>
  <c r="I207" i="30"/>
  <c r="J207" i="30"/>
  <c r="K207" i="30"/>
  <c r="L207" i="30"/>
  <c r="M207" i="30"/>
  <c r="N207" i="30"/>
  <c r="O207" i="30"/>
  <c r="P207" i="30"/>
  <c r="Q207" i="30"/>
  <c r="R207" i="30"/>
  <c r="C208" i="30"/>
  <c r="D208" i="30"/>
  <c r="E208" i="30"/>
  <c r="F208" i="30"/>
  <c r="G208" i="30"/>
  <c r="H208" i="30"/>
  <c r="I208" i="30"/>
  <c r="J208" i="30"/>
  <c r="K208" i="30"/>
  <c r="L208" i="30"/>
  <c r="M208" i="30"/>
  <c r="N208" i="30"/>
  <c r="O208" i="30"/>
  <c r="P208" i="30"/>
  <c r="Q208" i="30"/>
  <c r="R208" i="30"/>
  <c r="C209" i="30"/>
  <c r="D209" i="30"/>
  <c r="E209" i="30"/>
  <c r="F209" i="30"/>
  <c r="G209" i="30"/>
  <c r="H209" i="30"/>
  <c r="I209" i="30"/>
  <c r="J209" i="30"/>
  <c r="K209" i="30"/>
  <c r="L209" i="30"/>
  <c r="M209" i="30"/>
  <c r="N209" i="30"/>
  <c r="O209" i="30"/>
  <c r="P209" i="30"/>
  <c r="Q209" i="30"/>
  <c r="R209" i="30"/>
  <c r="C210" i="30"/>
  <c r="D210" i="30"/>
  <c r="E210" i="30"/>
  <c r="F210" i="30"/>
  <c r="G210" i="30"/>
  <c r="H210" i="30"/>
  <c r="I210" i="30"/>
  <c r="J210" i="30"/>
  <c r="K210" i="30"/>
  <c r="L210" i="30"/>
  <c r="M210" i="30"/>
  <c r="N210" i="30"/>
  <c r="O210" i="30"/>
  <c r="P210" i="30"/>
  <c r="Q210" i="30"/>
  <c r="R210" i="30"/>
  <c r="C211" i="30"/>
  <c r="D211" i="30"/>
  <c r="E211" i="30"/>
  <c r="F211" i="30"/>
  <c r="G211" i="30"/>
  <c r="H211" i="30"/>
  <c r="I211" i="30"/>
  <c r="J211" i="30"/>
  <c r="K211" i="30"/>
  <c r="L211" i="30"/>
  <c r="M211" i="30"/>
  <c r="N211" i="30"/>
  <c r="O211" i="30"/>
  <c r="P211" i="30"/>
  <c r="Q211" i="30"/>
  <c r="R211" i="30"/>
  <c r="C212" i="30"/>
  <c r="D212" i="30"/>
  <c r="E212" i="30"/>
  <c r="F212" i="30"/>
  <c r="G212" i="30"/>
  <c r="H212" i="30"/>
  <c r="I212" i="30"/>
  <c r="J212" i="30"/>
  <c r="K212" i="30"/>
  <c r="L212" i="30"/>
  <c r="M212" i="30"/>
  <c r="N212" i="30"/>
  <c r="O212" i="30"/>
  <c r="P212" i="30"/>
  <c r="Q212" i="30"/>
  <c r="R212" i="30"/>
  <c r="C213" i="30"/>
  <c r="D213" i="30"/>
  <c r="E213" i="30"/>
  <c r="F213" i="30"/>
  <c r="G213" i="30"/>
  <c r="H213" i="30"/>
  <c r="I213" i="30"/>
  <c r="J213" i="30"/>
  <c r="K213" i="30"/>
  <c r="L213" i="30"/>
  <c r="M213" i="30"/>
  <c r="N213" i="30"/>
  <c r="O213" i="30"/>
  <c r="P213" i="30"/>
  <c r="Q213" i="30"/>
  <c r="R213" i="30"/>
  <c r="C214" i="30"/>
  <c r="D214" i="30"/>
  <c r="E214" i="30"/>
  <c r="F214" i="30"/>
  <c r="G214" i="30"/>
  <c r="H214" i="30"/>
  <c r="I214" i="30"/>
  <c r="J214" i="30"/>
  <c r="K214" i="30"/>
  <c r="L214" i="30"/>
  <c r="M214" i="30"/>
  <c r="N214" i="30"/>
  <c r="O214" i="30"/>
  <c r="P214" i="30"/>
  <c r="Q214" i="30"/>
  <c r="R214" i="30"/>
  <c r="C215" i="30"/>
  <c r="D215" i="30"/>
  <c r="E215" i="30"/>
  <c r="F215" i="30"/>
  <c r="G215" i="30"/>
  <c r="H215" i="30"/>
  <c r="I215" i="30"/>
  <c r="J215" i="30"/>
  <c r="K215" i="30"/>
  <c r="L215" i="30"/>
  <c r="M215" i="30"/>
  <c r="N215" i="30"/>
  <c r="O215" i="30"/>
  <c r="P215" i="30"/>
  <c r="Q215" i="30"/>
  <c r="R215" i="30"/>
  <c r="C216" i="30"/>
  <c r="D216" i="30"/>
  <c r="E216" i="30"/>
  <c r="F216" i="30"/>
  <c r="G216" i="30"/>
  <c r="H216" i="30"/>
  <c r="I216" i="30"/>
  <c r="J216" i="30"/>
  <c r="K216" i="30"/>
  <c r="L216" i="30"/>
  <c r="M216" i="30"/>
  <c r="N216" i="30"/>
  <c r="O216" i="30"/>
  <c r="P216" i="30"/>
  <c r="Q216" i="30"/>
  <c r="R216" i="30"/>
  <c r="C217" i="30"/>
  <c r="D217" i="30"/>
  <c r="E217" i="30"/>
  <c r="F217" i="30"/>
  <c r="G217" i="30"/>
  <c r="H217" i="30"/>
  <c r="I217" i="30"/>
  <c r="J217" i="30"/>
  <c r="K217" i="30"/>
  <c r="L217" i="30"/>
  <c r="M217" i="30"/>
  <c r="N217" i="30"/>
  <c r="O217" i="30"/>
  <c r="P217" i="30"/>
  <c r="Q217" i="30"/>
  <c r="R217" i="30"/>
  <c r="C218" i="30"/>
  <c r="D218" i="30"/>
  <c r="E218" i="30"/>
  <c r="F218" i="30"/>
  <c r="G218" i="30"/>
  <c r="H218" i="30"/>
  <c r="I218" i="30"/>
  <c r="J218" i="30"/>
  <c r="K218" i="30"/>
  <c r="L218" i="30"/>
  <c r="M218" i="30"/>
  <c r="N218" i="30"/>
  <c r="O218" i="30"/>
  <c r="P218" i="30"/>
  <c r="Q218" i="30"/>
  <c r="R218" i="30"/>
  <c r="C219" i="30"/>
  <c r="D219" i="30"/>
  <c r="E219" i="30"/>
  <c r="F219" i="30"/>
  <c r="G219" i="30"/>
  <c r="H219" i="30"/>
  <c r="I219" i="30"/>
  <c r="J219" i="30"/>
  <c r="K219" i="30"/>
  <c r="L219" i="30"/>
  <c r="M219" i="30"/>
  <c r="N219" i="30"/>
  <c r="O219" i="30"/>
  <c r="P219" i="30"/>
  <c r="Q219" i="30"/>
  <c r="R219" i="30"/>
  <c r="C220" i="30"/>
  <c r="D220" i="30"/>
  <c r="E220" i="30"/>
  <c r="F220" i="30"/>
  <c r="G220" i="30"/>
  <c r="H220" i="30"/>
  <c r="I220" i="30"/>
  <c r="J220" i="30"/>
  <c r="K220" i="30"/>
  <c r="L220" i="30"/>
  <c r="M220" i="30"/>
  <c r="N220" i="30"/>
  <c r="O220" i="30"/>
  <c r="P220" i="30"/>
  <c r="Q220" i="30"/>
  <c r="R220" i="30"/>
  <c r="C221" i="30"/>
  <c r="D221" i="30"/>
  <c r="E221" i="30"/>
  <c r="F221" i="30"/>
  <c r="G221" i="30"/>
  <c r="H221" i="30"/>
  <c r="I221" i="30"/>
  <c r="J221" i="30"/>
  <c r="K221" i="30"/>
  <c r="L221" i="30"/>
  <c r="M221" i="30"/>
  <c r="N221" i="30"/>
  <c r="O221" i="30"/>
  <c r="P221" i="30"/>
  <c r="Q221" i="30"/>
  <c r="R221" i="30"/>
  <c r="C222" i="30"/>
  <c r="D222" i="30"/>
  <c r="E222" i="30"/>
  <c r="F222" i="30"/>
  <c r="G222" i="30"/>
  <c r="H222" i="30"/>
  <c r="I222" i="30"/>
  <c r="J222" i="30"/>
  <c r="K222" i="30"/>
  <c r="L222" i="30"/>
  <c r="M222" i="30"/>
  <c r="N222" i="30"/>
  <c r="O222" i="30"/>
  <c r="P222" i="30"/>
  <c r="Q222" i="30"/>
  <c r="R222" i="30"/>
  <c r="C223" i="30"/>
  <c r="D223" i="30"/>
  <c r="E223" i="30"/>
  <c r="F223" i="30"/>
  <c r="G223" i="30"/>
  <c r="H223" i="30"/>
  <c r="I223" i="30"/>
  <c r="J223" i="30"/>
  <c r="K223" i="30"/>
  <c r="L223" i="30"/>
  <c r="M223" i="30"/>
  <c r="N223" i="30"/>
  <c r="O223" i="30"/>
  <c r="P223" i="30"/>
  <c r="Q223" i="30"/>
  <c r="R223" i="30"/>
  <c r="C224" i="30"/>
  <c r="D224" i="30"/>
  <c r="E224" i="30"/>
  <c r="F224" i="30"/>
  <c r="G224" i="30"/>
  <c r="H224" i="30"/>
  <c r="I224" i="30"/>
  <c r="J224" i="30"/>
  <c r="K224" i="30"/>
  <c r="L224" i="30"/>
  <c r="M224" i="30"/>
  <c r="N224" i="30"/>
  <c r="O224" i="30"/>
  <c r="P224" i="30"/>
  <c r="Q224" i="30"/>
  <c r="R224" i="30"/>
  <c r="C225" i="30"/>
  <c r="D225" i="30"/>
  <c r="E225" i="30"/>
  <c r="F225" i="30"/>
  <c r="G225" i="30"/>
  <c r="H225" i="30"/>
  <c r="I225" i="30"/>
  <c r="J225" i="30"/>
  <c r="K225" i="30"/>
  <c r="L225" i="30"/>
  <c r="M225" i="30"/>
  <c r="N225" i="30"/>
  <c r="O225" i="30"/>
  <c r="P225" i="30"/>
  <c r="Q225" i="30"/>
  <c r="R225" i="30"/>
  <c r="C226" i="30"/>
  <c r="D226" i="30"/>
  <c r="E226" i="30"/>
  <c r="F226" i="30"/>
  <c r="G226" i="30"/>
  <c r="H226" i="30"/>
  <c r="I226" i="30"/>
  <c r="J226" i="30"/>
  <c r="K226" i="30"/>
  <c r="L226" i="30"/>
  <c r="M226" i="30"/>
  <c r="N226" i="30"/>
  <c r="O226" i="30"/>
  <c r="P226" i="30"/>
  <c r="Q226" i="30"/>
  <c r="R226" i="30"/>
  <c r="C227" i="30"/>
  <c r="D227" i="30"/>
  <c r="E227" i="30"/>
  <c r="F227" i="30"/>
  <c r="G227" i="30"/>
  <c r="H227" i="30"/>
  <c r="I227" i="30"/>
  <c r="J227" i="30"/>
  <c r="K227" i="30"/>
  <c r="L227" i="30"/>
  <c r="M227" i="30"/>
  <c r="N227" i="30"/>
  <c r="O227" i="30"/>
  <c r="P227" i="30"/>
  <c r="Q227" i="30"/>
  <c r="R227" i="30"/>
  <c r="C228" i="30"/>
  <c r="D228" i="30"/>
  <c r="E228" i="30"/>
  <c r="F228" i="30"/>
  <c r="G228" i="30"/>
  <c r="H228" i="30"/>
  <c r="I228" i="30"/>
  <c r="J228" i="30"/>
  <c r="K228" i="30"/>
  <c r="L228" i="30"/>
  <c r="M228" i="30"/>
  <c r="N228" i="30"/>
  <c r="O228" i="30"/>
  <c r="P228" i="30"/>
  <c r="Q228" i="30"/>
  <c r="R228" i="30"/>
  <c r="C229" i="30"/>
  <c r="D229" i="30"/>
  <c r="E229" i="30"/>
  <c r="F229" i="30"/>
  <c r="G229" i="30"/>
  <c r="H229" i="30"/>
  <c r="I229" i="30"/>
  <c r="J229" i="30"/>
  <c r="K229" i="30"/>
  <c r="L229" i="30"/>
  <c r="M229" i="30"/>
  <c r="N229" i="30"/>
  <c r="O229" i="30"/>
  <c r="P229" i="30"/>
  <c r="Q229" i="30"/>
  <c r="R229" i="30"/>
  <c r="C230" i="30"/>
  <c r="D230" i="30"/>
  <c r="E230" i="30"/>
  <c r="F230" i="30"/>
  <c r="G230" i="30"/>
  <c r="H230" i="30"/>
  <c r="I230" i="30"/>
  <c r="J230" i="30"/>
  <c r="K230" i="30"/>
  <c r="L230" i="30"/>
  <c r="M230" i="30"/>
  <c r="N230" i="30"/>
  <c r="O230" i="30"/>
  <c r="P230" i="30"/>
  <c r="Q230" i="30"/>
  <c r="R230" i="30"/>
  <c r="C231" i="30"/>
  <c r="D231" i="30"/>
  <c r="E231" i="30"/>
  <c r="F231" i="30"/>
  <c r="G231" i="30"/>
  <c r="H231" i="30"/>
  <c r="I231" i="30"/>
  <c r="J231" i="30"/>
  <c r="K231" i="30"/>
  <c r="L231" i="30"/>
  <c r="M231" i="30"/>
  <c r="N231" i="30"/>
  <c r="O231" i="30"/>
  <c r="P231" i="30"/>
  <c r="Q231" i="30"/>
  <c r="R231" i="30"/>
  <c r="C232" i="30"/>
  <c r="D232" i="30"/>
  <c r="E232" i="30"/>
  <c r="F232" i="30"/>
  <c r="G232" i="30"/>
  <c r="H232" i="30"/>
  <c r="I232" i="30"/>
  <c r="J232" i="30"/>
  <c r="K232" i="30"/>
  <c r="L232" i="30"/>
  <c r="M232" i="30"/>
  <c r="N232" i="30"/>
  <c r="O232" i="30"/>
  <c r="P232" i="30"/>
  <c r="Q232" i="30"/>
  <c r="R232" i="30"/>
  <c r="C233" i="30"/>
  <c r="D233" i="30"/>
  <c r="E233" i="30"/>
  <c r="F233" i="30"/>
  <c r="G233" i="30"/>
  <c r="H233" i="30"/>
  <c r="I233" i="30"/>
  <c r="J233" i="30"/>
  <c r="K233" i="30"/>
  <c r="L233" i="30"/>
  <c r="M233" i="30"/>
  <c r="N233" i="30"/>
  <c r="O233" i="30"/>
  <c r="P233" i="30"/>
  <c r="Q233" i="30"/>
  <c r="R233" i="30"/>
  <c r="C234" i="30"/>
  <c r="D234" i="30"/>
  <c r="E234" i="30"/>
  <c r="F234" i="30"/>
  <c r="G234" i="30"/>
  <c r="H234" i="30"/>
  <c r="I234" i="30"/>
  <c r="J234" i="30"/>
  <c r="K234" i="30"/>
  <c r="L234" i="30"/>
  <c r="M234" i="30"/>
  <c r="N234" i="30"/>
  <c r="O234" i="30"/>
  <c r="P234" i="30"/>
  <c r="Q234" i="30"/>
  <c r="R234" i="30"/>
  <c r="C235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P235" i="30"/>
  <c r="Q235" i="30"/>
  <c r="R235" i="30"/>
  <c r="C236" i="30"/>
  <c r="D236" i="30"/>
  <c r="E236" i="30"/>
  <c r="F236" i="30"/>
  <c r="G236" i="30"/>
  <c r="H236" i="30"/>
  <c r="I236" i="30"/>
  <c r="J236" i="30"/>
  <c r="K236" i="30"/>
  <c r="L236" i="30"/>
  <c r="M236" i="30"/>
  <c r="N236" i="30"/>
  <c r="O236" i="30"/>
  <c r="P236" i="30"/>
  <c r="Q236" i="30"/>
  <c r="R236" i="30"/>
  <c r="C237" i="30"/>
  <c r="D237" i="30"/>
  <c r="E237" i="30"/>
  <c r="F237" i="30"/>
  <c r="G237" i="30"/>
  <c r="H237" i="30"/>
  <c r="I237" i="30"/>
  <c r="J237" i="30"/>
  <c r="K237" i="30"/>
  <c r="L237" i="30"/>
  <c r="M237" i="30"/>
  <c r="N237" i="30"/>
  <c r="O237" i="30"/>
  <c r="P237" i="30"/>
  <c r="Q237" i="30"/>
  <c r="R237" i="30"/>
  <c r="C238" i="30"/>
  <c r="D238" i="30"/>
  <c r="E238" i="30"/>
  <c r="F238" i="30"/>
  <c r="G238" i="30"/>
  <c r="H238" i="30"/>
  <c r="I238" i="30"/>
  <c r="J238" i="30"/>
  <c r="K238" i="30"/>
  <c r="L238" i="30"/>
  <c r="M238" i="30"/>
  <c r="N238" i="30"/>
  <c r="O238" i="30"/>
  <c r="P238" i="30"/>
  <c r="Q238" i="30"/>
  <c r="R238" i="30"/>
  <c r="C239" i="30"/>
  <c r="D239" i="30"/>
  <c r="E239" i="30"/>
  <c r="F239" i="30"/>
  <c r="G239" i="30"/>
  <c r="H239" i="30"/>
  <c r="I239" i="30"/>
  <c r="J239" i="30"/>
  <c r="K239" i="30"/>
  <c r="L239" i="30"/>
  <c r="M239" i="30"/>
  <c r="N239" i="30"/>
  <c r="O239" i="30"/>
  <c r="P239" i="30"/>
  <c r="Q239" i="30"/>
  <c r="R239" i="30"/>
  <c r="C240" i="30"/>
  <c r="D240" i="30"/>
  <c r="E240" i="30"/>
  <c r="F240" i="30"/>
  <c r="G240" i="30"/>
  <c r="H240" i="30"/>
  <c r="I240" i="30"/>
  <c r="J240" i="30"/>
  <c r="K240" i="30"/>
  <c r="L240" i="30"/>
  <c r="M240" i="30"/>
  <c r="N240" i="30"/>
  <c r="O240" i="30"/>
  <c r="P240" i="30"/>
  <c r="Q240" i="30"/>
  <c r="R240" i="30"/>
  <c r="C241" i="30"/>
  <c r="D241" i="30"/>
  <c r="E241" i="30"/>
  <c r="F241" i="30"/>
  <c r="G241" i="30"/>
  <c r="H241" i="30"/>
  <c r="I241" i="30"/>
  <c r="J241" i="30"/>
  <c r="K241" i="30"/>
  <c r="L241" i="30"/>
  <c r="M241" i="30"/>
  <c r="N241" i="30"/>
  <c r="O241" i="30"/>
  <c r="P241" i="30"/>
  <c r="Q241" i="30"/>
  <c r="R241" i="30"/>
  <c r="C242" i="30"/>
  <c r="D242" i="30"/>
  <c r="E242" i="30"/>
  <c r="F242" i="30"/>
  <c r="G242" i="30"/>
  <c r="H242" i="30"/>
  <c r="I242" i="30"/>
  <c r="J242" i="30"/>
  <c r="K242" i="30"/>
  <c r="L242" i="30"/>
  <c r="M242" i="30"/>
  <c r="N242" i="30"/>
  <c r="O242" i="30"/>
  <c r="P242" i="30"/>
  <c r="Q242" i="30"/>
  <c r="R242" i="30"/>
  <c r="C243" i="30"/>
  <c r="D243" i="30"/>
  <c r="E243" i="30"/>
  <c r="F243" i="30"/>
  <c r="G243" i="30"/>
  <c r="H243" i="30"/>
  <c r="I243" i="30"/>
  <c r="J243" i="30"/>
  <c r="K243" i="30"/>
  <c r="L243" i="30"/>
  <c r="M243" i="30"/>
  <c r="N243" i="30"/>
  <c r="O243" i="30"/>
  <c r="P243" i="30"/>
  <c r="Q243" i="30"/>
  <c r="R243" i="30"/>
  <c r="C244" i="30"/>
  <c r="D244" i="30"/>
  <c r="E244" i="30"/>
  <c r="F244" i="30"/>
  <c r="G244" i="30"/>
  <c r="H244" i="30"/>
  <c r="I244" i="30"/>
  <c r="J244" i="30"/>
  <c r="K244" i="30"/>
  <c r="L244" i="30"/>
  <c r="M244" i="30"/>
  <c r="N244" i="30"/>
  <c r="O244" i="30"/>
  <c r="P244" i="30"/>
  <c r="Q244" i="30"/>
  <c r="R244" i="30"/>
  <c r="C245" i="30"/>
  <c r="D245" i="30"/>
  <c r="E245" i="30"/>
  <c r="F245" i="30"/>
  <c r="G245" i="30"/>
  <c r="H245" i="30"/>
  <c r="I245" i="30"/>
  <c r="J245" i="30"/>
  <c r="K245" i="30"/>
  <c r="L245" i="30"/>
  <c r="M245" i="30"/>
  <c r="N245" i="30"/>
  <c r="O245" i="30"/>
  <c r="P245" i="30"/>
  <c r="Q245" i="30"/>
  <c r="R245" i="30"/>
  <c r="C246" i="30"/>
  <c r="D246" i="30"/>
  <c r="E246" i="30"/>
  <c r="F246" i="30"/>
  <c r="G246" i="30"/>
  <c r="H246" i="30"/>
  <c r="I246" i="30"/>
  <c r="J246" i="30"/>
  <c r="K246" i="30"/>
  <c r="L246" i="30"/>
  <c r="M246" i="30"/>
  <c r="N246" i="30"/>
  <c r="O246" i="30"/>
  <c r="P246" i="30"/>
  <c r="Q246" i="30"/>
  <c r="R246" i="30"/>
  <c r="C247" i="30"/>
  <c r="D247" i="30"/>
  <c r="E247" i="30"/>
  <c r="F247" i="30"/>
  <c r="G247" i="30"/>
  <c r="H247" i="30"/>
  <c r="I247" i="30"/>
  <c r="J247" i="30"/>
  <c r="K247" i="30"/>
  <c r="L247" i="30"/>
  <c r="M247" i="30"/>
  <c r="N247" i="30"/>
  <c r="O247" i="30"/>
  <c r="P247" i="30"/>
  <c r="Q247" i="30"/>
  <c r="R247" i="30"/>
  <c r="C248" i="30"/>
  <c r="D248" i="30"/>
  <c r="E248" i="30"/>
  <c r="F248" i="30"/>
  <c r="G248" i="30"/>
  <c r="H248" i="30"/>
  <c r="I248" i="30"/>
  <c r="J248" i="30"/>
  <c r="K248" i="30"/>
  <c r="L248" i="30"/>
  <c r="M248" i="30"/>
  <c r="N248" i="30"/>
  <c r="O248" i="30"/>
  <c r="P248" i="30"/>
  <c r="Q248" i="30"/>
  <c r="R248" i="30"/>
  <c r="C249" i="30"/>
  <c r="D249" i="30"/>
  <c r="E249" i="30"/>
  <c r="F249" i="30"/>
  <c r="G249" i="30"/>
  <c r="H249" i="30"/>
  <c r="I249" i="30"/>
  <c r="J249" i="30"/>
  <c r="K249" i="30"/>
  <c r="L249" i="30"/>
  <c r="M249" i="30"/>
  <c r="N249" i="30"/>
  <c r="O249" i="30"/>
  <c r="P249" i="30"/>
  <c r="Q249" i="30"/>
  <c r="R249" i="30"/>
  <c r="C250" i="30"/>
  <c r="D250" i="30"/>
  <c r="E250" i="30"/>
  <c r="F250" i="30"/>
  <c r="G250" i="30"/>
  <c r="H250" i="30"/>
  <c r="I250" i="30"/>
  <c r="J250" i="30"/>
  <c r="K250" i="30"/>
  <c r="L250" i="30"/>
  <c r="M250" i="30"/>
  <c r="N250" i="30"/>
  <c r="O250" i="30"/>
  <c r="P250" i="30"/>
  <c r="Q250" i="30"/>
  <c r="R250" i="30"/>
  <c r="C251" i="30"/>
  <c r="D251" i="30"/>
  <c r="E251" i="30"/>
  <c r="F251" i="30"/>
  <c r="G251" i="30"/>
  <c r="H251" i="30"/>
  <c r="I251" i="30"/>
  <c r="J251" i="30"/>
  <c r="K251" i="30"/>
  <c r="L251" i="30"/>
  <c r="M251" i="30"/>
  <c r="N251" i="30"/>
  <c r="O251" i="30"/>
  <c r="P251" i="30"/>
  <c r="Q251" i="30"/>
  <c r="R251" i="30"/>
  <c r="C252" i="30"/>
  <c r="D252" i="30"/>
  <c r="E252" i="30"/>
  <c r="F252" i="30"/>
  <c r="G252" i="30"/>
  <c r="H252" i="30"/>
  <c r="I252" i="30"/>
  <c r="J252" i="30"/>
  <c r="K252" i="30"/>
  <c r="L252" i="30"/>
  <c r="M252" i="30"/>
  <c r="N252" i="30"/>
  <c r="O252" i="30"/>
  <c r="P252" i="30"/>
  <c r="Q252" i="30"/>
  <c r="R252" i="30"/>
  <c r="C253" i="30"/>
  <c r="D253" i="30"/>
  <c r="E253" i="30"/>
  <c r="F253" i="30"/>
  <c r="G253" i="30"/>
  <c r="H253" i="30"/>
  <c r="I253" i="30"/>
  <c r="J253" i="30"/>
  <c r="K253" i="30"/>
  <c r="L253" i="30"/>
  <c r="M253" i="30"/>
  <c r="N253" i="30"/>
  <c r="O253" i="30"/>
  <c r="P253" i="30"/>
  <c r="Q253" i="30"/>
  <c r="R253" i="30"/>
  <c r="C254" i="30"/>
  <c r="D254" i="30"/>
  <c r="E254" i="30"/>
  <c r="F254" i="30"/>
  <c r="G254" i="30"/>
  <c r="H254" i="30"/>
  <c r="I254" i="30"/>
  <c r="J254" i="30"/>
  <c r="K254" i="30"/>
  <c r="L254" i="30"/>
  <c r="M254" i="30"/>
  <c r="N254" i="30"/>
  <c r="O254" i="30"/>
  <c r="P254" i="30"/>
  <c r="Q254" i="30"/>
  <c r="R254" i="30"/>
  <c r="C255" i="30"/>
  <c r="D255" i="30"/>
  <c r="E255" i="30"/>
  <c r="F255" i="30"/>
  <c r="G255" i="30"/>
  <c r="H255" i="30"/>
  <c r="I255" i="30"/>
  <c r="J255" i="30"/>
  <c r="K255" i="30"/>
  <c r="L255" i="30"/>
  <c r="M255" i="30"/>
  <c r="N255" i="30"/>
  <c r="O255" i="30"/>
  <c r="P255" i="30"/>
  <c r="Q255" i="30"/>
  <c r="R255" i="30"/>
  <c r="C256" i="30"/>
  <c r="D256" i="30"/>
  <c r="E256" i="30"/>
  <c r="F256" i="30"/>
  <c r="G256" i="30"/>
  <c r="H256" i="30"/>
  <c r="I256" i="30"/>
  <c r="J256" i="30"/>
  <c r="K256" i="30"/>
  <c r="L256" i="30"/>
  <c r="M256" i="30"/>
  <c r="N256" i="30"/>
  <c r="O256" i="30"/>
  <c r="P256" i="30"/>
  <c r="Q256" i="30"/>
  <c r="R256" i="30"/>
  <c r="C257" i="30"/>
  <c r="D257" i="30"/>
  <c r="E257" i="30"/>
  <c r="F257" i="30"/>
  <c r="G257" i="30"/>
  <c r="H257" i="30"/>
  <c r="I257" i="30"/>
  <c r="J257" i="30"/>
  <c r="K257" i="30"/>
  <c r="L257" i="30"/>
  <c r="M257" i="30"/>
  <c r="N257" i="30"/>
  <c r="O257" i="30"/>
  <c r="P257" i="30"/>
  <c r="Q257" i="30"/>
  <c r="R257" i="30"/>
  <c r="C258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P258" i="30"/>
  <c r="Q258" i="30"/>
  <c r="R258" i="30"/>
  <c r="C259" i="30"/>
  <c r="D259" i="30"/>
  <c r="E259" i="30"/>
  <c r="F259" i="30"/>
  <c r="G259" i="30"/>
  <c r="H259" i="30"/>
  <c r="I259" i="30"/>
  <c r="J259" i="30"/>
  <c r="K259" i="30"/>
  <c r="L259" i="30"/>
  <c r="M259" i="30"/>
  <c r="N259" i="30"/>
  <c r="O259" i="30"/>
  <c r="P259" i="30"/>
  <c r="Q259" i="30"/>
  <c r="R259" i="30"/>
  <c r="C260" i="30"/>
  <c r="D260" i="30"/>
  <c r="E260" i="30"/>
  <c r="F260" i="30"/>
  <c r="G260" i="30"/>
  <c r="H260" i="30"/>
  <c r="I260" i="30"/>
  <c r="J260" i="30"/>
  <c r="K260" i="30"/>
  <c r="L260" i="30"/>
  <c r="M260" i="30"/>
  <c r="N260" i="30"/>
  <c r="O260" i="30"/>
  <c r="P260" i="30"/>
  <c r="Q260" i="30"/>
  <c r="R260" i="30"/>
  <c r="C261" i="30"/>
  <c r="D261" i="30"/>
  <c r="E261" i="30"/>
  <c r="F261" i="30"/>
  <c r="G261" i="30"/>
  <c r="H261" i="30"/>
  <c r="I261" i="30"/>
  <c r="J261" i="30"/>
  <c r="K261" i="30"/>
  <c r="L261" i="30"/>
  <c r="M261" i="30"/>
  <c r="N261" i="30"/>
  <c r="O261" i="30"/>
  <c r="P261" i="30"/>
  <c r="Q261" i="30"/>
  <c r="R261" i="30"/>
  <c r="C262" i="30"/>
  <c r="D262" i="30"/>
  <c r="E262" i="30"/>
  <c r="F262" i="30"/>
  <c r="G262" i="30"/>
  <c r="H262" i="30"/>
  <c r="I262" i="30"/>
  <c r="J262" i="30"/>
  <c r="K262" i="30"/>
  <c r="L262" i="30"/>
  <c r="M262" i="30"/>
  <c r="N262" i="30"/>
  <c r="O262" i="30"/>
  <c r="P262" i="30"/>
  <c r="Q262" i="30"/>
  <c r="R262" i="30"/>
  <c r="C263" i="30"/>
  <c r="D263" i="30"/>
  <c r="E263" i="30"/>
  <c r="F263" i="30"/>
  <c r="G263" i="30"/>
  <c r="H263" i="30"/>
  <c r="I263" i="30"/>
  <c r="J263" i="30"/>
  <c r="K263" i="30"/>
  <c r="L263" i="30"/>
  <c r="M263" i="30"/>
  <c r="N263" i="30"/>
  <c r="O263" i="30"/>
  <c r="P263" i="30"/>
  <c r="Q263" i="30"/>
  <c r="R263" i="30"/>
  <c r="C264" i="30"/>
  <c r="D264" i="30"/>
  <c r="E264" i="30"/>
  <c r="F264" i="30"/>
  <c r="G264" i="30"/>
  <c r="H264" i="30"/>
  <c r="I264" i="30"/>
  <c r="J264" i="30"/>
  <c r="K264" i="30"/>
  <c r="L264" i="30"/>
  <c r="M264" i="30"/>
  <c r="N264" i="30"/>
  <c r="O264" i="30"/>
  <c r="P264" i="30"/>
  <c r="Q264" i="30"/>
  <c r="R264" i="30"/>
  <c r="C265" i="30"/>
  <c r="D265" i="30"/>
  <c r="E265" i="30"/>
  <c r="F265" i="30"/>
  <c r="G265" i="30"/>
  <c r="H265" i="30"/>
  <c r="I265" i="30"/>
  <c r="J265" i="30"/>
  <c r="K265" i="30"/>
  <c r="L265" i="30"/>
  <c r="M265" i="30"/>
  <c r="N265" i="30"/>
  <c r="O265" i="30"/>
  <c r="P265" i="30"/>
  <c r="Q265" i="30"/>
  <c r="R265" i="30"/>
  <c r="C266" i="30"/>
  <c r="D266" i="30"/>
  <c r="E266" i="30"/>
  <c r="F266" i="30"/>
  <c r="G266" i="30"/>
  <c r="H266" i="30"/>
  <c r="I266" i="30"/>
  <c r="J266" i="30"/>
  <c r="K266" i="30"/>
  <c r="L266" i="30"/>
  <c r="M266" i="30"/>
  <c r="N266" i="30"/>
  <c r="O266" i="30"/>
  <c r="P266" i="30"/>
  <c r="Q266" i="30"/>
  <c r="R266" i="30"/>
  <c r="C267" i="30"/>
  <c r="D267" i="30"/>
  <c r="E267" i="30"/>
  <c r="F267" i="30"/>
  <c r="G267" i="30"/>
  <c r="H267" i="30"/>
  <c r="I267" i="30"/>
  <c r="J267" i="30"/>
  <c r="K267" i="30"/>
  <c r="L267" i="30"/>
  <c r="M267" i="30"/>
  <c r="N267" i="30"/>
  <c r="O267" i="30"/>
  <c r="P267" i="30"/>
  <c r="Q267" i="30"/>
  <c r="R267" i="30"/>
  <c r="C268" i="30"/>
  <c r="D268" i="30"/>
  <c r="E268" i="30"/>
  <c r="F268" i="30"/>
  <c r="G268" i="30"/>
  <c r="H268" i="30"/>
  <c r="I268" i="30"/>
  <c r="J268" i="30"/>
  <c r="K268" i="30"/>
  <c r="L268" i="30"/>
  <c r="M268" i="30"/>
  <c r="N268" i="30"/>
  <c r="O268" i="30"/>
  <c r="P268" i="30"/>
  <c r="Q268" i="30"/>
  <c r="R268" i="30"/>
  <c r="C269" i="30"/>
  <c r="D269" i="30"/>
  <c r="E269" i="30"/>
  <c r="F269" i="30"/>
  <c r="G269" i="30"/>
  <c r="H269" i="30"/>
  <c r="I269" i="30"/>
  <c r="J269" i="30"/>
  <c r="K269" i="30"/>
  <c r="L269" i="30"/>
  <c r="M269" i="30"/>
  <c r="N269" i="30"/>
  <c r="O269" i="30"/>
  <c r="P269" i="30"/>
  <c r="Q269" i="30"/>
  <c r="R269" i="30"/>
  <c r="C270" i="30"/>
  <c r="D270" i="30"/>
  <c r="E270" i="30"/>
  <c r="F270" i="30"/>
  <c r="G270" i="30"/>
  <c r="H270" i="30"/>
  <c r="I270" i="30"/>
  <c r="J270" i="30"/>
  <c r="K270" i="30"/>
  <c r="L270" i="30"/>
  <c r="M270" i="30"/>
  <c r="N270" i="30"/>
  <c r="O270" i="30"/>
  <c r="P270" i="30"/>
  <c r="Q270" i="30"/>
  <c r="R270" i="30"/>
  <c r="C271" i="30"/>
  <c r="D271" i="30"/>
  <c r="E271" i="30"/>
  <c r="F271" i="30"/>
  <c r="G271" i="30"/>
  <c r="H271" i="30"/>
  <c r="I271" i="30"/>
  <c r="J271" i="30"/>
  <c r="K271" i="30"/>
  <c r="L271" i="30"/>
  <c r="M271" i="30"/>
  <c r="N271" i="30"/>
  <c r="O271" i="30"/>
  <c r="P271" i="30"/>
  <c r="Q271" i="30"/>
  <c r="R271" i="30"/>
  <c r="C272" i="30"/>
  <c r="D272" i="30"/>
  <c r="E272" i="30"/>
  <c r="F272" i="30"/>
  <c r="G272" i="30"/>
  <c r="H272" i="30"/>
  <c r="I272" i="30"/>
  <c r="J272" i="30"/>
  <c r="K272" i="30"/>
  <c r="L272" i="30"/>
  <c r="M272" i="30"/>
  <c r="N272" i="30"/>
  <c r="O272" i="30"/>
  <c r="P272" i="30"/>
  <c r="Q272" i="30"/>
  <c r="R272" i="30"/>
  <c r="C273" i="30"/>
  <c r="D273" i="30"/>
  <c r="E273" i="30"/>
  <c r="F273" i="30"/>
  <c r="G273" i="30"/>
  <c r="H273" i="30"/>
  <c r="I273" i="30"/>
  <c r="J273" i="30"/>
  <c r="K273" i="30"/>
  <c r="L273" i="30"/>
  <c r="M273" i="30"/>
  <c r="N273" i="30"/>
  <c r="O273" i="30"/>
  <c r="P273" i="30"/>
  <c r="Q273" i="30"/>
  <c r="R273" i="30"/>
  <c r="C274" i="30"/>
  <c r="D274" i="30"/>
  <c r="E274" i="30"/>
  <c r="F274" i="30"/>
  <c r="G274" i="30"/>
  <c r="H274" i="30"/>
  <c r="I274" i="30"/>
  <c r="J274" i="30"/>
  <c r="K274" i="30"/>
  <c r="L274" i="30"/>
  <c r="M274" i="30"/>
  <c r="N274" i="30"/>
  <c r="O274" i="30"/>
  <c r="P274" i="30"/>
  <c r="Q274" i="30"/>
  <c r="R274" i="30"/>
  <c r="C275" i="30"/>
  <c r="D275" i="30"/>
  <c r="E275" i="30"/>
  <c r="F275" i="30"/>
  <c r="G275" i="30"/>
  <c r="H275" i="30"/>
  <c r="I275" i="30"/>
  <c r="J275" i="30"/>
  <c r="K275" i="30"/>
  <c r="L275" i="30"/>
  <c r="M275" i="30"/>
  <c r="N275" i="30"/>
  <c r="O275" i="30"/>
  <c r="P275" i="30"/>
  <c r="Q275" i="30"/>
  <c r="R275" i="30"/>
  <c r="C276" i="30"/>
  <c r="D276" i="30"/>
  <c r="E276" i="30"/>
  <c r="F276" i="30"/>
  <c r="G276" i="30"/>
  <c r="H276" i="30"/>
  <c r="I276" i="30"/>
  <c r="J276" i="30"/>
  <c r="K276" i="30"/>
  <c r="L276" i="30"/>
  <c r="M276" i="30"/>
  <c r="N276" i="30"/>
  <c r="O276" i="30"/>
  <c r="P276" i="30"/>
  <c r="Q276" i="30"/>
  <c r="R276" i="30"/>
  <c r="C277" i="30"/>
  <c r="D277" i="30"/>
  <c r="E277" i="30"/>
  <c r="F277" i="30"/>
  <c r="G277" i="30"/>
  <c r="H277" i="30"/>
  <c r="I277" i="30"/>
  <c r="J277" i="30"/>
  <c r="K277" i="30"/>
  <c r="L277" i="30"/>
  <c r="M277" i="30"/>
  <c r="N277" i="30"/>
  <c r="O277" i="30"/>
  <c r="P277" i="30"/>
  <c r="Q277" i="30"/>
  <c r="R277" i="30"/>
  <c r="C278" i="30"/>
  <c r="D278" i="30"/>
  <c r="E278" i="30"/>
  <c r="F278" i="30"/>
  <c r="G278" i="30"/>
  <c r="H278" i="30"/>
  <c r="I278" i="30"/>
  <c r="J278" i="30"/>
  <c r="K278" i="30"/>
  <c r="L278" i="30"/>
  <c r="M278" i="30"/>
  <c r="N278" i="30"/>
  <c r="O278" i="30"/>
  <c r="P278" i="30"/>
  <c r="Q278" i="30"/>
  <c r="R278" i="30"/>
  <c r="C279" i="30"/>
  <c r="D279" i="30"/>
  <c r="E279" i="30"/>
  <c r="F279" i="30"/>
  <c r="G279" i="30"/>
  <c r="H279" i="30"/>
  <c r="I279" i="30"/>
  <c r="J279" i="30"/>
  <c r="K279" i="30"/>
  <c r="L279" i="30"/>
  <c r="M279" i="30"/>
  <c r="N279" i="30"/>
  <c r="O279" i="30"/>
  <c r="P279" i="30"/>
  <c r="Q279" i="30"/>
  <c r="R279" i="30"/>
  <c r="C280" i="30"/>
  <c r="D280" i="30"/>
  <c r="E280" i="30"/>
  <c r="F280" i="30"/>
  <c r="G280" i="30"/>
  <c r="H280" i="30"/>
  <c r="I280" i="30"/>
  <c r="J280" i="30"/>
  <c r="K280" i="30"/>
  <c r="L280" i="30"/>
  <c r="M280" i="30"/>
  <c r="N280" i="30"/>
  <c r="O280" i="30"/>
  <c r="P280" i="30"/>
  <c r="Q280" i="30"/>
  <c r="R280" i="30"/>
  <c r="C281" i="30"/>
  <c r="D281" i="30"/>
  <c r="E281" i="30"/>
  <c r="F281" i="30"/>
  <c r="G281" i="30"/>
  <c r="H281" i="30"/>
  <c r="I281" i="30"/>
  <c r="J281" i="30"/>
  <c r="K281" i="30"/>
  <c r="L281" i="30"/>
  <c r="M281" i="30"/>
  <c r="N281" i="30"/>
  <c r="O281" i="30"/>
  <c r="P281" i="30"/>
  <c r="Q281" i="30"/>
  <c r="R281" i="30"/>
  <c r="C282" i="30"/>
  <c r="D282" i="30"/>
  <c r="E282" i="30"/>
  <c r="F282" i="30"/>
  <c r="G282" i="30"/>
  <c r="H282" i="30"/>
  <c r="I282" i="30"/>
  <c r="J282" i="30"/>
  <c r="K282" i="30"/>
  <c r="L282" i="30"/>
  <c r="M282" i="30"/>
  <c r="N282" i="30"/>
  <c r="O282" i="30"/>
  <c r="P282" i="30"/>
  <c r="Q282" i="30"/>
  <c r="R282" i="30"/>
  <c r="C283" i="30"/>
  <c r="D283" i="30"/>
  <c r="E283" i="30"/>
  <c r="F283" i="30"/>
  <c r="G283" i="30"/>
  <c r="H283" i="30"/>
  <c r="I283" i="30"/>
  <c r="J283" i="30"/>
  <c r="K283" i="30"/>
  <c r="L283" i="30"/>
  <c r="M283" i="30"/>
  <c r="N283" i="30"/>
  <c r="O283" i="30"/>
  <c r="P283" i="30"/>
  <c r="Q283" i="30"/>
  <c r="R283" i="30"/>
  <c r="C284" i="30"/>
  <c r="D284" i="30"/>
  <c r="E284" i="30"/>
  <c r="F284" i="30"/>
  <c r="G284" i="30"/>
  <c r="H284" i="30"/>
  <c r="I284" i="30"/>
  <c r="J284" i="30"/>
  <c r="K284" i="30"/>
  <c r="L284" i="30"/>
  <c r="M284" i="30"/>
  <c r="N284" i="30"/>
  <c r="O284" i="30"/>
  <c r="P284" i="30"/>
  <c r="Q284" i="30"/>
  <c r="R284" i="30"/>
  <c r="C285" i="30"/>
  <c r="D285" i="30"/>
  <c r="E285" i="30"/>
  <c r="F285" i="30"/>
  <c r="G285" i="30"/>
  <c r="H285" i="30"/>
  <c r="I285" i="30"/>
  <c r="J285" i="30"/>
  <c r="K285" i="30"/>
  <c r="L285" i="30"/>
  <c r="M285" i="30"/>
  <c r="N285" i="30"/>
  <c r="O285" i="30"/>
  <c r="P285" i="30"/>
  <c r="Q285" i="30"/>
  <c r="R285" i="30"/>
  <c r="C286" i="30"/>
  <c r="D286" i="30"/>
  <c r="E286" i="30"/>
  <c r="F286" i="30"/>
  <c r="G286" i="30"/>
  <c r="H286" i="30"/>
  <c r="I286" i="30"/>
  <c r="J286" i="30"/>
  <c r="K286" i="30"/>
  <c r="L286" i="30"/>
  <c r="M286" i="30"/>
  <c r="N286" i="30"/>
  <c r="O286" i="30"/>
  <c r="P286" i="30"/>
  <c r="Q286" i="30"/>
  <c r="R286" i="30"/>
  <c r="C287" i="30"/>
  <c r="D287" i="30"/>
  <c r="E287" i="30"/>
  <c r="F287" i="30"/>
  <c r="G287" i="30"/>
  <c r="H287" i="30"/>
  <c r="I287" i="30"/>
  <c r="J287" i="30"/>
  <c r="K287" i="30"/>
  <c r="L287" i="30"/>
  <c r="M287" i="30"/>
  <c r="N287" i="30"/>
  <c r="O287" i="30"/>
  <c r="P287" i="30"/>
  <c r="Q287" i="30"/>
  <c r="R287" i="30"/>
  <c r="C288" i="30"/>
  <c r="D288" i="30"/>
  <c r="E288" i="30"/>
  <c r="F288" i="30"/>
  <c r="G288" i="30"/>
  <c r="H288" i="30"/>
  <c r="I288" i="30"/>
  <c r="J288" i="30"/>
  <c r="K288" i="30"/>
  <c r="L288" i="30"/>
  <c r="M288" i="30"/>
  <c r="N288" i="30"/>
  <c r="O288" i="30"/>
  <c r="P288" i="30"/>
  <c r="Q288" i="30"/>
  <c r="R288" i="30"/>
  <c r="C289" i="30"/>
  <c r="D289" i="30"/>
  <c r="E289" i="30"/>
  <c r="F289" i="30"/>
  <c r="G289" i="30"/>
  <c r="H289" i="30"/>
  <c r="I289" i="30"/>
  <c r="J289" i="30"/>
  <c r="K289" i="30"/>
  <c r="L289" i="30"/>
  <c r="M289" i="30"/>
  <c r="N289" i="30"/>
  <c r="O289" i="30"/>
  <c r="P289" i="30"/>
  <c r="Q289" i="30"/>
  <c r="R289" i="30"/>
  <c r="C290" i="30"/>
  <c r="D290" i="30"/>
  <c r="E290" i="30"/>
  <c r="F290" i="30"/>
  <c r="G290" i="30"/>
  <c r="H290" i="30"/>
  <c r="I290" i="30"/>
  <c r="J290" i="30"/>
  <c r="K290" i="30"/>
  <c r="L290" i="30"/>
  <c r="M290" i="30"/>
  <c r="N290" i="30"/>
  <c r="O290" i="30"/>
  <c r="P290" i="30"/>
  <c r="Q290" i="30"/>
  <c r="R290" i="30"/>
  <c r="C291" i="30"/>
  <c r="D291" i="30"/>
  <c r="E291" i="30"/>
  <c r="F291" i="30"/>
  <c r="G291" i="30"/>
  <c r="H291" i="30"/>
  <c r="I291" i="30"/>
  <c r="J291" i="30"/>
  <c r="K291" i="30"/>
  <c r="L291" i="30"/>
  <c r="M291" i="30"/>
  <c r="N291" i="30"/>
  <c r="O291" i="30"/>
  <c r="P291" i="30"/>
  <c r="Q291" i="30"/>
  <c r="R291" i="30"/>
  <c r="C292" i="30"/>
  <c r="D292" i="30"/>
  <c r="E292" i="30"/>
  <c r="F292" i="30"/>
  <c r="G292" i="30"/>
  <c r="H292" i="30"/>
  <c r="I292" i="30"/>
  <c r="J292" i="30"/>
  <c r="K292" i="30"/>
  <c r="L292" i="30"/>
  <c r="M292" i="30"/>
  <c r="N292" i="30"/>
  <c r="O292" i="30"/>
  <c r="P292" i="30"/>
  <c r="Q292" i="30"/>
  <c r="R292" i="30"/>
  <c r="C293" i="30"/>
  <c r="D293" i="30"/>
  <c r="E293" i="30"/>
  <c r="F293" i="30"/>
  <c r="G293" i="30"/>
  <c r="H293" i="30"/>
  <c r="I293" i="30"/>
  <c r="J293" i="30"/>
  <c r="K293" i="30"/>
  <c r="L293" i="30"/>
  <c r="M293" i="30"/>
  <c r="N293" i="30"/>
  <c r="O293" i="30"/>
  <c r="P293" i="30"/>
  <c r="Q293" i="30"/>
  <c r="R293" i="30"/>
  <c r="C294" i="30"/>
  <c r="D294" i="30"/>
  <c r="E294" i="30"/>
  <c r="F294" i="30"/>
  <c r="G294" i="30"/>
  <c r="H294" i="30"/>
  <c r="I294" i="30"/>
  <c r="J294" i="30"/>
  <c r="K294" i="30"/>
  <c r="L294" i="30"/>
  <c r="M294" i="30"/>
  <c r="N294" i="30"/>
  <c r="O294" i="30"/>
  <c r="P294" i="30"/>
  <c r="Q294" i="30"/>
  <c r="R294" i="30"/>
  <c r="C295" i="30"/>
  <c r="D295" i="30"/>
  <c r="E295" i="30"/>
  <c r="F295" i="30"/>
  <c r="G295" i="30"/>
  <c r="H295" i="30"/>
  <c r="I295" i="30"/>
  <c r="J295" i="30"/>
  <c r="K295" i="30"/>
  <c r="L295" i="30"/>
  <c r="M295" i="30"/>
  <c r="N295" i="30"/>
  <c r="O295" i="30"/>
  <c r="P295" i="30"/>
  <c r="Q295" i="30"/>
  <c r="R295" i="30"/>
  <c r="C296" i="30"/>
  <c r="D296" i="30"/>
  <c r="E296" i="30"/>
  <c r="F296" i="30"/>
  <c r="G296" i="30"/>
  <c r="H296" i="30"/>
  <c r="I296" i="30"/>
  <c r="J296" i="30"/>
  <c r="K296" i="30"/>
  <c r="L296" i="30"/>
  <c r="M296" i="30"/>
  <c r="N296" i="30"/>
  <c r="O296" i="30"/>
  <c r="P296" i="30"/>
  <c r="Q296" i="30"/>
  <c r="R296" i="30"/>
  <c r="C297" i="30"/>
  <c r="D297" i="30"/>
  <c r="E297" i="30"/>
  <c r="F297" i="30"/>
  <c r="G297" i="30"/>
  <c r="H297" i="30"/>
  <c r="I297" i="30"/>
  <c r="J297" i="30"/>
  <c r="K297" i="30"/>
  <c r="L297" i="30"/>
  <c r="M297" i="30"/>
  <c r="N297" i="30"/>
  <c r="O297" i="30"/>
  <c r="P297" i="30"/>
  <c r="Q297" i="30"/>
  <c r="R297" i="30"/>
  <c r="C298" i="30"/>
  <c r="D298" i="30"/>
  <c r="E298" i="30"/>
  <c r="F298" i="30"/>
  <c r="G298" i="30"/>
  <c r="H298" i="30"/>
  <c r="I298" i="30"/>
  <c r="J298" i="30"/>
  <c r="K298" i="30"/>
  <c r="L298" i="30"/>
  <c r="M298" i="30"/>
  <c r="N298" i="30"/>
  <c r="O298" i="30"/>
  <c r="P298" i="30"/>
  <c r="Q298" i="30"/>
  <c r="R298" i="30"/>
  <c r="C299" i="30"/>
  <c r="D299" i="30"/>
  <c r="E299" i="30"/>
  <c r="F299" i="30"/>
  <c r="G299" i="30"/>
  <c r="H299" i="30"/>
  <c r="I299" i="30"/>
  <c r="J299" i="30"/>
  <c r="K299" i="30"/>
  <c r="L299" i="30"/>
  <c r="M299" i="30"/>
  <c r="N299" i="30"/>
  <c r="O299" i="30"/>
  <c r="P299" i="30"/>
  <c r="Q299" i="30"/>
  <c r="R299" i="30"/>
  <c r="C300" i="30"/>
  <c r="D300" i="30"/>
  <c r="E300" i="30"/>
  <c r="F300" i="30"/>
  <c r="G300" i="30"/>
  <c r="H300" i="30"/>
  <c r="I300" i="30"/>
  <c r="J300" i="30"/>
  <c r="K300" i="30"/>
  <c r="L300" i="30"/>
  <c r="M300" i="30"/>
  <c r="N300" i="30"/>
  <c r="O300" i="30"/>
  <c r="P300" i="30"/>
  <c r="Q300" i="30"/>
  <c r="R300" i="30"/>
  <c r="C301" i="30"/>
  <c r="D301" i="30"/>
  <c r="E301" i="30"/>
  <c r="F301" i="30"/>
  <c r="G301" i="30"/>
  <c r="H301" i="30"/>
  <c r="I301" i="30"/>
  <c r="J301" i="30"/>
  <c r="K301" i="30"/>
  <c r="L301" i="30"/>
  <c r="M301" i="30"/>
  <c r="N301" i="30"/>
  <c r="O301" i="30"/>
  <c r="P301" i="30"/>
  <c r="Q301" i="30"/>
  <c r="R301" i="30"/>
  <c r="C302" i="30"/>
  <c r="D302" i="30"/>
  <c r="E302" i="30"/>
  <c r="F302" i="30"/>
  <c r="G302" i="30"/>
  <c r="H302" i="30"/>
  <c r="I302" i="30"/>
  <c r="J302" i="30"/>
  <c r="K302" i="30"/>
  <c r="L302" i="30"/>
  <c r="M302" i="30"/>
  <c r="N302" i="30"/>
  <c r="O302" i="30"/>
  <c r="P302" i="30"/>
  <c r="Q302" i="30"/>
  <c r="R302" i="30"/>
  <c r="C303" i="30"/>
  <c r="D303" i="30"/>
  <c r="E303" i="30"/>
  <c r="F303" i="30"/>
  <c r="G303" i="30"/>
  <c r="H303" i="30"/>
  <c r="I303" i="30"/>
  <c r="J303" i="30"/>
  <c r="K303" i="30"/>
  <c r="L303" i="30"/>
  <c r="M303" i="30"/>
  <c r="N303" i="30"/>
  <c r="O303" i="30"/>
  <c r="P303" i="30"/>
  <c r="Q303" i="30"/>
  <c r="R303" i="30"/>
  <c r="C304" i="30"/>
  <c r="D304" i="30"/>
  <c r="E304" i="30"/>
  <c r="F304" i="30"/>
  <c r="G304" i="30"/>
  <c r="H304" i="30"/>
  <c r="I304" i="30"/>
  <c r="J304" i="30"/>
  <c r="K304" i="30"/>
  <c r="L304" i="30"/>
  <c r="M304" i="30"/>
  <c r="N304" i="30"/>
  <c r="O304" i="30"/>
  <c r="P304" i="30"/>
  <c r="Q304" i="30"/>
  <c r="R304" i="30"/>
  <c r="C305" i="30"/>
  <c r="D305" i="30"/>
  <c r="E305" i="30"/>
  <c r="F305" i="30"/>
  <c r="G305" i="30"/>
  <c r="H305" i="30"/>
  <c r="I305" i="30"/>
  <c r="J305" i="30"/>
  <c r="K305" i="30"/>
  <c r="L305" i="30"/>
  <c r="M305" i="30"/>
  <c r="N305" i="30"/>
  <c r="O305" i="30"/>
  <c r="P305" i="30"/>
  <c r="Q305" i="30"/>
  <c r="R305" i="30"/>
  <c r="C306" i="30"/>
  <c r="D306" i="30"/>
  <c r="E306" i="30"/>
  <c r="F306" i="30"/>
  <c r="G306" i="30"/>
  <c r="H306" i="30"/>
  <c r="I306" i="30"/>
  <c r="J306" i="30"/>
  <c r="K306" i="30"/>
  <c r="L306" i="30"/>
  <c r="M306" i="30"/>
  <c r="N306" i="30"/>
  <c r="O306" i="30"/>
  <c r="P306" i="30"/>
  <c r="Q306" i="30"/>
  <c r="R306" i="30"/>
  <c r="C307" i="30"/>
  <c r="D307" i="30"/>
  <c r="E307" i="30"/>
  <c r="F307" i="30"/>
  <c r="G307" i="30"/>
  <c r="H307" i="30"/>
  <c r="I307" i="30"/>
  <c r="J307" i="30"/>
  <c r="K307" i="30"/>
  <c r="L307" i="30"/>
  <c r="M307" i="30"/>
  <c r="N307" i="30"/>
  <c r="O307" i="30"/>
  <c r="P307" i="30"/>
  <c r="Q307" i="30"/>
  <c r="R307" i="30"/>
  <c r="C308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P308" i="30"/>
  <c r="Q308" i="30"/>
  <c r="R308" i="30"/>
  <c r="C309" i="30"/>
  <c r="D309" i="30"/>
  <c r="E309" i="30"/>
  <c r="F309" i="30"/>
  <c r="G309" i="30"/>
  <c r="H309" i="30"/>
  <c r="I309" i="30"/>
  <c r="J309" i="30"/>
  <c r="K309" i="30"/>
  <c r="L309" i="30"/>
  <c r="M309" i="30"/>
  <c r="N309" i="30"/>
  <c r="O309" i="30"/>
  <c r="P309" i="30"/>
  <c r="Q309" i="30"/>
  <c r="R309" i="30"/>
  <c r="C310" i="30"/>
  <c r="D310" i="30"/>
  <c r="E310" i="30"/>
  <c r="F310" i="30"/>
  <c r="G310" i="30"/>
  <c r="H310" i="30"/>
  <c r="I310" i="30"/>
  <c r="J310" i="30"/>
  <c r="K310" i="30"/>
  <c r="L310" i="30"/>
  <c r="M310" i="30"/>
  <c r="N310" i="30"/>
  <c r="O310" i="30"/>
  <c r="P310" i="30"/>
  <c r="Q310" i="30"/>
  <c r="R310" i="30"/>
  <c r="C311" i="30"/>
  <c r="D311" i="30"/>
  <c r="E311" i="30"/>
  <c r="F311" i="30"/>
  <c r="G311" i="30"/>
  <c r="H311" i="30"/>
  <c r="I311" i="30"/>
  <c r="J311" i="30"/>
  <c r="K311" i="30"/>
  <c r="L311" i="30"/>
  <c r="M311" i="30"/>
  <c r="N311" i="30"/>
  <c r="O311" i="30"/>
  <c r="P311" i="30"/>
  <c r="Q311" i="30"/>
  <c r="R311" i="30"/>
  <c r="C312" i="30"/>
  <c r="D312" i="30"/>
  <c r="E312" i="30"/>
  <c r="F312" i="30"/>
  <c r="G312" i="30"/>
  <c r="H312" i="30"/>
  <c r="I312" i="30"/>
  <c r="J312" i="30"/>
  <c r="K312" i="30"/>
  <c r="L312" i="30"/>
  <c r="M312" i="30"/>
  <c r="N312" i="30"/>
  <c r="O312" i="30"/>
  <c r="P312" i="30"/>
  <c r="Q312" i="30"/>
  <c r="R312" i="30"/>
  <c r="C313" i="30"/>
  <c r="D313" i="30"/>
  <c r="E313" i="30"/>
  <c r="F313" i="30"/>
  <c r="G313" i="30"/>
  <c r="H313" i="30"/>
  <c r="I313" i="30"/>
  <c r="J313" i="30"/>
  <c r="K313" i="30"/>
  <c r="L313" i="30"/>
  <c r="M313" i="30"/>
  <c r="N313" i="30"/>
  <c r="O313" i="30"/>
  <c r="P313" i="30"/>
  <c r="Q313" i="30"/>
  <c r="R313" i="30"/>
  <c r="C314" i="30"/>
  <c r="D314" i="30"/>
  <c r="E314" i="30"/>
  <c r="F314" i="30"/>
  <c r="G314" i="30"/>
  <c r="H314" i="30"/>
  <c r="I314" i="30"/>
  <c r="J314" i="30"/>
  <c r="K314" i="30"/>
  <c r="L314" i="30"/>
  <c r="M314" i="30"/>
  <c r="N314" i="30"/>
  <c r="O314" i="30"/>
  <c r="P314" i="30"/>
  <c r="Q314" i="30"/>
  <c r="R314" i="30"/>
  <c r="C315" i="30"/>
  <c r="D315" i="30"/>
  <c r="E315" i="30"/>
  <c r="F315" i="30"/>
  <c r="G315" i="30"/>
  <c r="H315" i="30"/>
  <c r="I315" i="30"/>
  <c r="J315" i="30"/>
  <c r="K315" i="30"/>
  <c r="L315" i="30"/>
  <c r="M315" i="30"/>
  <c r="N315" i="30"/>
  <c r="O315" i="30"/>
  <c r="P315" i="30"/>
  <c r="Q315" i="30"/>
  <c r="R315" i="30"/>
  <c r="C316" i="30"/>
  <c r="D316" i="30"/>
  <c r="E316" i="30"/>
  <c r="F316" i="30"/>
  <c r="G316" i="30"/>
  <c r="H316" i="30"/>
  <c r="I316" i="30"/>
  <c r="J316" i="30"/>
  <c r="K316" i="30"/>
  <c r="L316" i="30"/>
  <c r="M316" i="30"/>
  <c r="N316" i="30"/>
  <c r="O316" i="30"/>
  <c r="P316" i="30"/>
  <c r="Q316" i="30"/>
  <c r="R316" i="30"/>
  <c r="C317" i="30"/>
  <c r="D317" i="30"/>
  <c r="E317" i="30"/>
  <c r="F317" i="30"/>
  <c r="G317" i="30"/>
  <c r="H317" i="30"/>
  <c r="I317" i="30"/>
  <c r="J317" i="30"/>
  <c r="K317" i="30"/>
  <c r="L317" i="30"/>
  <c r="M317" i="30"/>
  <c r="N317" i="30"/>
  <c r="O317" i="30"/>
  <c r="P317" i="30"/>
  <c r="Q317" i="30"/>
  <c r="R317" i="30"/>
  <c r="C318" i="30"/>
  <c r="D318" i="30"/>
  <c r="E318" i="30"/>
  <c r="F318" i="30"/>
  <c r="G318" i="30"/>
  <c r="H318" i="30"/>
  <c r="I318" i="30"/>
  <c r="J318" i="30"/>
  <c r="K318" i="30"/>
  <c r="L318" i="30"/>
  <c r="M318" i="30"/>
  <c r="N318" i="30"/>
  <c r="O318" i="30"/>
  <c r="P318" i="30"/>
  <c r="Q318" i="30"/>
  <c r="R318" i="30"/>
  <c r="C319" i="30"/>
  <c r="D319" i="30"/>
  <c r="E319" i="30"/>
  <c r="F319" i="30"/>
  <c r="G319" i="30"/>
  <c r="H319" i="30"/>
  <c r="I319" i="30"/>
  <c r="J319" i="30"/>
  <c r="K319" i="30"/>
  <c r="L319" i="30"/>
  <c r="M319" i="30"/>
  <c r="N319" i="30"/>
  <c r="O319" i="30"/>
  <c r="P319" i="30"/>
  <c r="Q319" i="30"/>
  <c r="R319" i="30"/>
  <c r="C320" i="30"/>
  <c r="D320" i="30"/>
  <c r="E320" i="30"/>
  <c r="F320" i="30"/>
  <c r="G320" i="30"/>
  <c r="H320" i="30"/>
  <c r="I320" i="30"/>
  <c r="J320" i="30"/>
  <c r="K320" i="30"/>
  <c r="L320" i="30"/>
  <c r="M320" i="30"/>
  <c r="N320" i="30"/>
  <c r="O320" i="30"/>
  <c r="P320" i="30"/>
  <c r="Q320" i="30"/>
  <c r="R320" i="30"/>
  <c r="C321" i="30"/>
  <c r="D321" i="30"/>
  <c r="E321" i="30"/>
  <c r="F321" i="30"/>
  <c r="G321" i="30"/>
  <c r="H321" i="30"/>
  <c r="I321" i="30"/>
  <c r="J321" i="30"/>
  <c r="K321" i="30"/>
  <c r="L321" i="30"/>
  <c r="M321" i="30"/>
  <c r="N321" i="30"/>
  <c r="O321" i="30"/>
  <c r="P321" i="30"/>
  <c r="Q321" i="30"/>
  <c r="R321" i="30"/>
  <c r="C322" i="30"/>
  <c r="D322" i="30"/>
  <c r="E322" i="30"/>
  <c r="F322" i="30"/>
  <c r="G322" i="30"/>
  <c r="H322" i="30"/>
  <c r="I322" i="30"/>
  <c r="J322" i="30"/>
  <c r="K322" i="30"/>
  <c r="L322" i="30"/>
  <c r="M322" i="30"/>
  <c r="N322" i="30"/>
  <c r="O322" i="30"/>
  <c r="P322" i="30"/>
  <c r="Q322" i="30"/>
  <c r="R322" i="30"/>
  <c r="C323" i="30"/>
  <c r="D323" i="30"/>
  <c r="E323" i="30"/>
  <c r="F323" i="30"/>
  <c r="G323" i="30"/>
  <c r="H323" i="30"/>
  <c r="I323" i="30"/>
  <c r="J323" i="30"/>
  <c r="K323" i="30"/>
  <c r="L323" i="30"/>
  <c r="M323" i="30"/>
  <c r="N323" i="30"/>
  <c r="O323" i="30"/>
  <c r="P323" i="30"/>
  <c r="Q323" i="30"/>
  <c r="R323" i="30"/>
  <c r="C324" i="30"/>
  <c r="D324" i="30"/>
  <c r="E324" i="30"/>
  <c r="F324" i="30"/>
  <c r="G324" i="30"/>
  <c r="H324" i="30"/>
  <c r="I324" i="30"/>
  <c r="J324" i="30"/>
  <c r="K324" i="30"/>
  <c r="L324" i="30"/>
  <c r="M324" i="30"/>
  <c r="N324" i="30"/>
  <c r="O324" i="30"/>
  <c r="P324" i="30"/>
  <c r="Q324" i="30"/>
  <c r="R324" i="30"/>
  <c r="C325" i="30"/>
  <c r="D325" i="30"/>
  <c r="E325" i="30"/>
  <c r="F325" i="30"/>
  <c r="G325" i="30"/>
  <c r="H325" i="30"/>
  <c r="I325" i="30"/>
  <c r="J325" i="30"/>
  <c r="K325" i="30"/>
  <c r="L325" i="30"/>
  <c r="M325" i="30"/>
  <c r="N325" i="30"/>
  <c r="O325" i="30"/>
  <c r="P325" i="30"/>
  <c r="Q325" i="30"/>
  <c r="R325" i="30"/>
  <c r="C326" i="30"/>
  <c r="D326" i="30"/>
  <c r="E326" i="30"/>
  <c r="F326" i="30"/>
  <c r="G326" i="30"/>
  <c r="H326" i="30"/>
  <c r="I326" i="30"/>
  <c r="J326" i="30"/>
  <c r="K326" i="30"/>
  <c r="L326" i="30"/>
  <c r="M326" i="30"/>
  <c r="N326" i="30"/>
  <c r="O326" i="30"/>
  <c r="P326" i="30"/>
  <c r="Q326" i="30"/>
  <c r="R326" i="30"/>
  <c r="C327" i="30"/>
  <c r="D327" i="30"/>
  <c r="E327" i="30"/>
  <c r="F327" i="30"/>
  <c r="G327" i="30"/>
  <c r="H327" i="30"/>
  <c r="I327" i="30"/>
  <c r="J327" i="30"/>
  <c r="K327" i="30"/>
  <c r="L327" i="30"/>
  <c r="M327" i="30"/>
  <c r="N327" i="30"/>
  <c r="O327" i="30"/>
  <c r="P327" i="30"/>
  <c r="Q327" i="30"/>
  <c r="R327" i="30"/>
  <c r="C328" i="30"/>
  <c r="D328" i="30"/>
  <c r="E328" i="30"/>
  <c r="F328" i="30"/>
  <c r="G328" i="30"/>
  <c r="H328" i="30"/>
  <c r="I328" i="30"/>
  <c r="J328" i="30"/>
  <c r="K328" i="30"/>
  <c r="L328" i="30"/>
  <c r="M328" i="30"/>
  <c r="N328" i="30"/>
  <c r="O328" i="30"/>
  <c r="P328" i="30"/>
  <c r="Q328" i="30"/>
  <c r="R328" i="30"/>
  <c r="C329" i="30"/>
  <c r="D329" i="30"/>
  <c r="E329" i="30"/>
  <c r="F329" i="30"/>
  <c r="G329" i="30"/>
  <c r="H329" i="30"/>
  <c r="I329" i="30"/>
  <c r="J329" i="30"/>
  <c r="K329" i="30"/>
  <c r="L329" i="30"/>
  <c r="M329" i="30"/>
  <c r="N329" i="30"/>
  <c r="O329" i="30"/>
  <c r="P329" i="30"/>
  <c r="Q329" i="30"/>
  <c r="R329" i="30"/>
  <c r="C330" i="30"/>
  <c r="D330" i="30"/>
  <c r="E330" i="30"/>
  <c r="F330" i="30"/>
  <c r="G330" i="30"/>
  <c r="H330" i="30"/>
  <c r="I330" i="30"/>
  <c r="J330" i="30"/>
  <c r="K330" i="30"/>
  <c r="L330" i="30"/>
  <c r="M330" i="30"/>
  <c r="N330" i="30"/>
  <c r="O330" i="30"/>
  <c r="P330" i="30"/>
  <c r="Q330" i="30"/>
  <c r="R330" i="30"/>
  <c r="C331" i="30"/>
  <c r="D331" i="30"/>
  <c r="E331" i="30"/>
  <c r="F331" i="30"/>
  <c r="G331" i="30"/>
  <c r="H331" i="30"/>
  <c r="I331" i="30"/>
  <c r="J331" i="30"/>
  <c r="K331" i="30"/>
  <c r="L331" i="30"/>
  <c r="M331" i="30"/>
  <c r="N331" i="30"/>
  <c r="O331" i="30"/>
  <c r="P331" i="30"/>
  <c r="Q331" i="30"/>
  <c r="R331" i="30"/>
  <c r="C332" i="30"/>
  <c r="D332" i="30"/>
  <c r="E332" i="30"/>
  <c r="F332" i="30"/>
  <c r="G332" i="30"/>
  <c r="H332" i="30"/>
  <c r="I332" i="30"/>
  <c r="J332" i="30"/>
  <c r="K332" i="30"/>
  <c r="L332" i="30"/>
  <c r="M332" i="30"/>
  <c r="N332" i="30"/>
  <c r="O332" i="30"/>
  <c r="P332" i="30"/>
  <c r="Q332" i="30"/>
  <c r="R332" i="30"/>
  <c r="C333" i="30"/>
  <c r="D333" i="30"/>
  <c r="E333" i="30"/>
  <c r="F333" i="30"/>
  <c r="G333" i="30"/>
  <c r="H333" i="30"/>
  <c r="I333" i="30"/>
  <c r="J333" i="30"/>
  <c r="K333" i="30"/>
  <c r="L333" i="30"/>
  <c r="M333" i="30"/>
  <c r="N333" i="30"/>
  <c r="O333" i="30"/>
  <c r="P333" i="30"/>
  <c r="Q333" i="30"/>
  <c r="R333" i="30"/>
  <c r="C334" i="30"/>
  <c r="D334" i="30"/>
  <c r="E334" i="30"/>
  <c r="F334" i="30"/>
  <c r="G334" i="30"/>
  <c r="H334" i="30"/>
  <c r="I334" i="30"/>
  <c r="J334" i="30"/>
  <c r="K334" i="30"/>
  <c r="L334" i="30"/>
  <c r="M334" i="30"/>
  <c r="N334" i="30"/>
  <c r="O334" i="30"/>
  <c r="P334" i="30"/>
  <c r="Q334" i="30"/>
  <c r="R334" i="30"/>
  <c r="C335" i="30"/>
  <c r="D335" i="30"/>
  <c r="E335" i="30"/>
  <c r="F335" i="30"/>
  <c r="G335" i="30"/>
  <c r="H335" i="30"/>
  <c r="I335" i="30"/>
  <c r="J335" i="30"/>
  <c r="K335" i="30"/>
  <c r="L335" i="30"/>
  <c r="M335" i="30"/>
  <c r="N335" i="30"/>
  <c r="O335" i="30"/>
  <c r="P335" i="30"/>
  <c r="Q335" i="30"/>
  <c r="R335" i="30"/>
  <c r="C336" i="30"/>
  <c r="D336" i="30"/>
  <c r="E336" i="30"/>
  <c r="F336" i="30"/>
  <c r="G336" i="30"/>
  <c r="H336" i="30"/>
  <c r="I336" i="30"/>
  <c r="J336" i="30"/>
  <c r="K336" i="30"/>
  <c r="L336" i="30"/>
  <c r="M336" i="30"/>
  <c r="N336" i="30"/>
  <c r="O336" i="30"/>
  <c r="P336" i="30"/>
  <c r="Q336" i="30"/>
  <c r="R336" i="30"/>
  <c r="C337" i="30"/>
  <c r="D337" i="30"/>
  <c r="E337" i="30"/>
  <c r="F337" i="30"/>
  <c r="G337" i="30"/>
  <c r="H337" i="30"/>
  <c r="I337" i="30"/>
  <c r="J337" i="30"/>
  <c r="K337" i="30"/>
  <c r="L337" i="30"/>
  <c r="M337" i="30"/>
  <c r="N337" i="30"/>
  <c r="O337" i="30"/>
  <c r="P337" i="30"/>
  <c r="Q337" i="30"/>
  <c r="R337" i="30"/>
  <c r="C338" i="30"/>
  <c r="D338" i="30"/>
  <c r="E338" i="30"/>
  <c r="F338" i="30"/>
  <c r="G338" i="30"/>
  <c r="H338" i="30"/>
  <c r="I338" i="30"/>
  <c r="J338" i="30"/>
  <c r="K338" i="30"/>
  <c r="L338" i="30"/>
  <c r="M338" i="30"/>
  <c r="N338" i="30"/>
  <c r="O338" i="30"/>
  <c r="P338" i="30"/>
  <c r="Q338" i="30"/>
  <c r="R338" i="30"/>
  <c r="C339" i="30"/>
  <c r="D339" i="30"/>
  <c r="E339" i="30"/>
  <c r="F339" i="30"/>
  <c r="G339" i="30"/>
  <c r="H339" i="30"/>
  <c r="I339" i="30"/>
  <c r="J339" i="30"/>
  <c r="K339" i="30"/>
  <c r="L339" i="30"/>
  <c r="M339" i="30"/>
  <c r="N339" i="30"/>
  <c r="O339" i="30"/>
  <c r="P339" i="30"/>
  <c r="Q339" i="30"/>
  <c r="R339" i="30"/>
  <c r="C340" i="30"/>
  <c r="D340" i="30"/>
  <c r="E340" i="30"/>
  <c r="F340" i="30"/>
  <c r="G340" i="30"/>
  <c r="H340" i="30"/>
  <c r="I340" i="30"/>
  <c r="J340" i="30"/>
  <c r="K340" i="30"/>
  <c r="L340" i="30"/>
  <c r="M340" i="30"/>
  <c r="N340" i="30"/>
  <c r="O340" i="30"/>
  <c r="P340" i="30"/>
  <c r="Q340" i="30"/>
  <c r="R340" i="30"/>
  <c r="C341" i="30"/>
  <c r="D341" i="30"/>
  <c r="E341" i="30"/>
  <c r="F341" i="30"/>
  <c r="G341" i="30"/>
  <c r="H341" i="30"/>
  <c r="I341" i="30"/>
  <c r="J341" i="30"/>
  <c r="K341" i="30"/>
  <c r="L341" i="30"/>
  <c r="M341" i="30"/>
  <c r="N341" i="30"/>
  <c r="O341" i="30"/>
  <c r="P341" i="30"/>
  <c r="Q341" i="30"/>
  <c r="R341" i="30"/>
  <c r="C342" i="30"/>
  <c r="D342" i="30"/>
  <c r="E342" i="30"/>
  <c r="F342" i="30"/>
  <c r="G342" i="30"/>
  <c r="H342" i="30"/>
  <c r="I342" i="30"/>
  <c r="J342" i="30"/>
  <c r="K342" i="30"/>
  <c r="L342" i="30"/>
  <c r="M342" i="30"/>
  <c r="N342" i="30"/>
  <c r="O342" i="30"/>
  <c r="P342" i="30"/>
  <c r="Q342" i="30"/>
  <c r="R342" i="30"/>
  <c r="C343" i="30"/>
  <c r="D343" i="30"/>
  <c r="E343" i="30"/>
  <c r="F343" i="30"/>
  <c r="G343" i="30"/>
  <c r="H343" i="30"/>
  <c r="I343" i="30"/>
  <c r="J343" i="30"/>
  <c r="K343" i="30"/>
  <c r="L343" i="30"/>
  <c r="M343" i="30"/>
  <c r="N343" i="30"/>
  <c r="O343" i="30"/>
  <c r="P343" i="30"/>
  <c r="Q343" i="30"/>
  <c r="R343" i="30"/>
  <c r="C344" i="30"/>
  <c r="D344" i="30"/>
  <c r="E344" i="30"/>
  <c r="F344" i="30"/>
  <c r="G344" i="30"/>
  <c r="H344" i="30"/>
  <c r="I344" i="30"/>
  <c r="J344" i="30"/>
  <c r="K344" i="30"/>
  <c r="L344" i="30"/>
  <c r="M344" i="30"/>
  <c r="N344" i="30"/>
  <c r="O344" i="30"/>
  <c r="P344" i="30"/>
  <c r="Q344" i="30"/>
  <c r="R344" i="30"/>
  <c r="C345" i="30"/>
  <c r="D345" i="30"/>
  <c r="E345" i="30"/>
  <c r="F345" i="30"/>
  <c r="G345" i="30"/>
  <c r="H345" i="30"/>
  <c r="I345" i="30"/>
  <c r="J345" i="30"/>
  <c r="K345" i="30"/>
  <c r="L345" i="30"/>
  <c r="M345" i="30"/>
  <c r="N345" i="30"/>
  <c r="O345" i="30"/>
  <c r="P345" i="30"/>
  <c r="Q345" i="30"/>
  <c r="R345" i="30"/>
  <c r="C346" i="30"/>
  <c r="D346" i="30"/>
  <c r="E346" i="30"/>
  <c r="F346" i="30"/>
  <c r="G346" i="30"/>
  <c r="H346" i="30"/>
  <c r="I346" i="30"/>
  <c r="J346" i="30"/>
  <c r="K346" i="30"/>
  <c r="L346" i="30"/>
  <c r="M346" i="30"/>
  <c r="N346" i="30"/>
  <c r="O346" i="30"/>
  <c r="P346" i="30"/>
  <c r="Q346" i="30"/>
  <c r="R346" i="30"/>
  <c r="C347" i="30"/>
  <c r="D347" i="30"/>
  <c r="E347" i="30"/>
  <c r="F347" i="30"/>
  <c r="G347" i="30"/>
  <c r="H347" i="30"/>
  <c r="I347" i="30"/>
  <c r="J347" i="30"/>
  <c r="K347" i="30"/>
  <c r="L347" i="30"/>
  <c r="M347" i="30"/>
  <c r="N347" i="30"/>
  <c r="O347" i="30"/>
  <c r="P347" i="30"/>
  <c r="Q347" i="30"/>
  <c r="R347" i="30"/>
  <c r="C348" i="30"/>
  <c r="D348" i="30"/>
  <c r="E348" i="30"/>
  <c r="F348" i="30"/>
  <c r="G348" i="30"/>
  <c r="H348" i="30"/>
  <c r="I348" i="30"/>
  <c r="J348" i="30"/>
  <c r="K348" i="30"/>
  <c r="L348" i="30"/>
  <c r="M348" i="30"/>
  <c r="N348" i="30"/>
  <c r="O348" i="30"/>
  <c r="P348" i="30"/>
  <c r="Q348" i="30"/>
  <c r="R348" i="30"/>
  <c r="C349" i="30"/>
  <c r="D349" i="30"/>
  <c r="E349" i="30"/>
  <c r="F349" i="30"/>
  <c r="G349" i="30"/>
  <c r="H349" i="30"/>
  <c r="I349" i="30"/>
  <c r="J349" i="30"/>
  <c r="K349" i="30"/>
  <c r="L349" i="30"/>
  <c r="M349" i="30"/>
  <c r="N349" i="30"/>
  <c r="O349" i="30"/>
  <c r="P349" i="30"/>
  <c r="Q349" i="30"/>
  <c r="R349" i="30"/>
  <c r="C350" i="30"/>
  <c r="D350" i="30"/>
  <c r="E350" i="30"/>
  <c r="F350" i="30"/>
  <c r="G350" i="30"/>
  <c r="H350" i="30"/>
  <c r="I350" i="30"/>
  <c r="J350" i="30"/>
  <c r="K350" i="30"/>
  <c r="L350" i="30"/>
  <c r="M350" i="30"/>
  <c r="N350" i="30"/>
  <c r="O350" i="30"/>
  <c r="P350" i="30"/>
  <c r="Q350" i="30"/>
  <c r="R350" i="30"/>
  <c r="C351" i="30"/>
  <c r="D351" i="30"/>
  <c r="E351" i="30"/>
  <c r="F351" i="30"/>
  <c r="G351" i="30"/>
  <c r="H351" i="30"/>
  <c r="I351" i="30"/>
  <c r="J351" i="30"/>
  <c r="K351" i="30"/>
  <c r="L351" i="30"/>
  <c r="M351" i="30"/>
  <c r="N351" i="30"/>
  <c r="O351" i="30"/>
  <c r="P351" i="30"/>
  <c r="Q351" i="30"/>
  <c r="R351" i="30"/>
  <c r="C352" i="30"/>
  <c r="D352" i="30"/>
  <c r="E352" i="30"/>
  <c r="F352" i="30"/>
  <c r="G352" i="30"/>
  <c r="H352" i="30"/>
  <c r="I352" i="30"/>
  <c r="J352" i="30"/>
  <c r="K352" i="30"/>
  <c r="L352" i="30"/>
  <c r="M352" i="30"/>
  <c r="N352" i="30"/>
  <c r="O352" i="30"/>
  <c r="P352" i="30"/>
  <c r="Q352" i="30"/>
  <c r="R352" i="30"/>
  <c r="C353" i="30"/>
  <c r="D353" i="30"/>
  <c r="E353" i="30"/>
  <c r="F353" i="30"/>
  <c r="G353" i="30"/>
  <c r="H353" i="30"/>
  <c r="I353" i="30"/>
  <c r="J353" i="30"/>
  <c r="K353" i="30"/>
  <c r="L353" i="30"/>
  <c r="M353" i="30"/>
  <c r="N353" i="30"/>
  <c r="O353" i="30"/>
  <c r="P353" i="30"/>
  <c r="Q353" i="30"/>
  <c r="R353" i="30"/>
  <c r="C354" i="30"/>
  <c r="D354" i="30"/>
  <c r="E354" i="30"/>
  <c r="F354" i="30"/>
  <c r="G354" i="30"/>
  <c r="H354" i="30"/>
  <c r="I354" i="30"/>
  <c r="J354" i="30"/>
  <c r="K354" i="30"/>
  <c r="L354" i="30"/>
  <c r="M354" i="30"/>
  <c r="N354" i="30"/>
  <c r="O354" i="30"/>
  <c r="P354" i="30"/>
  <c r="Q354" i="30"/>
  <c r="R354" i="30"/>
  <c r="C355" i="30"/>
  <c r="D355" i="30"/>
  <c r="E355" i="30"/>
  <c r="F355" i="30"/>
  <c r="G355" i="30"/>
  <c r="H355" i="30"/>
  <c r="I355" i="30"/>
  <c r="J355" i="30"/>
  <c r="K355" i="30"/>
  <c r="L355" i="30"/>
  <c r="M355" i="30"/>
  <c r="N355" i="30"/>
  <c r="O355" i="30"/>
  <c r="P355" i="30"/>
  <c r="Q355" i="30"/>
  <c r="R355" i="30"/>
  <c r="C356" i="30"/>
  <c r="D356" i="30"/>
  <c r="E356" i="30"/>
  <c r="F356" i="30"/>
  <c r="G356" i="30"/>
  <c r="H356" i="30"/>
  <c r="I356" i="30"/>
  <c r="J356" i="30"/>
  <c r="K356" i="30"/>
  <c r="L356" i="30"/>
  <c r="M356" i="30"/>
  <c r="N356" i="30"/>
  <c r="O356" i="30"/>
  <c r="P356" i="30"/>
  <c r="Q356" i="30"/>
  <c r="R356" i="30"/>
  <c r="C357" i="30"/>
  <c r="D357" i="30"/>
  <c r="E357" i="30"/>
  <c r="F357" i="30"/>
  <c r="G357" i="30"/>
  <c r="H357" i="30"/>
  <c r="I357" i="30"/>
  <c r="J357" i="30"/>
  <c r="K357" i="30"/>
  <c r="L357" i="30"/>
  <c r="M357" i="30"/>
  <c r="N357" i="30"/>
  <c r="O357" i="30"/>
  <c r="P357" i="30"/>
  <c r="Q357" i="30"/>
  <c r="R357" i="30"/>
  <c r="C358" i="30"/>
  <c r="D358" i="30"/>
  <c r="E358" i="30"/>
  <c r="F358" i="30"/>
  <c r="G358" i="30"/>
  <c r="H358" i="30"/>
  <c r="I358" i="30"/>
  <c r="J358" i="30"/>
  <c r="K358" i="30"/>
  <c r="L358" i="30"/>
  <c r="M358" i="30"/>
  <c r="N358" i="30"/>
  <c r="O358" i="30"/>
  <c r="P358" i="30"/>
  <c r="Q358" i="30"/>
  <c r="R358" i="30"/>
  <c r="C359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P359" i="30"/>
  <c r="Q359" i="30"/>
  <c r="R359" i="30"/>
  <c r="C360" i="30"/>
  <c r="D360" i="30"/>
  <c r="E360" i="30"/>
  <c r="F360" i="30"/>
  <c r="G360" i="30"/>
  <c r="H360" i="30"/>
  <c r="I360" i="30"/>
  <c r="J360" i="30"/>
  <c r="K360" i="30"/>
  <c r="L360" i="30"/>
  <c r="M360" i="30"/>
  <c r="N360" i="30"/>
  <c r="O360" i="30"/>
  <c r="P360" i="30"/>
  <c r="Q360" i="30"/>
  <c r="R360" i="30"/>
  <c r="C361" i="30"/>
  <c r="D361" i="30"/>
  <c r="E361" i="30"/>
  <c r="F361" i="30"/>
  <c r="G361" i="30"/>
  <c r="H361" i="30"/>
  <c r="I361" i="30"/>
  <c r="J361" i="30"/>
  <c r="K361" i="30"/>
  <c r="L361" i="30"/>
  <c r="M361" i="30"/>
  <c r="N361" i="30"/>
  <c r="O361" i="30"/>
  <c r="P361" i="30"/>
  <c r="Q361" i="30"/>
  <c r="R361" i="30"/>
  <c r="C362" i="30"/>
  <c r="D362" i="30"/>
  <c r="E362" i="30"/>
  <c r="F362" i="30"/>
  <c r="G362" i="30"/>
  <c r="H362" i="30"/>
  <c r="I362" i="30"/>
  <c r="J362" i="30"/>
  <c r="K362" i="30"/>
  <c r="L362" i="30"/>
  <c r="M362" i="30"/>
  <c r="N362" i="30"/>
  <c r="O362" i="30"/>
  <c r="P362" i="30"/>
  <c r="Q362" i="30"/>
  <c r="R362" i="30"/>
  <c r="C363" i="30"/>
  <c r="D363" i="30"/>
  <c r="E363" i="30"/>
  <c r="F363" i="30"/>
  <c r="G363" i="30"/>
  <c r="H363" i="30"/>
  <c r="I363" i="30"/>
  <c r="J363" i="30"/>
  <c r="K363" i="30"/>
  <c r="L363" i="30"/>
  <c r="M363" i="30"/>
  <c r="N363" i="30"/>
  <c r="O363" i="30"/>
  <c r="P363" i="30"/>
  <c r="Q363" i="30"/>
  <c r="R363" i="30"/>
  <c r="C364" i="30"/>
  <c r="D364" i="30"/>
  <c r="E364" i="30"/>
  <c r="F364" i="30"/>
  <c r="G364" i="30"/>
  <c r="H364" i="30"/>
  <c r="I364" i="30"/>
  <c r="J364" i="30"/>
  <c r="K364" i="30"/>
  <c r="L364" i="30"/>
  <c r="M364" i="30"/>
  <c r="N364" i="30"/>
  <c r="O364" i="30"/>
  <c r="P364" i="30"/>
  <c r="Q364" i="30"/>
  <c r="R364" i="30"/>
  <c r="C365" i="30"/>
  <c r="D365" i="30"/>
  <c r="E365" i="30"/>
  <c r="F365" i="30"/>
  <c r="G365" i="30"/>
  <c r="H365" i="30"/>
  <c r="I365" i="30"/>
  <c r="J365" i="30"/>
  <c r="K365" i="30"/>
  <c r="L365" i="30"/>
  <c r="M365" i="30"/>
  <c r="N365" i="30"/>
  <c r="O365" i="30"/>
  <c r="P365" i="30"/>
  <c r="Q365" i="30"/>
  <c r="R365" i="30"/>
  <c r="C366" i="30"/>
  <c r="D366" i="30"/>
  <c r="E366" i="30"/>
  <c r="F366" i="30"/>
  <c r="G366" i="30"/>
  <c r="H366" i="30"/>
  <c r="I366" i="30"/>
  <c r="J366" i="30"/>
  <c r="K366" i="30"/>
  <c r="L366" i="30"/>
  <c r="M366" i="30"/>
  <c r="N366" i="30"/>
  <c r="O366" i="30"/>
  <c r="P366" i="30"/>
  <c r="Q366" i="30"/>
  <c r="R366" i="30"/>
  <c r="C367" i="30"/>
  <c r="D367" i="30"/>
  <c r="E367" i="30"/>
  <c r="F367" i="30"/>
  <c r="G367" i="30"/>
  <c r="H367" i="30"/>
  <c r="I367" i="30"/>
  <c r="J367" i="30"/>
  <c r="K367" i="30"/>
  <c r="L367" i="30"/>
  <c r="M367" i="30"/>
  <c r="N367" i="30"/>
  <c r="O367" i="30"/>
  <c r="P367" i="30"/>
  <c r="Q367" i="30"/>
  <c r="R367" i="30"/>
  <c r="C368" i="30"/>
  <c r="D368" i="30"/>
  <c r="E368" i="30"/>
  <c r="F368" i="30"/>
  <c r="G368" i="30"/>
  <c r="H368" i="30"/>
  <c r="I368" i="30"/>
  <c r="J368" i="30"/>
  <c r="K368" i="30"/>
  <c r="L368" i="30"/>
  <c r="M368" i="30"/>
  <c r="N368" i="30"/>
  <c r="O368" i="30"/>
  <c r="P368" i="30"/>
  <c r="Q368" i="30"/>
  <c r="R368" i="30"/>
  <c r="C369" i="30"/>
  <c r="D369" i="30"/>
  <c r="E369" i="30"/>
  <c r="F369" i="30"/>
  <c r="G369" i="30"/>
  <c r="H369" i="30"/>
  <c r="I369" i="30"/>
  <c r="J369" i="30"/>
  <c r="K369" i="30"/>
  <c r="L369" i="30"/>
  <c r="M369" i="30"/>
  <c r="N369" i="30"/>
  <c r="O369" i="30"/>
  <c r="P369" i="30"/>
  <c r="Q369" i="30"/>
  <c r="R369" i="30"/>
  <c r="C370" i="30"/>
  <c r="D370" i="30"/>
  <c r="E370" i="30"/>
  <c r="F370" i="30"/>
  <c r="G370" i="30"/>
  <c r="H370" i="30"/>
  <c r="I370" i="30"/>
  <c r="J370" i="30"/>
  <c r="K370" i="30"/>
  <c r="L370" i="30"/>
  <c r="M370" i="30"/>
  <c r="N370" i="30"/>
  <c r="O370" i="30"/>
  <c r="P370" i="30"/>
  <c r="Q370" i="30"/>
  <c r="R370" i="30"/>
  <c r="C371" i="30"/>
  <c r="D371" i="30"/>
  <c r="E371" i="30"/>
  <c r="F371" i="30"/>
  <c r="G371" i="30"/>
  <c r="H371" i="30"/>
  <c r="I371" i="30"/>
  <c r="J371" i="30"/>
  <c r="K371" i="30"/>
  <c r="L371" i="30"/>
  <c r="M371" i="30"/>
  <c r="N371" i="30"/>
  <c r="O371" i="30"/>
  <c r="P371" i="30"/>
  <c r="Q371" i="30"/>
  <c r="R371" i="30"/>
  <c r="C372" i="30"/>
  <c r="D372" i="30"/>
  <c r="E372" i="30"/>
  <c r="F372" i="30"/>
  <c r="G372" i="30"/>
  <c r="H372" i="30"/>
  <c r="I372" i="30"/>
  <c r="J372" i="30"/>
  <c r="K372" i="30"/>
  <c r="L372" i="30"/>
  <c r="M372" i="30"/>
  <c r="N372" i="30"/>
  <c r="O372" i="30"/>
  <c r="P372" i="30"/>
  <c r="Q372" i="30"/>
  <c r="R372" i="30"/>
  <c r="C373" i="30"/>
  <c r="D373" i="30"/>
  <c r="E373" i="30"/>
  <c r="F373" i="30"/>
  <c r="G373" i="30"/>
  <c r="H373" i="30"/>
  <c r="I373" i="30"/>
  <c r="J373" i="30"/>
  <c r="K373" i="30"/>
  <c r="L373" i="30"/>
  <c r="M373" i="30"/>
  <c r="N373" i="30"/>
  <c r="O373" i="30"/>
  <c r="P373" i="30"/>
  <c r="Q373" i="30"/>
  <c r="R373" i="30"/>
  <c r="C374" i="30"/>
  <c r="D374" i="30"/>
  <c r="E374" i="30"/>
  <c r="F374" i="30"/>
  <c r="G374" i="30"/>
  <c r="H374" i="30"/>
  <c r="I374" i="30"/>
  <c r="J374" i="30"/>
  <c r="K374" i="30"/>
  <c r="L374" i="30"/>
  <c r="M374" i="30"/>
  <c r="N374" i="30"/>
  <c r="O374" i="30"/>
  <c r="P374" i="30"/>
  <c r="Q374" i="30"/>
  <c r="R374" i="30"/>
  <c r="C375" i="30"/>
  <c r="D375" i="30"/>
  <c r="E375" i="30"/>
  <c r="F375" i="30"/>
  <c r="G375" i="30"/>
  <c r="H375" i="30"/>
  <c r="I375" i="30"/>
  <c r="J375" i="30"/>
  <c r="K375" i="30"/>
  <c r="L375" i="30"/>
  <c r="M375" i="30"/>
  <c r="N375" i="30"/>
  <c r="O375" i="30"/>
  <c r="P375" i="30"/>
  <c r="Q375" i="30"/>
  <c r="R375" i="30"/>
  <c r="C376" i="30"/>
  <c r="D376" i="30"/>
  <c r="E376" i="30"/>
  <c r="F376" i="30"/>
  <c r="G376" i="30"/>
  <c r="H376" i="30"/>
  <c r="I376" i="30"/>
  <c r="J376" i="30"/>
  <c r="K376" i="30"/>
  <c r="L376" i="30"/>
  <c r="M376" i="30"/>
  <c r="N376" i="30"/>
  <c r="O376" i="30"/>
  <c r="P376" i="30"/>
  <c r="Q376" i="30"/>
  <c r="R376" i="30"/>
  <c r="C377" i="30"/>
  <c r="D377" i="30"/>
  <c r="E377" i="30"/>
  <c r="F377" i="30"/>
  <c r="G377" i="30"/>
  <c r="H377" i="30"/>
  <c r="I377" i="30"/>
  <c r="J377" i="30"/>
  <c r="K377" i="30"/>
  <c r="L377" i="30"/>
  <c r="M377" i="30"/>
  <c r="N377" i="30"/>
  <c r="O377" i="30"/>
  <c r="P377" i="30"/>
  <c r="Q377" i="30"/>
  <c r="R377" i="30"/>
  <c r="C378" i="30"/>
  <c r="D378" i="30"/>
  <c r="E378" i="30"/>
  <c r="F378" i="30"/>
  <c r="G378" i="30"/>
  <c r="H378" i="30"/>
  <c r="I378" i="30"/>
  <c r="J378" i="30"/>
  <c r="K378" i="30"/>
  <c r="L378" i="30"/>
  <c r="M378" i="30"/>
  <c r="N378" i="30"/>
  <c r="O378" i="30"/>
  <c r="P378" i="30"/>
  <c r="Q378" i="30"/>
  <c r="R378" i="30"/>
  <c r="C379" i="30"/>
  <c r="D379" i="30"/>
  <c r="E379" i="30"/>
  <c r="F379" i="30"/>
  <c r="G379" i="30"/>
  <c r="H379" i="30"/>
  <c r="I379" i="30"/>
  <c r="J379" i="30"/>
  <c r="K379" i="30"/>
  <c r="L379" i="30"/>
  <c r="M379" i="30"/>
  <c r="N379" i="30"/>
  <c r="O379" i="30"/>
  <c r="P379" i="30"/>
  <c r="Q379" i="30"/>
  <c r="R379" i="30"/>
  <c r="C380" i="30"/>
  <c r="D380" i="30"/>
  <c r="E380" i="30"/>
  <c r="F380" i="30"/>
  <c r="G380" i="30"/>
  <c r="H380" i="30"/>
  <c r="I380" i="30"/>
  <c r="J380" i="30"/>
  <c r="K380" i="30"/>
  <c r="L380" i="30"/>
  <c r="M380" i="30"/>
  <c r="N380" i="30"/>
  <c r="O380" i="30"/>
  <c r="P380" i="30"/>
  <c r="Q380" i="30"/>
  <c r="R380" i="30"/>
  <c r="C381" i="30"/>
  <c r="D381" i="30"/>
  <c r="E381" i="30"/>
  <c r="F381" i="30"/>
  <c r="G381" i="30"/>
  <c r="H381" i="30"/>
  <c r="I381" i="30"/>
  <c r="J381" i="30"/>
  <c r="K381" i="30"/>
  <c r="L381" i="30"/>
  <c r="M381" i="30"/>
  <c r="N381" i="30"/>
  <c r="O381" i="30"/>
  <c r="P381" i="30"/>
  <c r="Q381" i="30"/>
  <c r="R381" i="30"/>
  <c r="C382" i="30"/>
  <c r="D382" i="30"/>
  <c r="E382" i="30"/>
  <c r="F382" i="30"/>
  <c r="G382" i="30"/>
  <c r="H382" i="30"/>
  <c r="I382" i="30"/>
  <c r="J382" i="30"/>
  <c r="K382" i="30"/>
  <c r="L382" i="30"/>
  <c r="M382" i="30"/>
  <c r="N382" i="30"/>
  <c r="O382" i="30"/>
  <c r="P382" i="30"/>
  <c r="Q382" i="30"/>
  <c r="R382" i="30"/>
  <c r="C383" i="30"/>
  <c r="D383" i="30"/>
  <c r="E383" i="30"/>
  <c r="F383" i="30"/>
  <c r="G383" i="30"/>
  <c r="H383" i="30"/>
  <c r="I383" i="30"/>
  <c r="J383" i="30"/>
  <c r="K383" i="30"/>
  <c r="L383" i="30"/>
  <c r="M383" i="30"/>
  <c r="N383" i="30"/>
  <c r="O383" i="30"/>
  <c r="P383" i="30"/>
  <c r="Q383" i="30"/>
  <c r="R383" i="30"/>
  <c r="C384" i="30"/>
  <c r="D384" i="30"/>
  <c r="E384" i="30"/>
  <c r="F384" i="30"/>
  <c r="G384" i="30"/>
  <c r="H384" i="30"/>
  <c r="I384" i="30"/>
  <c r="J384" i="30"/>
  <c r="K384" i="30"/>
  <c r="L384" i="30"/>
  <c r="M384" i="30"/>
  <c r="N384" i="30"/>
  <c r="O384" i="30"/>
  <c r="P384" i="30"/>
  <c r="Q384" i="30"/>
  <c r="R384" i="30"/>
  <c r="C385" i="30"/>
  <c r="D385" i="30"/>
  <c r="E385" i="30"/>
  <c r="F385" i="30"/>
  <c r="G385" i="30"/>
  <c r="H385" i="30"/>
  <c r="I385" i="30"/>
  <c r="J385" i="30"/>
  <c r="K385" i="30"/>
  <c r="L385" i="30"/>
  <c r="M385" i="30"/>
  <c r="N385" i="30"/>
  <c r="O385" i="30"/>
  <c r="P385" i="30"/>
  <c r="Q385" i="30"/>
  <c r="R385" i="30"/>
  <c r="C386" i="30"/>
  <c r="D386" i="30"/>
  <c r="E386" i="30"/>
  <c r="F386" i="30"/>
  <c r="G386" i="30"/>
  <c r="H386" i="30"/>
  <c r="I386" i="30"/>
  <c r="J386" i="30"/>
  <c r="K386" i="30"/>
  <c r="L386" i="30"/>
  <c r="M386" i="30"/>
  <c r="N386" i="30"/>
  <c r="O386" i="30"/>
  <c r="P386" i="30"/>
  <c r="Q386" i="30"/>
  <c r="R386" i="30"/>
  <c r="C387" i="30"/>
  <c r="D387" i="30"/>
  <c r="E387" i="30"/>
  <c r="F387" i="30"/>
  <c r="G387" i="30"/>
  <c r="H387" i="30"/>
  <c r="I387" i="30"/>
  <c r="J387" i="30"/>
  <c r="K387" i="30"/>
  <c r="L387" i="30"/>
  <c r="M387" i="30"/>
  <c r="N387" i="30"/>
  <c r="O387" i="30"/>
  <c r="P387" i="30"/>
  <c r="Q387" i="30"/>
  <c r="R387" i="30"/>
  <c r="C388" i="30"/>
  <c r="D388" i="30"/>
  <c r="E388" i="30"/>
  <c r="F388" i="30"/>
  <c r="G388" i="30"/>
  <c r="H388" i="30"/>
  <c r="I388" i="30"/>
  <c r="J388" i="30"/>
  <c r="K388" i="30"/>
  <c r="L388" i="30"/>
  <c r="M388" i="30"/>
  <c r="N388" i="30"/>
  <c r="O388" i="30"/>
  <c r="P388" i="30"/>
  <c r="Q388" i="30"/>
  <c r="R388" i="30"/>
  <c r="C389" i="30"/>
  <c r="D389" i="30"/>
  <c r="E389" i="30"/>
  <c r="F389" i="30"/>
  <c r="G389" i="30"/>
  <c r="H389" i="30"/>
  <c r="I389" i="30"/>
  <c r="J389" i="30"/>
  <c r="K389" i="30"/>
  <c r="L389" i="30"/>
  <c r="M389" i="30"/>
  <c r="N389" i="30"/>
  <c r="O389" i="30"/>
  <c r="P389" i="30"/>
  <c r="Q389" i="30"/>
  <c r="R389" i="30"/>
  <c r="C390" i="30"/>
  <c r="D390" i="30"/>
  <c r="E390" i="30"/>
  <c r="F390" i="30"/>
  <c r="G390" i="30"/>
  <c r="H390" i="30"/>
  <c r="I390" i="30"/>
  <c r="J390" i="30"/>
  <c r="K390" i="30"/>
  <c r="L390" i="30"/>
  <c r="M390" i="30"/>
  <c r="N390" i="30"/>
  <c r="O390" i="30"/>
  <c r="P390" i="30"/>
  <c r="Q390" i="30"/>
  <c r="R390" i="30"/>
  <c r="C391" i="30"/>
  <c r="D391" i="30"/>
  <c r="E391" i="30"/>
  <c r="F391" i="30"/>
  <c r="G391" i="30"/>
  <c r="H391" i="30"/>
  <c r="I391" i="30"/>
  <c r="J391" i="30"/>
  <c r="K391" i="30"/>
  <c r="L391" i="30"/>
  <c r="M391" i="30"/>
  <c r="N391" i="30"/>
  <c r="O391" i="30"/>
  <c r="P391" i="30"/>
  <c r="Q391" i="30"/>
  <c r="R391" i="30"/>
  <c r="C392" i="30"/>
  <c r="D392" i="30"/>
  <c r="E392" i="30"/>
  <c r="F392" i="30"/>
  <c r="G392" i="30"/>
  <c r="H392" i="30"/>
  <c r="I392" i="30"/>
  <c r="J392" i="30"/>
  <c r="K392" i="30"/>
  <c r="L392" i="30"/>
  <c r="M392" i="30"/>
  <c r="N392" i="30"/>
  <c r="O392" i="30"/>
  <c r="P392" i="30"/>
  <c r="Q392" i="30"/>
  <c r="R392" i="30"/>
  <c r="C393" i="30"/>
  <c r="D393" i="30"/>
  <c r="E393" i="30"/>
  <c r="F393" i="30"/>
  <c r="G393" i="30"/>
  <c r="H393" i="30"/>
  <c r="I393" i="30"/>
  <c r="J393" i="30"/>
  <c r="K393" i="30"/>
  <c r="L393" i="30"/>
  <c r="M393" i="30"/>
  <c r="N393" i="30"/>
  <c r="O393" i="30"/>
  <c r="P393" i="30"/>
  <c r="Q393" i="30"/>
  <c r="R393" i="30"/>
  <c r="C394" i="30"/>
  <c r="D394" i="30"/>
  <c r="E394" i="30"/>
  <c r="F394" i="30"/>
  <c r="G394" i="30"/>
  <c r="H394" i="30"/>
  <c r="I394" i="30"/>
  <c r="J394" i="30"/>
  <c r="K394" i="30"/>
  <c r="L394" i="30"/>
  <c r="M394" i="30"/>
  <c r="N394" i="30"/>
  <c r="O394" i="30"/>
  <c r="P394" i="30"/>
  <c r="Q394" i="30"/>
  <c r="R394" i="30"/>
  <c r="C395" i="30"/>
  <c r="D395" i="30"/>
  <c r="E395" i="30"/>
  <c r="F395" i="30"/>
  <c r="G395" i="30"/>
  <c r="H395" i="30"/>
  <c r="I395" i="30"/>
  <c r="J395" i="30"/>
  <c r="K395" i="30"/>
  <c r="L395" i="30"/>
  <c r="M395" i="30"/>
  <c r="N395" i="30"/>
  <c r="O395" i="30"/>
  <c r="P395" i="30"/>
  <c r="Q395" i="30"/>
  <c r="R395" i="30"/>
  <c r="C396" i="30"/>
  <c r="D396" i="30"/>
  <c r="E396" i="30"/>
  <c r="F396" i="30"/>
  <c r="G396" i="30"/>
  <c r="H396" i="30"/>
  <c r="I396" i="30"/>
  <c r="J396" i="30"/>
  <c r="K396" i="30"/>
  <c r="L396" i="30"/>
  <c r="M396" i="30"/>
  <c r="N396" i="30"/>
  <c r="O396" i="30"/>
  <c r="P396" i="30"/>
  <c r="Q396" i="30"/>
  <c r="R396" i="30"/>
  <c r="C397" i="30"/>
  <c r="D397" i="30"/>
  <c r="E397" i="30"/>
  <c r="F397" i="30"/>
  <c r="G397" i="30"/>
  <c r="H397" i="30"/>
  <c r="I397" i="30"/>
  <c r="J397" i="30"/>
  <c r="K397" i="30"/>
  <c r="L397" i="30"/>
  <c r="M397" i="30"/>
  <c r="N397" i="30"/>
  <c r="O397" i="30"/>
  <c r="P397" i="30"/>
  <c r="Q397" i="30"/>
  <c r="R397" i="30"/>
  <c r="C398" i="30"/>
  <c r="D398" i="30"/>
  <c r="E398" i="30"/>
  <c r="F398" i="30"/>
  <c r="G398" i="30"/>
  <c r="H398" i="30"/>
  <c r="I398" i="30"/>
  <c r="J398" i="30"/>
  <c r="K398" i="30"/>
  <c r="L398" i="30"/>
  <c r="M398" i="30"/>
  <c r="N398" i="30"/>
  <c r="O398" i="30"/>
  <c r="P398" i="30"/>
  <c r="Q398" i="30"/>
  <c r="R398" i="30"/>
  <c r="C399" i="30"/>
  <c r="D399" i="30"/>
  <c r="E399" i="30"/>
  <c r="F399" i="30"/>
  <c r="G399" i="30"/>
  <c r="H399" i="30"/>
  <c r="I399" i="30"/>
  <c r="J399" i="30"/>
  <c r="K399" i="30"/>
  <c r="L399" i="30"/>
  <c r="M399" i="30"/>
  <c r="N399" i="30"/>
  <c r="O399" i="30"/>
  <c r="P399" i="30"/>
  <c r="Q399" i="30"/>
  <c r="R399" i="30"/>
  <c r="C400" i="30"/>
  <c r="D400" i="30"/>
  <c r="E400" i="30"/>
  <c r="F400" i="30"/>
  <c r="G400" i="30"/>
  <c r="H400" i="30"/>
  <c r="I400" i="30"/>
  <c r="J400" i="30"/>
  <c r="K400" i="30"/>
  <c r="L400" i="30"/>
  <c r="M400" i="30"/>
  <c r="N400" i="30"/>
  <c r="O400" i="30"/>
  <c r="P400" i="30"/>
  <c r="Q400" i="30"/>
  <c r="R400" i="30"/>
  <c r="C401" i="30"/>
  <c r="D401" i="30"/>
  <c r="E401" i="30"/>
  <c r="F401" i="30"/>
  <c r="G401" i="30"/>
  <c r="H401" i="30"/>
  <c r="I401" i="30"/>
  <c r="J401" i="30"/>
  <c r="K401" i="30"/>
  <c r="L401" i="30"/>
  <c r="M401" i="30"/>
  <c r="N401" i="30"/>
  <c r="O401" i="30"/>
  <c r="P401" i="30"/>
  <c r="Q401" i="30"/>
  <c r="R401" i="30"/>
  <c r="C402" i="30"/>
  <c r="D402" i="30"/>
  <c r="E402" i="30"/>
  <c r="F402" i="30"/>
  <c r="G402" i="30"/>
  <c r="H402" i="30"/>
  <c r="I402" i="30"/>
  <c r="J402" i="30"/>
  <c r="K402" i="30"/>
  <c r="L402" i="30"/>
  <c r="M402" i="30"/>
  <c r="N402" i="30"/>
  <c r="O402" i="30"/>
  <c r="P402" i="30"/>
  <c r="Q402" i="30"/>
  <c r="R402" i="30"/>
  <c r="C403" i="30"/>
  <c r="D403" i="30"/>
  <c r="E403" i="30"/>
  <c r="F403" i="30"/>
  <c r="G403" i="30"/>
  <c r="H403" i="30"/>
  <c r="I403" i="30"/>
  <c r="J403" i="30"/>
  <c r="K403" i="30"/>
  <c r="L403" i="30"/>
  <c r="M403" i="30"/>
  <c r="N403" i="30"/>
  <c r="O403" i="30"/>
  <c r="P403" i="30"/>
  <c r="Q403" i="30"/>
  <c r="R403" i="30"/>
  <c r="C404" i="30"/>
  <c r="D404" i="30"/>
  <c r="E404" i="30"/>
  <c r="F404" i="30"/>
  <c r="G404" i="30"/>
  <c r="H404" i="30"/>
  <c r="I404" i="30"/>
  <c r="J404" i="30"/>
  <c r="K404" i="30"/>
  <c r="L404" i="30"/>
  <c r="M404" i="30"/>
  <c r="N404" i="30"/>
  <c r="O404" i="30"/>
  <c r="P404" i="30"/>
  <c r="Q404" i="30"/>
  <c r="R404" i="30"/>
  <c r="C405" i="30"/>
  <c r="D405" i="30"/>
  <c r="E405" i="30"/>
  <c r="F405" i="30"/>
  <c r="G405" i="30"/>
  <c r="H405" i="30"/>
  <c r="I405" i="30"/>
  <c r="J405" i="30"/>
  <c r="K405" i="30"/>
  <c r="L405" i="30"/>
  <c r="M405" i="30"/>
  <c r="N405" i="30"/>
  <c r="O405" i="30"/>
  <c r="P405" i="30"/>
  <c r="Q405" i="30"/>
  <c r="R405" i="30"/>
  <c r="C406" i="30"/>
  <c r="D406" i="30"/>
  <c r="E406" i="30"/>
  <c r="F406" i="30"/>
  <c r="G406" i="30"/>
  <c r="H406" i="30"/>
  <c r="I406" i="30"/>
  <c r="J406" i="30"/>
  <c r="K406" i="30"/>
  <c r="L406" i="30"/>
  <c r="M406" i="30"/>
  <c r="N406" i="30"/>
  <c r="O406" i="30"/>
  <c r="P406" i="30"/>
  <c r="Q406" i="30"/>
  <c r="R406" i="30"/>
  <c r="C407" i="30"/>
  <c r="D407" i="30"/>
  <c r="E407" i="30"/>
  <c r="F407" i="30"/>
  <c r="G407" i="30"/>
  <c r="H407" i="30"/>
  <c r="I407" i="30"/>
  <c r="J407" i="30"/>
  <c r="K407" i="30"/>
  <c r="L407" i="30"/>
  <c r="M407" i="30"/>
  <c r="N407" i="30"/>
  <c r="O407" i="30"/>
  <c r="P407" i="30"/>
  <c r="Q407" i="30"/>
  <c r="R407" i="30"/>
  <c r="C408" i="30"/>
  <c r="D408" i="30"/>
  <c r="E408" i="30"/>
  <c r="F408" i="30"/>
  <c r="G408" i="30"/>
  <c r="H408" i="30"/>
  <c r="I408" i="30"/>
  <c r="J408" i="30"/>
  <c r="K408" i="30"/>
  <c r="L408" i="30"/>
  <c r="M408" i="30"/>
  <c r="N408" i="30"/>
  <c r="O408" i="30"/>
  <c r="P408" i="30"/>
  <c r="Q408" i="30"/>
  <c r="R408" i="30"/>
  <c r="C409" i="30"/>
  <c r="D409" i="30"/>
  <c r="E409" i="30"/>
  <c r="F409" i="30"/>
  <c r="G409" i="30"/>
  <c r="H409" i="30"/>
  <c r="I409" i="30"/>
  <c r="J409" i="30"/>
  <c r="K409" i="30"/>
  <c r="L409" i="30"/>
  <c r="M409" i="30"/>
  <c r="N409" i="30"/>
  <c r="O409" i="30"/>
  <c r="P409" i="30"/>
  <c r="Q409" i="30"/>
  <c r="R409" i="30"/>
  <c r="C410" i="30"/>
  <c r="D410" i="30"/>
  <c r="E410" i="30"/>
  <c r="F410" i="30"/>
  <c r="G410" i="30"/>
  <c r="H410" i="30"/>
  <c r="I410" i="30"/>
  <c r="J410" i="30"/>
  <c r="K410" i="30"/>
  <c r="L410" i="30"/>
  <c r="M410" i="30"/>
  <c r="N410" i="30"/>
  <c r="O410" i="30"/>
  <c r="P410" i="30"/>
  <c r="Q410" i="30"/>
  <c r="R410" i="30"/>
  <c r="C411" i="30"/>
  <c r="D411" i="30"/>
  <c r="E411" i="30"/>
  <c r="F411" i="30"/>
  <c r="G411" i="30"/>
  <c r="H411" i="30"/>
  <c r="I411" i="30"/>
  <c r="J411" i="30"/>
  <c r="K411" i="30"/>
  <c r="L411" i="30"/>
  <c r="M411" i="30"/>
  <c r="N411" i="30"/>
  <c r="O411" i="30"/>
  <c r="P411" i="30"/>
  <c r="Q411" i="30"/>
  <c r="R411" i="30"/>
  <c r="C412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P412" i="30"/>
  <c r="Q412" i="30"/>
  <c r="R412" i="30"/>
  <c r="C413" i="30"/>
  <c r="D413" i="30"/>
  <c r="E413" i="30"/>
  <c r="F413" i="30"/>
  <c r="G413" i="30"/>
  <c r="H413" i="30"/>
  <c r="I413" i="30"/>
  <c r="J413" i="30"/>
  <c r="K413" i="30"/>
  <c r="L413" i="30"/>
  <c r="M413" i="30"/>
  <c r="N413" i="30"/>
  <c r="O413" i="30"/>
  <c r="P413" i="30"/>
  <c r="Q413" i="30"/>
  <c r="R413" i="30"/>
  <c r="C414" i="30"/>
  <c r="D414" i="30"/>
  <c r="E414" i="30"/>
  <c r="F414" i="30"/>
  <c r="G414" i="30"/>
  <c r="H414" i="30"/>
  <c r="I414" i="30"/>
  <c r="J414" i="30"/>
  <c r="K414" i="30"/>
  <c r="L414" i="30"/>
  <c r="M414" i="30"/>
  <c r="N414" i="30"/>
  <c r="O414" i="30"/>
  <c r="P414" i="30"/>
  <c r="Q414" i="30"/>
  <c r="R414" i="30"/>
  <c r="C415" i="30"/>
  <c r="D415" i="30"/>
  <c r="E415" i="30"/>
  <c r="F415" i="30"/>
  <c r="G415" i="30"/>
  <c r="H415" i="30"/>
  <c r="I415" i="30"/>
  <c r="J415" i="30"/>
  <c r="K415" i="30"/>
  <c r="L415" i="30"/>
  <c r="M415" i="30"/>
  <c r="N415" i="30"/>
  <c r="O415" i="30"/>
  <c r="P415" i="30"/>
  <c r="Q415" i="30"/>
  <c r="R415" i="30"/>
  <c r="C416" i="30"/>
  <c r="D416" i="30"/>
  <c r="E416" i="30"/>
  <c r="F416" i="30"/>
  <c r="G416" i="30"/>
  <c r="H416" i="30"/>
  <c r="I416" i="30"/>
  <c r="J416" i="30"/>
  <c r="K416" i="30"/>
  <c r="L416" i="30"/>
  <c r="M416" i="30"/>
  <c r="N416" i="30"/>
  <c r="O416" i="30"/>
  <c r="P416" i="30"/>
  <c r="Q416" i="30"/>
  <c r="R416" i="30"/>
  <c r="C417" i="30"/>
  <c r="D417" i="30"/>
  <c r="E417" i="30"/>
  <c r="F417" i="30"/>
  <c r="G417" i="30"/>
  <c r="H417" i="30"/>
  <c r="I417" i="30"/>
  <c r="J417" i="30"/>
  <c r="K417" i="30"/>
  <c r="L417" i="30"/>
  <c r="M417" i="30"/>
  <c r="N417" i="30"/>
  <c r="O417" i="30"/>
  <c r="P417" i="30"/>
  <c r="Q417" i="30"/>
  <c r="R417" i="30"/>
  <c r="C418" i="30"/>
  <c r="D418" i="30"/>
  <c r="E418" i="30"/>
  <c r="F418" i="30"/>
  <c r="G418" i="30"/>
  <c r="H418" i="30"/>
  <c r="I418" i="30"/>
  <c r="J418" i="30"/>
  <c r="K418" i="30"/>
  <c r="L418" i="30"/>
  <c r="M418" i="30"/>
  <c r="N418" i="30"/>
  <c r="O418" i="30"/>
  <c r="P418" i="30"/>
  <c r="Q418" i="30"/>
  <c r="R418" i="30"/>
  <c r="C419" i="30"/>
  <c r="D419" i="30"/>
  <c r="E419" i="30"/>
  <c r="F419" i="30"/>
  <c r="G419" i="30"/>
  <c r="H419" i="30"/>
  <c r="I419" i="30"/>
  <c r="J419" i="30"/>
  <c r="K419" i="30"/>
  <c r="L419" i="30"/>
  <c r="M419" i="30"/>
  <c r="N419" i="30"/>
  <c r="O419" i="30"/>
  <c r="P419" i="30"/>
  <c r="Q419" i="30"/>
  <c r="R419" i="30"/>
  <c r="C420" i="30"/>
  <c r="D420" i="30"/>
  <c r="E420" i="30"/>
  <c r="F420" i="30"/>
  <c r="G420" i="30"/>
  <c r="H420" i="30"/>
  <c r="I420" i="30"/>
  <c r="J420" i="30"/>
  <c r="K420" i="30"/>
  <c r="L420" i="30"/>
  <c r="M420" i="30"/>
  <c r="N420" i="30"/>
  <c r="O420" i="30"/>
  <c r="P420" i="30"/>
  <c r="Q420" i="30"/>
  <c r="R420" i="30"/>
  <c r="C421" i="30"/>
  <c r="D421" i="30"/>
  <c r="E421" i="30"/>
  <c r="F421" i="30"/>
  <c r="G421" i="30"/>
  <c r="H421" i="30"/>
  <c r="I421" i="30"/>
  <c r="J421" i="30"/>
  <c r="K421" i="30"/>
  <c r="L421" i="30"/>
  <c r="M421" i="30"/>
  <c r="N421" i="30"/>
  <c r="O421" i="30"/>
  <c r="P421" i="30"/>
  <c r="Q421" i="30"/>
  <c r="R421" i="30"/>
  <c r="C422" i="30"/>
  <c r="D422" i="30"/>
  <c r="E422" i="30"/>
  <c r="F422" i="30"/>
  <c r="G422" i="30"/>
  <c r="H422" i="30"/>
  <c r="I422" i="30"/>
  <c r="J422" i="30"/>
  <c r="K422" i="30"/>
  <c r="L422" i="30"/>
  <c r="M422" i="30"/>
  <c r="N422" i="30"/>
  <c r="O422" i="30"/>
  <c r="P422" i="30"/>
  <c r="Q422" i="30"/>
  <c r="R422" i="30"/>
  <c r="C423" i="30"/>
  <c r="D423" i="30"/>
  <c r="E423" i="30"/>
  <c r="F423" i="30"/>
  <c r="G423" i="30"/>
  <c r="H423" i="30"/>
  <c r="I423" i="30"/>
  <c r="J423" i="30"/>
  <c r="K423" i="30"/>
  <c r="L423" i="30"/>
  <c r="M423" i="30"/>
  <c r="N423" i="30"/>
  <c r="O423" i="30"/>
  <c r="P423" i="30"/>
  <c r="Q423" i="30"/>
  <c r="R423" i="30"/>
  <c r="C424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P424" i="30"/>
  <c r="Q424" i="30"/>
  <c r="R424" i="30"/>
  <c r="C425" i="30"/>
  <c r="D425" i="30"/>
  <c r="E425" i="30"/>
  <c r="F425" i="30"/>
  <c r="G425" i="30"/>
  <c r="H425" i="30"/>
  <c r="I425" i="30"/>
  <c r="J425" i="30"/>
  <c r="K425" i="30"/>
  <c r="L425" i="30"/>
  <c r="M425" i="30"/>
  <c r="N425" i="30"/>
  <c r="O425" i="30"/>
  <c r="P425" i="30"/>
  <c r="Q425" i="30"/>
  <c r="R425" i="30"/>
  <c r="C426" i="30"/>
  <c r="D426" i="30"/>
  <c r="E426" i="30"/>
  <c r="F426" i="30"/>
  <c r="G426" i="30"/>
  <c r="H426" i="30"/>
  <c r="I426" i="30"/>
  <c r="J426" i="30"/>
  <c r="K426" i="30"/>
  <c r="L426" i="30"/>
  <c r="M426" i="30"/>
  <c r="N426" i="30"/>
  <c r="O426" i="30"/>
  <c r="P426" i="30"/>
  <c r="Q426" i="30"/>
  <c r="R426" i="30"/>
  <c r="C427" i="30"/>
  <c r="D427" i="30"/>
  <c r="E427" i="30"/>
  <c r="F427" i="30"/>
  <c r="G427" i="30"/>
  <c r="H427" i="30"/>
  <c r="I427" i="30"/>
  <c r="J427" i="30"/>
  <c r="K427" i="30"/>
  <c r="L427" i="30"/>
  <c r="M427" i="30"/>
  <c r="N427" i="30"/>
  <c r="O427" i="30"/>
  <c r="P427" i="30"/>
  <c r="Q427" i="30"/>
  <c r="R427" i="30"/>
  <c r="C428" i="30"/>
  <c r="D428" i="30"/>
  <c r="E428" i="30"/>
  <c r="F428" i="30"/>
  <c r="G428" i="30"/>
  <c r="H428" i="30"/>
  <c r="I428" i="30"/>
  <c r="J428" i="30"/>
  <c r="K428" i="30"/>
  <c r="L428" i="30"/>
  <c r="M428" i="30"/>
  <c r="N428" i="30"/>
  <c r="O428" i="30"/>
  <c r="P428" i="30"/>
  <c r="Q428" i="30"/>
  <c r="R428" i="30"/>
  <c r="C429" i="30"/>
  <c r="D429" i="30"/>
  <c r="E429" i="30"/>
  <c r="F429" i="30"/>
  <c r="G429" i="30"/>
  <c r="H429" i="30"/>
  <c r="I429" i="30"/>
  <c r="J429" i="30"/>
  <c r="K429" i="30"/>
  <c r="L429" i="30"/>
  <c r="M429" i="30"/>
  <c r="N429" i="30"/>
  <c r="O429" i="30"/>
  <c r="P429" i="30"/>
  <c r="Q429" i="30"/>
  <c r="R429" i="30"/>
  <c r="C430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P430" i="30"/>
  <c r="Q430" i="30"/>
  <c r="R430" i="30"/>
  <c r="C431" i="30"/>
  <c r="D431" i="30"/>
  <c r="E431" i="30"/>
  <c r="F431" i="30"/>
  <c r="G431" i="30"/>
  <c r="H431" i="30"/>
  <c r="I431" i="30"/>
  <c r="J431" i="30"/>
  <c r="K431" i="30"/>
  <c r="L431" i="30"/>
  <c r="M431" i="30"/>
  <c r="N431" i="30"/>
  <c r="O431" i="30"/>
  <c r="P431" i="30"/>
  <c r="Q431" i="30"/>
  <c r="R431" i="30"/>
  <c r="C432" i="30"/>
  <c r="D432" i="30"/>
  <c r="E432" i="30"/>
  <c r="F432" i="30"/>
  <c r="G432" i="30"/>
  <c r="H432" i="30"/>
  <c r="I432" i="30"/>
  <c r="J432" i="30"/>
  <c r="K432" i="30"/>
  <c r="L432" i="30"/>
  <c r="M432" i="30"/>
  <c r="N432" i="30"/>
  <c r="O432" i="30"/>
  <c r="P432" i="30"/>
  <c r="Q432" i="30"/>
  <c r="R432" i="30"/>
  <c r="C433" i="30"/>
  <c r="D433" i="30"/>
  <c r="E433" i="30"/>
  <c r="F433" i="30"/>
  <c r="G433" i="30"/>
  <c r="H433" i="30"/>
  <c r="I433" i="30"/>
  <c r="J433" i="30"/>
  <c r="K433" i="30"/>
  <c r="L433" i="30"/>
  <c r="M433" i="30"/>
  <c r="N433" i="30"/>
  <c r="O433" i="30"/>
  <c r="P433" i="30"/>
  <c r="Q433" i="30"/>
  <c r="R433" i="30"/>
  <c r="C434" i="30"/>
  <c r="D434" i="30"/>
  <c r="E434" i="30"/>
  <c r="F434" i="30"/>
  <c r="G434" i="30"/>
  <c r="H434" i="30"/>
  <c r="I434" i="30"/>
  <c r="J434" i="30"/>
  <c r="K434" i="30"/>
  <c r="L434" i="30"/>
  <c r="M434" i="30"/>
  <c r="N434" i="30"/>
  <c r="O434" i="30"/>
  <c r="P434" i="30"/>
  <c r="Q434" i="30"/>
  <c r="R434" i="30"/>
  <c r="C435" i="30"/>
  <c r="D435" i="30"/>
  <c r="E435" i="30"/>
  <c r="F435" i="30"/>
  <c r="G435" i="30"/>
  <c r="H435" i="30"/>
  <c r="I435" i="30"/>
  <c r="J435" i="30"/>
  <c r="K435" i="30"/>
  <c r="L435" i="30"/>
  <c r="M435" i="30"/>
  <c r="N435" i="30"/>
  <c r="O435" i="30"/>
  <c r="P435" i="30"/>
  <c r="Q435" i="30"/>
  <c r="R435" i="30"/>
  <c r="C436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P436" i="30"/>
  <c r="Q436" i="30"/>
  <c r="R436" i="30"/>
  <c r="C437" i="30"/>
  <c r="D437" i="30"/>
  <c r="E437" i="30"/>
  <c r="F437" i="30"/>
  <c r="G437" i="30"/>
  <c r="H437" i="30"/>
  <c r="I437" i="30"/>
  <c r="J437" i="30"/>
  <c r="K437" i="30"/>
  <c r="L437" i="30"/>
  <c r="M437" i="30"/>
  <c r="N437" i="30"/>
  <c r="O437" i="30"/>
  <c r="P437" i="30"/>
  <c r="Q437" i="30"/>
  <c r="R437" i="30"/>
  <c r="C438" i="30"/>
  <c r="D438" i="30"/>
  <c r="E438" i="30"/>
  <c r="F438" i="30"/>
  <c r="G438" i="30"/>
  <c r="H438" i="30"/>
  <c r="I438" i="30"/>
  <c r="J438" i="30"/>
  <c r="K438" i="30"/>
  <c r="L438" i="30"/>
  <c r="M438" i="30"/>
  <c r="N438" i="30"/>
  <c r="O438" i="30"/>
  <c r="P438" i="30"/>
  <c r="Q438" i="30"/>
  <c r="R438" i="30"/>
  <c r="C439" i="30"/>
  <c r="D439" i="30"/>
  <c r="E439" i="30"/>
  <c r="F439" i="30"/>
  <c r="G439" i="30"/>
  <c r="H439" i="30"/>
  <c r="I439" i="30"/>
  <c r="J439" i="30"/>
  <c r="K439" i="30"/>
  <c r="L439" i="30"/>
  <c r="M439" i="30"/>
  <c r="N439" i="30"/>
  <c r="O439" i="30"/>
  <c r="P439" i="30"/>
  <c r="Q439" i="30"/>
  <c r="R439" i="30"/>
  <c r="C440" i="30"/>
  <c r="D440" i="30"/>
  <c r="E440" i="30"/>
  <c r="F440" i="30"/>
  <c r="G440" i="30"/>
  <c r="H440" i="30"/>
  <c r="I440" i="30"/>
  <c r="J440" i="30"/>
  <c r="K440" i="30"/>
  <c r="L440" i="30"/>
  <c r="M440" i="30"/>
  <c r="N440" i="30"/>
  <c r="O440" i="30"/>
  <c r="P440" i="30"/>
  <c r="Q440" i="30"/>
  <c r="R440" i="30"/>
  <c r="C441" i="30"/>
  <c r="D441" i="30"/>
  <c r="E441" i="30"/>
  <c r="F441" i="30"/>
  <c r="G441" i="30"/>
  <c r="H441" i="30"/>
  <c r="I441" i="30"/>
  <c r="J441" i="30"/>
  <c r="K441" i="30"/>
  <c r="L441" i="30"/>
  <c r="M441" i="30"/>
  <c r="N441" i="30"/>
  <c r="O441" i="30"/>
  <c r="P441" i="30"/>
  <c r="Q441" i="30"/>
  <c r="R441" i="30"/>
  <c r="C442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P442" i="30"/>
  <c r="Q442" i="30"/>
  <c r="R442" i="30"/>
  <c r="C443" i="30"/>
  <c r="D443" i="30"/>
  <c r="E443" i="30"/>
  <c r="F443" i="30"/>
  <c r="G443" i="30"/>
  <c r="H443" i="30"/>
  <c r="I443" i="30"/>
  <c r="J443" i="30"/>
  <c r="K443" i="30"/>
  <c r="L443" i="30"/>
  <c r="M443" i="30"/>
  <c r="N443" i="30"/>
  <c r="O443" i="30"/>
  <c r="P443" i="30"/>
  <c r="Q443" i="30"/>
  <c r="R443" i="30"/>
  <c r="C444" i="30"/>
  <c r="D444" i="30"/>
  <c r="E444" i="30"/>
  <c r="F444" i="30"/>
  <c r="G444" i="30"/>
  <c r="H444" i="30"/>
  <c r="I444" i="30"/>
  <c r="J444" i="30"/>
  <c r="K444" i="30"/>
  <c r="L444" i="30"/>
  <c r="M444" i="30"/>
  <c r="N444" i="30"/>
  <c r="O444" i="30"/>
  <c r="P444" i="30"/>
  <c r="Q444" i="30"/>
  <c r="R444" i="30"/>
  <c r="C445" i="30"/>
  <c r="D445" i="30"/>
  <c r="E445" i="30"/>
  <c r="F445" i="30"/>
  <c r="G445" i="30"/>
  <c r="H445" i="30"/>
  <c r="I445" i="30"/>
  <c r="J445" i="30"/>
  <c r="K445" i="30"/>
  <c r="L445" i="30"/>
  <c r="M445" i="30"/>
  <c r="N445" i="30"/>
  <c r="O445" i="30"/>
  <c r="P445" i="30"/>
  <c r="Q445" i="30"/>
  <c r="R445" i="30"/>
  <c r="C446" i="30"/>
  <c r="D446" i="30"/>
  <c r="E446" i="30"/>
  <c r="F446" i="30"/>
  <c r="G446" i="30"/>
  <c r="H446" i="30"/>
  <c r="I446" i="30"/>
  <c r="J446" i="30"/>
  <c r="K446" i="30"/>
  <c r="L446" i="30"/>
  <c r="M446" i="30"/>
  <c r="N446" i="30"/>
  <c r="O446" i="30"/>
  <c r="P446" i="30"/>
  <c r="Q446" i="30"/>
  <c r="R446" i="30"/>
  <c r="C447" i="30"/>
  <c r="D447" i="30"/>
  <c r="E447" i="30"/>
  <c r="F447" i="30"/>
  <c r="G447" i="30"/>
  <c r="H447" i="30"/>
  <c r="I447" i="30"/>
  <c r="J447" i="30"/>
  <c r="K447" i="30"/>
  <c r="L447" i="30"/>
  <c r="M447" i="30"/>
  <c r="N447" i="30"/>
  <c r="O447" i="30"/>
  <c r="P447" i="30"/>
  <c r="Q447" i="30"/>
  <c r="R447" i="30"/>
  <c r="C448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P448" i="30"/>
  <c r="Q448" i="30"/>
  <c r="R448" i="30"/>
  <c r="C449" i="30"/>
  <c r="D449" i="30"/>
  <c r="E449" i="30"/>
  <c r="F449" i="30"/>
  <c r="G449" i="30"/>
  <c r="H449" i="30"/>
  <c r="I449" i="30"/>
  <c r="J449" i="30"/>
  <c r="K449" i="30"/>
  <c r="L449" i="30"/>
  <c r="M449" i="30"/>
  <c r="N449" i="30"/>
  <c r="O449" i="30"/>
  <c r="P449" i="30"/>
  <c r="Q449" i="30"/>
  <c r="R449" i="30"/>
  <c r="C450" i="30"/>
  <c r="D450" i="30"/>
  <c r="E450" i="30"/>
  <c r="F450" i="30"/>
  <c r="G450" i="30"/>
  <c r="H450" i="30"/>
  <c r="I450" i="30"/>
  <c r="J450" i="30"/>
  <c r="K450" i="30"/>
  <c r="L450" i="30"/>
  <c r="M450" i="30"/>
  <c r="N450" i="30"/>
  <c r="O450" i="30"/>
  <c r="P450" i="30"/>
  <c r="Q450" i="30"/>
  <c r="R450" i="30"/>
  <c r="C451" i="30"/>
  <c r="D451" i="30"/>
  <c r="E451" i="30"/>
  <c r="F451" i="30"/>
  <c r="G451" i="30"/>
  <c r="H451" i="30"/>
  <c r="I451" i="30"/>
  <c r="J451" i="30"/>
  <c r="K451" i="30"/>
  <c r="L451" i="30"/>
  <c r="M451" i="30"/>
  <c r="N451" i="30"/>
  <c r="O451" i="30"/>
  <c r="P451" i="30"/>
  <c r="Q451" i="30"/>
  <c r="R451" i="30"/>
  <c r="C452" i="30"/>
  <c r="D452" i="30"/>
  <c r="E452" i="30"/>
  <c r="F452" i="30"/>
  <c r="G452" i="30"/>
  <c r="H452" i="30"/>
  <c r="I452" i="30"/>
  <c r="J452" i="30"/>
  <c r="K452" i="30"/>
  <c r="L452" i="30"/>
  <c r="M452" i="30"/>
  <c r="N452" i="30"/>
  <c r="O452" i="30"/>
  <c r="P452" i="30"/>
  <c r="Q452" i="30"/>
  <c r="R452" i="30"/>
  <c r="C453" i="30"/>
  <c r="D453" i="30"/>
  <c r="E453" i="30"/>
  <c r="F453" i="30"/>
  <c r="G453" i="30"/>
  <c r="H453" i="30"/>
  <c r="I453" i="30"/>
  <c r="J453" i="30"/>
  <c r="K453" i="30"/>
  <c r="L453" i="30"/>
  <c r="M453" i="30"/>
  <c r="N453" i="30"/>
  <c r="O453" i="30"/>
  <c r="P453" i="30"/>
  <c r="Q453" i="30"/>
  <c r="R453" i="30"/>
  <c r="C454" i="30"/>
  <c r="D454" i="30"/>
  <c r="E454" i="30"/>
  <c r="F454" i="30"/>
  <c r="G454" i="30"/>
  <c r="H454" i="30"/>
  <c r="I454" i="30"/>
  <c r="J454" i="30"/>
  <c r="K454" i="30"/>
  <c r="L454" i="30"/>
  <c r="M454" i="30"/>
  <c r="N454" i="30"/>
  <c r="O454" i="30"/>
  <c r="P454" i="30"/>
  <c r="Q454" i="30"/>
  <c r="R454" i="30"/>
  <c r="C455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P455" i="30"/>
  <c r="Q455" i="30"/>
  <c r="R455" i="30"/>
  <c r="C456" i="30"/>
  <c r="D456" i="30"/>
  <c r="E456" i="30"/>
  <c r="F456" i="30"/>
  <c r="G456" i="30"/>
  <c r="H456" i="30"/>
  <c r="I456" i="30"/>
  <c r="J456" i="30"/>
  <c r="K456" i="30"/>
  <c r="L456" i="30"/>
  <c r="M456" i="30"/>
  <c r="N456" i="30"/>
  <c r="O456" i="30"/>
  <c r="P456" i="30"/>
  <c r="Q456" i="30"/>
  <c r="R456" i="30"/>
  <c r="C457" i="30"/>
  <c r="D457" i="30"/>
  <c r="E457" i="30"/>
  <c r="F457" i="30"/>
  <c r="G457" i="30"/>
  <c r="H457" i="30"/>
  <c r="I457" i="30"/>
  <c r="J457" i="30"/>
  <c r="K457" i="30"/>
  <c r="L457" i="30"/>
  <c r="M457" i="30"/>
  <c r="N457" i="30"/>
  <c r="O457" i="30"/>
  <c r="P457" i="30"/>
  <c r="Q457" i="30"/>
  <c r="R457" i="30"/>
  <c r="C458" i="30"/>
  <c r="D458" i="30"/>
  <c r="E458" i="30"/>
  <c r="F458" i="30"/>
  <c r="G458" i="30"/>
  <c r="H458" i="30"/>
  <c r="I458" i="30"/>
  <c r="J458" i="30"/>
  <c r="K458" i="30"/>
  <c r="L458" i="30"/>
  <c r="M458" i="30"/>
  <c r="N458" i="30"/>
  <c r="O458" i="30"/>
  <c r="P458" i="30"/>
  <c r="Q458" i="30"/>
  <c r="R458" i="30"/>
  <c r="C459" i="30"/>
  <c r="D459" i="30"/>
  <c r="E459" i="30"/>
  <c r="F459" i="30"/>
  <c r="G459" i="30"/>
  <c r="H459" i="30"/>
  <c r="I459" i="30"/>
  <c r="J459" i="30"/>
  <c r="K459" i="30"/>
  <c r="L459" i="30"/>
  <c r="M459" i="30"/>
  <c r="N459" i="30"/>
  <c r="O459" i="30"/>
  <c r="P459" i="30"/>
  <c r="Q459" i="30"/>
  <c r="R459" i="30"/>
  <c r="C460" i="30"/>
  <c r="D460" i="30"/>
  <c r="E460" i="30"/>
  <c r="F460" i="30"/>
  <c r="G460" i="30"/>
  <c r="H460" i="30"/>
  <c r="I460" i="30"/>
  <c r="J460" i="30"/>
  <c r="K460" i="30"/>
  <c r="L460" i="30"/>
  <c r="M460" i="30"/>
  <c r="N460" i="30"/>
  <c r="O460" i="30"/>
  <c r="P460" i="30"/>
  <c r="Q460" i="30"/>
  <c r="R460" i="30"/>
  <c r="C461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P461" i="30"/>
  <c r="Q461" i="30"/>
  <c r="R461" i="30"/>
  <c r="C462" i="30"/>
  <c r="D462" i="30"/>
  <c r="E462" i="30"/>
  <c r="F462" i="30"/>
  <c r="G462" i="30"/>
  <c r="H462" i="30"/>
  <c r="I462" i="30"/>
  <c r="J462" i="30"/>
  <c r="K462" i="30"/>
  <c r="L462" i="30"/>
  <c r="M462" i="30"/>
  <c r="N462" i="30"/>
  <c r="O462" i="30"/>
  <c r="P462" i="30"/>
  <c r="Q462" i="30"/>
  <c r="R462" i="30"/>
  <c r="C463" i="30"/>
  <c r="D463" i="30"/>
  <c r="E463" i="30"/>
  <c r="F463" i="30"/>
  <c r="G463" i="30"/>
  <c r="H463" i="30"/>
  <c r="I463" i="30"/>
  <c r="J463" i="30"/>
  <c r="K463" i="30"/>
  <c r="L463" i="30"/>
  <c r="M463" i="30"/>
  <c r="N463" i="30"/>
  <c r="O463" i="30"/>
  <c r="P463" i="30"/>
  <c r="Q463" i="30"/>
  <c r="R463" i="30"/>
  <c r="C464" i="30"/>
  <c r="D464" i="30"/>
  <c r="E464" i="30"/>
  <c r="F464" i="30"/>
  <c r="G464" i="30"/>
  <c r="H464" i="30"/>
  <c r="I464" i="30"/>
  <c r="J464" i="30"/>
  <c r="K464" i="30"/>
  <c r="L464" i="30"/>
  <c r="M464" i="30"/>
  <c r="N464" i="30"/>
  <c r="O464" i="30"/>
  <c r="P464" i="30"/>
  <c r="Q464" i="30"/>
  <c r="R464" i="30"/>
  <c r="C465" i="30"/>
  <c r="D465" i="30"/>
  <c r="E465" i="30"/>
  <c r="F465" i="30"/>
  <c r="G465" i="30"/>
  <c r="H465" i="30"/>
  <c r="I465" i="30"/>
  <c r="J465" i="30"/>
  <c r="K465" i="30"/>
  <c r="L465" i="30"/>
  <c r="M465" i="30"/>
  <c r="N465" i="30"/>
  <c r="O465" i="30"/>
  <c r="P465" i="30"/>
  <c r="Q465" i="30"/>
  <c r="R465" i="30"/>
  <c r="C466" i="30"/>
  <c r="D466" i="30"/>
  <c r="E466" i="30"/>
  <c r="F466" i="30"/>
  <c r="G466" i="30"/>
  <c r="H466" i="30"/>
  <c r="I466" i="30"/>
  <c r="J466" i="30"/>
  <c r="K466" i="30"/>
  <c r="L466" i="30"/>
  <c r="M466" i="30"/>
  <c r="N466" i="30"/>
  <c r="O466" i="30"/>
  <c r="P466" i="30"/>
  <c r="Q466" i="30"/>
  <c r="R466" i="30"/>
  <c r="C467" i="30"/>
  <c r="D467" i="30"/>
  <c r="E467" i="30"/>
  <c r="F467" i="30"/>
  <c r="G467" i="30"/>
  <c r="H467" i="30"/>
  <c r="I467" i="30"/>
  <c r="J467" i="30"/>
  <c r="K467" i="30"/>
  <c r="L467" i="30"/>
  <c r="M467" i="30"/>
  <c r="N467" i="30"/>
  <c r="O467" i="30"/>
  <c r="P467" i="30"/>
  <c r="Q467" i="30"/>
  <c r="R467" i="30"/>
  <c r="C468" i="30"/>
  <c r="D468" i="30"/>
  <c r="E468" i="30"/>
  <c r="F468" i="30"/>
  <c r="G468" i="30"/>
  <c r="H468" i="30"/>
  <c r="I468" i="30"/>
  <c r="J468" i="30"/>
  <c r="K468" i="30"/>
  <c r="L468" i="30"/>
  <c r="M468" i="30"/>
  <c r="N468" i="30"/>
  <c r="O468" i="30"/>
  <c r="P468" i="30"/>
  <c r="Q468" i="30"/>
  <c r="R468" i="30"/>
  <c r="C469" i="30"/>
  <c r="D469" i="30"/>
  <c r="E469" i="30"/>
  <c r="F469" i="30"/>
  <c r="G469" i="30"/>
  <c r="H469" i="30"/>
  <c r="I469" i="30"/>
  <c r="J469" i="30"/>
  <c r="K469" i="30"/>
  <c r="L469" i="30"/>
  <c r="M469" i="30"/>
  <c r="N469" i="30"/>
  <c r="O469" i="30"/>
  <c r="P469" i="30"/>
  <c r="Q469" i="30"/>
  <c r="R469" i="30"/>
  <c r="C470" i="30"/>
  <c r="D470" i="30"/>
  <c r="E470" i="30"/>
  <c r="F470" i="30"/>
  <c r="G470" i="30"/>
  <c r="H470" i="30"/>
  <c r="I470" i="30"/>
  <c r="J470" i="30"/>
  <c r="K470" i="30"/>
  <c r="L470" i="30"/>
  <c r="M470" i="30"/>
  <c r="N470" i="30"/>
  <c r="O470" i="30"/>
  <c r="P470" i="30"/>
  <c r="Q470" i="30"/>
  <c r="R470" i="30"/>
  <c r="C471" i="30"/>
  <c r="D471" i="30"/>
  <c r="E471" i="30"/>
  <c r="F471" i="30"/>
  <c r="G471" i="30"/>
  <c r="H471" i="30"/>
  <c r="I471" i="30"/>
  <c r="J471" i="30"/>
  <c r="K471" i="30"/>
  <c r="L471" i="30"/>
  <c r="M471" i="30"/>
  <c r="N471" i="30"/>
  <c r="O471" i="30"/>
  <c r="P471" i="30"/>
  <c r="Q471" i="30"/>
  <c r="R471" i="30"/>
  <c r="C472" i="30"/>
  <c r="D472" i="30"/>
  <c r="E472" i="30"/>
  <c r="F472" i="30"/>
  <c r="G472" i="30"/>
  <c r="H472" i="30"/>
  <c r="I472" i="30"/>
  <c r="J472" i="30"/>
  <c r="K472" i="30"/>
  <c r="L472" i="30"/>
  <c r="M472" i="30"/>
  <c r="N472" i="30"/>
  <c r="O472" i="30"/>
  <c r="P472" i="30"/>
  <c r="Q472" i="30"/>
  <c r="R472" i="30"/>
  <c r="C473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P473" i="30"/>
  <c r="Q473" i="30"/>
  <c r="R473" i="30"/>
  <c r="C474" i="30"/>
  <c r="D474" i="30"/>
  <c r="E474" i="30"/>
  <c r="F474" i="30"/>
  <c r="G474" i="30"/>
  <c r="H474" i="30"/>
  <c r="I474" i="30"/>
  <c r="J474" i="30"/>
  <c r="K474" i="30"/>
  <c r="L474" i="30"/>
  <c r="M474" i="30"/>
  <c r="N474" i="30"/>
  <c r="O474" i="30"/>
  <c r="P474" i="30"/>
  <c r="Q474" i="30"/>
  <c r="R474" i="30"/>
  <c r="C475" i="30"/>
  <c r="D475" i="30"/>
  <c r="E475" i="30"/>
  <c r="F475" i="30"/>
  <c r="G475" i="30"/>
  <c r="H475" i="30"/>
  <c r="I475" i="30"/>
  <c r="J475" i="30"/>
  <c r="K475" i="30"/>
  <c r="L475" i="30"/>
  <c r="M475" i="30"/>
  <c r="N475" i="30"/>
  <c r="O475" i="30"/>
  <c r="P475" i="30"/>
  <c r="Q475" i="30"/>
  <c r="R475" i="30"/>
  <c r="C476" i="30"/>
  <c r="D476" i="30"/>
  <c r="E476" i="30"/>
  <c r="F476" i="30"/>
  <c r="G476" i="30"/>
  <c r="H476" i="30"/>
  <c r="I476" i="30"/>
  <c r="J476" i="30"/>
  <c r="K476" i="30"/>
  <c r="L476" i="30"/>
  <c r="M476" i="30"/>
  <c r="N476" i="30"/>
  <c r="O476" i="30"/>
  <c r="P476" i="30"/>
  <c r="Q476" i="30"/>
  <c r="R476" i="30"/>
  <c r="C477" i="30"/>
  <c r="D477" i="30"/>
  <c r="E477" i="30"/>
  <c r="F477" i="30"/>
  <c r="G477" i="30"/>
  <c r="H477" i="30"/>
  <c r="I477" i="30"/>
  <c r="J477" i="30"/>
  <c r="K477" i="30"/>
  <c r="L477" i="30"/>
  <c r="M477" i="30"/>
  <c r="N477" i="30"/>
  <c r="O477" i="30"/>
  <c r="P477" i="30"/>
  <c r="Q477" i="30"/>
  <c r="R477" i="30"/>
  <c r="C478" i="30"/>
  <c r="D478" i="30"/>
  <c r="E478" i="30"/>
  <c r="F478" i="30"/>
  <c r="G478" i="30"/>
  <c r="H478" i="30"/>
  <c r="I478" i="30"/>
  <c r="J478" i="30"/>
  <c r="K478" i="30"/>
  <c r="L478" i="30"/>
  <c r="M478" i="30"/>
  <c r="N478" i="30"/>
  <c r="O478" i="30"/>
  <c r="P478" i="30"/>
  <c r="Q478" i="30"/>
  <c r="R478" i="30"/>
  <c r="C479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P479" i="30"/>
  <c r="Q479" i="30"/>
  <c r="R479" i="30"/>
  <c r="C480" i="30"/>
  <c r="D480" i="30"/>
  <c r="E480" i="30"/>
  <c r="F480" i="30"/>
  <c r="G480" i="30"/>
  <c r="H480" i="30"/>
  <c r="I480" i="30"/>
  <c r="J480" i="30"/>
  <c r="K480" i="30"/>
  <c r="L480" i="30"/>
  <c r="M480" i="30"/>
  <c r="N480" i="30"/>
  <c r="O480" i="30"/>
  <c r="P480" i="30"/>
  <c r="Q480" i="30"/>
  <c r="R480" i="30"/>
  <c r="C481" i="30"/>
  <c r="D481" i="30"/>
  <c r="E481" i="30"/>
  <c r="F481" i="30"/>
  <c r="G481" i="30"/>
  <c r="H481" i="30"/>
  <c r="I481" i="30"/>
  <c r="J481" i="30"/>
  <c r="K481" i="30"/>
  <c r="L481" i="30"/>
  <c r="M481" i="30"/>
  <c r="N481" i="30"/>
  <c r="O481" i="30"/>
  <c r="P481" i="30"/>
  <c r="Q481" i="30"/>
  <c r="R481" i="30"/>
  <c r="C482" i="30"/>
  <c r="D482" i="30"/>
  <c r="E482" i="30"/>
  <c r="F482" i="30"/>
  <c r="G482" i="30"/>
  <c r="H482" i="30"/>
  <c r="I482" i="30"/>
  <c r="J482" i="30"/>
  <c r="K482" i="30"/>
  <c r="L482" i="30"/>
  <c r="M482" i="30"/>
  <c r="N482" i="30"/>
  <c r="O482" i="30"/>
  <c r="P482" i="30"/>
  <c r="Q482" i="30"/>
  <c r="R482" i="30"/>
  <c r="C483" i="30"/>
  <c r="D483" i="30"/>
  <c r="E483" i="30"/>
  <c r="F483" i="30"/>
  <c r="G483" i="30"/>
  <c r="H483" i="30"/>
  <c r="I483" i="30"/>
  <c r="J483" i="30"/>
  <c r="K483" i="30"/>
  <c r="L483" i="30"/>
  <c r="M483" i="30"/>
  <c r="N483" i="30"/>
  <c r="O483" i="30"/>
  <c r="P483" i="30"/>
  <c r="Q483" i="30"/>
  <c r="R483" i="30"/>
  <c r="C484" i="30"/>
  <c r="D484" i="30"/>
  <c r="E484" i="30"/>
  <c r="F484" i="30"/>
  <c r="G484" i="30"/>
  <c r="H484" i="30"/>
  <c r="I484" i="30"/>
  <c r="J484" i="30"/>
  <c r="K484" i="30"/>
  <c r="L484" i="30"/>
  <c r="M484" i="30"/>
  <c r="N484" i="30"/>
  <c r="O484" i="30"/>
  <c r="P484" i="30"/>
  <c r="Q484" i="30"/>
  <c r="R484" i="30"/>
  <c r="C485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P485" i="30"/>
  <c r="Q485" i="30"/>
  <c r="R485" i="30"/>
  <c r="C486" i="30"/>
  <c r="D486" i="30"/>
  <c r="E486" i="30"/>
  <c r="F486" i="30"/>
  <c r="G486" i="30"/>
  <c r="H486" i="30"/>
  <c r="I486" i="30"/>
  <c r="J486" i="30"/>
  <c r="K486" i="30"/>
  <c r="L486" i="30"/>
  <c r="M486" i="30"/>
  <c r="N486" i="30"/>
  <c r="O486" i="30"/>
  <c r="P486" i="30"/>
  <c r="Q486" i="30"/>
  <c r="R486" i="30"/>
  <c r="C487" i="30"/>
  <c r="D487" i="30"/>
  <c r="E487" i="30"/>
  <c r="F487" i="30"/>
  <c r="G487" i="30"/>
  <c r="H487" i="30"/>
  <c r="I487" i="30"/>
  <c r="J487" i="30"/>
  <c r="K487" i="30"/>
  <c r="L487" i="30"/>
  <c r="M487" i="30"/>
  <c r="N487" i="30"/>
  <c r="O487" i="30"/>
  <c r="P487" i="30"/>
  <c r="Q487" i="30"/>
  <c r="R487" i="30"/>
  <c r="C488" i="30"/>
  <c r="D488" i="30"/>
  <c r="E488" i="30"/>
  <c r="F488" i="30"/>
  <c r="G488" i="30"/>
  <c r="H488" i="30"/>
  <c r="I488" i="30"/>
  <c r="J488" i="30"/>
  <c r="K488" i="30"/>
  <c r="L488" i="30"/>
  <c r="M488" i="30"/>
  <c r="N488" i="30"/>
  <c r="O488" i="30"/>
  <c r="P488" i="30"/>
  <c r="Q488" i="30"/>
  <c r="R488" i="30"/>
  <c r="C489" i="30"/>
  <c r="D489" i="30"/>
  <c r="E489" i="30"/>
  <c r="F489" i="30"/>
  <c r="G489" i="30"/>
  <c r="H489" i="30"/>
  <c r="I489" i="30"/>
  <c r="J489" i="30"/>
  <c r="K489" i="30"/>
  <c r="L489" i="30"/>
  <c r="M489" i="30"/>
  <c r="N489" i="30"/>
  <c r="O489" i="30"/>
  <c r="P489" i="30"/>
  <c r="Q489" i="30"/>
  <c r="R489" i="30"/>
  <c r="C490" i="30"/>
  <c r="D490" i="30"/>
  <c r="E490" i="30"/>
  <c r="F490" i="30"/>
  <c r="G490" i="30"/>
  <c r="H490" i="30"/>
  <c r="I490" i="30"/>
  <c r="J490" i="30"/>
  <c r="K490" i="30"/>
  <c r="L490" i="30"/>
  <c r="M490" i="30"/>
  <c r="N490" i="30"/>
  <c r="O490" i="30"/>
  <c r="P490" i="30"/>
  <c r="Q490" i="30"/>
  <c r="R490" i="30"/>
  <c r="C491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P491" i="30"/>
  <c r="Q491" i="30"/>
  <c r="R491" i="30"/>
  <c r="C492" i="30"/>
  <c r="D492" i="30"/>
  <c r="E492" i="30"/>
  <c r="F492" i="30"/>
  <c r="G492" i="30"/>
  <c r="H492" i="30"/>
  <c r="I492" i="30"/>
  <c r="J492" i="30"/>
  <c r="K492" i="30"/>
  <c r="L492" i="30"/>
  <c r="M492" i="30"/>
  <c r="N492" i="30"/>
  <c r="O492" i="30"/>
  <c r="P492" i="30"/>
  <c r="Q492" i="30"/>
  <c r="R492" i="30"/>
  <c r="C493" i="30"/>
  <c r="D493" i="30"/>
  <c r="E493" i="30"/>
  <c r="F493" i="30"/>
  <c r="G493" i="30"/>
  <c r="H493" i="30"/>
  <c r="I493" i="30"/>
  <c r="J493" i="30"/>
  <c r="K493" i="30"/>
  <c r="L493" i="30"/>
  <c r="M493" i="30"/>
  <c r="N493" i="30"/>
  <c r="O493" i="30"/>
  <c r="P493" i="30"/>
  <c r="Q493" i="30"/>
  <c r="R493" i="30"/>
  <c r="C494" i="30"/>
  <c r="D494" i="30"/>
  <c r="E494" i="30"/>
  <c r="F494" i="30"/>
  <c r="G494" i="30"/>
  <c r="H494" i="30"/>
  <c r="I494" i="30"/>
  <c r="J494" i="30"/>
  <c r="K494" i="30"/>
  <c r="L494" i="30"/>
  <c r="M494" i="30"/>
  <c r="N494" i="30"/>
  <c r="O494" i="30"/>
  <c r="P494" i="30"/>
  <c r="Q494" i="30"/>
  <c r="R494" i="30"/>
  <c r="C495" i="30"/>
  <c r="D495" i="30"/>
  <c r="E495" i="30"/>
  <c r="F495" i="30"/>
  <c r="G495" i="30"/>
  <c r="H495" i="30"/>
  <c r="I495" i="30"/>
  <c r="J495" i="30"/>
  <c r="K495" i="30"/>
  <c r="L495" i="30"/>
  <c r="M495" i="30"/>
  <c r="N495" i="30"/>
  <c r="O495" i="30"/>
  <c r="P495" i="30"/>
  <c r="Q495" i="30"/>
  <c r="R495" i="30"/>
  <c r="C496" i="30"/>
  <c r="D496" i="30"/>
  <c r="E496" i="30"/>
  <c r="F496" i="30"/>
  <c r="G496" i="30"/>
  <c r="H496" i="30"/>
  <c r="I496" i="30"/>
  <c r="J496" i="30"/>
  <c r="K496" i="30"/>
  <c r="L496" i="30"/>
  <c r="M496" i="30"/>
  <c r="N496" i="30"/>
  <c r="O496" i="30"/>
  <c r="P496" i="30"/>
  <c r="Q496" i="30"/>
  <c r="R496" i="30"/>
  <c r="C497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P497" i="30"/>
  <c r="Q497" i="30"/>
  <c r="R497" i="30"/>
  <c r="C498" i="30"/>
  <c r="D498" i="30"/>
  <c r="E498" i="30"/>
  <c r="F498" i="30"/>
  <c r="G498" i="30"/>
  <c r="H498" i="30"/>
  <c r="I498" i="30"/>
  <c r="J498" i="30"/>
  <c r="K498" i="30"/>
  <c r="L498" i="30"/>
  <c r="M498" i="30"/>
  <c r="N498" i="30"/>
  <c r="O498" i="30"/>
  <c r="P498" i="30"/>
  <c r="Q498" i="30"/>
  <c r="R498" i="30"/>
  <c r="C499" i="30"/>
  <c r="D499" i="30"/>
  <c r="E499" i="30"/>
  <c r="F499" i="30"/>
  <c r="G499" i="30"/>
  <c r="H499" i="30"/>
  <c r="I499" i="30"/>
  <c r="J499" i="30"/>
  <c r="K499" i="30"/>
  <c r="L499" i="30"/>
  <c r="M499" i="30"/>
  <c r="N499" i="30"/>
  <c r="O499" i="30"/>
  <c r="P499" i="30"/>
  <c r="Q499" i="30"/>
  <c r="R499" i="30"/>
  <c r="C500" i="30"/>
  <c r="D500" i="30"/>
  <c r="E500" i="30"/>
  <c r="F500" i="30"/>
  <c r="G500" i="30"/>
  <c r="H500" i="30"/>
  <c r="I500" i="30"/>
  <c r="J500" i="30"/>
  <c r="K500" i="30"/>
  <c r="L500" i="30"/>
  <c r="M500" i="30"/>
  <c r="N500" i="30"/>
  <c r="O500" i="30"/>
  <c r="P500" i="30"/>
  <c r="Q500" i="30"/>
  <c r="R500" i="30"/>
  <c r="C501" i="30"/>
  <c r="D501" i="30"/>
  <c r="E501" i="30"/>
  <c r="F501" i="30"/>
  <c r="G501" i="30"/>
  <c r="H501" i="30"/>
  <c r="I501" i="30"/>
  <c r="J501" i="30"/>
  <c r="K501" i="30"/>
  <c r="L501" i="30"/>
  <c r="M501" i="30"/>
  <c r="N501" i="30"/>
  <c r="O501" i="30"/>
  <c r="P501" i="30"/>
  <c r="Q501" i="30"/>
  <c r="R501" i="30"/>
  <c r="C502" i="30"/>
  <c r="D502" i="30"/>
  <c r="E502" i="30"/>
  <c r="F502" i="30"/>
  <c r="G502" i="30"/>
  <c r="H502" i="30"/>
  <c r="I502" i="30"/>
  <c r="J502" i="30"/>
  <c r="K502" i="30"/>
  <c r="L502" i="30"/>
  <c r="M502" i="30"/>
  <c r="N502" i="30"/>
  <c r="O502" i="30"/>
  <c r="P502" i="30"/>
  <c r="Q502" i="30"/>
  <c r="R502" i="30"/>
  <c r="C503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P503" i="30"/>
  <c r="Q503" i="30"/>
  <c r="R503" i="30"/>
  <c r="C504" i="30"/>
  <c r="D504" i="30"/>
  <c r="E504" i="30"/>
  <c r="F504" i="30"/>
  <c r="G504" i="30"/>
  <c r="H504" i="30"/>
  <c r="I504" i="30"/>
  <c r="J504" i="30"/>
  <c r="K504" i="30"/>
  <c r="L504" i="30"/>
  <c r="M504" i="30"/>
  <c r="N504" i="30"/>
  <c r="O504" i="30"/>
  <c r="P504" i="30"/>
  <c r="Q504" i="30"/>
  <c r="R504" i="30"/>
  <c r="C505" i="30"/>
  <c r="D505" i="30"/>
  <c r="E505" i="30"/>
  <c r="F505" i="30"/>
  <c r="G505" i="30"/>
  <c r="H505" i="30"/>
  <c r="I505" i="30"/>
  <c r="J505" i="30"/>
  <c r="K505" i="30"/>
  <c r="L505" i="30"/>
  <c r="M505" i="30"/>
  <c r="N505" i="30"/>
  <c r="O505" i="30"/>
  <c r="P505" i="30"/>
  <c r="Q505" i="30"/>
  <c r="R505" i="30"/>
  <c r="C506" i="30"/>
  <c r="D506" i="30"/>
  <c r="E506" i="30"/>
  <c r="F506" i="30"/>
  <c r="G506" i="30"/>
  <c r="H506" i="30"/>
  <c r="I506" i="30"/>
  <c r="J506" i="30"/>
  <c r="K506" i="30"/>
  <c r="L506" i="30"/>
  <c r="M506" i="30"/>
  <c r="N506" i="30"/>
  <c r="O506" i="30"/>
  <c r="P506" i="30"/>
  <c r="Q506" i="30"/>
  <c r="R506" i="30"/>
  <c r="C507" i="30"/>
  <c r="D507" i="30"/>
  <c r="E507" i="30"/>
  <c r="F507" i="30"/>
  <c r="G507" i="30"/>
  <c r="H507" i="30"/>
  <c r="I507" i="30"/>
  <c r="J507" i="30"/>
  <c r="K507" i="30"/>
  <c r="L507" i="30"/>
  <c r="M507" i="30"/>
  <c r="N507" i="30"/>
  <c r="O507" i="30"/>
  <c r="P507" i="30"/>
  <c r="Q507" i="30"/>
  <c r="R507" i="30"/>
  <c r="C508" i="30"/>
  <c r="D508" i="30"/>
  <c r="E508" i="30"/>
  <c r="F508" i="30"/>
  <c r="G508" i="30"/>
  <c r="H508" i="30"/>
  <c r="I508" i="30"/>
  <c r="J508" i="30"/>
  <c r="K508" i="30"/>
  <c r="L508" i="30"/>
  <c r="M508" i="30"/>
  <c r="N508" i="30"/>
  <c r="O508" i="30"/>
  <c r="P508" i="30"/>
  <c r="Q508" i="30"/>
  <c r="R508" i="30"/>
  <c r="C509" i="30"/>
  <c r="D509" i="30"/>
  <c r="E509" i="30"/>
  <c r="F509" i="30"/>
  <c r="G509" i="30"/>
  <c r="H509" i="30"/>
  <c r="I509" i="30"/>
  <c r="J509" i="30"/>
  <c r="K509" i="30"/>
  <c r="L509" i="30"/>
  <c r="M509" i="30"/>
  <c r="N509" i="30"/>
  <c r="O509" i="30"/>
  <c r="P509" i="30"/>
  <c r="Q509" i="30"/>
  <c r="R509" i="30"/>
  <c r="C510" i="30"/>
  <c r="D510" i="30"/>
  <c r="E510" i="30"/>
  <c r="F510" i="30"/>
  <c r="G510" i="30"/>
  <c r="H510" i="30"/>
  <c r="I510" i="30"/>
  <c r="J510" i="30"/>
  <c r="K510" i="30"/>
  <c r="L510" i="30"/>
  <c r="M510" i="30"/>
  <c r="N510" i="30"/>
  <c r="O510" i="30"/>
  <c r="P510" i="30"/>
  <c r="Q510" i="30"/>
  <c r="R510" i="30"/>
  <c r="C511" i="30"/>
  <c r="D511" i="30"/>
  <c r="E511" i="30"/>
  <c r="F511" i="30"/>
  <c r="G511" i="30"/>
  <c r="H511" i="30"/>
  <c r="I511" i="30"/>
  <c r="J511" i="30"/>
  <c r="K511" i="30"/>
  <c r="L511" i="30"/>
  <c r="M511" i="30"/>
  <c r="N511" i="30"/>
  <c r="O511" i="30"/>
  <c r="P511" i="30"/>
  <c r="Q511" i="30"/>
  <c r="R511" i="30"/>
  <c r="C512" i="30"/>
  <c r="D512" i="30"/>
  <c r="E512" i="30"/>
  <c r="F512" i="30"/>
  <c r="G512" i="30"/>
  <c r="H512" i="30"/>
  <c r="I512" i="30"/>
  <c r="J512" i="30"/>
  <c r="K512" i="30"/>
  <c r="L512" i="30"/>
  <c r="M512" i="30"/>
  <c r="N512" i="30"/>
  <c r="O512" i="30"/>
  <c r="P512" i="30"/>
  <c r="Q512" i="30"/>
  <c r="R512" i="30"/>
  <c r="C513" i="30"/>
  <c r="D513" i="30"/>
  <c r="E513" i="30"/>
  <c r="F513" i="30"/>
  <c r="G513" i="30"/>
  <c r="H513" i="30"/>
  <c r="I513" i="30"/>
  <c r="J513" i="30"/>
  <c r="K513" i="30"/>
  <c r="L513" i="30"/>
  <c r="M513" i="30"/>
  <c r="N513" i="30"/>
  <c r="O513" i="30"/>
  <c r="P513" i="30"/>
  <c r="Q513" i="30"/>
  <c r="R513" i="30"/>
  <c r="C514" i="30"/>
  <c r="D514" i="30"/>
  <c r="E514" i="30"/>
  <c r="F514" i="30"/>
  <c r="G514" i="30"/>
  <c r="H514" i="30"/>
  <c r="I514" i="30"/>
  <c r="J514" i="30"/>
  <c r="K514" i="30"/>
  <c r="L514" i="30"/>
  <c r="M514" i="30"/>
  <c r="N514" i="30"/>
  <c r="O514" i="30"/>
  <c r="P514" i="30"/>
  <c r="Q514" i="30"/>
  <c r="R514" i="30"/>
  <c r="C515" i="30"/>
  <c r="D515" i="30"/>
  <c r="E515" i="30"/>
  <c r="F515" i="30"/>
  <c r="G515" i="30"/>
  <c r="H515" i="30"/>
  <c r="I515" i="30"/>
  <c r="J515" i="30"/>
  <c r="K515" i="30"/>
  <c r="L515" i="30"/>
  <c r="M515" i="30"/>
  <c r="N515" i="30"/>
  <c r="O515" i="30"/>
  <c r="P515" i="30"/>
  <c r="Q515" i="30"/>
  <c r="R515" i="30"/>
  <c r="C516" i="30"/>
  <c r="D516" i="30"/>
  <c r="E516" i="30"/>
  <c r="F516" i="30"/>
  <c r="G516" i="30"/>
  <c r="H516" i="30"/>
  <c r="I516" i="30"/>
  <c r="J516" i="30"/>
  <c r="K516" i="30"/>
  <c r="L516" i="30"/>
  <c r="M516" i="30"/>
  <c r="N516" i="30"/>
  <c r="O516" i="30"/>
  <c r="P516" i="30"/>
  <c r="Q516" i="30"/>
  <c r="R516" i="30"/>
  <c r="C517" i="30"/>
  <c r="D517" i="30"/>
  <c r="E517" i="30"/>
  <c r="F517" i="30"/>
  <c r="G517" i="30"/>
  <c r="H517" i="30"/>
  <c r="I517" i="30"/>
  <c r="J517" i="30"/>
  <c r="K517" i="30"/>
  <c r="L517" i="30"/>
  <c r="M517" i="30"/>
  <c r="N517" i="30"/>
  <c r="O517" i="30"/>
  <c r="P517" i="30"/>
  <c r="Q517" i="30"/>
  <c r="R517" i="30"/>
  <c r="C518" i="30"/>
  <c r="D518" i="30"/>
  <c r="E518" i="30"/>
  <c r="F518" i="30"/>
  <c r="G518" i="30"/>
  <c r="H518" i="30"/>
  <c r="I518" i="30"/>
  <c r="J518" i="30"/>
  <c r="K518" i="30"/>
  <c r="L518" i="30"/>
  <c r="M518" i="30"/>
  <c r="N518" i="30"/>
  <c r="O518" i="30"/>
  <c r="P518" i="30"/>
  <c r="Q518" i="30"/>
  <c r="R518" i="30"/>
  <c r="C519" i="30"/>
  <c r="D519" i="30"/>
  <c r="E519" i="30"/>
  <c r="F519" i="30"/>
  <c r="G519" i="30"/>
  <c r="H519" i="30"/>
  <c r="I519" i="30"/>
  <c r="J519" i="30"/>
  <c r="K519" i="30"/>
  <c r="L519" i="30"/>
  <c r="M519" i="30"/>
  <c r="N519" i="30"/>
  <c r="O519" i="30"/>
  <c r="P519" i="30"/>
  <c r="Q519" i="30"/>
  <c r="R519" i="30"/>
  <c r="C520" i="30"/>
  <c r="D520" i="30"/>
  <c r="E520" i="30"/>
  <c r="F520" i="30"/>
  <c r="G520" i="30"/>
  <c r="H520" i="30"/>
  <c r="I520" i="30"/>
  <c r="J520" i="30"/>
  <c r="K520" i="30"/>
  <c r="L520" i="30"/>
  <c r="M520" i="30"/>
  <c r="N520" i="30"/>
  <c r="O520" i="30"/>
  <c r="P520" i="30"/>
  <c r="Q520" i="30"/>
  <c r="R520" i="30"/>
  <c r="C521" i="30"/>
  <c r="D521" i="30"/>
  <c r="E521" i="30"/>
  <c r="F521" i="30"/>
  <c r="G521" i="30"/>
  <c r="H521" i="30"/>
  <c r="I521" i="30"/>
  <c r="J521" i="30"/>
  <c r="K521" i="30"/>
  <c r="L521" i="30"/>
  <c r="M521" i="30"/>
  <c r="N521" i="30"/>
  <c r="O521" i="30"/>
  <c r="P521" i="30"/>
  <c r="Q521" i="30"/>
  <c r="R521" i="30"/>
  <c r="C522" i="30"/>
  <c r="D522" i="30"/>
  <c r="E522" i="30"/>
  <c r="F522" i="30"/>
  <c r="G522" i="30"/>
  <c r="H522" i="30"/>
  <c r="I522" i="30"/>
  <c r="J522" i="30"/>
  <c r="K522" i="30"/>
  <c r="L522" i="30"/>
  <c r="M522" i="30"/>
  <c r="N522" i="30"/>
  <c r="O522" i="30"/>
  <c r="P522" i="30"/>
  <c r="Q522" i="30"/>
  <c r="R522" i="30"/>
  <c r="C523" i="30"/>
  <c r="D523" i="30"/>
  <c r="E523" i="30"/>
  <c r="F523" i="30"/>
  <c r="G523" i="30"/>
  <c r="H523" i="30"/>
  <c r="I523" i="30"/>
  <c r="J523" i="30"/>
  <c r="K523" i="30"/>
  <c r="L523" i="30"/>
  <c r="M523" i="30"/>
  <c r="N523" i="30"/>
  <c r="O523" i="30"/>
  <c r="P523" i="30"/>
  <c r="Q523" i="30"/>
  <c r="R523" i="30"/>
  <c r="C524" i="30"/>
  <c r="D524" i="30"/>
  <c r="E524" i="30"/>
  <c r="F524" i="30"/>
  <c r="G524" i="30"/>
  <c r="H524" i="30"/>
  <c r="I524" i="30"/>
  <c r="J524" i="30"/>
  <c r="K524" i="30"/>
  <c r="L524" i="30"/>
  <c r="M524" i="30"/>
  <c r="N524" i="30"/>
  <c r="O524" i="30"/>
  <c r="P524" i="30"/>
  <c r="Q524" i="30"/>
  <c r="R524" i="30"/>
  <c r="C525" i="30"/>
  <c r="D525" i="30"/>
  <c r="E525" i="30"/>
  <c r="F525" i="30"/>
  <c r="G525" i="30"/>
  <c r="H525" i="30"/>
  <c r="I525" i="30"/>
  <c r="J525" i="30"/>
  <c r="K525" i="30"/>
  <c r="L525" i="30"/>
  <c r="M525" i="30"/>
  <c r="N525" i="30"/>
  <c r="O525" i="30"/>
  <c r="P525" i="30"/>
  <c r="Q525" i="30"/>
  <c r="R525" i="30"/>
  <c r="C526" i="30"/>
  <c r="D526" i="30"/>
  <c r="E526" i="30"/>
  <c r="F526" i="30"/>
  <c r="G526" i="30"/>
  <c r="H526" i="30"/>
  <c r="I526" i="30"/>
  <c r="J526" i="30"/>
  <c r="K526" i="30"/>
  <c r="L526" i="30"/>
  <c r="M526" i="30"/>
  <c r="N526" i="30"/>
  <c r="O526" i="30"/>
  <c r="P526" i="30"/>
  <c r="Q526" i="30"/>
  <c r="R526" i="30"/>
  <c r="C527" i="30"/>
  <c r="D527" i="30"/>
  <c r="E527" i="30"/>
  <c r="F527" i="30"/>
  <c r="G527" i="30"/>
  <c r="H527" i="30"/>
  <c r="I527" i="30"/>
  <c r="J527" i="30"/>
  <c r="K527" i="30"/>
  <c r="L527" i="30"/>
  <c r="M527" i="30"/>
  <c r="N527" i="30"/>
  <c r="O527" i="30"/>
  <c r="P527" i="30"/>
  <c r="Q527" i="30"/>
  <c r="R527" i="30"/>
  <c r="C528" i="30"/>
  <c r="D528" i="30"/>
  <c r="E528" i="30"/>
  <c r="F528" i="30"/>
  <c r="G528" i="30"/>
  <c r="H528" i="30"/>
  <c r="I528" i="30"/>
  <c r="J528" i="30"/>
  <c r="K528" i="30"/>
  <c r="L528" i="30"/>
  <c r="M528" i="30"/>
  <c r="N528" i="30"/>
  <c r="O528" i="30"/>
  <c r="P528" i="30"/>
  <c r="Q528" i="30"/>
  <c r="R528" i="30"/>
  <c r="C529" i="30"/>
  <c r="D529" i="30"/>
  <c r="E529" i="30"/>
  <c r="F529" i="30"/>
  <c r="G529" i="30"/>
  <c r="H529" i="30"/>
  <c r="I529" i="30"/>
  <c r="J529" i="30"/>
  <c r="K529" i="30"/>
  <c r="L529" i="30"/>
  <c r="M529" i="30"/>
  <c r="N529" i="30"/>
  <c r="O529" i="30"/>
  <c r="P529" i="30"/>
  <c r="Q529" i="30"/>
  <c r="R529" i="30"/>
  <c r="C530" i="30"/>
  <c r="D530" i="30"/>
  <c r="E530" i="30"/>
  <c r="F530" i="30"/>
  <c r="G530" i="30"/>
  <c r="H530" i="30"/>
  <c r="I530" i="30"/>
  <c r="J530" i="30"/>
  <c r="K530" i="30"/>
  <c r="L530" i="30"/>
  <c r="M530" i="30"/>
  <c r="N530" i="30"/>
  <c r="O530" i="30"/>
  <c r="P530" i="30"/>
  <c r="Q530" i="30"/>
  <c r="R530" i="30"/>
  <c r="C531" i="30"/>
  <c r="D531" i="30"/>
  <c r="E531" i="30"/>
  <c r="F531" i="30"/>
  <c r="G531" i="30"/>
  <c r="H531" i="30"/>
  <c r="I531" i="30"/>
  <c r="J531" i="30"/>
  <c r="K531" i="30"/>
  <c r="L531" i="30"/>
  <c r="M531" i="30"/>
  <c r="N531" i="30"/>
  <c r="O531" i="30"/>
  <c r="P531" i="30"/>
  <c r="Q531" i="30"/>
  <c r="R531" i="30"/>
  <c r="C532" i="30"/>
  <c r="D532" i="30"/>
  <c r="E532" i="30"/>
  <c r="F532" i="30"/>
  <c r="G532" i="30"/>
  <c r="H532" i="30"/>
  <c r="I532" i="30"/>
  <c r="J532" i="30"/>
  <c r="K532" i="30"/>
  <c r="L532" i="30"/>
  <c r="M532" i="30"/>
  <c r="N532" i="30"/>
  <c r="O532" i="30"/>
  <c r="P532" i="30"/>
  <c r="Q532" i="30"/>
  <c r="R532" i="30"/>
  <c r="C533" i="30"/>
  <c r="D533" i="30"/>
  <c r="E533" i="30"/>
  <c r="F533" i="30"/>
  <c r="G533" i="30"/>
  <c r="H533" i="30"/>
  <c r="I533" i="30"/>
  <c r="J533" i="30"/>
  <c r="K533" i="30"/>
  <c r="L533" i="30"/>
  <c r="M533" i="30"/>
  <c r="N533" i="30"/>
  <c r="O533" i="30"/>
  <c r="P533" i="30"/>
  <c r="Q533" i="30"/>
  <c r="R533" i="30"/>
  <c r="C534" i="30"/>
  <c r="D534" i="30"/>
  <c r="E534" i="30"/>
  <c r="F534" i="30"/>
  <c r="G534" i="30"/>
  <c r="H534" i="30"/>
  <c r="I534" i="30"/>
  <c r="J534" i="30"/>
  <c r="K534" i="30"/>
  <c r="L534" i="30"/>
  <c r="M534" i="30"/>
  <c r="N534" i="30"/>
  <c r="O534" i="30"/>
  <c r="P534" i="30"/>
  <c r="Q534" i="30"/>
  <c r="R534" i="30"/>
  <c r="C535" i="30"/>
  <c r="D535" i="30"/>
  <c r="E535" i="30"/>
  <c r="F535" i="30"/>
  <c r="G535" i="30"/>
  <c r="H535" i="30"/>
  <c r="I535" i="30"/>
  <c r="J535" i="30"/>
  <c r="K535" i="30"/>
  <c r="L535" i="30"/>
  <c r="M535" i="30"/>
  <c r="N535" i="30"/>
  <c r="O535" i="30"/>
  <c r="P535" i="30"/>
  <c r="Q535" i="30"/>
  <c r="R535" i="30"/>
  <c r="C536" i="30"/>
  <c r="D536" i="30"/>
  <c r="E536" i="30"/>
  <c r="F536" i="30"/>
  <c r="G536" i="30"/>
  <c r="H536" i="30"/>
  <c r="I536" i="30"/>
  <c r="J536" i="30"/>
  <c r="K536" i="30"/>
  <c r="L536" i="30"/>
  <c r="M536" i="30"/>
  <c r="N536" i="30"/>
  <c r="O536" i="30"/>
  <c r="P536" i="30"/>
  <c r="Q536" i="30"/>
  <c r="R536" i="30"/>
  <c r="C537" i="30"/>
  <c r="D537" i="30"/>
  <c r="E537" i="30"/>
  <c r="F537" i="30"/>
  <c r="G537" i="30"/>
  <c r="H537" i="30"/>
  <c r="I537" i="30"/>
  <c r="J537" i="30"/>
  <c r="K537" i="30"/>
  <c r="L537" i="30"/>
  <c r="M537" i="30"/>
  <c r="N537" i="30"/>
  <c r="O537" i="30"/>
  <c r="P537" i="30"/>
  <c r="Q537" i="30"/>
  <c r="R537" i="30"/>
  <c r="C538" i="30"/>
  <c r="D538" i="30"/>
  <c r="E538" i="30"/>
  <c r="F538" i="30"/>
  <c r="G538" i="30"/>
  <c r="H538" i="30"/>
  <c r="I538" i="30"/>
  <c r="J538" i="30"/>
  <c r="K538" i="30"/>
  <c r="L538" i="30"/>
  <c r="M538" i="30"/>
  <c r="N538" i="30"/>
  <c r="O538" i="30"/>
  <c r="P538" i="30"/>
  <c r="Q538" i="30"/>
  <c r="R538" i="30"/>
  <c r="C539" i="30"/>
  <c r="D539" i="30"/>
  <c r="E539" i="30"/>
  <c r="F539" i="30"/>
  <c r="G539" i="30"/>
  <c r="H539" i="30"/>
  <c r="I539" i="30"/>
  <c r="J539" i="30"/>
  <c r="K539" i="30"/>
  <c r="L539" i="30"/>
  <c r="M539" i="30"/>
  <c r="N539" i="30"/>
  <c r="O539" i="30"/>
  <c r="P539" i="30"/>
  <c r="Q539" i="30"/>
  <c r="R539" i="30"/>
  <c r="C540" i="30"/>
  <c r="D540" i="30"/>
  <c r="E540" i="30"/>
  <c r="F540" i="30"/>
  <c r="G540" i="30"/>
  <c r="H540" i="30"/>
  <c r="I540" i="30"/>
  <c r="J540" i="30"/>
  <c r="K540" i="30"/>
  <c r="L540" i="30"/>
  <c r="M540" i="30"/>
  <c r="N540" i="30"/>
  <c r="O540" i="30"/>
  <c r="P540" i="30"/>
  <c r="Q540" i="30"/>
  <c r="R540" i="30"/>
  <c r="C541" i="30"/>
  <c r="D541" i="30"/>
  <c r="E541" i="30"/>
  <c r="F541" i="30"/>
  <c r="G541" i="30"/>
  <c r="H541" i="30"/>
  <c r="I541" i="30"/>
  <c r="J541" i="30"/>
  <c r="K541" i="30"/>
  <c r="L541" i="30"/>
  <c r="M541" i="30"/>
  <c r="N541" i="30"/>
  <c r="O541" i="30"/>
  <c r="P541" i="30"/>
  <c r="Q541" i="30"/>
  <c r="R541" i="30"/>
  <c r="C542" i="30"/>
  <c r="D542" i="30"/>
  <c r="E542" i="30"/>
  <c r="F542" i="30"/>
  <c r="G542" i="30"/>
  <c r="H542" i="30"/>
  <c r="I542" i="30"/>
  <c r="J542" i="30"/>
  <c r="K542" i="30"/>
  <c r="L542" i="30"/>
  <c r="M542" i="30"/>
  <c r="N542" i="30"/>
  <c r="O542" i="30"/>
  <c r="P542" i="30"/>
  <c r="Q542" i="30"/>
  <c r="R542" i="30"/>
  <c r="C543" i="30"/>
  <c r="D543" i="30"/>
  <c r="E543" i="30"/>
  <c r="F543" i="30"/>
  <c r="G543" i="30"/>
  <c r="H543" i="30"/>
  <c r="I543" i="30"/>
  <c r="J543" i="30"/>
  <c r="K543" i="30"/>
  <c r="L543" i="30"/>
  <c r="M543" i="30"/>
  <c r="N543" i="30"/>
  <c r="O543" i="30"/>
  <c r="P543" i="30"/>
  <c r="Q543" i="30"/>
  <c r="R543" i="30"/>
  <c r="C544" i="30"/>
  <c r="D544" i="30"/>
  <c r="E544" i="30"/>
  <c r="F544" i="30"/>
  <c r="G544" i="30"/>
  <c r="H544" i="30"/>
  <c r="I544" i="30"/>
  <c r="J544" i="30"/>
  <c r="K544" i="30"/>
  <c r="L544" i="30"/>
  <c r="M544" i="30"/>
  <c r="N544" i="30"/>
  <c r="O544" i="30"/>
  <c r="P544" i="30"/>
  <c r="Q544" i="30"/>
  <c r="R544" i="30"/>
  <c r="C545" i="30"/>
  <c r="D545" i="30"/>
  <c r="E545" i="30"/>
  <c r="F545" i="30"/>
  <c r="G545" i="30"/>
  <c r="H545" i="30"/>
  <c r="I545" i="30"/>
  <c r="J545" i="30"/>
  <c r="K545" i="30"/>
  <c r="L545" i="30"/>
  <c r="M545" i="30"/>
  <c r="N545" i="30"/>
  <c r="O545" i="30"/>
  <c r="P545" i="30"/>
  <c r="Q545" i="30"/>
  <c r="R545" i="30"/>
  <c r="C546" i="30"/>
  <c r="D546" i="30"/>
  <c r="E546" i="30"/>
  <c r="F546" i="30"/>
  <c r="G546" i="30"/>
  <c r="H546" i="30"/>
  <c r="I546" i="30"/>
  <c r="J546" i="30"/>
  <c r="K546" i="30"/>
  <c r="L546" i="30"/>
  <c r="M546" i="30"/>
  <c r="N546" i="30"/>
  <c r="O546" i="30"/>
  <c r="P546" i="30"/>
  <c r="Q546" i="30"/>
  <c r="R546" i="30"/>
  <c r="C547" i="30"/>
  <c r="D547" i="30"/>
  <c r="E547" i="30"/>
  <c r="F547" i="30"/>
  <c r="G547" i="30"/>
  <c r="H547" i="30"/>
  <c r="I547" i="30"/>
  <c r="J547" i="30"/>
  <c r="K547" i="30"/>
  <c r="L547" i="30"/>
  <c r="M547" i="30"/>
  <c r="N547" i="30"/>
  <c r="O547" i="30"/>
  <c r="P547" i="30"/>
  <c r="Q547" i="30"/>
  <c r="R547" i="30"/>
  <c r="C548" i="30"/>
  <c r="D548" i="30"/>
  <c r="E548" i="30"/>
  <c r="F548" i="30"/>
  <c r="G548" i="30"/>
  <c r="H548" i="30"/>
  <c r="I548" i="30"/>
  <c r="J548" i="30"/>
  <c r="K548" i="30"/>
  <c r="L548" i="30"/>
  <c r="M548" i="30"/>
  <c r="N548" i="30"/>
  <c r="O548" i="30"/>
  <c r="P548" i="30"/>
  <c r="Q548" i="30"/>
  <c r="R548" i="30"/>
  <c r="C549" i="30"/>
  <c r="D549" i="30"/>
  <c r="E549" i="30"/>
  <c r="F549" i="30"/>
  <c r="G549" i="30"/>
  <c r="H549" i="30"/>
  <c r="I549" i="30"/>
  <c r="J549" i="30"/>
  <c r="K549" i="30"/>
  <c r="L549" i="30"/>
  <c r="M549" i="30"/>
  <c r="N549" i="30"/>
  <c r="O549" i="30"/>
  <c r="P549" i="30"/>
  <c r="Q549" i="30"/>
  <c r="R549" i="30"/>
  <c r="C550" i="30"/>
  <c r="D550" i="30"/>
  <c r="E550" i="30"/>
  <c r="F550" i="30"/>
  <c r="G550" i="30"/>
  <c r="H550" i="30"/>
  <c r="I550" i="30"/>
  <c r="J550" i="30"/>
  <c r="K550" i="30"/>
  <c r="L550" i="30"/>
  <c r="M550" i="30"/>
  <c r="N550" i="30"/>
  <c r="O550" i="30"/>
  <c r="P550" i="30"/>
  <c r="Q550" i="30"/>
  <c r="R550" i="30"/>
  <c r="C551" i="30"/>
  <c r="D551" i="30"/>
  <c r="E551" i="30"/>
  <c r="F551" i="30"/>
  <c r="G551" i="30"/>
  <c r="H551" i="30"/>
  <c r="I551" i="30"/>
  <c r="J551" i="30"/>
  <c r="K551" i="30"/>
  <c r="L551" i="30"/>
  <c r="M551" i="30"/>
  <c r="N551" i="30"/>
  <c r="O551" i="30"/>
  <c r="P551" i="30"/>
  <c r="Q551" i="30"/>
  <c r="R551" i="30"/>
  <c r="C552" i="30"/>
  <c r="D552" i="30"/>
  <c r="E552" i="30"/>
  <c r="F552" i="30"/>
  <c r="G552" i="30"/>
  <c r="H552" i="30"/>
  <c r="I552" i="30"/>
  <c r="J552" i="30"/>
  <c r="K552" i="30"/>
  <c r="L552" i="30"/>
  <c r="M552" i="30"/>
  <c r="N552" i="30"/>
  <c r="O552" i="30"/>
  <c r="P552" i="30"/>
  <c r="Q552" i="30"/>
  <c r="R552" i="30"/>
  <c r="C553" i="30"/>
  <c r="D553" i="30"/>
  <c r="E553" i="30"/>
  <c r="F553" i="30"/>
  <c r="G553" i="30"/>
  <c r="H553" i="30"/>
  <c r="I553" i="30"/>
  <c r="J553" i="30"/>
  <c r="K553" i="30"/>
  <c r="L553" i="30"/>
  <c r="M553" i="30"/>
  <c r="N553" i="30"/>
  <c r="O553" i="30"/>
  <c r="P553" i="30"/>
  <c r="Q553" i="30"/>
  <c r="R553" i="30"/>
  <c r="C554" i="30"/>
  <c r="D554" i="30"/>
  <c r="E554" i="30"/>
  <c r="F554" i="30"/>
  <c r="G554" i="30"/>
  <c r="H554" i="30"/>
  <c r="I554" i="30"/>
  <c r="J554" i="30"/>
  <c r="K554" i="30"/>
  <c r="L554" i="30"/>
  <c r="M554" i="30"/>
  <c r="N554" i="30"/>
  <c r="O554" i="30"/>
  <c r="P554" i="30"/>
  <c r="Q554" i="30"/>
  <c r="R554" i="30"/>
  <c r="C555" i="30"/>
  <c r="D555" i="30"/>
  <c r="E555" i="30"/>
  <c r="F555" i="30"/>
  <c r="G555" i="30"/>
  <c r="H555" i="30"/>
  <c r="I555" i="30"/>
  <c r="J555" i="30"/>
  <c r="K555" i="30"/>
  <c r="L555" i="30"/>
  <c r="M555" i="30"/>
  <c r="N555" i="30"/>
  <c r="O555" i="30"/>
  <c r="P555" i="30"/>
  <c r="Q555" i="30"/>
  <c r="R555" i="30"/>
  <c r="C556" i="30"/>
  <c r="D556" i="30"/>
  <c r="E556" i="30"/>
  <c r="F556" i="30"/>
  <c r="G556" i="30"/>
  <c r="H556" i="30"/>
  <c r="I556" i="30"/>
  <c r="J556" i="30"/>
  <c r="K556" i="30"/>
  <c r="L556" i="30"/>
  <c r="M556" i="30"/>
  <c r="N556" i="30"/>
  <c r="O556" i="30"/>
  <c r="P556" i="30"/>
  <c r="Q556" i="30"/>
  <c r="R556" i="30"/>
  <c r="C557" i="30"/>
  <c r="D557" i="30"/>
  <c r="E557" i="30"/>
  <c r="F557" i="30"/>
  <c r="G557" i="30"/>
  <c r="H557" i="30"/>
  <c r="I557" i="30"/>
  <c r="J557" i="30"/>
  <c r="K557" i="30"/>
  <c r="L557" i="30"/>
  <c r="M557" i="30"/>
  <c r="N557" i="30"/>
  <c r="O557" i="30"/>
  <c r="P557" i="30"/>
  <c r="Q557" i="30"/>
  <c r="R557" i="30"/>
  <c r="C558" i="30"/>
  <c r="D558" i="30"/>
  <c r="E558" i="30"/>
  <c r="F558" i="30"/>
  <c r="G558" i="30"/>
  <c r="H558" i="30"/>
  <c r="I558" i="30"/>
  <c r="J558" i="30"/>
  <c r="K558" i="30"/>
  <c r="L558" i="30"/>
  <c r="M558" i="30"/>
  <c r="N558" i="30"/>
  <c r="O558" i="30"/>
  <c r="P558" i="30"/>
  <c r="Q558" i="30"/>
  <c r="R558" i="30"/>
  <c r="C559" i="30"/>
  <c r="D559" i="30"/>
  <c r="E559" i="30"/>
  <c r="F559" i="30"/>
  <c r="G559" i="30"/>
  <c r="H559" i="30"/>
  <c r="I559" i="30"/>
  <c r="J559" i="30"/>
  <c r="K559" i="30"/>
  <c r="L559" i="30"/>
  <c r="M559" i="30"/>
  <c r="N559" i="30"/>
  <c r="O559" i="30"/>
  <c r="P559" i="30"/>
  <c r="Q559" i="30"/>
  <c r="R559" i="30"/>
  <c r="C560" i="30"/>
  <c r="D560" i="30"/>
  <c r="E560" i="30"/>
  <c r="F560" i="30"/>
  <c r="G560" i="30"/>
  <c r="H560" i="30"/>
  <c r="I560" i="30"/>
  <c r="J560" i="30"/>
  <c r="K560" i="30"/>
  <c r="L560" i="30"/>
  <c r="M560" i="30"/>
  <c r="N560" i="30"/>
  <c r="O560" i="30"/>
  <c r="P560" i="30"/>
  <c r="Q560" i="30"/>
  <c r="R560" i="30"/>
  <c r="C561" i="30"/>
  <c r="D561" i="30"/>
  <c r="E561" i="30"/>
  <c r="F561" i="30"/>
  <c r="G561" i="30"/>
  <c r="H561" i="30"/>
  <c r="I561" i="30"/>
  <c r="J561" i="30"/>
  <c r="K561" i="30"/>
  <c r="L561" i="30"/>
  <c r="M561" i="30"/>
  <c r="N561" i="30"/>
  <c r="O561" i="30"/>
  <c r="P561" i="30"/>
  <c r="Q561" i="30"/>
  <c r="R561" i="30"/>
  <c r="C562" i="30"/>
  <c r="D562" i="30"/>
  <c r="E562" i="30"/>
  <c r="F562" i="30"/>
  <c r="G562" i="30"/>
  <c r="H562" i="30"/>
  <c r="I562" i="30"/>
  <c r="J562" i="30"/>
  <c r="K562" i="30"/>
  <c r="L562" i="30"/>
  <c r="M562" i="30"/>
  <c r="N562" i="30"/>
  <c r="O562" i="30"/>
  <c r="P562" i="30"/>
  <c r="Q562" i="30"/>
  <c r="R562" i="30"/>
  <c r="C563" i="30"/>
  <c r="D563" i="30"/>
  <c r="E563" i="30"/>
  <c r="F563" i="30"/>
  <c r="G563" i="30"/>
  <c r="H563" i="30"/>
  <c r="I563" i="30"/>
  <c r="J563" i="30"/>
  <c r="K563" i="30"/>
  <c r="L563" i="30"/>
  <c r="M563" i="30"/>
  <c r="N563" i="30"/>
  <c r="O563" i="30"/>
  <c r="P563" i="30"/>
  <c r="Q563" i="30"/>
  <c r="R563" i="30"/>
  <c r="C564" i="30"/>
  <c r="D564" i="30"/>
  <c r="E564" i="30"/>
  <c r="F564" i="30"/>
  <c r="G564" i="30"/>
  <c r="H564" i="30"/>
  <c r="I564" i="30"/>
  <c r="J564" i="30"/>
  <c r="K564" i="30"/>
  <c r="L564" i="30"/>
  <c r="M564" i="30"/>
  <c r="N564" i="30"/>
  <c r="O564" i="30"/>
  <c r="P564" i="30"/>
  <c r="Q564" i="30"/>
  <c r="R564" i="30"/>
  <c r="C565" i="30"/>
  <c r="D565" i="30"/>
  <c r="E565" i="30"/>
  <c r="F565" i="30"/>
  <c r="G565" i="30"/>
  <c r="H565" i="30"/>
  <c r="I565" i="30"/>
  <c r="J565" i="30"/>
  <c r="K565" i="30"/>
  <c r="L565" i="30"/>
  <c r="M565" i="30"/>
  <c r="N565" i="30"/>
  <c r="O565" i="30"/>
  <c r="P565" i="30"/>
  <c r="Q565" i="30"/>
  <c r="R565" i="30"/>
  <c r="C566" i="30"/>
  <c r="D566" i="30"/>
  <c r="E566" i="30"/>
  <c r="F566" i="30"/>
  <c r="G566" i="30"/>
  <c r="H566" i="30"/>
  <c r="I566" i="30"/>
  <c r="J566" i="30"/>
  <c r="K566" i="30"/>
  <c r="L566" i="30"/>
  <c r="M566" i="30"/>
  <c r="N566" i="30"/>
  <c r="O566" i="30"/>
  <c r="P566" i="30"/>
  <c r="Q566" i="30"/>
  <c r="R566" i="30"/>
  <c r="C567" i="30"/>
  <c r="D567" i="30"/>
  <c r="E567" i="30"/>
  <c r="F567" i="30"/>
  <c r="G567" i="30"/>
  <c r="H567" i="30"/>
  <c r="I567" i="30"/>
  <c r="J567" i="30"/>
  <c r="K567" i="30"/>
  <c r="L567" i="30"/>
  <c r="M567" i="30"/>
  <c r="N567" i="30"/>
  <c r="O567" i="30"/>
  <c r="P567" i="30"/>
  <c r="Q567" i="30"/>
  <c r="R567" i="30"/>
  <c r="C568" i="30"/>
  <c r="D568" i="30"/>
  <c r="E568" i="30"/>
  <c r="F568" i="30"/>
  <c r="G568" i="30"/>
  <c r="H568" i="30"/>
  <c r="I568" i="30"/>
  <c r="J568" i="30"/>
  <c r="K568" i="30"/>
  <c r="L568" i="30"/>
  <c r="M568" i="30"/>
  <c r="N568" i="30"/>
  <c r="O568" i="30"/>
  <c r="P568" i="30"/>
  <c r="Q568" i="30"/>
  <c r="R568" i="30"/>
  <c r="C569" i="30"/>
  <c r="D569" i="30"/>
  <c r="E569" i="30"/>
  <c r="F569" i="30"/>
  <c r="G569" i="30"/>
  <c r="H569" i="30"/>
  <c r="I569" i="30"/>
  <c r="J569" i="30"/>
  <c r="K569" i="30"/>
  <c r="L569" i="30"/>
  <c r="M569" i="30"/>
  <c r="N569" i="30"/>
  <c r="O569" i="30"/>
  <c r="P569" i="30"/>
  <c r="Q569" i="30"/>
  <c r="R569" i="30"/>
  <c r="C570" i="30"/>
  <c r="D570" i="30"/>
  <c r="E570" i="30"/>
  <c r="F570" i="30"/>
  <c r="G570" i="30"/>
  <c r="H570" i="30"/>
  <c r="I570" i="30"/>
  <c r="J570" i="30"/>
  <c r="K570" i="30"/>
  <c r="L570" i="30"/>
  <c r="M570" i="30"/>
  <c r="N570" i="30"/>
  <c r="O570" i="30"/>
  <c r="P570" i="30"/>
  <c r="Q570" i="30"/>
  <c r="R570" i="30"/>
  <c r="C571" i="30"/>
  <c r="D571" i="30"/>
  <c r="E571" i="30"/>
  <c r="F571" i="30"/>
  <c r="G571" i="30"/>
  <c r="H571" i="30"/>
  <c r="I571" i="30"/>
  <c r="J571" i="30"/>
  <c r="K571" i="30"/>
  <c r="L571" i="30"/>
  <c r="M571" i="30"/>
  <c r="N571" i="30"/>
  <c r="O571" i="30"/>
  <c r="P571" i="30"/>
  <c r="Q571" i="30"/>
  <c r="R571" i="30"/>
  <c r="C572" i="30"/>
  <c r="D572" i="30"/>
  <c r="E572" i="30"/>
  <c r="F572" i="30"/>
  <c r="G572" i="30"/>
  <c r="H572" i="30"/>
  <c r="I572" i="30"/>
  <c r="J572" i="30"/>
  <c r="K572" i="30"/>
  <c r="L572" i="30"/>
  <c r="M572" i="30"/>
  <c r="N572" i="30"/>
  <c r="O572" i="30"/>
  <c r="P572" i="30"/>
  <c r="Q572" i="30"/>
  <c r="R572" i="30"/>
  <c r="C573" i="30"/>
  <c r="D573" i="30"/>
  <c r="E573" i="30"/>
  <c r="F573" i="30"/>
  <c r="G573" i="30"/>
  <c r="H573" i="30"/>
  <c r="I573" i="30"/>
  <c r="J573" i="30"/>
  <c r="K573" i="30"/>
  <c r="L573" i="30"/>
  <c r="M573" i="30"/>
  <c r="N573" i="30"/>
  <c r="O573" i="30"/>
  <c r="P573" i="30"/>
  <c r="Q573" i="30"/>
  <c r="R573" i="30"/>
  <c r="C574" i="30"/>
  <c r="D574" i="30"/>
  <c r="E574" i="30"/>
  <c r="F574" i="30"/>
  <c r="G574" i="30"/>
  <c r="H574" i="30"/>
  <c r="I574" i="30"/>
  <c r="J574" i="30"/>
  <c r="K574" i="30"/>
  <c r="L574" i="30"/>
  <c r="M574" i="30"/>
  <c r="N574" i="30"/>
  <c r="O574" i="30"/>
  <c r="P574" i="30"/>
  <c r="Q574" i="30"/>
  <c r="R574" i="30"/>
  <c r="C575" i="30"/>
  <c r="D575" i="30"/>
  <c r="E575" i="30"/>
  <c r="F575" i="30"/>
  <c r="G575" i="30"/>
  <c r="H575" i="30"/>
  <c r="I575" i="30"/>
  <c r="J575" i="30"/>
  <c r="K575" i="30"/>
  <c r="L575" i="30"/>
  <c r="M575" i="30"/>
  <c r="N575" i="30"/>
  <c r="O575" i="30"/>
  <c r="P575" i="30"/>
  <c r="Q575" i="30"/>
  <c r="R575" i="30"/>
  <c r="C576" i="30"/>
  <c r="D576" i="30"/>
  <c r="E576" i="30"/>
  <c r="F576" i="30"/>
  <c r="G576" i="30"/>
  <c r="H576" i="30"/>
  <c r="I576" i="30"/>
  <c r="J576" i="30"/>
  <c r="K576" i="30"/>
  <c r="L576" i="30"/>
  <c r="M576" i="30"/>
  <c r="N576" i="30"/>
  <c r="O576" i="30"/>
  <c r="P576" i="30"/>
  <c r="Q576" i="30"/>
  <c r="R576" i="30"/>
  <c r="C577" i="30"/>
  <c r="D577" i="30"/>
  <c r="E577" i="30"/>
  <c r="F577" i="30"/>
  <c r="G577" i="30"/>
  <c r="H577" i="30"/>
  <c r="I577" i="30"/>
  <c r="J577" i="30"/>
  <c r="K577" i="30"/>
  <c r="L577" i="30"/>
  <c r="M577" i="30"/>
  <c r="N577" i="30"/>
  <c r="O577" i="30"/>
  <c r="P577" i="30"/>
  <c r="Q577" i="30"/>
  <c r="R577" i="30"/>
  <c r="C578" i="30"/>
  <c r="D578" i="30"/>
  <c r="E578" i="30"/>
  <c r="F578" i="30"/>
  <c r="G578" i="30"/>
  <c r="H578" i="30"/>
  <c r="I578" i="30"/>
  <c r="J578" i="30"/>
  <c r="K578" i="30"/>
  <c r="L578" i="30"/>
  <c r="M578" i="30"/>
  <c r="N578" i="30"/>
  <c r="O578" i="30"/>
  <c r="P578" i="30"/>
  <c r="Q578" i="30"/>
  <c r="R578" i="30"/>
  <c r="C579" i="30"/>
  <c r="D579" i="30"/>
  <c r="E579" i="30"/>
  <c r="F579" i="30"/>
  <c r="G579" i="30"/>
  <c r="H579" i="30"/>
  <c r="I579" i="30"/>
  <c r="J579" i="30"/>
  <c r="K579" i="30"/>
  <c r="L579" i="30"/>
  <c r="M579" i="30"/>
  <c r="N579" i="30"/>
  <c r="O579" i="30"/>
  <c r="P579" i="30"/>
  <c r="Q579" i="30"/>
  <c r="R579" i="30"/>
  <c r="C580" i="30"/>
  <c r="D580" i="30"/>
  <c r="E580" i="30"/>
  <c r="F580" i="30"/>
  <c r="G580" i="30"/>
  <c r="H580" i="30"/>
  <c r="I580" i="30"/>
  <c r="J580" i="30"/>
  <c r="K580" i="30"/>
  <c r="L580" i="30"/>
  <c r="M580" i="30"/>
  <c r="N580" i="30"/>
  <c r="O580" i="30"/>
  <c r="P580" i="30"/>
  <c r="Q580" i="30"/>
  <c r="R580" i="30"/>
  <c r="C581" i="30"/>
  <c r="D581" i="30"/>
  <c r="E581" i="30"/>
  <c r="F581" i="30"/>
  <c r="G581" i="30"/>
  <c r="H581" i="30"/>
  <c r="I581" i="30"/>
  <c r="J581" i="30"/>
  <c r="K581" i="30"/>
  <c r="L581" i="30"/>
  <c r="M581" i="30"/>
  <c r="N581" i="30"/>
  <c r="O581" i="30"/>
  <c r="P581" i="30"/>
  <c r="Q581" i="30"/>
  <c r="R581" i="30"/>
  <c r="C582" i="30"/>
  <c r="D582" i="30"/>
  <c r="E582" i="30"/>
  <c r="F582" i="30"/>
  <c r="G582" i="30"/>
  <c r="H582" i="30"/>
  <c r="I582" i="30"/>
  <c r="J582" i="30"/>
  <c r="K582" i="30"/>
  <c r="L582" i="30"/>
  <c r="M582" i="30"/>
  <c r="N582" i="30"/>
  <c r="O582" i="30"/>
  <c r="P582" i="30"/>
  <c r="Q582" i="30"/>
  <c r="R582" i="30"/>
  <c r="C583" i="30"/>
  <c r="D583" i="30"/>
  <c r="E583" i="30"/>
  <c r="F583" i="30"/>
  <c r="G583" i="30"/>
  <c r="H583" i="30"/>
  <c r="I583" i="30"/>
  <c r="J583" i="30"/>
  <c r="K583" i="30"/>
  <c r="L583" i="30"/>
  <c r="M583" i="30"/>
  <c r="N583" i="30"/>
  <c r="O583" i="30"/>
  <c r="P583" i="30"/>
  <c r="Q583" i="30"/>
  <c r="R583" i="30"/>
  <c r="C584" i="30"/>
  <c r="D584" i="30"/>
  <c r="E584" i="30"/>
  <c r="F584" i="30"/>
  <c r="G584" i="30"/>
  <c r="H584" i="30"/>
  <c r="I584" i="30"/>
  <c r="J584" i="30"/>
  <c r="K584" i="30"/>
  <c r="L584" i="30"/>
  <c r="M584" i="30"/>
  <c r="N584" i="30"/>
  <c r="O584" i="30"/>
  <c r="P584" i="30"/>
  <c r="Q584" i="30"/>
  <c r="R584" i="30"/>
  <c r="C585" i="30"/>
  <c r="D585" i="30"/>
  <c r="E585" i="30"/>
  <c r="F585" i="30"/>
  <c r="G585" i="30"/>
  <c r="H585" i="30"/>
  <c r="I585" i="30"/>
  <c r="J585" i="30"/>
  <c r="K585" i="30"/>
  <c r="L585" i="30"/>
  <c r="M585" i="30"/>
  <c r="N585" i="30"/>
  <c r="O585" i="30"/>
  <c r="P585" i="30"/>
  <c r="Q585" i="30"/>
  <c r="R585" i="30"/>
  <c r="C586" i="30"/>
  <c r="D586" i="30"/>
  <c r="E586" i="30"/>
  <c r="F586" i="30"/>
  <c r="G586" i="30"/>
  <c r="H586" i="30"/>
  <c r="I586" i="30"/>
  <c r="J586" i="30"/>
  <c r="K586" i="30"/>
  <c r="L586" i="30"/>
  <c r="M586" i="30"/>
  <c r="N586" i="30"/>
  <c r="O586" i="30"/>
  <c r="P586" i="30"/>
  <c r="Q586" i="30"/>
  <c r="R586" i="30"/>
  <c r="C587" i="30"/>
  <c r="D587" i="30"/>
  <c r="E587" i="30"/>
  <c r="F587" i="30"/>
  <c r="G587" i="30"/>
  <c r="H587" i="30"/>
  <c r="I587" i="30"/>
  <c r="J587" i="30"/>
  <c r="K587" i="30"/>
  <c r="L587" i="30"/>
  <c r="M587" i="30"/>
  <c r="N587" i="30"/>
  <c r="O587" i="30"/>
  <c r="P587" i="30"/>
  <c r="Q587" i="30"/>
  <c r="R587" i="30"/>
  <c r="C588" i="30"/>
  <c r="D588" i="30"/>
  <c r="E588" i="30"/>
  <c r="F588" i="30"/>
  <c r="G588" i="30"/>
  <c r="H588" i="30"/>
  <c r="I588" i="30"/>
  <c r="J588" i="30"/>
  <c r="K588" i="30"/>
  <c r="L588" i="30"/>
  <c r="M588" i="30"/>
  <c r="N588" i="30"/>
  <c r="O588" i="30"/>
  <c r="P588" i="30"/>
  <c r="Q588" i="30"/>
  <c r="R588" i="30"/>
  <c r="C589" i="30"/>
  <c r="D589" i="30"/>
  <c r="E589" i="30"/>
  <c r="F589" i="30"/>
  <c r="G589" i="30"/>
  <c r="H589" i="30"/>
  <c r="I589" i="30"/>
  <c r="J589" i="30"/>
  <c r="K589" i="30"/>
  <c r="L589" i="30"/>
  <c r="M589" i="30"/>
  <c r="N589" i="30"/>
  <c r="O589" i="30"/>
  <c r="P589" i="30"/>
  <c r="Q589" i="30"/>
  <c r="R589" i="30"/>
  <c r="C590" i="30"/>
  <c r="D590" i="30"/>
  <c r="E590" i="30"/>
  <c r="F590" i="30"/>
  <c r="G590" i="30"/>
  <c r="H590" i="30"/>
  <c r="I590" i="30"/>
  <c r="J590" i="30"/>
  <c r="K590" i="30"/>
  <c r="L590" i="30"/>
  <c r="M590" i="30"/>
  <c r="N590" i="30"/>
  <c r="O590" i="30"/>
  <c r="P590" i="30"/>
  <c r="Q590" i="30"/>
  <c r="R590" i="30"/>
  <c r="C591" i="30"/>
  <c r="D591" i="30"/>
  <c r="E591" i="30"/>
  <c r="F591" i="30"/>
  <c r="G591" i="30"/>
  <c r="H591" i="30"/>
  <c r="I591" i="30"/>
  <c r="J591" i="30"/>
  <c r="K591" i="30"/>
  <c r="L591" i="30"/>
  <c r="M591" i="30"/>
  <c r="N591" i="30"/>
  <c r="O591" i="30"/>
  <c r="P591" i="30"/>
  <c r="Q591" i="30"/>
  <c r="R591" i="30"/>
  <c r="C592" i="30"/>
  <c r="D592" i="30"/>
  <c r="E592" i="30"/>
  <c r="F592" i="30"/>
  <c r="G592" i="30"/>
  <c r="H592" i="30"/>
  <c r="I592" i="30"/>
  <c r="J592" i="30"/>
  <c r="K592" i="30"/>
  <c r="L592" i="30"/>
  <c r="M592" i="30"/>
  <c r="N592" i="30"/>
  <c r="O592" i="30"/>
  <c r="P592" i="30"/>
  <c r="Q592" i="30"/>
  <c r="R592" i="30"/>
  <c r="C593" i="30"/>
  <c r="D593" i="30"/>
  <c r="E593" i="30"/>
  <c r="F593" i="30"/>
  <c r="G593" i="30"/>
  <c r="H593" i="30"/>
  <c r="I593" i="30"/>
  <c r="J593" i="30"/>
  <c r="K593" i="30"/>
  <c r="L593" i="30"/>
  <c r="M593" i="30"/>
  <c r="N593" i="30"/>
  <c r="O593" i="30"/>
  <c r="P593" i="30"/>
  <c r="Q593" i="30"/>
  <c r="R593" i="30"/>
  <c r="C594" i="30"/>
  <c r="D594" i="30"/>
  <c r="E594" i="30"/>
  <c r="F594" i="30"/>
  <c r="G594" i="30"/>
  <c r="H594" i="30"/>
  <c r="I594" i="30"/>
  <c r="J594" i="30"/>
  <c r="K594" i="30"/>
  <c r="L594" i="30"/>
  <c r="M594" i="30"/>
  <c r="N594" i="30"/>
  <c r="O594" i="30"/>
  <c r="P594" i="30"/>
  <c r="Q594" i="30"/>
  <c r="R594" i="30"/>
  <c r="C595" i="30"/>
  <c r="D595" i="30"/>
  <c r="E595" i="30"/>
  <c r="F595" i="30"/>
  <c r="G595" i="30"/>
  <c r="H595" i="30"/>
  <c r="I595" i="30"/>
  <c r="J595" i="30"/>
  <c r="K595" i="30"/>
  <c r="L595" i="30"/>
  <c r="M595" i="30"/>
  <c r="N595" i="30"/>
  <c r="O595" i="30"/>
  <c r="P595" i="30"/>
  <c r="Q595" i="30"/>
  <c r="R595" i="30"/>
  <c r="C596" i="30"/>
  <c r="D596" i="30"/>
  <c r="E596" i="30"/>
  <c r="F596" i="30"/>
  <c r="G596" i="30"/>
  <c r="H596" i="30"/>
  <c r="I596" i="30"/>
  <c r="J596" i="30"/>
  <c r="K596" i="30"/>
  <c r="L596" i="30"/>
  <c r="M596" i="30"/>
  <c r="N596" i="30"/>
  <c r="O596" i="30"/>
  <c r="P596" i="30"/>
  <c r="Q596" i="30"/>
  <c r="R596" i="30"/>
  <c r="C597" i="30"/>
  <c r="D597" i="30"/>
  <c r="E597" i="30"/>
  <c r="F597" i="30"/>
  <c r="G597" i="30"/>
  <c r="H597" i="30"/>
  <c r="I597" i="30"/>
  <c r="J597" i="30"/>
  <c r="K597" i="30"/>
  <c r="L597" i="30"/>
  <c r="M597" i="30"/>
  <c r="N597" i="30"/>
  <c r="O597" i="30"/>
  <c r="P597" i="30"/>
  <c r="Q597" i="30"/>
  <c r="R597" i="30"/>
  <c r="C598" i="30"/>
  <c r="D598" i="30"/>
  <c r="E598" i="30"/>
  <c r="F598" i="30"/>
  <c r="G598" i="30"/>
  <c r="H598" i="30"/>
  <c r="I598" i="30"/>
  <c r="J598" i="30"/>
  <c r="K598" i="30"/>
  <c r="L598" i="30"/>
  <c r="M598" i="30"/>
  <c r="N598" i="30"/>
  <c r="O598" i="30"/>
  <c r="P598" i="30"/>
  <c r="Q598" i="30"/>
  <c r="R598" i="30"/>
  <c r="C599" i="30"/>
  <c r="D599" i="30"/>
  <c r="E599" i="30"/>
  <c r="F599" i="30"/>
  <c r="G599" i="30"/>
  <c r="H599" i="30"/>
  <c r="I599" i="30"/>
  <c r="J599" i="30"/>
  <c r="K599" i="30"/>
  <c r="L599" i="30"/>
  <c r="M599" i="30"/>
  <c r="N599" i="30"/>
  <c r="O599" i="30"/>
  <c r="P599" i="30"/>
  <c r="Q599" i="30"/>
  <c r="R599" i="30"/>
  <c r="C600" i="30"/>
  <c r="D600" i="30"/>
  <c r="E600" i="30"/>
  <c r="F600" i="30"/>
  <c r="G600" i="30"/>
  <c r="H600" i="30"/>
  <c r="I600" i="30"/>
  <c r="J600" i="30"/>
  <c r="K600" i="30"/>
  <c r="L600" i="30"/>
  <c r="M600" i="30"/>
  <c r="N600" i="30"/>
  <c r="O600" i="30"/>
  <c r="P600" i="30"/>
  <c r="Q600" i="30"/>
  <c r="R600" i="30"/>
  <c r="C601" i="30"/>
  <c r="D601" i="30"/>
  <c r="E601" i="30"/>
  <c r="F601" i="30"/>
  <c r="G601" i="30"/>
  <c r="H601" i="30"/>
  <c r="I601" i="30"/>
  <c r="J601" i="30"/>
  <c r="K601" i="30"/>
  <c r="L601" i="30"/>
  <c r="M601" i="30"/>
  <c r="N601" i="30"/>
  <c r="O601" i="30"/>
  <c r="P601" i="30"/>
  <c r="Q601" i="30"/>
  <c r="R601" i="30"/>
  <c r="C602" i="30"/>
  <c r="D602" i="30"/>
  <c r="E602" i="30"/>
  <c r="F602" i="30"/>
  <c r="G602" i="30"/>
  <c r="H602" i="30"/>
  <c r="I602" i="30"/>
  <c r="J602" i="30"/>
  <c r="K602" i="30"/>
  <c r="L602" i="30"/>
  <c r="M602" i="30"/>
  <c r="N602" i="30"/>
  <c r="O602" i="30"/>
  <c r="P602" i="30"/>
  <c r="Q602" i="30"/>
  <c r="R602" i="30"/>
  <c r="C603" i="30"/>
  <c r="D603" i="30"/>
  <c r="E603" i="30"/>
  <c r="F603" i="30"/>
  <c r="G603" i="30"/>
  <c r="H603" i="30"/>
  <c r="I603" i="30"/>
  <c r="J603" i="30"/>
  <c r="K603" i="30"/>
  <c r="L603" i="30"/>
  <c r="M603" i="30"/>
  <c r="N603" i="30"/>
  <c r="O603" i="30"/>
  <c r="P603" i="30"/>
  <c r="Q603" i="30"/>
  <c r="R603" i="30"/>
  <c r="C604" i="30"/>
  <c r="D604" i="30"/>
  <c r="E604" i="30"/>
  <c r="F604" i="30"/>
  <c r="G604" i="30"/>
  <c r="H604" i="30"/>
  <c r="I604" i="30"/>
  <c r="J604" i="30"/>
  <c r="K604" i="30"/>
  <c r="L604" i="30"/>
  <c r="M604" i="30"/>
  <c r="N604" i="30"/>
  <c r="O604" i="30"/>
  <c r="P604" i="30"/>
  <c r="Q604" i="30"/>
  <c r="R604" i="30"/>
  <c r="C605" i="30"/>
  <c r="D605" i="30"/>
  <c r="E605" i="30"/>
  <c r="F605" i="30"/>
  <c r="G605" i="30"/>
  <c r="H605" i="30"/>
  <c r="I605" i="30"/>
  <c r="J605" i="30"/>
  <c r="K605" i="30"/>
  <c r="L605" i="30"/>
  <c r="M605" i="30"/>
  <c r="N605" i="30"/>
  <c r="O605" i="30"/>
  <c r="P605" i="30"/>
  <c r="Q605" i="30"/>
  <c r="R605" i="30"/>
  <c r="C606" i="30"/>
  <c r="D606" i="30"/>
  <c r="E606" i="30"/>
  <c r="F606" i="30"/>
  <c r="G606" i="30"/>
  <c r="H606" i="30"/>
  <c r="I606" i="30"/>
  <c r="J606" i="30"/>
  <c r="K606" i="30"/>
  <c r="L606" i="30"/>
  <c r="M606" i="30"/>
  <c r="N606" i="30"/>
  <c r="O606" i="30"/>
  <c r="P606" i="30"/>
  <c r="Q606" i="30"/>
  <c r="R606" i="30"/>
  <c r="C607" i="30"/>
  <c r="D607" i="30"/>
  <c r="E607" i="30"/>
  <c r="F607" i="30"/>
  <c r="G607" i="30"/>
  <c r="H607" i="30"/>
  <c r="I607" i="30"/>
  <c r="J607" i="30"/>
  <c r="K607" i="30"/>
  <c r="L607" i="30"/>
  <c r="M607" i="30"/>
  <c r="N607" i="30"/>
  <c r="O607" i="30"/>
  <c r="P607" i="30"/>
  <c r="Q607" i="30"/>
  <c r="R607" i="30"/>
  <c r="C608" i="30"/>
  <c r="D608" i="30"/>
  <c r="E608" i="30"/>
  <c r="F608" i="30"/>
  <c r="G608" i="30"/>
  <c r="H608" i="30"/>
  <c r="I608" i="30"/>
  <c r="J608" i="30"/>
  <c r="K608" i="30"/>
  <c r="L608" i="30"/>
  <c r="M608" i="30"/>
  <c r="N608" i="30"/>
  <c r="O608" i="30"/>
  <c r="P608" i="30"/>
  <c r="Q608" i="30"/>
  <c r="R608" i="30"/>
  <c r="C609" i="30"/>
  <c r="D609" i="30"/>
  <c r="E609" i="30"/>
  <c r="F609" i="30"/>
  <c r="G609" i="30"/>
  <c r="H609" i="30"/>
  <c r="I609" i="30"/>
  <c r="J609" i="30"/>
  <c r="K609" i="30"/>
  <c r="L609" i="30"/>
  <c r="M609" i="30"/>
  <c r="N609" i="30"/>
  <c r="O609" i="30"/>
  <c r="P609" i="30"/>
  <c r="Q609" i="30"/>
  <c r="R609" i="30"/>
  <c r="C610" i="30"/>
  <c r="D610" i="30"/>
  <c r="E610" i="30"/>
  <c r="F610" i="30"/>
  <c r="G610" i="30"/>
  <c r="H610" i="30"/>
  <c r="I610" i="30"/>
  <c r="J610" i="30"/>
  <c r="K610" i="30"/>
  <c r="L610" i="30"/>
  <c r="M610" i="30"/>
  <c r="N610" i="30"/>
  <c r="O610" i="30"/>
  <c r="P610" i="30"/>
  <c r="Q610" i="30"/>
  <c r="R610" i="30"/>
  <c r="C611" i="30"/>
  <c r="D611" i="30"/>
  <c r="E611" i="30"/>
  <c r="F611" i="30"/>
  <c r="G611" i="30"/>
  <c r="H611" i="30"/>
  <c r="I611" i="30"/>
  <c r="J611" i="30"/>
  <c r="K611" i="30"/>
  <c r="L611" i="30"/>
  <c r="M611" i="30"/>
  <c r="N611" i="30"/>
  <c r="O611" i="30"/>
  <c r="P611" i="30"/>
  <c r="Q611" i="30"/>
  <c r="R611" i="30"/>
  <c r="C612" i="30"/>
  <c r="D612" i="30"/>
  <c r="E612" i="30"/>
  <c r="F612" i="30"/>
  <c r="G612" i="30"/>
  <c r="H612" i="30"/>
  <c r="I612" i="30"/>
  <c r="J612" i="30"/>
  <c r="K612" i="30"/>
  <c r="L612" i="30"/>
  <c r="M612" i="30"/>
  <c r="N612" i="30"/>
  <c r="O612" i="30"/>
  <c r="P612" i="30"/>
  <c r="Q612" i="30"/>
  <c r="R612" i="30"/>
  <c r="C613" i="30"/>
  <c r="D613" i="30"/>
  <c r="E613" i="30"/>
  <c r="F613" i="30"/>
  <c r="G613" i="30"/>
  <c r="H613" i="30"/>
  <c r="I613" i="30"/>
  <c r="J613" i="30"/>
  <c r="K613" i="30"/>
  <c r="L613" i="30"/>
  <c r="M613" i="30"/>
  <c r="N613" i="30"/>
  <c r="O613" i="30"/>
  <c r="P613" i="30"/>
  <c r="Q613" i="30"/>
  <c r="R613" i="30"/>
  <c r="C614" i="30"/>
  <c r="D614" i="30"/>
  <c r="E614" i="30"/>
  <c r="F614" i="30"/>
  <c r="G614" i="30"/>
  <c r="H614" i="30"/>
  <c r="I614" i="30"/>
  <c r="J614" i="30"/>
  <c r="K614" i="30"/>
  <c r="L614" i="30"/>
  <c r="M614" i="30"/>
  <c r="N614" i="30"/>
  <c r="O614" i="30"/>
  <c r="P614" i="30"/>
  <c r="Q614" i="30"/>
  <c r="R614" i="30"/>
  <c r="C615" i="30"/>
  <c r="D615" i="30"/>
  <c r="E615" i="30"/>
  <c r="F615" i="30"/>
  <c r="G615" i="30"/>
  <c r="H615" i="30"/>
  <c r="I615" i="30"/>
  <c r="J615" i="30"/>
  <c r="K615" i="30"/>
  <c r="L615" i="30"/>
  <c r="M615" i="30"/>
  <c r="N615" i="30"/>
  <c r="O615" i="30"/>
  <c r="P615" i="30"/>
  <c r="Q615" i="30"/>
  <c r="R615" i="30"/>
  <c r="C616" i="30"/>
  <c r="D616" i="30"/>
  <c r="E616" i="30"/>
  <c r="F616" i="30"/>
  <c r="G616" i="30"/>
  <c r="H616" i="30"/>
  <c r="I616" i="30"/>
  <c r="J616" i="30"/>
  <c r="K616" i="30"/>
  <c r="L616" i="30"/>
  <c r="M616" i="30"/>
  <c r="N616" i="30"/>
  <c r="O616" i="30"/>
  <c r="P616" i="30"/>
  <c r="Q616" i="30"/>
  <c r="R616" i="30"/>
  <c r="C617" i="30"/>
  <c r="D617" i="30"/>
  <c r="E617" i="30"/>
  <c r="F617" i="30"/>
  <c r="G617" i="30"/>
  <c r="H617" i="30"/>
  <c r="I617" i="30"/>
  <c r="J617" i="30"/>
  <c r="K617" i="30"/>
  <c r="L617" i="30"/>
  <c r="M617" i="30"/>
  <c r="N617" i="30"/>
  <c r="O617" i="30"/>
  <c r="P617" i="30"/>
  <c r="Q617" i="30"/>
  <c r="R617" i="30"/>
  <c r="C618" i="30"/>
  <c r="D618" i="30"/>
  <c r="E618" i="30"/>
  <c r="F618" i="30"/>
  <c r="G618" i="30"/>
  <c r="H618" i="30"/>
  <c r="I618" i="30"/>
  <c r="J618" i="30"/>
  <c r="K618" i="30"/>
  <c r="L618" i="30"/>
  <c r="M618" i="30"/>
  <c r="N618" i="30"/>
  <c r="O618" i="30"/>
  <c r="P618" i="30"/>
  <c r="Q618" i="30"/>
  <c r="R618" i="30"/>
  <c r="C619" i="30"/>
  <c r="D619" i="30"/>
  <c r="E619" i="30"/>
  <c r="F619" i="30"/>
  <c r="G619" i="30"/>
  <c r="H619" i="30"/>
  <c r="I619" i="30"/>
  <c r="J619" i="30"/>
  <c r="K619" i="30"/>
  <c r="L619" i="30"/>
  <c r="M619" i="30"/>
  <c r="N619" i="30"/>
  <c r="O619" i="30"/>
  <c r="P619" i="30"/>
  <c r="Q619" i="30"/>
  <c r="R619" i="30"/>
  <c r="C620" i="30"/>
  <c r="D620" i="30"/>
  <c r="E620" i="30"/>
  <c r="F620" i="30"/>
  <c r="G620" i="30"/>
  <c r="H620" i="30"/>
  <c r="I620" i="30"/>
  <c r="J620" i="30"/>
  <c r="K620" i="30"/>
  <c r="L620" i="30"/>
  <c r="M620" i="30"/>
  <c r="N620" i="30"/>
  <c r="O620" i="30"/>
  <c r="P620" i="30"/>
  <c r="Q620" i="30"/>
  <c r="R620" i="30"/>
  <c r="C621" i="30"/>
  <c r="D621" i="30"/>
  <c r="E621" i="30"/>
  <c r="F621" i="30"/>
  <c r="G621" i="30"/>
  <c r="H621" i="30"/>
  <c r="I621" i="30"/>
  <c r="J621" i="30"/>
  <c r="K621" i="30"/>
  <c r="L621" i="30"/>
  <c r="M621" i="30"/>
  <c r="N621" i="30"/>
  <c r="O621" i="30"/>
  <c r="P621" i="30"/>
  <c r="Q621" i="30"/>
  <c r="R621" i="30"/>
  <c r="C622" i="30"/>
  <c r="D622" i="30"/>
  <c r="E622" i="30"/>
  <c r="F622" i="30"/>
  <c r="G622" i="30"/>
  <c r="H622" i="30"/>
  <c r="I622" i="30"/>
  <c r="J622" i="30"/>
  <c r="K622" i="30"/>
  <c r="L622" i="30"/>
  <c r="M622" i="30"/>
  <c r="N622" i="30"/>
  <c r="O622" i="30"/>
  <c r="P622" i="30"/>
  <c r="Q622" i="30"/>
  <c r="R622" i="30"/>
  <c r="C623" i="30"/>
  <c r="D623" i="30"/>
  <c r="E623" i="30"/>
  <c r="F623" i="30"/>
  <c r="G623" i="30"/>
  <c r="H623" i="30"/>
  <c r="I623" i="30"/>
  <c r="J623" i="30"/>
  <c r="K623" i="30"/>
  <c r="L623" i="30"/>
  <c r="M623" i="30"/>
  <c r="N623" i="30"/>
  <c r="O623" i="30"/>
  <c r="P623" i="30"/>
  <c r="Q623" i="30"/>
  <c r="R623" i="30"/>
  <c r="C624" i="30"/>
  <c r="D624" i="30"/>
  <c r="E624" i="30"/>
  <c r="F624" i="30"/>
  <c r="G624" i="30"/>
  <c r="H624" i="30"/>
  <c r="I624" i="30"/>
  <c r="J624" i="30"/>
  <c r="K624" i="30"/>
  <c r="L624" i="30"/>
  <c r="M624" i="30"/>
  <c r="N624" i="30"/>
  <c r="O624" i="30"/>
  <c r="P624" i="30"/>
  <c r="Q624" i="30"/>
  <c r="R624" i="30"/>
  <c r="C625" i="30"/>
  <c r="D625" i="30"/>
  <c r="E625" i="30"/>
  <c r="F625" i="30"/>
  <c r="G625" i="30"/>
  <c r="H625" i="30"/>
  <c r="I625" i="30"/>
  <c r="J625" i="30"/>
  <c r="K625" i="30"/>
  <c r="L625" i="30"/>
  <c r="M625" i="30"/>
  <c r="N625" i="30"/>
  <c r="O625" i="30"/>
  <c r="P625" i="30"/>
  <c r="Q625" i="30"/>
  <c r="R625" i="30"/>
  <c r="C626" i="30"/>
  <c r="D626" i="30"/>
  <c r="E626" i="30"/>
  <c r="F626" i="30"/>
  <c r="G626" i="30"/>
  <c r="H626" i="30"/>
  <c r="I626" i="30"/>
  <c r="J626" i="30"/>
  <c r="K626" i="30"/>
  <c r="L626" i="30"/>
  <c r="M626" i="30"/>
  <c r="N626" i="30"/>
  <c r="O626" i="30"/>
  <c r="P626" i="30"/>
  <c r="Q626" i="30"/>
  <c r="R626" i="30"/>
  <c r="C627" i="30"/>
  <c r="D627" i="30"/>
  <c r="E627" i="30"/>
  <c r="F627" i="30"/>
  <c r="G627" i="30"/>
  <c r="H627" i="30"/>
  <c r="I627" i="30"/>
  <c r="J627" i="30"/>
  <c r="K627" i="30"/>
  <c r="L627" i="30"/>
  <c r="M627" i="30"/>
  <c r="N627" i="30"/>
  <c r="O627" i="30"/>
  <c r="P627" i="30"/>
  <c r="Q627" i="30"/>
  <c r="R627" i="30"/>
  <c r="C628" i="30"/>
  <c r="D628" i="30"/>
  <c r="E628" i="30"/>
  <c r="F628" i="30"/>
  <c r="G628" i="30"/>
  <c r="H628" i="30"/>
  <c r="I628" i="30"/>
  <c r="J628" i="30"/>
  <c r="K628" i="30"/>
  <c r="L628" i="30"/>
  <c r="M628" i="30"/>
  <c r="N628" i="30"/>
  <c r="O628" i="30"/>
  <c r="P628" i="30"/>
  <c r="Q628" i="30"/>
  <c r="R628" i="30"/>
  <c r="C629" i="30"/>
  <c r="D629" i="30"/>
  <c r="E629" i="30"/>
  <c r="F629" i="30"/>
  <c r="G629" i="30"/>
  <c r="H629" i="30"/>
  <c r="I629" i="30"/>
  <c r="J629" i="30"/>
  <c r="K629" i="30"/>
  <c r="L629" i="30"/>
  <c r="M629" i="30"/>
  <c r="N629" i="30"/>
  <c r="O629" i="30"/>
  <c r="P629" i="30"/>
  <c r="Q629" i="30"/>
  <c r="R629" i="30"/>
  <c r="C630" i="30"/>
  <c r="D630" i="30"/>
  <c r="E630" i="30"/>
  <c r="F630" i="30"/>
  <c r="G630" i="30"/>
  <c r="H630" i="30"/>
  <c r="I630" i="30"/>
  <c r="J630" i="30"/>
  <c r="K630" i="30"/>
  <c r="L630" i="30"/>
  <c r="M630" i="30"/>
  <c r="N630" i="30"/>
  <c r="O630" i="30"/>
  <c r="P630" i="30"/>
  <c r="Q630" i="30"/>
  <c r="R630" i="30"/>
  <c r="C631" i="30"/>
  <c r="D631" i="30"/>
  <c r="E631" i="30"/>
  <c r="F631" i="30"/>
  <c r="G631" i="30"/>
  <c r="H631" i="30"/>
  <c r="I631" i="30"/>
  <c r="J631" i="30"/>
  <c r="K631" i="30"/>
  <c r="L631" i="30"/>
  <c r="M631" i="30"/>
  <c r="N631" i="30"/>
  <c r="O631" i="30"/>
  <c r="P631" i="30"/>
  <c r="Q631" i="30"/>
  <c r="R631" i="30"/>
  <c r="C632" i="30"/>
  <c r="D632" i="30"/>
  <c r="E632" i="30"/>
  <c r="F632" i="30"/>
  <c r="G632" i="30"/>
  <c r="H632" i="30"/>
  <c r="I632" i="30"/>
  <c r="J632" i="30"/>
  <c r="K632" i="30"/>
  <c r="L632" i="30"/>
  <c r="M632" i="30"/>
  <c r="N632" i="30"/>
  <c r="O632" i="30"/>
  <c r="P632" i="30"/>
  <c r="Q632" i="30"/>
  <c r="R632" i="30"/>
  <c r="C633" i="30"/>
  <c r="D633" i="30"/>
  <c r="E633" i="30"/>
  <c r="F633" i="30"/>
  <c r="G633" i="30"/>
  <c r="H633" i="30"/>
  <c r="I633" i="30"/>
  <c r="J633" i="30"/>
  <c r="K633" i="30"/>
  <c r="L633" i="30"/>
  <c r="M633" i="30"/>
  <c r="N633" i="30"/>
  <c r="O633" i="30"/>
  <c r="P633" i="30"/>
  <c r="Q633" i="30"/>
  <c r="R633" i="30"/>
  <c r="C634" i="30"/>
  <c r="D634" i="30"/>
  <c r="E634" i="30"/>
  <c r="F634" i="30"/>
  <c r="G634" i="30"/>
  <c r="H634" i="30"/>
  <c r="I634" i="30"/>
  <c r="J634" i="30"/>
  <c r="K634" i="30"/>
  <c r="L634" i="30"/>
  <c r="M634" i="30"/>
  <c r="N634" i="30"/>
  <c r="O634" i="30"/>
  <c r="P634" i="30"/>
  <c r="Q634" i="30"/>
  <c r="R634" i="30"/>
  <c r="C635" i="30"/>
  <c r="D635" i="30"/>
  <c r="E635" i="30"/>
  <c r="F635" i="30"/>
  <c r="G635" i="30"/>
  <c r="H635" i="30"/>
  <c r="I635" i="30"/>
  <c r="J635" i="30"/>
  <c r="K635" i="30"/>
  <c r="L635" i="30"/>
  <c r="M635" i="30"/>
  <c r="N635" i="30"/>
  <c r="O635" i="30"/>
  <c r="P635" i="30"/>
  <c r="Q635" i="30"/>
  <c r="R635" i="30"/>
  <c r="C636" i="30"/>
  <c r="D636" i="30"/>
  <c r="E636" i="30"/>
  <c r="F636" i="30"/>
  <c r="G636" i="30"/>
  <c r="H636" i="30"/>
  <c r="I636" i="30"/>
  <c r="J636" i="30"/>
  <c r="K636" i="30"/>
  <c r="L636" i="30"/>
  <c r="M636" i="30"/>
  <c r="N636" i="30"/>
  <c r="O636" i="30"/>
  <c r="P636" i="30"/>
  <c r="Q636" i="30"/>
  <c r="R636" i="30"/>
  <c r="C637" i="30"/>
  <c r="D637" i="30"/>
  <c r="E637" i="30"/>
  <c r="F637" i="30"/>
  <c r="G637" i="30"/>
  <c r="H637" i="30"/>
  <c r="I637" i="30"/>
  <c r="J637" i="30"/>
  <c r="K637" i="30"/>
  <c r="L637" i="30"/>
  <c r="M637" i="30"/>
  <c r="N637" i="30"/>
  <c r="O637" i="30"/>
  <c r="P637" i="30"/>
  <c r="Q637" i="30"/>
  <c r="R637" i="30"/>
  <c r="C638" i="30"/>
  <c r="D638" i="30"/>
  <c r="E638" i="30"/>
  <c r="F638" i="30"/>
  <c r="G638" i="30"/>
  <c r="H638" i="30"/>
  <c r="I638" i="30"/>
  <c r="J638" i="30"/>
  <c r="K638" i="30"/>
  <c r="L638" i="30"/>
  <c r="M638" i="30"/>
  <c r="N638" i="30"/>
  <c r="O638" i="30"/>
  <c r="P638" i="30"/>
  <c r="Q638" i="30"/>
  <c r="R638" i="30"/>
  <c r="C639" i="30"/>
  <c r="D639" i="30"/>
  <c r="E639" i="30"/>
  <c r="F639" i="30"/>
  <c r="G639" i="30"/>
  <c r="H639" i="30"/>
  <c r="I639" i="30"/>
  <c r="J639" i="30"/>
  <c r="K639" i="30"/>
  <c r="L639" i="30"/>
  <c r="M639" i="30"/>
  <c r="N639" i="30"/>
  <c r="O639" i="30"/>
  <c r="P639" i="30"/>
  <c r="Q639" i="30"/>
  <c r="R639" i="30"/>
  <c r="C640" i="30"/>
  <c r="D640" i="30"/>
  <c r="E640" i="30"/>
  <c r="F640" i="30"/>
  <c r="G640" i="30"/>
  <c r="H640" i="30"/>
  <c r="I640" i="30"/>
  <c r="J640" i="30"/>
  <c r="K640" i="30"/>
  <c r="L640" i="30"/>
  <c r="M640" i="30"/>
  <c r="N640" i="30"/>
  <c r="O640" i="30"/>
  <c r="P640" i="30"/>
  <c r="Q640" i="30"/>
  <c r="R640" i="30"/>
  <c r="C641" i="30"/>
  <c r="D641" i="30"/>
  <c r="E641" i="30"/>
  <c r="F641" i="30"/>
  <c r="G641" i="30"/>
  <c r="H641" i="30"/>
  <c r="I641" i="30"/>
  <c r="J641" i="30"/>
  <c r="K641" i="30"/>
  <c r="L641" i="30"/>
  <c r="M641" i="30"/>
  <c r="N641" i="30"/>
  <c r="O641" i="30"/>
  <c r="P641" i="30"/>
  <c r="Q641" i="30"/>
  <c r="R641" i="30"/>
  <c r="C642" i="30"/>
  <c r="D642" i="30"/>
  <c r="E642" i="30"/>
  <c r="F642" i="30"/>
  <c r="G642" i="30"/>
  <c r="H642" i="30"/>
  <c r="I642" i="30"/>
  <c r="J642" i="30"/>
  <c r="K642" i="30"/>
  <c r="L642" i="30"/>
  <c r="M642" i="30"/>
  <c r="N642" i="30"/>
  <c r="O642" i="30"/>
  <c r="P642" i="30"/>
  <c r="Q642" i="30"/>
  <c r="R642" i="30"/>
  <c r="C643" i="30"/>
  <c r="D643" i="30"/>
  <c r="E643" i="30"/>
  <c r="F643" i="30"/>
  <c r="G643" i="30"/>
  <c r="H643" i="30"/>
  <c r="I643" i="30"/>
  <c r="J643" i="30"/>
  <c r="K643" i="30"/>
  <c r="L643" i="30"/>
  <c r="M643" i="30"/>
  <c r="N643" i="30"/>
  <c r="O643" i="30"/>
  <c r="P643" i="30"/>
  <c r="Q643" i="30"/>
  <c r="R643" i="30"/>
  <c r="C644" i="30"/>
  <c r="D644" i="30"/>
  <c r="E644" i="30"/>
  <c r="F644" i="30"/>
  <c r="G644" i="30"/>
  <c r="H644" i="30"/>
  <c r="I644" i="30"/>
  <c r="J644" i="30"/>
  <c r="K644" i="30"/>
  <c r="L644" i="30"/>
  <c r="M644" i="30"/>
  <c r="N644" i="30"/>
  <c r="O644" i="30"/>
  <c r="P644" i="30"/>
  <c r="Q644" i="30"/>
  <c r="R644" i="30"/>
  <c r="C645" i="30"/>
  <c r="D645" i="30"/>
  <c r="E645" i="30"/>
  <c r="F645" i="30"/>
  <c r="G645" i="30"/>
  <c r="H645" i="30"/>
  <c r="I645" i="30"/>
  <c r="J645" i="30"/>
  <c r="K645" i="30"/>
  <c r="L645" i="30"/>
  <c r="M645" i="30"/>
  <c r="N645" i="30"/>
  <c r="O645" i="30"/>
  <c r="P645" i="30"/>
  <c r="Q645" i="30"/>
  <c r="R645" i="30"/>
  <c r="C646" i="30"/>
  <c r="D646" i="30"/>
  <c r="E646" i="30"/>
  <c r="F646" i="30"/>
  <c r="G646" i="30"/>
  <c r="H646" i="30"/>
  <c r="I646" i="30"/>
  <c r="J646" i="30"/>
  <c r="K646" i="30"/>
  <c r="L646" i="30"/>
  <c r="M646" i="30"/>
  <c r="N646" i="30"/>
  <c r="O646" i="30"/>
  <c r="P646" i="30"/>
  <c r="Q646" i="30"/>
  <c r="R646" i="30"/>
  <c r="C647" i="30"/>
  <c r="D647" i="30"/>
  <c r="E647" i="30"/>
  <c r="F647" i="30"/>
  <c r="G647" i="30"/>
  <c r="H647" i="30"/>
  <c r="I647" i="30"/>
  <c r="J647" i="30"/>
  <c r="K647" i="30"/>
  <c r="L647" i="30"/>
  <c r="M647" i="30"/>
  <c r="N647" i="30"/>
  <c r="O647" i="30"/>
  <c r="P647" i="30"/>
  <c r="Q647" i="30"/>
  <c r="R647" i="30"/>
  <c r="C648" i="30"/>
  <c r="D648" i="30"/>
  <c r="E648" i="30"/>
  <c r="F648" i="30"/>
  <c r="G648" i="30"/>
  <c r="H648" i="30"/>
  <c r="I648" i="30"/>
  <c r="J648" i="30"/>
  <c r="K648" i="30"/>
  <c r="L648" i="30"/>
  <c r="M648" i="30"/>
  <c r="N648" i="30"/>
  <c r="O648" i="30"/>
  <c r="P648" i="30"/>
  <c r="Q648" i="30"/>
  <c r="R648" i="30"/>
  <c r="C649" i="30"/>
  <c r="D649" i="30"/>
  <c r="E649" i="30"/>
  <c r="F649" i="30"/>
  <c r="G649" i="30"/>
  <c r="H649" i="30"/>
  <c r="I649" i="30"/>
  <c r="J649" i="30"/>
  <c r="K649" i="30"/>
  <c r="L649" i="30"/>
  <c r="M649" i="30"/>
  <c r="N649" i="30"/>
  <c r="O649" i="30"/>
  <c r="P649" i="30"/>
  <c r="Q649" i="30"/>
  <c r="R649" i="30"/>
  <c r="C650" i="30"/>
  <c r="D650" i="30"/>
  <c r="E650" i="30"/>
  <c r="F650" i="30"/>
  <c r="G650" i="30"/>
  <c r="H650" i="30"/>
  <c r="I650" i="30"/>
  <c r="J650" i="30"/>
  <c r="K650" i="30"/>
  <c r="L650" i="30"/>
  <c r="M650" i="30"/>
  <c r="N650" i="30"/>
  <c r="O650" i="30"/>
  <c r="P650" i="30"/>
  <c r="Q650" i="30"/>
  <c r="R650" i="30"/>
  <c r="C651" i="30"/>
  <c r="D651" i="30"/>
  <c r="E651" i="30"/>
  <c r="F651" i="30"/>
  <c r="G651" i="30"/>
  <c r="H651" i="30"/>
  <c r="I651" i="30"/>
  <c r="J651" i="30"/>
  <c r="K651" i="30"/>
  <c r="L651" i="30"/>
  <c r="M651" i="30"/>
  <c r="N651" i="30"/>
  <c r="O651" i="30"/>
  <c r="P651" i="30"/>
  <c r="Q651" i="30"/>
  <c r="R651" i="30"/>
  <c r="C652" i="30"/>
  <c r="D652" i="30"/>
  <c r="E652" i="30"/>
  <c r="F652" i="30"/>
  <c r="G652" i="30"/>
  <c r="H652" i="30"/>
  <c r="I652" i="30"/>
  <c r="J652" i="30"/>
  <c r="K652" i="30"/>
  <c r="L652" i="30"/>
  <c r="M652" i="30"/>
  <c r="N652" i="30"/>
  <c r="O652" i="30"/>
  <c r="P652" i="30"/>
  <c r="Q652" i="30"/>
  <c r="R652" i="30"/>
  <c r="C653" i="30"/>
  <c r="D653" i="30"/>
  <c r="E653" i="30"/>
  <c r="F653" i="30"/>
  <c r="G653" i="30"/>
  <c r="H653" i="30"/>
  <c r="I653" i="30"/>
  <c r="J653" i="30"/>
  <c r="K653" i="30"/>
  <c r="L653" i="30"/>
  <c r="M653" i="30"/>
  <c r="N653" i="30"/>
  <c r="O653" i="30"/>
  <c r="P653" i="30"/>
  <c r="Q653" i="30"/>
  <c r="R653" i="30"/>
  <c r="C654" i="30"/>
  <c r="D654" i="30"/>
  <c r="E654" i="30"/>
  <c r="F654" i="30"/>
  <c r="G654" i="30"/>
  <c r="H654" i="30"/>
  <c r="I654" i="30"/>
  <c r="J654" i="30"/>
  <c r="K654" i="30"/>
  <c r="L654" i="30"/>
  <c r="M654" i="30"/>
  <c r="N654" i="30"/>
  <c r="O654" i="30"/>
  <c r="P654" i="30"/>
  <c r="Q654" i="30"/>
  <c r="R654" i="30"/>
  <c r="C655" i="30"/>
  <c r="D655" i="30"/>
  <c r="E655" i="30"/>
  <c r="F655" i="30"/>
  <c r="G655" i="30"/>
  <c r="H655" i="30"/>
  <c r="I655" i="30"/>
  <c r="J655" i="30"/>
  <c r="K655" i="30"/>
  <c r="L655" i="30"/>
  <c r="M655" i="30"/>
  <c r="N655" i="30"/>
  <c r="O655" i="30"/>
  <c r="P655" i="30"/>
  <c r="Q655" i="30"/>
  <c r="R655" i="30"/>
  <c r="S6" i="28"/>
  <c r="S7" i="28" s="1"/>
  <c r="S8" i="28" s="1"/>
  <c r="S9" i="28" s="1"/>
  <c r="S10" i="28" s="1"/>
  <c r="S11" i="28" s="1"/>
  <c r="S12" i="28" s="1"/>
  <c r="S13" i="28" s="1"/>
  <c r="S14" i="28" s="1"/>
  <c r="D5" i="28"/>
  <c r="AK39" i="28" l="1"/>
  <c r="AK41" i="28"/>
  <c r="AK42" i="28"/>
  <c r="AK43" i="28"/>
  <c r="AK44" i="28"/>
  <c r="AK45" i="28"/>
  <c r="AK37" i="28"/>
  <c r="AK38" i="28"/>
  <c r="AK40" i="28"/>
  <c r="AK36" i="28" l="1"/>
  <c r="T8" i="31" l="1"/>
  <c r="T9" i="31"/>
  <c r="X9" i="31" s="1"/>
  <c r="T10" i="31"/>
  <c r="X10" i="31" s="1"/>
  <c r="T11" i="31"/>
  <c r="X11" i="31" s="1"/>
  <c r="T12" i="31"/>
  <c r="T13" i="31"/>
  <c r="X13" i="31" s="1"/>
  <c r="T14" i="31"/>
  <c r="X14" i="31" s="1"/>
  <c r="T15" i="31"/>
  <c r="X15" i="31" s="1"/>
  <c r="T16" i="31"/>
  <c r="X16" i="31" s="1"/>
  <c r="T7" i="31"/>
  <c r="Y8" i="31"/>
  <c r="Z8" i="31"/>
  <c r="AA8" i="31"/>
  <c r="Y9" i="31"/>
  <c r="Z9" i="31"/>
  <c r="AA9" i="31"/>
  <c r="Y10" i="31"/>
  <c r="Z10" i="31"/>
  <c r="AA10" i="31"/>
  <c r="Y11" i="31"/>
  <c r="Z11" i="31"/>
  <c r="AA11" i="31"/>
  <c r="Y12" i="31"/>
  <c r="Z12" i="31"/>
  <c r="AA12" i="31"/>
  <c r="Y13" i="31"/>
  <c r="Z13" i="31"/>
  <c r="AA13" i="31"/>
  <c r="Y14" i="31"/>
  <c r="Z14" i="31"/>
  <c r="AA14" i="31"/>
  <c r="Y15" i="31"/>
  <c r="Z15" i="31"/>
  <c r="AA15" i="31"/>
  <c r="Y16" i="31"/>
  <c r="Z16" i="31"/>
  <c r="AA16" i="31"/>
  <c r="Y7" i="31"/>
  <c r="Z7" i="31"/>
  <c r="AA7" i="31"/>
  <c r="X7" i="31"/>
  <c r="P4" i="31"/>
  <c r="Q4" i="31"/>
  <c r="R4" i="31"/>
  <c r="O4" i="31"/>
  <c r="I9" i="31"/>
  <c r="I10" i="31"/>
  <c r="I8" i="31"/>
  <c r="X12" i="31" l="1"/>
  <c r="X8" i="31"/>
  <c r="S12" i="31"/>
  <c r="S15" i="31"/>
  <c r="S11" i="31"/>
  <c r="S13" i="31"/>
  <c r="S10" i="31"/>
  <c r="S14" i="31"/>
  <c r="S7" i="31"/>
  <c r="S9" i="31"/>
  <c r="S16" i="31"/>
  <c r="S8" i="31"/>
  <c r="D8" i="28" l="1"/>
  <c r="D3" i="30" l="1"/>
  <c r="E3" i="30"/>
  <c r="F3" i="30"/>
  <c r="G3" i="30"/>
  <c r="H3" i="30"/>
  <c r="I3" i="30"/>
  <c r="J3" i="30"/>
  <c r="K3" i="30"/>
  <c r="L3" i="30"/>
  <c r="M3" i="30"/>
  <c r="N3" i="30"/>
  <c r="O3" i="30"/>
  <c r="P3" i="30"/>
  <c r="Q3" i="30"/>
  <c r="R3" i="30"/>
  <c r="C3" i="30"/>
  <c r="AX35" i="28" l="1"/>
  <c r="AY35" i="28" s="1"/>
  <c r="AX5" i="28"/>
  <c r="AY5" i="28" s="1"/>
  <c r="AA12" i="28"/>
  <c r="AA11" i="28"/>
  <c r="AA10" i="28"/>
  <c r="AA9" i="28"/>
  <c r="AA8" i="28"/>
  <c r="AA5" i="28"/>
  <c r="AA7" i="28"/>
  <c r="AA14" i="28"/>
  <c r="AA6" i="28"/>
  <c r="AA13" i="28"/>
  <c r="R6" i="28"/>
  <c r="R7" i="28"/>
  <c r="R8" i="28"/>
  <c r="R9" i="28"/>
  <c r="R10" i="28"/>
  <c r="R11" i="28"/>
  <c r="R12" i="28"/>
  <c r="R13" i="28"/>
  <c r="R14" i="28"/>
  <c r="R5" i="28"/>
  <c r="P5" i="28"/>
  <c r="AK7" i="28"/>
  <c r="AK8" i="28"/>
  <c r="AK9" i="28"/>
  <c r="AK10" i="28"/>
  <c r="AK11" i="28"/>
  <c r="AK12" i="28"/>
  <c r="AK13" i="28"/>
  <c r="AK14" i="28"/>
  <c r="AK15" i="28"/>
  <c r="AK6" i="28"/>
  <c r="AG7" i="28"/>
  <c r="AG8" i="28"/>
  <c r="AG9" i="28"/>
  <c r="AG10" i="28"/>
  <c r="AG11" i="28"/>
  <c r="AG12" i="28"/>
  <c r="AG13" i="28"/>
  <c r="AG14" i="28"/>
  <c r="AG15" i="28"/>
  <c r="AG6" i="28"/>
  <c r="AF5" i="28"/>
  <c r="AB9" i="28" l="1"/>
  <c r="AB10" i="28"/>
  <c r="AB5" i="28"/>
  <c r="AB14" i="28"/>
  <c r="AB6" i="28"/>
  <c r="AB11" i="28"/>
  <c r="AB7" i="28"/>
  <c r="AB12" i="28"/>
  <c r="AB13" i="28"/>
  <c r="AB8" i="28"/>
  <c r="AF8" i="28"/>
  <c r="AF15" i="28"/>
  <c r="AF13" i="28"/>
  <c r="AF7" i="28"/>
  <c r="AF12" i="28"/>
  <c r="AF9" i="28"/>
  <c r="AF14" i="28"/>
  <c r="AF11" i="28"/>
  <c r="AF6" i="28"/>
  <c r="AF10" i="28"/>
  <c r="P6" i="28"/>
  <c r="M7" i="28"/>
  <c r="P7" i="28" l="1"/>
  <c r="M8" i="28"/>
  <c r="P8" i="28" l="1"/>
  <c r="M9" i="28"/>
  <c r="P9" i="28" l="1"/>
  <c r="M10" i="28"/>
  <c r="P10" i="28" l="1"/>
  <c r="M11" i="28"/>
  <c r="P11" i="28" l="1"/>
  <c r="M12" i="28"/>
  <c r="P12" i="28" l="1"/>
  <c r="M13" i="28"/>
  <c r="P13" i="28" l="1"/>
  <c r="M14" i="28"/>
  <c r="P14" i="28" l="1"/>
  <c r="F115" i="6" l="1"/>
  <c r="AA64" i="6" l="1"/>
  <c r="AB64" i="6"/>
  <c r="AC64" i="6"/>
  <c r="AD64" i="6"/>
  <c r="AE64" i="6"/>
  <c r="AH64" i="6"/>
  <c r="AI64" i="6"/>
  <c r="AJ64" i="6"/>
  <c r="AK64" i="6"/>
  <c r="AL64" i="6"/>
  <c r="AA65" i="6"/>
  <c r="AB65" i="6"/>
  <c r="AC65" i="6"/>
  <c r="AD65" i="6"/>
  <c r="AE65" i="6"/>
  <c r="AH65" i="6"/>
  <c r="AI65" i="6"/>
  <c r="AJ65" i="6"/>
  <c r="AK65" i="6"/>
  <c r="AL65" i="6"/>
  <c r="AA66" i="6"/>
  <c r="AB66" i="6"/>
  <c r="AC66" i="6"/>
  <c r="AD66" i="6"/>
  <c r="AE66" i="6"/>
  <c r="AH66" i="6"/>
  <c r="AI66" i="6"/>
  <c r="AJ66" i="6"/>
  <c r="AK66" i="6"/>
  <c r="AL66" i="6"/>
  <c r="AA67" i="6"/>
  <c r="AB67" i="6"/>
  <c r="AC67" i="6"/>
  <c r="AD67" i="6"/>
  <c r="AE67" i="6"/>
  <c r="AH67" i="6"/>
  <c r="AI67" i="6"/>
  <c r="AJ67" i="6"/>
  <c r="AK67" i="6"/>
  <c r="AL67" i="6"/>
  <c r="AA68" i="6"/>
  <c r="AB68" i="6"/>
  <c r="AC68" i="6"/>
  <c r="AD68" i="6"/>
  <c r="AE68" i="6"/>
  <c r="AH68" i="6"/>
  <c r="AI68" i="6"/>
  <c r="AJ68" i="6"/>
  <c r="AK68" i="6"/>
  <c r="AL68" i="6"/>
  <c r="AA69" i="6"/>
  <c r="AB69" i="6"/>
  <c r="AC69" i="6"/>
  <c r="AD69" i="6"/>
  <c r="AE69" i="6"/>
  <c r="AH69" i="6"/>
  <c r="AI69" i="6"/>
  <c r="AJ69" i="6"/>
  <c r="AK69" i="6"/>
  <c r="AL69" i="6"/>
  <c r="AA70" i="6"/>
  <c r="AB70" i="6"/>
  <c r="AC70" i="6"/>
  <c r="AD70" i="6"/>
  <c r="AE70" i="6"/>
  <c r="AH70" i="6"/>
  <c r="AI70" i="6"/>
  <c r="AJ70" i="6"/>
  <c r="AK70" i="6"/>
  <c r="AL70" i="6"/>
  <c r="AA71" i="6"/>
  <c r="AB71" i="6"/>
  <c r="AC71" i="6"/>
  <c r="AD71" i="6"/>
  <c r="AE71" i="6"/>
  <c r="AH71" i="6"/>
  <c r="AI71" i="6"/>
  <c r="AJ71" i="6"/>
  <c r="AK71" i="6"/>
  <c r="AL71" i="6"/>
  <c r="AA72" i="6"/>
  <c r="AB72" i="6"/>
  <c r="AC72" i="6"/>
  <c r="AD72" i="6"/>
  <c r="AE72" i="6"/>
  <c r="AH72" i="6"/>
  <c r="AI72" i="6"/>
  <c r="AJ72" i="6"/>
  <c r="AK72" i="6"/>
  <c r="AL72" i="6"/>
  <c r="AA73" i="6"/>
  <c r="AB73" i="6"/>
  <c r="AC73" i="6"/>
  <c r="AD73" i="6"/>
  <c r="AE73" i="6"/>
  <c r="AH73" i="6"/>
  <c r="AI73" i="6"/>
  <c r="AJ73" i="6"/>
  <c r="AK73" i="6"/>
  <c r="AL73" i="6"/>
  <c r="AA74" i="6"/>
  <c r="AB74" i="6"/>
  <c r="AC74" i="6"/>
  <c r="AD74" i="6"/>
  <c r="AE74" i="6"/>
  <c r="AH74" i="6"/>
  <c r="AI74" i="6"/>
  <c r="AJ74" i="6"/>
  <c r="AK74" i="6"/>
  <c r="AL74" i="6"/>
  <c r="AA75" i="6"/>
  <c r="AB75" i="6"/>
  <c r="AC75" i="6"/>
  <c r="AD75" i="6"/>
  <c r="AE75" i="6"/>
  <c r="AH75" i="6"/>
  <c r="AI75" i="6"/>
  <c r="AJ75" i="6"/>
  <c r="AK75" i="6"/>
  <c r="AL75" i="6"/>
  <c r="AA76" i="6"/>
  <c r="AB76" i="6"/>
  <c r="AC76" i="6"/>
  <c r="AD76" i="6"/>
  <c r="AE76" i="6"/>
  <c r="AH76" i="6"/>
  <c r="AI76" i="6"/>
  <c r="AJ76" i="6"/>
  <c r="AK76" i="6"/>
  <c r="AL76" i="6"/>
  <c r="AA77" i="6"/>
  <c r="AB77" i="6"/>
  <c r="AC77" i="6"/>
  <c r="AD77" i="6"/>
  <c r="AE77" i="6"/>
  <c r="AH77" i="6"/>
  <c r="AI77" i="6"/>
  <c r="AJ77" i="6"/>
  <c r="AK77" i="6"/>
  <c r="AL77" i="6"/>
  <c r="AA78" i="6"/>
  <c r="AB78" i="6"/>
  <c r="AC78" i="6"/>
  <c r="AD78" i="6"/>
  <c r="AE78" i="6"/>
  <c r="AH78" i="6"/>
  <c r="AI78" i="6"/>
  <c r="AJ78" i="6"/>
  <c r="AK78" i="6"/>
  <c r="AL78" i="6"/>
  <c r="AA79" i="6"/>
  <c r="AB79" i="6"/>
  <c r="AC79" i="6"/>
  <c r="AD79" i="6"/>
  <c r="AE79" i="6"/>
  <c r="AH79" i="6"/>
  <c r="AI79" i="6"/>
  <c r="AJ79" i="6"/>
  <c r="AK79" i="6"/>
  <c r="AL79" i="6"/>
  <c r="AA80" i="6"/>
  <c r="AB80" i="6"/>
  <c r="AC80" i="6"/>
  <c r="AD80" i="6"/>
  <c r="AE80" i="6"/>
  <c r="AH80" i="6"/>
  <c r="AI80" i="6"/>
  <c r="AJ80" i="6"/>
  <c r="AK80" i="6"/>
  <c r="AL80" i="6"/>
  <c r="AA81" i="6"/>
  <c r="AB81" i="6"/>
  <c r="AC81" i="6"/>
  <c r="AD81" i="6"/>
  <c r="AE81" i="6"/>
  <c r="AH81" i="6"/>
  <c r="AI81" i="6"/>
  <c r="AJ81" i="6"/>
  <c r="AK81" i="6"/>
  <c r="AL81" i="6"/>
  <c r="AA82" i="6"/>
  <c r="AB82" i="6"/>
  <c r="AC82" i="6"/>
  <c r="AD82" i="6"/>
  <c r="AE82" i="6"/>
  <c r="AH82" i="6"/>
  <c r="AI82" i="6"/>
  <c r="AJ82" i="6"/>
  <c r="AK82" i="6"/>
  <c r="AL82" i="6"/>
  <c r="AA83" i="6"/>
  <c r="AB83" i="6"/>
  <c r="AC83" i="6"/>
  <c r="AD83" i="6"/>
  <c r="AE83" i="6"/>
  <c r="AH83" i="6"/>
  <c r="AI83" i="6"/>
  <c r="AJ83" i="6"/>
  <c r="AK83" i="6"/>
  <c r="AL83" i="6"/>
  <c r="AA54" i="6"/>
  <c r="AB54" i="6"/>
  <c r="AC54" i="6"/>
  <c r="AD54" i="6"/>
  <c r="AE54" i="6"/>
  <c r="AH54" i="6"/>
  <c r="AI54" i="6"/>
  <c r="AJ54" i="6"/>
  <c r="AK54" i="6"/>
  <c r="AL54" i="6"/>
  <c r="AA55" i="6"/>
  <c r="AB55" i="6"/>
  <c r="AC55" i="6"/>
  <c r="AD55" i="6"/>
  <c r="AE55" i="6"/>
  <c r="AH55" i="6"/>
  <c r="AI55" i="6"/>
  <c r="AJ55" i="6"/>
  <c r="AK55" i="6"/>
  <c r="AL55" i="6"/>
  <c r="AA56" i="6"/>
  <c r="AB56" i="6"/>
  <c r="AC56" i="6"/>
  <c r="AD56" i="6"/>
  <c r="AE56" i="6"/>
  <c r="AH56" i="6"/>
  <c r="AI56" i="6"/>
  <c r="AJ56" i="6"/>
  <c r="AK56" i="6"/>
  <c r="AL56" i="6"/>
  <c r="AA57" i="6"/>
  <c r="AB57" i="6"/>
  <c r="AC57" i="6"/>
  <c r="AD57" i="6"/>
  <c r="AE57" i="6"/>
  <c r="AH57" i="6"/>
  <c r="AI57" i="6"/>
  <c r="AJ57" i="6"/>
  <c r="AK57" i="6"/>
  <c r="AL57" i="6"/>
  <c r="AA58" i="6"/>
  <c r="AB58" i="6"/>
  <c r="AC58" i="6"/>
  <c r="AD58" i="6"/>
  <c r="AE58" i="6"/>
  <c r="AH58" i="6"/>
  <c r="AI58" i="6"/>
  <c r="AJ58" i="6"/>
  <c r="AK58" i="6"/>
  <c r="AL58" i="6"/>
  <c r="AA59" i="6"/>
  <c r="AB59" i="6"/>
  <c r="AC59" i="6"/>
  <c r="AD59" i="6"/>
  <c r="AE59" i="6"/>
  <c r="AH59" i="6"/>
  <c r="AI59" i="6"/>
  <c r="AJ59" i="6"/>
  <c r="AK59" i="6"/>
  <c r="AL59" i="6"/>
  <c r="AA60" i="6"/>
  <c r="AB60" i="6"/>
  <c r="AC60" i="6"/>
  <c r="AD60" i="6"/>
  <c r="AE60" i="6"/>
  <c r="AH60" i="6"/>
  <c r="AI60" i="6"/>
  <c r="AJ60" i="6"/>
  <c r="AK60" i="6"/>
  <c r="AL60" i="6"/>
  <c r="AA61" i="6"/>
  <c r="AB61" i="6"/>
  <c r="AC61" i="6"/>
  <c r="AD61" i="6"/>
  <c r="AE61" i="6"/>
  <c r="AH61" i="6"/>
  <c r="AI61" i="6"/>
  <c r="AJ61" i="6"/>
  <c r="AK61" i="6"/>
  <c r="AL61" i="6"/>
  <c r="AA62" i="6"/>
  <c r="AB62" i="6"/>
  <c r="AC62" i="6"/>
  <c r="AD62" i="6"/>
  <c r="AE62" i="6"/>
  <c r="AH62" i="6"/>
  <c r="AI62" i="6"/>
  <c r="AJ62" i="6"/>
  <c r="AK62" i="6"/>
  <c r="AL62" i="6"/>
  <c r="AA63" i="6"/>
  <c r="AB63" i="6"/>
  <c r="AC63" i="6"/>
  <c r="AD63" i="6"/>
  <c r="AE63" i="6"/>
  <c r="AH63" i="6"/>
  <c r="AI63" i="6"/>
  <c r="AJ63" i="6"/>
  <c r="AK63" i="6"/>
  <c r="AL63" i="6"/>
  <c r="B114" i="6"/>
  <c r="D114" i="6"/>
  <c r="E114" i="6"/>
  <c r="F114" i="6"/>
  <c r="G114" i="6"/>
  <c r="H114" i="6"/>
  <c r="K114" i="6"/>
  <c r="L114" i="6"/>
  <c r="M114" i="6"/>
  <c r="N114" i="6"/>
  <c r="O114" i="6"/>
  <c r="B115" i="6"/>
  <c r="D115" i="6"/>
  <c r="E115" i="6"/>
  <c r="G115" i="6"/>
  <c r="H115" i="6"/>
  <c r="K115" i="6"/>
  <c r="L115" i="6"/>
  <c r="M115" i="6"/>
  <c r="N115" i="6"/>
  <c r="O115" i="6"/>
  <c r="B116" i="6"/>
  <c r="D116" i="6"/>
  <c r="E116" i="6"/>
  <c r="F116" i="6"/>
  <c r="G116" i="6"/>
  <c r="H116" i="6"/>
  <c r="K116" i="6"/>
  <c r="L116" i="6"/>
  <c r="M116" i="6"/>
  <c r="N116" i="6"/>
  <c r="O116" i="6"/>
  <c r="B117" i="6"/>
  <c r="D117" i="6"/>
  <c r="E117" i="6"/>
  <c r="F117" i="6"/>
  <c r="G117" i="6"/>
  <c r="H117" i="6"/>
  <c r="K117" i="6"/>
  <c r="L117" i="6"/>
  <c r="M117" i="6"/>
  <c r="N117" i="6"/>
  <c r="O117" i="6"/>
  <c r="B118" i="6"/>
  <c r="D118" i="6"/>
  <c r="E118" i="6"/>
  <c r="F118" i="6"/>
  <c r="G118" i="6"/>
  <c r="H118" i="6"/>
  <c r="K118" i="6"/>
  <c r="L118" i="6"/>
  <c r="M118" i="6"/>
  <c r="N118" i="6"/>
  <c r="O118" i="6"/>
  <c r="B119" i="6"/>
  <c r="D119" i="6"/>
  <c r="E119" i="6"/>
  <c r="F119" i="6"/>
  <c r="G119" i="6"/>
  <c r="H119" i="6"/>
  <c r="K119" i="6"/>
  <c r="L119" i="6"/>
  <c r="M119" i="6"/>
  <c r="N119" i="6"/>
  <c r="O119" i="6"/>
  <c r="B120" i="6"/>
  <c r="D120" i="6"/>
  <c r="E120" i="6"/>
  <c r="F120" i="6"/>
  <c r="G120" i="6"/>
  <c r="H120" i="6"/>
  <c r="K120" i="6"/>
  <c r="L120" i="6"/>
  <c r="M120" i="6"/>
  <c r="N120" i="6"/>
  <c r="O120" i="6"/>
  <c r="B121" i="6"/>
  <c r="D121" i="6"/>
  <c r="E121" i="6"/>
  <c r="F121" i="6"/>
  <c r="G121" i="6"/>
  <c r="H121" i="6"/>
  <c r="K121" i="6"/>
  <c r="L121" i="6"/>
  <c r="M121" i="6"/>
  <c r="N121" i="6"/>
  <c r="O121" i="6"/>
  <c r="B122" i="6"/>
  <c r="D122" i="6"/>
  <c r="E122" i="6"/>
  <c r="F122" i="6"/>
  <c r="G122" i="6"/>
  <c r="H122" i="6"/>
  <c r="K122" i="6"/>
  <c r="L122" i="6"/>
  <c r="M122" i="6"/>
  <c r="N122" i="6"/>
  <c r="O122" i="6"/>
  <c r="B123" i="6"/>
  <c r="D123" i="6"/>
  <c r="E123" i="6"/>
  <c r="F123" i="6"/>
  <c r="G123" i="6"/>
  <c r="H123" i="6"/>
  <c r="K123" i="6"/>
  <c r="L123" i="6"/>
  <c r="M123" i="6"/>
  <c r="N123" i="6"/>
  <c r="O123" i="6"/>
  <c r="B124" i="6"/>
  <c r="D124" i="6"/>
  <c r="E124" i="6"/>
  <c r="F124" i="6"/>
  <c r="G124" i="6"/>
  <c r="H124" i="6"/>
  <c r="K124" i="6"/>
  <c r="L124" i="6"/>
  <c r="M124" i="6"/>
  <c r="N124" i="6"/>
  <c r="O124" i="6"/>
  <c r="B125" i="6"/>
  <c r="D125" i="6"/>
  <c r="E125" i="6"/>
  <c r="F125" i="6"/>
  <c r="G125" i="6"/>
  <c r="H125" i="6"/>
  <c r="K125" i="6"/>
  <c r="L125" i="6"/>
  <c r="M125" i="6"/>
  <c r="N125" i="6"/>
  <c r="O125" i="6"/>
  <c r="B126" i="6"/>
  <c r="D126" i="6"/>
  <c r="E126" i="6"/>
  <c r="F126" i="6"/>
  <c r="G126" i="6"/>
  <c r="H126" i="6"/>
  <c r="K126" i="6"/>
  <c r="L126" i="6"/>
  <c r="M126" i="6"/>
  <c r="N126" i="6"/>
  <c r="O126" i="6"/>
  <c r="B127" i="6"/>
  <c r="D127" i="6"/>
  <c r="E127" i="6"/>
  <c r="F127" i="6"/>
  <c r="G127" i="6"/>
  <c r="H127" i="6"/>
  <c r="K127" i="6"/>
  <c r="L127" i="6"/>
  <c r="M127" i="6"/>
  <c r="N127" i="6"/>
  <c r="O127" i="6"/>
  <c r="B128" i="6"/>
  <c r="D128" i="6"/>
  <c r="E128" i="6"/>
  <c r="F128" i="6"/>
  <c r="G128" i="6"/>
  <c r="H128" i="6"/>
  <c r="K128" i="6"/>
  <c r="L128" i="6"/>
  <c r="M128" i="6"/>
  <c r="N128" i="6"/>
  <c r="O128" i="6"/>
  <c r="B129" i="6"/>
  <c r="D129" i="6"/>
  <c r="E129" i="6"/>
  <c r="F129" i="6"/>
  <c r="G129" i="6"/>
  <c r="H129" i="6"/>
  <c r="K129" i="6"/>
  <c r="L129" i="6"/>
  <c r="M129" i="6"/>
  <c r="N129" i="6"/>
  <c r="O129" i="6"/>
  <c r="B130" i="6"/>
  <c r="D130" i="6"/>
  <c r="E130" i="6"/>
  <c r="F130" i="6"/>
  <c r="G130" i="6"/>
  <c r="H130" i="6"/>
  <c r="K130" i="6"/>
  <c r="L130" i="6"/>
  <c r="M130" i="6"/>
  <c r="N130" i="6"/>
  <c r="O130" i="6"/>
  <c r="B131" i="6"/>
  <c r="D131" i="6"/>
  <c r="E131" i="6"/>
  <c r="F131" i="6"/>
  <c r="G131" i="6"/>
  <c r="H131" i="6"/>
  <c r="K131" i="6"/>
  <c r="L131" i="6"/>
  <c r="M131" i="6"/>
  <c r="N131" i="6"/>
  <c r="O131" i="6"/>
  <c r="B132" i="6"/>
  <c r="D132" i="6"/>
  <c r="E132" i="6"/>
  <c r="F132" i="6"/>
  <c r="G132" i="6"/>
  <c r="H132" i="6"/>
  <c r="K132" i="6"/>
  <c r="L132" i="6"/>
  <c r="M132" i="6"/>
  <c r="N132" i="6"/>
  <c r="O132" i="6"/>
  <c r="B133" i="6"/>
  <c r="D133" i="6"/>
  <c r="E133" i="6"/>
  <c r="F133" i="6"/>
  <c r="G133" i="6"/>
  <c r="H133" i="6"/>
  <c r="K133" i="6"/>
  <c r="L133" i="6"/>
  <c r="M133" i="6"/>
  <c r="N133" i="6"/>
  <c r="O133" i="6"/>
  <c r="B134" i="6"/>
  <c r="D134" i="6"/>
  <c r="E134" i="6"/>
  <c r="F134" i="6"/>
  <c r="G134" i="6"/>
  <c r="H134" i="6"/>
  <c r="K134" i="6"/>
  <c r="L134" i="6"/>
  <c r="M134" i="6"/>
  <c r="N134" i="6"/>
  <c r="O134" i="6"/>
  <c r="B135" i="6"/>
  <c r="D135" i="6"/>
  <c r="E135" i="6"/>
  <c r="F135" i="6"/>
  <c r="G135" i="6"/>
  <c r="H135" i="6"/>
  <c r="K135" i="6"/>
  <c r="L135" i="6"/>
  <c r="M135" i="6"/>
  <c r="N135" i="6"/>
  <c r="O135" i="6"/>
  <c r="B136" i="6"/>
  <c r="D136" i="6"/>
  <c r="E136" i="6"/>
  <c r="F136" i="6"/>
  <c r="G136" i="6"/>
  <c r="H136" i="6"/>
  <c r="K136" i="6"/>
  <c r="L136" i="6"/>
  <c r="M136" i="6"/>
  <c r="N136" i="6"/>
  <c r="O136" i="6"/>
  <c r="B137" i="6"/>
  <c r="D137" i="6"/>
  <c r="E137" i="6"/>
  <c r="F137" i="6"/>
  <c r="G137" i="6"/>
  <c r="H137" i="6"/>
  <c r="K137" i="6"/>
  <c r="L137" i="6"/>
  <c r="M137" i="6"/>
  <c r="N137" i="6"/>
  <c r="O137" i="6"/>
  <c r="B138" i="6"/>
  <c r="D138" i="6"/>
  <c r="E138" i="6"/>
  <c r="F138" i="6"/>
  <c r="G138" i="6"/>
  <c r="H138" i="6"/>
  <c r="K138" i="6"/>
  <c r="L138" i="6"/>
  <c r="M138" i="6"/>
  <c r="N138" i="6"/>
  <c r="O138" i="6"/>
  <c r="B139" i="6"/>
  <c r="D139" i="6"/>
  <c r="E139" i="6"/>
  <c r="F139" i="6"/>
  <c r="G139" i="6"/>
  <c r="H139" i="6"/>
  <c r="K139" i="6"/>
  <c r="L139" i="6"/>
  <c r="M139" i="6"/>
  <c r="N139" i="6"/>
  <c r="O139" i="6"/>
  <c r="B140" i="6"/>
  <c r="D140" i="6"/>
  <c r="E140" i="6"/>
  <c r="F140" i="6"/>
  <c r="G140" i="6"/>
  <c r="H140" i="6"/>
  <c r="K140" i="6"/>
  <c r="L140" i="6"/>
  <c r="M140" i="6"/>
  <c r="N140" i="6"/>
  <c r="O140" i="6"/>
  <c r="B141" i="6"/>
  <c r="D141" i="6"/>
  <c r="E141" i="6"/>
  <c r="F141" i="6"/>
  <c r="G141" i="6"/>
  <c r="H141" i="6"/>
  <c r="K141" i="6"/>
  <c r="L141" i="6"/>
  <c r="M141" i="6"/>
  <c r="N141" i="6"/>
  <c r="O141" i="6"/>
  <c r="B142" i="6"/>
  <c r="D142" i="6"/>
  <c r="E142" i="6"/>
  <c r="F142" i="6"/>
  <c r="G142" i="6"/>
  <c r="H142" i="6"/>
  <c r="K142" i="6"/>
  <c r="L142" i="6"/>
  <c r="M142" i="6"/>
  <c r="N142" i="6"/>
  <c r="O142" i="6"/>
  <c r="B143" i="6"/>
  <c r="D143" i="6"/>
  <c r="E143" i="6"/>
  <c r="F143" i="6"/>
  <c r="G143" i="6"/>
  <c r="H143" i="6"/>
  <c r="K143" i="6"/>
  <c r="L143" i="6"/>
  <c r="M143" i="6"/>
  <c r="N143" i="6"/>
  <c r="O143" i="6"/>
  <c r="B144" i="6"/>
  <c r="D144" i="6"/>
  <c r="E144" i="6"/>
  <c r="F144" i="6"/>
  <c r="G144" i="6"/>
  <c r="H144" i="6"/>
  <c r="K144" i="6"/>
  <c r="L144" i="6"/>
  <c r="M144" i="6"/>
  <c r="N144" i="6"/>
  <c r="O144" i="6"/>
  <c r="B145" i="6"/>
  <c r="D145" i="6"/>
  <c r="E145" i="6"/>
  <c r="F145" i="6"/>
  <c r="G145" i="6"/>
  <c r="H145" i="6"/>
  <c r="K145" i="6"/>
  <c r="L145" i="6"/>
  <c r="M145" i="6"/>
  <c r="N145" i="6"/>
  <c r="O145" i="6"/>
  <c r="B146" i="6"/>
  <c r="D146" i="6"/>
  <c r="E146" i="6"/>
  <c r="F146" i="6"/>
  <c r="G146" i="6"/>
  <c r="H146" i="6"/>
  <c r="K146" i="6"/>
  <c r="L146" i="6"/>
  <c r="M146" i="6"/>
  <c r="N146" i="6"/>
  <c r="O146" i="6"/>
  <c r="B147" i="6"/>
  <c r="D147" i="6"/>
  <c r="E147" i="6"/>
  <c r="F147" i="6"/>
  <c r="G147" i="6"/>
  <c r="H147" i="6"/>
  <c r="K147" i="6"/>
  <c r="L147" i="6"/>
  <c r="M147" i="6"/>
  <c r="N147" i="6"/>
  <c r="O147" i="6"/>
  <c r="B148" i="6"/>
  <c r="D148" i="6"/>
  <c r="E148" i="6"/>
  <c r="F148" i="6"/>
  <c r="G148" i="6"/>
  <c r="H148" i="6"/>
  <c r="K148" i="6"/>
  <c r="L148" i="6"/>
  <c r="M148" i="6"/>
  <c r="N148" i="6"/>
  <c r="O148" i="6"/>
  <c r="B149" i="6"/>
  <c r="D149" i="6"/>
  <c r="E149" i="6"/>
  <c r="F149" i="6"/>
  <c r="G149" i="6"/>
  <c r="H149" i="6"/>
  <c r="K149" i="6"/>
  <c r="L149" i="6"/>
  <c r="M149" i="6"/>
  <c r="N149" i="6"/>
  <c r="O149" i="6"/>
  <c r="B150" i="6"/>
  <c r="D150" i="6"/>
  <c r="E150" i="6"/>
  <c r="F150" i="6"/>
  <c r="G150" i="6"/>
  <c r="H150" i="6"/>
  <c r="K150" i="6"/>
  <c r="L150" i="6"/>
  <c r="M150" i="6"/>
  <c r="N150" i="6"/>
  <c r="O150" i="6"/>
  <c r="B151" i="6"/>
  <c r="D151" i="6"/>
  <c r="E151" i="6"/>
  <c r="F151" i="6"/>
  <c r="G151" i="6"/>
  <c r="H151" i="6"/>
  <c r="K151" i="6"/>
  <c r="L151" i="6"/>
  <c r="M151" i="6"/>
  <c r="N151" i="6"/>
  <c r="O151" i="6"/>
  <c r="B152" i="6"/>
  <c r="D152" i="6"/>
  <c r="E152" i="6"/>
  <c r="F152" i="6"/>
  <c r="G152" i="6"/>
  <c r="H152" i="6"/>
  <c r="K152" i="6"/>
  <c r="L152" i="6"/>
  <c r="M152" i="6"/>
  <c r="N152" i="6"/>
  <c r="O152" i="6"/>
  <c r="B153" i="6"/>
  <c r="D153" i="6"/>
  <c r="E153" i="6"/>
  <c r="F153" i="6"/>
  <c r="G153" i="6"/>
  <c r="H153" i="6"/>
  <c r="K153" i="6"/>
  <c r="L153" i="6"/>
  <c r="M153" i="6"/>
  <c r="N153" i="6"/>
  <c r="O153" i="6"/>
  <c r="B154" i="6"/>
  <c r="D154" i="6"/>
  <c r="E154" i="6"/>
  <c r="F154" i="6"/>
  <c r="G154" i="6"/>
  <c r="H154" i="6"/>
  <c r="K154" i="6"/>
  <c r="L154" i="6"/>
  <c r="M154" i="6"/>
  <c r="N154" i="6"/>
  <c r="O154" i="6"/>
  <c r="B155" i="6"/>
  <c r="D155" i="6"/>
  <c r="E155" i="6"/>
  <c r="F155" i="6"/>
  <c r="G155" i="6"/>
  <c r="H155" i="6"/>
  <c r="K155" i="6"/>
  <c r="L155" i="6"/>
  <c r="M155" i="6"/>
  <c r="N155" i="6"/>
  <c r="O155" i="6"/>
  <c r="B156" i="6"/>
  <c r="D156" i="6"/>
  <c r="E156" i="6"/>
  <c r="F156" i="6"/>
  <c r="G156" i="6"/>
  <c r="H156" i="6"/>
  <c r="K156" i="6"/>
  <c r="L156" i="6"/>
  <c r="M156" i="6"/>
  <c r="N156" i="6"/>
  <c r="O156" i="6"/>
  <c r="B157" i="6"/>
  <c r="D157" i="6"/>
  <c r="E157" i="6"/>
  <c r="F157" i="6"/>
  <c r="G157" i="6"/>
  <c r="H157" i="6"/>
  <c r="K157" i="6"/>
  <c r="L157" i="6"/>
  <c r="M157" i="6"/>
  <c r="N157" i="6"/>
  <c r="O157" i="6"/>
  <c r="B158" i="6"/>
  <c r="D158" i="6"/>
  <c r="E158" i="6"/>
  <c r="F158" i="6"/>
  <c r="G158" i="6"/>
  <c r="H158" i="6"/>
  <c r="K158" i="6"/>
  <c r="L158" i="6"/>
  <c r="M158" i="6"/>
  <c r="N158" i="6"/>
  <c r="O158" i="6"/>
  <c r="B159" i="6"/>
  <c r="D159" i="6"/>
  <c r="E159" i="6"/>
  <c r="F159" i="6"/>
  <c r="G159" i="6"/>
  <c r="H159" i="6"/>
  <c r="K159" i="6"/>
  <c r="L159" i="6"/>
  <c r="M159" i="6"/>
  <c r="N159" i="6"/>
  <c r="O159" i="6"/>
  <c r="B160" i="6"/>
  <c r="D160" i="6"/>
  <c r="E160" i="6"/>
  <c r="F160" i="6"/>
  <c r="G160" i="6"/>
  <c r="H160" i="6"/>
  <c r="K160" i="6"/>
  <c r="L160" i="6"/>
  <c r="M160" i="6"/>
  <c r="N160" i="6"/>
  <c r="O160" i="6"/>
  <c r="B161" i="6"/>
  <c r="D161" i="6"/>
  <c r="E161" i="6"/>
  <c r="F161" i="6"/>
  <c r="G161" i="6"/>
  <c r="H161" i="6"/>
  <c r="K161" i="6"/>
  <c r="L161" i="6"/>
  <c r="M161" i="6"/>
  <c r="N161" i="6"/>
  <c r="O161" i="6"/>
  <c r="B162" i="6"/>
  <c r="D162" i="6"/>
  <c r="E162" i="6"/>
  <c r="F162" i="6"/>
  <c r="G162" i="6"/>
  <c r="H162" i="6"/>
  <c r="K162" i="6"/>
  <c r="L162" i="6"/>
  <c r="M162" i="6"/>
  <c r="N162" i="6"/>
  <c r="O162" i="6"/>
  <c r="B163" i="6"/>
  <c r="D163" i="6"/>
  <c r="E163" i="6"/>
  <c r="F163" i="6"/>
  <c r="G163" i="6"/>
  <c r="H163" i="6"/>
  <c r="K163" i="6"/>
  <c r="L163" i="6"/>
  <c r="M163" i="6"/>
  <c r="N163" i="6"/>
  <c r="O163" i="6"/>
  <c r="H113" i="6" l="1"/>
  <c r="H4" i="6"/>
  <c r="H58" i="6"/>
  <c r="H86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F113" i="6"/>
  <c r="F4" i="6"/>
  <c r="F58" i="6"/>
  <c r="F30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D113" i="6"/>
  <c r="D4" i="6"/>
  <c r="D58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E113" i="6"/>
  <c r="E4" i="6"/>
  <c r="E58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G113" i="6"/>
  <c r="G4" i="6"/>
  <c r="G58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3" i="6"/>
  <c r="AO190" i="6"/>
  <c r="AP190" i="6"/>
  <c r="AQ190" i="6"/>
  <c r="AR190" i="6"/>
  <c r="AS190" i="6"/>
  <c r="AO191" i="6"/>
  <c r="AP191" i="6"/>
  <c r="AQ191" i="6"/>
  <c r="AR191" i="6"/>
  <c r="AS191" i="6"/>
  <c r="AO192" i="6"/>
  <c r="AP192" i="6"/>
  <c r="AQ192" i="6"/>
  <c r="AR192" i="6"/>
  <c r="AS192" i="6"/>
  <c r="AO193" i="6"/>
  <c r="AP193" i="6"/>
  <c r="AQ193" i="6"/>
  <c r="AR193" i="6"/>
  <c r="AS193" i="6"/>
  <c r="AO194" i="6"/>
  <c r="AP194" i="6"/>
  <c r="AQ194" i="6"/>
  <c r="AR194" i="6"/>
  <c r="AS194" i="6"/>
  <c r="AO195" i="6"/>
  <c r="AP195" i="6"/>
  <c r="AQ195" i="6"/>
  <c r="AR195" i="6"/>
  <c r="AS195" i="6"/>
  <c r="AO196" i="6"/>
  <c r="AP196" i="6"/>
  <c r="AQ196" i="6"/>
  <c r="AR196" i="6"/>
  <c r="AS196" i="6"/>
  <c r="AO197" i="6"/>
  <c r="AP197" i="6"/>
  <c r="AQ197" i="6"/>
  <c r="AR197" i="6"/>
  <c r="AS197" i="6"/>
  <c r="AO198" i="6"/>
  <c r="AP198" i="6"/>
  <c r="AQ198" i="6"/>
  <c r="AR198" i="6"/>
  <c r="AS198" i="6"/>
  <c r="AO199" i="6"/>
  <c r="AP199" i="6"/>
  <c r="AQ199" i="6"/>
  <c r="AR199" i="6"/>
  <c r="AS199" i="6"/>
  <c r="AO200" i="6"/>
  <c r="AP200" i="6"/>
  <c r="AQ200" i="6"/>
  <c r="AR200" i="6"/>
  <c r="AS200" i="6"/>
  <c r="AO201" i="6"/>
  <c r="AP201" i="6"/>
  <c r="AQ201" i="6"/>
  <c r="AR201" i="6"/>
  <c r="AS201" i="6"/>
  <c r="AO202" i="6"/>
  <c r="AP202" i="6"/>
  <c r="AQ202" i="6"/>
  <c r="AR202" i="6"/>
  <c r="AS202" i="6"/>
  <c r="AO203" i="6"/>
  <c r="AP203" i="6"/>
  <c r="AQ203" i="6"/>
  <c r="AR203" i="6"/>
  <c r="AS203" i="6"/>
  <c r="AO204" i="6"/>
  <c r="AP204" i="6"/>
  <c r="AQ204" i="6"/>
  <c r="AR204" i="6"/>
  <c r="AS204" i="6"/>
  <c r="AO205" i="6"/>
  <c r="AP205" i="6"/>
  <c r="AQ205" i="6"/>
  <c r="AR205" i="6"/>
  <c r="AS205" i="6"/>
  <c r="AO206" i="6"/>
  <c r="AP206" i="6"/>
  <c r="AQ206" i="6"/>
  <c r="AR206" i="6"/>
  <c r="AS206" i="6"/>
  <c r="AO207" i="6"/>
  <c r="AP207" i="6"/>
  <c r="AQ207" i="6"/>
  <c r="AR207" i="6"/>
  <c r="AS207" i="6"/>
  <c r="AO208" i="6"/>
  <c r="AP208" i="6"/>
  <c r="AQ208" i="6"/>
  <c r="AR208" i="6"/>
  <c r="AS208" i="6"/>
  <c r="AO209" i="6"/>
  <c r="AP209" i="6"/>
  <c r="AQ209" i="6"/>
  <c r="AR209" i="6"/>
  <c r="AS209" i="6"/>
  <c r="AO210" i="6"/>
  <c r="AP210" i="6"/>
  <c r="AQ210" i="6"/>
  <c r="AR210" i="6"/>
  <c r="AS210" i="6"/>
  <c r="AO211" i="6"/>
  <c r="AP211" i="6"/>
  <c r="AQ211" i="6"/>
  <c r="AR211" i="6"/>
  <c r="AS211" i="6"/>
  <c r="AO212" i="6"/>
  <c r="AP212" i="6"/>
  <c r="AQ212" i="6"/>
  <c r="AR212" i="6"/>
  <c r="AS212" i="6"/>
  <c r="AO213" i="6"/>
  <c r="AP213" i="6"/>
  <c r="AQ213" i="6"/>
  <c r="AR213" i="6"/>
  <c r="AS213" i="6"/>
  <c r="AO214" i="6"/>
  <c r="AP214" i="6"/>
  <c r="AQ214" i="6"/>
  <c r="AR214" i="6"/>
  <c r="AS214" i="6"/>
  <c r="AO215" i="6"/>
  <c r="AP215" i="6"/>
  <c r="AQ215" i="6"/>
  <c r="AR215" i="6"/>
  <c r="AS215" i="6"/>
  <c r="AO216" i="6"/>
  <c r="AP216" i="6"/>
  <c r="AQ216" i="6"/>
  <c r="AR216" i="6"/>
  <c r="AS216" i="6"/>
  <c r="AO217" i="6"/>
  <c r="AP217" i="6"/>
  <c r="AQ217" i="6"/>
  <c r="AR217" i="6"/>
  <c r="AS217" i="6"/>
  <c r="AO218" i="6"/>
  <c r="AP218" i="6"/>
  <c r="AQ218" i="6"/>
  <c r="AR218" i="6"/>
  <c r="AS218" i="6"/>
  <c r="AO219" i="6"/>
  <c r="AP219" i="6"/>
  <c r="AQ219" i="6"/>
  <c r="AR219" i="6"/>
  <c r="AS219" i="6"/>
  <c r="AO220" i="6"/>
  <c r="AP220" i="6"/>
  <c r="AQ220" i="6"/>
  <c r="AR220" i="6"/>
  <c r="AS220" i="6"/>
  <c r="AO221" i="6"/>
  <c r="AP221" i="6"/>
  <c r="AQ221" i="6"/>
  <c r="AR221" i="6"/>
  <c r="AS221" i="6"/>
  <c r="AO222" i="6"/>
  <c r="AP222" i="6"/>
  <c r="AQ222" i="6"/>
  <c r="AR222" i="6"/>
  <c r="AS222" i="6"/>
  <c r="AO223" i="6"/>
  <c r="AP223" i="6"/>
  <c r="AQ223" i="6"/>
  <c r="AR223" i="6"/>
  <c r="AS223" i="6"/>
  <c r="AO224" i="6"/>
  <c r="AP224" i="6"/>
  <c r="AQ224" i="6"/>
  <c r="AR224" i="6"/>
  <c r="AS224" i="6"/>
  <c r="AO225" i="6"/>
  <c r="AP225" i="6"/>
  <c r="AQ225" i="6"/>
  <c r="AR225" i="6"/>
  <c r="AS225" i="6"/>
  <c r="AO226" i="6"/>
  <c r="AP226" i="6"/>
  <c r="AQ226" i="6"/>
  <c r="AR226" i="6"/>
  <c r="AS226" i="6"/>
  <c r="AO227" i="6"/>
  <c r="AP227" i="6"/>
  <c r="AQ227" i="6"/>
  <c r="AR227" i="6"/>
  <c r="AS227" i="6"/>
  <c r="AO228" i="6"/>
  <c r="AP228" i="6"/>
  <c r="AQ228" i="6"/>
  <c r="AR228" i="6"/>
  <c r="AS228" i="6"/>
  <c r="AO229" i="6"/>
  <c r="AP229" i="6"/>
  <c r="AQ229" i="6"/>
  <c r="AR229" i="6"/>
  <c r="AS229" i="6"/>
  <c r="AO230" i="6"/>
  <c r="AP230" i="6"/>
  <c r="AQ230" i="6"/>
  <c r="AR230" i="6"/>
  <c r="AS230" i="6"/>
  <c r="AO231" i="6"/>
  <c r="AP231" i="6"/>
  <c r="AQ231" i="6"/>
  <c r="AR231" i="6"/>
  <c r="AS231" i="6"/>
  <c r="AO232" i="6"/>
  <c r="AP232" i="6"/>
  <c r="AQ232" i="6"/>
  <c r="AR232" i="6"/>
  <c r="AS232" i="6"/>
  <c r="AO233" i="6"/>
  <c r="AP233" i="6"/>
  <c r="AQ233" i="6"/>
  <c r="AR233" i="6"/>
  <c r="AS233" i="6"/>
  <c r="AO234" i="6"/>
  <c r="AP234" i="6"/>
  <c r="AQ234" i="6"/>
  <c r="AR234" i="6"/>
  <c r="AS234" i="6"/>
  <c r="AO235" i="6"/>
  <c r="AP235" i="6"/>
  <c r="AQ235" i="6"/>
  <c r="AR235" i="6"/>
  <c r="AS235" i="6"/>
  <c r="AO236" i="6"/>
  <c r="AP236" i="6"/>
  <c r="AQ236" i="6"/>
  <c r="AR236" i="6"/>
  <c r="AS236" i="6"/>
  <c r="AO237" i="6"/>
  <c r="AP237" i="6"/>
  <c r="AQ237" i="6"/>
  <c r="AR237" i="6"/>
  <c r="AS237" i="6"/>
  <c r="AO238" i="6"/>
  <c r="AP238" i="6"/>
  <c r="AQ238" i="6"/>
  <c r="AR238" i="6"/>
  <c r="AS238" i="6"/>
  <c r="AO239" i="6"/>
  <c r="AP239" i="6"/>
  <c r="AQ239" i="6"/>
  <c r="AR239" i="6"/>
  <c r="AS239" i="6"/>
  <c r="AO240" i="6"/>
  <c r="AP240" i="6"/>
  <c r="AQ240" i="6"/>
  <c r="AR240" i="6"/>
  <c r="AS240" i="6"/>
  <c r="AO241" i="6"/>
  <c r="AP241" i="6"/>
  <c r="AQ241" i="6"/>
  <c r="AR241" i="6"/>
  <c r="AS241" i="6"/>
  <c r="AO242" i="6"/>
  <c r="AP242" i="6"/>
  <c r="AQ242" i="6"/>
  <c r="AR242" i="6"/>
  <c r="AS242" i="6"/>
  <c r="AO243" i="6"/>
  <c r="AP243" i="6"/>
  <c r="AQ243" i="6"/>
  <c r="AR243" i="6"/>
  <c r="AS243" i="6"/>
  <c r="AO244" i="6"/>
  <c r="AP244" i="6"/>
  <c r="AQ244" i="6"/>
  <c r="AR244" i="6"/>
  <c r="AS244" i="6"/>
  <c r="AO245" i="6"/>
  <c r="AP245" i="6"/>
  <c r="AQ245" i="6"/>
  <c r="AR245" i="6"/>
  <c r="AS245" i="6"/>
  <c r="AO246" i="6"/>
  <c r="AP246" i="6"/>
  <c r="AQ246" i="6"/>
  <c r="AR246" i="6"/>
  <c r="AS246" i="6"/>
  <c r="AO247" i="6"/>
  <c r="AP247" i="6"/>
  <c r="AQ247" i="6"/>
  <c r="AR247" i="6"/>
  <c r="AS247" i="6"/>
  <c r="AO248" i="6"/>
  <c r="AP248" i="6"/>
  <c r="AQ248" i="6"/>
  <c r="AR248" i="6"/>
  <c r="AS248" i="6"/>
  <c r="AO249" i="6"/>
  <c r="AP249" i="6"/>
  <c r="AQ249" i="6"/>
  <c r="AR249" i="6"/>
  <c r="AS249" i="6"/>
  <c r="AO250" i="6"/>
  <c r="AP250" i="6"/>
  <c r="AQ250" i="6"/>
  <c r="AR250" i="6"/>
  <c r="AS250" i="6"/>
  <c r="AO251" i="6"/>
  <c r="AP251" i="6"/>
  <c r="AQ251" i="6"/>
  <c r="AR251" i="6"/>
  <c r="AS251" i="6"/>
  <c r="AO252" i="6"/>
  <c r="AP252" i="6"/>
  <c r="AQ252" i="6"/>
  <c r="AR252" i="6"/>
  <c r="AS252" i="6"/>
  <c r="AO253" i="6"/>
  <c r="AP253" i="6"/>
  <c r="AQ253" i="6"/>
  <c r="AR253" i="6"/>
  <c r="AS253" i="6"/>
  <c r="AO254" i="6"/>
  <c r="AP254" i="6"/>
  <c r="AQ254" i="6"/>
  <c r="AR254" i="6"/>
  <c r="AS254" i="6"/>
  <c r="AO255" i="6"/>
  <c r="AP255" i="6"/>
  <c r="AQ255" i="6"/>
  <c r="AR255" i="6"/>
  <c r="AS255" i="6"/>
  <c r="AO256" i="6"/>
  <c r="AP256" i="6"/>
  <c r="AQ256" i="6"/>
  <c r="AR256" i="6"/>
  <c r="AS256" i="6"/>
  <c r="AO257" i="6"/>
  <c r="AP257" i="6"/>
  <c r="AQ257" i="6"/>
  <c r="AR257" i="6"/>
  <c r="AS257" i="6"/>
  <c r="AO258" i="6"/>
  <c r="AP258" i="6"/>
  <c r="AQ258" i="6"/>
  <c r="AR258" i="6"/>
  <c r="AS258" i="6"/>
  <c r="AO259" i="6"/>
  <c r="AP259" i="6"/>
  <c r="AQ259" i="6"/>
  <c r="AR259" i="6"/>
  <c r="AS259" i="6"/>
  <c r="AO260" i="6"/>
  <c r="AP260" i="6"/>
  <c r="AQ260" i="6"/>
  <c r="AR260" i="6"/>
  <c r="AS260" i="6"/>
  <c r="AO261" i="6"/>
  <c r="AP261" i="6"/>
  <c r="AQ261" i="6"/>
  <c r="AR261" i="6"/>
  <c r="AS261" i="6"/>
  <c r="AO262" i="6"/>
  <c r="AP262" i="6"/>
  <c r="AQ262" i="6"/>
  <c r="AR262" i="6"/>
  <c r="AS262" i="6"/>
  <c r="AO263" i="6"/>
  <c r="AP263" i="6"/>
  <c r="AQ263" i="6"/>
  <c r="AR263" i="6"/>
  <c r="AS263" i="6"/>
  <c r="AO264" i="6"/>
  <c r="AP264" i="6"/>
  <c r="AQ264" i="6"/>
  <c r="AR264" i="6"/>
  <c r="AS264" i="6"/>
  <c r="AO265" i="6"/>
  <c r="AP265" i="6"/>
  <c r="AQ265" i="6"/>
  <c r="AR265" i="6"/>
  <c r="AS265" i="6"/>
  <c r="AO266" i="6"/>
  <c r="AP266" i="6"/>
  <c r="AQ266" i="6"/>
  <c r="AR266" i="6"/>
  <c r="AS266" i="6"/>
  <c r="AO267" i="6"/>
  <c r="AP267" i="6"/>
  <c r="AQ267" i="6"/>
  <c r="AR267" i="6"/>
  <c r="AS267" i="6"/>
  <c r="AO268" i="6"/>
  <c r="AP268" i="6"/>
  <c r="AQ268" i="6"/>
  <c r="AR268" i="6"/>
  <c r="AS268" i="6"/>
  <c r="AO269" i="6"/>
  <c r="AP269" i="6"/>
  <c r="AQ269" i="6"/>
  <c r="AR269" i="6"/>
  <c r="AS269" i="6"/>
  <c r="AO270" i="6"/>
  <c r="AP270" i="6"/>
  <c r="AQ270" i="6"/>
  <c r="AR270" i="6"/>
  <c r="AS270" i="6"/>
  <c r="AO271" i="6"/>
  <c r="AP271" i="6"/>
  <c r="AQ271" i="6"/>
  <c r="AR271" i="6"/>
  <c r="AS271" i="6"/>
  <c r="AO272" i="6"/>
  <c r="AP272" i="6"/>
  <c r="AQ272" i="6"/>
  <c r="AR272" i="6"/>
  <c r="AS272" i="6"/>
  <c r="AO273" i="6"/>
  <c r="AP273" i="6"/>
  <c r="AQ273" i="6"/>
  <c r="AR273" i="6"/>
  <c r="AS273" i="6"/>
  <c r="AO274" i="6"/>
  <c r="AP274" i="6"/>
  <c r="AQ274" i="6"/>
  <c r="AR274" i="6"/>
  <c r="AS274" i="6"/>
  <c r="AO275" i="6"/>
  <c r="AP275" i="6"/>
  <c r="AQ275" i="6"/>
  <c r="AR275" i="6"/>
  <c r="AS275" i="6"/>
  <c r="AO276" i="6"/>
  <c r="AP276" i="6"/>
  <c r="AQ276" i="6"/>
  <c r="AR276" i="6"/>
  <c r="AS276" i="6"/>
  <c r="AO277" i="6"/>
  <c r="AP277" i="6"/>
  <c r="AQ277" i="6"/>
  <c r="AR277" i="6"/>
  <c r="AS277" i="6"/>
  <c r="AO278" i="6"/>
  <c r="AP278" i="6"/>
  <c r="AQ278" i="6"/>
  <c r="AR278" i="6"/>
  <c r="AS278" i="6"/>
  <c r="AO279" i="6"/>
  <c r="AP279" i="6"/>
  <c r="AQ279" i="6"/>
  <c r="AR279" i="6"/>
  <c r="AS279" i="6"/>
  <c r="AO280" i="6"/>
  <c r="AP280" i="6"/>
  <c r="AQ280" i="6"/>
  <c r="AR280" i="6"/>
  <c r="AS280" i="6"/>
  <c r="AO281" i="6"/>
  <c r="AP281" i="6"/>
  <c r="AQ281" i="6"/>
  <c r="AR281" i="6"/>
  <c r="AS281" i="6"/>
  <c r="AO282" i="6"/>
  <c r="AP282" i="6"/>
  <c r="AQ282" i="6"/>
  <c r="AR282" i="6"/>
  <c r="AS282" i="6"/>
  <c r="AO283" i="6"/>
  <c r="AP283" i="6"/>
  <c r="AQ283" i="6"/>
  <c r="AR283" i="6"/>
  <c r="AS283" i="6"/>
  <c r="AO284" i="6"/>
  <c r="AP284" i="6"/>
  <c r="AQ284" i="6"/>
  <c r="AR284" i="6"/>
  <c r="AS284" i="6"/>
  <c r="AO285" i="6"/>
  <c r="AP285" i="6"/>
  <c r="AQ285" i="6"/>
  <c r="AR285" i="6"/>
  <c r="AS285" i="6"/>
  <c r="AO286" i="6"/>
  <c r="AP286" i="6"/>
  <c r="AQ286" i="6"/>
  <c r="AR286" i="6"/>
  <c r="AS286" i="6"/>
  <c r="AO287" i="6"/>
  <c r="AP287" i="6"/>
  <c r="AQ287" i="6"/>
  <c r="AR287" i="6"/>
  <c r="AS287" i="6"/>
  <c r="AO288" i="6"/>
  <c r="AP288" i="6"/>
  <c r="AQ288" i="6"/>
  <c r="AR288" i="6"/>
  <c r="AS288" i="6"/>
  <c r="AO289" i="6"/>
  <c r="AP289" i="6"/>
  <c r="AQ289" i="6"/>
  <c r="AR289" i="6"/>
  <c r="AS289" i="6"/>
  <c r="AO290" i="6"/>
  <c r="AP290" i="6"/>
  <c r="AQ290" i="6"/>
  <c r="AR290" i="6"/>
  <c r="AS290" i="6"/>
  <c r="AO291" i="6"/>
  <c r="AP291" i="6"/>
  <c r="AQ291" i="6"/>
  <c r="AR291" i="6"/>
  <c r="AS291" i="6"/>
  <c r="AO292" i="6"/>
  <c r="AP292" i="6"/>
  <c r="AQ292" i="6"/>
  <c r="AR292" i="6"/>
  <c r="AS292" i="6"/>
  <c r="AO293" i="6"/>
  <c r="AP293" i="6"/>
  <c r="AQ293" i="6"/>
  <c r="AR293" i="6"/>
  <c r="AS293" i="6"/>
  <c r="AO294" i="6"/>
  <c r="AP294" i="6"/>
  <c r="AQ294" i="6"/>
  <c r="AR294" i="6"/>
  <c r="AS294" i="6"/>
  <c r="AO295" i="6"/>
  <c r="AP295" i="6"/>
  <c r="AQ295" i="6"/>
  <c r="AR295" i="6"/>
  <c r="AS295" i="6"/>
  <c r="AO296" i="6"/>
  <c r="AP296" i="6"/>
  <c r="AQ296" i="6"/>
  <c r="AR296" i="6"/>
  <c r="AS296" i="6"/>
  <c r="AO297" i="6"/>
  <c r="AP297" i="6"/>
  <c r="AQ297" i="6"/>
  <c r="AR297" i="6"/>
  <c r="AS297" i="6"/>
  <c r="AO298" i="6"/>
  <c r="AP298" i="6"/>
  <c r="AQ298" i="6"/>
  <c r="AR298" i="6"/>
  <c r="AS298" i="6"/>
  <c r="AO299" i="6"/>
  <c r="AP299" i="6"/>
  <c r="AQ299" i="6"/>
  <c r="AR299" i="6"/>
  <c r="AS299" i="6"/>
  <c r="AO300" i="6"/>
  <c r="AP300" i="6"/>
  <c r="AQ300" i="6"/>
  <c r="AR300" i="6"/>
  <c r="AS300" i="6"/>
  <c r="AO301" i="6"/>
  <c r="AP301" i="6"/>
  <c r="AQ301" i="6"/>
  <c r="AR301" i="6"/>
  <c r="AS301" i="6"/>
  <c r="AO302" i="6"/>
  <c r="AP302" i="6"/>
  <c r="AQ302" i="6"/>
  <c r="AR302" i="6"/>
  <c r="AS302" i="6"/>
  <c r="AO303" i="6"/>
  <c r="AP303" i="6"/>
  <c r="AQ303" i="6"/>
  <c r="AR303" i="6"/>
  <c r="AS303" i="6"/>
  <c r="AO304" i="6"/>
  <c r="AP304" i="6"/>
  <c r="AQ304" i="6"/>
  <c r="AR304" i="6"/>
  <c r="AS304" i="6"/>
  <c r="AO305" i="6"/>
  <c r="AP305" i="6"/>
  <c r="AQ305" i="6"/>
  <c r="AR305" i="6"/>
  <c r="AS305" i="6"/>
  <c r="AO306" i="6"/>
  <c r="AP306" i="6"/>
  <c r="AQ306" i="6"/>
  <c r="AR306" i="6"/>
  <c r="AS306" i="6"/>
  <c r="AO307" i="6"/>
  <c r="AP307" i="6"/>
  <c r="AQ307" i="6"/>
  <c r="AR307" i="6"/>
  <c r="AS307" i="6"/>
  <c r="AO308" i="6"/>
  <c r="AP308" i="6"/>
  <c r="AQ308" i="6"/>
  <c r="AR308" i="6"/>
  <c r="AS308" i="6"/>
  <c r="AO309" i="6"/>
  <c r="AP309" i="6"/>
  <c r="AQ309" i="6"/>
  <c r="AR309" i="6"/>
  <c r="AS309" i="6"/>
  <c r="AO310" i="6"/>
  <c r="AP310" i="6"/>
  <c r="AQ310" i="6"/>
  <c r="AR310" i="6"/>
  <c r="AS310" i="6"/>
  <c r="AO311" i="6"/>
  <c r="AP311" i="6"/>
  <c r="AQ311" i="6"/>
  <c r="AR311" i="6"/>
  <c r="AS311" i="6"/>
  <c r="AO312" i="6"/>
  <c r="AP312" i="6"/>
  <c r="AQ312" i="6"/>
  <c r="AR312" i="6"/>
  <c r="AS312" i="6"/>
  <c r="AO313" i="6"/>
  <c r="AP313" i="6"/>
  <c r="AQ313" i="6"/>
  <c r="AR313" i="6"/>
  <c r="AS313" i="6"/>
  <c r="AO314" i="6"/>
  <c r="AP314" i="6"/>
  <c r="AQ314" i="6"/>
  <c r="AR314" i="6"/>
  <c r="AS314" i="6"/>
  <c r="AO315" i="6"/>
  <c r="AP315" i="6"/>
  <c r="AQ315" i="6"/>
  <c r="AR315" i="6"/>
  <c r="AS315" i="6"/>
  <c r="AO316" i="6"/>
  <c r="AP316" i="6"/>
  <c r="AQ316" i="6"/>
  <c r="AR316" i="6"/>
  <c r="AS316" i="6"/>
  <c r="AO317" i="6"/>
  <c r="AP317" i="6"/>
  <c r="AQ317" i="6"/>
  <c r="AR317" i="6"/>
  <c r="AS317" i="6"/>
  <c r="AO318" i="6"/>
  <c r="AP318" i="6"/>
  <c r="AQ318" i="6"/>
  <c r="AR318" i="6"/>
  <c r="AS318" i="6"/>
  <c r="AO319" i="6"/>
  <c r="AP319" i="6"/>
  <c r="AQ319" i="6"/>
  <c r="AR319" i="6"/>
  <c r="AS319" i="6"/>
  <c r="AO320" i="6"/>
  <c r="AP320" i="6"/>
  <c r="AQ320" i="6"/>
  <c r="AR320" i="6"/>
  <c r="AS320" i="6"/>
  <c r="AO321" i="6"/>
  <c r="AP321" i="6"/>
  <c r="AQ321" i="6"/>
  <c r="AR321" i="6"/>
  <c r="AS321" i="6"/>
  <c r="AO322" i="6"/>
  <c r="AP322" i="6"/>
  <c r="AQ322" i="6"/>
  <c r="AR322" i="6"/>
  <c r="AS322" i="6"/>
  <c r="AO323" i="6"/>
  <c r="AP323" i="6"/>
  <c r="AQ323" i="6"/>
  <c r="AR323" i="6"/>
  <c r="AS323" i="6"/>
  <c r="AO324" i="6"/>
  <c r="AP324" i="6"/>
  <c r="AQ324" i="6"/>
  <c r="AR324" i="6"/>
  <c r="AS324" i="6"/>
  <c r="AO325" i="6"/>
  <c r="AP325" i="6"/>
  <c r="AQ325" i="6"/>
  <c r="AR325" i="6"/>
  <c r="AS325" i="6"/>
  <c r="AO326" i="6"/>
  <c r="AP326" i="6"/>
  <c r="AQ326" i="6"/>
  <c r="AR326" i="6"/>
  <c r="AS326" i="6"/>
  <c r="AO327" i="6"/>
  <c r="AP327" i="6"/>
  <c r="AQ327" i="6"/>
  <c r="AR327" i="6"/>
  <c r="AS327" i="6"/>
  <c r="AO328" i="6"/>
  <c r="AP328" i="6"/>
  <c r="AQ328" i="6"/>
  <c r="AR328" i="6"/>
  <c r="AS328" i="6"/>
  <c r="AO329" i="6"/>
  <c r="AP329" i="6"/>
  <c r="AQ329" i="6"/>
  <c r="AR329" i="6"/>
  <c r="AS329" i="6"/>
  <c r="AO330" i="6"/>
  <c r="AP330" i="6"/>
  <c r="AQ330" i="6"/>
  <c r="AR330" i="6"/>
  <c r="AS330" i="6"/>
  <c r="AO331" i="6"/>
  <c r="AP331" i="6"/>
  <c r="AQ331" i="6"/>
  <c r="AR331" i="6"/>
  <c r="AS331" i="6"/>
  <c r="AO332" i="6"/>
  <c r="AP332" i="6"/>
  <c r="AQ332" i="6"/>
  <c r="AR332" i="6"/>
  <c r="AS332" i="6"/>
  <c r="AO333" i="6"/>
  <c r="AP333" i="6"/>
  <c r="AQ333" i="6"/>
  <c r="AR333" i="6"/>
  <c r="AS333" i="6"/>
  <c r="AO334" i="6"/>
  <c r="AP334" i="6"/>
  <c r="AQ334" i="6"/>
  <c r="AR334" i="6"/>
  <c r="AS334" i="6"/>
  <c r="AO335" i="6"/>
  <c r="AP335" i="6"/>
  <c r="AQ335" i="6"/>
  <c r="AR335" i="6"/>
  <c r="AS335" i="6"/>
  <c r="AO336" i="6"/>
  <c r="AP336" i="6"/>
  <c r="AQ336" i="6"/>
  <c r="AR336" i="6"/>
  <c r="AS336" i="6"/>
  <c r="AO337" i="6"/>
  <c r="AP337" i="6"/>
  <c r="AQ337" i="6"/>
  <c r="AR337" i="6"/>
  <c r="AS337" i="6"/>
  <c r="AO338" i="6"/>
  <c r="AP338" i="6"/>
  <c r="AQ338" i="6"/>
  <c r="AR338" i="6"/>
  <c r="AS338" i="6"/>
  <c r="AO339" i="6"/>
  <c r="AP339" i="6"/>
  <c r="AQ339" i="6"/>
  <c r="AR339" i="6"/>
  <c r="AS339" i="6"/>
  <c r="AO340" i="6"/>
  <c r="AP340" i="6"/>
  <c r="AQ340" i="6"/>
  <c r="AR340" i="6"/>
  <c r="AS340" i="6"/>
  <c r="AO341" i="6"/>
  <c r="AP341" i="6"/>
  <c r="AQ341" i="6"/>
  <c r="AR341" i="6"/>
  <c r="AS341" i="6"/>
  <c r="AO342" i="6"/>
  <c r="AP342" i="6"/>
  <c r="AQ342" i="6"/>
  <c r="AR342" i="6"/>
  <c r="AS342" i="6"/>
  <c r="AO343" i="6"/>
  <c r="AP343" i="6"/>
  <c r="AQ343" i="6"/>
  <c r="AR343" i="6"/>
  <c r="AS343" i="6"/>
  <c r="AO344" i="6"/>
  <c r="AP344" i="6"/>
  <c r="AQ344" i="6"/>
  <c r="AR344" i="6"/>
  <c r="AS344" i="6"/>
  <c r="AO345" i="6"/>
  <c r="AP345" i="6"/>
  <c r="AQ345" i="6"/>
  <c r="AR345" i="6"/>
  <c r="AS345" i="6"/>
  <c r="AO346" i="6"/>
  <c r="AP346" i="6"/>
  <c r="AQ346" i="6"/>
  <c r="AR346" i="6"/>
  <c r="AS346" i="6"/>
  <c r="AO347" i="6"/>
  <c r="AP347" i="6"/>
  <c r="AQ347" i="6"/>
  <c r="AR347" i="6"/>
  <c r="AS347" i="6"/>
  <c r="AO348" i="6"/>
  <c r="AP348" i="6"/>
  <c r="AQ348" i="6"/>
  <c r="AR348" i="6"/>
  <c r="AS348" i="6"/>
  <c r="AO349" i="6"/>
  <c r="AP349" i="6"/>
  <c r="AQ349" i="6"/>
  <c r="AR349" i="6"/>
  <c r="AS349" i="6"/>
  <c r="AO350" i="6"/>
  <c r="AP350" i="6"/>
  <c r="AQ350" i="6"/>
  <c r="AR350" i="6"/>
  <c r="AS350" i="6"/>
  <c r="AO351" i="6"/>
  <c r="AP351" i="6"/>
  <c r="AQ351" i="6"/>
  <c r="AR351" i="6"/>
  <c r="AS351" i="6"/>
  <c r="AO352" i="6"/>
  <c r="AP352" i="6"/>
  <c r="AQ352" i="6"/>
  <c r="AR352" i="6"/>
  <c r="AS352" i="6"/>
  <c r="AO353" i="6"/>
  <c r="AP353" i="6"/>
  <c r="AQ353" i="6"/>
  <c r="AR353" i="6"/>
  <c r="AS353" i="6"/>
  <c r="AO354" i="6"/>
  <c r="AP354" i="6"/>
  <c r="AQ354" i="6"/>
  <c r="AR354" i="6"/>
  <c r="AS354" i="6"/>
  <c r="AO355" i="6"/>
  <c r="AP355" i="6"/>
  <c r="AQ355" i="6"/>
  <c r="AR355" i="6"/>
  <c r="AS355" i="6"/>
  <c r="AO356" i="6"/>
  <c r="AP356" i="6"/>
  <c r="AQ356" i="6"/>
  <c r="AR356" i="6"/>
  <c r="AS356" i="6"/>
  <c r="AO357" i="6"/>
  <c r="AP357" i="6"/>
  <c r="AQ357" i="6"/>
  <c r="AR357" i="6"/>
  <c r="AS357" i="6"/>
  <c r="AO358" i="6"/>
  <c r="AP358" i="6"/>
  <c r="AQ358" i="6"/>
  <c r="AR358" i="6"/>
  <c r="AS358" i="6"/>
  <c r="AO359" i="6"/>
  <c r="AP359" i="6"/>
  <c r="AQ359" i="6"/>
  <c r="AR359" i="6"/>
  <c r="AS359" i="6"/>
  <c r="AO360" i="6"/>
  <c r="AP360" i="6"/>
  <c r="AQ360" i="6"/>
  <c r="AR360" i="6"/>
  <c r="AS360" i="6"/>
  <c r="AO361" i="6"/>
  <c r="AP361" i="6"/>
  <c r="AQ361" i="6"/>
  <c r="AR361" i="6"/>
  <c r="AS361" i="6"/>
  <c r="AO362" i="6"/>
  <c r="AP362" i="6"/>
  <c r="AQ362" i="6"/>
  <c r="AR362" i="6"/>
  <c r="AS362" i="6"/>
  <c r="AO363" i="6"/>
  <c r="AP363" i="6"/>
  <c r="AQ363" i="6"/>
  <c r="AR363" i="6"/>
  <c r="AS363" i="6"/>
  <c r="AO54" i="6"/>
  <c r="AP54" i="6"/>
  <c r="AQ54" i="6"/>
  <c r="AR54" i="6"/>
  <c r="AS54" i="6"/>
  <c r="AO55" i="6"/>
  <c r="AP55" i="6"/>
  <c r="AQ55" i="6"/>
  <c r="AR55" i="6"/>
  <c r="AS55" i="6"/>
  <c r="AO56" i="6"/>
  <c r="AP56" i="6"/>
  <c r="AQ56" i="6"/>
  <c r="AR56" i="6"/>
  <c r="AS56" i="6"/>
  <c r="AO57" i="6"/>
  <c r="AP57" i="6"/>
  <c r="AQ57" i="6"/>
  <c r="AR57" i="6"/>
  <c r="AS57" i="6"/>
  <c r="AO58" i="6"/>
  <c r="AP58" i="6"/>
  <c r="AQ58" i="6"/>
  <c r="AR58" i="6"/>
  <c r="AS58" i="6"/>
  <c r="AO59" i="6"/>
  <c r="AP59" i="6"/>
  <c r="AQ59" i="6"/>
  <c r="AR59" i="6"/>
  <c r="AS59" i="6"/>
  <c r="AO60" i="6"/>
  <c r="AP60" i="6"/>
  <c r="AQ60" i="6"/>
  <c r="AR60" i="6"/>
  <c r="AS60" i="6"/>
  <c r="AO61" i="6"/>
  <c r="AP61" i="6"/>
  <c r="AQ61" i="6"/>
  <c r="AR61" i="6"/>
  <c r="AS61" i="6"/>
  <c r="AO62" i="6"/>
  <c r="AP62" i="6"/>
  <c r="AQ62" i="6"/>
  <c r="AR62" i="6"/>
  <c r="AS62" i="6"/>
  <c r="AO63" i="6"/>
  <c r="AP63" i="6"/>
  <c r="AQ63" i="6"/>
  <c r="AR63" i="6"/>
  <c r="AS63" i="6"/>
  <c r="AO64" i="6"/>
  <c r="AP64" i="6"/>
  <c r="AQ64" i="6"/>
  <c r="AR64" i="6"/>
  <c r="AS64" i="6"/>
  <c r="AO65" i="6"/>
  <c r="AP65" i="6"/>
  <c r="AQ65" i="6"/>
  <c r="AR65" i="6"/>
  <c r="AS65" i="6"/>
  <c r="AO66" i="6"/>
  <c r="AP66" i="6"/>
  <c r="AQ66" i="6"/>
  <c r="AR66" i="6"/>
  <c r="AS66" i="6"/>
  <c r="AO67" i="6"/>
  <c r="AP67" i="6"/>
  <c r="AQ67" i="6"/>
  <c r="AR67" i="6"/>
  <c r="AS67" i="6"/>
  <c r="AO68" i="6"/>
  <c r="AP68" i="6"/>
  <c r="AQ68" i="6"/>
  <c r="AR68" i="6"/>
  <c r="AS68" i="6"/>
  <c r="AO69" i="6"/>
  <c r="AP69" i="6"/>
  <c r="AQ69" i="6"/>
  <c r="AR69" i="6"/>
  <c r="AS69" i="6"/>
  <c r="AO70" i="6"/>
  <c r="AP70" i="6"/>
  <c r="AQ70" i="6"/>
  <c r="AR70" i="6"/>
  <c r="AS70" i="6"/>
  <c r="AO71" i="6"/>
  <c r="AP71" i="6"/>
  <c r="AQ71" i="6"/>
  <c r="AR71" i="6"/>
  <c r="AS71" i="6"/>
  <c r="AO72" i="6"/>
  <c r="AP72" i="6"/>
  <c r="AQ72" i="6"/>
  <c r="AR72" i="6"/>
  <c r="AS72" i="6"/>
  <c r="AO73" i="6"/>
  <c r="AP73" i="6"/>
  <c r="AQ73" i="6"/>
  <c r="AR73" i="6"/>
  <c r="AS73" i="6"/>
  <c r="AO74" i="6"/>
  <c r="AP74" i="6"/>
  <c r="AQ74" i="6"/>
  <c r="AR74" i="6"/>
  <c r="AS74" i="6"/>
  <c r="AO75" i="6"/>
  <c r="AP75" i="6"/>
  <c r="AQ75" i="6"/>
  <c r="AR75" i="6"/>
  <c r="AS75" i="6"/>
  <c r="AO76" i="6"/>
  <c r="AP76" i="6"/>
  <c r="AQ76" i="6"/>
  <c r="AR76" i="6"/>
  <c r="AS76" i="6"/>
  <c r="AO77" i="6"/>
  <c r="AP77" i="6"/>
  <c r="AQ77" i="6"/>
  <c r="AR77" i="6"/>
  <c r="AS77" i="6"/>
  <c r="AO78" i="6"/>
  <c r="AP78" i="6"/>
  <c r="AQ78" i="6"/>
  <c r="AR78" i="6"/>
  <c r="AS78" i="6"/>
  <c r="AO79" i="6"/>
  <c r="AP79" i="6"/>
  <c r="AQ79" i="6"/>
  <c r="AR79" i="6"/>
  <c r="AS79" i="6"/>
  <c r="AO80" i="6"/>
  <c r="AP80" i="6"/>
  <c r="AQ80" i="6"/>
  <c r="AR80" i="6"/>
  <c r="AS80" i="6"/>
  <c r="AO81" i="6"/>
  <c r="AP81" i="6"/>
  <c r="AQ81" i="6"/>
  <c r="AR81" i="6"/>
  <c r="AS81" i="6"/>
  <c r="AO82" i="6"/>
  <c r="AP82" i="6"/>
  <c r="AQ82" i="6"/>
  <c r="AR82" i="6"/>
  <c r="AS82" i="6"/>
  <c r="AO83" i="6"/>
  <c r="AP83" i="6"/>
  <c r="AQ83" i="6"/>
  <c r="AR83" i="6"/>
  <c r="AS83" i="6"/>
  <c r="AO84" i="6"/>
  <c r="AP84" i="6"/>
  <c r="AQ84" i="6"/>
  <c r="AR84" i="6"/>
  <c r="AS84" i="6"/>
  <c r="AO85" i="6"/>
  <c r="AP85" i="6"/>
  <c r="AQ85" i="6"/>
  <c r="AR85" i="6"/>
  <c r="AS85" i="6"/>
  <c r="AO86" i="6"/>
  <c r="AP86" i="6"/>
  <c r="AQ86" i="6"/>
  <c r="AR86" i="6"/>
  <c r="AS86" i="6"/>
  <c r="AO87" i="6"/>
  <c r="AP87" i="6"/>
  <c r="AQ87" i="6"/>
  <c r="AR87" i="6"/>
  <c r="AS87" i="6"/>
  <c r="AO88" i="6"/>
  <c r="AP88" i="6"/>
  <c r="AQ88" i="6"/>
  <c r="AR88" i="6"/>
  <c r="AS88" i="6"/>
  <c r="AO89" i="6"/>
  <c r="AP89" i="6"/>
  <c r="AQ89" i="6"/>
  <c r="AR89" i="6"/>
  <c r="AS89" i="6"/>
  <c r="AO90" i="6"/>
  <c r="AP90" i="6"/>
  <c r="AQ90" i="6"/>
  <c r="AR90" i="6"/>
  <c r="AS90" i="6"/>
  <c r="AO91" i="6"/>
  <c r="AP91" i="6"/>
  <c r="AQ91" i="6"/>
  <c r="AR91" i="6"/>
  <c r="AS91" i="6"/>
  <c r="AO92" i="6"/>
  <c r="AP92" i="6"/>
  <c r="AQ92" i="6"/>
  <c r="AR92" i="6"/>
  <c r="AS92" i="6"/>
  <c r="AO93" i="6"/>
  <c r="AP93" i="6"/>
  <c r="AQ93" i="6"/>
  <c r="AR93" i="6"/>
  <c r="AS93" i="6"/>
  <c r="AO94" i="6"/>
  <c r="AP94" i="6"/>
  <c r="AQ94" i="6"/>
  <c r="AR94" i="6"/>
  <c r="AS94" i="6"/>
  <c r="AO95" i="6"/>
  <c r="AP95" i="6"/>
  <c r="AQ95" i="6"/>
  <c r="AR95" i="6"/>
  <c r="AS95" i="6"/>
  <c r="AO96" i="6"/>
  <c r="AP96" i="6"/>
  <c r="AQ96" i="6"/>
  <c r="AR96" i="6"/>
  <c r="AS96" i="6"/>
  <c r="AO97" i="6"/>
  <c r="AP97" i="6"/>
  <c r="AQ97" i="6"/>
  <c r="AR97" i="6"/>
  <c r="AS97" i="6"/>
  <c r="AO98" i="6"/>
  <c r="AP98" i="6"/>
  <c r="AQ98" i="6"/>
  <c r="AR98" i="6"/>
  <c r="AS98" i="6"/>
  <c r="AO99" i="6"/>
  <c r="AP99" i="6"/>
  <c r="AQ99" i="6"/>
  <c r="AR99" i="6"/>
  <c r="AS99" i="6"/>
  <c r="AO100" i="6"/>
  <c r="AP100" i="6"/>
  <c r="AQ100" i="6"/>
  <c r="AR100" i="6"/>
  <c r="AS100" i="6"/>
  <c r="AO101" i="6"/>
  <c r="AP101" i="6"/>
  <c r="AQ101" i="6"/>
  <c r="AR101" i="6"/>
  <c r="AS101" i="6"/>
  <c r="AO102" i="6"/>
  <c r="AP102" i="6"/>
  <c r="AQ102" i="6"/>
  <c r="AR102" i="6"/>
  <c r="AS102" i="6"/>
  <c r="AO103" i="6"/>
  <c r="AP103" i="6"/>
  <c r="AQ103" i="6"/>
  <c r="AR103" i="6"/>
  <c r="AS103" i="6"/>
  <c r="AO104" i="6"/>
  <c r="AP104" i="6"/>
  <c r="AQ104" i="6"/>
  <c r="AR104" i="6"/>
  <c r="AS104" i="6"/>
  <c r="AO105" i="6"/>
  <c r="AP105" i="6"/>
  <c r="AQ105" i="6"/>
  <c r="AR105" i="6"/>
  <c r="AS105" i="6"/>
  <c r="AO106" i="6"/>
  <c r="AP106" i="6"/>
  <c r="AQ106" i="6"/>
  <c r="AR106" i="6"/>
  <c r="AS106" i="6"/>
  <c r="AO107" i="6"/>
  <c r="AP107" i="6"/>
  <c r="AQ107" i="6"/>
  <c r="AR107" i="6"/>
  <c r="AS107" i="6"/>
  <c r="AO108" i="6"/>
  <c r="AP108" i="6"/>
  <c r="AQ108" i="6"/>
  <c r="AR108" i="6"/>
  <c r="AS108" i="6"/>
  <c r="AO109" i="6"/>
  <c r="AP109" i="6"/>
  <c r="AQ109" i="6"/>
  <c r="AR109" i="6"/>
  <c r="AS109" i="6"/>
  <c r="AO110" i="6"/>
  <c r="AP110" i="6"/>
  <c r="AQ110" i="6"/>
  <c r="AR110" i="6"/>
  <c r="AS110" i="6"/>
  <c r="AO111" i="6"/>
  <c r="AP111" i="6"/>
  <c r="AQ111" i="6"/>
  <c r="AR111" i="6"/>
  <c r="AS111" i="6"/>
  <c r="AO112" i="6"/>
  <c r="AP112" i="6"/>
  <c r="AQ112" i="6"/>
  <c r="AR112" i="6"/>
  <c r="AS112" i="6"/>
  <c r="AO113" i="6"/>
  <c r="AP113" i="6"/>
  <c r="AQ113" i="6"/>
  <c r="AR113" i="6"/>
  <c r="AS113" i="6"/>
  <c r="AO114" i="6"/>
  <c r="AP114" i="6"/>
  <c r="AQ114" i="6"/>
  <c r="AR114" i="6"/>
  <c r="AS114" i="6"/>
  <c r="AO115" i="6"/>
  <c r="AP115" i="6"/>
  <c r="AQ115" i="6"/>
  <c r="AR115" i="6"/>
  <c r="AS115" i="6"/>
  <c r="AO116" i="6"/>
  <c r="AP116" i="6"/>
  <c r="AQ116" i="6"/>
  <c r="AR116" i="6"/>
  <c r="AS116" i="6"/>
  <c r="AO117" i="6"/>
  <c r="AP117" i="6"/>
  <c r="AQ117" i="6"/>
  <c r="AR117" i="6"/>
  <c r="AS117" i="6"/>
  <c r="AO118" i="6"/>
  <c r="AP118" i="6"/>
  <c r="AQ118" i="6"/>
  <c r="AR118" i="6"/>
  <c r="AS118" i="6"/>
  <c r="AO119" i="6"/>
  <c r="AP119" i="6"/>
  <c r="AQ119" i="6"/>
  <c r="AR119" i="6"/>
  <c r="AS119" i="6"/>
  <c r="AO120" i="6"/>
  <c r="AP120" i="6"/>
  <c r="AQ120" i="6"/>
  <c r="AR120" i="6"/>
  <c r="AS120" i="6"/>
  <c r="AO121" i="6"/>
  <c r="AP121" i="6"/>
  <c r="AQ121" i="6"/>
  <c r="AR121" i="6"/>
  <c r="AS121" i="6"/>
  <c r="AO122" i="6"/>
  <c r="AP122" i="6"/>
  <c r="AQ122" i="6"/>
  <c r="AR122" i="6"/>
  <c r="AS122" i="6"/>
  <c r="AO123" i="6"/>
  <c r="AP123" i="6"/>
  <c r="AQ123" i="6"/>
  <c r="AR123" i="6"/>
  <c r="AS123" i="6"/>
  <c r="AO124" i="6"/>
  <c r="AP124" i="6"/>
  <c r="AQ124" i="6"/>
  <c r="AR124" i="6"/>
  <c r="AS124" i="6"/>
  <c r="AO125" i="6"/>
  <c r="AP125" i="6"/>
  <c r="AQ125" i="6"/>
  <c r="AR125" i="6"/>
  <c r="AS125" i="6"/>
  <c r="AO126" i="6"/>
  <c r="AP126" i="6"/>
  <c r="AQ126" i="6"/>
  <c r="AR126" i="6"/>
  <c r="AS126" i="6"/>
  <c r="AO127" i="6"/>
  <c r="AP127" i="6"/>
  <c r="AQ127" i="6"/>
  <c r="AR127" i="6"/>
  <c r="AS127" i="6"/>
  <c r="AO128" i="6"/>
  <c r="AP128" i="6"/>
  <c r="AQ128" i="6"/>
  <c r="AR128" i="6"/>
  <c r="AS128" i="6"/>
  <c r="AO129" i="6"/>
  <c r="AP129" i="6"/>
  <c r="AQ129" i="6"/>
  <c r="AR129" i="6"/>
  <c r="AS129" i="6"/>
  <c r="AO130" i="6"/>
  <c r="AP130" i="6"/>
  <c r="AQ130" i="6"/>
  <c r="AR130" i="6"/>
  <c r="AS130" i="6"/>
  <c r="AO131" i="6"/>
  <c r="AP131" i="6"/>
  <c r="AQ131" i="6"/>
  <c r="AR131" i="6"/>
  <c r="AS131" i="6"/>
  <c r="AO132" i="6"/>
  <c r="AP132" i="6"/>
  <c r="AQ132" i="6"/>
  <c r="AR132" i="6"/>
  <c r="AS132" i="6"/>
  <c r="AO133" i="6"/>
  <c r="AP133" i="6"/>
  <c r="AQ133" i="6"/>
  <c r="AR133" i="6"/>
  <c r="AS133" i="6"/>
  <c r="AO134" i="6"/>
  <c r="AP134" i="6"/>
  <c r="AQ134" i="6"/>
  <c r="AR134" i="6"/>
  <c r="AS134" i="6"/>
  <c r="AO135" i="6"/>
  <c r="AP135" i="6"/>
  <c r="AQ135" i="6"/>
  <c r="AR135" i="6"/>
  <c r="AS135" i="6"/>
  <c r="AO136" i="6"/>
  <c r="AP136" i="6"/>
  <c r="AQ136" i="6"/>
  <c r="AR136" i="6"/>
  <c r="AS136" i="6"/>
  <c r="AO137" i="6"/>
  <c r="AP137" i="6"/>
  <c r="AQ137" i="6"/>
  <c r="AR137" i="6"/>
  <c r="AS137" i="6"/>
  <c r="AO138" i="6"/>
  <c r="AP138" i="6"/>
  <c r="AQ138" i="6"/>
  <c r="AR138" i="6"/>
  <c r="AS138" i="6"/>
  <c r="AO139" i="6"/>
  <c r="AP139" i="6"/>
  <c r="AQ139" i="6"/>
  <c r="AR139" i="6"/>
  <c r="AS139" i="6"/>
  <c r="AO140" i="6"/>
  <c r="AP140" i="6"/>
  <c r="AQ140" i="6"/>
  <c r="AR140" i="6"/>
  <c r="AS140" i="6"/>
  <c r="AO141" i="6"/>
  <c r="AP141" i="6"/>
  <c r="AQ141" i="6"/>
  <c r="AR141" i="6"/>
  <c r="AS141" i="6"/>
  <c r="AO142" i="6"/>
  <c r="AP142" i="6"/>
  <c r="AQ142" i="6"/>
  <c r="AR142" i="6"/>
  <c r="AS142" i="6"/>
  <c r="AO143" i="6"/>
  <c r="AP143" i="6"/>
  <c r="AQ143" i="6"/>
  <c r="AR143" i="6"/>
  <c r="AS143" i="6"/>
  <c r="AO144" i="6"/>
  <c r="AP144" i="6"/>
  <c r="AQ144" i="6"/>
  <c r="AR144" i="6"/>
  <c r="AS144" i="6"/>
  <c r="AO145" i="6"/>
  <c r="AP145" i="6"/>
  <c r="AQ145" i="6"/>
  <c r="AR145" i="6"/>
  <c r="AS145" i="6"/>
  <c r="AO146" i="6"/>
  <c r="AP146" i="6"/>
  <c r="AQ146" i="6"/>
  <c r="AR146" i="6"/>
  <c r="AS146" i="6"/>
  <c r="AO147" i="6"/>
  <c r="AP147" i="6"/>
  <c r="AQ147" i="6"/>
  <c r="AR147" i="6"/>
  <c r="AS147" i="6"/>
  <c r="AO148" i="6"/>
  <c r="AP148" i="6"/>
  <c r="AQ148" i="6"/>
  <c r="AR148" i="6"/>
  <c r="AS148" i="6"/>
  <c r="AO149" i="6"/>
  <c r="AP149" i="6"/>
  <c r="AQ149" i="6"/>
  <c r="AR149" i="6"/>
  <c r="AS149" i="6"/>
  <c r="AO150" i="6"/>
  <c r="AP150" i="6"/>
  <c r="AQ150" i="6"/>
  <c r="AR150" i="6"/>
  <c r="AS150" i="6"/>
  <c r="AO151" i="6"/>
  <c r="AP151" i="6"/>
  <c r="AQ151" i="6"/>
  <c r="AR151" i="6"/>
  <c r="AS151" i="6"/>
  <c r="AO152" i="6"/>
  <c r="AP152" i="6"/>
  <c r="AQ152" i="6"/>
  <c r="AR152" i="6"/>
  <c r="AS152" i="6"/>
  <c r="AO153" i="6"/>
  <c r="AP153" i="6"/>
  <c r="AQ153" i="6"/>
  <c r="AR153" i="6"/>
  <c r="AS153" i="6"/>
  <c r="AO154" i="6"/>
  <c r="AP154" i="6"/>
  <c r="AQ154" i="6"/>
  <c r="AR154" i="6"/>
  <c r="AS154" i="6"/>
  <c r="AO155" i="6"/>
  <c r="AP155" i="6"/>
  <c r="AQ155" i="6"/>
  <c r="AR155" i="6"/>
  <c r="AS155" i="6"/>
  <c r="AO156" i="6"/>
  <c r="AP156" i="6"/>
  <c r="AQ156" i="6"/>
  <c r="AR156" i="6"/>
  <c r="AS156" i="6"/>
  <c r="AO157" i="6"/>
  <c r="AP157" i="6"/>
  <c r="AQ157" i="6"/>
  <c r="AR157" i="6"/>
  <c r="AS157" i="6"/>
  <c r="AO158" i="6"/>
  <c r="AP158" i="6"/>
  <c r="AQ158" i="6"/>
  <c r="AR158" i="6"/>
  <c r="AS158" i="6"/>
  <c r="AO159" i="6"/>
  <c r="AP159" i="6"/>
  <c r="AQ159" i="6"/>
  <c r="AR159" i="6"/>
  <c r="AS159" i="6"/>
  <c r="AO160" i="6"/>
  <c r="AP160" i="6"/>
  <c r="AQ160" i="6"/>
  <c r="AR160" i="6"/>
  <c r="AS160" i="6"/>
  <c r="AO161" i="6"/>
  <c r="AP161" i="6"/>
  <c r="AQ161" i="6"/>
  <c r="AR161" i="6"/>
  <c r="AS161" i="6"/>
  <c r="AO162" i="6"/>
  <c r="AP162" i="6"/>
  <c r="AQ162" i="6"/>
  <c r="AR162" i="6"/>
  <c r="AS162" i="6"/>
  <c r="AO163" i="6"/>
  <c r="AP163" i="6"/>
  <c r="AQ163" i="6"/>
  <c r="AR163" i="6"/>
  <c r="AS163" i="6"/>
  <c r="AO164" i="6"/>
  <c r="AP164" i="6"/>
  <c r="AQ164" i="6"/>
  <c r="AR164" i="6"/>
  <c r="AS164" i="6"/>
  <c r="AO165" i="6"/>
  <c r="AP165" i="6"/>
  <c r="AQ165" i="6"/>
  <c r="AR165" i="6"/>
  <c r="AS165" i="6"/>
  <c r="AO166" i="6"/>
  <c r="AP166" i="6"/>
  <c r="AQ166" i="6"/>
  <c r="AR166" i="6"/>
  <c r="AS166" i="6"/>
  <c r="AO167" i="6"/>
  <c r="AP167" i="6"/>
  <c r="AQ167" i="6"/>
  <c r="AR167" i="6"/>
  <c r="AS167" i="6"/>
  <c r="AO168" i="6"/>
  <c r="AP168" i="6"/>
  <c r="AQ168" i="6"/>
  <c r="AR168" i="6"/>
  <c r="AS168" i="6"/>
  <c r="AO169" i="6"/>
  <c r="AP169" i="6"/>
  <c r="AQ169" i="6"/>
  <c r="AR169" i="6"/>
  <c r="AS169" i="6"/>
  <c r="AO170" i="6"/>
  <c r="AP170" i="6"/>
  <c r="AQ170" i="6"/>
  <c r="AR170" i="6"/>
  <c r="AS170" i="6"/>
  <c r="AO171" i="6"/>
  <c r="AP171" i="6"/>
  <c r="AQ171" i="6"/>
  <c r="AR171" i="6"/>
  <c r="AS171" i="6"/>
  <c r="AO172" i="6"/>
  <c r="AP172" i="6"/>
  <c r="AQ172" i="6"/>
  <c r="AR172" i="6"/>
  <c r="AS172" i="6"/>
  <c r="AO173" i="6"/>
  <c r="AP173" i="6"/>
  <c r="AQ173" i="6"/>
  <c r="AR173" i="6"/>
  <c r="AS173" i="6"/>
  <c r="AO174" i="6"/>
  <c r="AP174" i="6"/>
  <c r="AQ174" i="6"/>
  <c r="AR174" i="6"/>
  <c r="AS174" i="6"/>
  <c r="AO175" i="6"/>
  <c r="AP175" i="6"/>
  <c r="AQ175" i="6"/>
  <c r="AR175" i="6"/>
  <c r="AS175" i="6"/>
  <c r="AO176" i="6"/>
  <c r="AP176" i="6"/>
  <c r="AQ176" i="6"/>
  <c r="AR176" i="6"/>
  <c r="AS176" i="6"/>
  <c r="AO177" i="6"/>
  <c r="AP177" i="6"/>
  <c r="AQ177" i="6"/>
  <c r="AR177" i="6"/>
  <c r="AS177" i="6"/>
  <c r="AO178" i="6"/>
  <c r="AP178" i="6"/>
  <c r="AQ178" i="6"/>
  <c r="AR178" i="6"/>
  <c r="AS178" i="6"/>
  <c r="AO179" i="6"/>
  <c r="AP179" i="6"/>
  <c r="AQ179" i="6"/>
  <c r="AR179" i="6"/>
  <c r="AS179" i="6"/>
  <c r="AO180" i="6"/>
  <c r="AP180" i="6"/>
  <c r="AQ180" i="6"/>
  <c r="AR180" i="6"/>
  <c r="AS180" i="6"/>
  <c r="AO181" i="6"/>
  <c r="AP181" i="6"/>
  <c r="AQ181" i="6"/>
  <c r="AR181" i="6"/>
  <c r="AS181" i="6"/>
  <c r="AO182" i="6"/>
  <c r="AP182" i="6"/>
  <c r="AQ182" i="6"/>
  <c r="AR182" i="6"/>
  <c r="AS182" i="6"/>
  <c r="AO183" i="6"/>
  <c r="AP183" i="6"/>
  <c r="AQ183" i="6"/>
  <c r="AR183" i="6"/>
  <c r="AS183" i="6"/>
  <c r="AO184" i="6"/>
  <c r="AP184" i="6"/>
  <c r="AQ184" i="6"/>
  <c r="AR184" i="6"/>
  <c r="AS184" i="6"/>
  <c r="AO185" i="6"/>
  <c r="AP185" i="6"/>
  <c r="AQ185" i="6"/>
  <c r="AR185" i="6"/>
  <c r="AS185" i="6"/>
  <c r="AO186" i="6"/>
  <c r="AP186" i="6"/>
  <c r="AQ186" i="6"/>
  <c r="AR186" i="6"/>
  <c r="AS186" i="6"/>
  <c r="AO187" i="6"/>
  <c r="AP187" i="6"/>
  <c r="AQ187" i="6"/>
  <c r="AR187" i="6"/>
  <c r="AS187" i="6"/>
  <c r="AO188" i="6"/>
  <c r="AP188" i="6"/>
  <c r="AQ188" i="6"/>
  <c r="AR188" i="6"/>
  <c r="AS188" i="6"/>
  <c r="AO189" i="6"/>
  <c r="AP189" i="6"/>
  <c r="AQ189" i="6"/>
  <c r="AR189" i="6"/>
  <c r="AS189" i="6"/>
  <c r="AS53" i="6"/>
  <c r="AR53" i="6"/>
  <c r="AQ53" i="6"/>
  <c r="AP53" i="6"/>
  <c r="AO53" i="6"/>
  <c r="AS52" i="6"/>
  <c r="AR52" i="6"/>
  <c r="AQ52" i="6"/>
  <c r="AP52" i="6"/>
  <c r="AO52" i="6"/>
  <c r="AS51" i="6"/>
  <c r="AR51" i="6"/>
  <c r="AQ51" i="6"/>
  <c r="AP51" i="6"/>
  <c r="AO51" i="6"/>
  <c r="AS50" i="6"/>
  <c r="AR50" i="6"/>
  <c r="AQ50" i="6"/>
  <c r="AP50" i="6"/>
  <c r="AO50" i="6"/>
  <c r="AS49" i="6"/>
  <c r="AR49" i="6"/>
  <c r="AQ49" i="6"/>
  <c r="AP49" i="6"/>
  <c r="AO49" i="6"/>
  <c r="AS48" i="6"/>
  <c r="AR48" i="6"/>
  <c r="AQ48" i="6"/>
  <c r="AP48" i="6"/>
  <c r="AO48" i="6"/>
  <c r="AS47" i="6"/>
  <c r="AR47" i="6"/>
  <c r="AQ47" i="6"/>
  <c r="AP47" i="6"/>
  <c r="AO47" i="6"/>
  <c r="AS46" i="6"/>
  <c r="AR46" i="6"/>
  <c r="AQ46" i="6"/>
  <c r="AP46" i="6"/>
  <c r="AO46" i="6"/>
  <c r="AS45" i="6"/>
  <c r="AR45" i="6"/>
  <c r="AQ45" i="6"/>
  <c r="AP45" i="6"/>
  <c r="AO45" i="6"/>
  <c r="AS44" i="6"/>
  <c r="AR44" i="6"/>
  <c r="AQ44" i="6"/>
  <c r="AP44" i="6"/>
  <c r="AO44" i="6"/>
  <c r="AS43" i="6"/>
  <c r="AR43" i="6"/>
  <c r="AQ43" i="6"/>
  <c r="AP43" i="6"/>
  <c r="AO43" i="6"/>
  <c r="AS42" i="6"/>
  <c r="AR42" i="6"/>
  <c r="AQ42" i="6"/>
  <c r="AP42" i="6"/>
  <c r="AO42" i="6"/>
  <c r="AS41" i="6"/>
  <c r="AR41" i="6"/>
  <c r="AQ41" i="6"/>
  <c r="AP41" i="6"/>
  <c r="AO41" i="6"/>
  <c r="AS40" i="6"/>
  <c r="AR40" i="6"/>
  <c r="AQ40" i="6"/>
  <c r="AP40" i="6"/>
  <c r="AO40" i="6"/>
  <c r="AS39" i="6"/>
  <c r="AR39" i="6"/>
  <c r="AQ39" i="6"/>
  <c r="AP39" i="6"/>
  <c r="AO39" i="6"/>
  <c r="AS38" i="6"/>
  <c r="AR38" i="6"/>
  <c r="AQ38" i="6"/>
  <c r="AP38" i="6"/>
  <c r="AO38" i="6"/>
  <c r="AS37" i="6"/>
  <c r="AR37" i="6"/>
  <c r="AQ37" i="6"/>
  <c r="AP37" i="6"/>
  <c r="AO37" i="6"/>
  <c r="AS36" i="6"/>
  <c r="AR36" i="6"/>
  <c r="AQ36" i="6"/>
  <c r="AP36" i="6"/>
  <c r="AO36" i="6"/>
  <c r="AS35" i="6"/>
  <c r="AR35" i="6"/>
  <c r="AQ35" i="6"/>
  <c r="AP35" i="6"/>
  <c r="AO35" i="6"/>
  <c r="AS34" i="6"/>
  <c r="AR34" i="6"/>
  <c r="AQ34" i="6"/>
  <c r="AP34" i="6"/>
  <c r="AO34" i="6"/>
  <c r="AS33" i="6"/>
  <c r="AR33" i="6"/>
  <c r="AQ33" i="6"/>
  <c r="AP33" i="6"/>
  <c r="AO33" i="6"/>
  <c r="AS32" i="6"/>
  <c r="AR32" i="6"/>
  <c r="AQ32" i="6"/>
  <c r="AP32" i="6"/>
  <c r="AO32" i="6"/>
  <c r="AS31" i="6"/>
  <c r="AR31" i="6"/>
  <c r="AQ31" i="6"/>
  <c r="AP31" i="6"/>
  <c r="AO31" i="6"/>
  <c r="AS30" i="6"/>
  <c r="AR30" i="6"/>
  <c r="AQ30" i="6"/>
  <c r="AP30" i="6"/>
  <c r="AO30" i="6"/>
  <c r="AS29" i="6"/>
  <c r="AR29" i="6"/>
  <c r="AQ29" i="6"/>
  <c r="AP29" i="6"/>
  <c r="AO29" i="6"/>
  <c r="AS28" i="6"/>
  <c r="AR28" i="6"/>
  <c r="AQ28" i="6"/>
  <c r="AP28" i="6"/>
  <c r="AO28" i="6"/>
  <c r="AS27" i="6"/>
  <c r="AR27" i="6"/>
  <c r="AQ27" i="6"/>
  <c r="AP27" i="6"/>
  <c r="AO27" i="6"/>
  <c r="AS26" i="6"/>
  <c r="AR26" i="6"/>
  <c r="AQ26" i="6"/>
  <c r="AP26" i="6"/>
  <c r="AO26" i="6"/>
  <c r="AS25" i="6"/>
  <c r="AR25" i="6"/>
  <c r="AQ25" i="6"/>
  <c r="AP25" i="6"/>
  <c r="AO25" i="6"/>
  <c r="AS24" i="6"/>
  <c r="AR24" i="6"/>
  <c r="AQ24" i="6"/>
  <c r="AP24" i="6"/>
  <c r="AO24" i="6"/>
  <c r="AS23" i="6"/>
  <c r="AR23" i="6"/>
  <c r="AQ23" i="6"/>
  <c r="AP23" i="6"/>
  <c r="AO23" i="6"/>
  <c r="AS22" i="6"/>
  <c r="AR22" i="6"/>
  <c r="AQ22" i="6"/>
  <c r="AP22" i="6"/>
  <c r="AO22" i="6"/>
  <c r="AS21" i="6"/>
  <c r="AR21" i="6"/>
  <c r="AQ21" i="6"/>
  <c r="AP21" i="6"/>
  <c r="AO21" i="6"/>
  <c r="AS20" i="6"/>
  <c r="AR20" i="6"/>
  <c r="AQ20" i="6"/>
  <c r="AP20" i="6"/>
  <c r="AO20" i="6"/>
  <c r="AS19" i="6"/>
  <c r="AR19" i="6"/>
  <c r="AQ19" i="6"/>
  <c r="AP19" i="6"/>
  <c r="AO19" i="6"/>
  <c r="AS18" i="6"/>
  <c r="AR18" i="6"/>
  <c r="AQ18" i="6"/>
  <c r="AP18" i="6"/>
  <c r="AO18" i="6"/>
  <c r="AS17" i="6"/>
  <c r="AR17" i="6"/>
  <c r="AQ17" i="6"/>
  <c r="AP17" i="6"/>
  <c r="AO17" i="6"/>
  <c r="AS16" i="6"/>
  <c r="AR16" i="6"/>
  <c r="AQ16" i="6"/>
  <c r="AP16" i="6"/>
  <c r="AO16" i="6"/>
  <c r="AS15" i="6"/>
  <c r="AR15" i="6"/>
  <c r="AQ15" i="6"/>
  <c r="AP15" i="6"/>
  <c r="AO15" i="6"/>
  <c r="AS14" i="6"/>
  <c r="AR14" i="6"/>
  <c r="AQ14" i="6"/>
  <c r="AP14" i="6"/>
  <c r="AO14" i="6"/>
  <c r="AS13" i="6"/>
  <c r="AR13" i="6"/>
  <c r="AQ13" i="6"/>
  <c r="AP13" i="6"/>
  <c r="AO13" i="6"/>
  <c r="AS12" i="6"/>
  <c r="AR12" i="6"/>
  <c r="AQ12" i="6"/>
  <c r="AP12" i="6"/>
  <c r="AO12" i="6"/>
  <c r="AS11" i="6"/>
  <c r="AR11" i="6"/>
  <c r="AQ11" i="6"/>
  <c r="AP11" i="6"/>
  <c r="AO11" i="6"/>
  <c r="AS10" i="6"/>
  <c r="AR10" i="6"/>
  <c r="AQ10" i="6"/>
  <c r="AP10" i="6"/>
  <c r="AO10" i="6"/>
  <c r="AS9" i="6"/>
  <c r="AR9" i="6"/>
  <c r="AQ9" i="6"/>
  <c r="AP9" i="6"/>
  <c r="AO9" i="6"/>
  <c r="AS8" i="6"/>
  <c r="AR8" i="6"/>
  <c r="AQ8" i="6"/>
  <c r="AP8" i="6"/>
  <c r="AO8" i="6"/>
  <c r="AS7" i="6"/>
  <c r="AR7" i="6"/>
  <c r="AQ7" i="6"/>
  <c r="AP7" i="6"/>
  <c r="AO7" i="6"/>
  <c r="AS6" i="6"/>
  <c r="AR6" i="6"/>
  <c r="AQ6" i="6"/>
  <c r="AP6" i="6"/>
  <c r="AO6" i="6"/>
  <c r="AS5" i="6"/>
  <c r="AR5" i="6"/>
  <c r="AQ5" i="6"/>
  <c r="AP5" i="6"/>
  <c r="AO5" i="6"/>
  <c r="AS4" i="6"/>
  <c r="AR4" i="6"/>
  <c r="AQ4" i="6"/>
  <c r="AP4" i="6"/>
  <c r="AO4" i="6"/>
  <c r="AH5" i="6"/>
  <c r="AI5" i="6"/>
  <c r="AJ5" i="6"/>
  <c r="AK5" i="6"/>
  <c r="AL5" i="6"/>
  <c r="AH6" i="6"/>
  <c r="AI6" i="6"/>
  <c r="AJ6" i="6"/>
  <c r="AK6" i="6"/>
  <c r="AL6" i="6"/>
  <c r="AH7" i="6"/>
  <c r="AI7" i="6"/>
  <c r="AJ7" i="6"/>
  <c r="AK7" i="6"/>
  <c r="AL7" i="6"/>
  <c r="AH8" i="6"/>
  <c r="AI8" i="6"/>
  <c r="AJ8" i="6"/>
  <c r="AK8" i="6"/>
  <c r="AL8" i="6"/>
  <c r="AH9" i="6"/>
  <c r="AI9" i="6"/>
  <c r="AJ9" i="6"/>
  <c r="AK9" i="6"/>
  <c r="AL9" i="6"/>
  <c r="AH10" i="6"/>
  <c r="AI10" i="6"/>
  <c r="AJ10" i="6"/>
  <c r="AK10" i="6"/>
  <c r="AL10" i="6"/>
  <c r="AH11" i="6"/>
  <c r="AI11" i="6"/>
  <c r="AJ11" i="6"/>
  <c r="AK11" i="6"/>
  <c r="AL11" i="6"/>
  <c r="AH12" i="6"/>
  <c r="AI12" i="6"/>
  <c r="AJ12" i="6"/>
  <c r="AK12" i="6"/>
  <c r="AL12" i="6"/>
  <c r="AH13" i="6"/>
  <c r="AI13" i="6"/>
  <c r="AJ13" i="6"/>
  <c r="AK13" i="6"/>
  <c r="AL13" i="6"/>
  <c r="AH14" i="6"/>
  <c r="AI14" i="6"/>
  <c r="AJ14" i="6"/>
  <c r="AK14" i="6"/>
  <c r="AL14" i="6"/>
  <c r="AH15" i="6"/>
  <c r="AI15" i="6"/>
  <c r="AJ15" i="6"/>
  <c r="AK15" i="6"/>
  <c r="AL15" i="6"/>
  <c r="AH16" i="6"/>
  <c r="AI16" i="6"/>
  <c r="AJ16" i="6"/>
  <c r="AK16" i="6"/>
  <c r="AL16" i="6"/>
  <c r="AH17" i="6"/>
  <c r="AI17" i="6"/>
  <c r="AJ17" i="6"/>
  <c r="AK17" i="6"/>
  <c r="AL17" i="6"/>
  <c r="AH18" i="6"/>
  <c r="AI18" i="6"/>
  <c r="AJ18" i="6"/>
  <c r="AK18" i="6"/>
  <c r="AL18" i="6"/>
  <c r="AH19" i="6"/>
  <c r="AI19" i="6"/>
  <c r="AJ19" i="6"/>
  <c r="AK19" i="6"/>
  <c r="AL19" i="6"/>
  <c r="AH20" i="6"/>
  <c r="AI20" i="6"/>
  <c r="AJ20" i="6"/>
  <c r="AK20" i="6"/>
  <c r="AL20" i="6"/>
  <c r="AH21" i="6"/>
  <c r="AI21" i="6"/>
  <c r="AJ21" i="6"/>
  <c r="AK21" i="6"/>
  <c r="AL21" i="6"/>
  <c r="AH22" i="6"/>
  <c r="AI22" i="6"/>
  <c r="AJ22" i="6"/>
  <c r="AK22" i="6"/>
  <c r="AL22" i="6"/>
  <c r="AH23" i="6"/>
  <c r="AI23" i="6"/>
  <c r="AJ23" i="6"/>
  <c r="AK23" i="6"/>
  <c r="AL23" i="6"/>
  <c r="AH24" i="6"/>
  <c r="AI24" i="6"/>
  <c r="AJ24" i="6"/>
  <c r="AK24" i="6"/>
  <c r="AL24" i="6"/>
  <c r="AH25" i="6"/>
  <c r="AI25" i="6"/>
  <c r="AJ25" i="6"/>
  <c r="AK25" i="6"/>
  <c r="AL25" i="6"/>
  <c r="AH26" i="6"/>
  <c r="AI26" i="6"/>
  <c r="AJ26" i="6"/>
  <c r="AK26" i="6"/>
  <c r="AL26" i="6"/>
  <c r="AH27" i="6"/>
  <c r="AI27" i="6"/>
  <c r="AJ27" i="6"/>
  <c r="AK27" i="6"/>
  <c r="AL27" i="6"/>
  <c r="AH28" i="6"/>
  <c r="AI28" i="6"/>
  <c r="AJ28" i="6"/>
  <c r="AK28" i="6"/>
  <c r="AL28" i="6"/>
  <c r="AH29" i="6"/>
  <c r="AI29" i="6"/>
  <c r="AJ29" i="6"/>
  <c r="AK29" i="6"/>
  <c r="AL29" i="6"/>
  <c r="AH30" i="6"/>
  <c r="AI30" i="6"/>
  <c r="AJ30" i="6"/>
  <c r="AK30" i="6"/>
  <c r="AL30" i="6"/>
  <c r="AH31" i="6"/>
  <c r="AI31" i="6"/>
  <c r="AJ31" i="6"/>
  <c r="AK31" i="6"/>
  <c r="AL31" i="6"/>
  <c r="AH32" i="6"/>
  <c r="AI32" i="6"/>
  <c r="AJ32" i="6"/>
  <c r="AK32" i="6"/>
  <c r="AL32" i="6"/>
  <c r="AH33" i="6"/>
  <c r="AI33" i="6"/>
  <c r="AJ33" i="6"/>
  <c r="AK33" i="6"/>
  <c r="AL33" i="6"/>
  <c r="AH34" i="6"/>
  <c r="AI34" i="6"/>
  <c r="AJ34" i="6"/>
  <c r="AK34" i="6"/>
  <c r="AL34" i="6"/>
  <c r="AH35" i="6"/>
  <c r="AI35" i="6"/>
  <c r="AJ35" i="6"/>
  <c r="AK35" i="6"/>
  <c r="AL35" i="6"/>
  <c r="AH36" i="6"/>
  <c r="AI36" i="6"/>
  <c r="AJ36" i="6"/>
  <c r="AK36" i="6"/>
  <c r="AL36" i="6"/>
  <c r="AH37" i="6"/>
  <c r="AI37" i="6"/>
  <c r="AJ37" i="6"/>
  <c r="AK37" i="6"/>
  <c r="AL37" i="6"/>
  <c r="AH38" i="6"/>
  <c r="AI38" i="6"/>
  <c r="AJ38" i="6"/>
  <c r="AK38" i="6"/>
  <c r="AL38" i="6"/>
  <c r="AH39" i="6"/>
  <c r="AI39" i="6"/>
  <c r="AJ39" i="6"/>
  <c r="AK39" i="6"/>
  <c r="AL39" i="6"/>
  <c r="AH40" i="6"/>
  <c r="AI40" i="6"/>
  <c r="AJ40" i="6"/>
  <c r="AK40" i="6"/>
  <c r="AL40" i="6"/>
  <c r="AH41" i="6"/>
  <c r="AI41" i="6"/>
  <c r="AJ41" i="6"/>
  <c r="AK41" i="6"/>
  <c r="AL41" i="6"/>
  <c r="AH42" i="6"/>
  <c r="AI42" i="6"/>
  <c r="AJ42" i="6"/>
  <c r="AK42" i="6"/>
  <c r="AL42" i="6"/>
  <c r="AH43" i="6"/>
  <c r="AI43" i="6"/>
  <c r="AJ43" i="6"/>
  <c r="AK43" i="6"/>
  <c r="AL43" i="6"/>
  <c r="AH44" i="6"/>
  <c r="AI44" i="6"/>
  <c r="AJ44" i="6"/>
  <c r="AK44" i="6"/>
  <c r="AL44" i="6"/>
  <c r="AH45" i="6"/>
  <c r="AI45" i="6"/>
  <c r="AJ45" i="6"/>
  <c r="AK45" i="6"/>
  <c r="AL45" i="6"/>
  <c r="AH46" i="6"/>
  <c r="AI46" i="6"/>
  <c r="AJ46" i="6"/>
  <c r="AK46" i="6"/>
  <c r="AL46" i="6"/>
  <c r="AH47" i="6"/>
  <c r="AI47" i="6"/>
  <c r="AJ47" i="6"/>
  <c r="AK47" i="6"/>
  <c r="AL47" i="6"/>
  <c r="AH48" i="6"/>
  <c r="AI48" i="6"/>
  <c r="AJ48" i="6"/>
  <c r="AK48" i="6"/>
  <c r="AL48" i="6"/>
  <c r="AH49" i="6"/>
  <c r="AI49" i="6"/>
  <c r="AJ49" i="6"/>
  <c r="AK49" i="6"/>
  <c r="AL49" i="6"/>
  <c r="AH50" i="6"/>
  <c r="AI50" i="6"/>
  <c r="AJ50" i="6"/>
  <c r="AK50" i="6"/>
  <c r="AL50" i="6"/>
  <c r="AH51" i="6"/>
  <c r="AI51" i="6"/>
  <c r="AJ51" i="6"/>
  <c r="AK51" i="6"/>
  <c r="AL51" i="6"/>
  <c r="AH52" i="6"/>
  <c r="AI52" i="6"/>
  <c r="AJ52" i="6"/>
  <c r="AK52" i="6"/>
  <c r="AL52" i="6"/>
  <c r="AH53" i="6"/>
  <c r="AI53" i="6"/>
  <c r="AJ53" i="6"/>
  <c r="AK53" i="6"/>
  <c r="AL53" i="6"/>
  <c r="AI4" i="6"/>
  <c r="AJ4" i="6"/>
  <c r="AK4" i="6"/>
  <c r="AL4" i="6"/>
  <c r="AH4" i="6"/>
  <c r="AA5" i="6"/>
  <c r="AB5" i="6"/>
  <c r="AC5" i="6"/>
  <c r="AD5" i="6"/>
  <c r="AE5" i="6"/>
  <c r="AA6" i="6"/>
  <c r="AB6" i="6"/>
  <c r="AC6" i="6"/>
  <c r="AD6" i="6"/>
  <c r="AE6" i="6"/>
  <c r="AA7" i="6"/>
  <c r="AB7" i="6"/>
  <c r="AC7" i="6"/>
  <c r="AD7" i="6"/>
  <c r="AE7" i="6"/>
  <c r="AA8" i="6"/>
  <c r="AB8" i="6"/>
  <c r="AC8" i="6"/>
  <c r="AD8" i="6"/>
  <c r="AE8" i="6"/>
  <c r="AA9" i="6"/>
  <c r="AB9" i="6"/>
  <c r="AC9" i="6"/>
  <c r="AD9" i="6"/>
  <c r="AE9" i="6"/>
  <c r="AA10" i="6"/>
  <c r="AB10" i="6"/>
  <c r="AC10" i="6"/>
  <c r="AD10" i="6"/>
  <c r="AE10" i="6"/>
  <c r="AA11" i="6"/>
  <c r="AB11" i="6"/>
  <c r="AC11" i="6"/>
  <c r="AD11" i="6"/>
  <c r="AE11" i="6"/>
  <c r="AA12" i="6"/>
  <c r="AB12" i="6"/>
  <c r="AC12" i="6"/>
  <c r="AD12" i="6"/>
  <c r="AE12" i="6"/>
  <c r="AA13" i="6"/>
  <c r="AB13" i="6"/>
  <c r="AC13" i="6"/>
  <c r="AD13" i="6"/>
  <c r="AE13" i="6"/>
  <c r="AA14" i="6"/>
  <c r="AB14" i="6"/>
  <c r="AC14" i="6"/>
  <c r="AD14" i="6"/>
  <c r="AE14" i="6"/>
  <c r="AA15" i="6"/>
  <c r="AB15" i="6"/>
  <c r="AC15" i="6"/>
  <c r="AD15" i="6"/>
  <c r="AE15" i="6"/>
  <c r="AA16" i="6"/>
  <c r="AB16" i="6"/>
  <c r="AC16" i="6"/>
  <c r="AD16" i="6"/>
  <c r="AE16" i="6"/>
  <c r="AA17" i="6"/>
  <c r="AB17" i="6"/>
  <c r="AC17" i="6"/>
  <c r="AD17" i="6"/>
  <c r="AE17" i="6"/>
  <c r="AA18" i="6"/>
  <c r="AB18" i="6"/>
  <c r="AC18" i="6"/>
  <c r="AD18" i="6"/>
  <c r="AE18" i="6"/>
  <c r="AA19" i="6"/>
  <c r="AB19" i="6"/>
  <c r="AC19" i="6"/>
  <c r="AD19" i="6"/>
  <c r="AE19" i="6"/>
  <c r="AA20" i="6"/>
  <c r="AB20" i="6"/>
  <c r="AC20" i="6"/>
  <c r="AD20" i="6"/>
  <c r="AE20" i="6"/>
  <c r="AA21" i="6"/>
  <c r="AB21" i="6"/>
  <c r="AC21" i="6"/>
  <c r="AD21" i="6"/>
  <c r="AE21" i="6"/>
  <c r="AA22" i="6"/>
  <c r="AB22" i="6"/>
  <c r="AC22" i="6"/>
  <c r="AD22" i="6"/>
  <c r="AE22" i="6"/>
  <c r="AA23" i="6"/>
  <c r="AB23" i="6"/>
  <c r="AC23" i="6"/>
  <c r="AD23" i="6"/>
  <c r="AE23" i="6"/>
  <c r="AA24" i="6"/>
  <c r="AB24" i="6"/>
  <c r="AC24" i="6"/>
  <c r="AD24" i="6"/>
  <c r="AE24" i="6"/>
  <c r="AA25" i="6"/>
  <c r="AB25" i="6"/>
  <c r="AC25" i="6"/>
  <c r="AD25" i="6"/>
  <c r="AE25" i="6"/>
  <c r="AA26" i="6"/>
  <c r="AB26" i="6"/>
  <c r="AC26" i="6"/>
  <c r="AD26" i="6"/>
  <c r="AE26" i="6"/>
  <c r="AA27" i="6"/>
  <c r="AB27" i="6"/>
  <c r="AC27" i="6"/>
  <c r="AD27" i="6"/>
  <c r="AE27" i="6"/>
  <c r="AA28" i="6"/>
  <c r="AB28" i="6"/>
  <c r="AC28" i="6"/>
  <c r="AD28" i="6"/>
  <c r="AE28" i="6"/>
  <c r="AA29" i="6"/>
  <c r="AB29" i="6"/>
  <c r="AC29" i="6"/>
  <c r="AD29" i="6"/>
  <c r="AE29" i="6"/>
  <c r="AA30" i="6"/>
  <c r="AB30" i="6"/>
  <c r="AC30" i="6"/>
  <c r="AD30" i="6"/>
  <c r="AE30" i="6"/>
  <c r="AA31" i="6"/>
  <c r="AB31" i="6"/>
  <c r="AC31" i="6"/>
  <c r="AD31" i="6"/>
  <c r="AE31" i="6"/>
  <c r="AA32" i="6"/>
  <c r="AB32" i="6"/>
  <c r="AC32" i="6"/>
  <c r="AD32" i="6"/>
  <c r="AE32" i="6"/>
  <c r="AA33" i="6"/>
  <c r="AB33" i="6"/>
  <c r="AC33" i="6"/>
  <c r="AD33" i="6"/>
  <c r="AE33" i="6"/>
  <c r="AA34" i="6"/>
  <c r="AB34" i="6"/>
  <c r="AC34" i="6"/>
  <c r="AD34" i="6"/>
  <c r="AE34" i="6"/>
  <c r="AA35" i="6"/>
  <c r="AB35" i="6"/>
  <c r="AC35" i="6"/>
  <c r="AD35" i="6"/>
  <c r="AE35" i="6"/>
  <c r="AA36" i="6"/>
  <c r="AB36" i="6"/>
  <c r="AC36" i="6"/>
  <c r="AD36" i="6"/>
  <c r="AE36" i="6"/>
  <c r="AA37" i="6"/>
  <c r="AB37" i="6"/>
  <c r="AC37" i="6"/>
  <c r="AD37" i="6"/>
  <c r="AE37" i="6"/>
  <c r="AA38" i="6"/>
  <c r="AB38" i="6"/>
  <c r="AC38" i="6"/>
  <c r="AD38" i="6"/>
  <c r="AE38" i="6"/>
  <c r="AA39" i="6"/>
  <c r="AB39" i="6"/>
  <c r="AC39" i="6"/>
  <c r="AD39" i="6"/>
  <c r="AE39" i="6"/>
  <c r="AA40" i="6"/>
  <c r="AB40" i="6"/>
  <c r="AC40" i="6"/>
  <c r="AD40" i="6"/>
  <c r="AE40" i="6"/>
  <c r="AA41" i="6"/>
  <c r="AB41" i="6"/>
  <c r="AC41" i="6"/>
  <c r="AD41" i="6"/>
  <c r="AE41" i="6"/>
  <c r="AA42" i="6"/>
  <c r="AB42" i="6"/>
  <c r="AC42" i="6"/>
  <c r="AD42" i="6"/>
  <c r="AE42" i="6"/>
  <c r="AA43" i="6"/>
  <c r="AB43" i="6"/>
  <c r="AC43" i="6"/>
  <c r="AD43" i="6"/>
  <c r="AE43" i="6"/>
  <c r="AA44" i="6"/>
  <c r="AB44" i="6"/>
  <c r="AC44" i="6"/>
  <c r="AD44" i="6"/>
  <c r="AE44" i="6"/>
  <c r="AA45" i="6"/>
  <c r="AB45" i="6"/>
  <c r="AC45" i="6"/>
  <c r="AD45" i="6"/>
  <c r="AE45" i="6"/>
  <c r="AA46" i="6"/>
  <c r="AB46" i="6"/>
  <c r="AC46" i="6"/>
  <c r="AD46" i="6"/>
  <c r="AE46" i="6"/>
  <c r="AA47" i="6"/>
  <c r="AB47" i="6"/>
  <c r="AC47" i="6"/>
  <c r="AD47" i="6"/>
  <c r="AE47" i="6"/>
  <c r="AA48" i="6"/>
  <c r="AB48" i="6"/>
  <c r="AC48" i="6"/>
  <c r="AD48" i="6"/>
  <c r="AE48" i="6"/>
  <c r="AA49" i="6"/>
  <c r="AB49" i="6"/>
  <c r="AC49" i="6"/>
  <c r="AD49" i="6"/>
  <c r="AE49" i="6"/>
  <c r="AA50" i="6"/>
  <c r="AB50" i="6"/>
  <c r="AC50" i="6"/>
  <c r="AD50" i="6"/>
  <c r="AE50" i="6"/>
  <c r="AA51" i="6"/>
  <c r="AB51" i="6"/>
  <c r="AC51" i="6"/>
  <c r="AD51" i="6"/>
  <c r="AE51" i="6"/>
  <c r="AA52" i="6"/>
  <c r="AB52" i="6"/>
  <c r="AC52" i="6"/>
  <c r="AD52" i="6"/>
  <c r="AE52" i="6"/>
  <c r="AA53" i="6"/>
  <c r="AB53" i="6"/>
  <c r="AC53" i="6"/>
  <c r="AD53" i="6"/>
  <c r="AE53" i="6"/>
  <c r="AB4" i="6"/>
  <c r="AC4" i="6"/>
  <c r="AD4" i="6"/>
  <c r="AE4" i="6"/>
  <c r="AA4" i="6"/>
  <c r="V363" i="6"/>
  <c r="U363" i="6"/>
  <c r="T363" i="6"/>
  <c r="S363" i="6"/>
  <c r="R363" i="6"/>
  <c r="V362" i="6"/>
  <c r="U362" i="6"/>
  <c r="T362" i="6"/>
  <c r="S362" i="6"/>
  <c r="R362" i="6"/>
  <c r="V361" i="6"/>
  <c r="U361" i="6"/>
  <c r="T361" i="6"/>
  <c r="S361" i="6"/>
  <c r="R361" i="6"/>
  <c r="V360" i="6"/>
  <c r="U360" i="6"/>
  <c r="T360" i="6"/>
  <c r="S360" i="6"/>
  <c r="R360" i="6"/>
  <c r="V359" i="6"/>
  <c r="U359" i="6"/>
  <c r="T359" i="6"/>
  <c r="S359" i="6"/>
  <c r="R359" i="6"/>
  <c r="V358" i="6"/>
  <c r="U358" i="6"/>
  <c r="T358" i="6"/>
  <c r="S358" i="6"/>
  <c r="R358" i="6"/>
  <c r="V357" i="6"/>
  <c r="U357" i="6"/>
  <c r="T357" i="6"/>
  <c r="S357" i="6"/>
  <c r="R357" i="6"/>
  <c r="V356" i="6"/>
  <c r="U356" i="6"/>
  <c r="T356" i="6"/>
  <c r="S356" i="6"/>
  <c r="R356" i="6"/>
  <c r="V355" i="6"/>
  <c r="U355" i="6"/>
  <c r="T355" i="6"/>
  <c r="S355" i="6"/>
  <c r="R355" i="6"/>
  <c r="V354" i="6"/>
  <c r="U354" i="6"/>
  <c r="T354" i="6"/>
  <c r="S354" i="6"/>
  <c r="R354" i="6"/>
  <c r="V353" i="6"/>
  <c r="U353" i="6"/>
  <c r="T353" i="6"/>
  <c r="S353" i="6"/>
  <c r="R353" i="6"/>
  <c r="V352" i="6"/>
  <c r="U352" i="6"/>
  <c r="T352" i="6"/>
  <c r="S352" i="6"/>
  <c r="R352" i="6"/>
  <c r="V351" i="6"/>
  <c r="U351" i="6"/>
  <c r="T351" i="6"/>
  <c r="S351" i="6"/>
  <c r="R351" i="6"/>
  <c r="V350" i="6"/>
  <c r="U350" i="6"/>
  <c r="T350" i="6"/>
  <c r="S350" i="6"/>
  <c r="R350" i="6"/>
  <c r="V349" i="6"/>
  <c r="U349" i="6"/>
  <c r="T349" i="6"/>
  <c r="S349" i="6"/>
  <c r="R349" i="6"/>
  <c r="V348" i="6"/>
  <c r="U348" i="6"/>
  <c r="T348" i="6"/>
  <c r="S348" i="6"/>
  <c r="R348" i="6"/>
  <c r="V347" i="6"/>
  <c r="U347" i="6"/>
  <c r="T347" i="6"/>
  <c r="S347" i="6"/>
  <c r="R347" i="6"/>
  <c r="V346" i="6"/>
  <c r="U346" i="6"/>
  <c r="T346" i="6"/>
  <c r="S346" i="6"/>
  <c r="R346" i="6"/>
  <c r="V345" i="6"/>
  <c r="U345" i="6"/>
  <c r="T345" i="6"/>
  <c r="S345" i="6"/>
  <c r="R345" i="6"/>
  <c r="V344" i="6"/>
  <c r="U344" i="6"/>
  <c r="T344" i="6"/>
  <c r="S344" i="6"/>
  <c r="R344" i="6"/>
  <c r="V343" i="6"/>
  <c r="U343" i="6"/>
  <c r="T343" i="6"/>
  <c r="S343" i="6"/>
  <c r="R343" i="6"/>
  <c r="V342" i="6"/>
  <c r="U342" i="6"/>
  <c r="T342" i="6"/>
  <c r="S342" i="6"/>
  <c r="R342" i="6"/>
  <c r="V341" i="6"/>
  <c r="U341" i="6"/>
  <c r="T341" i="6"/>
  <c r="S341" i="6"/>
  <c r="R341" i="6"/>
  <c r="V340" i="6"/>
  <c r="U340" i="6"/>
  <c r="T340" i="6"/>
  <c r="S340" i="6"/>
  <c r="R340" i="6"/>
  <c r="V339" i="6"/>
  <c r="U339" i="6"/>
  <c r="T339" i="6"/>
  <c r="S339" i="6"/>
  <c r="R339" i="6"/>
  <c r="V338" i="6"/>
  <c r="U338" i="6"/>
  <c r="T338" i="6"/>
  <c r="S338" i="6"/>
  <c r="R338" i="6"/>
  <c r="V337" i="6"/>
  <c r="U337" i="6"/>
  <c r="T337" i="6"/>
  <c r="S337" i="6"/>
  <c r="R337" i="6"/>
  <c r="V336" i="6"/>
  <c r="U336" i="6"/>
  <c r="T336" i="6"/>
  <c r="S336" i="6"/>
  <c r="R336" i="6"/>
  <c r="V335" i="6"/>
  <c r="U335" i="6"/>
  <c r="T335" i="6"/>
  <c r="S335" i="6"/>
  <c r="R335" i="6"/>
  <c r="V334" i="6"/>
  <c r="U334" i="6"/>
  <c r="T334" i="6"/>
  <c r="S334" i="6"/>
  <c r="R334" i="6"/>
  <c r="V333" i="6"/>
  <c r="U333" i="6"/>
  <c r="T333" i="6"/>
  <c r="S333" i="6"/>
  <c r="R333" i="6"/>
  <c r="V332" i="6"/>
  <c r="U332" i="6"/>
  <c r="T332" i="6"/>
  <c r="S332" i="6"/>
  <c r="R332" i="6"/>
  <c r="V331" i="6"/>
  <c r="U331" i="6"/>
  <c r="T331" i="6"/>
  <c r="S331" i="6"/>
  <c r="R331" i="6"/>
  <c r="V330" i="6"/>
  <c r="U330" i="6"/>
  <c r="T330" i="6"/>
  <c r="S330" i="6"/>
  <c r="R330" i="6"/>
  <c r="V329" i="6"/>
  <c r="U329" i="6"/>
  <c r="T329" i="6"/>
  <c r="S329" i="6"/>
  <c r="R329" i="6"/>
  <c r="V328" i="6"/>
  <c r="U328" i="6"/>
  <c r="T328" i="6"/>
  <c r="S328" i="6"/>
  <c r="R328" i="6"/>
  <c r="V327" i="6"/>
  <c r="U327" i="6"/>
  <c r="T327" i="6"/>
  <c r="S327" i="6"/>
  <c r="R327" i="6"/>
  <c r="V326" i="6"/>
  <c r="U326" i="6"/>
  <c r="T326" i="6"/>
  <c r="S326" i="6"/>
  <c r="R326" i="6"/>
  <c r="V325" i="6"/>
  <c r="U325" i="6"/>
  <c r="T325" i="6"/>
  <c r="S325" i="6"/>
  <c r="R325" i="6"/>
  <c r="V324" i="6"/>
  <c r="U324" i="6"/>
  <c r="T324" i="6"/>
  <c r="S324" i="6"/>
  <c r="R324" i="6"/>
  <c r="V323" i="6"/>
  <c r="U323" i="6"/>
  <c r="T323" i="6"/>
  <c r="S323" i="6"/>
  <c r="R323" i="6"/>
  <c r="V322" i="6"/>
  <c r="U322" i="6"/>
  <c r="T322" i="6"/>
  <c r="S322" i="6"/>
  <c r="R322" i="6"/>
  <c r="V321" i="6"/>
  <c r="U321" i="6"/>
  <c r="T321" i="6"/>
  <c r="S321" i="6"/>
  <c r="R321" i="6"/>
  <c r="V320" i="6"/>
  <c r="U320" i="6"/>
  <c r="T320" i="6"/>
  <c r="S320" i="6"/>
  <c r="R320" i="6"/>
  <c r="V319" i="6"/>
  <c r="U319" i="6"/>
  <c r="T319" i="6"/>
  <c r="S319" i="6"/>
  <c r="R319" i="6"/>
  <c r="V318" i="6"/>
  <c r="U318" i="6"/>
  <c r="T318" i="6"/>
  <c r="S318" i="6"/>
  <c r="R318" i="6"/>
  <c r="V317" i="6"/>
  <c r="U317" i="6"/>
  <c r="T317" i="6"/>
  <c r="S317" i="6"/>
  <c r="R317" i="6"/>
  <c r="V316" i="6"/>
  <c r="U316" i="6"/>
  <c r="T316" i="6"/>
  <c r="S316" i="6"/>
  <c r="R316" i="6"/>
  <c r="V315" i="6"/>
  <c r="U315" i="6"/>
  <c r="T315" i="6"/>
  <c r="S315" i="6"/>
  <c r="R315" i="6"/>
  <c r="V314" i="6"/>
  <c r="U314" i="6"/>
  <c r="T314" i="6"/>
  <c r="S314" i="6"/>
  <c r="R314" i="6"/>
  <c r="V313" i="6"/>
  <c r="U313" i="6"/>
  <c r="T313" i="6"/>
  <c r="S313" i="6"/>
  <c r="R313" i="6"/>
  <c r="V312" i="6"/>
  <c r="U312" i="6"/>
  <c r="T312" i="6"/>
  <c r="S312" i="6"/>
  <c r="R312" i="6"/>
  <c r="V311" i="6"/>
  <c r="U311" i="6"/>
  <c r="T311" i="6"/>
  <c r="S311" i="6"/>
  <c r="R311" i="6"/>
  <c r="V310" i="6"/>
  <c r="U310" i="6"/>
  <c r="T310" i="6"/>
  <c r="S310" i="6"/>
  <c r="R310" i="6"/>
  <c r="V309" i="6"/>
  <c r="U309" i="6"/>
  <c r="T309" i="6"/>
  <c r="S309" i="6"/>
  <c r="R309" i="6"/>
  <c r="V308" i="6"/>
  <c r="U308" i="6"/>
  <c r="T308" i="6"/>
  <c r="S308" i="6"/>
  <c r="R308" i="6"/>
  <c r="V307" i="6"/>
  <c r="U307" i="6"/>
  <c r="T307" i="6"/>
  <c r="S307" i="6"/>
  <c r="R307" i="6"/>
  <c r="V306" i="6"/>
  <c r="U306" i="6"/>
  <c r="T306" i="6"/>
  <c r="S306" i="6"/>
  <c r="R306" i="6"/>
  <c r="V305" i="6"/>
  <c r="U305" i="6"/>
  <c r="T305" i="6"/>
  <c r="S305" i="6"/>
  <c r="R305" i="6"/>
  <c r="V304" i="6"/>
  <c r="U304" i="6"/>
  <c r="T304" i="6"/>
  <c r="S304" i="6"/>
  <c r="R304" i="6"/>
  <c r="V303" i="6"/>
  <c r="U303" i="6"/>
  <c r="T303" i="6"/>
  <c r="S303" i="6"/>
  <c r="R303" i="6"/>
  <c r="V302" i="6"/>
  <c r="U302" i="6"/>
  <c r="T302" i="6"/>
  <c r="S302" i="6"/>
  <c r="R302" i="6"/>
  <c r="V301" i="6"/>
  <c r="U301" i="6"/>
  <c r="T301" i="6"/>
  <c r="S301" i="6"/>
  <c r="R301" i="6"/>
  <c r="V300" i="6"/>
  <c r="U300" i="6"/>
  <c r="T300" i="6"/>
  <c r="S300" i="6"/>
  <c r="R300" i="6"/>
  <c r="V299" i="6"/>
  <c r="U299" i="6"/>
  <c r="T299" i="6"/>
  <c r="S299" i="6"/>
  <c r="R299" i="6"/>
  <c r="V298" i="6"/>
  <c r="U298" i="6"/>
  <c r="T298" i="6"/>
  <c r="S298" i="6"/>
  <c r="R298" i="6"/>
  <c r="V297" i="6"/>
  <c r="U297" i="6"/>
  <c r="T297" i="6"/>
  <c r="S297" i="6"/>
  <c r="R297" i="6"/>
  <c r="V296" i="6"/>
  <c r="U296" i="6"/>
  <c r="T296" i="6"/>
  <c r="S296" i="6"/>
  <c r="R296" i="6"/>
  <c r="V295" i="6"/>
  <c r="U295" i="6"/>
  <c r="T295" i="6"/>
  <c r="S295" i="6"/>
  <c r="R295" i="6"/>
  <c r="V294" i="6"/>
  <c r="U294" i="6"/>
  <c r="T294" i="6"/>
  <c r="S294" i="6"/>
  <c r="R294" i="6"/>
  <c r="V293" i="6"/>
  <c r="U293" i="6"/>
  <c r="T293" i="6"/>
  <c r="S293" i="6"/>
  <c r="R293" i="6"/>
  <c r="V292" i="6"/>
  <c r="U292" i="6"/>
  <c r="T292" i="6"/>
  <c r="S292" i="6"/>
  <c r="R292" i="6"/>
  <c r="V291" i="6"/>
  <c r="U291" i="6"/>
  <c r="T291" i="6"/>
  <c r="S291" i="6"/>
  <c r="R291" i="6"/>
  <c r="V290" i="6"/>
  <c r="U290" i="6"/>
  <c r="T290" i="6"/>
  <c r="S290" i="6"/>
  <c r="R290" i="6"/>
  <c r="V289" i="6"/>
  <c r="U289" i="6"/>
  <c r="T289" i="6"/>
  <c r="S289" i="6"/>
  <c r="R289" i="6"/>
  <c r="V288" i="6"/>
  <c r="U288" i="6"/>
  <c r="T288" i="6"/>
  <c r="S288" i="6"/>
  <c r="R288" i="6"/>
  <c r="V287" i="6"/>
  <c r="U287" i="6"/>
  <c r="T287" i="6"/>
  <c r="S287" i="6"/>
  <c r="R287" i="6"/>
  <c r="V286" i="6"/>
  <c r="U286" i="6"/>
  <c r="T286" i="6"/>
  <c r="S286" i="6"/>
  <c r="R286" i="6"/>
  <c r="V285" i="6"/>
  <c r="U285" i="6"/>
  <c r="T285" i="6"/>
  <c r="S285" i="6"/>
  <c r="R285" i="6"/>
  <c r="V284" i="6"/>
  <c r="U284" i="6"/>
  <c r="T284" i="6"/>
  <c r="S284" i="6"/>
  <c r="R284" i="6"/>
  <c r="V283" i="6"/>
  <c r="U283" i="6"/>
  <c r="T283" i="6"/>
  <c r="S283" i="6"/>
  <c r="R283" i="6"/>
  <c r="V282" i="6"/>
  <c r="U282" i="6"/>
  <c r="T282" i="6"/>
  <c r="S282" i="6"/>
  <c r="R282" i="6"/>
  <c r="V281" i="6"/>
  <c r="U281" i="6"/>
  <c r="T281" i="6"/>
  <c r="S281" i="6"/>
  <c r="R281" i="6"/>
  <c r="V280" i="6"/>
  <c r="U280" i="6"/>
  <c r="T280" i="6"/>
  <c r="S280" i="6"/>
  <c r="R280" i="6"/>
  <c r="V279" i="6"/>
  <c r="U279" i="6"/>
  <c r="T279" i="6"/>
  <c r="S279" i="6"/>
  <c r="R279" i="6"/>
  <c r="V278" i="6"/>
  <c r="U278" i="6"/>
  <c r="T278" i="6"/>
  <c r="S278" i="6"/>
  <c r="R278" i="6"/>
  <c r="V277" i="6"/>
  <c r="U277" i="6"/>
  <c r="T277" i="6"/>
  <c r="S277" i="6"/>
  <c r="R277" i="6"/>
  <c r="V276" i="6"/>
  <c r="U276" i="6"/>
  <c r="T276" i="6"/>
  <c r="S276" i="6"/>
  <c r="R276" i="6"/>
  <c r="V275" i="6"/>
  <c r="U275" i="6"/>
  <c r="T275" i="6"/>
  <c r="S275" i="6"/>
  <c r="R275" i="6"/>
  <c r="V274" i="6"/>
  <c r="U274" i="6"/>
  <c r="T274" i="6"/>
  <c r="S274" i="6"/>
  <c r="R274" i="6"/>
  <c r="V273" i="6"/>
  <c r="U273" i="6"/>
  <c r="T273" i="6"/>
  <c r="S273" i="6"/>
  <c r="R273" i="6"/>
  <c r="V272" i="6"/>
  <c r="U272" i="6"/>
  <c r="T272" i="6"/>
  <c r="S272" i="6"/>
  <c r="R272" i="6"/>
  <c r="V271" i="6"/>
  <c r="U271" i="6"/>
  <c r="T271" i="6"/>
  <c r="S271" i="6"/>
  <c r="R271" i="6"/>
  <c r="V270" i="6"/>
  <c r="U270" i="6"/>
  <c r="T270" i="6"/>
  <c r="S270" i="6"/>
  <c r="R270" i="6"/>
  <c r="V269" i="6"/>
  <c r="U269" i="6"/>
  <c r="T269" i="6"/>
  <c r="S269" i="6"/>
  <c r="R269" i="6"/>
  <c r="V268" i="6"/>
  <c r="U268" i="6"/>
  <c r="T268" i="6"/>
  <c r="S268" i="6"/>
  <c r="R268" i="6"/>
  <c r="V267" i="6"/>
  <c r="U267" i="6"/>
  <c r="T267" i="6"/>
  <c r="S267" i="6"/>
  <c r="R267" i="6"/>
  <c r="V266" i="6"/>
  <c r="U266" i="6"/>
  <c r="T266" i="6"/>
  <c r="S266" i="6"/>
  <c r="R266" i="6"/>
  <c r="V265" i="6"/>
  <c r="U265" i="6"/>
  <c r="T265" i="6"/>
  <c r="S265" i="6"/>
  <c r="R265" i="6"/>
  <c r="V264" i="6"/>
  <c r="U264" i="6"/>
  <c r="T264" i="6"/>
  <c r="S264" i="6"/>
  <c r="R264" i="6"/>
  <c r="V263" i="6"/>
  <c r="U263" i="6"/>
  <c r="T263" i="6"/>
  <c r="S263" i="6"/>
  <c r="R263" i="6"/>
  <c r="V262" i="6"/>
  <c r="U262" i="6"/>
  <c r="T262" i="6"/>
  <c r="S262" i="6"/>
  <c r="R262" i="6"/>
  <c r="V261" i="6"/>
  <c r="U261" i="6"/>
  <c r="T261" i="6"/>
  <c r="S261" i="6"/>
  <c r="R261" i="6"/>
  <c r="V260" i="6"/>
  <c r="U260" i="6"/>
  <c r="T260" i="6"/>
  <c r="S260" i="6"/>
  <c r="R260" i="6"/>
  <c r="V259" i="6"/>
  <c r="U259" i="6"/>
  <c r="T259" i="6"/>
  <c r="S259" i="6"/>
  <c r="R259" i="6"/>
  <c r="V258" i="6"/>
  <c r="U258" i="6"/>
  <c r="T258" i="6"/>
  <c r="S258" i="6"/>
  <c r="R258" i="6"/>
  <c r="V257" i="6"/>
  <c r="U257" i="6"/>
  <c r="T257" i="6"/>
  <c r="S257" i="6"/>
  <c r="R257" i="6"/>
  <c r="V256" i="6"/>
  <c r="U256" i="6"/>
  <c r="T256" i="6"/>
  <c r="S256" i="6"/>
  <c r="R256" i="6"/>
  <c r="V255" i="6"/>
  <c r="U255" i="6"/>
  <c r="T255" i="6"/>
  <c r="S255" i="6"/>
  <c r="R255" i="6"/>
  <c r="V254" i="6"/>
  <c r="U254" i="6"/>
  <c r="T254" i="6"/>
  <c r="S254" i="6"/>
  <c r="R254" i="6"/>
  <c r="V253" i="6"/>
  <c r="U253" i="6"/>
  <c r="T253" i="6"/>
  <c r="S253" i="6"/>
  <c r="R253" i="6"/>
  <c r="V252" i="6"/>
  <c r="U252" i="6"/>
  <c r="T252" i="6"/>
  <c r="S252" i="6"/>
  <c r="R252" i="6"/>
  <c r="V251" i="6"/>
  <c r="U251" i="6"/>
  <c r="T251" i="6"/>
  <c r="S251" i="6"/>
  <c r="R251" i="6"/>
  <c r="V250" i="6"/>
  <c r="U250" i="6"/>
  <c r="T250" i="6"/>
  <c r="S250" i="6"/>
  <c r="R250" i="6"/>
  <c r="V249" i="6"/>
  <c r="U249" i="6"/>
  <c r="T249" i="6"/>
  <c r="S249" i="6"/>
  <c r="R249" i="6"/>
  <c r="V248" i="6"/>
  <c r="U248" i="6"/>
  <c r="T248" i="6"/>
  <c r="S248" i="6"/>
  <c r="R248" i="6"/>
  <c r="V247" i="6"/>
  <c r="U247" i="6"/>
  <c r="T247" i="6"/>
  <c r="S247" i="6"/>
  <c r="R247" i="6"/>
  <c r="V246" i="6"/>
  <c r="U246" i="6"/>
  <c r="T246" i="6"/>
  <c r="S246" i="6"/>
  <c r="R246" i="6"/>
  <c r="V245" i="6"/>
  <c r="U245" i="6"/>
  <c r="T245" i="6"/>
  <c r="S245" i="6"/>
  <c r="R245" i="6"/>
  <c r="V244" i="6"/>
  <c r="U244" i="6"/>
  <c r="T244" i="6"/>
  <c r="S244" i="6"/>
  <c r="R244" i="6"/>
  <c r="V243" i="6"/>
  <c r="U243" i="6"/>
  <c r="T243" i="6"/>
  <c r="S243" i="6"/>
  <c r="R243" i="6"/>
  <c r="V242" i="6"/>
  <c r="U242" i="6"/>
  <c r="T242" i="6"/>
  <c r="S242" i="6"/>
  <c r="R242" i="6"/>
  <c r="V241" i="6"/>
  <c r="U241" i="6"/>
  <c r="T241" i="6"/>
  <c r="S241" i="6"/>
  <c r="R241" i="6"/>
  <c r="V240" i="6"/>
  <c r="U240" i="6"/>
  <c r="T240" i="6"/>
  <c r="S240" i="6"/>
  <c r="R240" i="6"/>
  <c r="V239" i="6"/>
  <c r="U239" i="6"/>
  <c r="T239" i="6"/>
  <c r="S239" i="6"/>
  <c r="R239" i="6"/>
  <c r="V238" i="6"/>
  <c r="U238" i="6"/>
  <c r="T238" i="6"/>
  <c r="S238" i="6"/>
  <c r="R238" i="6"/>
  <c r="V237" i="6"/>
  <c r="U237" i="6"/>
  <c r="T237" i="6"/>
  <c r="S237" i="6"/>
  <c r="R237" i="6"/>
  <c r="V236" i="6"/>
  <c r="U236" i="6"/>
  <c r="T236" i="6"/>
  <c r="S236" i="6"/>
  <c r="R236" i="6"/>
  <c r="V235" i="6"/>
  <c r="U235" i="6"/>
  <c r="T235" i="6"/>
  <c r="S235" i="6"/>
  <c r="R235" i="6"/>
  <c r="V234" i="6"/>
  <c r="U234" i="6"/>
  <c r="T234" i="6"/>
  <c r="S234" i="6"/>
  <c r="R234" i="6"/>
  <c r="V233" i="6"/>
  <c r="U233" i="6"/>
  <c r="T233" i="6"/>
  <c r="S233" i="6"/>
  <c r="R233" i="6"/>
  <c r="V232" i="6"/>
  <c r="U232" i="6"/>
  <c r="T232" i="6"/>
  <c r="S232" i="6"/>
  <c r="R232" i="6"/>
  <c r="V231" i="6"/>
  <c r="U231" i="6"/>
  <c r="T231" i="6"/>
  <c r="S231" i="6"/>
  <c r="R231" i="6"/>
  <c r="V230" i="6"/>
  <c r="U230" i="6"/>
  <c r="T230" i="6"/>
  <c r="S230" i="6"/>
  <c r="R230" i="6"/>
  <c r="V229" i="6"/>
  <c r="U229" i="6"/>
  <c r="T229" i="6"/>
  <c r="S229" i="6"/>
  <c r="R229" i="6"/>
  <c r="V228" i="6"/>
  <c r="U228" i="6"/>
  <c r="T228" i="6"/>
  <c r="S228" i="6"/>
  <c r="R228" i="6"/>
  <c r="V227" i="6"/>
  <c r="U227" i="6"/>
  <c r="T227" i="6"/>
  <c r="S227" i="6"/>
  <c r="R227" i="6"/>
  <c r="V226" i="6"/>
  <c r="U226" i="6"/>
  <c r="T226" i="6"/>
  <c r="S226" i="6"/>
  <c r="R226" i="6"/>
  <c r="V225" i="6"/>
  <c r="U225" i="6"/>
  <c r="T225" i="6"/>
  <c r="S225" i="6"/>
  <c r="R225" i="6"/>
  <c r="V224" i="6"/>
  <c r="U224" i="6"/>
  <c r="T224" i="6"/>
  <c r="S224" i="6"/>
  <c r="R224" i="6"/>
  <c r="V223" i="6"/>
  <c r="U223" i="6"/>
  <c r="T223" i="6"/>
  <c r="S223" i="6"/>
  <c r="R223" i="6"/>
  <c r="V222" i="6"/>
  <c r="U222" i="6"/>
  <c r="T222" i="6"/>
  <c r="S222" i="6"/>
  <c r="R222" i="6"/>
  <c r="V221" i="6"/>
  <c r="U221" i="6"/>
  <c r="T221" i="6"/>
  <c r="S221" i="6"/>
  <c r="R221" i="6"/>
  <c r="V220" i="6"/>
  <c r="U220" i="6"/>
  <c r="T220" i="6"/>
  <c r="S220" i="6"/>
  <c r="R220" i="6"/>
  <c r="V219" i="6"/>
  <c r="U219" i="6"/>
  <c r="T219" i="6"/>
  <c r="S219" i="6"/>
  <c r="R219" i="6"/>
  <c r="V218" i="6"/>
  <c r="U218" i="6"/>
  <c r="T218" i="6"/>
  <c r="S218" i="6"/>
  <c r="R218" i="6"/>
  <c r="V217" i="6"/>
  <c r="U217" i="6"/>
  <c r="T217" i="6"/>
  <c r="S217" i="6"/>
  <c r="R217" i="6"/>
  <c r="V216" i="6"/>
  <c r="U216" i="6"/>
  <c r="T216" i="6"/>
  <c r="S216" i="6"/>
  <c r="R216" i="6"/>
  <c r="V215" i="6"/>
  <c r="U215" i="6"/>
  <c r="T215" i="6"/>
  <c r="S215" i="6"/>
  <c r="R215" i="6"/>
  <c r="V214" i="6"/>
  <c r="U214" i="6"/>
  <c r="T214" i="6"/>
  <c r="S214" i="6"/>
  <c r="R214" i="6"/>
  <c r="V213" i="6"/>
  <c r="U213" i="6"/>
  <c r="T213" i="6"/>
  <c r="S213" i="6"/>
  <c r="R213" i="6"/>
  <c r="V212" i="6"/>
  <c r="U212" i="6"/>
  <c r="T212" i="6"/>
  <c r="S212" i="6"/>
  <c r="R212" i="6"/>
  <c r="V211" i="6"/>
  <c r="U211" i="6"/>
  <c r="T211" i="6"/>
  <c r="S211" i="6"/>
  <c r="R211" i="6"/>
  <c r="V210" i="6"/>
  <c r="U210" i="6"/>
  <c r="T210" i="6"/>
  <c r="S210" i="6"/>
  <c r="R210" i="6"/>
  <c r="V209" i="6"/>
  <c r="U209" i="6"/>
  <c r="T209" i="6"/>
  <c r="S209" i="6"/>
  <c r="R209" i="6"/>
  <c r="V208" i="6"/>
  <c r="U208" i="6"/>
  <c r="T208" i="6"/>
  <c r="S208" i="6"/>
  <c r="R208" i="6"/>
  <c r="V207" i="6"/>
  <c r="U207" i="6"/>
  <c r="T207" i="6"/>
  <c r="S207" i="6"/>
  <c r="R207" i="6"/>
  <c r="V206" i="6"/>
  <c r="U206" i="6"/>
  <c r="T206" i="6"/>
  <c r="S206" i="6"/>
  <c r="R206" i="6"/>
  <c r="V205" i="6"/>
  <c r="U205" i="6"/>
  <c r="T205" i="6"/>
  <c r="S205" i="6"/>
  <c r="R205" i="6"/>
  <c r="V204" i="6"/>
  <c r="U204" i="6"/>
  <c r="T204" i="6"/>
  <c r="S204" i="6"/>
  <c r="R204" i="6"/>
  <c r="V203" i="6"/>
  <c r="U203" i="6"/>
  <c r="T203" i="6"/>
  <c r="S203" i="6"/>
  <c r="R203" i="6"/>
  <c r="V202" i="6"/>
  <c r="U202" i="6"/>
  <c r="T202" i="6"/>
  <c r="S202" i="6"/>
  <c r="R202" i="6"/>
  <c r="V201" i="6"/>
  <c r="U201" i="6"/>
  <c r="T201" i="6"/>
  <c r="S201" i="6"/>
  <c r="R201" i="6"/>
  <c r="V200" i="6"/>
  <c r="U200" i="6"/>
  <c r="T200" i="6"/>
  <c r="S200" i="6"/>
  <c r="R200" i="6"/>
  <c r="V199" i="6"/>
  <c r="U199" i="6"/>
  <c r="T199" i="6"/>
  <c r="S199" i="6"/>
  <c r="R199" i="6"/>
  <c r="V198" i="6"/>
  <c r="U198" i="6"/>
  <c r="T198" i="6"/>
  <c r="S198" i="6"/>
  <c r="R198" i="6"/>
  <c r="V197" i="6"/>
  <c r="U197" i="6"/>
  <c r="T197" i="6"/>
  <c r="S197" i="6"/>
  <c r="R197" i="6"/>
  <c r="V196" i="6"/>
  <c r="U196" i="6"/>
  <c r="T196" i="6"/>
  <c r="S196" i="6"/>
  <c r="R196" i="6"/>
  <c r="V195" i="6"/>
  <c r="U195" i="6"/>
  <c r="T195" i="6"/>
  <c r="S195" i="6"/>
  <c r="R195" i="6"/>
  <c r="V194" i="6"/>
  <c r="U194" i="6"/>
  <c r="T194" i="6"/>
  <c r="S194" i="6"/>
  <c r="R194" i="6"/>
  <c r="V193" i="6"/>
  <c r="U193" i="6"/>
  <c r="T193" i="6"/>
  <c r="S193" i="6"/>
  <c r="R193" i="6"/>
  <c r="V192" i="6"/>
  <c r="U192" i="6"/>
  <c r="T192" i="6"/>
  <c r="S192" i="6"/>
  <c r="R192" i="6"/>
  <c r="V191" i="6"/>
  <c r="U191" i="6"/>
  <c r="T191" i="6"/>
  <c r="S191" i="6"/>
  <c r="R191" i="6"/>
  <c r="V190" i="6"/>
  <c r="U190" i="6"/>
  <c r="T190" i="6"/>
  <c r="S190" i="6"/>
  <c r="R190" i="6"/>
  <c r="V189" i="6"/>
  <c r="U189" i="6"/>
  <c r="T189" i="6"/>
  <c r="S189" i="6"/>
  <c r="R189" i="6"/>
  <c r="V188" i="6"/>
  <c r="U188" i="6"/>
  <c r="T188" i="6"/>
  <c r="S188" i="6"/>
  <c r="R188" i="6"/>
  <c r="V187" i="6"/>
  <c r="U187" i="6"/>
  <c r="T187" i="6"/>
  <c r="S187" i="6"/>
  <c r="R187" i="6"/>
  <c r="V186" i="6"/>
  <c r="U186" i="6"/>
  <c r="T186" i="6"/>
  <c r="S186" i="6"/>
  <c r="R186" i="6"/>
  <c r="V185" i="6"/>
  <c r="U185" i="6"/>
  <c r="T185" i="6"/>
  <c r="S185" i="6"/>
  <c r="R185" i="6"/>
  <c r="V184" i="6"/>
  <c r="U184" i="6"/>
  <c r="T184" i="6"/>
  <c r="S184" i="6"/>
  <c r="R184" i="6"/>
  <c r="V183" i="6"/>
  <c r="U183" i="6"/>
  <c r="T183" i="6"/>
  <c r="S183" i="6"/>
  <c r="R183" i="6"/>
  <c r="V182" i="6"/>
  <c r="U182" i="6"/>
  <c r="T182" i="6"/>
  <c r="S182" i="6"/>
  <c r="R182" i="6"/>
  <c r="V181" i="6"/>
  <c r="U181" i="6"/>
  <c r="T181" i="6"/>
  <c r="S181" i="6"/>
  <c r="R181" i="6"/>
  <c r="V180" i="6"/>
  <c r="U180" i="6"/>
  <c r="T180" i="6"/>
  <c r="S180" i="6"/>
  <c r="R180" i="6"/>
  <c r="V179" i="6"/>
  <c r="U179" i="6"/>
  <c r="T179" i="6"/>
  <c r="S179" i="6"/>
  <c r="R179" i="6"/>
  <c r="V178" i="6"/>
  <c r="U178" i="6"/>
  <c r="T178" i="6"/>
  <c r="S178" i="6"/>
  <c r="R178" i="6"/>
  <c r="V177" i="6"/>
  <c r="U177" i="6"/>
  <c r="T177" i="6"/>
  <c r="S177" i="6"/>
  <c r="R177" i="6"/>
  <c r="V176" i="6"/>
  <c r="U176" i="6"/>
  <c r="T176" i="6"/>
  <c r="S176" i="6"/>
  <c r="R176" i="6"/>
  <c r="V175" i="6"/>
  <c r="U175" i="6"/>
  <c r="T175" i="6"/>
  <c r="S175" i="6"/>
  <c r="R175" i="6"/>
  <c r="V174" i="6"/>
  <c r="U174" i="6"/>
  <c r="T174" i="6"/>
  <c r="S174" i="6"/>
  <c r="R174" i="6"/>
  <c r="V173" i="6"/>
  <c r="U173" i="6"/>
  <c r="T173" i="6"/>
  <c r="S173" i="6"/>
  <c r="R173" i="6"/>
  <c r="V172" i="6"/>
  <c r="U172" i="6"/>
  <c r="T172" i="6"/>
  <c r="S172" i="6"/>
  <c r="R172" i="6"/>
  <c r="V171" i="6"/>
  <c r="U171" i="6"/>
  <c r="T171" i="6"/>
  <c r="S171" i="6"/>
  <c r="R171" i="6"/>
  <c r="V170" i="6"/>
  <c r="U170" i="6"/>
  <c r="T170" i="6"/>
  <c r="S170" i="6"/>
  <c r="R170" i="6"/>
  <c r="V169" i="6"/>
  <c r="U169" i="6"/>
  <c r="T169" i="6"/>
  <c r="S169" i="6"/>
  <c r="R169" i="6"/>
  <c r="V168" i="6"/>
  <c r="U168" i="6"/>
  <c r="T168" i="6"/>
  <c r="S168" i="6"/>
  <c r="R168" i="6"/>
  <c r="V167" i="6"/>
  <c r="U167" i="6"/>
  <c r="T167" i="6"/>
  <c r="S167" i="6"/>
  <c r="R167" i="6"/>
  <c r="V166" i="6"/>
  <c r="U166" i="6"/>
  <c r="T166" i="6"/>
  <c r="S166" i="6"/>
  <c r="R166" i="6"/>
  <c r="V165" i="6"/>
  <c r="U165" i="6"/>
  <c r="T165" i="6"/>
  <c r="S165" i="6"/>
  <c r="R165" i="6"/>
  <c r="V164" i="6"/>
  <c r="U164" i="6"/>
  <c r="T164" i="6"/>
  <c r="S164" i="6"/>
  <c r="R164" i="6"/>
  <c r="V163" i="6"/>
  <c r="U163" i="6"/>
  <c r="T163" i="6"/>
  <c r="S163" i="6"/>
  <c r="R163" i="6"/>
  <c r="V162" i="6"/>
  <c r="U162" i="6"/>
  <c r="T162" i="6"/>
  <c r="S162" i="6"/>
  <c r="R162" i="6"/>
  <c r="V161" i="6"/>
  <c r="U161" i="6"/>
  <c r="T161" i="6"/>
  <c r="S161" i="6"/>
  <c r="R161" i="6"/>
  <c r="V160" i="6"/>
  <c r="U160" i="6"/>
  <c r="T160" i="6"/>
  <c r="S160" i="6"/>
  <c r="R160" i="6"/>
  <c r="V159" i="6"/>
  <c r="U159" i="6"/>
  <c r="T159" i="6"/>
  <c r="S159" i="6"/>
  <c r="R159" i="6"/>
  <c r="V158" i="6"/>
  <c r="U158" i="6"/>
  <c r="T158" i="6"/>
  <c r="S158" i="6"/>
  <c r="R158" i="6"/>
  <c r="V157" i="6"/>
  <c r="U157" i="6"/>
  <c r="T157" i="6"/>
  <c r="S157" i="6"/>
  <c r="R157" i="6"/>
  <c r="V156" i="6"/>
  <c r="U156" i="6"/>
  <c r="T156" i="6"/>
  <c r="S156" i="6"/>
  <c r="R156" i="6"/>
  <c r="V155" i="6"/>
  <c r="U155" i="6"/>
  <c r="T155" i="6"/>
  <c r="S155" i="6"/>
  <c r="R155" i="6"/>
  <c r="V154" i="6"/>
  <c r="U154" i="6"/>
  <c r="T154" i="6"/>
  <c r="S154" i="6"/>
  <c r="R154" i="6"/>
  <c r="V153" i="6"/>
  <c r="U153" i="6"/>
  <c r="T153" i="6"/>
  <c r="S153" i="6"/>
  <c r="R153" i="6"/>
  <c r="V152" i="6"/>
  <c r="U152" i="6"/>
  <c r="T152" i="6"/>
  <c r="S152" i="6"/>
  <c r="R152" i="6"/>
  <c r="V151" i="6"/>
  <c r="U151" i="6"/>
  <c r="T151" i="6"/>
  <c r="S151" i="6"/>
  <c r="R151" i="6"/>
  <c r="V150" i="6"/>
  <c r="U150" i="6"/>
  <c r="T150" i="6"/>
  <c r="S150" i="6"/>
  <c r="R150" i="6"/>
  <c r="V149" i="6"/>
  <c r="U149" i="6"/>
  <c r="T149" i="6"/>
  <c r="S149" i="6"/>
  <c r="R149" i="6"/>
  <c r="V148" i="6"/>
  <c r="U148" i="6"/>
  <c r="T148" i="6"/>
  <c r="S148" i="6"/>
  <c r="R148" i="6"/>
  <c r="V147" i="6"/>
  <c r="U147" i="6"/>
  <c r="T147" i="6"/>
  <c r="S147" i="6"/>
  <c r="R147" i="6"/>
  <c r="V146" i="6"/>
  <c r="U146" i="6"/>
  <c r="T146" i="6"/>
  <c r="S146" i="6"/>
  <c r="R146" i="6"/>
  <c r="V145" i="6"/>
  <c r="U145" i="6"/>
  <c r="T145" i="6"/>
  <c r="S145" i="6"/>
  <c r="R145" i="6"/>
  <c r="V144" i="6"/>
  <c r="U144" i="6"/>
  <c r="T144" i="6"/>
  <c r="S144" i="6"/>
  <c r="R144" i="6"/>
  <c r="V143" i="6"/>
  <c r="U143" i="6"/>
  <c r="T143" i="6"/>
  <c r="S143" i="6"/>
  <c r="R143" i="6"/>
  <c r="V142" i="6"/>
  <c r="U142" i="6"/>
  <c r="T142" i="6"/>
  <c r="S142" i="6"/>
  <c r="R142" i="6"/>
  <c r="V141" i="6"/>
  <c r="U141" i="6"/>
  <c r="T141" i="6"/>
  <c r="S141" i="6"/>
  <c r="R141" i="6"/>
  <c r="V140" i="6"/>
  <c r="U140" i="6"/>
  <c r="T140" i="6"/>
  <c r="S140" i="6"/>
  <c r="R140" i="6"/>
  <c r="V139" i="6"/>
  <c r="U139" i="6"/>
  <c r="T139" i="6"/>
  <c r="S139" i="6"/>
  <c r="R139" i="6"/>
  <c r="V138" i="6"/>
  <c r="U138" i="6"/>
  <c r="T138" i="6"/>
  <c r="S138" i="6"/>
  <c r="R138" i="6"/>
  <c r="V137" i="6"/>
  <c r="U137" i="6"/>
  <c r="T137" i="6"/>
  <c r="S137" i="6"/>
  <c r="R137" i="6"/>
  <c r="V136" i="6"/>
  <c r="U136" i="6"/>
  <c r="T136" i="6"/>
  <c r="S136" i="6"/>
  <c r="R136" i="6"/>
  <c r="V135" i="6"/>
  <c r="U135" i="6"/>
  <c r="T135" i="6"/>
  <c r="S135" i="6"/>
  <c r="R135" i="6"/>
  <c r="V134" i="6"/>
  <c r="U134" i="6"/>
  <c r="T134" i="6"/>
  <c r="S134" i="6"/>
  <c r="R134" i="6"/>
  <c r="V133" i="6"/>
  <c r="U133" i="6"/>
  <c r="T133" i="6"/>
  <c r="S133" i="6"/>
  <c r="R133" i="6"/>
  <c r="V132" i="6"/>
  <c r="U132" i="6"/>
  <c r="T132" i="6"/>
  <c r="S132" i="6"/>
  <c r="R132" i="6"/>
  <c r="V131" i="6"/>
  <c r="U131" i="6"/>
  <c r="T131" i="6"/>
  <c r="S131" i="6"/>
  <c r="R131" i="6"/>
  <c r="V130" i="6"/>
  <c r="U130" i="6"/>
  <c r="T130" i="6"/>
  <c r="S130" i="6"/>
  <c r="R130" i="6"/>
  <c r="V129" i="6"/>
  <c r="U129" i="6"/>
  <c r="T129" i="6"/>
  <c r="S129" i="6"/>
  <c r="R129" i="6"/>
  <c r="V128" i="6"/>
  <c r="U128" i="6"/>
  <c r="T128" i="6"/>
  <c r="S128" i="6"/>
  <c r="R128" i="6"/>
  <c r="V127" i="6"/>
  <c r="U127" i="6"/>
  <c r="T127" i="6"/>
  <c r="S127" i="6"/>
  <c r="R127" i="6"/>
  <c r="V126" i="6"/>
  <c r="U126" i="6"/>
  <c r="T126" i="6"/>
  <c r="S126" i="6"/>
  <c r="R126" i="6"/>
  <c r="V125" i="6"/>
  <c r="U125" i="6"/>
  <c r="T125" i="6"/>
  <c r="S125" i="6"/>
  <c r="R125" i="6"/>
  <c r="V124" i="6"/>
  <c r="U124" i="6"/>
  <c r="T124" i="6"/>
  <c r="S124" i="6"/>
  <c r="R124" i="6"/>
  <c r="V123" i="6"/>
  <c r="U123" i="6"/>
  <c r="T123" i="6"/>
  <c r="S123" i="6"/>
  <c r="R123" i="6"/>
  <c r="V122" i="6"/>
  <c r="U122" i="6"/>
  <c r="T122" i="6"/>
  <c r="S122" i="6"/>
  <c r="R122" i="6"/>
  <c r="V121" i="6"/>
  <c r="U121" i="6"/>
  <c r="T121" i="6"/>
  <c r="S121" i="6"/>
  <c r="R121" i="6"/>
  <c r="V120" i="6"/>
  <c r="U120" i="6"/>
  <c r="T120" i="6"/>
  <c r="S120" i="6"/>
  <c r="R120" i="6"/>
  <c r="V119" i="6"/>
  <c r="U119" i="6"/>
  <c r="T119" i="6"/>
  <c r="S119" i="6"/>
  <c r="R119" i="6"/>
  <c r="V118" i="6"/>
  <c r="U118" i="6"/>
  <c r="T118" i="6"/>
  <c r="S118" i="6"/>
  <c r="R118" i="6"/>
  <c r="V117" i="6"/>
  <c r="U117" i="6"/>
  <c r="T117" i="6"/>
  <c r="S117" i="6"/>
  <c r="R117" i="6"/>
  <c r="V116" i="6"/>
  <c r="U116" i="6"/>
  <c r="T116" i="6"/>
  <c r="S116" i="6"/>
  <c r="R116" i="6"/>
  <c r="V115" i="6"/>
  <c r="U115" i="6"/>
  <c r="T115" i="6"/>
  <c r="S115" i="6"/>
  <c r="R115" i="6"/>
  <c r="V114" i="6"/>
  <c r="U114" i="6"/>
  <c r="T114" i="6"/>
  <c r="S114" i="6"/>
  <c r="R114" i="6"/>
  <c r="V113" i="6"/>
  <c r="U113" i="6"/>
  <c r="T113" i="6"/>
  <c r="S113" i="6"/>
  <c r="R113" i="6"/>
  <c r="O113" i="6"/>
  <c r="N113" i="6"/>
  <c r="M113" i="6"/>
  <c r="L113" i="6"/>
  <c r="K113" i="6"/>
  <c r="V112" i="6"/>
  <c r="U112" i="6"/>
  <c r="T112" i="6"/>
  <c r="S112" i="6"/>
  <c r="R112" i="6"/>
  <c r="O112" i="6"/>
  <c r="N112" i="6"/>
  <c r="M112" i="6"/>
  <c r="L112" i="6"/>
  <c r="K112" i="6"/>
  <c r="V111" i="6"/>
  <c r="U111" i="6"/>
  <c r="T111" i="6"/>
  <c r="S111" i="6"/>
  <c r="R111" i="6"/>
  <c r="O111" i="6"/>
  <c r="N111" i="6"/>
  <c r="M111" i="6"/>
  <c r="L111" i="6"/>
  <c r="K111" i="6"/>
  <c r="V110" i="6"/>
  <c r="U110" i="6"/>
  <c r="T110" i="6"/>
  <c r="S110" i="6"/>
  <c r="R110" i="6"/>
  <c r="O110" i="6"/>
  <c r="N110" i="6"/>
  <c r="M110" i="6"/>
  <c r="L110" i="6"/>
  <c r="K110" i="6"/>
  <c r="V109" i="6"/>
  <c r="U109" i="6"/>
  <c r="T109" i="6"/>
  <c r="S109" i="6"/>
  <c r="R109" i="6"/>
  <c r="O109" i="6"/>
  <c r="N109" i="6"/>
  <c r="M109" i="6"/>
  <c r="L109" i="6"/>
  <c r="K109" i="6"/>
  <c r="V108" i="6"/>
  <c r="U108" i="6"/>
  <c r="T108" i="6"/>
  <c r="S108" i="6"/>
  <c r="R108" i="6"/>
  <c r="O108" i="6"/>
  <c r="N108" i="6"/>
  <c r="M108" i="6"/>
  <c r="L108" i="6"/>
  <c r="K108" i="6"/>
  <c r="V107" i="6"/>
  <c r="U107" i="6"/>
  <c r="T107" i="6"/>
  <c r="S107" i="6"/>
  <c r="R107" i="6"/>
  <c r="O107" i="6"/>
  <c r="N107" i="6"/>
  <c r="M107" i="6"/>
  <c r="L107" i="6"/>
  <c r="K107" i="6"/>
  <c r="V106" i="6"/>
  <c r="U106" i="6"/>
  <c r="T106" i="6"/>
  <c r="S106" i="6"/>
  <c r="R106" i="6"/>
  <c r="O106" i="6"/>
  <c r="N106" i="6"/>
  <c r="M106" i="6"/>
  <c r="L106" i="6"/>
  <c r="K106" i="6"/>
  <c r="V105" i="6"/>
  <c r="U105" i="6"/>
  <c r="T105" i="6"/>
  <c r="S105" i="6"/>
  <c r="R105" i="6"/>
  <c r="O105" i="6"/>
  <c r="N105" i="6"/>
  <c r="M105" i="6"/>
  <c r="L105" i="6"/>
  <c r="K105" i="6"/>
  <c r="V104" i="6"/>
  <c r="U104" i="6"/>
  <c r="T104" i="6"/>
  <c r="S104" i="6"/>
  <c r="R104" i="6"/>
  <c r="O104" i="6"/>
  <c r="N104" i="6"/>
  <c r="M104" i="6"/>
  <c r="L104" i="6"/>
  <c r="K104" i="6"/>
  <c r="V103" i="6"/>
  <c r="U103" i="6"/>
  <c r="T103" i="6"/>
  <c r="S103" i="6"/>
  <c r="R103" i="6"/>
  <c r="O103" i="6"/>
  <c r="N103" i="6"/>
  <c r="M103" i="6"/>
  <c r="L103" i="6"/>
  <c r="K103" i="6"/>
  <c r="V102" i="6"/>
  <c r="U102" i="6"/>
  <c r="T102" i="6"/>
  <c r="S102" i="6"/>
  <c r="R102" i="6"/>
  <c r="O102" i="6"/>
  <c r="N102" i="6"/>
  <c r="M102" i="6"/>
  <c r="L102" i="6"/>
  <c r="K102" i="6"/>
  <c r="V101" i="6"/>
  <c r="U101" i="6"/>
  <c r="T101" i="6"/>
  <c r="S101" i="6"/>
  <c r="R101" i="6"/>
  <c r="O101" i="6"/>
  <c r="N101" i="6"/>
  <c r="M101" i="6"/>
  <c r="L101" i="6"/>
  <c r="K101" i="6"/>
  <c r="V100" i="6"/>
  <c r="U100" i="6"/>
  <c r="T100" i="6"/>
  <c r="S100" i="6"/>
  <c r="R100" i="6"/>
  <c r="O100" i="6"/>
  <c r="N100" i="6"/>
  <c r="M100" i="6"/>
  <c r="L100" i="6"/>
  <c r="K100" i="6"/>
  <c r="V99" i="6"/>
  <c r="U99" i="6"/>
  <c r="T99" i="6"/>
  <c r="S99" i="6"/>
  <c r="R99" i="6"/>
  <c r="O99" i="6"/>
  <c r="N99" i="6"/>
  <c r="M99" i="6"/>
  <c r="L99" i="6"/>
  <c r="K99" i="6"/>
  <c r="V98" i="6"/>
  <c r="U98" i="6"/>
  <c r="T98" i="6"/>
  <c r="S98" i="6"/>
  <c r="R98" i="6"/>
  <c r="O98" i="6"/>
  <c r="N98" i="6"/>
  <c r="M98" i="6"/>
  <c r="L98" i="6"/>
  <c r="K98" i="6"/>
  <c r="V97" i="6"/>
  <c r="U97" i="6"/>
  <c r="T97" i="6"/>
  <c r="S97" i="6"/>
  <c r="R97" i="6"/>
  <c r="O97" i="6"/>
  <c r="N97" i="6"/>
  <c r="M97" i="6"/>
  <c r="L97" i="6"/>
  <c r="K97" i="6"/>
  <c r="V96" i="6"/>
  <c r="U96" i="6"/>
  <c r="T96" i="6"/>
  <c r="S96" i="6"/>
  <c r="R96" i="6"/>
  <c r="O96" i="6"/>
  <c r="N96" i="6"/>
  <c r="M96" i="6"/>
  <c r="L96" i="6"/>
  <c r="K96" i="6"/>
  <c r="V95" i="6"/>
  <c r="U95" i="6"/>
  <c r="T95" i="6"/>
  <c r="S95" i="6"/>
  <c r="R95" i="6"/>
  <c r="O95" i="6"/>
  <c r="N95" i="6"/>
  <c r="M95" i="6"/>
  <c r="L95" i="6"/>
  <c r="K95" i="6"/>
  <c r="V94" i="6"/>
  <c r="U94" i="6"/>
  <c r="T94" i="6"/>
  <c r="S94" i="6"/>
  <c r="R94" i="6"/>
  <c r="O94" i="6"/>
  <c r="N94" i="6"/>
  <c r="M94" i="6"/>
  <c r="L94" i="6"/>
  <c r="K94" i="6"/>
  <c r="V93" i="6"/>
  <c r="U93" i="6"/>
  <c r="T93" i="6"/>
  <c r="S93" i="6"/>
  <c r="R93" i="6"/>
  <c r="O93" i="6"/>
  <c r="N93" i="6"/>
  <c r="M93" i="6"/>
  <c r="L93" i="6"/>
  <c r="K93" i="6"/>
  <c r="V92" i="6"/>
  <c r="U92" i="6"/>
  <c r="T92" i="6"/>
  <c r="S92" i="6"/>
  <c r="R92" i="6"/>
  <c r="O92" i="6"/>
  <c r="N92" i="6"/>
  <c r="M92" i="6"/>
  <c r="L92" i="6"/>
  <c r="K92" i="6"/>
  <c r="V91" i="6"/>
  <c r="U91" i="6"/>
  <c r="T91" i="6"/>
  <c r="S91" i="6"/>
  <c r="R91" i="6"/>
  <c r="O91" i="6"/>
  <c r="N91" i="6"/>
  <c r="M91" i="6"/>
  <c r="L91" i="6"/>
  <c r="K91" i="6"/>
  <c r="V90" i="6"/>
  <c r="U90" i="6"/>
  <c r="T90" i="6"/>
  <c r="S90" i="6"/>
  <c r="R90" i="6"/>
  <c r="O90" i="6"/>
  <c r="N90" i="6"/>
  <c r="M90" i="6"/>
  <c r="L90" i="6"/>
  <c r="K90" i="6"/>
  <c r="V89" i="6"/>
  <c r="U89" i="6"/>
  <c r="T89" i="6"/>
  <c r="S89" i="6"/>
  <c r="R89" i="6"/>
  <c r="O89" i="6"/>
  <c r="N89" i="6"/>
  <c r="M89" i="6"/>
  <c r="L89" i="6"/>
  <c r="K89" i="6"/>
  <c r="V88" i="6"/>
  <c r="U88" i="6"/>
  <c r="T88" i="6"/>
  <c r="S88" i="6"/>
  <c r="R88" i="6"/>
  <c r="O88" i="6"/>
  <c r="N88" i="6"/>
  <c r="M88" i="6"/>
  <c r="L88" i="6"/>
  <c r="K88" i="6"/>
  <c r="V87" i="6"/>
  <c r="U87" i="6"/>
  <c r="T87" i="6"/>
  <c r="S87" i="6"/>
  <c r="R87" i="6"/>
  <c r="O87" i="6"/>
  <c r="N87" i="6"/>
  <c r="M87" i="6"/>
  <c r="L87" i="6"/>
  <c r="K87" i="6"/>
  <c r="V86" i="6"/>
  <c r="U86" i="6"/>
  <c r="T86" i="6"/>
  <c r="S86" i="6"/>
  <c r="R86" i="6"/>
  <c r="O86" i="6"/>
  <c r="N86" i="6"/>
  <c r="M86" i="6"/>
  <c r="L86" i="6"/>
  <c r="K86" i="6"/>
  <c r="V85" i="6"/>
  <c r="U85" i="6"/>
  <c r="T85" i="6"/>
  <c r="S85" i="6"/>
  <c r="R85" i="6"/>
  <c r="O85" i="6"/>
  <c r="N85" i="6"/>
  <c r="M85" i="6"/>
  <c r="L85" i="6"/>
  <c r="K85" i="6"/>
  <c r="V84" i="6"/>
  <c r="U84" i="6"/>
  <c r="T84" i="6"/>
  <c r="S84" i="6"/>
  <c r="R84" i="6"/>
  <c r="O84" i="6"/>
  <c r="N84" i="6"/>
  <c r="M84" i="6"/>
  <c r="L84" i="6"/>
  <c r="K84" i="6"/>
  <c r="V83" i="6"/>
  <c r="U83" i="6"/>
  <c r="T83" i="6"/>
  <c r="S83" i="6"/>
  <c r="R83" i="6"/>
  <c r="O83" i="6"/>
  <c r="N83" i="6"/>
  <c r="M83" i="6"/>
  <c r="L83" i="6"/>
  <c r="K83" i="6"/>
  <c r="V82" i="6"/>
  <c r="U82" i="6"/>
  <c r="T82" i="6"/>
  <c r="S82" i="6"/>
  <c r="R82" i="6"/>
  <c r="O82" i="6"/>
  <c r="N82" i="6"/>
  <c r="M82" i="6"/>
  <c r="L82" i="6"/>
  <c r="K82" i="6"/>
  <c r="V81" i="6"/>
  <c r="U81" i="6"/>
  <c r="T81" i="6"/>
  <c r="S81" i="6"/>
  <c r="R81" i="6"/>
  <c r="O81" i="6"/>
  <c r="N81" i="6"/>
  <c r="M81" i="6"/>
  <c r="L81" i="6"/>
  <c r="K81" i="6"/>
  <c r="V80" i="6"/>
  <c r="U80" i="6"/>
  <c r="T80" i="6"/>
  <c r="S80" i="6"/>
  <c r="R80" i="6"/>
  <c r="O80" i="6"/>
  <c r="N80" i="6"/>
  <c r="M80" i="6"/>
  <c r="L80" i="6"/>
  <c r="K80" i="6"/>
  <c r="V79" i="6"/>
  <c r="U79" i="6"/>
  <c r="T79" i="6"/>
  <c r="S79" i="6"/>
  <c r="R79" i="6"/>
  <c r="O79" i="6"/>
  <c r="N79" i="6"/>
  <c r="M79" i="6"/>
  <c r="L79" i="6"/>
  <c r="K79" i="6"/>
  <c r="V78" i="6"/>
  <c r="U78" i="6"/>
  <c r="T78" i="6"/>
  <c r="S78" i="6"/>
  <c r="R78" i="6"/>
  <c r="O78" i="6"/>
  <c r="N78" i="6"/>
  <c r="M78" i="6"/>
  <c r="L78" i="6"/>
  <c r="K78" i="6"/>
  <c r="V77" i="6"/>
  <c r="U77" i="6"/>
  <c r="T77" i="6"/>
  <c r="S77" i="6"/>
  <c r="R77" i="6"/>
  <c r="O77" i="6"/>
  <c r="N77" i="6"/>
  <c r="M77" i="6"/>
  <c r="L77" i="6"/>
  <c r="K77" i="6"/>
  <c r="V76" i="6"/>
  <c r="U76" i="6"/>
  <c r="T76" i="6"/>
  <c r="S76" i="6"/>
  <c r="R76" i="6"/>
  <c r="O76" i="6"/>
  <c r="N76" i="6"/>
  <c r="M76" i="6"/>
  <c r="L76" i="6"/>
  <c r="K76" i="6"/>
  <c r="V75" i="6"/>
  <c r="U75" i="6"/>
  <c r="T75" i="6"/>
  <c r="S75" i="6"/>
  <c r="R75" i="6"/>
  <c r="O75" i="6"/>
  <c r="N75" i="6"/>
  <c r="M75" i="6"/>
  <c r="L75" i="6"/>
  <c r="K75" i="6"/>
  <c r="V74" i="6"/>
  <c r="U74" i="6"/>
  <c r="T74" i="6"/>
  <c r="S74" i="6"/>
  <c r="R74" i="6"/>
  <c r="O74" i="6"/>
  <c r="N74" i="6"/>
  <c r="M74" i="6"/>
  <c r="L74" i="6"/>
  <c r="K74" i="6"/>
  <c r="V73" i="6"/>
  <c r="U73" i="6"/>
  <c r="T73" i="6"/>
  <c r="S73" i="6"/>
  <c r="R73" i="6"/>
  <c r="O73" i="6"/>
  <c r="N73" i="6"/>
  <c r="M73" i="6"/>
  <c r="L73" i="6"/>
  <c r="K73" i="6"/>
  <c r="V72" i="6"/>
  <c r="U72" i="6"/>
  <c r="T72" i="6"/>
  <c r="S72" i="6"/>
  <c r="R72" i="6"/>
  <c r="O72" i="6"/>
  <c r="N72" i="6"/>
  <c r="M72" i="6"/>
  <c r="L72" i="6"/>
  <c r="K72" i="6"/>
  <c r="V71" i="6"/>
  <c r="U71" i="6"/>
  <c r="T71" i="6"/>
  <c r="S71" i="6"/>
  <c r="R71" i="6"/>
  <c r="O71" i="6"/>
  <c r="N71" i="6"/>
  <c r="M71" i="6"/>
  <c r="L71" i="6"/>
  <c r="K71" i="6"/>
  <c r="V70" i="6"/>
  <c r="U70" i="6"/>
  <c r="T70" i="6"/>
  <c r="S70" i="6"/>
  <c r="R70" i="6"/>
  <c r="O70" i="6"/>
  <c r="N70" i="6"/>
  <c r="M70" i="6"/>
  <c r="L70" i="6"/>
  <c r="K70" i="6"/>
  <c r="V69" i="6"/>
  <c r="U69" i="6"/>
  <c r="T69" i="6"/>
  <c r="S69" i="6"/>
  <c r="R69" i="6"/>
  <c r="O69" i="6"/>
  <c r="N69" i="6"/>
  <c r="M69" i="6"/>
  <c r="L69" i="6"/>
  <c r="K69" i="6"/>
  <c r="V68" i="6"/>
  <c r="U68" i="6"/>
  <c r="T68" i="6"/>
  <c r="S68" i="6"/>
  <c r="R68" i="6"/>
  <c r="O68" i="6"/>
  <c r="N68" i="6"/>
  <c r="M68" i="6"/>
  <c r="L68" i="6"/>
  <c r="K68" i="6"/>
  <c r="V67" i="6"/>
  <c r="U67" i="6"/>
  <c r="T67" i="6"/>
  <c r="S67" i="6"/>
  <c r="R67" i="6"/>
  <c r="O67" i="6"/>
  <c r="N67" i="6"/>
  <c r="M67" i="6"/>
  <c r="L67" i="6"/>
  <c r="K67" i="6"/>
  <c r="V66" i="6"/>
  <c r="U66" i="6"/>
  <c r="T66" i="6"/>
  <c r="S66" i="6"/>
  <c r="R66" i="6"/>
  <c r="O66" i="6"/>
  <c r="N66" i="6"/>
  <c r="M66" i="6"/>
  <c r="L66" i="6"/>
  <c r="K66" i="6"/>
  <c r="V65" i="6"/>
  <c r="U65" i="6"/>
  <c r="T65" i="6"/>
  <c r="S65" i="6"/>
  <c r="R65" i="6"/>
  <c r="O65" i="6"/>
  <c r="N65" i="6"/>
  <c r="M65" i="6"/>
  <c r="L65" i="6"/>
  <c r="K65" i="6"/>
  <c r="V64" i="6"/>
  <c r="U64" i="6"/>
  <c r="T64" i="6"/>
  <c r="S64" i="6"/>
  <c r="R64" i="6"/>
  <c r="O64" i="6"/>
  <c r="N64" i="6"/>
  <c r="M64" i="6"/>
  <c r="L64" i="6"/>
  <c r="K64" i="6"/>
  <c r="V63" i="6"/>
  <c r="U63" i="6"/>
  <c r="T63" i="6"/>
  <c r="S63" i="6"/>
  <c r="R63" i="6"/>
  <c r="O63" i="6"/>
  <c r="N63" i="6"/>
  <c r="M63" i="6"/>
  <c r="L63" i="6"/>
  <c r="K63" i="6"/>
  <c r="V62" i="6"/>
  <c r="U62" i="6"/>
  <c r="T62" i="6"/>
  <c r="S62" i="6"/>
  <c r="R62" i="6"/>
  <c r="O62" i="6"/>
  <c r="N62" i="6"/>
  <c r="M62" i="6"/>
  <c r="L62" i="6"/>
  <c r="K62" i="6"/>
  <c r="V61" i="6"/>
  <c r="U61" i="6"/>
  <c r="T61" i="6"/>
  <c r="S61" i="6"/>
  <c r="R61" i="6"/>
  <c r="O61" i="6"/>
  <c r="N61" i="6"/>
  <c r="M61" i="6"/>
  <c r="L61" i="6"/>
  <c r="K61" i="6"/>
  <c r="V60" i="6"/>
  <c r="U60" i="6"/>
  <c r="T60" i="6"/>
  <c r="S60" i="6"/>
  <c r="R60" i="6"/>
  <c r="O60" i="6"/>
  <c r="N60" i="6"/>
  <c r="M60" i="6"/>
  <c r="L60" i="6"/>
  <c r="K60" i="6"/>
  <c r="V59" i="6"/>
  <c r="U59" i="6"/>
  <c r="T59" i="6"/>
  <c r="S59" i="6"/>
  <c r="R59" i="6"/>
  <c r="O59" i="6"/>
  <c r="N59" i="6"/>
  <c r="M59" i="6"/>
  <c r="L59" i="6"/>
  <c r="K59" i="6"/>
  <c r="V58" i="6"/>
  <c r="U58" i="6"/>
  <c r="T58" i="6"/>
  <c r="S58" i="6"/>
  <c r="R58" i="6"/>
  <c r="O58" i="6"/>
  <c r="N58" i="6"/>
  <c r="M58" i="6"/>
  <c r="L58" i="6"/>
  <c r="K58" i="6"/>
  <c r="V57" i="6"/>
  <c r="U57" i="6"/>
  <c r="T57" i="6"/>
  <c r="S57" i="6"/>
  <c r="R57" i="6"/>
  <c r="O57" i="6"/>
  <c r="N57" i="6"/>
  <c r="M57" i="6"/>
  <c r="L57" i="6"/>
  <c r="K57" i="6"/>
  <c r="V56" i="6"/>
  <c r="U56" i="6"/>
  <c r="T56" i="6"/>
  <c r="S56" i="6"/>
  <c r="R56" i="6"/>
  <c r="O56" i="6"/>
  <c r="N56" i="6"/>
  <c r="M56" i="6"/>
  <c r="L56" i="6"/>
  <c r="K56" i="6"/>
  <c r="V55" i="6"/>
  <c r="U55" i="6"/>
  <c r="T55" i="6"/>
  <c r="S55" i="6"/>
  <c r="R55" i="6"/>
  <c r="O55" i="6"/>
  <c r="N55" i="6"/>
  <c r="M55" i="6"/>
  <c r="L55" i="6"/>
  <c r="K55" i="6"/>
  <c r="V54" i="6"/>
  <c r="U54" i="6"/>
  <c r="T54" i="6"/>
  <c r="S54" i="6"/>
  <c r="R54" i="6"/>
  <c r="O54" i="6"/>
  <c r="N54" i="6"/>
  <c r="M54" i="6"/>
  <c r="L54" i="6"/>
  <c r="K54" i="6"/>
  <c r="V53" i="6"/>
  <c r="U53" i="6"/>
  <c r="T53" i="6"/>
  <c r="S53" i="6"/>
  <c r="R53" i="6"/>
  <c r="O53" i="6"/>
  <c r="N53" i="6"/>
  <c r="M53" i="6"/>
  <c r="L53" i="6"/>
  <c r="K53" i="6"/>
  <c r="V52" i="6"/>
  <c r="U52" i="6"/>
  <c r="T52" i="6"/>
  <c r="S52" i="6"/>
  <c r="R52" i="6"/>
  <c r="O52" i="6"/>
  <c r="N52" i="6"/>
  <c r="M52" i="6"/>
  <c r="L52" i="6"/>
  <c r="K52" i="6"/>
  <c r="V51" i="6"/>
  <c r="U51" i="6"/>
  <c r="T51" i="6"/>
  <c r="S51" i="6"/>
  <c r="R51" i="6"/>
  <c r="O51" i="6"/>
  <c r="N51" i="6"/>
  <c r="M51" i="6"/>
  <c r="L51" i="6"/>
  <c r="K51" i="6"/>
  <c r="V50" i="6"/>
  <c r="U50" i="6"/>
  <c r="T50" i="6"/>
  <c r="S50" i="6"/>
  <c r="R50" i="6"/>
  <c r="O50" i="6"/>
  <c r="N50" i="6"/>
  <c r="M50" i="6"/>
  <c r="L50" i="6"/>
  <c r="K50" i="6"/>
  <c r="V49" i="6"/>
  <c r="U49" i="6"/>
  <c r="T49" i="6"/>
  <c r="S49" i="6"/>
  <c r="R49" i="6"/>
  <c r="O49" i="6"/>
  <c r="N49" i="6"/>
  <c r="M49" i="6"/>
  <c r="L49" i="6"/>
  <c r="K49" i="6"/>
  <c r="V48" i="6"/>
  <c r="U48" i="6"/>
  <c r="T48" i="6"/>
  <c r="S48" i="6"/>
  <c r="R48" i="6"/>
  <c r="O48" i="6"/>
  <c r="N48" i="6"/>
  <c r="M48" i="6"/>
  <c r="L48" i="6"/>
  <c r="K48" i="6"/>
  <c r="V47" i="6"/>
  <c r="U47" i="6"/>
  <c r="T47" i="6"/>
  <c r="S47" i="6"/>
  <c r="R47" i="6"/>
  <c r="O47" i="6"/>
  <c r="N47" i="6"/>
  <c r="M47" i="6"/>
  <c r="L47" i="6"/>
  <c r="K47" i="6"/>
  <c r="V46" i="6"/>
  <c r="U46" i="6"/>
  <c r="T46" i="6"/>
  <c r="S46" i="6"/>
  <c r="R46" i="6"/>
  <c r="O46" i="6"/>
  <c r="N46" i="6"/>
  <c r="M46" i="6"/>
  <c r="L46" i="6"/>
  <c r="K46" i="6"/>
  <c r="V45" i="6"/>
  <c r="U45" i="6"/>
  <c r="T45" i="6"/>
  <c r="S45" i="6"/>
  <c r="R45" i="6"/>
  <c r="O45" i="6"/>
  <c r="N45" i="6"/>
  <c r="M45" i="6"/>
  <c r="L45" i="6"/>
  <c r="K45" i="6"/>
  <c r="V44" i="6"/>
  <c r="U44" i="6"/>
  <c r="T44" i="6"/>
  <c r="S44" i="6"/>
  <c r="R44" i="6"/>
  <c r="O44" i="6"/>
  <c r="N44" i="6"/>
  <c r="M44" i="6"/>
  <c r="L44" i="6"/>
  <c r="K44" i="6"/>
  <c r="V43" i="6"/>
  <c r="U43" i="6"/>
  <c r="T43" i="6"/>
  <c r="S43" i="6"/>
  <c r="R43" i="6"/>
  <c r="O43" i="6"/>
  <c r="N43" i="6"/>
  <c r="M43" i="6"/>
  <c r="L43" i="6"/>
  <c r="K43" i="6"/>
  <c r="V42" i="6"/>
  <c r="U42" i="6"/>
  <c r="T42" i="6"/>
  <c r="S42" i="6"/>
  <c r="R42" i="6"/>
  <c r="O42" i="6"/>
  <c r="N42" i="6"/>
  <c r="M42" i="6"/>
  <c r="L42" i="6"/>
  <c r="K42" i="6"/>
  <c r="V41" i="6"/>
  <c r="U41" i="6"/>
  <c r="T41" i="6"/>
  <c r="S41" i="6"/>
  <c r="R41" i="6"/>
  <c r="O41" i="6"/>
  <c r="N41" i="6"/>
  <c r="M41" i="6"/>
  <c r="L41" i="6"/>
  <c r="K41" i="6"/>
  <c r="V40" i="6"/>
  <c r="U40" i="6"/>
  <c r="T40" i="6"/>
  <c r="S40" i="6"/>
  <c r="R40" i="6"/>
  <c r="O40" i="6"/>
  <c r="N40" i="6"/>
  <c r="M40" i="6"/>
  <c r="L40" i="6"/>
  <c r="K40" i="6"/>
  <c r="V39" i="6"/>
  <c r="U39" i="6"/>
  <c r="T39" i="6"/>
  <c r="S39" i="6"/>
  <c r="R39" i="6"/>
  <c r="O39" i="6"/>
  <c r="N39" i="6"/>
  <c r="M39" i="6"/>
  <c r="L39" i="6"/>
  <c r="K39" i="6"/>
  <c r="V38" i="6"/>
  <c r="U38" i="6"/>
  <c r="T38" i="6"/>
  <c r="S38" i="6"/>
  <c r="R38" i="6"/>
  <c r="O38" i="6"/>
  <c r="N38" i="6"/>
  <c r="M38" i="6"/>
  <c r="L38" i="6"/>
  <c r="K38" i="6"/>
  <c r="V37" i="6"/>
  <c r="U37" i="6"/>
  <c r="T37" i="6"/>
  <c r="S37" i="6"/>
  <c r="R37" i="6"/>
  <c r="O37" i="6"/>
  <c r="N37" i="6"/>
  <c r="M37" i="6"/>
  <c r="L37" i="6"/>
  <c r="K37" i="6"/>
  <c r="V36" i="6"/>
  <c r="U36" i="6"/>
  <c r="T36" i="6"/>
  <c r="S36" i="6"/>
  <c r="R36" i="6"/>
  <c r="O36" i="6"/>
  <c r="N36" i="6"/>
  <c r="M36" i="6"/>
  <c r="L36" i="6"/>
  <c r="K36" i="6"/>
  <c r="V35" i="6"/>
  <c r="U35" i="6"/>
  <c r="T35" i="6"/>
  <c r="S35" i="6"/>
  <c r="R35" i="6"/>
  <c r="O35" i="6"/>
  <c r="N35" i="6"/>
  <c r="M35" i="6"/>
  <c r="L35" i="6"/>
  <c r="K35" i="6"/>
  <c r="V34" i="6"/>
  <c r="U34" i="6"/>
  <c r="T34" i="6"/>
  <c r="S34" i="6"/>
  <c r="R34" i="6"/>
  <c r="O34" i="6"/>
  <c r="N34" i="6"/>
  <c r="M34" i="6"/>
  <c r="L34" i="6"/>
  <c r="K34" i="6"/>
  <c r="V33" i="6"/>
  <c r="U33" i="6"/>
  <c r="T33" i="6"/>
  <c r="S33" i="6"/>
  <c r="R33" i="6"/>
  <c r="O33" i="6"/>
  <c r="N33" i="6"/>
  <c r="M33" i="6"/>
  <c r="L33" i="6"/>
  <c r="K33" i="6"/>
  <c r="V32" i="6"/>
  <c r="U32" i="6"/>
  <c r="T32" i="6"/>
  <c r="S32" i="6"/>
  <c r="R32" i="6"/>
  <c r="O32" i="6"/>
  <c r="N32" i="6"/>
  <c r="M32" i="6"/>
  <c r="L32" i="6"/>
  <c r="K32" i="6"/>
  <c r="V31" i="6"/>
  <c r="U31" i="6"/>
  <c r="T31" i="6"/>
  <c r="S31" i="6"/>
  <c r="R31" i="6"/>
  <c r="O31" i="6"/>
  <c r="N31" i="6"/>
  <c r="M31" i="6"/>
  <c r="L31" i="6"/>
  <c r="K31" i="6"/>
  <c r="V30" i="6"/>
  <c r="U30" i="6"/>
  <c r="T30" i="6"/>
  <c r="S30" i="6"/>
  <c r="R30" i="6"/>
  <c r="O30" i="6"/>
  <c r="N30" i="6"/>
  <c r="M30" i="6"/>
  <c r="L30" i="6"/>
  <c r="K30" i="6"/>
  <c r="V29" i="6"/>
  <c r="U29" i="6"/>
  <c r="T29" i="6"/>
  <c r="S29" i="6"/>
  <c r="R29" i="6"/>
  <c r="O29" i="6"/>
  <c r="N29" i="6"/>
  <c r="M29" i="6"/>
  <c r="L29" i="6"/>
  <c r="K29" i="6"/>
  <c r="V28" i="6"/>
  <c r="U28" i="6"/>
  <c r="T28" i="6"/>
  <c r="S28" i="6"/>
  <c r="R28" i="6"/>
  <c r="O28" i="6"/>
  <c r="N28" i="6"/>
  <c r="M28" i="6"/>
  <c r="L28" i="6"/>
  <c r="K28" i="6"/>
  <c r="V27" i="6"/>
  <c r="U27" i="6"/>
  <c r="T27" i="6"/>
  <c r="S27" i="6"/>
  <c r="R27" i="6"/>
  <c r="O27" i="6"/>
  <c r="N27" i="6"/>
  <c r="M27" i="6"/>
  <c r="L27" i="6"/>
  <c r="K27" i="6"/>
  <c r="V26" i="6"/>
  <c r="U26" i="6"/>
  <c r="T26" i="6"/>
  <c r="S26" i="6"/>
  <c r="R26" i="6"/>
  <c r="O26" i="6"/>
  <c r="N26" i="6"/>
  <c r="M26" i="6"/>
  <c r="L26" i="6"/>
  <c r="K26" i="6"/>
  <c r="V25" i="6"/>
  <c r="U25" i="6"/>
  <c r="T25" i="6"/>
  <c r="S25" i="6"/>
  <c r="R25" i="6"/>
  <c r="O25" i="6"/>
  <c r="N25" i="6"/>
  <c r="M25" i="6"/>
  <c r="L25" i="6"/>
  <c r="K25" i="6"/>
  <c r="V24" i="6"/>
  <c r="U24" i="6"/>
  <c r="T24" i="6"/>
  <c r="S24" i="6"/>
  <c r="R24" i="6"/>
  <c r="O24" i="6"/>
  <c r="N24" i="6"/>
  <c r="M24" i="6"/>
  <c r="L24" i="6"/>
  <c r="K24" i="6"/>
  <c r="V23" i="6"/>
  <c r="U23" i="6"/>
  <c r="T23" i="6"/>
  <c r="S23" i="6"/>
  <c r="R23" i="6"/>
  <c r="O23" i="6"/>
  <c r="N23" i="6"/>
  <c r="M23" i="6"/>
  <c r="L23" i="6"/>
  <c r="K23" i="6"/>
  <c r="V22" i="6"/>
  <c r="U22" i="6"/>
  <c r="T22" i="6"/>
  <c r="S22" i="6"/>
  <c r="R22" i="6"/>
  <c r="O22" i="6"/>
  <c r="N22" i="6"/>
  <c r="M22" i="6"/>
  <c r="L22" i="6"/>
  <c r="K22" i="6"/>
  <c r="V21" i="6"/>
  <c r="U21" i="6"/>
  <c r="T21" i="6"/>
  <c r="S21" i="6"/>
  <c r="R21" i="6"/>
  <c r="O21" i="6"/>
  <c r="N21" i="6"/>
  <c r="M21" i="6"/>
  <c r="L21" i="6"/>
  <c r="K21" i="6"/>
  <c r="V20" i="6"/>
  <c r="U20" i="6"/>
  <c r="T20" i="6"/>
  <c r="S20" i="6"/>
  <c r="R20" i="6"/>
  <c r="O20" i="6"/>
  <c r="N20" i="6"/>
  <c r="M20" i="6"/>
  <c r="L20" i="6"/>
  <c r="K20" i="6"/>
  <c r="V19" i="6"/>
  <c r="U19" i="6"/>
  <c r="T19" i="6"/>
  <c r="S19" i="6"/>
  <c r="R19" i="6"/>
  <c r="O19" i="6"/>
  <c r="N19" i="6"/>
  <c r="M19" i="6"/>
  <c r="L19" i="6"/>
  <c r="K19" i="6"/>
  <c r="V18" i="6"/>
  <c r="U18" i="6"/>
  <c r="T18" i="6"/>
  <c r="S18" i="6"/>
  <c r="R18" i="6"/>
  <c r="O18" i="6"/>
  <c r="N18" i="6"/>
  <c r="M18" i="6"/>
  <c r="L18" i="6"/>
  <c r="K18" i="6"/>
  <c r="V17" i="6"/>
  <c r="U17" i="6"/>
  <c r="T17" i="6"/>
  <c r="S17" i="6"/>
  <c r="R17" i="6"/>
  <c r="O17" i="6"/>
  <c r="N17" i="6"/>
  <c r="M17" i="6"/>
  <c r="L17" i="6"/>
  <c r="K17" i="6"/>
  <c r="V16" i="6"/>
  <c r="U16" i="6"/>
  <c r="T16" i="6"/>
  <c r="S16" i="6"/>
  <c r="R16" i="6"/>
  <c r="O16" i="6"/>
  <c r="N16" i="6"/>
  <c r="M16" i="6"/>
  <c r="L16" i="6"/>
  <c r="K16" i="6"/>
  <c r="V15" i="6"/>
  <c r="U15" i="6"/>
  <c r="T15" i="6"/>
  <c r="S15" i="6"/>
  <c r="R15" i="6"/>
  <c r="O15" i="6"/>
  <c r="N15" i="6"/>
  <c r="M15" i="6"/>
  <c r="L15" i="6"/>
  <c r="K15" i="6"/>
  <c r="V14" i="6"/>
  <c r="U14" i="6"/>
  <c r="T14" i="6"/>
  <c r="S14" i="6"/>
  <c r="R14" i="6"/>
  <c r="O14" i="6"/>
  <c r="N14" i="6"/>
  <c r="M14" i="6"/>
  <c r="L14" i="6"/>
  <c r="K14" i="6"/>
  <c r="V13" i="6"/>
  <c r="U13" i="6"/>
  <c r="T13" i="6"/>
  <c r="S13" i="6"/>
  <c r="R13" i="6"/>
  <c r="O13" i="6"/>
  <c r="N13" i="6"/>
  <c r="M13" i="6"/>
  <c r="L13" i="6"/>
  <c r="K13" i="6"/>
  <c r="V12" i="6"/>
  <c r="U12" i="6"/>
  <c r="T12" i="6"/>
  <c r="S12" i="6"/>
  <c r="R12" i="6"/>
  <c r="O12" i="6"/>
  <c r="N12" i="6"/>
  <c r="M12" i="6"/>
  <c r="L12" i="6"/>
  <c r="K12" i="6"/>
  <c r="V11" i="6"/>
  <c r="U11" i="6"/>
  <c r="T11" i="6"/>
  <c r="S11" i="6"/>
  <c r="R11" i="6"/>
  <c r="O11" i="6"/>
  <c r="N11" i="6"/>
  <c r="M11" i="6"/>
  <c r="L11" i="6"/>
  <c r="K11" i="6"/>
  <c r="V10" i="6"/>
  <c r="U10" i="6"/>
  <c r="T10" i="6"/>
  <c r="S10" i="6"/>
  <c r="R10" i="6"/>
  <c r="O10" i="6"/>
  <c r="N10" i="6"/>
  <c r="M10" i="6"/>
  <c r="L10" i="6"/>
  <c r="K10" i="6"/>
  <c r="V9" i="6"/>
  <c r="U9" i="6"/>
  <c r="T9" i="6"/>
  <c r="S9" i="6"/>
  <c r="R9" i="6"/>
  <c r="O9" i="6"/>
  <c r="N9" i="6"/>
  <c r="M9" i="6"/>
  <c r="L9" i="6"/>
  <c r="K9" i="6"/>
  <c r="V8" i="6"/>
  <c r="U8" i="6"/>
  <c r="T8" i="6"/>
  <c r="S8" i="6"/>
  <c r="R8" i="6"/>
  <c r="O8" i="6"/>
  <c r="N8" i="6"/>
  <c r="M8" i="6"/>
  <c r="L8" i="6"/>
  <c r="K8" i="6"/>
  <c r="V7" i="6"/>
  <c r="U7" i="6"/>
  <c r="T7" i="6"/>
  <c r="S7" i="6"/>
  <c r="R7" i="6"/>
  <c r="O7" i="6"/>
  <c r="N7" i="6"/>
  <c r="M7" i="6"/>
  <c r="L7" i="6"/>
  <c r="K7" i="6"/>
  <c r="V6" i="6"/>
  <c r="U6" i="6"/>
  <c r="T6" i="6"/>
  <c r="S6" i="6"/>
  <c r="R6" i="6"/>
  <c r="O6" i="6"/>
  <c r="N6" i="6"/>
  <c r="M6" i="6"/>
  <c r="L6" i="6"/>
  <c r="K6" i="6"/>
  <c r="V5" i="6"/>
  <c r="U5" i="6"/>
  <c r="T5" i="6"/>
  <c r="S5" i="6"/>
  <c r="R5" i="6"/>
  <c r="O5" i="6"/>
  <c r="N5" i="6"/>
  <c r="M5" i="6"/>
  <c r="L5" i="6"/>
  <c r="K5" i="6"/>
  <c r="V4" i="6"/>
  <c r="U4" i="6"/>
  <c r="T4" i="6"/>
  <c r="S4" i="6"/>
  <c r="R4" i="6"/>
  <c r="O4" i="6"/>
  <c r="N4" i="6"/>
  <c r="M4" i="6"/>
  <c r="L4" i="6"/>
  <c r="K4" i="6"/>
</calcChain>
</file>

<file path=xl/sharedStrings.xml><?xml version="1.0" encoding="utf-8"?>
<sst xmlns="http://schemas.openxmlformats.org/spreadsheetml/2006/main" count="171" uniqueCount="105">
  <si>
    <t>天数</t>
    <phoneticPr fontId="1" type="noConversion"/>
  </si>
  <si>
    <t>非r</t>
    <phoneticPr fontId="1" type="noConversion"/>
  </si>
  <si>
    <t>小r</t>
    <phoneticPr fontId="1" type="noConversion"/>
  </si>
  <si>
    <t>超r</t>
    <phoneticPr fontId="1" type="noConversion"/>
  </si>
  <si>
    <t>,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</si>
  <si>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</si>
  <si>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</si>
  <si>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</si>
  <si>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</si>
  <si>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</si>
  <si>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</si>
  <si>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中r</t>
    <phoneticPr fontId="1" type="noConversion"/>
  </si>
  <si>
    <t>超r</t>
    <phoneticPr fontId="1" type="noConversion"/>
  </si>
  <si>
    <t>大殿等级</t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</si>
  <si>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</si>
  <si>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</si>
  <si>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</si>
  <si>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</si>
  <si>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</si>
  <si>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</si>
  <si>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</si>
  <si>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</si>
  <si>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</si>
  <si>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</si>
  <si>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</si>
  <si>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</si>
  <si>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黄金</t>
    <phoneticPr fontId="1" type="noConversion"/>
  </si>
  <si>
    <t>奖励价值</t>
    <phoneticPr fontId="1" type="noConversion"/>
  </si>
  <si>
    <t>一贯刀币</t>
    <phoneticPr fontId="1" type="noConversion"/>
  </si>
  <si>
    <t>设计说明：</t>
    <phoneticPr fontId="1" type="noConversion"/>
  </si>
  <si>
    <t>1、一共10个段位，由积分划分段位，最后一个段位无积分上限</t>
    <phoneticPr fontId="1" type="noConversion"/>
  </si>
  <si>
    <t>4、段位奖励为一次性奖励，奖励价值低，排名奖励极高</t>
    <phoneticPr fontId="1" type="noConversion"/>
  </si>
  <si>
    <t>段位</t>
    <phoneticPr fontId="1" type="noConversion"/>
  </si>
  <si>
    <t>命名</t>
    <phoneticPr fontId="1" type="noConversion"/>
  </si>
  <si>
    <t>小卒</t>
  </si>
  <si>
    <t>伍长</t>
  </si>
  <si>
    <t>什长</t>
  </si>
  <si>
    <t>百夫长</t>
  </si>
  <si>
    <t>小都统</t>
  </si>
  <si>
    <t>大都统</t>
  </si>
  <si>
    <t>偏将</t>
  </si>
  <si>
    <t>正将</t>
  </si>
  <si>
    <t>副将军</t>
  </si>
  <si>
    <t>正将军</t>
  </si>
  <si>
    <t>2、每场战斗控制在5分钟以内（从匹配开始到结算）</t>
    <phoneticPr fontId="1" type="noConversion"/>
  </si>
  <si>
    <t>5、战斗奖励目前只设计积分</t>
    <phoneticPr fontId="1" type="noConversion"/>
  </si>
  <si>
    <t>每日极限战斗次数=</t>
    <phoneticPr fontId="1" type="noConversion"/>
  </si>
  <si>
    <t>场</t>
    <phoneticPr fontId="1" type="noConversion"/>
  </si>
  <si>
    <t>排名</t>
    <phoneticPr fontId="1" type="noConversion"/>
  </si>
  <si>
    <t>排名下限</t>
    <phoneticPr fontId="1" type="noConversion"/>
  </si>
  <si>
    <t>排名上限</t>
    <phoneticPr fontId="1" type="noConversion"/>
  </si>
  <si>
    <t>奖励钻石</t>
    <phoneticPr fontId="1" type="noConversion"/>
  </si>
  <si>
    <t>胜利得分</t>
    <phoneticPr fontId="1" type="noConversion"/>
  </si>
  <si>
    <t>失败得分</t>
    <phoneticPr fontId="1" type="noConversion"/>
  </si>
  <si>
    <t>段位标准分</t>
    <phoneticPr fontId="1" type="noConversion"/>
  </si>
  <si>
    <t>累计达成天数</t>
    <phoneticPr fontId="1" type="noConversion"/>
  </si>
  <si>
    <t>段位分（美化）</t>
    <phoneticPr fontId="1" type="noConversion"/>
  </si>
  <si>
    <t>奖励1</t>
    <phoneticPr fontId="1" type="noConversion"/>
  </si>
  <si>
    <t>数值</t>
    <phoneticPr fontId="1" type="noConversion"/>
  </si>
  <si>
    <t>奖励2</t>
  </si>
  <si>
    <t>奖励3</t>
  </si>
  <si>
    <t>高级经验书</t>
    <phoneticPr fontId="1" type="noConversion"/>
  </si>
  <si>
    <t>中级经验书</t>
    <phoneticPr fontId="1" type="noConversion"/>
  </si>
  <si>
    <t>特级经验书</t>
    <phoneticPr fontId="1" type="noConversion"/>
  </si>
  <si>
    <t>一吊刀币</t>
    <phoneticPr fontId="1" type="noConversion"/>
  </si>
  <si>
    <t>初级经验书</t>
    <phoneticPr fontId="1" type="noConversion"/>
  </si>
  <si>
    <t>一袋刀币</t>
    <phoneticPr fontId="1" type="noConversion"/>
  </si>
  <si>
    <t>武将品质</t>
    <phoneticPr fontId="1" type="noConversion"/>
  </si>
  <si>
    <t>战斗奖励</t>
    <phoneticPr fontId="1" type="noConversion"/>
  </si>
  <si>
    <t>通过GM控制开放情况</t>
    <phoneticPr fontId="1" type="noConversion"/>
  </si>
  <si>
    <t>战斗胜利或失败</t>
    <phoneticPr fontId="1" type="noConversion"/>
  </si>
  <si>
    <t>每日领取次数</t>
    <phoneticPr fontId="1" type="noConversion"/>
  </si>
  <si>
    <t>每月开放一轮</t>
    <phoneticPr fontId="1" type="noConversion"/>
  </si>
  <si>
    <t>累计价值</t>
    <phoneticPr fontId="1" type="noConversion"/>
  </si>
  <si>
    <t>6、该活动每月定价值=</t>
    <phoneticPr fontId="1" type="noConversion"/>
  </si>
  <si>
    <t>，排名奖励不计入</t>
    <phoneticPr fontId="1" type="noConversion"/>
  </si>
  <si>
    <t>总价值/月</t>
    <phoneticPr fontId="1" type="noConversion"/>
  </si>
  <si>
    <t>消耗统御值</t>
  </si>
  <si>
    <t>1、设计3档统御值及对应的武将数量，每档均为18个武将</t>
    <phoneticPr fontId="1" type="noConversion"/>
  </si>
  <si>
    <t>档位1</t>
    <phoneticPr fontId="1" type="noConversion"/>
  </si>
  <si>
    <t>档位2</t>
  </si>
  <si>
    <t>档位3</t>
  </si>
  <si>
    <t>档位4</t>
  </si>
  <si>
    <t>档位5</t>
  </si>
  <si>
    <t>档位6</t>
  </si>
  <si>
    <t>档位7</t>
  </si>
  <si>
    <t>档位8</t>
  </si>
  <si>
    <t>档位9</t>
  </si>
  <si>
    <t>档位10</t>
  </si>
  <si>
    <t>统御值上限</t>
    <phoneticPr fontId="1" type="noConversion"/>
  </si>
  <si>
    <t>统御档位</t>
    <phoneticPr fontId="1" type="noConversion"/>
  </si>
  <si>
    <t>可选择武将数量/每轮匹配</t>
    <phoneticPr fontId="1" type="noConversion"/>
  </si>
  <si>
    <t>统御值计算</t>
    <phoneticPr fontId="1" type="noConversion"/>
  </si>
  <si>
    <t>排名上限</t>
  </si>
  <si>
    <t>排名下限</t>
  </si>
  <si>
    <t>奖励钻石</t>
  </si>
  <si>
    <t>3、每轮持续1个月，开放时间为每日11~12点和19~20点</t>
    <phoneticPr fontId="1" type="noConversion"/>
  </si>
  <si>
    <t>奖励人民币</t>
    <phoneticPr fontId="1" type="noConversion"/>
  </si>
  <si>
    <t>奖励二选一</t>
    <phoneticPr fontId="1" type="noConversion"/>
  </si>
  <si>
    <t>韩文版奖励</t>
    <phoneticPr fontId="1" type="noConversion"/>
  </si>
  <si>
    <t>韩文版奖励</t>
    <phoneticPr fontId="1" type="noConversion"/>
  </si>
  <si>
    <t>普通资源自选宝箱</t>
    <phoneticPr fontId="1" type="noConversion"/>
  </si>
  <si>
    <t>简体正式版（2023.2.18）</t>
    <phoneticPr fontId="1" type="noConversion"/>
  </si>
  <si>
    <t>价值</t>
    <phoneticPr fontId="1" type="noConversion"/>
  </si>
  <si>
    <t>极品兵法碎片自选宝箱·二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</si>
</sst>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BN4">
            <v>1200</v>
          </cell>
        </row>
      </sheetData>
      <sheetData sheetId="5">
        <row r="6">
          <cell r="C6">
            <v>3338.8491835815353</v>
          </cell>
        </row>
      </sheetData>
      <sheetData sheetId="6"/>
      <sheetData sheetId="7"/>
      <sheetData sheetId="8">
        <row r="1">
          <cell r="AD1">
            <v>1000</v>
          </cell>
        </row>
      </sheetData>
      <sheetData sheetId="9">
        <row r="6">
          <cell r="S6">
            <v>9.6742603922662582E-3</v>
          </cell>
        </row>
      </sheetData>
      <sheetData sheetId="10">
        <row r="5">
          <cell r="M5">
            <v>1</v>
          </cell>
        </row>
      </sheetData>
      <sheetData sheetId="11">
        <row r="1">
          <cell r="CW1">
            <v>600</v>
          </cell>
        </row>
      </sheetData>
      <sheetData sheetId="12">
        <row r="5">
          <cell r="AJ5">
            <v>13341</v>
          </cell>
        </row>
      </sheetData>
      <sheetData sheetId="13"/>
      <sheetData sheetId="14"/>
      <sheetData sheetId="15">
        <row r="6">
          <cell r="T6">
            <v>1</v>
          </cell>
        </row>
      </sheetData>
      <sheetData sheetId="16"/>
      <sheetData sheetId="17"/>
      <sheetData sheetId="18">
        <row r="3">
          <cell r="C3"/>
        </row>
      </sheetData>
      <sheetData sheetId="19">
        <row r="6">
          <cell r="X6">
            <v>8000</v>
          </cell>
        </row>
      </sheetData>
      <sheetData sheetId="20">
        <row r="6">
          <cell r="C6">
            <v>8101.855770630802</v>
          </cell>
        </row>
      </sheetData>
      <sheetData sheetId="21">
        <row r="6">
          <cell r="AI6">
            <v>1</v>
          </cell>
        </row>
      </sheetData>
      <sheetData sheetId="22">
        <row r="6">
          <cell r="C6">
            <v>1</v>
          </cell>
        </row>
      </sheetData>
      <sheetData sheetId="23">
        <row r="5">
          <cell r="X5">
            <v>1</v>
          </cell>
        </row>
      </sheetData>
      <sheetData sheetId="24">
        <row r="6">
          <cell r="C6">
            <v>5.3769489718733937E-3</v>
          </cell>
        </row>
      </sheetData>
      <sheetData sheetId="25"/>
      <sheetData sheetId="26">
        <row r="4">
          <cell r="K4">
            <v>1</v>
          </cell>
        </row>
      </sheetData>
      <sheetData sheetId="27"/>
      <sheetData sheetId="28">
        <row r="5">
          <cell r="BL5">
            <v>0.56411010564593278</v>
          </cell>
        </row>
      </sheetData>
      <sheetData sheetId="29">
        <row r="3">
          <cell r="P3">
            <v>5</v>
          </cell>
        </row>
      </sheetData>
      <sheetData sheetId="30">
        <row r="5">
          <cell r="BC5">
            <v>200000</v>
          </cell>
        </row>
      </sheetData>
      <sheetData sheetId="31">
        <row r="5">
          <cell r="J5">
            <v>1</v>
          </cell>
        </row>
      </sheetData>
      <sheetData sheetId="32">
        <row r="13">
          <cell r="C13">
            <v>5</v>
          </cell>
        </row>
      </sheetData>
      <sheetData sheetId="33"/>
      <sheetData sheetId="34"/>
      <sheetData sheetId="35">
        <row r="5">
          <cell r="BJ5">
            <v>3000</v>
          </cell>
        </row>
      </sheetData>
      <sheetData sheetId="36">
        <row r="5">
          <cell r="AB5">
            <v>3100.6135815678631</v>
          </cell>
        </row>
      </sheetData>
      <sheetData sheetId="37">
        <row r="6">
          <cell r="CS6">
            <v>1800.0000000000005</v>
          </cell>
        </row>
      </sheetData>
      <sheetData sheetId="38"/>
      <sheetData sheetId="39"/>
      <sheetData sheetId="40"/>
      <sheetData sheetId="41"/>
      <sheetData sheetId="42">
        <row r="4">
          <cell r="V4">
            <v>48</v>
          </cell>
        </row>
      </sheetData>
      <sheetData sheetId="43"/>
      <sheetData sheetId="44">
        <row r="4">
          <cell r="C4">
            <v>0</v>
          </cell>
        </row>
      </sheetData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6552.6677404559396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1286.2045615471407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526.54062836196033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3154.4832610096737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3395.1118588375975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135.51397311474921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135.51397311474921</v>
          </cell>
        </row>
        <row r="13">
          <cell r="D13" t="str">
            <v>粮食</v>
          </cell>
          <cell r="E13">
            <v>1.5532347911031258E-4</v>
          </cell>
          <cell r="F13">
            <v>1</v>
          </cell>
          <cell r="G13">
            <v>1</v>
          </cell>
          <cell r="H13">
            <v>0.5</v>
          </cell>
          <cell r="I13">
            <v>1.5532347911031258E-4</v>
          </cell>
          <cell r="J13">
            <v>1.5532347911031258E-4</v>
          </cell>
          <cell r="K13">
            <v>7.7661739555156292E-5</v>
          </cell>
          <cell r="P13" t="str">
            <v>铜矿产出加速/天</v>
          </cell>
          <cell r="Q13">
            <v>135.51397311474921</v>
          </cell>
        </row>
        <row r="14">
          <cell r="D14" t="str">
            <v>木材</v>
          </cell>
          <cell r="E14">
            <v>1.5532347911031258E-4</v>
          </cell>
          <cell r="F14">
            <v>1</v>
          </cell>
          <cell r="G14">
            <v>1</v>
          </cell>
          <cell r="H14">
            <v>0.5</v>
          </cell>
          <cell r="I14">
            <v>1.5532347911031258E-4</v>
          </cell>
          <cell r="J14">
            <v>1.5532347911031258E-4</v>
          </cell>
          <cell r="K14">
            <v>7.7661739555156292E-5</v>
          </cell>
          <cell r="P14" t="str">
            <v>粮食产出加速/天</v>
          </cell>
          <cell r="Q14">
            <v>135.51397311474921</v>
          </cell>
        </row>
        <row r="15">
          <cell r="D15" t="str">
            <v>石料</v>
          </cell>
          <cell r="E15">
            <v>1.5532347911031258E-4</v>
          </cell>
          <cell r="F15">
            <v>1</v>
          </cell>
          <cell r="G15">
            <v>1</v>
          </cell>
          <cell r="H15">
            <v>0.5</v>
          </cell>
          <cell r="I15">
            <v>1.5532347911031258E-4</v>
          </cell>
          <cell r="J15">
            <v>1.5532347911031258E-4</v>
          </cell>
          <cell r="K15">
            <v>7.7661739555156292E-5</v>
          </cell>
          <cell r="P15" t="str">
            <v>铁矿产出加速/天</v>
          </cell>
          <cell r="Q15">
            <v>203.27095967212384</v>
          </cell>
        </row>
        <row r="16">
          <cell r="D16" t="str">
            <v>铜矿</v>
          </cell>
          <cell r="E16">
            <v>1.5532347911031258E-4</v>
          </cell>
          <cell r="F16">
            <v>1</v>
          </cell>
          <cell r="G16">
            <v>1</v>
          </cell>
          <cell r="H16">
            <v>0.5</v>
          </cell>
          <cell r="I16">
            <v>1.5532347911031258E-4</v>
          </cell>
          <cell r="J16">
            <v>1.5532347911031258E-4</v>
          </cell>
          <cell r="K16">
            <v>7.7661739555156292E-5</v>
          </cell>
          <cell r="P16" t="str">
            <v>刀币产出加速/天</v>
          </cell>
          <cell r="Q16">
            <v>1054.300188289244</v>
          </cell>
        </row>
        <row r="17">
          <cell r="D17" t="str">
            <v>铁矿</v>
          </cell>
          <cell r="E17">
            <v>3.5830057803451569E-4</v>
          </cell>
          <cell r="F17">
            <v>1</v>
          </cell>
          <cell r="G17">
            <v>1</v>
          </cell>
          <cell r="H17">
            <v>0.5</v>
          </cell>
          <cell r="I17">
            <v>3.5830057803451569E-4</v>
          </cell>
          <cell r="J17">
            <v>3.5830057803451569E-4</v>
          </cell>
          <cell r="K17">
            <v>1.7915028901725784E-4</v>
          </cell>
          <cell r="P17" t="str">
            <v>木材采集加速/天</v>
          </cell>
          <cell r="Q17">
            <v>189.98875225679629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189.98875225679629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189.98875225679629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189.98875225679629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284.98312838519439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  <cell r="P37"/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  <cell r="P38"/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0.1</v>
          </cell>
          <cell r="I67">
            <v>4500</v>
          </cell>
          <cell r="J67">
            <v>4500</v>
          </cell>
          <cell r="K67">
            <v>600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0.1</v>
          </cell>
          <cell r="I68">
            <v>12000</v>
          </cell>
          <cell r="J68">
            <v>12000</v>
          </cell>
          <cell r="K68">
            <v>1600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0.2</v>
          </cell>
          <cell r="I69">
            <v>225000</v>
          </cell>
          <cell r="J69">
            <v>225000</v>
          </cell>
          <cell r="K69">
            <v>30000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0.02</v>
          </cell>
          <cell r="I70">
            <v>2400.0000000000005</v>
          </cell>
          <cell r="J70">
            <v>2400.0000000000005</v>
          </cell>
          <cell r="K70">
            <v>320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0.05</v>
          </cell>
          <cell r="I71">
            <v>6000</v>
          </cell>
          <cell r="J71">
            <v>6000</v>
          </cell>
          <cell r="K71">
            <v>800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D90" t="str">
            <v>随机极兵法碎片</v>
          </cell>
          <cell r="E90">
            <v>305.5</v>
          </cell>
          <cell r="F90">
            <v>1</v>
          </cell>
          <cell r="G90">
            <v>1</v>
          </cell>
          <cell r="H90">
            <v>1</v>
          </cell>
          <cell r="I90">
            <v>305.5</v>
          </cell>
          <cell r="J90">
            <v>305.5</v>
          </cell>
          <cell r="K90">
            <v>305.5</v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C125"/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C126"/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C127"/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C131"/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C132"/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C133"/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D155" t="str">
            <v>优质兵装自选碎片</v>
          </cell>
          <cell r="E155">
            <v>66.666666666666671</v>
          </cell>
          <cell r="F155">
            <v>1</v>
          </cell>
          <cell r="G155">
            <v>1</v>
          </cell>
          <cell r="H155">
            <v>0.2</v>
          </cell>
          <cell r="I155">
            <v>66.666666666666671</v>
          </cell>
          <cell r="J155">
            <v>66.666666666666671</v>
          </cell>
          <cell r="K155">
            <v>13.333333333333336</v>
          </cell>
        </row>
        <row r="156">
          <cell r="D156" t="str">
            <v>珍稀兵装自选碎片</v>
          </cell>
          <cell r="E156">
            <v>133.33333333333334</v>
          </cell>
          <cell r="F156">
            <v>1</v>
          </cell>
          <cell r="G156">
            <v>1</v>
          </cell>
          <cell r="H156">
            <v>1</v>
          </cell>
          <cell r="I156">
            <v>133.33333333333334</v>
          </cell>
          <cell r="J156">
            <v>133.33333333333334</v>
          </cell>
          <cell r="K156">
            <v>133.33333333333334</v>
          </cell>
        </row>
        <row r="157">
          <cell r="D157" t="str">
            <v>传世兵装自选碎片</v>
          </cell>
          <cell r="E157">
            <v>120</v>
          </cell>
          <cell r="F157">
            <v>1</v>
          </cell>
          <cell r="G157">
            <v>1</v>
          </cell>
          <cell r="H157">
            <v>1</v>
          </cell>
          <cell r="I157">
            <v>120</v>
          </cell>
          <cell r="J157">
            <v>120</v>
          </cell>
          <cell r="K157">
            <v>120</v>
          </cell>
        </row>
        <row r="158">
          <cell r="D158" t="str">
            <v>传奇兵装自选碎片</v>
          </cell>
          <cell r="E158">
            <v>600</v>
          </cell>
          <cell r="F158">
            <v>1</v>
          </cell>
          <cell r="G158">
            <v>1</v>
          </cell>
          <cell r="H158">
            <v>1</v>
          </cell>
          <cell r="I158">
            <v>600</v>
          </cell>
          <cell r="J158">
            <v>600</v>
          </cell>
          <cell r="K158">
            <v>600</v>
          </cell>
        </row>
        <row r="159">
          <cell r="I159" t="str">
            <v/>
          </cell>
          <cell r="J159" t="str">
            <v/>
          </cell>
          <cell r="K159" t="str">
            <v/>
          </cell>
        </row>
        <row r="160">
          <cell r="D160" t="str">
            <v>随机紫色藏品</v>
          </cell>
          <cell r="E160">
            <v>300</v>
          </cell>
          <cell r="F160">
            <v>1</v>
          </cell>
          <cell r="G160">
            <v>1</v>
          </cell>
          <cell r="H160">
            <v>1</v>
          </cell>
          <cell r="I160">
            <v>300</v>
          </cell>
          <cell r="J160">
            <v>300</v>
          </cell>
          <cell r="K160">
            <v>300</v>
          </cell>
        </row>
        <row r="161">
          <cell r="D161" t="str">
            <v>随机橙色藏品</v>
          </cell>
          <cell r="E161">
            <v>1000</v>
          </cell>
          <cell r="F161">
            <v>1</v>
          </cell>
          <cell r="G161">
            <v>1</v>
          </cell>
          <cell r="H161">
            <v>1</v>
          </cell>
          <cell r="I161">
            <v>1000</v>
          </cell>
          <cell r="J161">
            <v>1000</v>
          </cell>
          <cell r="K161">
            <v>1000</v>
          </cell>
        </row>
        <row r="162">
          <cell r="D162" t="str">
            <v>随机红色藏品</v>
          </cell>
          <cell r="E162">
            <v>5000</v>
          </cell>
          <cell r="F162">
            <v>1</v>
          </cell>
          <cell r="G162">
            <v>1</v>
          </cell>
          <cell r="H162">
            <v>1</v>
          </cell>
          <cell r="I162">
            <v>5000</v>
          </cell>
          <cell r="J162">
            <v>5000</v>
          </cell>
          <cell r="K162">
            <v>5000</v>
          </cell>
        </row>
        <row r="163">
          <cell r="D163" t="str">
            <v>指定紫色藏品</v>
          </cell>
          <cell r="E163">
            <v>1331</v>
          </cell>
          <cell r="F163">
            <v>1</v>
          </cell>
          <cell r="G163">
            <v>1</v>
          </cell>
          <cell r="H163">
            <v>1</v>
          </cell>
          <cell r="I163">
            <v>1331</v>
          </cell>
          <cell r="J163">
            <v>1331</v>
          </cell>
          <cell r="K163">
            <v>1331</v>
          </cell>
        </row>
        <row r="164">
          <cell r="D164" t="str">
            <v>指定橙色藏品</v>
          </cell>
          <cell r="E164">
            <v>13971</v>
          </cell>
          <cell r="F164">
            <v>1</v>
          </cell>
          <cell r="G164">
            <v>1</v>
          </cell>
          <cell r="H164">
            <v>1</v>
          </cell>
          <cell r="I164">
            <v>13971</v>
          </cell>
          <cell r="J164">
            <v>13971</v>
          </cell>
          <cell r="K164">
            <v>13971</v>
          </cell>
        </row>
        <row r="165">
          <cell r="D165" t="str">
            <v>指定红色藏品</v>
          </cell>
          <cell r="E165">
            <v>238993</v>
          </cell>
          <cell r="F165">
            <v>1</v>
          </cell>
          <cell r="G165">
            <v>1</v>
          </cell>
          <cell r="H165">
            <v>1</v>
          </cell>
          <cell r="I165">
            <v>238993</v>
          </cell>
          <cell r="J165">
            <v>238993</v>
          </cell>
          <cell r="K165">
            <v>238993</v>
          </cell>
        </row>
        <row r="166">
          <cell r="D166" t="str">
            <v>藏品币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</row>
        <row r="167">
          <cell r="I167" t="str">
            <v/>
          </cell>
          <cell r="J167" t="str">
            <v/>
          </cell>
          <cell r="K167" t="str">
            <v/>
          </cell>
        </row>
        <row r="168">
          <cell r="D168" t="str">
            <v>门客经验</v>
          </cell>
          <cell r="E168">
            <v>3</v>
          </cell>
          <cell r="F168">
            <v>1</v>
          </cell>
          <cell r="G168">
            <v>1</v>
          </cell>
          <cell r="H168">
            <v>1</v>
          </cell>
          <cell r="I168">
            <v>3</v>
          </cell>
          <cell r="J168">
            <v>3</v>
          </cell>
          <cell r="K168">
            <v>3</v>
          </cell>
        </row>
        <row r="169">
          <cell r="D169" t="str">
            <v>阅历-懵懂</v>
          </cell>
          <cell r="E169">
            <v>3</v>
          </cell>
          <cell r="F169">
            <v>1</v>
          </cell>
          <cell r="G169">
            <v>1</v>
          </cell>
          <cell r="H169">
            <v>1</v>
          </cell>
          <cell r="I169">
            <v>3</v>
          </cell>
          <cell r="J169">
            <v>3</v>
          </cell>
          <cell r="K169">
            <v>3</v>
          </cell>
        </row>
        <row r="170">
          <cell r="D170" t="str">
            <v>阅历-机敏</v>
          </cell>
          <cell r="E170">
            <v>30</v>
          </cell>
          <cell r="F170">
            <v>1</v>
          </cell>
          <cell r="G170">
            <v>1</v>
          </cell>
          <cell r="H170">
            <v>1</v>
          </cell>
          <cell r="I170">
            <v>30</v>
          </cell>
          <cell r="J170">
            <v>30</v>
          </cell>
          <cell r="K170">
            <v>30</v>
          </cell>
        </row>
        <row r="171">
          <cell r="D171" t="str">
            <v>阅历-入世</v>
          </cell>
          <cell r="E171">
            <v>150</v>
          </cell>
          <cell r="F171">
            <v>1</v>
          </cell>
          <cell r="G171">
            <v>1</v>
          </cell>
          <cell r="H171">
            <v>1</v>
          </cell>
          <cell r="I171">
            <v>150</v>
          </cell>
          <cell r="J171">
            <v>150</v>
          </cell>
          <cell r="K171">
            <v>150</v>
          </cell>
        </row>
        <row r="172">
          <cell r="D172" t="str">
            <v>阅历-闻达</v>
          </cell>
          <cell r="E172">
            <v>300</v>
          </cell>
          <cell r="F172">
            <v>1</v>
          </cell>
          <cell r="G172">
            <v>1</v>
          </cell>
          <cell r="H172">
            <v>1</v>
          </cell>
          <cell r="I172">
            <v>300</v>
          </cell>
          <cell r="J172">
            <v>300</v>
          </cell>
          <cell r="K172">
            <v>300</v>
          </cell>
        </row>
        <row r="173">
          <cell r="D173" t="str">
            <v>阅历-出世</v>
          </cell>
          <cell r="E173">
            <v>3000</v>
          </cell>
          <cell r="F173">
            <v>1</v>
          </cell>
          <cell r="G173">
            <v>1</v>
          </cell>
          <cell r="H173">
            <v>1</v>
          </cell>
          <cell r="I173">
            <v>3000</v>
          </cell>
          <cell r="J173">
            <v>3000</v>
          </cell>
          <cell r="K173">
            <v>3000</v>
          </cell>
        </row>
        <row r="174">
          <cell r="I174" t="str">
            <v/>
          </cell>
          <cell r="J174" t="str">
            <v/>
          </cell>
          <cell r="K174" t="str">
            <v/>
          </cell>
        </row>
        <row r="175">
          <cell r="D175" t="str">
            <v>随机橙色门客碎片</v>
          </cell>
          <cell r="E175">
            <v>266.66666666666669</v>
          </cell>
          <cell r="F175">
            <v>1</v>
          </cell>
          <cell r="G175">
            <v>1</v>
          </cell>
          <cell r="H175">
            <v>1</v>
          </cell>
          <cell r="I175">
            <v>266.66666666666669</v>
          </cell>
          <cell r="J175">
            <v>266.66666666666669</v>
          </cell>
          <cell r="K175">
            <v>266.66666666666669</v>
          </cell>
        </row>
        <row r="176">
          <cell r="D176" t="str">
            <v>随机红色门客碎片</v>
          </cell>
          <cell r="E176">
            <v>400</v>
          </cell>
          <cell r="F176">
            <v>1</v>
          </cell>
          <cell r="G176">
            <v>1</v>
          </cell>
          <cell r="H176">
            <v>1</v>
          </cell>
          <cell r="I176">
            <v>400</v>
          </cell>
          <cell r="J176">
            <v>400</v>
          </cell>
          <cell r="K176">
            <v>400</v>
          </cell>
        </row>
        <row r="177">
          <cell r="I177" t="str">
            <v/>
          </cell>
          <cell r="J177" t="str">
            <v/>
          </cell>
          <cell r="K177" t="str">
            <v/>
          </cell>
        </row>
        <row r="178">
          <cell r="D178" t="str">
            <v>育马券</v>
          </cell>
          <cell r="E178">
            <v>1</v>
          </cell>
          <cell r="F178">
            <v>1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</row>
        <row r="179">
          <cell r="D179" t="str">
            <v>荣誉马徽</v>
          </cell>
          <cell r="E179">
            <v>10</v>
          </cell>
          <cell r="F179">
            <v>1</v>
          </cell>
          <cell r="G179">
            <v>1</v>
          </cell>
          <cell r="H179">
            <v>1</v>
          </cell>
          <cell r="I179">
            <v>10</v>
          </cell>
          <cell r="J179">
            <v>10</v>
          </cell>
          <cell r="K179">
            <v>10</v>
          </cell>
        </row>
        <row r="180">
          <cell r="D180" t="str">
            <v>绿色马匹</v>
          </cell>
          <cell r="E180">
            <v>50</v>
          </cell>
          <cell r="F180">
            <v>1</v>
          </cell>
          <cell r="G180">
            <v>1</v>
          </cell>
          <cell r="H180">
            <v>1</v>
          </cell>
          <cell r="I180">
            <v>50</v>
          </cell>
          <cell r="J180">
            <v>50</v>
          </cell>
          <cell r="K180">
            <v>50</v>
          </cell>
        </row>
        <row r="181">
          <cell r="D181" t="str">
            <v>蓝色马匹</v>
          </cell>
          <cell r="E181">
            <v>150</v>
          </cell>
          <cell r="F181">
            <v>1</v>
          </cell>
          <cell r="G181">
            <v>1</v>
          </cell>
          <cell r="H181">
            <v>1</v>
          </cell>
          <cell r="I181">
            <v>150</v>
          </cell>
          <cell r="J181">
            <v>150</v>
          </cell>
          <cell r="K181">
            <v>150</v>
          </cell>
        </row>
        <row r="182">
          <cell r="D182" t="str">
            <v>紫色马匹</v>
          </cell>
          <cell r="E182">
            <v>500</v>
          </cell>
          <cell r="F182">
            <v>1</v>
          </cell>
          <cell r="G182">
            <v>1</v>
          </cell>
          <cell r="H182">
            <v>1</v>
          </cell>
          <cell r="I182">
            <v>500</v>
          </cell>
          <cell r="J182">
            <v>500</v>
          </cell>
          <cell r="K182">
            <v>500</v>
          </cell>
        </row>
        <row r="183">
          <cell r="D183" t="str">
            <v>橙色马匹</v>
          </cell>
          <cell r="E183">
            <v>2000</v>
          </cell>
          <cell r="F183">
            <v>1</v>
          </cell>
          <cell r="G183">
            <v>1</v>
          </cell>
          <cell r="H183">
            <v>1</v>
          </cell>
          <cell r="I183">
            <v>2000</v>
          </cell>
          <cell r="J183">
            <v>2000</v>
          </cell>
          <cell r="K183">
            <v>2000</v>
          </cell>
        </row>
        <row r="184">
          <cell r="D184" t="str">
            <v>红色马匹</v>
          </cell>
          <cell r="E184">
            <v>8000</v>
          </cell>
          <cell r="F184">
            <v>1</v>
          </cell>
          <cell r="G184">
            <v>1</v>
          </cell>
          <cell r="H184">
            <v>1</v>
          </cell>
          <cell r="I184">
            <v>8000</v>
          </cell>
          <cell r="J184">
            <v>8000</v>
          </cell>
          <cell r="K184">
            <v>8000</v>
          </cell>
        </row>
        <row r="185">
          <cell r="D185" t="str">
            <v>紫色马匹碎片</v>
          </cell>
          <cell r="E185">
            <v>50</v>
          </cell>
          <cell r="F185">
            <v>1</v>
          </cell>
          <cell r="G185">
            <v>1</v>
          </cell>
          <cell r="H185">
            <v>1</v>
          </cell>
          <cell r="I185">
            <v>50</v>
          </cell>
          <cell r="J185">
            <v>50</v>
          </cell>
          <cell r="K185">
            <v>50</v>
          </cell>
        </row>
        <row r="186">
          <cell r="D186" t="str">
            <v>橙色马匹碎片</v>
          </cell>
          <cell r="E186">
            <v>66.666666666666671</v>
          </cell>
          <cell r="F186">
            <v>1</v>
          </cell>
          <cell r="G186">
            <v>1</v>
          </cell>
          <cell r="H186">
            <v>1</v>
          </cell>
          <cell r="I186">
            <v>66.666666666666671</v>
          </cell>
          <cell r="J186">
            <v>66.666666666666671</v>
          </cell>
          <cell r="K186">
            <v>66.666666666666671</v>
          </cell>
        </row>
        <row r="187">
          <cell r="D187" t="str">
            <v>红色马匹碎片</v>
          </cell>
          <cell r="E187">
            <v>160</v>
          </cell>
          <cell r="F187">
            <v>1</v>
          </cell>
          <cell r="G187">
            <v>1</v>
          </cell>
          <cell r="H187">
            <v>1</v>
          </cell>
          <cell r="I187">
            <v>160</v>
          </cell>
          <cell r="J187">
            <v>160</v>
          </cell>
          <cell r="K187">
            <v>160</v>
          </cell>
        </row>
        <row r="188">
          <cell r="I188" t="str">
            <v/>
          </cell>
          <cell r="J188" t="str">
            <v/>
          </cell>
          <cell r="K188" t="str">
            <v/>
          </cell>
        </row>
        <row r="189">
          <cell r="D189" t="str">
            <v>140指定天赋点</v>
          </cell>
          <cell r="E189">
            <v>4320</v>
          </cell>
          <cell r="F189">
            <v>1</v>
          </cell>
          <cell r="G189">
            <v>1</v>
          </cell>
          <cell r="H189">
            <v>1</v>
          </cell>
          <cell r="I189">
            <v>4320</v>
          </cell>
          <cell r="J189">
            <v>4320</v>
          </cell>
          <cell r="K189">
            <v>4320</v>
          </cell>
        </row>
        <row r="190">
          <cell r="I190" t="str">
            <v/>
          </cell>
          <cell r="J190" t="str">
            <v/>
          </cell>
          <cell r="K190" t="str">
            <v/>
          </cell>
        </row>
        <row r="191">
          <cell r="D191" t="str">
            <v>1级随机宝石</v>
          </cell>
          <cell r="E191">
            <v>1</v>
          </cell>
          <cell r="F191">
            <v>1</v>
          </cell>
          <cell r="G191">
            <v>1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</row>
        <row r="192">
          <cell r="D192" t="str">
            <v>2级随机宝石</v>
          </cell>
          <cell r="E192">
            <v>6</v>
          </cell>
          <cell r="F192">
            <v>1</v>
          </cell>
          <cell r="G192">
            <v>1</v>
          </cell>
          <cell r="H192">
            <v>1</v>
          </cell>
          <cell r="I192">
            <v>6</v>
          </cell>
          <cell r="J192">
            <v>6</v>
          </cell>
          <cell r="K192">
            <v>6</v>
          </cell>
        </row>
        <row r="193">
          <cell r="D193" t="str">
            <v>3级随机宝石</v>
          </cell>
          <cell r="E193">
            <v>27</v>
          </cell>
          <cell r="F193">
            <v>1</v>
          </cell>
          <cell r="G193">
            <v>1</v>
          </cell>
          <cell r="H193">
            <v>1</v>
          </cell>
          <cell r="I193">
            <v>27</v>
          </cell>
          <cell r="J193">
            <v>27</v>
          </cell>
          <cell r="K193">
            <v>27</v>
          </cell>
        </row>
        <row r="194">
          <cell r="D194" t="str">
            <v>4级随机宝石</v>
          </cell>
          <cell r="E194">
            <v>100</v>
          </cell>
          <cell r="F194">
            <v>1</v>
          </cell>
          <cell r="G194">
            <v>1</v>
          </cell>
          <cell r="H194">
            <v>1</v>
          </cell>
          <cell r="I194">
            <v>100</v>
          </cell>
          <cell r="J194">
            <v>100</v>
          </cell>
          <cell r="K194">
            <v>100</v>
          </cell>
        </row>
        <row r="195">
          <cell r="D195" t="str">
            <v>5级随机宝石</v>
          </cell>
          <cell r="E195">
            <v>400</v>
          </cell>
          <cell r="F195">
            <v>1</v>
          </cell>
          <cell r="G195">
            <v>1</v>
          </cell>
          <cell r="H195">
            <v>1</v>
          </cell>
          <cell r="I195">
            <v>400</v>
          </cell>
          <cell r="J195">
            <v>400</v>
          </cell>
          <cell r="K195">
            <v>400</v>
          </cell>
        </row>
        <row r="196">
          <cell r="D196" t="str">
            <v>6级随机宝石</v>
          </cell>
          <cell r="E196">
            <v>1500</v>
          </cell>
          <cell r="F196">
            <v>1</v>
          </cell>
          <cell r="G196">
            <v>1</v>
          </cell>
          <cell r="H196">
            <v>1</v>
          </cell>
          <cell r="I196">
            <v>1500</v>
          </cell>
          <cell r="J196">
            <v>1500</v>
          </cell>
          <cell r="K196">
            <v>1500</v>
          </cell>
        </row>
        <row r="197">
          <cell r="D197" t="str">
            <v>7级随机宝石</v>
          </cell>
          <cell r="E197">
            <v>5000</v>
          </cell>
          <cell r="F197">
            <v>1</v>
          </cell>
          <cell r="G197">
            <v>1</v>
          </cell>
          <cell r="H197">
            <v>1</v>
          </cell>
          <cell r="I197">
            <v>5000</v>
          </cell>
          <cell r="J197">
            <v>5000</v>
          </cell>
          <cell r="K197">
            <v>5000</v>
          </cell>
        </row>
        <row r="198">
          <cell r="D198" t="str">
            <v>8级随机宝石</v>
          </cell>
          <cell r="E198">
            <v>18000</v>
          </cell>
          <cell r="F198">
            <v>1</v>
          </cell>
          <cell r="G198">
            <v>1</v>
          </cell>
          <cell r="H198">
            <v>1</v>
          </cell>
          <cell r="I198">
            <v>18000</v>
          </cell>
          <cell r="J198">
            <v>18000</v>
          </cell>
          <cell r="K198">
            <v>18000</v>
          </cell>
        </row>
        <row r="199">
          <cell r="D199" t="str">
            <v>9级随机宝石</v>
          </cell>
          <cell r="E199">
            <v>60000</v>
          </cell>
          <cell r="F199">
            <v>1</v>
          </cell>
          <cell r="G199">
            <v>1</v>
          </cell>
          <cell r="H199">
            <v>1</v>
          </cell>
          <cell r="I199">
            <v>60000</v>
          </cell>
          <cell r="J199">
            <v>60000</v>
          </cell>
          <cell r="K199">
            <v>60000</v>
          </cell>
        </row>
        <row r="200">
          <cell r="D200" t="str">
            <v>10级随机宝石</v>
          </cell>
          <cell r="E200">
            <v>180000</v>
          </cell>
          <cell r="F200">
            <v>1</v>
          </cell>
          <cell r="G200">
            <v>1</v>
          </cell>
          <cell r="H200">
            <v>1</v>
          </cell>
          <cell r="I200">
            <v>180000</v>
          </cell>
          <cell r="J200">
            <v>180000</v>
          </cell>
          <cell r="K200">
            <v>180000</v>
          </cell>
        </row>
        <row r="201">
          <cell r="D201" t="str">
            <v>11级随机宝石</v>
          </cell>
          <cell r="E201">
            <v>540000</v>
          </cell>
          <cell r="F201">
            <v>1</v>
          </cell>
          <cell r="G201">
            <v>1</v>
          </cell>
          <cell r="H201">
            <v>1</v>
          </cell>
          <cell r="I201">
            <v>540000</v>
          </cell>
          <cell r="J201">
            <v>540000</v>
          </cell>
          <cell r="K201">
            <v>540000</v>
          </cell>
        </row>
        <row r="202">
          <cell r="D202" t="str">
            <v>12级随机宝石</v>
          </cell>
          <cell r="E202">
            <v>1620000</v>
          </cell>
          <cell r="F202">
            <v>1</v>
          </cell>
          <cell r="G202">
            <v>1</v>
          </cell>
          <cell r="H202">
            <v>1</v>
          </cell>
          <cell r="I202">
            <v>1620000</v>
          </cell>
          <cell r="J202">
            <v>1620000</v>
          </cell>
          <cell r="K202">
            <v>1620000</v>
          </cell>
        </row>
        <row r="203">
          <cell r="D203" t="str">
            <v>13级随机宝石</v>
          </cell>
          <cell r="E203">
            <v>4860000</v>
          </cell>
          <cell r="F203">
            <v>1</v>
          </cell>
          <cell r="G203">
            <v>1</v>
          </cell>
          <cell r="H203">
            <v>1</v>
          </cell>
          <cell r="I203">
            <v>4860000</v>
          </cell>
          <cell r="J203">
            <v>4860000</v>
          </cell>
          <cell r="K203">
            <v>4860000</v>
          </cell>
        </row>
        <row r="204">
          <cell r="D204" t="str">
            <v>14级随机宝石</v>
          </cell>
          <cell r="E204">
            <v>14580000</v>
          </cell>
          <cell r="F204">
            <v>1</v>
          </cell>
          <cell r="G204">
            <v>1</v>
          </cell>
          <cell r="H204">
            <v>1</v>
          </cell>
          <cell r="I204">
            <v>14580000</v>
          </cell>
          <cell r="J204">
            <v>14580000</v>
          </cell>
          <cell r="K204">
            <v>14580000</v>
          </cell>
        </row>
        <row r="205">
          <cell r="D205" t="str">
            <v>15级随机宝石</v>
          </cell>
          <cell r="E205">
            <v>43740000</v>
          </cell>
          <cell r="F205">
            <v>1</v>
          </cell>
          <cell r="G205">
            <v>1</v>
          </cell>
          <cell r="H205">
            <v>1</v>
          </cell>
          <cell r="I205">
            <v>43740000</v>
          </cell>
          <cell r="J205">
            <v>43740000</v>
          </cell>
          <cell r="K205">
            <v>43740000</v>
          </cell>
        </row>
        <row r="206">
          <cell r="I206" t="str">
            <v/>
          </cell>
          <cell r="J206" t="str">
            <v/>
          </cell>
          <cell r="K206" t="str">
            <v/>
          </cell>
        </row>
        <row r="207">
          <cell r="D207" t="str">
            <v>血石</v>
          </cell>
          <cell r="E207">
            <v>0.5</v>
          </cell>
          <cell r="F207">
            <v>1</v>
          </cell>
          <cell r="G207">
            <v>1</v>
          </cell>
          <cell r="H207">
            <v>1</v>
          </cell>
          <cell r="I207">
            <v>0.5</v>
          </cell>
          <cell r="J207">
            <v>0.5</v>
          </cell>
          <cell r="K207">
            <v>0.5</v>
          </cell>
        </row>
        <row r="208">
          <cell r="D208" t="str">
            <v>血晶</v>
          </cell>
          <cell r="E208">
            <v>10</v>
          </cell>
          <cell r="F208">
            <v>1</v>
          </cell>
          <cell r="G208">
            <v>1</v>
          </cell>
          <cell r="H208">
            <v>1</v>
          </cell>
          <cell r="I208">
            <v>10</v>
          </cell>
          <cell r="J208">
            <v>10</v>
          </cell>
          <cell r="K208">
            <v>10</v>
          </cell>
        </row>
        <row r="209">
          <cell r="I209" t="str">
            <v/>
          </cell>
          <cell r="J209" t="str">
            <v/>
          </cell>
          <cell r="K209" t="str">
            <v/>
          </cell>
        </row>
        <row r="210">
          <cell r="D210" t="str">
            <v>蓝色提纯券</v>
          </cell>
          <cell r="E210">
            <v>100</v>
          </cell>
          <cell r="F210">
            <v>1</v>
          </cell>
          <cell r="G210">
            <v>1</v>
          </cell>
          <cell r="H210">
            <v>1</v>
          </cell>
          <cell r="I210">
            <v>100</v>
          </cell>
          <cell r="J210">
            <v>100</v>
          </cell>
          <cell r="K210">
            <v>100</v>
          </cell>
        </row>
        <row r="211">
          <cell r="D211" t="str">
            <v>紫色提纯券</v>
          </cell>
          <cell r="E211">
            <v>600</v>
          </cell>
          <cell r="F211">
            <v>1</v>
          </cell>
          <cell r="G211">
            <v>1</v>
          </cell>
          <cell r="H211">
            <v>1</v>
          </cell>
          <cell r="I211">
            <v>600</v>
          </cell>
          <cell r="J211">
            <v>600</v>
          </cell>
          <cell r="K211">
            <v>600</v>
          </cell>
        </row>
        <row r="212">
          <cell r="D212" t="str">
            <v>橙色提纯券</v>
          </cell>
          <cell r="E212">
            <v>4000</v>
          </cell>
          <cell r="F212">
            <v>1</v>
          </cell>
          <cell r="G212">
            <v>1</v>
          </cell>
          <cell r="H212">
            <v>1</v>
          </cell>
          <cell r="I212">
            <v>4000</v>
          </cell>
          <cell r="J212">
            <v>4000</v>
          </cell>
          <cell r="K212">
            <v>4000</v>
          </cell>
        </row>
        <row r="213">
          <cell r="I213" t="str">
            <v/>
          </cell>
          <cell r="J213" t="str">
            <v/>
          </cell>
          <cell r="K213" t="str">
            <v/>
          </cell>
        </row>
        <row r="214">
          <cell r="I214" t="str">
            <v/>
          </cell>
          <cell r="J214" t="str">
            <v/>
          </cell>
          <cell r="K214" t="str">
            <v/>
          </cell>
        </row>
        <row r="215">
          <cell r="I215" t="str">
            <v/>
          </cell>
          <cell r="J215" t="str">
            <v/>
          </cell>
          <cell r="K215" t="str">
            <v/>
          </cell>
        </row>
        <row r="216">
          <cell r="I216" t="str">
            <v/>
          </cell>
          <cell r="J216" t="str">
            <v/>
          </cell>
          <cell r="K216" t="str">
            <v/>
          </cell>
        </row>
        <row r="217">
          <cell r="I217" t="str">
            <v/>
          </cell>
          <cell r="J217" t="str">
            <v/>
          </cell>
          <cell r="K217" t="str">
            <v/>
          </cell>
        </row>
        <row r="218">
          <cell r="I218" t="str">
            <v/>
          </cell>
          <cell r="J218" t="str">
            <v/>
          </cell>
          <cell r="K218" t="str">
            <v/>
          </cell>
        </row>
        <row r="219">
          <cell r="I219" t="str">
            <v/>
          </cell>
          <cell r="J219" t="str">
            <v/>
          </cell>
          <cell r="K219" t="str">
            <v/>
          </cell>
        </row>
        <row r="220">
          <cell r="I220" t="str">
            <v/>
          </cell>
          <cell r="J220" t="str">
            <v/>
          </cell>
          <cell r="K220" t="str">
            <v/>
          </cell>
        </row>
        <row r="221">
          <cell r="C221">
            <v>21001</v>
          </cell>
          <cell r="D221" t="str">
            <v>一担粮食</v>
          </cell>
          <cell r="E221">
            <v>6</v>
          </cell>
          <cell r="F221">
            <v>1</v>
          </cell>
          <cell r="G221">
            <v>1</v>
          </cell>
          <cell r="H221">
            <v>0.3</v>
          </cell>
          <cell r="I221">
            <v>6</v>
          </cell>
          <cell r="J221">
            <v>6</v>
          </cell>
          <cell r="K221">
            <v>1.7999999999999998</v>
          </cell>
          <cell r="L221" t="str">
            <v>使用后获得10000安全粮食</v>
          </cell>
        </row>
        <row r="222">
          <cell r="C222">
            <v>21002</v>
          </cell>
          <cell r="D222" t="str">
            <v>一堆粮食</v>
          </cell>
          <cell r="E222">
            <v>20</v>
          </cell>
          <cell r="F222">
            <v>1</v>
          </cell>
          <cell r="G222">
            <v>1</v>
          </cell>
          <cell r="H222">
            <v>0.3</v>
          </cell>
          <cell r="I222">
            <v>20</v>
          </cell>
          <cell r="J222">
            <v>20</v>
          </cell>
          <cell r="K222">
            <v>6</v>
          </cell>
          <cell r="L222" t="str">
            <v>使用后获得50000安全粮食</v>
          </cell>
        </row>
        <row r="223">
          <cell r="C223">
            <v>21003</v>
          </cell>
          <cell r="D223" t="str">
            <v>一箱粮食</v>
          </cell>
          <cell r="E223">
            <v>45</v>
          </cell>
          <cell r="F223">
            <v>1.333</v>
          </cell>
          <cell r="G223">
            <v>1</v>
          </cell>
          <cell r="H223">
            <v>0.3</v>
          </cell>
          <cell r="I223">
            <v>59.984999999999999</v>
          </cell>
          <cell r="J223">
            <v>45</v>
          </cell>
          <cell r="K223">
            <v>13.5</v>
          </cell>
          <cell r="L223" t="str">
            <v>使用后获得150000安全粮食</v>
          </cell>
        </row>
        <row r="224">
          <cell r="C224">
            <v>21004</v>
          </cell>
          <cell r="D224" t="str">
            <v>一车粮食</v>
          </cell>
          <cell r="E224">
            <v>100</v>
          </cell>
          <cell r="F224">
            <v>2</v>
          </cell>
          <cell r="G224">
            <v>1</v>
          </cell>
          <cell r="H224">
            <v>0.3</v>
          </cell>
          <cell r="I224">
            <v>200</v>
          </cell>
          <cell r="J224">
            <v>100</v>
          </cell>
          <cell r="K224">
            <v>30</v>
          </cell>
          <cell r="L224" t="str">
            <v>使用后获得500000安全粮食</v>
          </cell>
        </row>
        <row r="225">
          <cell r="C225">
            <v>21005</v>
          </cell>
          <cell r="D225" t="str">
            <v>一担木材</v>
          </cell>
          <cell r="E225">
            <v>6</v>
          </cell>
          <cell r="F225">
            <v>1</v>
          </cell>
          <cell r="G225">
            <v>1</v>
          </cell>
          <cell r="H225">
            <v>0.3</v>
          </cell>
          <cell r="I225">
            <v>6</v>
          </cell>
          <cell r="J225">
            <v>6</v>
          </cell>
          <cell r="K225">
            <v>1.7999999999999998</v>
          </cell>
          <cell r="L225" t="str">
            <v>使用后获得10000安全木材</v>
          </cell>
        </row>
        <row r="226">
          <cell r="C226">
            <v>21006</v>
          </cell>
          <cell r="D226" t="str">
            <v>一堆木材</v>
          </cell>
          <cell r="E226">
            <v>20</v>
          </cell>
          <cell r="F226">
            <v>1</v>
          </cell>
          <cell r="G226">
            <v>1</v>
          </cell>
          <cell r="H226">
            <v>0.3</v>
          </cell>
          <cell r="I226">
            <v>20</v>
          </cell>
          <cell r="J226">
            <v>20</v>
          </cell>
          <cell r="K226">
            <v>6</v>
          </cell>
          <cell r="L226" t="str">
            <v>使用后获得50000安全木材</v>
          </cell>
        </row>
        <row r="227">
          <cell r="C227">
            <v>21007</v>
          </cell>
          <cell r="D227" t="str">
            <v>一箱木材</v>
          </cell>
          <cell r="E227">
            <v>45</v>
          </cell>
          <cell r="F227">
            <v>1.333</v>
          </cell>
          <cell r="G227">
            <v>1</v>
          </cell>
          <cell r="H227">
            <v>0.3</v>
          </cell>
          <cell r="I227">
            <v>59.984999999999999</v>
          </cell>
          <cell r="J227">
            <v>45</v>
          </cell>
          <cell r="K227">
            <v>13.5</v>
          </cell>
          <cell r="L227" t="str">
            <v>使用后获得150000安全木材</v>
          </cell>
        </row>
        <row r="228">
          <cell r="C228">
            <v>21008</v>
          </cell>
          <cell r="D228" t="str">
            <v>一车木材</v>
          </cell>
          <cell r="E228">
            <v>100</v>
          </cell>
          <cell r="F228">
            <v>2</v>
          </cell>
          <cell r="G228">
            <v>1</v>
          </cell>
          <cell r="H228">
            <v>0.3</v>
          </cell>
          <cell r="I228">
            <v>200</v>
          </cell>
          <cell r="J228">
            <v>100</v>
          </cell>
          <cell r="K228">
            <v>30</v>
          </cell>
          <cell r="L228" t="str">
            <v>使用后获得500000安全木材</v>
          </cell>
        </row>
        <row r="229">
          <cell r="C229">
            <v>21009</v>
          </cell>
          <cell r="D229" t="str">
            <v>一担石料</v>
          </cell>
          <cell r="E229">
            <v>6</v>
          </cell>
          <cell r="F229">
            <v>1</v>
          </cell>
          <cell r="G229">
            <v>1</v>
          </cell>
          <cell r="H229">
            <v>0.3</v>
          </cell>
          <cell r="I229">
            <v>6</v>
          </cell>
          <cell r="J229">
            <v>6</v>
          </cell>
          <cell r="K229">
            <v>1.7999999999999998</v>
          </cell>
          <cell r="L229" t="str">
            <v>使用后获得10000安全石料</v>
          </cell>
        </row>
        <row r="230">
          <cell r="C230">
            <v>21010</v>
          </cell>
          <cell r="D230" t="str">
            <v>一堆石料</v>
          </cell>
          <cell r="E230">
            <v>20</v>
          </cell>
          <cell r="F230">
            <v>1</v>
          </cell>
          <cell r="G230">
            <v>1</v>
          </cell>
          <cell r="H230">
            <v>0.3</v>
          </cell>
          <cell r="I230">
            <v>20</v>
          </cell>
          <cell r="J230">
            <v>20</v>
          </cell>
          <cell r="K230">
            <v>6</v>
          </cell>
          <cell r="L230" t="str">
            <v>使用后获得50000安全石料</v>
          </cell>
        </row>
        <row r="231">
          <cell r="C231">
            <v>21011</v>
          </cell>
          <cell r="D231" t="str">
            <v>一箱石料</v>
          </cell>
          <cell r="E231">
            <v>45</v>
          </cell>
          <cell r="F231">
            <v>1.333</v>
          </cell>
          <cell r="G231">
            <v>1</v>
          </cell>
          <cell r="H231">
            <v>0.3</v>
          </cell>
          <cell r="I231">
            <v>59.984999999999999</v>
          </cell>
          <cell r="J231">
            <v>45</v>
          </cell>
          <cell r="K231">
            <v>13.5</v>
          </cell>
          <cell r="L231" t="str">
            <v>使用后获得150000安全石料</v>
          </cell>
        </row>
        <row r="232">
          <cell r="C232">
            <v>21012</v>
          </cell>
          <cell r="D232" t="str">
            <v>一车石料</v>
          </cell>
          <cell r="E232">
            <v>100</v>
          </cell>
          <cell r="F232">
            <v>2</v>
          </cell>
          <cell r="G232">
            <v>1</v>
          </cell>
          <cell r="H232">
            <v>0.3</v>
          </cell>
          <cell r="I232">
            <v>200</v>
          </cell>
          <cell r="J232">
            <v>100</v>
          </cell>
          <cell r="K232">
            <v>30</v>
          </cell>
          <cell r="L232" t="str">
            <v>使用后获得500000安全石料</v>
          </cell>
        </row>
        <row r="233">
          <cell r="C233">
            <v>21013</v>
          </cell>
          <cell r="D233" t="str">
            <v>一担铁矿</v>
          </cell>
          <cell r="E233">
            <v>12</v>
          </cell>
          <cell r="F233">
            <v>1</v>
          </cell>
          <cell r="G233">
            <v>1</v>
          </cell>
          <cell r="H233">
            <v>0.3</v>
          </cell>
          <cell r="I233">
            <v>12</v>
          </cell>
          <cell r="J233">
            <v>12</v>
          </cell>
          <cell r="K233">
            <v>3.5999999999999996</v>
          </cell>
          <cell r="L233" t="str">
            <v>使用后获得10000安全铁矿</v>
          </cell>
        </row>
        <row r="234">
          <cell r="C234">
            <v>21014</v>
          </cell>
          <cell r="D234" t="str">
            <v>一堆铁矿</v>
          </cell>
          <cell r="E234">
            <v>40</v>
          </cell>
          <cell r="F234">
            <v>1</v>
          </cell>
          <cell r="G234">
            <v>1</v>
          </cell>
          <cell r="H234">
            <v>0.3</v>
          </cell>
          <cell r="I234">
            <v>40</v>
          </cell>
          <cell r="J234">
            <v>40</v>
          </cell>
          <cell r="K234">
            <v>12</v>
          </cell>
          <cell r="L234" t="str">
            <v>使用后获得50000安全铁矿</v>
          </cell>
        </row>
        <row r="235">
          <cell r="C235">
            <v>21015</v>
          </cell>
          <cell r="D235" t="str">
            <v>一箱铁矿</v>
          </cell>
          <cell r="E235">
            <v>90</v>
          </cell>
          <cell r="F235">
            <v>1.333</v>
          </cell>
          <cell r="G235">
            <v>1</v>
          </cell>
          <cell r="H235">
            <v>0.3</v>
          </cell>
          <cell r="I235">
            <v>119.97</v>
          </cell>
          <cell r="J235">
            <v>90</v>
          </cell>
          <cell r="K235">
            <v>27</v>
          </cell>
          <cell r="L235" t="str">
            <v>使用后获得150000安全铁矿</v>
          </cell>
        </row>
        <row r="236">
          <cell r="C236">
            <v>21016</v>
          </cell>
          <cell r="D236" t="str">
            <v>一车铁矿</v>
          </cell>
          <cell r="E236">
            <v>200</v>
          </cell>
          <cell r="F236">
            <v>2</v>
          </cell>
          <cell r="G236">
            <v>1</v>
          </cell>
          <cell r="H236">
            <v>0.3</v>
          </cell>
          <cell r="I236">
            <v>400</v>
          </cell>
          <cell r="J236">
            <v>200</v>
          </cell>
          <cell r="K236">
            <v>60</v>
          </cell>
          <cell r="L236" t="str">
            <v>使用后获得500000安全铁矿</v>
          </cell>
        </row>
        <row r="237">
          <cell r="C237">
            <v>21017</v>
          </cell>
          <cell r="D237" t="str">
            <v>一担铜矿</v>
          </cell>
          <cell r="E237">
            <v>6</v>
          </cell>
          <cell r="F237">
            <v>1</v>
          </cell>
          <cell r="G237">
            <v>1</v>
          </cell>
          <cell r="H237">
            <v>0.3</v>
          </cell>
          <cell r="I237">
            <v>6</v>
          </cell>
          <cell r="J237">
            <v>6</v>
          </cell>
          <cell r="K237">
            <v>1.7999999999999998</v>
          </cell>
          <cell r="L237" t="str">
            <v>使用后获得10000安全铜矿</v>
          </cell>
        </row>
        <row r="238">
          <cell r="C238">
            <v>21018</v>
          </cell>
          <cell r="D238" t="str">
            <v>一堆铜矿</v>
          </cell>
          <cell r="E238">
            <v>20</v>
          </cell>
          <cell r="F238">
            <v>1</v>
          </cell>
          <cell r="G238">
            <v>1</v>
          </cell>
          <cell r="H238">
            <v>0.3</v>
          </cell>
          <cell r="I238">
            <v>20</v>
          </cell>
          <cell r="J238">
            <v>20</v>
          </cell>
          <cell r="K238">
            <v>6</v>
          </cell>
          <cell r="L238" t="str">
            <v>使用后获得50000安全铜矿</v>
          </cell>
        </row>
        <row r="239">
          <cell r="C239">
            <v>21019</v>
          </cell>
          <cell r="D239" t="str">
            <v>一箱铜矿</v>
          </cell>
          <cell r="E239">
            <v>45</v>
          </cell>
          <cell r="F239">
            <v>1.333</v>
          </cell>
          <cell r="G239">
            <v>1</v>
          </cell>
          <cell r="H239">
            <v>0.3</v>
          </cell>
          <cell r="I239">
            <v>59.984999999999999</v>
          </cell>
          <cell r="J239">
            <v>45</v>
          </cell>
          <cell r="K239">
            <v>13.5</v>
          </cell>
          <cell r="L239" t="str">
            <v>使用后获得150000安全铜矿</v>
          </cell>
        </row>
        <row r="240">
          <cell r="C240">
            <v>21020</v>
          </cell>
          <cell r="D240" t="str">
            <v>一车铜矿</v>
          </cell>
          <cell r="E240">
            <v>100</v>
          </cell>
          <cell r="F240">
            <v>2</v>
          </cell>
          <cell r="G240">
            <v>1</v>
          </cell>
          <cell r="H240">
            <v>0.3</v>
          </cell>
          <cell r="I240">
            <v>200</v>
          </cell>
          <cell r="J240">
            <v>100</v>
          </cell>
          <cell r="K240">
            <v>30</v>
          </cell>
          <cell r="L240" t="str">
            <v>使用后获得500000安全铜矿</v>
          </cell>
        </row>
        <row r="241">
          <cell r="C241">
            <v>21021</v>
          </cell>
          <cell r="D241" t="str">
            <v>一吊刀币</v>
          </cell>
          <cell r="E241">
            <v>50</v>
          </cell>
          <cell r="F241">
            <v>1</v>
          </cell>
          <cell r="G241">
            <v>1</v>
          </cell>
          <cell r="H241">
            <v>0.5</v>
          </cell>
          <cell r="I241">
            <v>50</v>
          </cell>
          <cell r="J241">
            <v>50</v>
          </cell>
          <cell r="K241">
            <v>25</v>
          </cell>
          <cell r="L241" t="str">
            <v>使用后获得10000刀币</v>
          </cell>
        </row>
        <row r="242">
          <cell r="C242">
            <v>21022</v>
          </cell>
          <cell r="D242" t="str">
            <v>一贯刀币</v>
          </cell>
          <cell r="E242">
            <v>150</v>
          </cell>
          <cell r="F242">
            <v>1</v>
          </cell>
          <cell r="G242">
            <v>1</v>
          </cell>
          <cell r="H242">
            <v>0.5</v>
          </cell>
          <cell r="I242">
            <v>150</v>
          </cell>
          <cell r="J242">
            <v>150</v>
          </cell>
          <cell r="K242">
            <v>75</v>
          </cell>
          <cell r="L242" t="str">
            <v>使用后获得50000刀币</v>
          </cell>
        </row>
        <row r="243">
          <cell r="C243">
            <v>21023</v>
          </cell>
          <cell r="D243" t="str">
            <v>一袋刀币</v>
          </cell>
          <cell r="E243">
            <v>300</v>
          </cell>
          <cell r="F243">
            <v>1.5</v>
          </cell>
          <cell r="G243">
            <v>1</v>
          </cell>
          <cell r="H243">
            <v>0.5</v>
          </cell>
          <cell r="I243">
            <v>450</v>
          </cell>
          <cell r="J243">
            <v>300</v>
          </cell>
          <cell r="K243">
            <v>150</v>
          </cell>
          <cell r="L243" t="str">
            <v>使用后获得150000刀币</v>
          </cell>
        </row>
        <row r="244">
          <cell r="C244" t="str">
            <v/>
          </cell>
          <cell r="D244" t="str">
            <v>一箱刀币</v>
          </cell>
          <cell r="E244">
            <v>800</v>
          </cell>
          <cell r="F244">
            <v>1.875</v>
          </cell>
          <cell r="G244">
            <v>1</v>
          </cell>
          <cell r="H244">
            <v>0.5</v>
          </cell>
          <cell r="I244">
            <v>1500</v>
          </cell>
          <cell r="J244">
            <v>800</v>
          </cell>
          <cell r="K244">
            <v>400</v>
          </cell>
          <cell r="L244" t="str">
            <v>使用后获得500000刀币</v>
          </cell>
        </row>
        <row r="245">
          <cell r="C245">
            <v>21024</v>
          </cell>
          <cell r="D245" t="str">
            <v>普通资源自选宝箱</v>
          </cell>
          <cell r="E245">
            <v>6</v>
          </cell>
          <cell r="F245">
            <v>1</v>
          </cell>
          <cell r="G245">
            <v>1</v>
          </cell>
          <cell r="H245">
            <v>0.3</v>
          </cell>
          <cell r="I245">
            <v>6</v>
          </cell>
          <cell r="J245">
            <v>6</v>
          </cell>
          <cell r="K245">
            <v>1.7999999999999998</v>
          </cell>
          <cell r="L245" t="str">
            <v>使用后可选择获得10000资源(可选择资源类型：粮食、木材、石料和铜矿)</v>
          </cell>
        </row>
        <row r="246">
          <cell r="C246">
            <v>21025</v>
          </cell>
          <cell r="D246" t="str">
            <v>初级资源自选宝箱</v>
          </cell>
          <cell r="E246">
            <v>20</v>
          </cell>
          <cell r="F246">
            <v>1</v>
          </cell>
          <cell r="G246">
            <v>1</v>
          </cell>
          <cell r="H246">
            <v>0.3</v>
          </cell>
          <cell r="I246">
            <v>20</v>
          </cell>
          <cell r="J246">
            <v>20</v>
          </cell>
          <cell r="K246">
            <v>6</v>
          </cell>
          <cell r="L246" t="str">
            <v>使用后可选择获得50000资源(可选择资源类型：粮食、木材、石料和铜矿)</v>
          </cell>
        </row>
        <row r="247">
          <cell r="C247">
            <v>21026</v>
          </cell>
          <cell r="D247" t="str">
            <v>中级资源自选宝箱</v>
          </cell>
          <cell r="E247">
            <v>45</v>
          </cell>
          <cell r="F247">
            <v>1.333</v>
          </cell>
          <cell r="G247">
            <v>1</v>
          </cell>
          <cell r="H247">
            <v>0.3</v>
          </cell>
          <cell r="I247">
            <v>59.984999999999999</v>
          </cell>
          <cell r="J247">
            <v>45</v>
          </cell>
          <cell r="K247">
            <v>13.5</v>
          </cell>
          <cell r="L247" t="str">
            <v>使用后可选择获得150000资源(可选择资源类型：粮食、木材、石料和铜矿)</v>
          </cell>
        </row>
        <row r="248">
          <cell r="C248">
            <v>21027</v>
          </cell>
          <cell r="D248" t="str">
            <v>高级资源自选宝箱</v>
          </cell>
          <cell r="E248">
            <v>100</v>
          </cell>
          <cell r="F248">
            <v>2</v>
          </cell>
          <cell r="G248">
            <v>1</v>
          </cell>
          <cell r="H248">
            <v>0.3</v>
          </cell>
          <cell r="I248">
            <v>200</v>
          </cell>
          <cell r="J248">
            <v>100</v>
          </cell>
          <cell r="K248">
            <v>30</v>
          </cell>
          <cell r="L248" t="str">
            <v>使用后可选择获得500000资源(可选择资源类型：粮食、木材、石料和铜矿)</v>
          </cell>
        </row>
        <row r="249">
          <cell r="C249">
            <v>21031</v>
          </cell>
          <cell r="D249" t="str">
            <v>普通资源宝箱</v>
          </cell>
          <cell r="E249">
            <v>30</v>
          </cell>
          <cell r="F249">
            <v>1</v>
          </cell>
          <cell r="G249">
            <v>1</v>
          </cell>
          <cell r="H249">
            <v>0.3</v>
          </cell>
          <cell r="I249">
            <v>30</v>
          </cell>
          <cell r="J249">
            <v>30</v>
          </cell>
          <cell r="K249">
            <v>9</v>
          </cell>
          <cell r="L249" t="str">
            <v>使用后直接获得10000粮食、木材、石料和铜矿</v>
          </cell>
        </row>
        <row r="250">
          <cell r="C250">
            <v>21032</v>
          </cell>
          <cell r="D250" t="str">
            <v>初级资源宝箱</v>
          </cell>
          <cell r="E250">
            <v>80</v>
          </cell>
          <cell r="F250">
            <v>1</v>
          </cell>
          <cell r="G250">
            <v>1</v>
          </cell>
          <cell r="H250">
            <v>0.3</v>
          </cell>
          <cell r="I250">
            <v>80</v>
          </cell>
          <cell r="J250">
            <v>80</v>
          </cell>
          <cell r="K250">
            <v>24</v>
          </cell>
          <cell r="L250" t="str">
            <v>使用后直接获得50000粮食、木材、石料和铜矿</v>
          </cell>
        </row>
        <row r="251">
          <cell r="C251">
            <v>21033</v>
          </cell>
          <cell r="D251" t="str">
            <v>中级资源宝箱</v>
          </cell>
          <cell r="E251">
            <v>180</v>
          </cell>
          <cell r="F251">
            <v>1.333</v>
          </cell>
          <cell r="G251">
            <v>1</v>
          </cell>
          <cell r="H251">
            <v>0.3</v>
          </cell>
          <cell r="I251">
            <v>239.94</v>
          </cell>
          <cell r="J251">
            <v>180</v>
          </cell>
          <cell r="K251">
            <v>54</v>
          </cell>
          <cell r="L251" t="str">
            <v>使用后直接获得150000粮食、木材、石料和铜矿</v>
          </cell>
        </row>
        <row r="252">
          <cell r="C252">
            <v>21034</v>
          </cell>
          <cell r="D252" t="str">
            <v>高级资源宝箱</v>
          </cell>
          <cell r="E252">
            <v>400</v>
          </cell>
          <cell r="F252">
            <v>2</v>
          </cell>
          <cell r="G252">
            <v>1</v>
          </cell>
          <cell r="H252">
            <v>0.3</v>
          </cell>
          <cell r="I252">
            <v>800</v>
          </cell>
          <cell r="J252">
            <v>400</v>
          </cell>
          <cell r="K252">
            <v>120</v>
          </cell>
          <cell r="L252" t="str">
            <v>使用后直接获得500000粮食、木材、石料和铜矿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</row>
        <row r="254">
          <cell r="C254">
            <v>21061</v>
          </cell>
          <cell r="D254" t="str">
            <v>初级经验书</v>
          </cell>
          <cell r="E254">
            <v>2</v>
          </cell>
          <cell r="F254">
            <v>1</v>
          </cell>
          <cell r="G254">
            <v>1</v>
          </cell>
          <cell r="H254">
            <v>1</v>
          </cell>
          <cell r="I254">
            <v>2</v>
          </cell>
          <cell r="J254">
            <v>2</v>
          </cell>
          <cell r="K254">
            <v>2</v>
          </cell>
          <cell r="L254" t="str">
            <v>武将使用后获得200经验</v>
          </cell>
        </row>
        <row r="255">
          <cell r="C255">
            <v>21062</v>
          </cell>
          <cell r="D255" t="str">
            <v>中级经验书</v>
          </cell>
          <cell r="E255">
            <v>5</v>
          </cell>
          <cell r="F255">
            <v>1</v>
          </cell>
          <cell r="G255">
            <v>1</v>
          </cell>
          <cell r="H255">
            <v>1</v>
          </cell>
          <cell r="I255">
            <v>5</v>
          </cell>
          <cell r="J255">
            <v>5</v>
          </cell>
          <cell r="K255">
            <v>5</v>
          </cell>
          <cell r="L255" t="str">
            <v>武将使用后获得1000经验</v>
          </cell>
        </row>
        <row r="256">
          <cell r="C256">
            <v>21063</v>
          </cell>
          <cell r="D256" t="str">
            <v>高级经验书</v>
          </cell>
          <cell r="E256">
            <v>10</v>
          </cell>
          <cell r="F256">
            <v>1</v>
          </cell>
          <cell r="G256">
            <v>1</v>
          </cell>
          <cell r="H256">
            <v>1</v>
          </cell>
          <cell r="I256">
            <v>10</v>
          </cell>
          <cell r="J256">
            <v>10</v>
          </cell>
          <cell r="K256">
            <v>10</v>
          </cell>
          <cell r="L256" t="str">
            <v>武将使用后获得5000经验</v>
          </cell>
        </row>
        <row r="257">
          <cell r="C257">
            <v>21064</v>
          </cell>
          <cell r="D257" t="str">
            <v>特级经验书</v>
          </cell>
          <cell r="E257">
            <v>20</v>
          </cell>
          <cell r="F257">
            <v>2</v>
          </cell>
          <cell r="G257">
            <v>1</v>
          </cell>
          <cell r="H257">
            <v>1</v>
          </cell>
          <cell r="I257">
            <v>40</v>
          </cell>
          <cell r="J257">
            <v>20</v>
          </cell>
          <cell r="K257">
            <v>20</v>
          </cell>
          <cell r="L257" t="str">
            <v>武将使用后获得20000经验</v>
          </cell>
        </row>
        <row r="258">
          <cell r="C258">
            <v>21065</v>
          </cell>
          <cell r="D258" t="str">
            <v>超级经验书</v>
          </cell>
          <cell r="E258">
            <v>40</v>
          </cell>
          <cell r="F258">
            <v>5</v>
          </cell>
          <cell r="G258">
            <v>1</v>
          </cell>
          <cell r="H258">
            <v>1</v>
          </cell>
          <cell r="I258">
            <v>200</v>
          </cell>
          <cell r="J258">
            <v>40</v>
          </cell>
          <cell r="K258">
            <v>40</v>
          </cell>
          <cell r="L258" t="str">
            <v>武将使用后获得100000经验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21073</v>
          </cell>
          <cell r="D260" t="str">
            <v>1个行军令</v>
          </cell>
          <cell r="E260">
            <v>75</v>
          </cell>
          <cell r="F260">
            <v>1</v>
          </cell>
          <cell r="G260">
            <v>1</v>
          </cell>
          <cell r="H260">
            <v>1</v>
          </cell>
          <cell r="I260">
            <v>75</v>
          </cell>
          <cell r="J260">
            <v>75</v>
          </cell>
          <cell r="K260">
            <v>75</v>
          </cell>
          <cell r="L260" t="str">
            <v>使用后获得1个行军令</v>
          </cell>
        </row>
        <row r="261">
          <cell r="C261">
            <v>21074</v>
          </cell>
          <cell r="D261" t="str">
            <v>大捆行军令</v>
          </cell>
          <cell r="E261">
            <v>225</v>
          </cell>
          <cell r="F261">
            <v>1</v>
          </cell>
          <cell r="G261">
            <v>1</v>
          </cell>
          <cell r="H261">
            <v>1</v>
          </cell>
          <cell r="I261">
            <v>225</v>
          </cell>
          <cell r="J261">
            <v>225</v>
          </cell>
          <cell r="K261">
            <v>225</v>
          </cell>
          <cell r="L261" t="str">
            <v>使用后获得3个行军令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>
            <v>21081</v>
          </cell>
          <cell r="D263" t="str">
            <v>木材增产令</v>
          </cell>
          <cell r="E263">
            <v>35</v>
          </cell>
          <cell r="F263">
            <v>1</v>
          </cell>
          <cell r="G263">
            <v>1</v>
          </cell>
          <cell r="H263">
            <v>1</v>
          </cell>
          <cell r="I263">
            <v>35</v>
          </cell>
          <cell r="J263">
            <v>35</v>
          </cell>
          <cell r="K263">
            <v>35</v>
          </cell>
          <cell r="L263" t="str">
            <v>使用后伐木场产量提高50%，持续12小时</v>
          </cell>
        </row>
        <row r="264">
          <cell r="C264">
            <v>21082</v>
          </cell>
          <cell r="D264" t="str">
            <v>铁矿增产令</v>
          </cell>
          <cell r="E264">
            <v>50</v>
          </cell>
          <cell r="F264">
            <v>1</v>
          </cell>
          <cell r="G264">
            <v>1</v>
          </cell>
          <cell r="H264">
            <v>1</v>
          </cell>
          <cell r="I264">
            <v>50</v>
          </cell>
          <cell r="J264">
            <v>50</v>
          </cell>
          <cell r="K264">
            <v>50</v>
          </cell>
          <cell r="L264" t="str">
            <v>使用后冶炼厂产量提高50%，持续12小时</v>
          </cell>
        </row>
        <row r="265">
          <cell r="C265">
            <v>21083</v>
          </cell>
          <cell r="D265" t="str">
            <v>石料增产令</v>
          </cell>
          <cell r="E265">
            <v>35</v>
          </cell>
          <cell r="F265">
            <v>1</v>
          </cell>
          <cell r="G265">
            <v>1</v>
          </cell>
          <cell r="H265">
            <v>1</v>
          </cell>
          <cell r="I265">
            <v>35</v>
          </cell>
          <cell r="J265">
            <v>35</v>
          </cell>
          <cell r="K265">
            <v>35</v>
          </cell>
          <cell r="L265" t="str">
            <v>使用后采石场产量提高50%，持续12小时</v>
          </cell>
        </row>
        <row r="266">
          <cell r="C266">
            <v>21084</v>
          </cell>
          <cell r="D266" t="str">
            <v>粮食增产令</v>
          </cell>
          <cell r="E266">
            <v>35</v>
          </cell>
          <cell r="F266">
            <v>1</v>
          </cell>
          <cell r="G266">
            <v>1</v>
          </cell>
          <cell r="H266">
            <v>1</v>
          </cell>
          <cell r="I266">
            <v>35</v>
          </cell>
          <cell r="J266">
            <v>35</v>
          </cell>
          <cell r="K266">
            <v>35</v>
          </cell>
          <cell r="L266" t="str">
            <v>使用后农田产量提高50%，持续12小时</v>
          </cell>
        </row>
        <row r="267">
          <cell r="C267">
            <v>21085</v>
          </cell>
          <cell r="D267" t="str">
            <v>赋税增收令</v>
          </cell>
          <cell r="E267">
            <v>85</v>
          </cell>
          <cell r="F267">
            <v>1</v>
          </cell>
          <cell r="G267">
            <v>1</v>
          </cell>
          <cell r="H267">
            <v>1</v>
          </cell>
          <cell r="I267">
            <v>85</v>
          </cell>
          <cell r="J267">
            <v>85</v>
          </cell>
          <cell r="K267">
            <v>85</v>
          </cell>
          <cell r="L267" t="str">
            <v>使用后民居税收提高25%，持续12小时</v>
          </cell>
        </row>
        <row r="268">
          <cell r="C268">
            <v>21086</v>
          </cell>
          <cell r="D268" t="str">
            <v>铜矿增产令</v>
          </cell>
          <cell r="E268">
            <v>35</v>
          </cell>
          <cell r="F268">
            <v>1</v>
          </cell>
          <cell r="G268">
            <v>1</v>
          </cell>
          <cell r="H268">
            <v>1</v>
          </cell>
          <cell r="I268">
            <v>35</v>
          </cell>
          <cell r="J268">
            <v>35</v>
          </cell>
          <cell r="K268">
            <v>35</v>
          </cell>
          <cell r="L268" t="str">
            <v>使用后铜矿产量提高50%，持续12小时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21100</v>
          </cell>
          <cell r="D270" t="str">
            <v>免战牌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使用后城池不会遭受来自玩家的攻击，主动进攻玩家后失效，持续8小时</v>
          </cell>
        </row>
        <row r="271">
          <cell r="C271">
            <v>21101</v>
          </cell>
          <cell r="D271" t="str">
            <v>普通点将牌</v>
          </cell>
          <cell r="E271">
            <v>65</v>
          </cell>
          <cell r="F271">
            <v>1</v>
          </cell>
          <cell r="G271">
            <v>1</v>
          </cell>
          <cell r="H271">
            <v>1</v>
          </cell>
          <cell r="I271">
            <v>65</v>
          </cell>
          <cell r="J271">
            <v>65</v>
          </cell>
          <cell r="K271">
            <v>65</v>
          </cell>
          <cell r="L271" t="str">
            <v>点将台普通招募时消耗的令牌</v>
          </cell>
        </row>
        <row r="272">
          <cell r="C272">
            <v>21102</v>
          </cell>
          <cell r="D272" t="str">
            <v>高级点将牌</v>
          </cell>
          <cell r="E272">
            <v>240</v>
          </cell>
          <cell r="F272">
            <v>1</v>
          </cell>
          <cell r="G272">
            <v>1</v>
          </cell>
          <cell r="H272">
            <v>1</v>
          </cell>
          <cell r="I272">
            <v>240</v>
          </cell>
          <cell r="J272">
            <v>240</v>
          </cell>
          <cell r="K272">
            <v>240</v>
          </cell>
          <cell r="L272" t="str">
            <v>点将台高级招募时消耗的令牌</v>
          </cell>
        </row>
        <row r="273">
          <cell r="C273" t="str">
            <v/>
          </cell>
          <cell r="D273" t="str">
            <v>行军丸（旧版)</v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>使用后每次可增加部队100%的行军速度</v>
          </cell>
        </row>
        <row r="274">
          <cell r="C274">
            <v>21104</v>
          </cell>
          <cell r="D274" t="str">
            <v>撤军令</v>
          </cell>
          <cell r="E274">
            <v>60</v>
          </cell>
          <cell r="F274">
            <v>1</v>
          </cell>
          <cell r="G274">
            <v>1</v>
          </cell>
          <cell r="H274">
            <v>1</v>
          </cell>
          <cell r="I274">
            <v>60</v>
          </cell>
          <cell r="J274">
            <v>60</v>
          </cell>
          <cell r="K274">
            <v>60</v>
          </cell>
          <cell r="L274" t="str">
            <v>使用后使一支出征队伍立即撤军回城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21110</v>
          </cell>
          <cell r="D276" t="str">
            <v>城建1分钟加速令</v>
          </cell>
          <cell r="E276">
            <v>2</v>
          </cell>
          <cell r="F276">
            <v>1</v>
          </cell>
          <cell r="G276">
            <v>1</v>
          </cell>
          <cell r="H276">
            <v>0.3</v>
          </cell>
          <cell r="I276">
            <v>2</v>
          </cell>
          <cell r="J276">
            <v>2</v>
          </cell>
          <cell r="K276">
            <v>0.6</v>
          </cell>
          <cell r="L276" t="str">
            <v>使用后城池建设加速1分钟</v>
          </cell>
        </row>
        <row r="277">
          <cell r="C277">
            <v>21111</v>
          </cell>
          <cell r="D277" t="str">
            <v>城建5分钟加速令</v>
          </cell>
          <cell r="E277">
            <v>8</v>
          </cell>
          <cell r="F277">
            <v>1</v>
          </cell>
          <cell r="G277">
            <v>1</v>
          </cell>
          <cell r="H277">
            <v>0.4</v>
          </cell>
          <cell r="I277">
            <v>8</v>
          </cell>
          <cell r="J277">
            <v>8</v>
          </cell>
          <cell r="K277">
            <v>3.2</v>
          </cell>
          <cell r="L277" t="str">
            <v>使用后城池建设加速5分钟</v>
          </cell>
        </row>
        <row r="278">
          <cell r="C278">
            <v>21112</v>
          </cell>
          <cell r="D278" t="str">
            <v>城建20分钟加速令</v>
          </cell>
          <cell r="E278">
            <v>20</v>
          </cell>
          <cell r="F278">
            <v>1</v>
          </cell>
          <cell r="G278">
            <v>1</v>
          </cell>
          <cell r="H278">
            <v>0.5</v>
          </cell>
          <cell r="I278">
            <v>20</v>
          </cell>
          <cell r="J278">
            <v>20</v>
          </cell>
          <cell r="K278">
            <v>10</v>
          </cell>
          <cell r="L278" t="str">
            <v>使用后城池建设加速20分钟</v>
          </cell>
        </row>
        <row r="279">
          <cell r="C279">
            <v>21113</v>
          </cell>
          <cell r="D279" t="str">
            <v>城建1小时加速令</v>
          </cell>
          <cell r="E279">
            <v>50</v>
          </cell>
          <cell r="F279">
            <v>1.2</v>
          </cell>
          <cell r="G279">
            <v>1</v>
          </cell>
          <cell r="H279">
            <v>0.6</v>
          </cell>
          <cell r="I279">
            <v>60</v>
          </cell>
          <cell r="J279">
            <v>50</v>
          </cell>
          <cell r="K279">
            <v>30</v>
          </cell>
          <cell r="L279" t="str">
            <v>使用后城池建设加速1小时</v>
          </cell>
        </row>
        <row r="280">
          <cell r="C280">
            <v>21114</v>
          </cell>
          <cell r="D280" t="str">
            <v>城建3小时加速令</v>
          </cell>
          <cell r="E280">
            <v>100</v>
          </cell>
          <cell r="F280">
            <v>1.8</v>
          </cell>
          <cell r="G280">
            <v>1</v>
          </cell>
          <cell r="H280">
            <v>0.8</v>
          </cell>
          <cell r="I280">
            <v>180</v>
          </cell>
          <cell r="J280">
            <v>100</v>
          </cell>
          <cell r="K280">
            <v>80</v>
          </cell>
          <cell r="L280" t="str">
            <v>使用后城池建设加速3小时</v>
          </cell>
        </row>
        <row r="281">
          <cell r="C281">
            <v>21135</v>
          </cell>
          <cell r="D281" t="str">
            <v>城建8小时加速令</v>
          </cell>
          <cell r="E281">
            <v>160</v>
          </cell>
          <cell r="F281">
            <v>3</v>
          </cell>
          <cell r="G281">
            <v>1</v>
          </cell>
          <cell r="H281">
            <v>1</v>
          </cell>
          <cell r="I281">
            <v>480</v>
          </cell>
          <cell r="J281">
            <v>160</v>
          </cell>
          <cell r="K281">
            <v>160</v>
          </cell>
          <cell r="L281" t="str">
            <v>使用后城池建设加速8小时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21115</v>
          </cell>
          <cell r="D283" t="str">
            <v>招募1分钟加速令</v>
          </cell>
          <cell r="E283">
            <v>2</v>
          </cell>
          <cell r="F283">
            <v>1</v>
          </cell>
          <cell r="G283">
            <v>1</v>
          </cell>
          <cell r="H283">
            <v>0.3</v>
          </cell>
          <cell r="I283">
            <v>2</v>
          </cell>
          <cell r="J283">
            <v>2</v>
          </cell>
          <cell r="K283">
            <v>0.6</v>
          </cell>
          <cell r="L283" t="str">
            <v>使用后士兵招募加速1分钟</v>
          </cell>
        </row>
        <row r="284">
          <cell r="C284">
            <v>21116</v>
          </cell>
          <cell r="D284" t="str">
            <v>招募5分钟加速令</v>
          </cell>
          <cell r="E284">
            <v>8</v>
          </cell>
          <cell r="F284">
            <v>1</v>
          </cell>
          <cell r="G284">
            <v>1</v>
          </cell>
          <cell r="H284">
            <v>0.4</v>
          </cell>
          <cell r="I284">
            <v>8</v>
          </cell>
          <cell r="J284">
            <v>8</v>
          </cell>
          <cell r="K284">
            <v>3.2</v>
          </cell>
          <cell r="L284" t="str">
            <v>使用后士兵招募加速5分钟</v>
          </cell>
        </row>
        <row r="285">
          <cell r="C285">
            <v>21117</v>
          </cell>
          <cell r="D285" t="str">
            <v>招募20分钟加速令</v>
          </cell>
          <cell r="E285">
            <v>20</v>
          </cell>
          <cell r="F285">
            <v>1</v>
          </cell>
          <cell r="G285">
            <v>1</v>
          </cell>
          <cell r="H285">
            <v>0.5</v>
          </cell>
          <cell r="I285">
            <v>20</v>
          </cell>
          <cell r="J285">
            <v>20</v>
          </cell>
          <cell r="K285">
            <v>10</v>
          </cell>
          <cell r="L285" t="str">
            <v>使用后士兵招募加速20分钟</v>
          </cell>
        </row>
        <row r="286">
          <cell r="C286">
            <v>21118</v>
          </cell>
          <cell r="D286" t="str">
            <v>招募1小时加速令</v>
          </cell>
          <cell r="E286">
            <v>50</v>
          </cell>
          <cell r="F286">
            <v>1.2</v>
          </cell>
          <cell r="G286">
            <v>1</v>
          </cell>
          <cell r="H286">
            <v>0.6</v>
          </cell>
          <cell r="I286">
            <v>60</v>
          </cell>
          <cell r="J286">
            <v>50</v>
          </cell>
          <cell r="K286">
            <v>30</v>
          </cell>
          <cell r="L286" t="str">
            <v>使用后士兵招募加速1小时</v>
          </cell>
        </row>
        <row r="287">
          <cell r="C287">
            <v>21119</v>
          </cell>
          <cell r="D287" t="str">
            <v>招募3小时加速令</v>
          </cell>
          <cell r="E287">
            <v>100</v>
          </cell>
          <cell r="F287">
            <v>1.8</v>
          </cell>
          <cell r="G287">
            <v>1</v>
          </cell>
          <cell r="H287">
            <v>0.8</v>
          </cell>
          <cell r="I287">
            <v>180</v>
          </cell>
          <cell r="J287">
            <v>100</v>
          </cell>
          <cell r="K287">
            <v>80</v>
          </cell>
          <cell r="L287" t="str">
            <v>使用后士兵招募加速3小时</v>
          </cell>
        </row>
        <row r="288">
          <cell r="C288">
            <v>21136</v>
          </cell>
          <cell r="D288" t="str">
            <v>招募8小时加速令</v>
          </cell>
          <cell r="E288">
            <v>160</v>
          </cell>
          <cell r="F288">
            <v>3</v>
          </cell>
          <cell r="G288">
            <v>1</v>
          </cell>
          <cell r="H288">
            <v>1</v>
          </cell>
          <cell r="I288">
            <v>480</v>
          </cell>
          <cell r="J288">
            <v>160</v>
          </cell>
          <cell r="K288">
            <v>160</v>
          </cell>
          <cell r="L288" t="str">
            <v>使用后士兵招募加速8小时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21120</v>
          </cell>
          <cell r="D290" t="str">
            <v>治疗1分钟加速令</v>
          </cell>
          <cell r="E290">
            <v>2</v>
          </cell>
          <cell r="F290">
            <v>1</v>
          </cell>
          <cell r="G290">
            <v>1</v>
          </cell>
          <cell r="H290">
            <v>0.3</v>
          </cell>
          <cell r="I290">
            <v>2</v>
          </cell>
          <cell r="J290">
            <v>2</v>
          </cell>
          <cell r="K290">
            <v>0.6</v>
          </cell>
          <cell r="L290" t="str">
            <v>使用后士兵治疗加速1分钟</v>
          </cell>
        </row>
        <row r="291">
          <cell r="C291">
            <v>21121</v>
          </cell>
          <cell r="D291" t="str">
            <v>治疗5分钟加速令</v>
          </cell>
          <cell r="E291">
            <v>8</v>
          </cell>
          <cell r="F291">
            <v>1</v>
          </cell>
          <cell r="G291">
            <v>1</v>
          </cell>
          <cell r="H291">
            <v>0.4</v>
          </cell>
          <cell r="I291">
            <v>8</v>
          </cell>
          <cell r="J291">
            <v>8</v>
          </cell>
          <cell r="K291">
            <v>3.2</v>
          </cell>
          <cell r="L291" t="str">
            <v>使用后士兵治疗加速5分钟</v>
          </cell>
        </row>
        <row r="292">
          <cell r="C292">
            <v>21122</v>
          </cell>
          <cell r="D292" t="str">
            <v>治疗20分钟加速令</v>
          </cell>
          <cell r="E292">
            <v>20</v>
          </cell>
          <cell r="F292">
            <v>1</v>
          </cell>
          <cell r="G292">
            <v>1</v>
          </cell>
          <cell r="H292">
            <v>0.5</v>
          </cell>
          <cell r="I292">
            <v>20</v>
          </cell>
          <cell r="J292">
            <v>20</v>
          </cell>
          <cell r="K292">
            <v>10</v>
          </cell>
          <cell r="L292" t="str">
            <v>使用后士兵治疗加速20分钟</v>
          </cell>
        </row>
        <row r="293">
          <cell r="C293">
            <v>21123</v>
          </cell>
          <cell r="D293" t="str">
            <v>治疗1小时加速令</v>
          </cell>
          <cell r="E293">
            <v>50</v>
          </cell>
          <cell r="F293">
            <v>1.2</v>
          </cell>
          <cell r="G293">
            <v>1</v>
          </cell>
          <cell r="H293">
            <v>0.6</v>
          </cell>
          <cell r="I293">
            <v>60</v>
          </cell>
          <cell r="J293">
            <v>50</v>
          </cell>
          <cell r="K293">
            <v>30</v>
          </cell>
          <cell r="L293" t="str">
            <v>使用后士兵治疗加速1小时</v>
          </cell>
        </row>
        <row r="294">
          <cell r="C294">
            <v>21124</v>
          </cell>
          <cell r="D294" t="str">
            <v>治疗3小时加速令</v>
          </cell>
          <cell r="E294">
            <v>100</v>
          </cell>
          <cell r="F294">
            <v>1.8</v>
          </cell>
          <cell r="G294">
            <v>1</v>
          </cell>
          <cell r="H294">
            <v>0.8</v>
          </cell>
          <cell r="I294">
            <v>180</v>
          </cell>
          <cell r="J294">
            <v>100</v>
          </cell>
          <cell r="K294">
            <v>80</v>
          </cell>
          <cell r="L294" t="str">
            <v>使用后士兵治疗加速3小时</v>
          </cell>
        </row>
        <row r="295">
          <cell r="C295">
            <v>21137</v>
          </cell>
          <cell r="D295" t="str">
            <v>治疗8小时加速令</v>
          </cell>
          <cell r="E295">
            <v>160</v>
          </cell>
          <cell r="F295">
            <v>3</v>
          </cell>
          <cell r="G295">
            <v>1</v>
          </cell>
          <cell r="H295">
            <v>1</v>
          </cell>
          <cell r="I295">
            <v>480</v>
          </cell>
          <cell r="J295">
            <v>160</v>
          </cell>
          <cell r="K295">
            <v>160</v>
          </cell>
          <cell r="L295" t="str">
            <v>使用后士兵治疗加速8小时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21130</v>
          </cell>
          <cell r="D297" t="str">
            <v>训练1分钟加速令</v>
          </cell>
          <cell r="E297">
            <v>2</v>
          </cell>
          <cell r="F297">
            <v>1</v>
          </cell>
          <cell r="G297">
            <v>1</v>
          </cell>
          <cell r="H297">
            <v>0.3</v>
          </cell>
          <cell r="I297">
            <v>2</v>
          </cell>
          <cell r="J297">
            <v>2</v>
          </cell>
          <cell r="K297">
            <v>0.6</v>
          </cell>
          <cell r="L297" t="str">
            <v>使用后士兵训练加速1分钟</v>
          </cell>
        </row>
        <row r="298">
          <cell r="C298">
            <v>21131</v>
          </cell>
          <cell r="D298" t="str">
            <v>训练5分钟加速令</v>
          </cell>
          <cell r="E298">
            <v>8</v>
          </cell>
          <cell r="F298">
            <v>1</v>
          </cell>
          <cell r="G298">
            <v>1</v>
          </cell>
          <cell r="H298">
            <v>0.4</v>
          </cell>
          <cell r="I298">
            <v>8</v>
          </cell>
          <cell r="J298">
            <v>8</v>
          </cell>
          <cell r="K298">
            <v>3.2</v>
          </cell>
          <cell r="L298" t="str">
            <v>使用后士兵训练加速5分钟</v>
          </cell>
        </row>
        <row r="299">
          <cell r="C299">
            <v>21132</v>
          </cell>
          <cell r="D299" t="str">
            <v>训练20分钟加速令</v>
          </cell>
          <cell r="E299">
            <v>20</v>
          </cell>
          <cell r="F299">
            <v>1</v>
          </cell>
          <cell r="G299">
            <v>1</v>
          </cell>
          <cell r="H299">
            <v>0.5</v>
          </cell>
          <cell r="I299">
            <v>20</v>
          </cell>
          <cell r="J299">
            <v>20</v>
          </cell>
          <cell r="K299">
            <v>10</v>
          </cell>
          <cell r="L299" t="str">
            <v>使用后士兵训练加速20分钟</v>
          </cell>
        </row>
        <row r="300">
          <cell r="C300">
            <v>21133</v>
          </cell>
          <cell r="D300" t="str">
            <v>训练1小时加速令</v>
          </cell>
          <cell r="E300">
            <v>50</v>
          </cell>
          <cell r="F300">
            <v>1.2</v>
          </cell>
          <cell r="G300">
            <v>1</v>
          </cell>
          <cell r="H300">
            <v>0.6</v>
          </cell>
          <cell r="I300">
            <v>60</v>
          </cell>
          <cell r="J300">
            <v>50</v>
          </cell>
          <cell r="K300">
            <v>30</v>
          </cell>
          <cell r="L300" t="str">
            <v>使用后士兵训练加速1小时</v>
          </cell>
        </row>
        <row r="301">
          <cell r="C301">
            <v>21134</v>
          </cell>
          <cell r="D301" t="str">
            <v>训练3小时加速令</v>
          </cell>
          <cell r="E301">
            <v>100</v>
          </cell>
          <cell r="F301">
            <v>1.8</v>
          </cell>
          <cell r="G301">
            <v>1</v>
          </cell>
          <cell r="H301">
            <v>0.8</v>
          </cell>
          <cell r="I301">
            <v>180</v>
          </cell>
          <cell r="J301">
            <v>100</v>
          </cell>
          <cell r="K301">
            <v>80</v>
          </cell>
          <cell r="L301" t="str">
            <v>使用后士兵训练加速3小时</v>
          </cell>
        </row>
        <row r="302">
          <cell r="C302">
            <v>21139</v>
          </cell>
          <cell r="D302" t="str">
            <v>训练8小时加速令</v>
          </cell>
          <cell r="E302">
            <v>160</v>
          </cell>
          <cell r="F302">
            <v>3</v>
          </cell>
          <cell r="G302">
            <v>1</v>
          </cell>
          <cell r="H302">
            <v>1</v>
          </cell>
          <cell r="I302">
            <v>480</v>
          </cell>
          <cell r="J302">
            <v>160</v>
          </cell>
          <cell r="K302">
            <v>160</v>
          </cell>
          <cell r="L302" t="str">
            <v>使用后士兵训练加速8小时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>
            <v>21140</v>
          </cell>
          <cell r="D304" t="str">
            <v>圣人1分钟加速令</v>
          </cell>
          <cell r="E304">
            <v>2</v>
          </cell>
          <cell r="F304">
            <v>1</v>
          </cell>
          <cell r="G304">
            <v>1</v>
          </cell>
          <cell r="H304">
            <v>0.3</v>
          </cell>
          <cell r="I304">
            <v>2</v>
          </cell>
          <cell r="J304">
            <v>2</v>
          </cell>
          <cell r="K304">
            <v>0.6</v>
          </cell>
          <cell r="L304" t="str">
            <v>使用后士兵训练加速1分钟</v>
          </cell>
        </row>
        <row r="305">
          <cell r="C305">
            <v>21141</v>
          </cell>
          <cell r="D305" t="str">
            <v>圣人5分钟加速令</v>
          </cell>
          <cell r="E305">
            <v>8</v>
          </cell>
          <cell r="F305">
            <v>1</v>
          </cell>
          <cell r="G305">
            <v>1</v>
          </cell>
          <cell r="H305">
            <v>0.4</v>
          </cell>
          <cell r="I305">
            <v>8</v>
          </cell>
          <cell r="J305">
            <v>8</v>
          </cell>
          <cell r="K305">
            <v>3.2</v>
          </cell>
          <cell r="L305" t="str">
            <v>使用后士兵训练加速5分钟</v>
          </cell>
        </row>
        <row r="306">
          <cell r="C306">
            <v>21142</v>
          </cell>
          <cell r="D306" t="str">
            <v>圣人20分钟加速令</v>
          </cell>
          <cell r="E306">
            <v>20</v>
          </cell>
          <cell r="F306">
            <v>1</v>
          </cell>
          <cell r="G306">
            <v>1</v>
          </cell>
          <cell r="H306">
            <v>0.5</v>
          </cell>
          <cell r="I306">
            <v>20</v>
          </cell>
          <cell r="J306">
            <v>20</v>
          </cell>
          <cell r="K306">
            <v>10</v>
          </cell>
          <cell r="L306" t="str">
            <v>使用后士兵训练加速20分钟</v>
          </cell>
        </row>
        <row r="307">
          <cell r="C307">
            <v>21143</v>
          </cell>
          <cell r="D307" t="str">
            <v>圣人1小时加速令</v>
          </cell>
          <cell r="E307">
            <v>50</v>
          </cell>
          <cell r="F307">
            <v>1.2</v>
          </cell>
          <cell r="G307">
            <v>1</v>
          </cell>
          <cell r="H307">
            <v>0.6</v>
          </cell>
          <cell r="I307">
            <v>60</v>
          </cell>
          <cell r="J307">
            <v>50</v>
          </cell>
          <cell r="K307">
            <v>30</v>
          </cell>
          <cell r="L307" t="str">
            <v>使用后士兵训练加速1小时</v>
          </cell>
        </row>
        <row r="308">
          <cell r="C308">
            <v>21144</v>
          </cell>
          <cell r="D308" t="str">
            <v>圣人3小时加速令</v>
          </cell>
          <cell r="E308">
            <v>100</v>
          </cell>
          <cell r="F308">
            <v>1.8</v>
          </cell>
          <cell r="G308">
            <v>1</v>
          </cell>
          <cell r="H308">
            <v>0.8</v>
          </cell>
          <cell r="I308">
            <v>180</v>
          </cell>
          <cell r="J308">
            <v>100</v>
          </cell>
          <cell r="K308">
            <v>80</v>
          </cell>
          <cell r="L308" t="str">
            <v>使用后士兵训练加速3小时</v>
          </cell>
        </row>
        <row r="309">
          <cell r="C309">
            <v>21145</v>
          </cell>
          <cell r="D309" t="str">
            <v>圣人8小时加速令</v>
          </cell>
          <cell r="E309">
            <v>160</v>
          </cell>
          <cell r="F309">
            <v>3</v>
          </cell>
          <cell r="G309">
            <v>1</v>
          </cell>
          <cell r="H309">
            <v>1</v>
          </cell>
          <cell r="I309">
            <v>480</v>
          </cell>
          <cell r="J309">
            <v>160</v>
          </cell>
          <cell r="K309">
            <v>160</v>
          </cell>
          <cell r="L309" t="str">
            <v>使用后士兵训练加速8小时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21125</v>
          </cell>
          <cell r="D311" t="str">
            <v>通用1分钟加速令</v>
          </cell>
          <cell r="E311">
            <v>2</v>
          </cell>
          <cell r="F311">
            <v>1</v>
          </cell>
          <cell r="G311">
            <v>1</v>
          </cell>
          <cell r="H311">
            <v>0.3</v>
          </cell>
          <cell r="I311">
            <v>2</v>
          </cell>
          <cell r="J311">
            <v>2</v>
          </cell>
          <cell r="K311">
            <v>0.6</v>
          </cell>
          <cell r="L311" t="str">
            <v>使用后任意队列加速1分钟</v>
          </cell>
        </row>
        <row r="312">
          <cell r="C312">
            <v>21126</v>
          </cell>
          <cell r="D312" t="str">
            <v>通用5分钟加速令</v>
          </cell>
          <cell r="E312">
            <v>8</v>
          </cell>
          <cell r="F312">
            <v>1</v>
          </cell>
          <cell r="G312">
            <v>1</v>
          </cell>
          <cell r="H312">
            <v>0.4</v>
          </cell>
          <cell r="I312">
            <v>8</v>
          </cell>
          <cell r="J312">
            <v>8</v>
          </cell>
          <cell r="K312">
            <v>3.2</v>
          </cell>
          <cell r="L312" t="str">
            <v>使用后任意队列加速5分钟</v>
          </cell>
        </row>
        <row r="313">
          <cell r="C313">
            <v>21127</v>
          </cell>
          <cell r="D313" t="str">
            <v>通用20分钟加速令</v>
          </cell>
          <cell r="E313">
            <v>20</v>
          </cell>
          <cell r="F313">
            <v>1</v>
          </cell>
          <cell r="G313">
            <v>1</v>
          </cell>
          <cell r="H313">
            <v>0.5</v>
          </cell>
          <cell r="I313">
            <v>20</v>
          </cell>
          <cell r="J313">
            <v>20</v>
          </cell>
          <cell r="K313">
            <v>10</v>
          </cell>
          <cell r="L313" t="str">
            <v>使用后任意队列加速20分钟</v>
          </cell>
        </row>
        <row r="314">
          <cell r="C314">
            <v>21128</v>
          </cell>
          <cell r="D314" t="str">
            <v>通用1小时加速令</v>
          </cell>
          <cell r="E314">
            <v>50</v>
          </cell>
          <cell r="F314">
            <v>1.2</v>
          </cell>
          <cell r="G314">
            <v>1</v>
          </cell>
          <cell r="H314">
            <v>0.6</v>
          </cell>
          <cell r="I314">
            <v>60</v>
          </cell>
          <cell r="J314">
            <v>50</v>
          </cell>
          <cell r="K314">
            <v>30</v>
          </cell>
          <cell r="L314" t="str">
            <v>使用后任意队列加速1小时</v>
          </cell>
        </row>
        <row r="315">
          <cell r="C315">
            <v>21129</v>
          </cell>
          <cell r="D315" t="str">
            <v>通用3小时加速令</v>
          </cell>
          <cell r="E315">
            <v>100</v>
          </cell>
          <cell r="F315">
            <v>1.8</v>
          </cell>
          <cell r="G315">
            <v>1</v>
          </cell>
          <cell r="H315">
            <v>0.8</v>
          </cell>
          <cell r="I315">
            <v>180</v>
          </cell>
          <cell r="J315">
            <v>100</v>
          </cell>
          <cell r="K315">
            <v>80</v>
          </cell>
          <cell r="L315" t="str">
            <v>使用后任意队列加速3小时</v>
          </cell>
        </row>
        <row r="316">
          <cell r="C316">
            <v>21138</v>
          </cell>
          <cell r="D316" t="str">
            <v>通用8小时加速令</v>
          </cell>
          <cell r="E316">
            <v>160</v>
          </cell>
          <cell r="F316">
            <v>3</v>
          </cell>
          <cell r="G316">
            <v>1</v>
          </cell>
          <cell r="H316">
            <v>1</v>
          </cell>
          <cell r="I316">
            <v>480</v>
          </cell>
          <cell r="J316">
            <v>160</v>
          </cell>
          <cell r="K316">
            <v>160</v>
          </cell>
          <cell r="L316" t="str">
            <v>使用后任意队列加速8小时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21150</v>
          </cell>
          <cell r="D319" t="str">
            <v>初级装备淬炼</v>
          </cell>
          <cell r="E319">
            <v>10</v>
          </cell>
          <cell r="F319">
            <v>1</v>
          </cell>
          <cell r="G319">
            <v>1</v>
          </cell>
          <cell r="H319">
            <v>0.3</v>
          </cell>
          <cell r="I319">
            <v>10</v>
          </cell>
          <cell r="J319">
            <v>10</v>
          </cell>
          <cell r="K319">
            <v>3</v>
          </cell>
          <cell r="L319" t="str">
            <v>装备使用后获得10经验</v>
          </cell>
        </row>
        <row r="320">
          <cell r="C320">
            <v>21151</v>
          </cell>
          <cell r="D320" t="str">
            <v>中级装备淬炼</v>
          </cell>
          <cell r="E320">
            <v>20</v>
          </cell>
          <cell r="F320">
            <v>1</v>
          </cell>
          <cell r="G320">
            <v>1</v>
          </cell>
          <cell r="H320">
            <v>0.3</v>
          </cell>
          <cell r="I320">
            <v>20</v>
          </cell>
          <cell r="J320">
            <v>20</v>
          </cell>
          <cell r="K320">
            <v>6</v>
          </cell>
          <cell r="L320" t="str">
            <v>装备使用后获得20经验</v>
          </cell>
        </row>
        <row r="321">
          <cell r="C321">
            <v>21152</v>
          </cell>
          <cell r="D321" t="str">
            <v>高级装备淬炼</v>
          </cell>
          <cell r="E321">
            <v>40</v>
          </cell>
          <cell r="F321">
            <v>1</v>
          </cell>
          <cell r="G321">
            <v>1</v>
          </cell>
          <cell r="H321">
            <v>0.3</v>
          </cell>
          <cell r="I321">
            <v>40</v>
          </cell>
          <cell r="J321">
            <v>40</v>
          </cell>
          <cell r="K321">
            <v>12</v>
          </cell>
          <cell r="L321" t="str">
            <v>装备使用后获得40经验</v>
          </cell>
        </row>
        <row r="322">
          <cell r="C322">
            <v>21153</v>
          </cell>
          <cell r="D322" t="str">
            <v>特级装备淬炼</v>
          </cell>
          <cell r="E322">
            <v>75</v>
          </cell>
          <cell r="F322">
            <v>1.25</v>
          </cell>
          <cell r="G322">
            <v>1</v>
          </cell>
          <cell r="H322">
            <v>0.3</v>
          </cell>
          <cell r="I322">
            <v>93.75</v>
          </cell>
          <cell r="J322">
            <v>75</v>
          </cell>
          <cell r="K322">
            <v>22.5</v>
          </cell>
          <cell r="L322" t="str">
            <v>装备使用后获得75经验</v>
          </cell>
        </row>
        <row r="323">
          <cell r="C323">
            <v>21154</v>
          </cell>
          <cell r="D323" t="str">
            <v>超级装备淬炼</v>
          </cell>
          <cell r="E323">
            <v>150</v>
          </cell>
          <cell r="F323">
            <v>1.5</v>
          </cell>
          <cell r="G323">
            <v>1</v>
          </cell>
          <cell r="H323">
            <v>0.3</v>
          </cell>
          <cell r="I323">
            <v>225</v>
          </cell>
          <cell r="J323">
            <v>150</v>
          </cell>
          <cell r="K323">
            <v>45</v>
          </cell>
          <cell r="L323" t="str">
            <v>装备使用后获得150经验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21500</v>
          </cell>
          <cell r="D325" t="str">
            <v>随机迁城令</v>
          </cell>
          <cell r="E325">
            <v>100</v>
          </cell>
          <cell r="F325">
            <v>1</v>
          </cell>
          <cell r="G325">
            <v>1</v>
          </cell>
          <cell r="H325">
            <v>1</v>
          </cell>
          <cell r="I325">
            <v>100</v>
          </cell>
          <cell r="J325">
            <v>100</v>
          </cell>
          <cell r="K325">
            <v>100</v>
          </cell>
          <cell r="L325" t="str">
            <v>使用后城池迁移到随机位置</v>
          </cell>
        </row>
        <row r="326">
          <cell r="C326">
            <v>21501</v>
          </cell>
          <cell r="D326" t="str">
            <v>九州迁城令</v>
          </cell>
          <cell r="E326">
            <v>300</v>
          </cell>
          <cell r="F326">
            <v>1</v>
          </cell>
          <cell r="G326">
            <v>1</v>
          </cell>
          <cell r="H326">
            <v>1</v>
          </cell>
          <cell r="I326">
            <v>300</v>
          </cell>
          <cell r="J326">
            <v>300</v>
          </cell>
          <cell r="K326">
            <v>300</v>
          </cell>
          <cell r="L326" t="str">
            <v>使用后城池迁移到指定位置</v>
          </cell>
        </row>
        <row r="327">
          <cell r="C327">
            <v>21504</v>
          </cell>
          <cell r="D327" t="str">
            <v>国内迁城令</v>
          </cell>
          <cell r="E327">
            <v>100</v>
          </cell>
          <cell r="F327">
            <v>1</v>
          </cell>
          <cell r="G327">
            <v>1</v>
          </cell>
          <cell r="H327">
            <v>1</v>
          </cell>
          <cell r="I327">
            <v>100</v>
          </cell>
          <cell r="J327">
            <v>100</v>
          </cell>
          <cell r="K327">
            <v>100</v>
          </cell>
          <cell r="L327" t="str">
            <v>使用后城池迁移到国内指定位置</v>
          </cell>
        </row>
        <row r="328">
          <cell r="C328">
            <v>21502</v>
          </cell>
          <cell r="D328" t="str">
            <v>校武牌</v>
          </cell>
          <cell r="E328">
            <v>20</v>
          </cell>
          <cell r="F328">
            <v>1</v>
          </cell>
          <cell r="G328">
            <v>1</v>
          </cell>
          <cell r="H328">
            <v>1</v>
          </cell>
          <cell r="I328">
            <v>20</v>
          </cell>
          <cell r="J328">
            <v>20</v>
          </cell>
          <cell r="K328">
            <v>20</v>
          </cell>
          <cell r="L328" t="str">
            <v>使用后增加1次校场挑战机会</v>
          </cell>
        </row>
        <row r="329">
          <cell r="C329">
            <v>21503</v>
          </cell>
          <cell r="D329" t="str">
            <v>复仇令</v>
          </cell>
          <cell r="E329">
            <v>50</v>
          </cell>
          <cell r="F329">
            <v>1</v>
          </cell>
          <cell r="G329">
            <v>1</v>
          </cell>
          <cell r="H329">
            <v>1</v>
          </cell>
          <cell r="I329">
            <v>50</v>
          </cell>
          <cell r="J329">
            <v>50</v>
          </cell>
          <cell r="K329">
            <v>50</v>
          </cell>
          <cell r="L329" t="str">
            <v>被其他玩家攻击后，可以通过复仇令追查到该玩家城池所在坐标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>
            <v>26400</v>
          </cell>
          <cell r="D331" t="str">
            <v>步兵虎符</v>
          </cell>
          <cell r="E331">
            <v>200</v>
          </cell>
          <cell r="F331">
            <v>1</v>
          </cell>
          <cell r="G331">
            <v>1</v>
          </cell>
          <cell r="H331">
            <v>1</v>
          </cell>
          <cell r="I331">
            <v>200</v>
          </cell>
          <cell r="J331">
            <v>200</v>
          </cell>
          <cell r="K331">
            <v>200</v>
          </cell>
          <cell r="L331" t="str">
            <v>使用后立即获得10000步兵新兵</v>
          </cell>
        </row>
        <row r="332">
          <cell r="C332">
            <v>26401</v>
          </cell>
          <cell r="D332" t="str">
            <v>骑兵虎符</v>
          </cell>
          <cell r="E332">
            <v>200</v>
          </cell>
          <cell r="F332">
            <v>1</v>
          </cell>
          <cell r="G332">
            <v>1</v>
          </cell>
          <cell r="H332">
            <v>1</v>
          </cell>
          <cell r="I332">
            <v>200</v>
          </cell>
          <cell r="J332">
            <v>200</v>
          </cell>
          <cell r="K332">
            <v>200</v>
          </cell>
          <cell r="L332" t="str">
            <v>使用后立即获得10000骑兵新兵</v>
          </cell>
        </row>
        <row r="333">
          <cell r="C333">
            <v>26402</v>
          </cell>
          <cell r="D333" t="str">
            <v>弓箭虎符</v>
          </cell>
          <cell r="E333">
            <v>200</v>
          </cell>
          <cell r="F333">
            <v>1</v>
          </cell>
          <cell r="G333">
            <v>1</v>
          </cell>
          <cell r="H333">
            <v>1</v>
          </cell>
          <cell r="I333">
            <v>200</v>
          </cell>
          <cell r="J333">
            <v>200</v>
          </cell>
          <cell r="K333">
            <v>200</v>
          </cell>
          <cell r="L333" t="str">
            <v>使用后立即获得10000弓箭新兵</v>
          </cell>
        </row>
        <row r="334">
          <cell r="C334">
            <v>26403</v>
          </cell>
          <cell r="D334" t="str">
            <v>器械虎符</v>
          </cell>
          <cell r="E334">
            <v>200</v>
          </cell>
          <cell r="F334">
            <v>1</v>
          </cell>
          <cell r="G334">
            <v>1</v>
          </cell>
          <cell r="H334">
            <v>1</v>
          </cell>
          <cell r="I334">
            <v>200</v>
          </cell>
          <cell r="J334">
            <v>200</v>
          </cell>
          <cell r="K334">
            <v>200</v>
          </cell>
          <cell r="L334" t="str">
            <v>使用后立即获得10000器械兵新兵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26500</v>
          </cell>
          <cell r="D336" t="str">
            <v>兵法宝箱</v>
          </cell>
          <cell r="E336">
            <v>250</v>
          </cell>
          <cell r="F336">
            <v>1</v>
          </cell>
          <cell r="G336">
            <v>1</v>
          </cell>
          <cell r="H336">
            <v>1</v>
          </cell>
          <cell r="I336">
            <v>250</v>
          </cell>
          <cell r="J336">
            <v>250</v>
          </cell>
          <cell r="K336">
            <v>250</v>
          </cell>
          <cell r="L336" t="str">
            <v>使用后随机获得1个兵法</v>
          </cell>
        </row>
        <row r="337">
          <cell r="C337">
            <v>26501</v>
          </cell>
          <cell r="D337" t="str">
            <v>蓝色兵法宝箱</v>
          </cell>
          <cell r="E337">
            <v>50</v>
          </cell>
          <cell r="F337">
            <v>1</v>
          </cell>
          <cell r="G337">
            <v>1</v>
          </cell>
          <cell r="H337">
            <v>1</v>
          </cell>
          <cell r="I337">
            <v>50</v>
          </cell>
          <cell r="J337">
            <v>50</v>
          </cell>
          <cell r="K337">
            <v>50</v>
          </cell>
          <cell r="L337" t="str">
            <v>使用后随机获得1个蓝色品质兵法</v>
          </cell>
        </row>
        <row r="338">
          <cell r="C338">
            <v>26502</v>
          </cell>
          <cell r="D338" t="str">
            <v>紫色兵法宝箱</v>
          </cell>
          <cell r="E338">
            <v>500</v>
          </cell>
          <cell r="F338">
            <v>1</v>
          </cell>
          <cell r="G338">
            <v>1</v>
          </cell>
          <cell r="H338">
            <v>1</v>
          </cell>
          <cell r="I338">
            <v>500</v>
          </cell>
          <cell r="J338">
            <v>500</v>
          </cell>
          <cell r="K338">
            <v>500</v>
          </cell>
          <cell r="L338" t="str">
            <v>使用后随机获得1个紫色品质兵法</v>
          </cell>
        </row>
        <row r="339">
          <cell r="C339">
            <v>26503</v>
          </cell>
          <cell r="D339" t="str">
            <v>橙色兵法宝箱</v>
          </cell>
          <cell r="E339">
            <v>1680</v>
          </cell>
          <cell r="F339">
            <v>1</v>
          </cell>
          <cell r="G339">
            <v>1</v>
          </cell>
          <cell r="H339">
            <v>1</v>
          </cell>
          <cell r="I339">
            <v>1680</v>
          </cell>
          <cell r="J339">
            <v>1680</v>
          </cell>
          <cell r="K339">
            <v>1680</v>
          </cell>
          <cell r="L339" t="str">
            <v>使用后随机获得1个橙色品质兵法</v>
          </cell>
        </row>
        <row r="340">
          <cell r="C340">
            <v>26504</v>
          </cell>
          <cell r="D340" t="str">
            <v>红色兵法宝箱</v>
          </cell>
          <cell r="E340">
            <v>14100</v>
          </cell>
          <cell r="F340">
            <v>1</v>
          </cell>
          <cell r="G340">
            <v>1</v>
          </cell>
          <cell r="H340">
            <v>1</v>
          </cell>
          <cell r="I340">
            <v>14100</v>
          </cell>
          <cell r="J340">
            <v>14100</v>
          </cell>
          <cell r="K340">
            <v>14100</v>
          </cell>
          <cell r="L340" t="str">
            <v>使用后随机获得1个红色品质兵法</v>
          </cell>
        </row>
        <row r="341">
          <cell r="C341" t="str">
            <v/>
          </cell>
          <cell r="D341" t="str">
            <v>指定or任选蓝色兵法</v>
          </cell>
          <cell r="E341">
            <v>35</v>
          </cell>
          <cell r="F341">
            <v>1</v>
          </cell>
          <cell r="G341">
            <v>1</v>
          </cell>
          <cell r="H341">
            <v>1</v>
          </cell>
          <cell r="I341">
            <v>35</v>
          </cell>
          <cell r="J341">
            <v>35</v>
          </cell>
          <cell r="K341">
            <v>35</v>
          </cell>
          <cell r="L341" t="str">
            <v/>
          </cell>
        </row>
        <row r="342">
          <cell r="C342" t="str">
            <v/>
          </cell>
          <cell r="D342" t="str">
            <v>指定or任选紫色兵法</v>
          </cell>
          <cell r="E342">
            <v>750</v>
          </cell>
          <cell r="F342">
            <v>1</v>
          </cell>
          <cell r="G342">
            <v>1</v>
          </cell>
          <cell r="H342">
            <v>1</v>
          </cell>
          <cell r="I342">
            <v>750</v>
          </cell>
          <cell r="J342">
            <v>750</v>
          </cell>
          <cell r="K342">
            <v>750</v>
          </cell>
          <cell r="L342" t="str">
            <v/>
          </cell>
        </row>
        <row r="343">
          <cell r="C343" t="str">
            <v/>
          </cell>
          <cell r="D343" t="str">
            <v>指定or任选橙色兵法</v>
          </cell>
          <cell r="E343">
            <v>3350</v>
          </cell>
          <cell r="F343">
            <v>1</v>
          </cell>
          <cell r="G343">
            <v>1</v>
          </cell>
          <cell r="H343">
            <v>1</v>
          </cell>
          <cell r="I343">
            <v>3350</v>
          </cell>
          <cell r="J343">
            <v>3350</v>
          </cell>
          <cell r="K343">
            <v>3350</v>
          </cell>
          <cell r="L343" t="str">
            <v/>
          </cell>
        </row>
        <row r="344">
          <cell r="C344" t="str">
            <v/>
          </cell>
          <cell r="D344" t="str">
            <v>指定or任选红色兵法</v>
          </cell>
          <cell r="E344">
            <v>9165</v>
          </cell>
          <cell r="F344">
            <v>1</v>
          </cell>
          <cell r="G344">
            <v>1</v>
          </cell>
          <cell r="H344">
            <v>1</v>
          </cell>
          <cell r="I344">
            <v>9165</v>
          </cell>
          <cell r="J344">
            <v>9165</v>
          </cell>
          <cell r="K344">
            <v>9165</v>
          </cell>
          <cell r="L344" t="str">
            <v/>
          </cell>
        </row>
        <row r="345">
          <cell r="C345">
            <v>26505</v>
          </cell>
          <cell r="D345" t="str">
            <v>兵家信物</v>
          </cell>
          <cell r="E345">
            <v>300</v>
          </cell>
          <cell r="F345">
            <v>1</v>
          </cell>
          <cell r="G345">
            <v>1</v>
          </cell>
          <cell r="H345">
            <v>1</v>
          </cell>
          <cell r="I345">
            <v>300</v>
          </cell>
          <cell r="J345">
            <v>300</v>
          </cell>
          <cell r="K345">
            <v>300</v>
          </cell>
          <cell r="L345" t="str">
            <v>抽取兵法时消耗的道具（赠送10个5分钟通用加速）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>
            <v>26520</v>
          </cell>
          <cell r="D348" t="str">
            <v>紫色兵法自选宝箱</v>
          </cell>
          <cell r="E348">
            <v>750</v>
          </cell>
          <cell r="F348">
            <v>1</v>
          </cell>
          <cell r="G348">
            <v>1</v>
          </cell>
          <cell r="H348">
            <v>1</v>
          </cell>
          <cell r="I348">
            <v>750</v>
          </cell>
          <cell r="J348">
            <v>750</v>
          </cell>
          <cell r="K348">
            <v>750</v>
          </cell>
          <cell r="L348" t="str">
            <v>使用后可选择一个紫色兵法。紫色兵法：攻其不备、出奇制胜、破军夺志</v>
          </cell>
        </row>
        <row r="349">
          <cell r="C349">
            <v>26521</v>
          </cell>
          <cell r="D349" t="str">
            <v>橙色兵法自选宝箱</v>
          </cell>
          <cell r="E349">
            <v>3350</v>
          </cell>
          <cell r="F349">
            <v>1</v>
          </cell>
          <cell r="G349">
            <v>1</v>
          </cell>
          <cell r="H349">
            <v>1</v>
          </cell>
          <cell r="I349">
            <v>3350</v>
          </cell>
          <cell r="J349">
            <v>3350</v>
          </cell>
          <cell r="K349">
            <v>3350</v>
          </cell>
          <cell r="L349" t="str">
            <v>使用后可选择一个橙色兵法。橙色兵法：援军秘策、养精蓄锐、退敌千里、奇佐鬼谋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</row>
        <row r="351">
          <cell r="C351">
            <v>26551</v>
          </cell>
          <cell r="D351" t="str">
            <v>虎符宝箱</v>
          </cell>
          <cell r="E351">
            <v>160</v>
          </cell>
          <cell r="F351">
            <v>1</v>
          </cell>
          <cell r="G351">
            <v>1</v>
          </cell>
          <cell r="H351">
            <v>1</v>
          </cell>
          <cell r="I351">
            <v>160</v>
          </cell>
          <cell r="J351">
            <v>160</v>
          </cell>
          <cell r="K351">
            <v>160</v>
          </cell>
          <cell r="L351" t="str">
            <v>使用后随机获得1个虎符</v>
          </cell>
        </row>
        <row r="352">
          <cell r="C352">
            <v>26552</v>
          </cell>
          <cell r="D352" t="str">
            <v>1级贡品宝箱</v>
          </cell>
          <cell r="E352">
            <v>40</v>
          </cell>
          <cell r="F352">
            <v>1</v>
          </cell>
          <cell r="G352">
            <v>1</v>
          </cell>
          <cell r="H352">
            <v>1</v>
          </cell>
          <cell r="I352">
            <v>40</v>
          </cell>
          <cell r="J352">
            <v>40</v>
          </cell>
          <cell r="K352">
            <v>40</v>
          </cell>
          <cell r="L352" t="str">
            <v>使用后随机获得铜镜、陶罐中的1个贡品</v>
          </cell>
        </row>
        <row r="353">
          <cell r="C353">
            <v>26553</v>
          </cell>
          <cell r="D353" t="str">
            <v>2级贡品宝箱</v>
          </cell>
          <cell r="E353">
            <v>60</v>
          </cell>
          <cell r="F353">
            <v>1</v>
          </cell>
          <cell r="G353">
            <v>1</v>
          </cell>
          <cell r="H353">
            <v>1</v>
          </cell>
          <cell r="I353">
            <v>60</v>
          </cell>
          <cell r="J353">
            <v>60</v>
          </cell>
          <cell r="K353">
            <v>60</v>
          </cell>
          <cell r="L353" t="str">
            <v>使用后随机获得水晶杯、香鼎、铜壶中的1个贡品</v>
          </cell>
        </row>
        <row r="354">
          <cell r="C354">
            <v>26554</v>
          </cell>
          <cell r="D354" t="str">
            <v>3级贡品宝箱</v>
          </cell>
          <cell r="E354">
            <v>80</v>
          </cell>
          <cell r="F354">
            <v>1</v>
          </cell>
          <cell r="G354">
            <v>1</v>
          </cell>
          <cell r="H354">
            <v>1</v>
          </cell>
          <cell r="I354">
            <v>80</v>
          </cell>
          <cell r="J354">
            <v>80</v>
          </cell>
          <cell r="K354">
            <v>80</v>
          </cell>
          <cell r="L354" t="str">
            <v>使用后随机获得长颈壶、方陶皿、兽头觥、象形尊中的1个贡品</v>
          </cell>
        </row>
        <row r="355">
          <cell r="C355">
            <v>26555</v>
          </cell>
          <cell r="D355" t="str">
            <v>4级贡品宝箱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 t="str">
            <v>使用后随机获得冰鉴、螭首盉、三足爵、鎏金缶中的1个贡品</v>
          </cell>
        </row>
        <row r="356">
          <cell r="C356">
            <v>26556</v>
          </cell>
          <cell r="D356" t="str">
            <v>5级贡品宝箱</v>
          </cell>
          <cell r="E356">
            <v>120</v>
          </cell>
          <cell r="F356">
            <v>1</v>
          </cell>
          <cell r="G356">
            <v>1</v>
          </cell>
          <cell r="H356">
            <v>1</v>
          </cell>
          <cell r="I356">
            <v>120</v>
          </cell>
          <cell r="J356">
            <v>120</v>
          </cell>
          <cell r="K356">
            <v>120</v>
          </cell>
          <cell r="L356" t="str">
            <v>使用后随机获得锦瑟、编钟、石磬、瑶琴中的1个贡品</v>
          </cell>
        </row>
        <row r="357">
          <cell r="C357">
            <v>26557</v>
          </cell>
          <cell r="D357" t="str">
            <v>6级贡品宝箱</v>
          </cell>
          <cell r="E357">
            <v>140</v>
          </cell>
          <cell r="F357">
            <v>1</v>
          </cell>
          <cell r="G357">
            <v>1</v>
          </cell>
          <cell r="H357">
            <v>1</v>
          </cell>
          <cell r="I357">
            <v>140</v>
          </cell>
          <cell r="J357">
            <v>140</v>
          </cell>
          <cell r="K357">
            <v>140</v>
          </cell>
          <cell r="L357" t="str">
            <v>使用后随机获得青圭、赤璋、白琥、玄璜中的1个贡品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>
            <v>21251</v>
          </cell>
          <cell r="D359" t="str">
            <v>绿色装备宝箱</v>
          </cell>
          <cell r="E359">
            <v>35</v>
          </cell>
          <cell r="F359">
            <v>1</v>
          </cell>
          <cell r="G359">
            <v>1</v>
          </cell>
          <cell r="H359">
            <v>1</v>
          </cell>
          <cell r="I359">
            <v>35</v>
          </cell>
          <cell r="J359">
            <v>35</v>
          </cell>
          <cell r="K359">
            <v>35</v>
          </cell>
          <cell r="L359" t="str">
            <v>使用后随机获得1件品质为绿色的装备</v>
          </cell>
        </row>
        <row r="360">
          <cell r="C360">
            <v>21252</v>
          </cell>
          <cell r="D360" t="str">
            <v>蓝色装备宝箱</v>
          </cell>
          <cell r="E360">
            <v>75</v>
          </cell>
          <cell r="F360">
            <v>1</v>
          </cell>
          <cell r="G360">
            <v>1</v>
          </cell>
          <cell r="H360">
            <v>1</v>
          </cell>
          <cell r="I360">
            <v>75</v>
          </cell>
          <cell r="J360">
            <v>75</v>
          </cell>
          <cell r="K360">
            <v>75</v>
          </cell>
          <cell r="L360" t="str">
            <v>使用后随机获得1件品质为蓝色的装备</v>
          </cell>
        </row>
        <row r="361">
          <cell r="C361">
            <v>21253</v>
          </cell>
          <cell r="D361" t="str">
            <v>紫色装备宝箱</v>
          </cell>
          <cell r="E361">
            <v>150</v>
          </cell>
          <cell r="F361">
            <v>1</v>
          </cell>
          <cell r="G361">
            <v>1</v>
          </cell>
          <cell r="H361">
            <v>1</v>
          </cell>
          <cell r="I361">
            <v>150</v>
          </cell>
          <cell r="J361">
            <v>150</v>
          </cell>
          <cell r="K361">
            <v>150</v>
          </cell>
          <cell r="L361" t="str">
            <v>使用后随机获得1件品质为紫色的装备</v>
          </cell>
        </row>
        <row r="362">
          <cell r="C362">
            <v>21254</v>
          </cell>
          <cell r="D362" t="str">
            <v>橙色装备宝箱</v>
          </cell>
          <cell r="E362">
            <v>320</v>
          </cell>
          <cell r="F362">
            <v>1</v>
          </cell>
          <cell r="G362">
            <v>1</v>
          </cell>
          <cell r="H362">
            <v>1</v>
          </cell>
          <cell r="I362">
            <v>320</v>
          </cell>
          <cell r="J362">
            <v>320</v>
          </cell>
          <cell r="K362">
            <v>320</v>
          </cell>
          <cell r="L362" t="str">
            <v>使用后随机获得1件品质为橙色的装备</v>
          </cell>
        </row>
        <row r="363">
          <cell r="C363">
            <v>21255</v>
          </cell>
          <cell r="D363" t="str">
            <v>红色装备宝箱</v>
          </cell>
          <cell r="E363">
            <v>2400</v>
          </cell>
          <cell r="F363">
            <v>1</v>
          </cell>
          <cell r="G363">
            <v>1</v>
          </cell>
          <cell r="H363">
            <v>1</v>
          </cell>
          <cell r="I363">
            <v>2400</v>
          </cell>
          <cell r="J363">
            <v>2400</v>
          </cell>
          <cell r="K363">
            <v>2400</v>
          </cell>
          <cell r="L363" t="str">
            <v>使用后随机获得1件品质为红色的装备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20052</v>
          </cell>
          <cell r="D365" t="str">
            <v>练军心得·觉</v>
          </cell>
          <cell r="E365">
            <v>40</v>
          </cell>
          <cell r="F365">
            <v>1</v>
          </cell>
          <cell r="G365">
            <v>1</v>
          </cell>
          <cell r="H365">
            <v>1</v>
          </cell>
          <cell r="I365">
            <v>40</v>
          </cell>
          <cell r="J365">
            <v>40</v>
          </cell>
          <cell r="K365">
            <v>40</v>
          </cell>
          <cell r="L365" t="str">
            <v>掌军之策，厉兵秣马，可用于武将觉醒</v>
          </cell>
        </row>
        <row r="366">
          <cell r="C366">
            <v>20053</v>
          </cell>
          <cell r="D366" t="str">
            <v>策论心得·觉</v>
          </cell>
          <cell r="E366">
            <v>40</v>
          </cell>
          <cell r="F366">
            <v>1</v>
          </cell>
          <cell r="G366">
            <v>1</v>
          </cell>
          <cell r="H366">
            <v>1</v>
          </cell>
          <cell r="I366">
            <v>40</v>
          </cell>
          <cell r="J366">
            <v>40</v>
          </cell>
          <cell r="K366">
            <v>40</v>
          </cell>
          <cell r="L366" t="str">
            <v>书山万卷，算无遗策，可用于武将觉醒</v>
          </cell>
        </row>
        <row r="367">
          <cell r="C367">
            <v>20054</v>
          </cell>
          <cell r="D367" t="str">
            <v>兵书心得·觉</v>
          </cell>
          <cell r="E367">
            <v>40</v>
          </cell>
          <cell r="F367">
            <v>1</v>
          </cell>
          <cell r="G367">
            <v>1</v>
          </cell>
          <cell r="H367">
            <v>1</v>
          </cell>
          <cell r="I367">
            <v>40</v>
          </cell>
          <cell r="J367">
            <v>40</v>
          </cell>
          <cell r="K367">
            <v>40</v>
          </cell>
          <cell r="L367" t="str">
            <v>千军万马，文韬武略，可用于武将觉醒</v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>
            <v>20055</v>
          </cell>
          <cell r="D369" t="str">
            <v>虎咬佩剑·觉</v>
          </cell>
          <cell r="E369">
            <v>60</v>
          </cell>
          <cell r="F369">
            <v>1</v>
          </cell>
          <cell r="G369">
            <v>1</v>
          </cell>
          <cell r="H369">
            <v>1</v>
          </cell>
          <cell r="I369">
            <v>60</v>
          </cell>
          <cell r="J369">
            <v>60</v>
          </cell>
          <cell r="K369">
            <v>60</v>
          </cell>
          <cell r="L369" t="str">
            <v>卧虎藏龙，剑及履及，可用于武将觉醒</v>
          </cell>
        </row>
        <row r="370">
          <cell r="C370">
            <v>20056</v>
          </cell>
          <cell r="D370" t="str">
            <v>灵蛇佩剑·觉</v>
          </cell>
          <cell r="E370">
            <v>60</v>
          </cell>
          <cell r="F370">
            <v>1</v>
          </cell>
          <cell r="G370">
            <v>1</v>
          </cell>
          <cell r="H370">
            <v>1</v>
          </cell>
          <cell r="I370">
            <v>60</v>
          </cell>
          <cell r="J370">
            <v>60</v>
          </cell>
          <cell r="K370">
            <v>60</v>
          </cell>
          <cell r="L370" t="str">
            <v>灵蛇之珠，剑态箫心，可用于武将觉醒</v>
          </cell>
        </row>
        <row r="371">
          <cell r="C371">
            <v>20057</v>
          </cell>
          <cell r="D371" t="str">
            <v>狼头佩剑·觉</v>
          </cell>
          <cell r="E371">
            <v>60</v>
          </cell>
          <cell r="F371">
            <v>1</v>
          </cell>
          <cell r="G371">
            <v>1</v>
          </cell>
          <cell r="H371">
            <v>1</v>
          </cell>
          <cell r="I371">
            <v>60</v>
          </cell>
          <cell r="J371">
            <v>60</v>
          </cell>
          <cell r="K371">
            <v>60</v>
          </cell>
          <cell r="L371" t="str">
            <v>封狼居胥，剑气纵横，可用于武将觉醒</v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>
            <v>20059</v>
          </cell>
          <cell r="D373" t="str">
            <v>勇之授印·觉</v>
          </cell>
          <cell r="E373">
            <v>80</v>
          </cell>
          <cell r="F373">
            <v>1</v>
          </cell>
          <cell r="G373">
            <v>1</v>
          </cell>
          <cell r="H373">
            <v>1</v>
          </cell>
          <cell r="I373">
            <v>80</v>
          </cell>
          <cell r="J373">
            <v>80</v>
          </cell>
          <cell r="K373">
            <v>80</v>
          </cell>
          <cell r="L373" t="str">
            <v>拔山盖世，气吞山河，可用于武将觉醒</v>
          </cell>
        </row>
        <row r="374">
          <cell r="C374">
            <v>20060</v>
          </cell>
          <cell r="D374" t="str">
            <v>谋之授印·觉</v>
          </cell>
          <cell r="E374">
            <v>80</v>
          </cell>
          <cell r="F374">
            <v>1</v>
          </cell>
          <cell r="G374">
            <v>1</v>
          </cell>
          <cell r="H374">
            <v>1</v>
          </cell>
          <cell r="I374">
            <v>80</v>
          </cell>
          <cell r="J374">
            <v>80</v>
          </cell>
          <cell r="K374">
            <v>80</v>
          </cell>
          <cell r="L374" t="str">
            <v>渊谋远略，运筹帷幄，可用于武将觉醒</v>
          </cell>
        </row>
        <row r="375">
          <cell r="C375">
            <v>20061</v>
          </cell>
          <cell r="D375" t="str">
            <v>御之授印·觉</v>
          </cell>
          <cell r="E375">
            <v>80</v>
          </cell>
          <cell r="F375">
            <v>1</v>
          </cell>
          <cell r="G375">
            <v>1</v>
          </cell>
          <cell r="H375">
            <v>1</v>
          </cell>
          <cell r="I375">
            <v>80</v>
          </cell>
          <cell r="J375">
            <v>80</v>
          </cell>
          <cell r="K375">
            <v>80</v>
          </cell>
          <cell r="L375" t="str">
            <v>御下有方，论功行赏，可用于武将觉醒</v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  <row r="377">
          <cell r="C377">
            <v>20064</v>
          </cell>
          <cell r="D377" t="str">
            <v>战阵精研·极</v>
          </cell>
          <cell r="E377">
            <v>100</v>
          </cell>
          <cell r="F377">
            <v>1</v>
          </cell>
          <cell r="G377">
            <v>1</v>
          </cell>
          <cell r="H377">
            <v>1</v>
          </cell>
          <cell r="I377">
            <v>100</v>
          </cell>
          <cell r="J377">
            <v>100</v>
          </cell>
          <cell r="K377">
            <v>100</v>
          </cell>
          <cell r="L377" t="str">
            <v>行兵布阵，勇往直前，可用于武将觉醒</v>
          </cell>
        </row>
        <row r="378">
          <cell r="C378">
            <v>20065</v>
          </cell>
          <cell r="D378" t="str">
            <v>谋略精研·极</v>
          </cell>
          <cell r="E378">
            <v>100</v>
          </cell>
          <cell r="F378">
            <v>1</v>
          </cell>
          <cell r="G378">
            <v>1</v>
          </cell>
          <cell r="H378">
            <v>1</v>
          </cell>
          <cell r="I378">
            <v>100</v>
          </cell>
          <cell r="J378">
            <v>100</v>
          </cell>
          <cell r="K378">
            <v>100</v>
          </cell>
          <cell r="L378" t="str">
            <v>目达耳通，上兵伐谋，可用于武将觉醒</v>
          </cell>
        </row>
        <row r="379">
          <cell r="C379">
            <v>20066</v>
          </cell>
          <cell r="D379" t="str">
            <v>御军精研·极</v>
          </cell>
          <cell r="E379">
            <v>100</v>
          </cell>
          <cell r="F379">
            <v>1</v>
          </cell>
          <cell r="G379">
            <v>1</v>
          </cell>
          <cell r="H379">
            <v>1</v>
          </cell>
          <cell r="I379">
            <v>100</v>
          </cell>
          <cell r="J379">
            <v>100</v>
          </cell>
          <cell r="K379">
            <v>100</v>
          </cell>
          <cell r="L379" t="str">
            <v>持筹握算，精兵简政，可用于武将觉醒</v>
          </cell>
        </row>
        <row r="380">
          <cell r="C380" t="str">
            <v/>
          </cell>
          <cell r="D380" t="str">
            <v/>
          </cell>
          <cell r="E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</row>
        <row r="381">
          <cell r="C381">
            <v>20070</v>
          </cell>
          <cell r="D381" t="str">
            <v>白虎白琥·极</v>
          </cell>
          <cell r="E381">
            <v>120</v>
          </cell>
          <cell r="F381">
            <v>1</v>
          </cell>
          <cell r="G381">
            <v>1</v>
          </cell>
          <cell r="H381">
            <v>1</v>
          </cell>
          <cell r="I381">
            <v>120</v>
          </cell>
          <cell r="J381">
            <v>120</v>
          </cell>
          <cell r="K381">
            <v>120</v>
          </cell>
          <cell r="L381" t="str">
            <v>形神兼备，虎啸龙吟，可用于武将觉醒</v>
          </cell>
        </row>
        <row r="382">
          <cell r="C382">
            <v>20071</v>
          </cell>
          <cell r="D382" t="str">
            <v>朱雀赤璋·极</v>
          </cell>
          <cell r="E382">
            <v>120</v>
          </cell>
          <cell r="F382">
            <v>1</v>
          </cell>
          <cell r="G382">
            <v>1</v>
          </cell>
          <cell r="H382">
            <v>1</v>
          </cell>
          <cell r="I382">
            <v>120</v>
          </cell>
          <cell r="J382">
            <v>120</v>
          </cell>
          <cell r="K382">
            <v>120</v>
          </cell>
          <cell r="L382" t="str">
            <v>烈火真金，朱雀玄武，可用于武将觉醒</v>
          </cell>
        </row>
        <row r="383">
          <cell r="C383">
            <v>20072</v>
          </cell>
          <cell r="D383" t="str">
            <v>青龙青圭·极</v>
          </cell>
          <cell r="E383">
            <v>120</v>
          </cell>
          <cell r="F383">
            <v>1</v>
          </cell>
          <cell r="G383">
            <v>1</v>
          </cell>
          <cell r="H383">
            <v>1</v>
          </cell>
          <cell r="I383">
            <v>120</v>
          </cell>
          <cell r="J383">
            <v>120</v>
          </cell>
          <cell r="K383">
            <v>120</v>
          </cell>
          <cell r="L383" t="str">
            <v>青云直上，龙飞凤舞，可用于武将觉醒</v>
          </cell>
        </row>
        <row r="384">
          <cell r="C384" t="str">
            <v/>
          </cell>
          <cell r="D384" t="str">
            <v/>
          </cell>
          <cell r="E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>
            <v>20077</v>
          </cell>
          <cell r="D385" t="str">
            <v>战将护符·极</v>
          </cell>
          <cell r="E385">
            <v>140</v>
          </cell>
          <cell r="F385">
            <v>1</v>
          </cell>
          <cell r="G385">
            <v>1</v>
          </cell>
          <cell r="H385">
            <v>1</v>
          </cell>
          <cell r="I385">
            <v>140</v>
          </cell>
          <cell r="J385">
            <v>140</v>
          </cell>
          <cell r="K385">
            <v>140</v>
          </cell>
          <cell r="L385" t="str">
            <v>王侯将相，功成名就，可用于武将觉醒</v>
          </cell>
        </row>
        <row r="386">
          <cell r="C386">
            <v>20078</v>
          </cell>
          <cell r="D386" t="str">
            <v>军师护符·极</v>
          </cell>
          <cell r="E386">
            <v>140</v>
          </cell>
          <cell r="F386">
            <v>1</v>
          </cell>
          <cell r="G386">
            <v>1</v>
          </cell>
          <cell r="H386">
            <v>1</v>
          </cell>
          <cell r="I386">
            <v>140</v>
          </cell>
          <cell r="J386">
            <v>140</v>
          </cell>
          <cell r="K386">
            <v>140</v>
          </cell>
          <cell r="L386" t="str">
            <v>神机妙算，才华横溢，可用于武将觉醒</v>
          </cell>
        </row>
        <row r="387">
          <cell r="C387">
            <v>20079</v>
          </cell>
          <cell r="D387" t="str">
            <v>统帅护符·极</v>
          </cell>
          <cell r="E387">
            <v>140</v>
          </cell>
          <cell r="F387">
            <v>1</v>
          </cell>
          <cell r="G387">
            <v>1</v>
          </cell>
          <cell r="H387">
            <v>1</v>
          </cell>
          <cell r="I387">
            <v>140</v>
          </cell>
          <cell r="J387">
            <v>140</v>
          </cell>
          <cell r="K387">
            <v>140</v>
          </cell>
          <cell r="L387" t="str">
            <v>号令如山，统帅三军，可用于武将觉醒</v>
          </cell>
        </row>
        <row r="388">
          <cell r="C388" t="str">
            <v/>
          </cell>
          <cell r="D388" t="str">
            <v/>
          </cell>
          <cell r="E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 t="str">
            <v/>
          </cell>
          <cell r="D389" t="str">
            <v/>
          </cell>
          <cell r="E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>
            <v>23001</v>
          </cell>
          <cell r="D390" t="str">
            <v>紫色步将自选宝箱</v>
          </cell>
          <cell r="E390">
            <v>600</v>
          </cell>
          <cell r="F390">
            <v>1</v>
          </cell>
          <cell r="G390">
            <v>1</v>
          </cell>
          <cell r="H390">
            <v>1</v>
          </cell>
          <cell r="I390">
            <v>600</v>
          </cell>
          <cell r="J390">
            <v>600</v>
          </cell>
          <cell r="K390">
            <v>600</v>
          </cell>
          <cell r="L390" t="str">
            <v>使用后选择获得一个紫色步将</v>
          </cell>
        </row>
        <row r="391">
          <cell r="C391">
            <v>23002</v>
          </cell>
          <cell r="D391" t="str">
            <v>橙色步将自选宝箱</v>
          </cell>
          <cell r="E391">
            <v>4800</v>
          </cell>
          <cell r="F391">
            <v>1</v>
          </cell>
          <cell r="G391">
            <v>1</v>
          </cell>
          <cell r="H391">
            <v>1</v>
          </cell>
          <cell r="I391">
            <v>4800</v>
          </cell>
          <cell r="J391">
            <v>4800</v>
          </cell>
          <cell r="K391">
            <v>4800</v>
          </cell>
          <cell r="L391" t="str">
            <v>使用后选择获得一个橙色武将</v>
          </cell>
        </row>
        <row r="392">
          <cell r="C392">
            <v>23003</v>
          </cell>
          <cell r="D392" t="str">
            <v>红色步将自选宝箱</v>
          </cell>
          <cell r="E392">
            <v>14400</v>
          </cell>
          <cell r="F392">
            <v>1</v>
          </cell>
          <cell r="G392">
            <v>1</v>
          </cell>
          <cell r="H392">
            <v>1</v>
          </cell>
          <cell r="I392">
            <v>14400</v>
          </cell>
          <cell r="J392">
            <v>14400</v>
          </cell>
          <cell r="K392">
            <v>14400</v>
          </cell>
          <cell r="L392" t="str">
            <v>使用后选择获得一个红色步将</v>
          </cell>
        </row>
        <row r="393">
          <cell r="C393">
            <v>23004</v>
          </cell>
          <cell r="D393" t="str">
            <v>紫色骑将自选宝箱</v>
          </cell>
          <cell r="E393">
            <v>600</v>
          </cell>
          <cell r="F393">
            <v>1</v>
          </cell>
          <cell r="G393">
            <v>1</v>
          </cell>
          <cell r="H393">
            <v>1</v>
          </cell>
          <cell r="I393">
            <v>600</v>
          </cell>
          <cell r="J393">
            <v>600</v>
          </cell>
          <cell r="K393">
            <v>600</v>
          </cell>
          <cell r="L393" t="str">
            <v>使用后选择获得一个紫色骑将</v>
          </cell>
        </row>
        <row r="394">
          <cell r="C394">
            <v>23005</v>
          </cell>
          <cell r="D394" t="str">
            <v>橙色骑将自选宝箱</v>
          </cell>
          <cell r="E394">
            <v>4800</v>
          </cell>
          <cell r="F394">
            <v>1</v>
          </cell>
          <cell r="G394">
            <v>1</v>
          </cell>
          <cell r="H394">
            <v>1</v>
          </cell>
          <cell r="I394">
            <v>4800</v>
          </cell>
          <cell r="J394">
            <v>4800</v>
          </cell>
          <cell r="K394">
            <v>4800</v>
          </cell>
          <cell r="L394" t="str">
            <v>使用后选择获得一个橙色骑将</v>
          </cell>
        </row>
        <row r="395">
          <cell r="C395">
            <v>23006</v>
          </cell>
          <cell r="D395" t="str">
            <v>红色骑将自选宝箱</v>
          </cell>
          <cell r="E395">
            <v>14400</v>
          </cell>
          <cell r="F395">
            <v>1</v>
          </cell>
          <cell r="G395">
            <v>1</v>
          </cell>
          <cell r="H395">
            <v>1</v>
          </cell>
          <cell r="I395">
            <v>14400</v>
          </cell>
          <cell r="J395">
            <v>14400</v>
          </cell>
          <cell r="K395">
            <v>14400</v>
          </cell>
          <cell r="L395" t="str">
            <v>使用后选择获得一个红色骑将</v>
          </cell>
        </row>
        <row r="396">
          <cell r="C396">
            <v>23007</v>
          </cell>
          <cell r="D396" t="str">
            <v>紫色弓将自选宝箱</v>
          </cell>
          <cell r="E396">
            <v>600</v>
          </cell>
          <cell r="F396">
            <v>1</v>
          </cell>
          <cell r="G396">
            <v>1</v>
          </cell>
          <cell r="H396">
            <v>1</v>
          </cell>
          <cell r="I396">
            <v>600</v>
          </cell>
          <cell r="J396">
            <v>600</v>
          </cell>
          <cell r="K396">
            <v>600</v>
          </cell>
          <cell r="L396" t="str">
            <v>使用后选择获得一个紫色弓将</v>
          </cell>
        </row>
        <row r="397">
          <cell r="C397">
            <v>23008</v>
          </cell>
          <cell r="D397" t="str">
            <v>橙色弓将自选宝箱</v>
          </cell>
          <cell r="E397">
            <v>4800</v>
          </cell>
          <cell r="F397">
            <v>1</v>
          </cell>
          <cell r="G397">
            <v>1</v>
          </cell>
          <cell r="H397">
            <v>1</v>
          </cell>
          <cell r="I397">
            <v>4800</v>
          </cell>
          <cell r="J397">
            <v>4800</v>
          </cell>
          <cell r="K397">
            <v>4800</v>
          </cell>
          <cell r="L397" t="str">
            <v>使用后选择获得一个橙色弓将</v>
          </cell>
        </row>
        <row r="398">
          <cell r="C398">
            <v>23009</v>
          </cell>
          <cell r="D398" t="str">
            <v>红色弓将自选宝箱</v>
          </cell>
          <cell r="E398">
            <v>14400</v>
          </cell>
          <cell r="F398">
            <v>1</v>
          </cell>
          <cell r="G398">
            <v>1</v>
          </cell>
          <cell r="H398">
            <v>1</v>
          </cell>
          <cell r="I398">
            <v>14400</v>
          </cell>
          <cell r="J398">
            <v>14400</v>
          </cell>
          <cell r="K398">
            <v>14400</v>
          </cell>
          <cell r="L398" t="str">
            <v>使用后选择获得一个红色弓将</v>
          </cell>
        </row>
        <row r="399">
          <cell r="C399">
            <v>23010</v>
          </cell>
          <cell r="D399" t="str">
            <v>君主自选宝箱</v>
          </cell>
          <cell r="E399">
            <v>4800</v>
          </cell>
          <cell r="F399">
            <v>1</v>
          </cell>
          <cell r="G399">
            <v>1</v>
          </cell>
          <cell r="H399">
            <v>1</v>
          </cell>
          <cell r="I399">
            <v>4800</v>
          </cell>
          <cell r="J399">
            <v>4800</v>
          </cell>
          <cell r="K399">
            <v>4800</v>
          </cell>
          <cell r="L399" t="str">
            <v>使用后选择获得一个君主武将</v>
          </cell>
        </row>
        <row r="400">
          <cell r="C400">
            <v>23011</v>
          </cell>
          <cell r="D400" t="str">
            <v>紫色武将随机宝箱</v>
          </cell>
          <cell r="E400">
            <v>400</v>
          </cell>
          <cell r="F400">
            <v>1</v>
          </cell>
          <cell r="G400">
            <v>1</v>
          </cell>
          <cell r="H400">
            <v>1</v>
          </cell>
          <cell r="I400">
            <v>400</v>
          </cell>
          <cell r="J400">
            <v>400</v>
          </cell>
          <cell r="K400">
            <v>400</v>
          </cell>
          <cell r="L400" t="str">
            <v>使用后随机获得一个紫色武将</v>
          </cell>
        </row>
        <row r="401">
          <cell r="C401">
            <v>23012</v>
          </cell>
          <cell r="D401" t="str">
            <v>橙色武将随机宝箱</v>
          </cell>
          <cell r="E401">
            <v>1800</v>
          </cell>
          <cell r="F401">
            <v>1</v>
          </cell>
          <cell r="G401">
            <v>1</v>
          </cell>
          <cell r="H401">
            <v>1</v>
          </cell>
          <cell r="I401">
            <v>1800</v>
          </cell>
          <cell r="J401">
            <v>1800</v>
          </cell>
          <cell r="K401">
            <v>1800</v>
          </cell>
          <cell r="L401" t="str">
            <v>使用后随机获得一个橙色武将</v>
          </cell>
        </row>
        <row r="402">
          <cell r="C402">
            <v>23013</v>
          </cell>
          <cell r="D402" t="str">
            <v>红色武将随机宝箱</v>
          </cell>
          <cell r="E402">
            <v>14400</v>
          </cell>
          <cell r="F402">
            <v>1</v>
          </cell>
          <cell r="G402">
            <v>1</v>
          </cell>
          <cell r="H402">
            <v>1</v>
          </cell>
          <cell r="I402">
            <v>14400</v>
          </cell>
          <cell r="J402">
            <v>14400</v>
          </cell>
          <cell r="K402">
            <v>14400</v>
          </cell>
          <cell r="L402" t="str">
            <v>使用后随机获得一个红色武将</v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>
            <v>23014</v>
          </cell>
          <cell r="D404" t="str">
            <v>橙色武将自选宝箱碎片</v>
          </cell>
          <cell r="E404">
            <v>160</v>
          </cell>
          <cell r="F404">
            <v>1</v>
          </cell>
          <cell r="G404">
            <v>1</v>
          </cell>
          <cell r="H404">
            <v>1</v>
          </cell>
          <cell r="I404">
            <v>160</v>
          </cell>
          <cell r="J404">
            <v>160</v>
          </cell>
          <cell r="K404">
            <v>160</v>
          </cell>
          <cell r="L404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5">
          <cell r="C405">
            <v>23015</v>
          </cell>
          <cell r="D405" t="str">
            <v>橙色武将随机宝箱碎片</v>
          </cell>
          <cell r="E405">
            <v>60</v>
          </cell>
          <cell r="F405">
            <v>1</v>
          </cell>
          <cell r="G405">
            <v>1</v>
          </cell>
          <cell r="H405">
            <v>1</v>
          </cell>
          <cell r="I405">
            <v>60</v>
          </cell>
          <cell r="J405">
            <v>60</v>
          </cell>
          <cell r="K405">
            <v>60</v>
          </cell>
          <cell r="L405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6">
          <cell r="C406">
            <v>23016</v>
          </cell>
          <cell r="D406" t="str">
            <v>紫色武将随机宝箱碎片</v>
          </cell>
          <cell r="E406">
            <v>36</v>
          </cell>
          <cell r="F406">
            <v>1</v>
          </cell>
          <cell r="G406">
            <v>1</v>
          </cell>
          <cell r="H406">
            <v>1</v>
          </cell>
          <cell r="I406">
            <v>36</v>
          </cell>
          <cell r="J406">
            <v>36</v>
          </cell>
          <cell r="K406">
            <v>36</v>
          </cell>
          <cell r="L406" t="str">
            <v>集齐10个碎片可以合成，随机获得下列武将中的一个：\n聂荌、专诸、钟无艳、田忌、春申君、莫邪、孙叔敖、西门豹、暴鸢、秦开</v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>指定绿色装备</v>
          </cell>
          <cell r="E408">
            <v>35</v>
          </cell>
          <cell r="F408">
            <v>1</v>
          </cell>
          <cell r="G408">
            <v>1</v>
          </cell>
          <cell r="H408">
            <v>1</v>
          </cell>
          <cell r="I408">
            <v>35</v>
          </cell>
          <cell r="J408">
            <v>35</v>
          </cell>
          <cell r="K408">
            <v>35</v>
          </cell>
          <cell r="L408">
            <v>1</v>
          </cell>
        </row>
        <row r="409">
          <cell r="C409" t="str">
            <v/>
          </cell>
          <cell r="D409" t="str">
            <v>指定蓝色装备</v>
          </cell>
          <cell r="E409">
            <v>120</v>
          </cell>
          <cell r="F409">
            <v>1</v>
          </cell>
          <cell r="G409">
            <v>1</v>
          </cell>
          <cell r="H409">
            <v>1</v>
          </cell>
          <cell r="I409">
            <v>120</v>
          </cell>
          <cell r="J409">
            <v>120</v>
          </cell>
          <cell r="K409">
            <v>120</v>
          </cell>
          <cell r="L409">
            <v>1.5</v>
          </cell>
        </row>
        <row r="410">
          <cell r="C410" t="str">
            <v/>
          </cell>
          <cell r="D410" t="str">
            <v>指定紫色装备</v>
          </cell>
          <cell r="E410">
            <v>300</v>
          </cell>
          <cell r="F410">
            <v>1</v>
          </cell>
          <cell r="G410">
            <v>1</v>
          </cell>
          <cell r="H410">
            <v>1</v>
          </cell>
          <cell r="I410">
            <v>300</v>
          </cell>
          <cell r="J410">
            <v>300</v>
          </cell>
          <cell r="K410">
            <v>300</v>
          </cell>
          <cell r="L410">
            <v>2</v>
          </cell>
        </row>
        <row r="411">
          <cell r="C411" t="str">
            <v/>
          </cell>
          <cell r="D411" t="str">
            <v>指定橙色装备</v>
          </cell>
          <cell r="E411">
            <v>800</v>
          </cell>
          <cell r="F411">
            <v>1</v>
          </cell>
          <cell r="G411">
            <v>1</v>
          </cell>
          <cell r="H411">
            <v>1</v>
          </cell>
          <cell r="I411">
            <v>800</v>
          </cell>
          <cell r="J411">
            <v>800</v>
          </cell>
          <cell r="K411">
            <v>800</v>
          </cell>
          <cell r="L411">
            <v>2.5</v>
          </cell>
        </row>
        <row r="412">
          <cell r="C412" t="str">
            <v/>
          </cell>
          <cell r="D412" t="str">
            <v>指定红色装备</v>
          </cell>
          <cell r="E412">
            <v>7200</v>
          </cell>
          <cell r="F412">
            <v>1</v>
          </cell>
          <cell r="G412">
            <v>1</v>
          </cell>
          <cell r="H412">
            <v>1</v>
          </cell>
          <cell r="I412">
            <v>7200</v>
          </cell>
          <cell r="J412">
            <v>7200</v>
          </cell>
          <cell r="K412">
            <v>7200</v>
          </cell>
          <cell r="L412">
            <v>3</v>
          </cell>
        </row>
        <row r="413">
          <cell r="C413" t="str">
            <v/>
          </cell>
          <cell r="D413" t="str">
            <v>指定红+装备</v>
          </cell>
          <cell r="E413">
            <v>14400</v>
          </cell>
          <cell r="F413">
            <v>1.56</v>
          </cell>
          <cell r="G413">
            <v>1.56</v>
          </cell>
          <cell r="H413">
            <v>1.56</v>
          </cell>
          <cell r="I413">
            <v>22464</v>
          </cell>
          <cell r="J413">
            <v>22464</v>
          </cell>
          <cell r="K413">
            <v>22464</v>
          </cell>
          <cell r="L413" t="str">
            <v/>
          </cell>
        </row>
        <row r="414">
          <cell r="C414">
            <v>23215</v>
          </cell>
          <cell r="D414" t="str">
            <v>紫色武力装备礼包</v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>
            <v>23216</v>
          </cell>
          <cell r="D415" t="str">
            <v>紫色智力装备礼包</v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>
            <v>23217</v>
          </cell>
          <cell r="D416" t="str">
            <v>橙色统率装备礼包</v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>
            <v>23218</v>
          </cell>
          <cell r="D417" t="str">
            <v>橙色智力装备礼包</v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>
            <v>23219</v>
          </cell>
          <cell r="D418" t="str">
            <v>橙色武力装备礼包</v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  <row r="419">
          <cell r="C419">
            <v>22118</v>
          </cell>
          <cell r="D419" t="str">
            <v>负荆请罪武魂</v>
          </cell>
          <cell r="E419" t="str">
            <v/>
          </cell>
          <cell r="F419">
            <v>1</v>
          </cell>
          <cell r="G419">
            <v>1</v>
          </cell>
          <cell r="H419">
            <v>1</v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</row>
        <row r="420">
          <cell r="C420" t="str">
            <v/>
          </cell>
          <cell r="D420" t="str">
            <v/>
          </cell>
          <cell r="E420" t="str">
            <v/>
          </cell>
          <cell r="F420">
            <v>1</v>
          </cell>
          <cell r="G420">
            <v>1</v>
          </cell>
          <cell r="H420">
            <v>1</v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</row>
        <row r="421">
          <cell r="C421">
            <v>23348</v>
          </cell>
          <cell r="D421" t="str">
            <v>清剿令</v>
          </cell>
          <cell r="E421" t="str">
            <v/>
          </cell>
          <cell r="F421">
            <v>1</v>
          </cell>
          <cell r="G421">
            <v>1</v>
          </cell>
          <cell r="H421">
            <v>1</v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</row>
        <row r="422">
          <cell r="C422" t="str">
            <v/>
          </cell>
          <cell r="D422" t="str">
            <v/>
          </cell>
          <cell r="E422" t="str">
            <v/>
          </cell>
          <cell r="F422">
            <v>1</v>
          </cell>
          <cell r="G422">
            <v>1</v>
          </cell>
          <cell r="H422">
            <v>1</v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</row>
        <row r="423">
          <cell r="C423" t="str">
            <v/>
          </cell>
          <cell r="D423" t="str">
            <v/>
          </cell>
          <cell r="E423" t="str">
            <v/>
          </cell>
          <cell r="F423">
            <v>1</v>
          </cell>
          <cell r="G423">
            <v>1</v>
          </cell>
          <cell r="H423">
            <v>1</v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</row>
        <row r="424">
          <cell r="C424" t="str">
            <v/>
          </cell>
          <cell r="D424" t="str">
            <v/>
          </cell>
          <cell r="E424" t="str">
            <v/>
          </cell>
          <cell r="F424">
            <v>1</v>
          </cell>
          <cell r="G424">
            <v>1</v>
          </cell>
          <cell r="H424">
            <v>1</v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</row>
        <row r="425">
          <cell r="C425">
            <v>22116</v>
          </cell>
          <cell r="D425" t="str">
            <v>倾国倾城武魂</v>
          </cell>
          <cell r="E425" t="str">
            <v/>
          </cell>
          <cell r="F425">
            <v>1</v>
          </cell>
          <cell r="G425">
            <v>1</v>
          </cell>
          <cell r="H425">
            <v>1</v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</row>
        <row r="426">
          <cell r="C426">
            <v>22117</v>
          </cell>
          <cell r="D426" t="str">
            <v>墨行天下武魂</v>
          </cell>
          <cell r="E426" t="str">
            <v/>
          </cell>
          <cell r="F426">
            <v>1</v>
          </cell>
          <cell r="G426">
            <v>1</v>
          </cell>
          <cell r="H426">
            <v>1</v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</row>
        <row r="427">
          <cell r="C427">
            <v>23220</v>
          </cell>
          <cell r="D427" t="str">
            <v>红色统智装备礼包</v>
          </cell>
          <cell r="E427" t="str">
            <v/>
          </cell>
          <cell r="F427">
            <v>1</v>
          </cell>
          <cell r="G427">
            <v>1</v>
          </cell>
          <cell r="H427">
            <v>1</v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</row>
        <row r="428">
          <cell r="C428">
            <v>23221</v>
          </cell>
          <cell r="D428" t="str">
            <v>紫色兵法自选宝箱</v>
          </cell>
          <cell r="E428" t="str">
            <v/>
          </cell>
          <cell r="F428">
            <v>1</v>
          </cell>
          <cell r="G428">
            <v>1</v>
          </cell>
          <cell r="H428">
            <v>1</v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</row>
        <row r="429">
          <cell r="C429">
            <v>23222</v>
          </cell>
          <cell r="D429" t="str">
            <v>橙色兵法自选宝箱</v>
          </cell>
          <cell r="E429" t="str">
            <v/>
          </cell>
          <cell r="F429">
            <v>1</v>
          </cell>
          <cell r="G429">
            <v>1</v>
          </cell>
          <cell r="H429">
            <v>1</v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</row>
        <row r="430">
          <cell r="C430">
            <v>23364</v>
          </cell>
          <cell r="D430" t="str">
            <v>自选橙色兵法碎片</v>
          </cell>
          <cell r="E430" t="str">
            <v/>
          </cell>
          <cell r="F430">
            <v>1</v>
          </cell>
          <cell r="G430">
            <v>1</v>
          </cell>
          <cell r="H430">
            <v>1</v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</row>
        <row r="431">
          <cell r="C431">
            <v>23365</v>
          </cell>
          <cell r="D431" t="str">
            <v>自选紫色兵法碎片</v>
          </cell>
          <cell r="E431" t="str">
            <v/>
          </cell>
          <cell r="F431">
            <v>1</v>
          </cell>
          <cell r="G431">
            <v>1</v>
          </cell>
          <cell r="H431">
            <v>1</v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</row>
        <row r="432">
          <cell r="C432" t="str">
            <v/>
          </cell>
          <cell r="D432" t="str">
            <v/>
          </cell>
          <cell r="E432" t="str">
            <v/>
          </cell>
          <cell r="F432">
            <v>1</v>
          </cell>
          <cell r="G432">
            <v>1</v>
          </cell>
          <cell r="H432">
            <v>1</v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</row>
        <row r="433">
          <cell r="C433">
            <v>21075</v>
          </cell>
          <cell r="D433" t="str">
            <v>中级免战牌</v>
          </cell>
          <cell r="E433">
            <v>200</v>
          </cell>
          <cell r="F433">
            <v>1</v>
          </cell>
          <cell r="G433">
            <v>1</v>
          </cell>
          <cell r="H433">
            <v>1</v>
          </cell>
          <cell r="I433">
            <v>200</v>
          </cell>
          <cell r="J433">
            <v>200</v>
          </cell>
          <cell r="K433">
            <v>200</v>
          </cell>
          <cell r="L433" t="str">
            <v>使用后城池不会遭受来自其他玩家的攻击，主动进攻其他玩家后失效，持续12小时</v>
          </cell>
        </row>
        <row r="434">
          <cell r="C434">
            <v>21071</v>
          </cell>
          <cell r="D434" t="str">
            <v>高级免战牌</v>
          </cell>
          <cell r="E434">
            <v>500</v>
          </cell>
          <cell r="F434">
            <v>1</v>
          </cell>
          <cell r="G434">
            <v>1</v>
          </cell>
          <cell r="H434">
            <v>1</v>
          </cell>
          <cell r="I434">
            <v>500</v>
          </cell>
          <cell r="J434">
            <v>500</v>
          </cell>
          <cell r="K434">
            <v>500</v>
          </cell>
          <cell r="L434" t="str">
            <v>使用后城池不会遭受来自其他玩家的攻击，主动进攻其他玩家后失效，持续24小时</v>
          </cell>
        </row>
        <row r="435">
          <cell r="C435">
            <v>21072</v>
          </cell>
          <cell r="D435" t="str">
            <v>特级免战牌</v>
          </cell>
          <cell r="E435">
            <v>1800</v>
          </cell>
          <cell r="F435">
            <v>1</v>
          </cell>
          <cell r="G435">
            <v>1</v>
          </cell>
          <cell r="H435">
            <v>1</v>
          </cell>
          <cell r="I435">
            <v>1800</v>
          </cell>
          <cell r="J435">
            <v>1800</v>
          </cell>
          <cell r="K435">
            <v>1800</v>
          </cell>
          <cell r="L435" t="str">
            <v>使用后城池不会遭受来自其他玩家的攻击，主动进攻其他玩家后失效，持续72小时</v>
          </cell>
        </row>
        <row r="436">
          <cell r="C436" t="str">
            <v/>
          </cell>
          <cell r="D436" t="str">
            <v/>
          </cell>
          <cell r="E436" t="str">
            <v/>
          </cell>
          <cell r="F436">
            <v>1</v>
          </cell>
          <cell r="G436">
            <v>1</v>
          </cell>
          <cell r="H436">
            <v>1</v>
          </cell>
          <cell r="I436" t="str">
            <v/>
          </cell>
          <cell r="J436" t="str">
            <v/>
          </cell>
          <cell r="K436" t="str">
            <v/>
          </cell>
          <cell r="L436" t="str">
            <v>消灭野怪获得，用于宝物温养。</v>
          </cell>
        </row>
        <row r="437">
          <cell r="C437">
            <v>23359</v>
          </cell>
          <cell r="D437" t="str">
            <v>宝鉴</v>
          </cell>
          <cell r="E437" t="str">
            <v/>
          </cell>
          <cell r="F437">
            <v>1</v>
          </cell>
          <cell r="G437">
            <v>1</v>
          </cell>
          <cell r="H437">
            <v>1</v>
          </cell>
          <cell r="I437" t="str">
            <v/>
          </cell>
          <cell r="J437" t="str">
            <v/>
          </cell>
          <cell r="K437" t="str">
            <v/>
          </cell>
          <cell r="L437" t="str">
            <v>持有宝鉴名册，可鉴天下珍宝</v>
          </cell>
        </row>
        <row r="438">
          <cell r="C438">
            <v>23526</v>
          </cell>
          <cell r="D438" t="str">
            <v>极品装备宝箱碎片</v>
          </cell>
          <cell r="E438" t="str">
            <v/>
          </cell>
          <cell r="F438">
            <v>1</v>
          </cell>
          <cell r="G438">
            <v>1</v>
          </cell>
          <cell r="H438">
            <v>1</v>
          </cell>
          <cell r="I438" t="str">
            <v/>
          </cell>
          <cell r="J438" t="str">
            <v/>
          </cell>
          <cell r="K438" t="str">
            <v/>
          </cell>
          <cell r="L438" t="str">
            <v>使用后可以获得一个极品红色装备宝箱</v>
          </cell>
        </row>
        <row r="439">
          <cell r="C439">
            <v>23527</v>
          </cell>
          <cell r="D439" t="str">
            <v>极品装备宝箱</v>
          </cell>
          <cell r="E439" t="str">
            <v/>
          </cell>
          <cell r="F439">
            <v>1</v>
          </cell>
          <cell r="G439">
            <v>1</v>
          </cell>
          <cell r="H439">
            <v>1</v>
          </cell>
          <cell r="I439" t="str">
            <v/>
          </cell>
          <cell r="J439" t="str">
            <v/>
          </cell>
          <cell r="K439" t="str">
            <v/>
          </cell>
          <cell r="L439" t="str">
            <v>使用后可以选择获得一件极品红色装备</v>
          </cell>
        </row>
        <row r="440">
          <cell r="C440">
            <v>23528</v>
          </cell>
          <cell r="D440" t="str">
            <v>极品统武装备宝箱</v>
          </cell>
          <cell r="E440" t="str">
            <v/>
          </cell>
          <cell r="F440">
            <v>1</v>
          </cell>
          <cell r="G440">
            <v>1</v>
          </cell>
          <cell r="H440">
            <v>1</v>
          </cell>
          <cell r="I440" t="str">
            <v/>
          </cell>
          <cell r="J440" t="str">
            <v/>
          </cell>
          <cell r="K440" t="str">
            <v/>
          </cell>
          <cell r="L440" t="str">
            <v>使用后获得十方古璃套装3件套装备</v>
          </cell>
        </row>
        <row r="441">
          <cell r="C441">
            <v>23529</v>
          </cell>
          <cell r="D441" t="str">
            <v>极品统智装备宝箱</v>
          </cell>
          <cell r="E441" t="str">
            <v/>
          </cell>
          <cell r="F441">
            <v>1</v>
          </cell>
          <cell r="G441">
            <v>1</v>
          </cell>
          <cell r="H441">
            <v>1</v>
          </cell>
          <cell r="I441" t="str">
            <v/>
          </cell>
          <cell r="J441" t="str">
            <v/>
          </cell>
          <cell r="K441" t="str">
            <v/>
          </cell>
          <cell r="L441" t="str">
            <v>使用后获得墨霜广焱3件套装备</v>
          </cell>
        </row>
        <row r="442">
          <cell r="C442">
            <v>23530</v>
          </cell>
          <cell r="D442" t="str">
            <v>红色装备宝箱碎片</v>
          </cell>
          <cell r="E442" t="str">
            <v/>
          </cell>
          <cell r="F442">
            <v>1</v>
          </cell>
          <cell r="G442">
            <v>1</v>
          </cell>
          <cell r="H442">
            <v>1</v>
          </cell>
          <cell r="I442" t="str">
            <v/>
          </cell>
          <cell r="J442" t="str">
            <v/>
          </cell>
          <cell r="K442" t="str">
            <v/>
          </cell>
          <cell r="L442" t="str">
            <v>使用后可以获得一个红色装备宝箱</v>
          </cell>
        </row>
        <row r="443">
          <cell r="C443">
            <v>23531</v>
          </cell>
          <cell r="D443" t="str">
            <v>红色装备宝箱</v>
          </cell>
          <cell r="E443" t="str">
            <v/>
          </cell>
          <cell r="F443">
            <v>1</v>
          </cell>
          <cell r="G443">
            <v>1</v>
          </cell>
          <cell r="H443">
            <v>1</v>
          </cell>
          <cell r="I443" t="str">
            <v/>
          </cell>
          <cell r="J443" t="str">
            <v/>
          </cell>
          <cell r="K443" t="str">
            <v/>
          </cell>
          <cell r="L443" t="str">
            <v>使用后可以选择获得一件红色装备</v>
          </cell>
        </row>
        <row r="444">
          <cell r="C444">
            <v>23532</v>
          </cell>
          <cell r="D444" t="str">
            <v>抛砖引玉·极-残片</v>
          </cell>
          <cell r="E444" t="str">
            <v/>
          </cell>
          <cell r="F444">
            <v>1</v>
          </cell>
          <cell r="G444">
            <v>1</v>
          </cell>
          <cell r="H444">
            <v>1</v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</row>
        <row r="445">
          <cell r="C445">
            <v>23389</v>
          </cell>
          <cell r="D445" t="str">
            <v>秦阳陵虎符碎片</v>
          </cell>
          <cell r="E445" t="str">
            <v/>
          </cell>
          <cell r="F445">
            <v>1</v>
          </cell>
          <cell r="G445">
            <v>1</v>
          </cell>
          <cell r="H445">
            <v>1</v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</row>
        <row r="446">
          <cell r="C446">
            <v>180024</v>
          </cell>
          <cell r="D446" t="str">
            <v>高级盗贼</v>
          </cell>
          <cell r="E446" t="str">
            <v/>
          </cell>
          <cell r="F446">
            <v>1</v>
          </cell>
          <cell r="G446">
            <v>1</v>
          </cell>
          <cell r="H446">
            <v>1</v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</row>
        <row r="447">
          <cell r="C447">
            <v>180023</v>
          </cell>
          <cell r="D447" t="str">
            <v>高级间谍</v>
          </cell>
          <cell r="E447" t="str">
            <v/>
          </cell>
          <cell r="F447">
            <v>1</v>
          </cell>
          <cell r="G447">
            <v>1</v>
          </cell>
          <cell r="H447">
            <v>1</v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</row>
        <row r="448">
          <cell r="C448">
            <v>180022</v>
          </cell>
          <cell r="D448" t="str">
            <v>高级刺客</v>
          </cell>
          <cell r="E448" t="str">
            <v/>
          </cell>
          <cell r="F448">
            <v>1</v>
          </cell>
          <cell r="G448">
            <v>1</v>
          </cell>
          <cell r="H448">
            <v>1</v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</row>
        <row r="449">
          <cell r="C449" t="str">
            <v/>
          </cell>
          <cell r="D449" t="str">
            <v/>
          </cell>
          <cell r="E449" t="str">
            <v/>
          </cell>
          <cell r="F449">
            <v>1</v>
          </cell>
          <cell r="G449">
            <v>1</v>
          </cell>
          <cell r="H449">
            <v>1</v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</row>
        <row r="450">
          <cell r="C450">
            <v>23542</v>
          </cell>
          <cell r="D450" t="str">
            <v>十方装备宝箱碎片</v>
          </cell>
          <cell r="E450" t="str">
            <v/>
          </cell>
          <cell r="F450">
            <v>1</v>
          </cell>
          <cell r="G450">
            <v>1</v>
          </cell>
          <cell r="H450">
            <v>1</v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</row>
        <row r="451">
          <cell r="C451">
            <v>23543</v>
          </cell>
          <cell r="D451" t="str">
            <v>墨霜装备宝箱碎片</v>
          </cell>
          <cell r="E451" t="str">
            <v/>
          </cell>
          <cell r="F451">
            <v>1</v>
          </cell>
          <cell r="G451">
            <v>1</v>
          </cell>
          <cell r="H451">
            <v>1</v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</row>
        <row r="452">
          <cell r="C452" t="str">
            <v/>
          </cell>
          <cell r="D452" t="str">
            <v/>
          </cell>
          <cell r="E452" t="str">
            <v/>
          </cell>
          <cell r="F452">
            <v>1</v>
          </cell>
          <cell r="G452">
            <v>1</v>
          </cell>
          <cell r="H452">
            <v>1</v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</row>
        <row r="453">
          <cell r="C453">
            <v>23356</v>
          </cell>
          <cell r="D453" t="str">
            <v>紫色藏宝图</v>
          </cell>
          <cell r="E453">
            <v>300</v>
          </cell>
          <cell r="F453">
            <v>1</v>
          </cell>
          <cell r="G453">
            <v>1</v>
          </cell>
          <cell r="H453">
            <v>1</v>
          </cell>
          <cell r="I453">
            <v>300</v>
          </cell>
          <cell r="J453">
            <v>300</v>
          </cell>
          <cell r="K453">
            <v>300</v>
          </cell>
          <cell r="L453" t="str">
            <v/>
          </cell>
        </row>
        <row r="454">
          <cell r="C454">
            <v>23541</v>
          </cell>
          <cell r="D454" t="str">
            <v>宝物精华小宝箱</v>
          </cell>
          <cell r="E454">
            <v>100</v>
          </cell>
          <cell r="F454">
            <v>1</v>
          </cell>
          <cell r="G454">
            <v>1</v>
          </cell>
          <cell r="H454">
            <v>1</v>
          </cell>
          <cell r="I454">
            <v>100</v>
          </cell>
          <cell r="J454">
            <v>100</v>
          </cell>
          <cell r="K454">
            <v>100</v>
          </cell>
          <cell r="L454" t="str">
            <v/>
          </cell>
        </row>
        <row r="455">
          <cell r="C455">
            <v>23537</v>
          </cell>
          <cell r="D455" t="str">
            <v>文心宝箱</v>
          </cell>
          <cell r="E455">
            <v>200</v>
          </cell>
          <cell r="F455">
            <v>1</v>
          </cell>
          <cell r="G455">
            <v>1</v>
          </cell>
          <cell r="H455">
            <v>1</v>
          </cell>
          <cell r="I455">
            <v>200</v>
          </cell>
          <cell r="J455">
            <v>200</v>
          </cell>
          <cell r="K455">
            <v>200</v>
          </cell>
          <cell r="L455" t="str">
            <v/>
          </cell>
        </row>
        <row r="456">
          <cell r="C456">
            <v>23540</v>
          </cell>
          <cell r="D456" t="str">
            <v>500偕作玉宝箱</v>
          </cell>
          <cell r="E456">
            <v>500</v>
          </cell>
          <cell r="F456">
            <v>1</v>
          </cell>
          <cell r="G456">
            <v>1</v>
          </cell>
          <cell r="H456">
            <v>1</v>
          </cell>
          <cell r="I456">
            <v>500</v>
          </cell>
          <cell r="J456">
            <v>500</v>
          </cell>
          <cell r="K456">
            <v>500</v>
          </cell>
          <cell r="L456" t="str">
            <v/>
          </cell>
        </row>
        <row r="457">
          <cell r="C457">
            <v>90510</v>
          </cell>
          <cell r="D457" t="str">
            <v>偕作玉</v>
          </cell>
          <cell r="E457">
            <v>1</v>
          </cell>
          <cell r="F457">
            <v>1</v>
          </cell>
          <cell r="G457">
            <v>1</v>
          </cell>
          <cell r="H457">
            <v>1</v>
          </cell>
          <cell r="I457">
            <v>1</v>
          </cell>
          <cell r="J457">
            <v>1</v>
          </cell>
          <cell r="K457">
            <v>1</v>
          </cell>
          <cell r="L457" t="str">
            <v/>
          </cell>
        </row>
        <row r="458">
          <cell r="C458">
            <v>90512</v>
          </cell>
          <cell r="D458" t="str">
            <v>文心</v>
          </cell>
          <cell r="E458">
            <v>0.33333333333333331</v>
          </cell>
          <cell r="F458">
            <v>1</v>
          </cell>
          <cell r="G458">
            <v>1</v>
          </cell>
          <cell r="H458">
            <v>1</v>
          </cell>
          <cell r="I458">
            <v>0.33333333333333331</v>
          </cell>
          <cell r="J458">
            <v>0.33333333333333331</v>
          </cell>
          <cell r="K458">
            <v>0.33333333333333331</v>
          </cell>
          <cell r="L458" t="str">
            <v/>
          </cell>
        </row>
        <row r="459">
          <cell r="C459">
            <v>90513</v>
          </cell>
          <cell r="D459" t="str">
            <v>宝物精华</v>
          </cell>
          <cell r="E459">
            <v>100</v>
          </cell>
          <cell r="F459">
            <v>1</v>
          </cell>
          <cell r="G459">
            <v>1</v>
          </cell>
          <cell r="H459">
            <v>1</v>
          </cell>
          <cell r="I459">
            <v>100</v>
          </cell>
          <cell r="J459">
            <v>100</v>
          </cell>
          <cell r="K459">
            <v>100</v>
          </cell>
          <cell r="L459" t="str">
            <v/>
          </cell>
        </row>
        <row r="460">
          <cell r="C460">
            <v>23652</v>
          </cell>
          <cell r="D460" t="str">
            <v>流云装备宝箱碎片</v>
          </cell>
          <cell r="E460" t="str">
            <v/>
          </cell>
          <cell r="F460">
            <v>1</v>
          </cell>
          <cell r="G460">
            <v>1</v>
          </cell>
          <cell r="H460">
            <v>1</v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</row>
        <row r="461">
          <cell r="C461">
            <v>23658</v>
          </cell>
          <cell r="D461" t="str">
            <v>乱世王者碎片</v>
          </cell>
          <cell r="E461" t="str">
            <v/>
          </cell>
          <cell r="F461">
            <v>1</v>
          </cell>
          <cell r="G461">
            <v>1</v>
          </cell>
          <cell r="H461">
            <v>1</v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</row>
        <row r="462">
          <cell r="C462" t="str">
            <v/>
          </cell>
          <cell r="D462" t="str">
            <v/>
          </cell>
          <cell r="E462" t="str">
            <v/>
          </cell>
          <cell r="F462">
            <v>1</v>
          </cell>
          <cell r="G462">
            <v>1</v>
          </cell>
          <cell r="H462">
            <v>1</v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</row>
        <row r="463">
          <cell r="C463" t="str">
            <v/>
          </cell>
          <cell r="D463" t="str">
            <v>指定橙+宝物碎片</v>
          </cell>
          <cell r="E463">
            <v>666.66666666666663</v>
          </cell>
          <cell r="F463">
            <v>1</v>
          </cell>
          <cell r="G463">
            <v>1</v>
          </cell>
          <cell r="H463">
            <v>1</v>
          </cell>
          <cell r="I463">
            <v>666.66666666666663</v>
          </cell>
          <cell r="J463">
            <v>666.66666666666663</v>
          </cell>
          <cell r="K463">
            <v>666.66666666666663</v>
          </cell>
          <cell r="L463" t="str">
            <v/>
          </cell>
        </row>
        <row r="464">
          <cell r="C464" t="str">
            <v/>
          </cell>
          <cell r="D464" t="str">
            <v/>
          </cell>
          <cell r="E464" t="str">
            <v/>
          </cell>
          <cell r="F464">
            <v>1</v>
          </cell>
          <cell r="G464">
            <v>1</v>
          </cell>
          <cell r="H464">
            <v>1</v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</row>
        <row r="465">
          <cell r="C465">
            <v>24057</v>
          </cell>
          <cell r="D465" t="str">
            <v>计无所出·极-残片</v>
          </cell>
          <cell r="E465" t="str">
            <v/>
          </cell>
          <cell r="F465">
            <v>1</v>
          </cell>
          <cell r="G465">
            <v>1</v>
          </cell>
          <cell r="H465">
            <v>1</v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</row>
        <row r="466">
          <cell r="C466">
            <v>23410</v>
          </cell>
          <cell r="D466" t="str">
            <v>无字天书碎片</v>
          </cell>
          <cell r="E466" t="str">
            <v/>
          </cell>
          <cell r="F466">
            <v>1</v>
          </cell>
          <cell r="G466">
            <v>1</v>
          </cell>
          <cell r="H466">
            <v>1</v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</row>
        <row r="467">
          <cell r="C467">
            <v>24021</v>
          </cell>
          <cell r="D467" t="str">
            <v>三级阵旗随机宝箱</v>
          </cell>
          <cell r="E467" t="str">
            <v/>
          </cell>
          <cell r="F467">
            <v>1</v>
          </cell>
          <cell r="G467">
            <v>1</v>
          </cell>
          <cell r="H467">
            <v>1</v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</row>
        <row r="468">
          <cell r="C468">
            <v>24078</v>
          </cell>
          <cell r="D468" t="str">
            <v>赛季武将碎片自选</v>
          </cell>
          <cell r="E468" t="str">
            <v/>
          </cell>
          <cell r="F468">
            <v>1</v>
          </cell>
          <cell r="G468">
            <v>1</v>
          </cell>
          <cell r="H468">
            <v>1</v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</row>
        <row r="469">
          <cell r="C469" t="str">
            <v/>
          </cell>
          <cell r="D469" t="str">
            <v/>
          </cell>
          <cell r="E469" t="str">
            <v/>
          </cell>
          <cell r="F469">
            <v>1</v>
          </cell>
          <cell r="G469">
            <v>1</v>
          </cell>
          <cell r="H469">
            <v>1</v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</row>
        <row r="470">
          <cell r="C470">
            <v>23521</v>
          </cell>
          <cell r="D470" t="str">
            <v>将军印碎片</v>
          </cell>
          <cell r="E470" t="str">
            <v/>
          </cell>
          <cell r="F470">
            <v>1</v>
          </cell>
          <cell r="G470">
            <v>1</v>
          </cell>
          <cell r="H470">
            <v>1</v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</row>
        <row r="471">
          <cell r="C471">
            <v>23522</v>
          </cell>
          <cell r="D471" t="str">
            <v>上将印碎片</v>
          </cell>
          <cell r="E471" t="str">
            <v/>
          </cell>
          <cell r="F471">
            <v>1</v>
          </cell>
          <cell r="G471">
            <v>1</v>
          </cell>
          <cell r="H471">
            <v>1</v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</row>
        <row r="472">
          <cell r="C472">
            <v>23523</v>
          </cell>
          <cell r="D472" t="str">
            <v>统帅印碎片</v>
          </cell>
          <cell r="E472" t="str">
            <v/>
          </cell>
          <cell r="F472">
            <v>1</v>
          </cell>
          <cell r="G472">
            <v>1</v>
          </cell>
          <cell r="H472">
            <v>1</v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</row>
        <row r="473">
          <cell r="C473" t="str">
            <v/>
          </cell>
          <cell r="D473" t="str">
            <v/>
          </cell>
          <cell r="E473" t="str">
            <v/>
          </cell>
          <cell r="F473">
            <v>1</v>
          </cell>
          <cell r="G473">
            <v>1</v>
          </cell>
          <cell r="H473">
            <v>1</v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</row>
        <row r="474">
          <cell r="C474" t="str">
            <v/>
          </cell>
          <cell r="D474" t="str">
            <v/>
          </cell>
          <cell r="E474" t="str">
            <v/>
          </cell>
          <cell r="F474">
            <v>1</v>
          </cell>
          <cell r="G474">
            <v>1</v>
          </cell>
          <cell r="H474">
            <v>1</v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</row>
        <row r="475">
          <cell r="C475" t="str">
            <v/>
          </cell>
          <cell r="D475" t="str">
            <v/>
          </cell>
          <cell r="E475" t="str">
            <v/>
          </cell>
          <cell r="F475">
            <v>1</v>
          </cell>
          <cell r="G475">
            <v>1</v>
          </cell>
          <cell r="H475">
            <v>1</v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</row>
        <row r="476">
          <cell r="C476" t="str">
            <v/>
          </cell>
          <cell r="D476" t="str">
            <v/>
          </cell>
          <cell r="E476" t="str">
            <v/>
          </cell>
          <cell r="F476">
            <v>1</v>
          </cell>
          <cell r="G476">
            <v>1</v>
          </cell>
          <cell r="H476">
            <v>1</v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</row>
        <row r="477">
          <cell r="C477" t="str">
            <v/>
          </cell>
          <cell r="D477" t="str">
            <v/>
          </cell>
          <cell r="E477" t="str">
            <v/>
          </cell>
          <cell r="F477">
            <v>1</v>
          </cell>
          <cell r="G477">
            <v>1</v>
          </cell>
          <cell r="H477">
            <v>1</v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</row>
        <row r="478">
          <cell r="C478" t="str">
            <v/>
          </cell>
          <cell r="D478" t="str">
            <v/>
          </cell>
          <cell r="E478" t="str">
            <v/>
          </cell>
          <cell r="F478">
            <v>1</v>
          </cell>
          <cell r="G478">
            <v>1</v>
          </cell>
          <cell r="H478">
            <v>1</v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</row>
        <row r="479">
          <cell r="C479" t="str">
            <v/>
          </cell>
          <cell r="D479" t="str">
            <v/>
          </cell>
          <cell r="E479" t="str">
            <v/>
          </cell>
          <cell r="F479">
            <v>1</v>
          </cell>
          <cell r="G479">
            <v>1</v>
          </cell>
          <cell r="H479">
            <v>1</v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</row>
        <row r="480">
          <cell r="C480" t="str">
            <v/>
          </cell>
          <cell r="D480" t="str">
            <v/>
          </cell>
          <cell r="E480" t="str">
            <v/>
          </cell>
          <cell r="F480">
            <v>1</v>
          </cell>
          <cell r="G480">
            <v>1</v>
          </cell>
          <cell r="H480">
            <v>1</v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</row>
        <row r="481">
          <cell r="C481" t="str">
            <v/>
          </cell>
          <cell r="D481" t="str">
            <v/>
          </cell>
          <cell r="E481" t="str">
            <v/>
          </cell>
          <cell r="F481">
            <v>1</v>
          </cell>
          <cell r="G481">
            <v>1</v>
          </cell>
          <cell r="H481">
            <v>1</v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</row>
        <row r="482">
          <cell r="C482" t="str">
            <v/>
          </cell>
          <cell r="D482" t="str">
            <v/>
          </cell>
          <cell r="E482" t="str">
            <v/>
          </cell>
          <cell r="F482">
            <v>1</v>
          </cell>
          <cell r="G482">
            <v>1</v>
          </cell>
          <cell r="H482">
            <v>1</v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</row>
        <row r="483">
          <cell r="C483" t="str">
            <v/>
          </cell>
          <cell r="D483" t="str">
            <v/>
          </cell>
          <cell r="E483" t="str">
            <v/>
          </cell>
          <cell r="F483">
            <v>1</v>
          </cell>
          <cell r="G483">
            <v>1</v>
          </cell>
          <cell r="H483">
            <v>1</v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</row>
        <row r="484">
          <cell r="C484" t="str">
            <v/>
          </cell>
          <cell r="D484" t="str">
            <v/>
          </cell>
          <cell r="E484" t="str">
            <v/>
          </cell>
          <cell r="F484">
            <v>1</v>
          </cell>
          <cell r="G484">
            <v>1</v>
          </cell>
          <cell r="H484">
            <v>1</v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</row>
        <row r="485">
          <cell r="C485" t="str">
            <v/>
          </cell>
          <cell r="D485" t="str">
            <v/>
          </cell>
          <cell r="E485" t="str">
            <v/>
          </cell>
          <cell r="F485">
            <v>1</v>
          </cell>
          <cell r="G485">
            <v>1</v>
          </cell>
          <cell r="H485">
            <v>1</v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</row>
        <row r="486">
          <cell r="C486" t="str">
            <v/>
          </cell>
          <cell r="D486" t="str">
            <v/>
          </cell>
          <cell r="E486" t="str">
            <v/>
          </cell>
          <cell r="F486">
            <v>1</v>
          </cell>
          <cell r="G486">
            <v>1</v>
          </cell>
          <cell r="H486">
            <v>1</v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</row>
        <row r="487">
          <cell r="C487" t="str">
            <v/>
          </cell>
          <cell r="D487" t="str">
            <v/>
          </cell>
          <cell r="E487" t="str">
            <v/>
          </cell>
          <cell r="F487">
            <v>1</v>
          </cell>
          <cell r="G487">
            <v>1</v>
          </cell>
          <cell r="H487">
            <v>1</v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</row>
        <row r="488">
          <cell r="C488" t="str">
            <v/>
          </cell>
          <cell r="D488" t="str">
            <v/>
          </cell>
          <cell r="E488" t="str">
            <v/>
          </cell>
          <cell r="F488">
            <v>1</v>
          </cell>
          <cell r="G488">
            <v>1</v>
          </cell>
          <cell r="H488">
            <v>1</v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</row>
        <row r="489">
          <cell r="C489" t="str">
            <v/>
          </cell>
          <cell r="D489" t="str">
            <v/>
          </cell>
          <cell r="E489" t="str">
            <v/>
          </cell>
          <cell r="F489">
            <v>1</v>
          </cell>
          <cell r="G489">
            <v>1</v>
          </cell>
          <cell r="H489">
            <v>1</v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</row>
        <row r="490">
          <cell r="C490" t="str">
            <v/>
          </cell>
          <cell r="D490" t="str">
            <v/>
          </cell>
          <cell r="E490" t="str">
            <v/>
          </cell>
          <cell r="F490">
            <v>1</v>
          </cell>
          <cell r="G490">
            <v>1</v>
          </cell>
          <cell r="H490">
            <v>1</v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</row>
        <row r="491">
          <cell r="C491" t="str">
            <v/>
          </cell>
          <cell r="D491" t="str">
            <v/>
          </cell>
          <cell r="E491" t="str">
            <v/>
          </cell>
          <cell r="F491">
            <v>1</v>
          </cell>
          <cell r="G491">
            <v>1</v>
          </cell>
          <cell r="H491">
            <v>1</v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</row>
        <row r="492">
          <cell r="C492" t="str">
            <v/>
          </cell>
          <cell r="D492" t="str">
            <v/>
          </cell>
          <cell r="E492" t="str">
            <v/>
          </cell>
          <cell r="F492">
            <v>1</v>
          </cell>
          <cell r="G492">
            <v>1</v>
          </cell>
          <cell r="H492">
            <v>1</v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</row>
        <row r="493">
          <cell r="C493" t="str">
            <v/>
          </cell>
          <cell r="D493" t="str">
            <v/>
          </cell>
          <cell r="E493" t="str">
            <v/>
          </cell>
          <cell r="F493">
            <v>1</v>
          </cell>
          <cell r="G493">
            <v>1</v>
          </cell>
          <cell r="H493">
            <v>1</v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</row>
        <row r="494">
          <cell r="C494" t="str">
            <v/>
          </cell>
          <cell r="D494" t="str">
            <v/>
          </cell>
          <cell r="E494" t="str">
            <v/>
          </cell>
          <cell r="F494">
            <v>1</v>
          </cell>
          <cell r="G494">
            <v>1</v>
          </cell>
          <cell r="H494">
            <v>1</v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</row>
        <row r="495">
          <cell r="C495" t="str">
            <v/>
          </cell>
          <cell r="D495" t="str">
            <v/>
          </cell>
          <cell r="E495" t="str">
            <v/>
          </cell>
          <cell r="F495">
            <v>1</v>
          </cell>
          <cell r="G495">
            <v>1</v>
          </cell>
          <cell r="H495">
            <v>1</v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</row>
        <row r="496">
          <cell r="C496" t="str">
            <v/>
          </cell>
          <cell r="D496" t="str">
            <v/>
          </cell>
          <cell r="E496" t="str">
            <v/>
          </cell>
          <cell r="F496">
            <v>1</v>
          </cell>
          <cell r="G496">
            <v>1</v>
          </cell>
          <cell r="H496">
            <v>1</v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</row>
        <row r="497">
          <cell r="C497" t="str">
            <v/>
          </cell>
          <cell r="D497" t="str">
            <v/>
          </cell>
          <cell r="E497" t="str">
            <v/>
          </cell>
          <cell r="F497">
            <v>1</v>
          </cell>
          <cell r="G497">
            <v>1</v>
          </cell>
          <cell r="H497">
            <v>1</v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</row>
        <row r="498">
          <cell r="C498" t="str">
            <v/>
          </cell>
          <cell r="D498" t="str">
            <v/>
          </cell>
          <cell r="E498" t="str">
            <v/>
          </cell>
          <cell r="F498">
            <v>1</v>
          </cell>
          <cell r="G498">
            <v>1</v>
          </cell>
          <cell r="H498">
            <v>1</v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</row>
        <row r="499">
          <cell r="C499" t="str">
            <v/>
          </cell>
          <cell r="D499" t="str">
            <v/>
          </cell>
          <cell r="E499" t="str">
            <v/>
          </cell>
          <cell r="F499">
            <v>1</v>
          </cell>
          <cell r="G499">
            <v>1</v>
          </cell>
          <cell r="H499">
            <v>1</v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</row>
        <row r="500">
          <cell r="C500" t="str">
            <v/>
          </cell>
          <cell r="D500" t="str">
            <v/>
          </cell>
          <cell r="E500" t="str">
            <v/>
          </cell>
          <cell r="F500">
            <v>1</v>
          </cell>
          <cell r="G500">
            <v>1</v>
          </cell>
          <cell r="H500">
            <v>1</v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</row>
        <row r="501">
          <cell r="C501" t="str">
            <v/>
          </cell>
          <cell r="D501" t="str">
            <v/>
          </cell>
          <cell r="E501" t="str">
            <v/>
          </cell>
          <cell r="F501">
            <v>1</v>
          </cell>
          <cell r="G501">
            <v>1</v>
          </cell>
          <cell r="H501">
            <v>1</v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</row>
        <row r="502">
          <cell r="C502" t="str">
            <v/>
          </cell>
          <cell r="D502" t="str">
            <v/>
          </cell>
          <cell r="E502" t="str">
            <v/>
          </cell>
          <cell r="F502">
            <v>1</v>
          </cell>
          <cell r="G502">
            <v>1</v>
          </cell>
          <cell r="H502">
            <v>1</v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</row>
        <row r="503">
          <cell r="C503" t="str">
            <v/>
          </cell>
          <cell r="D503" t="str">
            <v/>
          </cell>
          <cell r="E503" t="str">
            <v/>
          </cell>
          <cell r="F503">
            <v>1</v>
          </cell>
          <cell r="G503">
            <v>1</v>
          </cell>
          <cell r="H503">
            <v>1</v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workbookViewId="0">
      <selection activeCell="O44" sqref="O44"/>
    </sheetView>
  </sheetViews>
  <sheetFormatPr defaultRowHeight="11.25" x14ac:dyDescent="0.15"/>
  <cols>
    <col min="1" max="1" width="9" style="1"/>
    <col min="2" max="2" width="10.5" style="1" bestFit="1" customWidth="1"/>
    <col min="3" max="3" width="9.75" style="2" bestFit="1" customWidth="1"/>
    <col min="4" max="4" width="9" style="2" bestFit="1" customWidth="1"/>
    <col min="5" max="22" width="9" style="2"/>
    <col min="23" max="23" width="9" style="1"/>
    <col min="24" max="24" width="3" style="3" customWidth="1"/>
    <col min="25" max="31" width="8.125" style="2"/>
    <col min="32" max="32" width="8.125" style="1"/>
    <col min="33" max="38" width="8.125" style="2"/>
    <col min="39" max="39" width="8.125" style="1"/>
    <col min="40" max="45" width="8.125" style="2"/>
    <col min="46" max="16384" width="9" style="1"/>
  </cols>
  <sheetData>
    <row r="1" spans="2:45" x14ac:dyDescent="0.15">
      <c r="D1" s="2" t="s">
        <v>4</v>
      </c>
    </row>
    <row r="2" spans="2:45" x14ac:dyDescent="0.15">
      <c r="D2" s="21" t="s">
        <v>22</v>
      </c>
      <c r="E2" s="21"/>
      <c r="F2" s="21"/>
      <c r="G2" s="21"/>
      <c r="H2" s="21"/>
      <c r="K2" s="21" t="s">
        <v>23</v>
      </c>
      <c r="L2" s="21"/>
      <c r="M2" s="21"/>
      <c r="N2" s="21"/>
      <c r="O2" s="21"/>
      <c r="R2" s="21" t="s">
        <v>24</v>
      </c>
      <c r="S2" s="21"/>
      <c r="T2" s="21"/>
      <c r="U2" s="21"/>
      <c r="V2" s="21"/>
      <c r="AA2" s="21" t="s">
        <v>14</v>
      </c>
      <c r="AB2" s="21"/>
      <c r="AC2" s="21"/>
      <c r="AD2" s="21"/>
      <c r="AE2" s="21"/>
      <c r="AH2" s="21" t="s">
        <v>15</v>
      </c>
      <c r="AI2" s="21"/>
      <c r="AJ2" s="21"/>
      <c r="AK2" s="21"/>
      <c r="AL2" s="21"/>
      <c r="AO2" s="21" t="s">
        <v>16</v>
      </c>
      <c r="AP2" s="21"/>
      <c r="AQ2" s="21"/>
      <c r="AR2" s="21"/>
      <c r="AS2" s="21"/>
    </row>
    <row r="3" spans="2:45" x14ac:dyDescent="0.15">
      <c r="B3" s="2" t="str">
        <f>[1]节奏总纲!N3</f>
        <v>对应玩家等级</v>
      </c>
      <c r="C3" s="2" t="s">
        <v>25</v>
      </c>
      <c r="D3" s="2" t="s">
        <v>5</v>
      </c>
      <c r="E3" s="2" t="s">
        <v>6</v>
      </c>
      <c r="F3" s="2" t="s">
        <v>7</v>
      </c>
      <c r="G3" s="2" t="s">
        <v>8</v>
      </c>
      <c r="H3" s="2" t="s">
        <v>9</v>
      </c>
      <c r="J3" s="2" t="s">
        <v>25</v>
      </c>
      <c r="K3" s="2" t="s">
        <v>1</v>
      </c>
      <c r="L3" s="2" t="s">
        <v>2</v>
      </c>
      <c r="M3" s="2" t="s">
        <v>10</v>
      </c>
      <c r="N3" s="2" t="s">
        <v>8</v>
      </c>
      <c r="O3" s="2" t="s">
        <v>3</v>
      </c>
      <c r="Q3" s="2" t="s">
        <v>0</v>
      </c>
      <c r="R3" s="2" t="s">
        <v>1</v>
      </c>
      <c r="S3" s="2" t="s">
        <v>2</v>
      </c>
      <c r="T3" s="2" t="s">
        <v>11</v>
      </c>
      <c r="U3" s="2" t="s">
        <v>8</v>
      </c>
      <c r="V3" s="2" t="s">
        <v>12</v>
      </c>
      <c r="Z3" s="2" t="s">
        <v>13</v>
      </c>
      <c r="AA3" s="2" t="s">
        <v>17</v>
      </c>
      <c r="AB3" s="2" t="s">
        <v>18</v>
      </c>
      <c r="AC3" s="2" t="s">
        <v>19</v>
      </c>
      <c r="AD3" s="2" t="s">
        <v>20</v>
      </c>
      <c r="AE3" s="2" t="s">
        <v>21</v>
      </c>
      <c r="AG3" s="2" t="s">
        <v>13</v>
      </c>
      <c r="AH3" s="2" t="s">
        <v>17</v>
      </c>
      <c r="AI3" s="2" t="s">
        <v>18</v>
      </c>
      <c r="AJ3" s="2" t="s">
        <v>19</v>
      </c>
      <c r="AK3" s="2" t="s">
        <v>20</v>
      </c>
      <c r="AL3" s="2" t="s">
        <v>12</v>
      </c>
      <c r="AN3" s="2" t="s">
        <v>0</v>
      </c>
      <c r="AO3" s="2" t="s">
        <v>17</v>
      </c>
      <c r="AP3" s="2" t="s">
        <v>18</v>
      </c>
      <c r="AQ3" s="2" t="s">
        <v>19</v>
      </c>
      <c r="AR3" s="2" t="s">
        <v>20</v>
      </c>
      <c r="AS3" s="2" t="s">
        <v>21</v>
      </c>
    </row>
    <row r="4" spans="2:45" x14ac:dyDescent="0.15">
      <c r="B4" s="2">
        <f>[1]节奏总纲!N4</f>
        <v>2</v>
      </c>
      <c r="C4" s="2">
        <v>1</v>
      </c>
      <c r="D4" s="2">
        <f>[1]节奏总纲!P4</f>
        <v>7.1773462536293131E-2</v>
      </c>
      <c r="E4" s="2">
        <f>[1]节奏总纲!Q4</f>
        <v>5.9787294292732177E-2</v>
      </c>
      <c r="F4" s="2">
        <f>[1]节奏总纲!R4</f>
        <v>4.677476553490223E-2</v>
      </c>
      <c r="G4" s="2">
        <f>[1]节奏总纲!S4</f>
        <v>3.2585151991477081E-2</v>
      </c>
      <c r="H4" s="2">
        <f>[1]节奏总纲!T4</f>
        <v>1.7039020006115988E-2</v>
      </c>
      <c r="J4" s="2">
        <v>1</v>
      </c>
      <c r="K4" s="2">
        <f>[1]节奏总纲!W4</f>
        <v>7.1773462536293131E-2</v>
      </c>
      <c r="L4" s="2">
        <f>[1]节奏总纲!X4</f>
        <v>5.9787294292732177E-2</v>
      </c>
      <c r="M4" s="2">
        <f>[1]节奏总纲!Y4</f>
        <v>4.677476553490223E-2</v>
      </c>
      <c r="N4" s="2">
        <f>[1]节奏总纲!Z4</f>
        <v>3.2585151991477081E-2</v>
      </c>
      <c r="O4" s="2">
        <f>[1]节奏总纲!AA4</f>
        <v>1.7039020006115988E-2</v>
      </c>
      <c r="Q4" s="2">
        <v>1</v>
      </c>
      <c r="R4" s="2">
        <f>[1]节奏总纲!AD4</f>
        <v>10</v>
      </c>
      <c r="S4" s="2">
        <f>[1]节奏总纲!AE4</f>
        <v>11.148446722089302</v>
      </c>
      <c r="T4" s="2">
        <f>[1]节奏总纲!AF4</f>
        <v>12.761737853656415</v>
      </c>
      <c r="U4" s="2">
        <f>[1]节奏总纲!AG4</f>
        <v>15.452231935206081</v>
      </c>
      <c r="V4" s="2">
        <f>[1]节奏总纲!AH4</f>
        <v>21.291911942729964</v>
      </c>
      <c r="Z4" s="2">
        <v>1</v>
      </c>
      <c r="AA4" s="2">
        <f>[1]节奏总纲!AM4</f>
        <v>7.4349177498517554E-3</v>
      </c>
      <c r="AB4" s="2">
        <f>[1]节奏总纲!AN4</f>
        <v>5.947934199881405E-3</v>
      </c>
      <c r="AC4" s="2">
        <f>[1]节奏总纲!AO4</f>
        <v>4.4609506499110529E-3</v>
      </c>
      <c r="AD4" s="2">
        <f>[1]节奏总纲!AP4</f>
        <v>2.9739670999407025E-3</v>
      </c>
      <c r="AE4" s="2">
        <f>[1]节奏总纲!AQ4</f>
        <v>1.4869835499703513E-3</v>
      </c>
      <c r="AG4" s="2">
        <v>1</v>
      </c>
      <c r="AH4" s="2">
        <f>[1]节奏总纲!AT4</f>
        <v>7.4349177498517554E-3</v>
      </c>
      <c r="AI4" s="2">
        <f>[1]节奏总纲!AU4</f>
        <v>5.947934199881405E-3</v>
      </c>
      <c r="AJ4" s="2">
        <f>[1]节奏总纲!AV4</f>
        <v>4.4609506499110529E-3</v>
      </c>
      <c r="AK4" s="2">
        <f>[1]节奏总纲!AW4</f>
        <v>2.9739670999407025E-3</v>
      </c>
      <c r="AL4" s="2">
        <f>[1]节奏总纲!AX4</f>
        <v>1.4869835499703513E-3</v>
      </c>
      <c r="AM4" s="2"/>
      <c r="AN4" s="2">
        <v>1</v>
      </c>
      <c r="AO4" s="2">
        <f>[1]节奏总纲!BA4</f>
        <v>11.296493250964016</v>
      </c>
      <c r="AP4" s="2">
        <f>[1]节奏总纲!BB4</f>
        <v>12.361596792946616</v>
      </c>
      <c r="AQ4" s="2">
        <f>[1]节奏总纲!BC4</f>
        <v>13.798091195443488</v>
      </c>
      <c r="AR4" s="2">
        <f>[1]节奏总纲!BD4</f>
        <v>15.911635365458322</v>
      </c>
      <c r="AS4" s="2">
        <f>[1]节奏总纲!BE4</f>
        <v>19.707330185578734</v>
      </c>
    </row>
    <row r="5" spans="2:45" x14ac:dyDescent="0.15">
      <c r="B5" s="2">
        <f>[1]节奏总纲!N5</f>
        <v>4</v>
      </c>
      <c r="C5" s="2">
        <v>2</v>
      </c>
      <c r="D5" s="2">
        <f>[1]节奏总纲!P5</f>
        <v>0.1486983549970351</v>
      </c>
      <c r="E5" s="2">
        <f>[1]节奏总纲!Q5</f>
        <v>0.12505531655250651</v>
      </c>
      <c r="F5" s="2">
        <f>[1]节奏总纲!R5</f>
        <v>9.883979656652922E-2</v>
      </c>
      <c r="G5" s="2">
        <f>[1]节奏总纲!S5</f>
        <v>6.9828747506607683E-2</v>
      </c>
      <c r="H5" s="2">
        <f>[1]节奏总纲!T5</f>
        <v>3.7085369736260552E-2</v>
      </c>
      <c r="J5" s="2">
        <v>2</v>
      </c>
      <c r="K5" s="2">
        <f>[1]节奏总纲!W5</f>
        <v>7.6924892460741967E-2</v>
      </c>
      <c r="L5" s="2">
        <f>[1]节奏总纲!X5</f>
        <v>6.5268022259774336E-2</v>
      </c>
      <c r="M5" s="2">
        <f>[1]节奏总纲!Y5</f>
        <v>5.206503103162699E-2</v>
      </c>
      <c r="N5" s="2">
        <f>[1]节奏总纲!Z5</f>
        <v>3.7243595515130602E-2</v>
      </c>
      <c r="O5" s="2">
        <f>[1]节奏总纲!AA5</f>
        <v>2.0046349730144564E-2</v>
      </c>
      <c r="Q5" s="2">
        <v>2</v>
      </c>
      <c r="R5" s="2">
        <f>[1]节奏总纲!AD5</f>
        <v>15.845161563010114</v>
      </c>
      <c r="S5" s="2">
        <f>[1]节奏总纲!AE5</f>
        <v>17.271997130667014</v>
      </c>
      <c r="T5" s="2">
        <f>[1]节奏总纲!AF5</f>
        <v>19.263096801323076</v>
      </c>
      <c r="U5" s="2">
        <f>[1]节奏总纲!AG5</f>
        <v>22.536681597650272</v>
      </c>
      <c r="V5" s="2">
        <f>[1]节奏总纲!AH5</f>
        <v>29.386000042029625</v>
      </c>
      <c r="Z5" s="2">
        <v>2</v>
      </c>
      <c r="AA5" s="2">
        <f>[1]节奏总纲!AM5</f>
        <v>2.3963093307967063E-2</v>
      </c>
      <c r="AB5" s="2">
        <f>[1]节奏总纲!AN5</f>
        <v>1.9170474646373652E-2</v>
      </c>
      <c r="AC5" s="2">
        <f>[1]节奏总纲!AO5</f>
        <v>1.4377855984780237E-2</v>
      </c>
      <c r="AD5" s="2">
        <f>[1]节奏总纲!AP5</f>
        <v>9.5852373231868262E-3</v>
      </c>
      <c r="AE5" s="2">
        <f>[1]节奏总纲!AQ5</f>
        <v>4.7926186615934131E-3</v>
      </c>
      <c r="AG5" s="2">
        <v>2</v>
      </c>
      <c r="AH5" s="2">
        <f>[1]节奏总纲!AT5</f>
        <v>1.6528175558115307E-2</v>
      </c>
      <c r="AI5" s="2">
        <f>[1]节奏总纲!AU5</f>
        <v>1.3222540446492247E-2</v>
      </c>
      <c r="AJ5" s="2">
        <f>[1]节奏总纲!AV5</f>
        <v>9.9169053348691846E-3</v>
      </c>
      <c r="AK5" s="2">
        <f>[1]节奏总纲!AW5</f>
        <v>6.6112702232461237E-3</v>
      </c>
      <c r="AL5" s="2">
        <f>[1]节奏总纲!AX5</f>
        <v>3.3056351116230618E-3</v>
      </c>
      <c r="AM5" s="2"/>
      <c r="AN5" s="2">
        <v>2</v>
      </c>
      <c r="AO5" s="2">
        <f>[1]节奏总纲!BA5</f>
        <v>14.729965238833779</v>
      </c>
      <c r="AP5" s="2">
        <f>[1]节奏总纲!BB5</f>
        <v>15.911635365458322</v>
      </c>
      <c r="AQ5" s="2">
        <f>[1]节奏总纲!BC5</f>
        <v>17.448850811924295</v>
      </c>
      <c r="AR5" s="2">
        <f>[1]节奏总纲!BD5</f>
        <v>19.707330185578734</v>
      </c>
      <c r="AS5" s="2">
        <f>[1]节奏总纲!BE5</f>
        <v>23.710496742673982</v>
      </c>
    </row>
    <row r="6" spans="2:45" x14ac:dyDescent="0.15">
      <c r="B6" s="2">
        <f>[1]节奏总纲!N6</f>
        <v>6</v>
      </c>
      <c r="C6" s="2">
        <v>3</v>
      </c>
      <c r="D6" s="2">
        <f>[1]节奏总纲!P6</f>
        <v>0.23114441334491631</v>
      </c>
      <c r="E6" s="2">
        <f>[1]节奏总纲!Q6</f>
        <v>0.19582554698581309</v>
      </c>
      <c r="F6" s="2">
        <f>[1]节奏总纲!R6</f>
        <v>0.15616116565582547</v>
      </c>
      <c r="G6" s="2">
        <f>[1]节奏总纲!S6</f>
        <v>0.11120357726023924</v>
      </c>
      <c r="H6" s="2">
        <f>[1]节奏总纲!T6</f>
        <v>5.9380999788309005E-2</v>
      </c>
      <c r="J6" s="2">
        <v>3</v>
      </c>
      <c r="K6" s="2">
        <f>[1]节奏总纲!W6</f>
        <v>8.2446058347881213E-2</v>
      </c>
      <c r="L6" s="2">
        <f>[1]节奏总纲!X6</f>
        <v>7.0770230433306575E-2</v>
      </c>
      <c r="M6" s="2">
        <f>[1]节奏总纲!Y6</f>
        <v>5.7321369089296248E-2</v>
      </c>
      <c r="N6" s="2">
        <f>[1]节奏总纲!Z6</f>
        <v>4.1374829753631562E-2</v>
      </c>
      <c r="O6" s="2">
        <f>[1]节奏总纲!AA6</f>
        <v>2.2295630052048453E-2</v>
      </c>
      <c r="Q6" s="2">
        <v>3</v>
      </c>
      <c r="R6" s="2">
        <f>[1]节奏总纲!AD6</f>
        <v>20</v>
      </c>
      <c r="S6" s="2">
        <f>[1]节奏总纲!AE6</f>
        <v>21.543844702365945</v>
      </c>
      <c r="T6" s="2">
        <f>[1]节奏总纲!AF6</f>
        <v>23.734615677065324</v>
      </c>
      <c r="U6" s="2">
        <f>[1]节奏总纲!AG6</f>
        <v>27.324610510337703</v>
      </c>
      <c r="V6" s="2">
        <f>[1]节奏总纲!AH6</f>
        <v>34.517938607173015</v>
      </c>
      <c r="Z6" s="2">
        <v>3</v>
      </c>
      <c r="AA6" s="2">
        <f>[1]节奏总纲!AM6</f>
        <v>5.1571656651039799E-2</v>
      </c>
      <c r="AB6" s="2">
        <f>[1]节奏总纲!AN6</f>
        <v>4.1257325320831845E-2</v>
      </c>
      <c r="AC6" s="2">
        <f>[1]节奏总纲!AO6</f>
        <v>3.0942993990623877E-2</v>
      </c>
      <c r="AD6" s="2">
        <f>[1]节奏总纲!AP6</f>
        <v>2.0628662660415922E-2</v>
      </c>
      <c r="AE6" s="2">
        <f>[1]节奏总纲!AQ6</f>
        <v>1.0314331330207961E-2</v>
      </c>
      <c r="AG6" s="2">
        <v>3</v>
      </c>
      <c r="AH6" s="2">
        <f>[1]节奏总纲!AT6</f>
        <v>2.7608563343072736E-2</v>
      </c>
      <c r="AI6" s="2">
        <f>[1]节奏总纲!AU6</f>
        <v>2.2086850674458192E-2</v>
      </c>
      <c r="AJ6" s="2">
        <f>[1]节奏总纲!AV6</f>
        <v>1.6565138005843638E-2</v>
      </c>
      <c r="AK6" s="2">
        <f>[1]节奏总纲!AW6</f>
        <v>1.1043425337229096E-2</v>
      </c>
      <c r="AL6" s="2">
        <f>[1]节奏总纲!AX6</f>
        <v>5.5217126686145481E-3</v>
      </c>
      <c r="AM6" s="2"/>
      <c r="AN6" s="2">
        <v>3</v>
      </c>
      <c r="AO6" s="2">
        <f>[1]节奏总纲!BA6</f>
        <v>16.888397947066121</v>
      </c>
      <c r="AP6" s="2">
        <f>[1]节奏总纲!BB6</f>
        <v>18.108391417375849</v>
      </c>
      <c r="AQ6" s="2">
        <f>[1]节奏总纲!BC6</f>
        <v>19.707330185578734</v>
      </c>
      <c r="AR6" s="2">
        <f>[1]节奏总纲!BD6</f>
        <v>22.041972908628715</v>
      </c>
      <c r="AS6" s="2">
        <f>[1]节奏总纲!BE6</f>
        <v>26.127796402772656</v>
      </c>
    </row>
    <row r="7" spans="2:45" x14ac:dyDescent="0.15">
      <c r="B7" s="2">
        <f>[1]节奏总纲!N7</f>
        <v>8</v>
      </c>
      <c r="C7" s="2">
        <v>4</v>
      </c>
      <c r="D7" s="2">
        <f>[1]节奏总纲!P7</f>
        <v>0.3195079107728942</v>
      </c>
      <c r="E7" s="2">
        <f>[1]节奏总纲!Q7</f>
        <v>0.2719651336498875</v>
      </c>
      <c r="F7" s="2">
        <f>[1]节奏总纲!R7</f>
        <v>0.21816000147573214</v>
      </c>
      <c r="G7" s="2">
        <f>[1]节奏总纲!S7</f>
        <v>0.15607961441255883</v>
      </c>
      <c r="H7" s="2">
        <f>[1]节奏总纲!T7</f>
        <v>8.4062531324348461E-2</v>
      </c>
      <c r="J7" s="2">
        <v>4</v>
      </c>
      <c r="K7" s="2">
        <f>[1]节奏总纲!W7</f>
        <v>8.8363497427977888E-2</v>
      </c>
      <c r="L7" s="2">
        <f>[1]节奏总纲!X7</f>
        <v>7.6139586664074416E-2</v>
      </c>
      <c r="M7" s="2">
        <f>[1]节奏总纲!Y7</f>
        <v>6.1998835819906672E-2</v>
      </c>
      <c r="N7" s="2">
        <f>[1]节奏总纲!Z7</f>
        <v>4.4876037152319581E-2</v>
      </c>
      <c r="O7" s="2">
        <f>[1]节奏总纲!AA7</f>
        <v>2.4681531536039455E-2</v>
      </c>
      <c r="Q7" s="2">
        <v>4</v>
      </c>
      <c r="R7" s="2">
        <f>[1]节奏总纲!AD7</f>
        <v>23.213386604241784</v>
      </c>
      <c r="S7" s="2">
        <f>[1]节奏总纲!AE7</f>
        <v>24.836966034810484</v>
      </c>
      <c r="T7" s="2">
        <f>[1]节奏总纲!AF7</f>
        <v>27.155717181399513</v>
      </c>
      <c r="U7" s="2">
        <f>[1]节奏总纲!AG7</f>
        <v>30.831257561377125</v>
      </c>
      <c r="V7" s="2">
        <f>[1]节奏总纲!AH7</f>
        <v>38.431365705145346</v>
      </c>
      <c r="Z7" s="2">
        <v>4</v>
      </c>
      <c r="AA7" s="2">
        <f>[1]节奏总纲!AM7</f>
        <v>9.2637640824031031E-2</v>
      </c>
      <c r="AB7" s="2">
        <f>[1]节奏总纲!AN7</f>
        <v>7.4110112659224833E-2</v>
      </c>
      <c r="AC7" s="2">
        <f>[1]节奏总纲!AO7</f>
        <v>5.5582584494418615E-2</v>
      </c>
      <c r="AD7" s="2">
        <f>[1]节奏总纲!AP7</f>
        <v>3.7055056329612417E-2</v>
      </c>
      <c r="AE7" s="2">
        <f>[1]节奏总纲!AQ7</f>
        <v>1.8527528164806208E-2</v>
      </c>
      <c r="AG7" s="2">
        <v>4</v>
      </c>
      <c r="AH7" s="2">
        <f>[1]节奏总纲!AT7</f>
        <v>4.1065984172991232E-2</v>
      </c>
      <c r="AI7" s="2">
        <f>[1]节奏总纲!AU7</f>
        <v>3.2852787338392989E-2</v>
      </c>
      <c r="AJ7" s="2">
        <f>[1]节奏总纲!AV7</f>
        <v>2.4639590503794738E-2</v>
      </c>
      <c r="AK7" s="2">
        <f>[1]节奏总纲!AW7</f>
        <v>1.6426393669196494E-2</v>
      </c>
      <c r="AL7" s="2">
        <f>[1]节奏总纲!AX7</f>
        <v>8.2131968345982471E-3</v>
      </c>
      <c r="AM7" s="2"/>
      <c r="AN7" s="2">
        <v>4</v>
      </c>
      <c r="AO7" s="2">
        <f>[1]节奏总纲!BA7</f>
        <v>18.453550676044042</v>
      </c>
      <c r="AP7" s="2">
        <f>[1]节奏总纲!BB7</f>
        <v>19.707330185578734</v>
      </c>
      <c r="AQ7" s="2">
        <f>[1]节奏总纲!BC7</f>
        <v>21.34613466141565</v>
      </c>
      <c r="AR7" s="2">
        <f>[1]节奏总纲!BD7</f>
        <v>23.710496742673982</v>
      </c>
      <c r="AS7" s="2">
        <f>[1]节奏总纲!BE7</f>
        <v>27.863030247590562</v>
      </c>
    </row>
    <row r="8" spans="2:45" x14ac:dyDescent="0.15">
      <c r="B8" s="2">
        <f>[1]节奏总纲!N8</f>
        <v>10</v>
      </c>
      <c r="C8" s="2">
        <v>5</v>
      </c>
      <c r="D8" s="2">
        <f>[1]节奏总纲!P8</f>
        <v>0.41421356237309515</v>
      </c>
      <c r="E8" s="2">
        <f>[1]节奏总纲!Q8</f>
        <v>0.35241289886702937</v>
      </c>
      <c r="F8" s="2">
        <f>[1]节奏总纲!R8</f>
        <v>0.28315639123824782</v>
      </c>
      <c r="G8" s="2">
        <f>[1]节奏总纲!S8</f>
        <v>0.20296464556281663</v>
      </c>
      <c r="H8" s="2">
        <f>[1]节奏总纲!T8</f>
        <v>0.10951806589144637</v>
      </c>
      <c r="J8" s="2">
        <v>5</v>
      </c>
      <c r="K8" s="2">
        <f>[1]节奏总纲!W8</f>
        <v>9.4705651600200946E-2</v>
      </c>
      <c r="L8" s="2">
        <f>[1]节奏总纲!X8</f>
        <v>8.0447765217141864E-2</v>
      </c>
      <c r="M8" s="2">
        <f>[1]节奏总纲!Y8</f>
        <v>6.4996389762515677E-2</v>
      </c>
      <c r="N8" s="2">
        <f>[1]节奏总纲!Z8</f>
        <v>4.68850311502578E-2</v>
      </c>
      <c r="O8" s="2">
        <f>[1]节奏总纲!AA8</f>
        <v>2.5455534567097912E-2</v>
      </c>
      <c r="Q8" s="2">
        <v>5</v>
      </c>
      <c r="R8" s="2">
        <f>[1]节奏总纲!AD8</f>
        <v>25.845161563010112</v>
      </c>
      <c r="S8" s="2">
        <f>[1]节奏总纲!AE8</f>
        <v>27.525245270311611</v>
      </c>
      <c r="T8" s="2">
        <f>[1]节奏总纲!AF8</f>
        <v>29.892344464157688</v>
      </c>
      <c r="U8" s="2">
        <f>[1]节奏总纲!AG8</f>
        <v>33.672145166817529</v>
      </c>
      <c r="V8" s="2">
        <f>[1]节奏总纲!AH8</f>
        <v>41.359260538726978</v>
      </c>
      <c r="Z8" s="2">
        <v>5</v>
      </c>
      <c r="AA8" s="2">
        <f>[1]节奏总纲!AM8</f>
        <v>0.15</v>
      </c>
      <c r="AB8" s="2">
        <f>[1]节奏总纲!AN8</f>
        <v>0.12</v>
      </c>
      <c r="AC8" s="2">
        <f>[1]节奏总纲!AO8</f>
        <v>0.09</v>
      </c>
      <c r="AD8" s="2">
        <f>[1]节奏总纲!AP8</f>
        <v>0.06</v>
      </c>
      <c r="AE8" s="2">
        <f>[1]节奏总纲!AQ8</f>
        <v>0.03</v>
      </c>
      <c r="AG8" s="2">
        <v>5</v>
      </c>
      <c r="AH8" s="2">
        <f>[1]节奏总纲!AT8</f>
        <v>5.7362359175968963E-2</v>
      </c>
      <c r="AI8" s="2">
        <f>[1]节奏总纲!AU8</f>
        <v>4.5889887340775162E-2</v>
      </c>
      <c r="AJ8" s="2">
        <f>[1]节奏总纲!AV8</f>
        <v>3.4417415505581382E-2</v>
      </c>
      <c r="AK8" s="2">
        <f>[1]节奏总纲!AW8</f>
        <v>2.2944943670387581E-2</v>
      </c>
      <c r="AL8" s="2">
        <f>[1]节奏总纲!AX8</f>
        <v>1.1472471835193791E-2</v>
      </c>
      <c r="AM8" s="2"/>
      <c r="AN8" s="2">
        <v>5</v>
      </c>
      <c r="AO8" s="2">
        <f>[1]节奏总纲!BA8</f>
        <v>19.707330185578734</v>
      </c>
      <c r="AP8" s="2">
        <f>[1]节奏总纲!BB8</f>
        <v>20.993539484876777</v>
      </c>
      <c r="AQ8" s="2">
        <f>[1]节奏总纲!BC8</f>
        <v>22.639743033177162</v>
      </c>
      <c r="AR8" s="2">
        <f>[1]节奏总纲!BD8</f>
        <v>25.044229735272328</v>
      </c>
      <c r="AS8" s="2">
        <f>[1]节奏总纲!BE8</f>
        <v>29.216428548527322</v>
      </c>
    </row>
    <row r="9" spans="2:45" x14ac:dyDescent="0.15">
      <c r="B9" s="2">
        <f>[1]节奏总纲!N9</f>
        <v>12</v>
      </c>
      <c r="C9" s="2">
        <v>6</v>
      </c>
      <c r="D9" s="2">
        <f>[1]节奏总纲!P9</f>
        <v>0.51571656651039799</v>
      </c>
      <c r="E9" s="2">
        <f>[1]节奏总纲!Q9</f>
        <v>0.43939051466685908</v>
      </c>
      <c r="F9" s="2">
        <f>[1]节奏总纲!R9</f>
        <v>0.35336899137292471</v>
      </c>
      <c r="G9" s="2">
        <f>[1]节奏总纲!S9</f>
        <v>0.25440298225957936</v>
      </c>
      <c r="H9" s="2">
        <f>[1]节奏总纲!T9</f>
        <v>0.13836675479473978</v>
      </c>
      <c r="J9" s="2">
        <v>6</v>
      </c>
      <c r="K9" s="2">
        <f>[1]节奏总纲!W9</f>
        <v>0.10150300413730284</v>
      </c>
      <c r="L9" s="2">
        <f>[1]节奏总纲!X9</f>
        <v>8.6977615799829711E-2</v>
      </c>
      <c r="M9" s="2">
        <f>[1]节奏总纲!Y9</f>
        <v>7.0212600134676895E-2</v>
      </c>
      <c r="N9" s="2">
        <f>[1]节奏总纲!Z9</f>
        <v>5.1438336696762732E-2</v>
      </c>
      <c r="O9" s="2">
        <f>[1]节奏总纲!AA9</f>
        <v>2.884868890329341E-2</v>
      </c>
      <c r="Q9" s="2">
        <v>6</v>
      </c>
      <c r="R9" s="2">
        <f>[1]节奏总纲!AD9</f>
        <v>28.071211008105138</v>
      </c>
      <c r="S9" s="2">
        <f>[1]节奏总纲!AE9</f>
        <v>29.78183527117605</v>
      </c>
      <c r="T9" s="2">
        <f>[1]节奏总纲!AF9</f>
        <v>32.202183458664891</v>
      </c>
      <c r="U9" s="2">
        <f>[1]节奏总纲!AG9</f>
        <v>36.067019846099676</v>
      </c>
      <c r="V9" s="2">
        <f>[1]节奏总纲!AH9</f>
        <v>43.870275262019007</v>
      </c>
      <c r="Z9" s="2">
        <v>6</v>
      </c>
      <c r="AA9" s="2">
        <f>[1]节奏总纲!AM9</f>
        <v>0.22055744069899194</v>
      </c>
      <c r="AB9" s="2">
        <f>[1]节奏总纲!AN9</f>
        <v>0.17644595255919357</v>
      </c>
      <c r="AC9" s="2">
        <f>[1]节奏总纲!AO9</f>
        <v>0.13233446441939517</v>
      </c>
      <c r="AD9" s="2">
        <f>[1]节奏总纲!AP9</f>
        <v>8.8222976279596785E-2</v>
      </c>
      <c r="AE9" s="2">
        <f>[1]节奏总纲!AQ9</f>
        <v>4.4111488139798392E-2</v>
      </c>
      <c r="AG9" s="2">
        <v>6</v>
      </c>
      <c r="AH9" s="2">
        <f>[1]节奏总纲!AT9</f>
        <v>7.0557440698991947E-2</v>
      </c>
      <c r="AI9" s="2">
        <f>[1]节奏总纲!AU9</f>
        <v>5.6445952559193574E-2</v>
      </c>
      <c r="AJ9" s="2">
        <f>[1]节奏总纲!AV9</f>
        <v>4.2334464419395174E-2</v>
      </c>
      <c r="AK9" s="2">
        <f>[1]节奏总纲!AW9</f>
        <v>2.8222976279596787E-2</v>
      </c>
      <c r="AL9" s="2">
        <f>[1]节奏总纲!AX9</f>
        <v>1.4111488139798394E-2</v>
      </c>
      <c r="AM9" s="2"/>
      <c r="AN9" s="2">
        <v>6</v>
      </c>
      <c r="AO9" s="2">
        <f>[1]节奏总纲!BA9</f>
        <v>20.745154613657583</v>
      </c>
      <c r="AP9" s="2">
        <f>[1]节奏总纲!BB9</f>
        <v>22.041972908628715</v>
      </c>
      <c r="AQ9" s="2">
        <f>[1]节奏总纲!BC9</f>
        <v>23.710496742673982</v>
      </c>
      <c r="AR9" s="2">
        <f>[1]节奏总纲!BD9</f>
        <v>26.127796402772656</v>
      </c>
      <c r="AS9" s="2">
        <f>[1]节奏总纲!BE9</f>
        <v>30.329493925593439</v>
      </c>
    </row>
    <row r="10" spans="2:45" x14ac:dyDescent="0.15">
      <c r="B10" s="2">
        <f>[1]节奏总纲!N10</f>
        <v>14</v>
      </c>
      <c r="C10" s="2">
        <v>7</v>
      </c>
      <c r="D10" s="2">
        <f>[1]节奏总纲!P10</f>
        <v>0.62450479271247095</v>
      </c>
      <c r="E10" s="2">
        <f>[1]节奏总纲!Q10</f>
        <v>0.53413894920697635</v>
      </c>
      <c r="F10" s="2">
        <f>[1]节奏总纲!R10</f>
        <v>0.43072095553379119</v>
      </c>
      <c r="G10" s="2">
        <f>[1]节奏总纲!S10</f>
        <v>0.30950457526830061</v>
      </c>
      <c r="H10" s="2">
        <f>[1]节奏总纲!T10</f>
        <v>0.16699258157131475</v>
      </c>
      <c r="J10" s="2">
        <v>7</v>
      </c>
      <c r="K10" s="2">
        <f>[1]节奏总纲!W10</f>
        <v>0.10878822620207296</v>
      </c>
      <c r="L10" s="2">
        <f>[1]节奏总纲!X10</f>
        <v>9.4748434540117277E-2</v>
      </c>
      <c r="M10" s="2">
        <f>[1]节奏总纲!Y10</f>
        <v>7.7351964160866482E-2</v>
      </c>
      <c r="N10" s="2">
        <f>[1]节奏总纲!Z10</f>
        <v>5.510159300872125E-2</v>
      </c>
      <c r="O10" s="2">
        <f>[1]节奏总纲!AA10</f>
        <v>2.8625826776574964E-2</v>
      </c>
      <c r="Q10" s="2">
        <v>7</v>
      </c>
      <c r="R10" s="2">
        <f>[1]节奏总纲!AD10</f>
        <v>30</v>
      </c>
      <c r="S10" s="2">
        <f>[1]节奏总纲!AE10</f>
        <v>31.718819483847451</v>
      </c>
      <c r="T10" s="2">
        <f>[1]节奏总纲!AF10</f>
        <v>34.192155176139416</v>
      </c>
      <c r="U10" s="2">
        <f>[1]节奏总纲!AG10</f>
        <v>38.19822972207853</v>
      </c>
      <c r="V10" s="2">
        <f>[1]节奏总纲!AH10</f>
        <v>46.093186357957826</v>
      </c>
      <c r="Z10" s="2">
        <v>7</v>
      </c>
      <c r="AA10" s="2">
        <f>[1]节奏总纲!AM10</f>
        <v>0.31141300609369982</v>
      </c>
      <c r="AB10" s="2">
        <f>[1]节奏总纲!AN10</f>
        <v>0.24913040487495985</v>
      </c>
      <c r="AC10" s="2">
        <f>[1]节奏总纲!AO10</f>
        <v>0.18684780365621989</v>
      </c>
      <c r="AD10" s="2">
        <f>[1]节奏总纲!AP10</f>
        <v>0.12456520243747993</v>
      </c>
      <c r="AE10" s="2">
        <f>[1]节奏总纲!AQ10</f>
        <v>6.2282601218739964E-2</v>
      </c>
      <c r="AG10" s="2">
        <v>7</v>
      </c>
      <c r="AH10" s="2">
        <f>[1]节奏总纲!AT10</f>
        <v>9.0855565394707877E-2</v>
      </c>
      <c r="AI10" s="2">
        <f>[1]节奏总纲!AU10</f>
        <v>7.2684452315766285E-2</v>
      </c>
      <c r="AJ10" s="2">
        <f>[1]节奏总纲!AV10</f>
        <v>5.451333923682472E-2</v>
      </c>
      <c r="AK10" s="2">
        <f>[1]节奏总纲!AW10</f>
        <v>3.6342226157883142E-2</v>
      </c>
      <c r="AL10" s="2">
        <f>[1]节奏总纲!AX10</f>
        <v>1.8171113078941571E-2</v>
      </c>
      <c r="AM10" s="2"/>
      <c r="AN10" s="2">
        <v>7</v>
      </c>
      <c r="AO10" s="2">
        <f>[1]节奏总纲!BA10</f>
        <v>21.627432338833255</v>
      </c>
      <c r="AP10" s="2">
        <f>[1]节奏总纲!BB10</f>
        <v>22.938628095451385</v>
      </c>
      <c r="AQ10" s="2">
        <f>[1]节奏总纲!BC10</f>
        <v>24.619152272059132</v>
      </c>
      <c r="AR10" s="2">
        <f>[1]节奏总纲!BD10</f>
        <v>27.059707353051884</v>
      </c>
      <c r="AS10" s="2">
        <f>[1]节奏总纲!BE10</f>
        <v>31.280110398778046</v>
      </c>
    </row>
    <row r="11" spans="2:45" x14ac:dyDescent="0.15">
      <c r="B11" s="2">
        <f>[1]节奏总纲!N11</f>
        <v>16</v>
      </c>
      <c r="C11" s="2">
        <v>8</v>
      </c>
      <c r="D11" s="2">
        <f>[1]节奏总纲!P11</f>
        <v>0.74110112659224825</v>
      </c>
      <c r="E11" s="2">
        <f>[1]节奏总纲!Q11</f>
        <v>0.63089938906798093</v>
      </c>
      <c r="F11" s="2">
        <f>[1]节奏总纲!R11</f>
        <v>0.50550507844857251</v>
      </c>
      <c r="G11" s="2">
        <f>[1]节奏总纲!S11</f>
        <v>0.36195379022765406</v>
      </c>
      <c r="H11" s="2">
        <f>[1]节奏总纲!T11</f>
        <v>0.19579891764567198</v>
      </c>
      <c r="J11" s="2">
        <v>8</v>
      </c>
      <c r="K11" s="2">
        <f>[1]节奏总纲!W11</f>
        <v>0.1165963338797773</v>
      </c>
      <c r="L11" s="2">
        <f>[1]节奏总纲!X11</f>
        <v>9.6760439861004577E-2</v>
      </c>
      <c r="M11" s="2">
        <f>[1]节奏总纲!Y11</f>
        <v>7.4784122914781315E-2</v>
      </c>
      <c r="N11" s="2">
        <f>[1]节奏总纲!Z11</f>
        <v>5.2449214959353452E-2</v>
      </c>
      <c r="O11" s="2">
        <f>[1]节奏总纲!AA11</f>
        <v>2.8806336074357231E-2</v>
      </c>
      <c r="Q11" s="2">
        <v>8</v>
      </c>
      <c r="R11" s="2">
        <f>[1]节奏总纲!AD11</f>
        <v>31.691928656135214</v>
      </c>
      <c r="S11" s="2">
        <f>[1]节奏总纲!AE11</f>
        <v>33.465251056098396</v>
      </c>
      <c r="T11" s="2">
        <f>[1]节奏总纲!AF11</f>
        <v>35.930751746472978</v>
      </c>
      <c r="U11" s="2">
        <f>[1]节奏总纲!AG11</f>
        <v>39.998279638578282</v>
      </c>
      <c r="V11" s="2">
        <f>[1]节奏总纲!AH11</f>
        <v>48.067140183443534</v>
      </c>
      <c r="Z11" s="2">
        <v>8</v>
      </c>
      <c r="AA11" s="2">
        <f>[1]节奏总纲!AM11</f>
        <v>0.42660095793436714</v>
      </c>
      <c r="AB11" s="2">
        <f>[1]节奏总纲!AN11</f>
        <v>0.34128076634749371</v>
      </c>
      <c r="AC11" s="2">
        <f>[1]节奏总纲!AO11</f>
        <v>0.25596057476062029</v>
      </c>
      <c r="AD11" s="2">
        <f>[1]节奏总纲!AP11</f>
        <v>0.17064038317374686</v>
      </c>
      <c r="AE11" s="2">
        <f>[1]节奏总纲!AQ11</f>
        <v>8.5320191586873428E-2</v>
      </c>
      <c r="AG11" s="2">
        <v>8</v>
      </c>
      <c r="AH11" s="2">
        <f>[1]节奏总纲!AT11</f>
        <v>0.11518795184066732</v>
      </c>
      <c r="AI11" s="2">
        <f>[1]节奏总纲!AU11</f>
        <v>9.2150361472533859E-2</v>
      </c>
      <c r="AJ11" s="2">
        <f>[1]节奏总纲!AV11</f>
        <v>6.9112771104400395E-2</v>
      </c>
      <c r="AK11" s="2">
        <f>[1]节奏总纲!AW11</f>
        <v>4.607518073626693E-2</v>
      </c>
      <c r="AL11" s="2">
        <f>[1]节奏总纲!AX11</f>
        <v>2.3037590368133465E-2</v>
      </c>
      <c r="AM11" s="2"/>
      <c r="AN11" s="2">
        <v>8</v>
      </c>
      <c r="AO11" s="2">
        <f>[1]节奏总纲!BA11</f>
        <v>22.400634983357783</v>
      </c>
      <c r="AP11" s="2">
        <f>[1]节奏总纲!BB11</f>
        <v>23.710496742673982</v>
      </c>
      <c r="AQ11" s="2">
        <f>[1]节奏总纲!BC11</f>
        <v>25.412810862541733</v>
      </c>
      <c r="AR11" s="2">
        <f>[1]节奏总纲!BD11</f>
        <v>27.863030247590562</v>
      </c>
      <c r="AS11" s="2">
        <f>[1]节奏总纲!BE11</f>
        <v>32.113552950216736</v>
      </c>
    </row>
    <row r="12" spans="2:45" x14ac:dyDescent="0.15">
      <c r="B12" s="2">
        <f>[1]节奏总纲!N12</f>
        <v>18</v>
      </c>
      <c r="C12" s="2">
        <v>9</v>
      </c>
      <c r="D12" s="2">
        <f>[1]节奏总纲!P12</f>
        <v>0.86606598307361482</v>
      </c>
      <c r="E12" s="2">
        <f>[1]节奏总纲!Q12</f>
        <v>0.73702215159564621</v>
      </c>
      <c r="F12" s="2">
        <f>[1]节奏总纲!R12</f>
        <v>0.59282216541388932</v>
      </c>
      <c r="G12" s="2">
        <f>[1]节奏总纲!S12</f>
        <v>0.42766338244175101</v>
      </c>
      <c r="H12" s="2">
        <f>[1]节奏总纲!T12</f>
        <v>0.23193247026711403</v>
      </c>
      <c r="J12" s="2">
        <v>9</v>
      </c>
      <c r="K12" s="2">
        <f>[1]节奏总纲!W12</f>
        <v>0.12496485648136657</v>
      </c>
      <c r="L12" s="2">
        <f>[1]节奏总纲!X12</f>
        <v>0.10612276252766528</v>
      </c>
      <c r="M12" s="2">
        <f>[1]节奏总纲!Y12</f>
        <v>8.7317086965316815E-2</v>
      </c>
      <c r="N12" s="2">
        <f>[1]节奏总纲!Z12</f>
        <v>6.5709592214096946E-2</v>
      </c>
      <c r="O12" s="2">
        <f>[1]节奏总纲!AA12</f>
        <v>3.613355262144205E-2</v>
      </c>
      <c r="Q12" s="2">
        <v>9</v>
      </c>
      <c r="R12" s="2">
        <f>[1]节奏总纲!AD12</f>
        <v>33.213386604241784</v>
      </c>
      <c r="S12" s="2">
        <f>[1]节奏总纲!AE12</f>
        <v>34.992730785174565</v>
      </c>
      <c r="T12" s="2">
        <f>[1]节奏总纲!AF12</f>
        <v>37.510565846691456</v>
      </c>
      <c r="U12" s="2">
        <f>[1]节奏总纲!AG12</f>
        <v>41.534743419557365</v>
      </c>
      <c r="V12" s="2">
        <f>[1]节奏总纲!AH12</f>
        <v>49.706056771838036</v>
      </c>
      <c r="Z12" s="2">
        <v>9</v>
      </c>
      <c r="AA12" s="2">
        <f>[1]节奏总纲!AM12</f>
        <v>0.57090651823243421</v>
      </c>
      <c r="AB12" s="2">
        <f>[1]节奏总纲!AN12</f>
        <v>0.45672521458594739</v>
      </c>
      <c r="AC12" s="2">
        <f>[1]节奏总纲!AO12</f>
        <v>0.34254391093946052</v>
      </c>
      <c r="AD12" s="2">
        <f>[1]节奏总纲!AP12</f>
        <v>0.2283626072929737</v>
      </c>
      <c r="AE12" s="2">
        <f>[1]节奏总纲!AQ12</f>
        <v>0.11418130364648685</v>
      </c>
      <c r="AG12" s="2">
        <v>9</v>
      </c>
      <c r="AH12" s="2">
        <f>[1]节奏总纲!AT12</f>
        <v>0.14430556029806707</v>
      </c>
      <c r="AI12" s="2">
        <f>[1]节奏总纲!AU12</f>
        <v>0.11544444823845368</v>
      </c>
      <c r="AJ12" s="2">
        <f>[1]节奏总纲!AV12</f>
        <v>8.6583336178840231E-2</v>
      </c>
      <c r="AK12" s="2">
        <f>[1]节奏总纲!AW12</f>
        <v>5.7722224119226839E-2</v>
      </c>
      <c r="AL12" s="2">
        <f>[1]节奏总纲!AX12</f>
        <v>2.886111205961342E-2</v>
      </c>
      <c r="AM12" s="2"/>
      <c r="AN12" s="2">
        <v>9</v>
      </c>
      <c r="AO12" s="2">
        <f>[1]节奏总纲!BA12</f>
        <v>23.100336713798686</v>
      </c>
      <c r="AP12" s="2">
        <f>[1]节奏总纲!BB12</f>
        <v>24.402761517547276</v>
      </c>
      <c r="AQ12" s="2">
        <f>[1]节奏总纲!BC12</f>
        <v>26.127796402772656</v>
      </c>
      <c r="AR12" s="2">
        <f>[1]节奏总纲!BD12</f>
        <v>28.568390277483555</v>
      </c>
      <c r="AS12" s="2">
        <f>[1]节奏总纲!BE12</f>
        <v>32.842201900114915</v>
      </c>
    </row>
    <row r="13" spans="2:45" x14ac:dyDescent="0.15">
      <c r="B13" s="2">
        <f>[1]节奏总纲!N13</f>
        <v>20</v>
      </c>
      <c r="C13" s="2">
        <v>10</v>
      </c>
      <c r="D13" s="2">
        <f>[1]节奏总纲!P13</f>
        <v>1</v>
      </c>
      <c r="E13" s="2">
        <f>[1]节奏总纲!Q13</f>
        <v>0.8548</v>
      </c>
      <c r="F13" s="2">
        <f>[1]节奏总纲!R13</f>
        <v>0.6895</v>
      </c>
      <c r="G13" s="2">
        <f>[1]节奏总纲!S13</f>
        <v>0.49980000000000002</v>
      </c>
      <c r="H13" s="2">
        <f>[1]节奏总纲!T13</f>
        <v>0.2732</v>
      </c>
      <c r="J13" s="2">
        <v>10</v>
      </c>
      <c r="K13" s="2">
        <f>[1]节奏总纲!W13</f>
        <v>0.13393401692638518</v>
      </c>
      <c r="L13" s="2">
        <f>[1]节奏总纲!X13</f>
        <v>0.11777784840435379</v>
      </c>
      <c r="M13" s="2">
        <f>[1]节奏总纲!Y13</f>
        <v>9.6677834586110678E-2</v>
      </c>
      <c r="N13" s="2">
        <f>[1]节奏总纲!Z13</f>
        <v>7.2136617558249017E-2</v>
      </c>
      <c r="O13" s="2">
        <f>[1]节奏总纲!AA13</f>
        <v>4.1267529732885971E-2</v>
      </c>
      <c r="Q13" s="2">
        <v>10</v>
      </c>
      <c r="R13" s="2">
        <f>[1]节奏总纲!AD13</f>
        <v>34.585942742481357</v>
      </c>
      <c r="S13" s="2">
        <f>[1]节奏总纲!AE13</f>
        <v>36.36169634498642</v>
      </c>
      <c r="T13" s="2">
        <f>[1]节奏总纲!AF13</f>
        <v>38.977035507933373</v>
      </c>
      <c r="U13" s="2">
        <f>[1]节奏总纲!AG13</f>
        <v>42.970748198558951</v>
      </c>
      <c r="V13" s="2">
        <f>[1]节奏总纲!AH13</f>
        <v>51.212821897464167</v>
      </c>
      <c r="Z13" s="2">
        <v>10</v>
      </c>
      <c r="AA13" s="2">
        <f>[1]节奏总纲!AM13</f>
        <v>0.75</v>
      </c>
      <c r="AB13" s="2">
        <f>[1]节奏总纲!AN13</f>
        <v>0.60000000000000009</v>
      </c>
      <c r="AC13" s="2">
        <f>[1]节奏总纲!AO13</f>
        <v>0.44999999999999996</v>
      </c>
      <c r="AD13" s="2">
        <f>[1]节奏总纲!AP13</f>
        <v>0.30000000000000004</v>
      </c>
      <c r="AE13" s="2">
        <f>[1]节奏总纲!AQ13</f>
        <v>0.15000000000000002</v>
      </c>
      <c r="AG13" s="2">
        <v>10</v>
      </c>
      <c r="AH13" s="2">
        <f>[1]节奏总纲!AT13</f>
        <v>0.17909348176756579</v>
      </c>
      <c r="AI13" s="2">
        <f>[1]节奏总纲!AU13</f>
        <v>0.1432747854140527</v>
      </c>
      <c r="AJ13" s="2">
        <f>[1]节奏总纲!AV13</f>
        <v>0.10745608906053944</v>
      </c>
      <c r="AK13" s="2">
        <f>[1]节奏总纲!AW13</f>
        <v>7.1637392707026348E-2</v>
      </c>
      <c r="AL13" s="2">
        <f>[1]节奏总纲!AX13</f>
        <v>3.5818696353513174E-2</v>
      </c>
      <c r="AM13" s="2"/>
      <c r="AN13" s="2">
        <v>10</v>
      </c>
      <c r="AO13" s="2">
        <f>[1]节奏总纲!BA13</f>
        <v>23.710496742673982</v>
      </c>
      <c r="AP13" s="2">
        <f>[1]节奏总纲!BB13</f>
        <v>25.044229735272328</v>
      </c>
      <c r="AQ13" s="2">
        <f>[1]节奏总纲!BC13</f>
        <v>26.755953543357073</v>
      </c>
      <c r="AR13" s="2">
        <f>[1]节奏总纲!BD13</f>
        <v>29.216428548527322</v>
      </c>
      <c r="AS13" s="2">
        <f>[1]节奏总纲!BE13</f>
        <v>33.487933395889513</v>
      </c>
    </row>
    <row r="14" spans="2:45" x14ac:dyDescent="0.15">
      <c r="B14" s="2">
        <f>[1]节奏总纲!N14</f>
        <v>21</v>
      </c>
      <c r="C14" s="2">
        <v>11</v>
      </c>
      <c r="D14" s="2">
        <f>[1]节奏总纲!P14</f>
        <v>1.1435469250725863</v>
      </c>
      <c r="E14" s="2">
        <f>[1]节奏总纲!Q14</f>
        <v>0.98036277886472811</v>
      </c>
      <c r="F14" s="2">
        <f>[1]节奏总纲!R14</f>
        <v>0.79453640354043287</v>
      </c>
      <c r="G14" s="2">
        <f>[1]节奏总纲!S14</f>
        <v>0.57577587677404707</v>
      </c>
      <c r="H14" s="2">
        <f>[1]节奏总纲!T14</f>
        <v>0.31767733578516444</v>
      </c>
      <c r="J14" s="2">
        <v>11</v>
      </c>
      <c r="K14" s="2">
        <f>[1]节奏总纲!W14</f>
        <v>0.14354692507258626</v>
      </c>
      <c r="L14" s="2">
        <f>[1]节奏总纲!X14</f>
        <v>0.12556277886472811</v>
      </c>
      <c r="M14" s="2">
        <f>[1]节奏总纲!Y14</f>
        <v>0.10503640354043287</v>
      </c>
      <c r="N14" s="2">
        <f>[1]节奏总纲!Z14</f>
        <v>7.5975876774047046E-2</v>
      </c>
      <c r="O14" s="2">
        <f>[1]节奏总纲!AA14</f>
        <v>4.447733578516444E-2</v>
      </c>
      <c r="Q14" s="2">
        <v>11</v>
      </c>
      <c r="R14" s="2">
        <f>[1]节奏总纲!AD14</f>
        <v>35.845161563010116</v>
      </c>
      <c r="S14" s="2">
        <f>[1]节奏总纲!AE14</f>
        <v>37.6388925299823</v>
      </c>
      <c r="T14" s="2">
        <f>[1]节奏总纲!AF14</f>
        <v>40.259528204263837</v>
      </c>
      <c r="U14" s="2">
        <f>[1]节奏总纲!AG14</f>
        <v>44.288230531994081</v>
      </c>
      <c r="V14" s="2">
        <f>[1]节奏总纲!AH14</f>
        <v>52.559419343629337</v>
      </c>
      <c r="Z14" s="2">
        <v>11</v>
      </c>
      <c r="AA14" s="2">
        <f>[1]节奏总纲!AM14</f>
        <v>0.93464628919691628</v>
      </c>
      <c r="AB14" s="2">
        <f>[1]节奏总纲!AN14</f>
        <v>0.74771703135753309</v>
      </c>
      <c r="AC14" s="2">
        <f>[1]节奏总纲!AO14</f>
        <v>0.56078777351814979</v>
      </c>
      <c r="AD14" s="2">
        <f>[1]节奏总纲!AP14</f>
        <v>0.37385851567876655</v>
      </c>
      <c r="AE14" s="2">
        <f>[1]节奏总纲!AQ14</f>
        <v>0.18692925783938327</v>
      </c>
      <c r="AG14" s="2">
        <v>11</v>
      </c>
      <c r="AH14" s="2">
        <f>[1]节奏总纲!AT14</f>
        <v>0.18464628919691628</v>
      </c>
      <c r="AI14" s="2">
        <f>[1]节奏总纲!AU14</f>
        <v>0.147717031357533</v>
      </c>
      <c r="AJ14" s="2">
        <f>[1]节奏总纲!AV14</f>
        <v>0.11078777351814983</v>
      </c>
      <c r="AK14" s="2">
        <f>[1]节奏总纲!AW14</f>
        <v>7.3858515678766501E-2</v>
      </c>
      <c r="AL14" s="2">
        <f>[1]节奏总纲!AX14</f>
        <v>3.692925783938325E-2</v>
      </c>
      <c r="AM14" s="2"/>
      <c r="AN14" s="2">
        <v>11</v>
      </c>
      <c r="AO14" s="2">
        <f>[1]节奏总纲!BA14</f>
        <v>24.272927064840161</v>
      </c>
      <c r="AP14" s="2">
        <f>[1]节奏总纲!BB14</f>
        <v>25.597101426176433</v>
      </c>
      <c r="AQ14" s="2">
        <f>[1]节奏总纲!BC14</f>
        <v>27.327481651231444</v>
      </c>
      <c r="AR14" s="2">
        <f>[1]节奏总纲!BD14</f>
        <v>29.80118336305917</v>
      </c>
      <c r="AS14" s="2">
        <f>[1]节奏总纲!BE14</f>
        <v>34.09469189131628</v>
      </c>
    </row>
    <row r="15" spans="2:45" x14ac:dyDescent="0.15">
      <c r="B15" s="2">
        <f>[1]节奏总纲!N15</f>
        <v>22</v>
      </c>
      <c r="C15" s="2">
        <v>12</v>
      </c>
      <c r="D15" s="2">
        <f>[1]节奏总纲!P15</f>
        <v>1.2973967099940702</v>
      </c>
      <c r="E15" s="2">
        <f>[1]节奏总纲!Q15</f>
        <v>1.1126474184909145</v>
      </c>
      <c r="F15" s="2">
        <f>[1]节奏总纲!R15</f>
        <v>0.9058423829178599</v>
      </c>
      <c r="G15" s="2">
        <f>[1]节奏总纲!S15</f>
        <v>0.66219128078097333</v>
      </c>
      <c r="H15" s="2">
        <f>[1]节奏总纲!T15</f>
        <v>0.36560639287632896</v>
      </c>
      <c r="J15" s="2">
        <v>12</v>
      </c>
      <c r="K15" s="2">
        <f>[1]节奏总纲!W15</f>
        <v>0.15384978492148393</v>
      </c>
      <c r="L15" s="2">
        <f>[1]节奏总纲!X15</f>
        <v>0.13228463962618642</v>
      </c>
      <c r="M15" s="2">
        <f>[1]节奏总纲!Y15</f>
        <v>0.11130597937742703</v>
      </c>
      <c r="N15" s="2">
        <f>[1]节奏总纲!Z15</f>
        <v>8.6415404006926266E-2</v>
      </c>
      <c r="O15" s="2">
        <f>[1]节奏总纲!AA15</f>
        <v>4.7929057091164518E-2</v>
      </c>
      <c r="Q15" s="2">
        <v>12</v>
      </c>
      <c r="R15" s="2">
        <f>[1]节奏总纲!AD15</f>
        <v>37.004247194324648</v>
      </c>
      <c r="S15" s="2">
        <f>[1]节奏总纲!AE15</f>
        <v>38.827998824669805</v>
      </c>
      <c r="T15" s="2">
        <f>[1]节奏总纲!AF15</f>
        <v>41.408320762540754</v>
      </c>
      <c r="U15" s="2">
        <f>[1]节奏总纲!AG15</f>
        <v>45.500930067545958</v>
      </c>
      <c r="V15" s="2">
        <f>[1]节奏总纲!AH15</f>
        <v>53.855547243088772</v>
      </c>
      <c r="Z15" s="2">
        <v>12</v>
      </c>
      <c r="AA15" s="2">
        <f>[1]节奏总纲!AM15</f>
        <v>1.1550685436347259</v>
      </c>
      <c r="AB15" s="2">
        <f>[1]节奏总纲!AN15</f>
        <v>0.92405483490778073</v>
      </c>
      <c r="AC15" s="2">
        <f>[1]节奏总纲!AO15</f>
        <v>0.69304112618083547</v>
      </c>
      <c r="AD15" s="2">
        <f>[1]节奏总纲!AP15</f>
        <v>0.46202741745389037</v>
      </c>
      <c r="AE15" s="2">
        <f>[1]节奏总纲!AQ15</f>
        <v>0.23101370872694518</v>
      </c>
      <c r="AG15" s="2">
        <v>12</v>
      </c>
      <c r="AH15" s="2">
        <f>[1]节奏总纲!AT15</f>
        <v>0.22042225443780961</v>
      </c>
      <c r="AI15" s="2">
        <f>[1]节奏总纲!AU15</f>
        <v>0.17633780355024764</v>
      </c>
      <c r="AJ15" s="2">
        <f>[1]节奏总纲!AV15</f>
        <v>0.13225335266268567</v>
      </c>
      <c r="AK15" s="2">
        <f>[1]节奏总纲!AW15</f>
        <v>8.816890177512382E-2</v>
      </c>
      <c r="AL15" s="2">
        <f>[1]节奏总纲!AX15</f>
        <v>4.408445088756191E-2</v>
      </c>
      <c r="AM15" s="2"/>
      <c r="AN15" s="2">
        <v>12</v>
      </c>
      <c r="AO15" s="2">
        <f>[1]节奏总纲!BA15</f>
        <v>24.792264875668618</v>
      </c>
      <c r="AP15" s="2">
        <f>[1]节奏总纲!BB15</f>
        <v>26.127796402772656</v>
      </c>
      <c r="AQ15" s="2">
        <f>[1]节奏总纲!BC15</f>
        <v>27.863030247590562</v>
      </c>
      <c r="AR15" s="2">
        <f>[1]节奏总纲!BD15</f>
        <v>30.329493925593439</v>
      </c>
      <c r="AS15" s="2">
        <f>[1]节奏总纲!BE15</f>
        <v>34.627226072894942</v>
      </c>
    </row>
    <row r="16" spans="2:45" x14ac:dyDescent="0.15">
      <c r="B16" s="2">
        <f>[1]节奏总纲!N16</f>
        <v>23</v>
      </c>
      <c r="C16" s="2">
        <v>13</v>
      </c>
      <c r="D16" s="2">
        <f>[1]节奏总纲!P16</f>
        <v>1.4622888266898326</v>
      </c>
      <c r="E16" s="2">
        <f>[1]节奏总纲!Q16</f>
        <v>1.2628326307293396</v>
      </c>
      <c r="F16" s="2">
        <f>[1]节奏总纲!R16</f>
        <v>1.0294513339896421</v>
      </c>
      <c r="G16" s="2">
        <f>[1]节奏总纲!S16</f>
        <v>0.75556463675063656</v>
      </c>
      <c r="H16" s="2">
        <f>[1]节奏总纲!T16</f>
        <v>0.41865329108129906</v>
      </c>
      <c r="J16" s="2">
        <v>13</v>
      </c>
      <c r="K16" s="2">
        <f>[1]节奏总纲!W16</f>
        <v>0.16489211669576243</v>
      </c>
      <c r="L16" s="2">
        <f>[1]节奏总纲!X16</f>
        <v>0.15018521223842507</v>
      </c>
      <c r="M16" s="2">
        <f>[1]节奏总纲!Y16</f>
        <v>0.12360895107178216</v>
      </c>
      <c r="N16" s="2">
        <f>[1]节奏总纲!Z16</f>
        <v>9.337335596966323E-2</v>
      </c>
      <c r="O16" s="2">
        <f>[1]节奏总纲!AA16</f>
        <v>5.3046898204970105E-2</v>
      </c>
      <c r="Q16" s="2">
        <v>13</v>
      </c>
      <c r="R16" s="2">
        <f>[1]节奏总纲!AD16</f>
        <v>38.071211008105138</v>
      </c>
      <c r="S16" s="2">
        <f>[1]节奏总纲!AE16</f>
        <v>39.935302111946527</v>
      </c>
      <c r="T16" s="2">
        <f>[1]节奏总纲!AF16</f>
        <v>42.470214785133983</v>
      </c>
      <c r="U16" s="2">
        <f>[1]节奏总纲!AG16</f>
        <v>46.631096344914496</v>
      </c>
      <c r="V16" s="2">
        <f>[1]节奏总纲!AH16</f>
        <v>55.062101953238496</v>
      </c>
      <c r="Z16" s="2">
        <v>13</v>
      </c>
      <c r="AA16" s="2">
        <f>[1]节奏总纲!AM16</f>
        <v>1.417602554491646</v>
      </c>
      <c r="AB16" s="2">
        <f>[1]节奏总纲!AN16</f>
        <v>1.1340820435933168</v>
      </c>
      <c r="AC16" s="2">
        <f>[1]节奏总纲!AO16</f>
        <v>0.85056153269498758</v>
      </c>
      <c r="AD16" s="2">
        <f>[1]节奏总纲!AP16</f>
        <v>0.56704102179665838</v>
      </c>
      <c r="AE16" s="2">
        <f>[1]节奏总纲!AQ16</f>
        <v>0.28352051089832919</v>
      </c>
      <c r="AG16" s="2">
        <v>13</v>
      </c>
      <c r="AH16" s="2">
        <f>[1]节奏总纲!AT16</f>
        <v>0.26253401085692007</v>
      </c>
      <c r="AI16" s="2">
        <f>[1]节奏总纲!AU16</f>
        <v>0.21002720868553604</v>
      </c>
      <c r="AJ16" s="2">
        <f>[1]节奏总纲!AV16</f>
        <v>0.15752040651415211</v>
      </c>
      <c r="AK16" s="2">
        <f>[1]节奏总纲!AW16</f>
        <v>0.10501360434276802</v>
      </c>
      <c r="AL16" s="2">
        <f>[1]节奏总纲!AX16</f>
        <v>5.2506802171384009E-2</v>
      </c>
      <c r="AM16" s="2"/>
      <c r="AN16" s="2">
        <v>13</v>
      </c>
      <c r="AO16" s="2">
        <f>[1]节奏总纲!BA16</f>
        <v>25.265378411633971</v>
      </c>
      <c r="AP16" s="2">
        <f>[1]节奏总纲!BB16</f>
        <v>26.598914258210968</v>
      </c>
      <c r="AQ16" s="2">
        <f>[1]节奏总纲!BC16</f>
        <v>28.339982398803929</v>
      </c>
      <c r="AR16" s="2">
        <f>[1]节奏总纲!BD16</f>
        <v>30.828727146189561</v>
      </c>
      <c r="AS16" s="2">
        <f>[1]节奏总纲!BE16</f>
        <v>35.146386283795508</v>
      </c>
    </row>
    <row r="17" spans="2:45" x14ac:dyDescent="0.15">
      <c r="B17" s="2">
        <f>[1]节奏总纲!N17</f>
        <v>24</v>
      </c>
      <c r="C17" s="2">
        <v>14</v>
      </c>
      <c r="D17" s="2">
        <f>[1]节奏总纲!P17</f>
        <v>1.6390158215457884</v>
      </c>
      <c r="E17" s="2">
        <f>[1]节奏总纲!Q17</f>
        <v>1.4136511460832426</v>
      </c>
      <c r="F17" s="2">
        <f>[1]节奏总纲!R17</f>
        <v>1.1545227446968533</v>
      </c>
      <c r="G17" s="2">
        <f>[1]节奏总纲!S17</f>
        <v>0.84605996708193598</v>
      </c>
      <c r="H17" s="2">
        <f>[1]节奏总纲!T17</f>
        <v>0.46810291863347719</v>
      </c>
      <c r="J17" s="2">
        <v>14</v>
      </c>
      <c r="K17" s="2">
        <f>[1]节奏总纲!W17</f>
        <v>0.17672699485595578</v>
      </c>
      <c r="L17" s="2">
        <f>[1]节奏总纲!X17</f>
        <v>0.150818515353903</v>
      </c>
      <c r="M17" s="2">
        <f>[1]节奏总纲!Y17</f>
        <v>0.12507141070721128</v>
      </c>
      <c r="N17" s="2">
        <f>[1]节奏总纲!Z17</f>
        <v>9.0495330331299417E-2</v>
      </c>
      <c r="O17" s="2">
        <f>[1]节奏总纲!AA17</f>
        <v>4.9449627552178133E-2</v>
      </c>
      <c r="Q17" s="2">
        <v>14</v>
      </c>
      <c r="R17" s="2">
        <f>[1]节奏总纲!AD17</f>
        <v>39.066704614192943</v>
      </c>
      <c r="S17" s="2">
        <f>[1]节奏总纲!AE17</f>
        <v>40.935169244165145</v>
      </c>
      <c r="T17" s="2">
        <f>[1]节奏总纲!AF17</f>
        <v>43.484929789964411</v>
      </c>
      <c r="U17" s="2">
        <f>[1]节奏总纲!AG17</f>
        <v>47.711408234944486</v>
      </c>
      <c r="V17" s="2">
        <f>[1]节奏总纲!AH17</f>
        <v>56.165983112651688</v>
      </c>
      <c r="Z17" s="2">
        <v>14</v>
      </c>
      <c r="AA17" s="2">
        <f>[1]节奏总纲!AM17</f>
        <v>1.7296773068470075</v>
      </c>
      <c r="AB17" s="2">
        <f>[1]节奏总纲!AN17</f>
        <v>1.383741845477606</v>
      </c>
      <c r="AC17" s="2">
        <f>[1]节奏总纲!AO17</f>
        <v>1.0378063841082044</v>
      </c>
      <c r="AD17" s="2">
        <f>[1]节奏总纲!AP17</f>
        <v>0.69187092273880302</v>
      </c>
      <c r="AE17" s="2">
        <f>[1]节奏总纲!AQ17</f>
        <v>0.34593546136940151</v>
      </c>
      <c r="AG17" s="2">
        <v>14</v>
      </c>
      <c r="AH17" s="2">
        <f>[1]节奏总纲!AT17</f>
        <v>0.31207475235536153</v>
      </c>
      <c r="AI17" s="2">
        <f>[1]节奏总纲!AU17</f>
        <v>0.24965980188428927</v>
      </c>
      <c r="AJ17" s="2">
        <f>[1]节奏总纲!AV17</f>
        <v>0.18724485141321678</v>
      </c>
      <c r="AK17" s="2">
        <f>[1]节奏总纲!AW17</f>
        <v>0.12482990094214463</v>
      </c>
      <c r="AL17" s="2">
        <f>[1]节奏总纲!AX17</f>
        <v>6.2414950471072317E-2</v>
      </c>
      <c r="AM17" s="2"/>
      <c r="AN17" s="2">
        <v>14</v>
      </c>
      <c r="AO17" s="2">
        <f>[1]节奏总纲!BA17</f>
        <v>25.707675764357255</v>
      </c>
      <c r="AP17" s="2">
        <f>[1]节奏总纲!BB17</f>
        <v>27.059707353051884</v>
      </c>
      <c r="AQ17" s="2">
        <f>[1]节奏总纲!BC17</f>
        <v>28.796798156163181</v>
      </c>
      <c r="AR17" s="2">
        <f>[1]节奏总纲!BD17</f>
        <v>31.280110398778046</v>
      </c>
      <c r="AS17" s="2">
        <f>[1]节奏总纲!BE17</f>
        <v>35.634340563113874</v>
      </c>
    </row>
    <row r="18" spans="2:45" x14ac:dyDescent="0.15">
      <c r="B18" s="2">
        <f>[1]节奏总纲!N18</f>
        <v>25</v>
      </c>
      <c r="C18" s="2">
        <v>15</v>
      </c>
      <c r="D18" s="2">
        <f>[1]节奏总纲!P18</f>
        <v>1.8284271247461898</v>
      </c>
      <c r="E18" s="2">
        <f>[1]节奏总纲!Q18</f>
        <v>1.5793953503557587</v>
      </c>
      <c r="F18" s="2">
        <f>[1]节奏总纲!R18</f>
        <v>1.2928808199080308</v>
      </c>
      <c r="G18" s="2">
        <f>[1]节奏总纲!S18</f>
        <v>0.94895367774327255</v>
      </c>
      <c r="H18" s="2">
        <f>[1]节奏总纲!T18</f>
        <v>0.5271355400643265</v>
      </c>
      <c r="J18" s="2">
        <v>15</v>
      </c>
      <c r="K18" s="2">
        <f>[1]节奏总纲!W18</f>
        <v>0.18941130320040145</v>
      </c>
      <c r="L18" s="2">
        <f>[1]节奏总纲!X18</f>
        <v>0.16574420427251613</v>
      </c>
      <c r="M18" s="2">
        <f>[1]节奏总纲!Y18</f>
        <v>0.13835807521117749</v>
      </c>
      <c r="N18" s="2">
        <f>[1]节奏总纲!Z18</f>
        <v>0.10289371066133657</v>
      </c>
      <c r="O18" s="2">
        <f>[1]节奏总纲!AA18</f>
        <v>5.9032621430849308E-2</v>
      </c>
      <c r="Q18" s="2">
        <v>15</v>
      </c>
      <c r="R18" s="2">
        <f>[1]节奏总纲!AD18</f>
        <v>40</v>
      </c>
      <c r="S18" s="2">
        <f>[1]节奏总纲!AE18</f>
        <v>41.83669503626701</v>
      </c>
      <c r="T18" s="2">
        <f>[1]节奏总纲!AF18</f>
        <v>44.442238853326032</v>
      </c>
      <c r="U18" s="2">
        <f>[1]节奏总纲!AG18</f>
        <v>48.731413734867289</v>
      </c>
      <c r="V18" s="2">
        <f>[1]节奏总纲!AH18</f>
        <v>57.176846218996921</v>
      </c>
      <c r="Z18" s="2">
        <v>15</v>
      </c>
      <c r="AA18" s="2">
        <f>[1]节奏总纲!AM18</f>
        <v>2.1</v>
      </c>
      <c r="AB18" s="2">
        <f>[1]节奏总纲!AN18</f>
        <v>1.6800000000000002</v>
      </c>
      <c r="AC18" s="2">
        <f>[1]节奏总纲!AO18</f>
        <v>1.26</v>
      </c>
      <c r="AD18" s="2">
        <f>[1]节奏总纲!AP18</f>
        <v>0.84000000000000008</v>
      </c>
      <c r="AE18" s="2">
        <f>[1]节奏总纲!AQ18</f>
        <v>0.42000000000000004</v>
      </c>
      <c r="AG18" s="2">
        <v>15</v>
      </c>
      <c r="AH18" s="2">
        <f>[1]节奏总纲!AT18</f>
        <v>0.3703226931529926</v>
      </c>
      <c r="AI18" s="2">
        <f>[1]节奏总纲!AU18</f>
        <v>0.29625815452239412</v>
      </c>
      <c r="AJ18" s="2">
        <f>[1]节奏总纲!AV18</f>
        <v>0.22219361589179565</v>
      </c>
      <c r="AK18" s="2">
        <f>[1]节奏总纲!AW18</f>
        <v>0.14812907726119706</v>
      </c>
      <c r="AL18" s="2">
        <f>[1]节奏总纲!AX18</f>
        <v>7.4064538630598531E-2</v>
      </c>
      <c r="AM18" s="2"/>
      <c r="AN18" s="2">
        <v>15</v>
      </c>
      <c r="AO18" s="2">
        <f>[1]节奏总纲!BA18</f>
        <v>26.127796402772656</v>
      </c>
      <c r="AP18" s="2">
        <f>[1]节奏总纲!BB18</f>
        <v>27.461368800321225</v>
      </c>
      <c r="AQ18" s="2">
        <f>[1]节奏总纲!BC18</f>
        <v>29.216428548527322</v>
      </c>
      <c r="AR18" s="2">
        <f>[1]节奏总纲!BD18</f>
        <v>31.706504654507764</v>
      </c>
      <c r="AS18" s="2">
        <f>[1]节奏总纲!BE18</f>
        <v>36.105477566569242</v>
      </c>
    </row>
    <row r="19" spans="2:45" x14ac:dyDescent="0.15">
      <c r="B19" s="2">
        <f>[1]节奏总纲!N19</f>
        <v>26</v>
      </c>
      <c r="C19" s="2">
        <v>16</v>
      </c>
      <c r="D19" s="2">
        <f>[1]节奏总纲!P19</f>
        <v>2.031433133020796</v>
      </c>
      <c r="E19" s="2">
        <f>[1]节奏总纲!Q19</f>
        <v>1.7586116632561031</v>
      </c>
      <c r="F19" s="2">
        <f>[1]节奏总纲!R19</f>
        <v>1.4398798046851402</v>
      </c>
      <c r="G19" s="2">
        <f>[1]节奏总纲!S19</f>
        <v>1.0618300986299702</v>
      </c>
      <c r="H19" s="2">
        <f>[1]节奏总纲!T19</f>
        <v>0.59460047803518701</v>
      </c>
      <c r="J19" s="2">
        <v>16</v>
      </c>
      <c r="K19" s="2">
        <f>[1]节奏总纲!W19</f>
        <v>0.20300600827460613</v>
      </c>
      <c r="L19" s="2">
        <f>[1]节奏总纲!X19</f>
        <v>0.17921631290034434</v>
      </c>
      <c r="M19" s="2">
        <f>[1]节奏总纲!Y19</f>
        <v>0.14699898477710938</v>
      </c>
      <c r="N19" s="2">
        <f>[1]节奏总纲!Z19</f>
        <v>0.11287642088669769</v>
      </c>
      <c r="O19" s="2">
        <f>[1]节奏总纲!AA19</f>
        <v>6.7464937970860506E-2</v>
      </c>
      <c r="Q19" s="2">
        <v>16</v>
      </c>
      <c r="R19" s="2">
        <f>[1]节奏总纲!AD19</f>
        <v>40.870795385807064</v>
      </c>
      <c r="S19" s="2">
        <f>[1]节奏总纲!AE19</f>
        <v>42.707142308553742</v>
      </c>
      <c r="T19" s="2">
        <f>[1]节奏总纲!AF19</f>
        <v>45.343250058486468</v>
      </c>
      <c r="U19" s="2">
        <f>[1]节奏总纲!AG19</f>
        <v>49.654306534727205</v>
      </c>
      <c r="V19" s="2">
        <f>[1]节奏总纲!AH19</f>
        <v>58.12511610143563</v>
      </c>
      <c r="Z19" s="2">
        <v>16</v>
      </c>
      <c r="AA19" s="2">
        <f>[1]节奏总纲!AM19</f>
        <v>2.5387719203926467</v>
      </c>
      <c r="AB19" s="2">
        <f>[1]节奏总纲!AN19</f>
        <v>2.0310175363141174</v>
      </c>
      <c r="AC19" s="2">
        <f>[1]节奏总纲!AO19</f>
        <v>1.5232631522355879</v>
      </c>
      <c r="AD19" s="2">
        <f>[1]节奏总纲!AP19</f>
        <v>1.0155087681570587</v>
      </c>
      <c r="AE19" s="2">
        <f>[1]节奏总纲!AQ19</f>
        <v>0.50775438407852935</v>
      </c>
      <c r="AG19" s="2">
        <v>16</v>
      </c>
      <c r="AH19" s="2">
        <f>[1]节奏总纲!AT19</f>
        <v>0.43877192039264656</v>
      </c>
      <c r="AI19" s="2">
        <f>[1]节奏总纲!AU19</f>
        <v>0.35101753631411725</v>
      </c>
      <c r="AJ19" s="2">
        <f>[1]节奏总纲!AV19</f>
        <v>0.26326315223558794</v>
      </c>
      <c r="AK19" s="2">
        <f>[1]节奏总纲!AW19</f>
        <v>0.17550876815705863</v>
      </c>
      <c r="AL19" s="2">
        <f>[1]节奏总纲!AX19</f>
        <v>8.7754384078529313E-2</v>
      </c>
      <c r="AM19" s="2"/>
      <c r="AN19" s="2">
        <v>16</v>
      </c>
      <c r="AO19" s="2">
        <f>[1]节奏总纲!BA19</f>
        <v>26.504690687123308</v>
      </c>
      <c r="AP19" s="2">
        <f>[1]节奏总纲!BB19</f>
        <v>27.863030247590562</v>
      </c>
      <c r="AQ19" s="2">
        <f>[1]节奏总纲!BC19</f>
        <v>29.606265091548554</v>
      </c>
      <c r="AR19" s="2">
        <f>[1]节奏总纲!BD19</f>
        <v>32.113552950216736</v>
      </c>
      <c r="AS19" s="2">
        <f>[1]节奏总纲!BE19</f>
        <v>36.526331209747774</v>
      </c>
    </row>
    <row r="20" spans="2:45" x14ac:dyDescent="0.15">
      <c r="B20" s="2">
        <f>[1]节奏总纲!N20</f>
        <v>27</v>
      </c>
      <c r="C20" s="2">
        <v>17</v>
      </c>
      <c r="D20" s="2">
        <f>[1]节奏总纲!P20</f>
        <v>2.2490095854249419</v>
      </c>
      <c r="E20" s="2">
        <f>[1]节奏总纲!Q20</f>
        <v>1.9433691827656923</v>
      </c>
      <c r="F20" s="2">
        <f>[1]节奏总纲!R20</f>
        <v>1.5904995788125189</v>
      </c>
      <c r="G20" s="2">
        <f>[1]节奏总纲!S20</f>
        <v>1.1742079045503622</v>
      </c>
      <c r="H20" s="2">
        <f>[1]节奏总纲!T20</f>
        <v>0.65311238360740309</v>
      </c>
      <c r="J20" s="2">
        <v>17</v>
      </c>
      <c r="K20" s="2">
        <f>[1]节奏总纲!W20</f>
        <v>0.21757645240414591</v>
      </c>
      <c r="L20" s="2">
        <f>[1]节奏总纲!X20</f>
        <v>0.18475751950958919</v>
      </c>
      <c r="M20" s="2">
        <f>[1]节奏总纲!Y20</f>
        <v>0.1506197741273787</v>
      </c>
      <c r="N20" s="2">
        <f>[1]节奏总纲!Z20</f>
        <v>0.11237780592039193</v>
      </c>
      <c r="O20" s="2">
        <f>[1]节奏总纲!AA20</f>
        <v>5.8511905572216083E-2</v>
      </c>
      <c r="Q20" s="2">
        <v>17</v>
      </c>
      <c r="R20" s="2">
        <f>[1]节奏总纲!AD20</f>
        <v>41.691928656135218</v>
      </c>
      <c r="S20" s="2">
        <f>[1]节奏总纲!AE20</f>
        <v>43.535389560453282</v>
      </c>
      <c r="T20" s="2">
        <f>[1]节奏总纲!AF20</f>
        <v>46.195785611164197</v>
      </c>
      <c r="U20" s="2">
        <f>[1]节奏总纲!AG20</f>
        <v>50.510850036206186</v>
      </c>
      <c r="V20" s="2">
        <f>[1]节奏总纲!AH20</f>
        <v>58.996855914896834</v>
      </c>
      <c r="Z20" s="2">
        <v>17</v>
      </c>
      <c r="AA20" s="2">
        <f>[1]节奏总纲!AM20</f>
        <v>3.0579402515786085</v>
      </c>
      <c r="AB20" s="2">
        <f>[1]节奏总纲!AN20</f>
        <v>2.4463522012628869</v>
      </c>
      <c r="AC20" s="2">
        <f>[1]节奏总纲!AO20</f>
        <v>1.8347641509471651</v>
      </c>
      <c r="AD20" s="2">
        <f>[1]节奏总纲!AP20</f>
        <v>1.2231761006314434</v>
      </c>
      <c r="AE20" s="2">
        <f>[1]节奏总纲!AQ20</f>
        <v>0.61158805031572172</v>
      </c>
      <c r="AG20" s="2">
        <v>17</v>
      </c>
      <c r="AH20" s="2">
        <f>[1]节奏总纲!AT20</f>
        <v>0.51916833118596184</v>
      </c>
      <c r="AI20" s="2">
        <f>[1]节奏总纲!AU20</f>
        <v>0.41533466494876947</v>
      </c>
      <c r="AJ20" s="2">
        <f>[1]节奏总纲!AV20</f>
        <v>0.3115009987115771</v>
      </c>
      <c r="AK20" s="2">
        <f>[1]节奏总纲!AW20</f>
        <v>0.20766733247438474</v>
      </c>
      <c r="AL20" s="2">
        <f>[1]节奏总纲!AX20</f>
        <v>0.10383366623719237</v>
      </c>
      <c r="AM20" s="2"/>
      <c r="AN20" s="2">
        <v>17</v>
      </c>
      <c r="AO20" s="2">
        <f>[1]节奏总纲!BA20</f>
        <v>26.881584971473956</v>
      </c>
      <c r="AP20" s="2">
        <f>[1]节奏总纲!BB20</f>
        <v>28.225778459464117</v>
      </c>
      <c r="AQ20" s="2">
        <f>[1]节奏总纲!BC20</f>
        <v>29.996101634569786</v>
      </c>
      <c r="AR20" s="2">
        <f>[1]节奏总纲!BD20</f>
        <v>32.477877425165822</v>
      </c>
      <c r="AS20" s="2">
        <f>[1]节奏总纲!BE20</f>
        <v>36.947184852926306</v>
      </c>
    </row>
    <row r="21" spans="2:45" x14ac:dyDescent="0.15">
      <c r="B21" s="2">
        <f>[1]节奏总纲!N21</f>
        <v>28</v>
      </c>
      <c r="C21" s="2">
        <v>18</v>
      </c>
      <c r="D21" s="2">
        <f>[1]节奏总纲!P21</f>
        <v>2.4822022531844965</v>
      </c>
      <c r="E21" s="2">
        <f>[1]节奏总纲!Q21</f>
        <v>2.1515729130603214</v>
      </c>
      <c r="F21" s="2">
        <f>[1]节奏总纲!R21</f>
        <v>1.7690655458445907</v>
      </c>
      <c r="G21" s="2">
        <f>[1]节奏总纲!S21</f>
        <v>1.3066312660763189</v>
      </c>
      <c r="H21" s="2">
        <f>[1]节奏总纲!T21</f>
        <v>0.72554771860582834</v>
      </c>
      <c r="J21" s="2">
        <v>18</v>
      </c>
      <c r="K21" s="2">
        <f>[1]节奏总纲!W21</f>
        <v>0.23319266775955461</v>
      </c>
      <c r="L21" s="2">
        <f>[1]节奏总纲!X21</f>
        <v>0.20820373029462913</v>
      </c>
      <c r="M21" s="2">
        <f>[1]节奏总纲!Y21</f>
        <v>0.17856596703207184</v>
      </c>
      <c r="N21" s="2">
        <f>[1]节奏总纲!Z21</f>
        <v>0.13242336152595668</v>
      </c>
      <c r="O21" s="2">
        <f>[1]节奏总纲!AA21</f>
        <v>7.2435334998425249E-2</v>
      </c>
      <c r="Q21" s="2">
        <v>18</v>
      </c>
      <c r="R21" s="2">
        <f>[1]节奏总纲!AD21</f>
        <v>42.470630686057078</v>
      </c>
      <c r="S21" s="2">
        <f>[1]节奏总纲!AE21</f>
        <v>44.32123076997032</v>
      </c>
      <c r="T21" s="2">
        <f>[1]节奏总纲!AF21</f>
        <v>47.002405448181747</v>
      </c>
      <c r="U21" s="2">
        <f>[1]节奏总纲!AG21</f>
        <v>51.307235833425089</v>
      </c>
      <c r="V21" s="2">
        <f>[1]节奏总纲!AH21</f>
        <v>59.782901351568675</v>
      </c>
      <c r="Z21" s="2">
        <v>18</v>
      </c>
      <c r="AA21" s="2">
        <f>[1]节奏总纲!AM21</f>
        <v>3.671491735587451</v>
      </c>
      <c r="AB21" s="2">
        <f>[1]节奏总纲!AN21</f>
        <v>2.9371933884699608</v>
      </c>
      <c r="AC21" s="2">
        <f>[1]节奏总纲!AO21</f>
        <v>2.2028950413524706</v>
      </c>
      <c r="AD21" s="2">
        <f>[1]节奏总纲!AP21</f>
        <v>1.4685966942349804</v>
      </c>
      <c r="AE21" s="2">
        <f>[1]节奏总纲!AQ21</f>
        <v>0.7342983471174902</v>
      </c>
      <c r="AG21" s="2">
        <v>18</v>
      </c>
      <c r="AH21" s="2">
        <f>[1]节奏总纲!AT21</f>
        <v>0.61355148400884252</v>
      </c>
      <c r="AI21" s="2">
        <f>[1]节奏总纲!AU21</f>
        <v>0.49084118720707393</v>
      </c>
      <c r="AJ21" s="2">
        <f>[1]节奏总纲!AV21</f>
        <v>0.36813089040530556</v>
      </c>
      <c r="AK21" s="2">
        <f>[1]节奏总纲!AW21</f>
        <v>0.24542059360353696</v>
      </c>
      <c r="AL21" s="2">
        <f>[1]节奏总纲!AX21</f>
        <v>0.12271029680176848</v>
      </c>
      <c r="AM21" s="2"/>
      <c r="AN21" s="2">
        <v>18</v>
      </c>
      <c r="AO21" s="2">
        <f>[1]节奏总纲!BA21</f>
        <v>27.220371931959619</v>
      </c>
      <c r="AP21" s="2">
        <f>[1]节奏总纲!BB21</f>
        <v>28.568390277483555</v>
      </c>
      <c r="AQ21" s="2">
        <f>[1]节奏总纲!BC21</f>
        <v>30.329493925593439</v>
      </c>
      <c r="AR21" s="2">
        <f>[1]节奏总纲!BD21</f>
        <v>32.842201900114915</v>
      </c>
      <c r="AS21" s="2">
        <f>[1]节奏总纲!BE21</f>
        <v>37.317457773889828</v>
      </c>
    </row>
    <row r="22" spans="2:45" x14ac:dyDescent="0.15">
      <c r="B22" s="2">
        <f>[1]节奏总纲!N22</f>
        <v>29</v>
      </c>
      <c r="C22" s="2">
        <v>19</v>
      </c>
      <c r="D22" s="2">
        <f>[1]节奏总纲!P22</f>
        <v>2.7321319661472296</v>
      </c>
      <c r="E22" s="2">
        <f>[1]节奏总纲!Q22</f>
        <v>2.3734030389920986</v>
      </c>
      <c r="F22" s="2">
        <f>[1]节奏总纲!R22</f>
        <v>1.9510154370257367</v>
      </c>
      <c r="G22" s="2">
        <f>[1]节奏总纲!S22</f>
        <v>1.4395603329629754</v>
      </c>
      <c r="H22" s="2">
        <f>[1]节奏总纲!T22</f>
        <v>0.80270037165405606</v>
      </c>
      <c r="J22" s="2">
        <v>19</v>
      </c>
      <c r="K22" s="2">
        <f>[1]节奏总纲!W22</f>
        <v>0.24992971296273314</v>
      </c>
      <c r="L22" s="2">
        <f>[1]节奏总纲!X22</f>
        <v>0.2218301259317772</v>
      </c>
      <c r="M22" s="2">
        <f>[1]节奏总纲!Y22</f>
        <v>0.18194989118114591</v>
      </c>
      <c r="N22" s="2">
        <f>[1]节奏总纲!Z22</f>
        <v>0.13292906688665651</v>
      </c>
      <c r="O22" s="2">
        <f>[1]节奏总纲!AA22</f>
        <v>7.7152653048227715E-2</v>
      </c>
      <c r="Q22" s="2">
        <v>19</v>
      </c>
      <c r="R22" s="2">
        <f>[1]节奏总纲!AD22</f>
        <v>43.213386604241784</v>
      </c>
      <c r="S22" s="2">
        <f>[1]节奏总纲!AE22</f>
        <v>45.070782602372333</v>
      </c>
      <c r="T22" s="2">
        <f>[1]节奏总纲!AF22</f>
        <v>47.752799438858894</v>
      </c>
      <c r="U22" s="2">
        <f>[1]节奏总纲!AG22</f>
        <v>52.050057424983954</v>
      </c>
      <c r="V22" s="2">
        <f>[1]节奏总纲!AH22</f>
        <v>60.54585273688761</v>
      </c>
      <c r="Z22" s="2">
        <v>19</v>
      </c>
      <c r="AA22" s="2">
        <f>[1]节奏总纲!AM22</f>
        <v>4.3957950643309154</v>
      </c>
      <c r="AB22" s="2">
        <f>[1]节奏总纲!AN22</f>
        <v>3.5166360514647326</v>
      </c>
      <c r="AC22" s="2">
        <f>[1]节奏总纲!AO22</f>
        <v>2.6374770385985493</v>
      </c>
      <c r="AD22" s="2">
        <f>[1]节奏总纲!AP22</f>
        <v>1.7583180257323663</v>
      </c>
      <c r="AE22" s="2">
        <f>[1]节奏总纲!AQ22</f>
        <v>0.87915901286618314</v>
      </c>
      <c r="AG22" s="2">
        <v>19</v>
      </c>
      <c r="AH22" s="2">
        <f>[1]节奏总纲!AT22</f>
        <v>0.72430332874346437</v>
      </c>
      <c r="AI22" s="2">
        <f>[1]节奏总纲!AU22</f>
        <v>0.57944266299477176</v>
      </c>
      <c r="AJ22" s="2">
        <f>[1]节奏总纲!AV22</f>
        <v>0.43458199724607871</v>
      </c>
      <c r="AK22" s="2">
        <f>[1]节奏总纲!AW22</f>
        <v>0.28972133149738588</v>
      </c>
      <c r="AL22" s="2">
        <f>[1]节奏总纲!AX22</f>
        <v>0.14486066574869294</v>
      </c>
      <c r="AM22" s="2"/>
      <c r="AN22" s="2">
        <v>19</v>
      </c>
      <c r="AO22" s="2">
        <f>[1]节奏总纲!BA22</f>
        <v>27.541701089775092</v>
      </c>
      <c r="AP22" s="2">
        <f>[1]节奏总纲!BB22</f>
        <v>28.911002095502997</v>
      </c>
      <c r="AQ22" s="2">
        <f>[1]节奏总纲!BC22</f>
        <v>30.662316072657521</v>
      </c>
      <c r="AR22" s="2">
        <f>[1]节奏总纲!BD22</f>
        <v>33.176527924103851</v>
      </c>
      <c r="AS22" s="2">
        <f>[1]节奏总纲!BE22</f>
        <v>37.680472138177471</v>
      </c>
    </row>
    <row r="23" spans="2:45" x14ac:dyDescent="0.15">
      <c r="B23" s="2">
        <f>[1]节奏总纲!N23</f>
        <v>30</v>
      </c>
      <c r="C23" s="2">
        <v>20</v>
      </c>
      <c r="D23" s="2">
        <f>[1]节奏总纲!P23</f>
        <v>3</v>
      </c>
      <c r="E23" s="2">
        <f>[1]节奏总纲!Q23</f>
        <v>2.6036999999999999</v>
      </c>
      <c r="F23" s="2">
        <f>[1]节奏总纲!R23</f>
        <v>2.1372</v>
      </c>
      <c r="G23" s="2">
        <f>[1]节奏总纲!S23</f>
        <v>1.5800999999999998</v>
      </c>
      <c r="H23" s="2">
        <f>[1]节奏总纲!T23</f>
        <v>0.87990000000000002</v>
      </c>
      <c r="J23" s="2">
        <v>20</v>
      </c>
      <c r="K23" s="2">
        <f>[1]节奏总纲!W23</f>
        <v>0.26786803385277036</v>
      </c>
      <c r="L23" s="2">
        <f>[1]节奏总纲!X23</f>
        <v>0.23029696100790131</v>
      </c>
      <c r="M23" s="2">
        <f>[1]节奏总纲!Y23</f>
        <v>0.18618456297426333</v>
      </c>
      <c r="N23" s="2">
        <f>[1]节奏总纲!Z23</f>
        <v>0.14053966703702447</v>
      </c>
      <c r="O23" s="2">
        <f>[1]节奏总纲!AA23</f>
        <v>7.719962834594396E-2</v>
      </c>
      <c r="Q23" s="2">
        <v>20</v>
      </c>
      <c r="R23" s="2">
        <f>[1]节奏总纲!AD23</f>
        <v>43.920692243099523</v>
      </c>
      <c r="S23" s="2">
        <f>[1]节奏总纲!AE23</f>
        <v>45.780025086357675</v>
      </c>
      <c r="T23" s="2">
        <f>[1]节奏总纲!AF23</f>
        <v>48.482447528152484</v>
      </c>
      <c r="U23" s="2">
        <f>[1]节奏总纲!AG23</f>
        <v>52.769987980532711</v>
      </c>
      <c r="V23" s="2">
        <f>[1]节奏总纲!AH23</f>
        <v>61.261422558944936</v>
      </c>
      <c r="Z23" s="2">
        <v>20</v>
      </c>
      <c r="AA23" s="2">
        <f>[1]节奏总纲!AM23</f>
        <v>5.25</v>
      </c>
      <c r="AB23" s="2">
        <f>[1]节奏总纲!AN23</f>
        <v>4.2</v>
      </c>
      <c r="AC23" s="2">
        <f>[1]节奏总纲!AO23</f>
        <v>3.15</v>
      </c>
      <c r="AD23" s="2">
        <f>[1]节奏总纲!AP23</f>
        <v>2.1</v>
      </c>
      <c r="AE23" s="2">
        <f>[1]节奏总纲!AQ23</f>
        <v>1.05</v>
      </c>
      <c r="AG23" s="2">
        <v>20</v>
      </c>
      <c r="AH23" s="2">
        <f>[1]节奏总纲!AT23</f>
        <v>0.85420493566908462</v>
      </c>
      <c r="AI23" s="2">
        <f>[1]节奏总纲!AU23</f>
        <v>0.68336394853526761</v>
      </c>
      <c r="AJ23" s="2">
        <f>[1]节奏总纲!AV23</f>
        <v>0.51252296140145059</v>
      </c>
      <c r="AK23" s="2">
        <f>[1]节奏总纲!AW23</f>
        <v>0.3416819742676338</v>
      </c>
      <c r="AL23" s="2">
        <f>[1]节奏总纲!AX23</f>
        <v>0.1708409871338169</v>
      </c>
      <c r="AM23" s="2"/>
      <c r="AN23" s="2">
        <v>20</v>
      </c>
      <c r="AO23" s="2">
        <f>[1]节奏总纲!BA23</f>
        <v>27.863030247590562</v>
      </c>
      <c r="AP23" s="2">
        <f>[1]节奏总纲!BB23</f>
        <v>29.216428548527322</v>
      </c>
      <c r="AQ23" s="2">
        <f>[1]节奏总纲!BC23</f>
        <v>30.995138219721603</v>
      </c>
      <c r="AR23" s="2">
        <f>[1]节奏总纲!BD23</f>
        <v>33.487933395889513</v>
      </c>
      <c r="AS23" s="2">
        <f>[1]节奏总纲!BE23</f>
        <v>38.037513426486328</v>
      </c>
    </row>
    <row r="24" spans="2:45" x14ac:dyDescent="0.15">
      <c r="B24" s="2">
        <f>[1]节奏总纲!N24</f>
        <v>31</v>
      </c>
      <c r="C24" s="2">
        <v>21</v>
      </c>
      <c r="D24" s="2">
        <f>[1]节奏总纲!P24</f>
        <v>3.2870938501451725</v>
      </c>
      <c r="E24" s="2">
        <f>[1]节奏总纲!Q24</f>
        <v>2.8518826243859516</v>
      </c>
      <c r="F24" s="2">
        <f>[1]节奏总纲!R24</f>
        <v>2.3466562996186386</v>
      </c>
      <c r="G24" s="2">
        <f>[1]节奏总纲!S24</f>
        <v>1.7365716810316947</v>
      </c>
      <c r="H24" s="2">
        <f>[1]节奏总纲!T24</f>
        <v>0.97166494210291288</v>
      </c>
      <c r="J24" s="2">
        <v>21</v>
      </c>
      <c r="K24" s="2">
        <f>[1]节奏总纲!W24</f>
        <v>0.28709385014517252</v>
      </c>
      <c r="L24" s="2">
        <f>[1]节奏总纲!X24</f>
        <v>0.24818262438595173</v>
      </c>
      <c r="M24" s="2">
        <f>[1]节奏总纲!Y24</f>
        <v>0.20945629961863865</v>
      </c>
      <c r="N24" s="2">
        <f>[1]节奏总纲!Z24</f>
        <v>0.15647168103169484</v>
      </c>
      <c r="O24" s="2">
        <f>[1]节奏总纲!AA24</f>
        <v>9.1764942102912861E-2</v>
      </c>
      <c r="Q24" s="2">
        <v>21</v>
      </c>
      <c r="R24" s="2">
        <f>[1]节奏总纲!AD24</f>
        <v>44.585942742481357</v>
      </c>
      <c r="S24" s="2">
        <f>[1]节奏总纲!AE24</f>
        <v>46.455967430551723</v>
      </c>
      <c r="T24" s="2">
        <f>[1]节奏总纲!AF24</f>
        <v>49.18886033229559</v>
      </c>
      <c r="U24" s="2">
        <f>[1]节奏总纲!AG24</f>
        <v>53.471660769826336</v>
      </c>
      <c r="V24" s="2">
        <f>[1]节奏总纲!AH24</f>
        <v>61.918453772109508</v>
      </c>
      <c r="Z24" s="2">
        <v>21</v>
      </c>
      <c r="AA24" s="2">
        <f>[1]节奏总纲!AM24</f>
        <v>6.2565025247829205</v>
      </c>
      <c r="AB24" s="2">
        <f>[1]节奏总纲!AN24</f>
        <v>5.0052020198263367</v>
      </c>
      <c r="AC24" s="2">
        <f>[1]节奏总纲!AO24</f>
        <v>3.7539015148697521</v>
      </c>
      <c r="AD24" s="2">
        <f>[1]节奏总纲!AP24</f>
        <v>2.5026010099131684</v>
      </c>
      <c r="AE24" s="2">
        <f>[1]节奏总纲!AQ24</f>
        <v>1.2513005049565842</v>
      </c>
      <c r="AG24" s="2">
        <v>21</v>
      </c>
      <c r="AH24" s="2">
        <f>[1]节奏总纲!AT24</f>
        <v>1.0065025247829205</v>
      </c>
      <c r="AI24" s="2">
        <f>[1]节奏总纲!AU24</f>
        <v>0.80520201982633655</v>
      </c>
      <c r="AJ24" s="2">
        <f>[1]节奏总纲!AV24</f>
        <v>0.60390151486975219</v>
      </c>
      <c r="AK24" s="2">
        <f>[1]节奏总纲!AW24</f>
        <v>0.40260100991316827</v>
      </c>
      <c r="AL24" s="2">
        <f>[1]节奏总纲!AX24</f>
        <v>0.20130050495658414</v>
      </c>
      <c r="AM24" s="2"/>
      <c r="AN24" s="2">
        <v>21</v>
      </c>
      <c r="AO24" s="2">
        <f>[1]节奏总纲!BA24</f>
        <v>28.157256095860227</v>
      </c>
      <c r="AP24" s="2">
        <f>[1]节奏总纲!BB24</f>
        <v>29.508805955793246</v>
      </c>
      <c r="AQ24" s="2">
        <f>[1]节奏总纲!BC24</f>
        <v>31.280110398778046</v>
      </c>
      <c r="AR24" s="2">
        <f>[1]节奏总纲!BD24</f>
        <v>33.799338867675175</v>
      </c>
      <c r="AS24" s="2">
        <f>[1]节奏总纲!BE24</f>
        <v>38.35066605767593</v>
      </c>
    </row>
    <row r="25" spans="2:45" x14ac:dyDescent="0.15">
      <c r="B25" s="2">
        <f>[1]节奏总纲!N25</f>
        <v>32</v>
      </c>
      <c r="C25" s="2">
        <v>22</v>
      </c>
      <c r="D25" s="2">
        <f>[1]节奏总纲!P25</f>
        <v>3.5947934199881395</v>
      </c>
      <c r="E25" s="2">
        <f>[1]节奏总纲!Q25</f>
        <v>3.124234961311692</v>
      </c>
      <c r="F25" s="2">
        <f>[1]节奏总纲!R25</f>
        <v>2.5749505267375046</v>
      </c>
      <c r="G25" s="2">
        <f>[1]节奏总纲!S25</f>
        <v>1.9077568679877055</v>
      </c>
      <c r="H25" s="2">
        <f>[1]节奏总纲!T25</f>
        <v>1.0687320837624739</v>
      </c>
      <c r="J25" s="2">
        <v>22</v>
      </c>
      <c r="K25" s="2">
        <f>[1]节奏总纲!W25</f>
        <v>0.30769956984296698</v>
      </c>
      <c r="L25" s="2">
        <f>[1]节奏总纲!X25</f>
        <v>0.27235233692574035</v>
      </c>
      <c r="M25" s="2">
        <f>[1]节奏总纲!Y25</f>
        <v>0.22829422711886593</v>
      </c>
      <c r="N25" s="2">
        <f>[1]节奏总纲!Z25</f>
        <v>0.17118518695601082</v>
      </c>
      <c r="O25" s="2">
        <f>[1]节奏总纲!AA25</f>
        <v>9.7067141659560985E-2</v>
      </c>
      <c r="Q25" s="2">
        <v>22</v>
      </c>
      <c r="R25" s="2">
        <f>[1]节奏总纲!AD25</f>
        <v>45.229416240679988</v>
      </c>
      <c r="S25" s="2">
        <f>[1]节奏总纲!AE25</f>
        <v>47.110426931480873</v>
      </c>
      <c r="T25" s="2">
        <f>[1]节奏总纲!AF25</f>
        <v>49.861837738505173</v>
      </c>
      <c r="U25" s="2">
        <f>[1]节奏总纲!AG25</f>
        <v>54.15637358335789</v>
      </c>
      <c r="V25" s="2">
        <f>[1]节奏总纲!AH25</f>
        <v>62.555781631668886</v>
      </c>
      <c r="Z25" s="2">
        <v>22</v>
      </c>
      <c r="AA25" s="2">
        <f>[1]节奏总纲!AM25</f>
        <v>7.4414868317755332</v>
      </c>
      <c r="AB25" s="2">
        <f>[1]节奏总纲!AN25</f>
        <v>5.9531894654204267</v>
      </c>
      <c r="AC25" s="2">
        <f>[1]节奏总纲!AO25</f>
        <v>4.4648920990653194</v>
      </c>
      <c r="AD25" s="2">
        <f>[1]节奏总纲!AP25</f>
        <v>2.9765947327102134</v>
      </c>
      <c r="AE25" s="2">
        <f>[1]节奏总纲!AQ25</f>
        <v>1.4882973663551067</v>
      </c>
      <c r="AG25" s="2">
        <v>22</v>
      </c>
      <c r="AH25" s="2">
        <f>[1]节奏总纲!AT25</f>
        <v>1.1849843069926127</v>
      </c>
      <c r="AI25" s="2">
        <f>[1]节奏总纲!AU25</f>
        <v>0.94798744559408998</v>
      </c>
      <c r="AJ25" s="2">
        <f>[1]节奏总纲!AV25</f>
        <v>0.71099058419556727</v>
      </c>
      <c r="AK25" s="2">
        <f>[1]节奏总纲!AW25</f>
        <v>0.47399372279704499</v>
      </c>
      <c r="AL25" s="2">
        <f>[1]节奏总纲!AX25</f>
        <v>0.2369968613985225</v>
      </c>
      <c r="AM25" s="2"/>
      <c r="AN25" s="2">
        <v>22</v>
      </c>
      <c r="AO25" s="2">
        <f>[1]节奏总纲!BA25</f>
        <v>28.431345550275779</v>
      </c>
      <c r="AP25" s="2">
        <f>[1]节奏总纲!BB25</f>
        <v>29.80118336305917</v>
      </c>
      <c r="AQ25" s="2">
        <f>[1]节奏总纲!BC25</f>
        <v>31.564373235931193</v>
      </c>
      <c r="AR25" s="2">
        <f>[1]节奏总纲!BD25</f>
        <v>34.09469189131628</v>
      </c>
      <c r="AS25" s="2">
        <f>[1]节奏总纲!BE25</f>
        <v>38.663818688865533</v>
      </c>
    </row>
    <row r="26" spans="2:45" x14ac:dyDescent="0.15">
      <c r="B26" s="2">
        <f>[1]节奏总纲!N26</f>
        <v>33</v>
      </c>
      <c r="C26" s="2">
        <v>23</v>
      </c>
      <c r="D26" s="2">
        <f>[1]节奏总纲!P26</f>
        <v>3.9245776533796644</v>
      </c>
      <c r="E26" s="2">
        <f>[1]节奏总纲!Q26</f>
        <v>3.4081032341949005</v>
      </c>
      <c r="F26" s="2">
        <f>[1]节奏总纲!R26</f>
        <v>2.8064654799317976</v>
      </c>
      <c r="G26" s="2">
        <f>[1]节奏总纲!S26</f>
        <v>2.0796336985258841</v>
      </c>
      <c r="H26" s="2">
        <f>[1]节奏总纲!T26</f>
        <v>1.1608900698697047</v>
      </c>
      <c r="J26" s="2">
        <v>23</v>
      </c>
      <c r="K26" s="2">
        <f>[1]节奏总纲!W26</f>
        <v>0.32978423339152485</v>
      </c>
      <c r="L26" s="2">
        <f>[1]节奏总纲!X26</f>
        <v>0.28386827288320848</v>
      </c>
      <c r="M26" s="2">
        <f>[1]节奏总纲!Y26</f>
        <v>0.23151495319429305</v>
      </c>
      <c r="N26" s="2">
        <f>[1]节奏总纲!Z26</f>
        <v>0.17187683053817859</v>
      </c>
      <c r="O26" s="2">
        <f>[1]节奏总纲!AA26</f>
        <v>9.2157986107230805E-2</v>
      </c>
      <c r="Q26" s="2">
        <v>23</v>
      </c>
      <c r="R26" s="2">
        <f>[1]节奏总纲!AD26</f>
        <v>45.845161563010116</v>
      </c>
      <c r="S26" s="2">
        <f>[1]节奏总纲!AE26</f>
        <v>47.734594805743399</v>
      </c>
      <c r="T26" s="2">
        <f>[1]节奏总纲!AF26</f>
        <v>50.503430607741265</v>
      </c>
      <c r="U26" s="2">
        <f>[1]节奏总纲!AG26</f>
        <v>54.814188287451351</v>
      </c>
      <c r="V26" s="2">
        <f>[1]节奏总纲!AH26</f>
        <v>63.182677965405439</v>
      </c>
      <c r="Z26" s="2">
        <v>23</v>
      </c>
      <c r="AA26" s="2">
        <f>[1]节奏总纲!AM26</f>
        <v>8.8355567243832152</v>
      </c>
      <c r="AB26" s="2">
        <f>[1]节奏总纲!AN26</f>
        <v>7.0684453795065725</v>
      </c>
      <c r="AC26" s="2">
        <f>[1]节奏总纲!AO26</f>
        <v>5.3013340346299289</v>
      </c>
      <c r="AD26" s="2">
        <f>[1]节奏总纲!AP26</f>
        <v>3.5342226897532862</v>
      </c>
      <c r="AE26" s="2">
        <f>[1]节奏总纲!AQ26</f>
        <v>1.7671113448766431</v>
      </c>
      <c r="AG26" s="2">
        <v>23</v>
      </c>
      <c r="AH26" s="2">
        <f>[1]节奏总纲!AT26</f>
        <v>1.394069892607682</v>
      </c>
      <c r="AI26" s="2">
        <f>[1]节奏总纲!AU26</f>
        <v>1.1152559140861458</v>
      </c>
      <c r="AJ26" s="2">
        <f>[1]节奏总纲!AV26</f>
        <v>0.83644193556460955</v>
      </c>
      <c r="AK26" s="2">
        <f>[1]节奏总纲!AW26</f>
        <v>0.55762795704307289</v>
      </c>
      <c r="AL26" s="2">
        <f>[1]节奏总纲!AX26</f>
        <v>0.27881397852153644</v>
      </c>
      <c r="AM26" s="2"/>
      <c r="AN26" s="2">
        <v>23</v>
      </c>
      <c r="AO26" s="2">
        <f>[1]节奏总纲!BA26</f>
        <v>28.705435004691331</v>
      </c>
      <c r="AP26" s="2">
        <f>[1]节奏总纲!BB26</f>
        <v>30.079877315295377</v>
      </c>
      <c r="AQ26" s="2">
        <f>[1]节奏总纲!BC26</f>
        <v>31.848636073084339</v>
      </c>
      <c r="AR26" s="2">
        <f>[1]节奏总纲!BD26</f>
        <v>34.360958982105608</v>
      </c>
      <c r="AS26" s="2">
        <f>[1]节奏总纲!BE26</f>
        <v>38.976971320055128</v>
      </c>
    </row>
    <row r="27" spans="2:45" x14ac:dyDescent="0.15">
      <c r="B27" s="2">
        <f>[1]节奏总纲!N27</f>
        <v>34</v>
      </c>
      <c r="C27" s="2">
        <v>24</v>
      </c>
      <c r="D27" s="2">
        <f>[1]节奏总纲!P27</f>
        <v>4.2780316430915768</v>
      </c>
      <c r="E27" s="2">
        <f>[1]节奏总纲!Q27</f>
        <v>3.7214597263253628</v>
      </c>
      <c r="F27" s="2">
        <f>[1]节奏总纲!R27</f>
        <v>3.0699155070825155</v>
      </c>
      <c r="G27" s="2">
        <f>[1]节奏总纲!S27</f>
        <v>2.2742016214674821</v>
      </c>
      <c r="H27" s="2">
        <f>[1]节奏总纲!T27</f>
        <v>1.2692919885052709</v>
      </c>
      <c r="J27" s="2">
        <v>24</v>
      </c>
      <c r="K27" s="2">
        <f>[1]节奏总纲!W27</f>
        <v>0.35345398971191244</v>
      </c>
      <c r="L27" s="2">
        <f>[1]节奏总纲!X27</f>
        <v>0.31335649213046235</v>
      </c>
      <c r="M27" s="2">
        <f>[1]节奏总纲!Y27</f>
        <v>0.26345002715071786</v>
      </c>
      <c r="N27" s="2">
        <f>[1]节奏总纲!Z27</f>
        <v>0.19456792294159797</v>
      </c>
      <c r="O27" s="2">
        <f>[1]节奏总纲!AA27</f>
        <v>0.10840191863556625</v>
      </c>
      <c r="Q27" s="2">
        <v>24</v>
      </c>
      <c r="R27" s="2">
        <f>[1]节奏总纲!AD27</f>
        <v>46.430041330048923</v>
      </c>
      <c r="S27" s="2">
        <f>[1]节奏总纲!AE27</f>
        <v>48.330142263709867</v>
      </c>
      <c r="T27" s="2">
        <f>[1]节奏总纲!AF27</f>
        <v>51.118578408701396</v>
      </c>
      <c r="U27" s="2">
        <f>[1]节奏总纲!AG27</f>
        <v>55.44072585486321</v>
      </c>
      <c r="V27" s="2">
        <f>[1]节奏总纲!AH27</f>
        <v>63.791742872142052</v>
      </c>
      <c r="Z27" s="2">
        <v>24</v>
      </c>
      <c r="AA27" s="2">
        <f>[1]节奏总纲!AM27</f>
        <v>10.47447102993563</v>
      </c>
      <c r="AB27" s="2">
        <f>[1]节奏总纲!AN27</f>
        <v>8.3795768239485042</v>
      </c>
      <c r="AC27" s="2">
        <f>[1]节奏总纲!AO27</f>
        <v>6.2846826179613782</v>
      </c>
      <c r="AD27" s="2">
        <f>[1]节奏总纲!AP27</f>
        <v>4.1897884119742521</v>
      </c>
      <c r="AE27" s="2">
        <f>[1]节奏总纲!AQ27</f>
        <v>2.0948942059871261</v>
      </c>
      <c r="AG27" s="2">
        <v>24</v>
      </c>
      <c r="AH27" s="2">
        <f>[1]节奏总纲!AT27</f>
        <v>1.6389143055524151</v>
      </c>
      <c r="AI27" s="2">
        <f>[1]节奏总纲!AU27</f>
        <v>1.3111314444419317</v>
      </c>
      <c r="AJ27" s="2">
        <f>[1]节奏总纲!AV27</f>
        <v>0.98334858333144926</v>
      </c>
      <c r="AK27" s="2">
        <f>[1]节奏总纲!AW27</f>
        <v>0.65556572222096587</v>
      </c>
      <c r="AL27" s="2">
        <f>[1]节奏总纲!AX27</f>
        <v>0.32778286111048294</v>
      </c>
      <c r="AM27" s="2"/>
      <c r="AN27" s="2">
        <v>24</v>
      </c>
      <c r="AO27" s="2">
        <f>[1]节奏总纲!BA27</f>
        <v>28.979524459106884</v>
      </c>
      <c r="AP27" s="2">
        <f>[1]节奏总纲!BB27</f>
        <v>30.329493925593439</v>
      </c>
      <c r="AQ27" s="2">
        <f>[1]节奏总纲!BC27</f>
        <v>32.113552950216736</v>
      </c>
      <c r="AR27" s="2">
        <f>[1]节奏总纲!BD27</f>
        <v>34.627226072894942</v>
      </c>
      <c r="AS27" s="2">
        <f>[1]节奏总纲!BE27</f>
        <v>39.250296194358178</v>
      </c>
    </row>
    <row r="28" spans="2:45" x14ac:dyDescent="0.15">
      <c r="B28" s="2">
        <f>[1]节奏总纲!N28</f>
        <v>35</v>
      </c>
      <c r="C28" s="2">
        <v>25</v>
      </c>
      <c r="D28" s="2">
        <f>[1]节奏总纲!P28</f>
        <v>4.6568542494923806</v>
      </c>
      <c r="E28" s="2">
        <f>[1]节奏总纲!Q28</f>
        <v>4.054257309608067</v>
      </c>
      <c r="F28" s="2">
        <f>[1]节奏总纲!R28</f>
        <v>3.3445527219854276</v>
      </c>
      <c r="G28" s="2">
        <f>[1]节奏总纲!S28</f>
        <v>2.478377831579845</v>
      </c>
      <c r="H28" s="2">
        <f>[1]节奏总纲!T28</f>
        <v>1.3802915995495415</v>
      </c>
      <c r="J28" s="2">
        <v>25</v>
      </c>
      <c r="K28" s="2">
        <f>[1]节奏总纲!W28</f>
        <v>0.37882260640080379</v>
      </c>
      <c r="L28" s="2">
        <f>[1]节奏总纲!X28</f>
        <v>0.33279758328270415</v>
      </c>
      <c r="M28" s="2">
        <f>[1]节奏总纲!Y28</f>
        <v>0.27463721490291215</v>
      </c>
      <c r="N28" s="2">
        <f>[1]节奏总纲!Z28</f>
        <v>0.20417621011236298</v>
      </c>
      <c r="O28" s="2">
        <f>[1]节奏总纲!AA28</f>
        <v>0.11099961104427059</v>
      </c>
      <c r="Q28" s="2">
        <v>25</v>
      </c>
      <c r="R28" s="2">
        <f>[1]节奏总纲!AD28</f>
        <v>47.004247194324648</v>
      </c>
      <c r="S28" s="2">
        <f>[1]节奏总纲!AE28</f>
        <v>48.904516930942819</v>
      </c>
      <c r="T28" s="2">
        <f>[1]节奏总纲!AF28</f>
        <v>51.667220029142385</v>
      </c>
      <c r="U28" s="2">
        <f>[1]节奏总纲!AG28</f>
        <v>56.05100027504308</v>
      </c>
      <c r="V28" s="2">
        <f>[1]节奏总纲!AH28</f>
        <v>64.398425477456215</v>
      </c>
      <c r="Z28" s="2">
        <v>25</v>
      </c>
      <c r="AA28" s="2">
        <f>[1]节奏总纲!AM28</f>
        <v>12.4</v>
      </c>
      <c r="AB28" s="2">
        <f>[1]节奏总纲!AN28</f>
        <v>9.9200000000000017</v>
      </c>
      <c r="AC28" s="2">
        <f>[1]节奏总纲!AO28</f>
        <v>7.4399999999999995</v>
      </c>
      <c r="AD28" s="2">
        <f>[1]节奏总纲!AP28</f>
        <v>4.9600000000000009</v>
      </c>
      <c r="AE28" s="2">
        <f>[1]节奏总纲!AQ28</f>
        <v>2.4800000000000004</v>
      </c>
      <c r="AG28" s="2">
        <v>25</v>
      </c>
      <c r="AH28" s="2">
        <f>[1]节奏总纲!AT28</f>
        <v>1.9255289700643701</v>
      </c>
      <c r="AI28" s="2">
        <f>[1]节奏总纲!AU28</f>
        <v>1.5404231760514975</v>
      </c>
      <c r="AJ28" s="2">
        <f>[1]节奏总纲!AV28</f>
        <v>1.1553173820386213</v>
      </c>
      <c r="AK28" s="2">
        <f>[1]节奏总纲!AW28</f>
        <v>0.77021158802574874</v>
      </c>
      <c r="AL28" s="2">
        <f>[1]节奏总纲!AX28</f>
        <v>0.38510579401287437</v>
      </c>
      <c r="AM28" s="2"/>
      <c r="AN28" s="2">
        <v>25</v>
      </c>
      <c r="AO28" s="2">
        <f>[1]节奏总纲!BA28</f>
        <v>29.216428548527322</v>
      </c>
      <c r="AP28" s="2">
        <f>[1]节奏总纲!BB28</f>
        <v>30.579110535891502</v>
      </c>
      <c r="AQ28" s="2">
        <f>[1]节奏总纲!BC28</f>
        <v>32.356435933516131</v>
      </c>
      <c r="AR28" s="2">
        <f>[1]节奏总纲!BD28</f>
        <v>34.893493163684269</v>
      </c>
      <c r="AS28" s="2">
        <f>[1]节奏总纲!BE28</f>
        <v>39.520459727922798</v>
      </c>
    </row>
    <row r="29" spans="2:45" x14ac:dyDescent="0.15">
      <c r="B29" s="2">
        <f>[1]节奏总纲!N29</f>
        <v>36</v>
      </c>
      <c r="C29" s="2">
        <v>26</v>
      </c>
      <c r="D29" s="2">
        <f>[1]节奏总纲!P29</f>
        <v>5.062866266041592</v>
      </c>
      <c r="E29" s="2">
        <f>[1]节奏总纲!Q29</f>
        <v>4.408743944469018</v>
      </c>
      <c r="F29" s="2">
        <f>[1]节奏总纲!R29</f>
        <v>3.63716312552428</v>
      </c>
      <c r="G29" s="2">
        <f>[1]节奏总纲!S29</f>
        <v>2.6914197070277099</v>
      </c>
      <c r="H29" s="2">
        <f>[1]节奏总纲!T29</f>
        <v>1.4996209880015197</v>
      </c>
      <c r="J29" s="2">
        <v>26</v>
      </c>
      <c r="K29" s="2">
        <f>[1]节奏总纲!W29</f>
        <v>0.40601201654921137</v>
      </c>
      <c r="L29" s="2">
        <f>[1]节奏总纲!X29</f>
        <v>0.354486634860951</v>
      </c>
      <c r="M29" s="2">
        <f>[1]节奏总纲!Y29</f>
        <v>0.29261040353885237</v>
      </c>
      <c r="N29" s="2">
        <f>[1]节奏总纲!Z29</f>
        <v>0.2130418754478649</v>
      </c>
      <c r="O29" s="2">
        <f>[1]节奏总纲!AA29</f>
        <v>0.11932938845197816</v>
      </c>
      <c r="Q29" s="2">
        <v>26</v>
      </c>
      <c r="R29" s="2">
        <f>[1]节奏总纲!AD29</f>
        <v>47.540284631526092</v>
      </c>
      <c r="S29" s="2">
        <f>[1]节奏总纲!AE29</f>
        <v>49.446133440059114</v>
      </c>
      <c r="T29" s="2">
        <f>[1]节奏总纲!AF29</f>
        <v>52.199341027338768</v>
      </c>
      <c r="U29" s="2">
        <f>[1]节奏总纲!AG29</f>
        <v>56.621068614050692</v>
      </c>
      <c r="V29" s="2">
        <f>[1]节奏总纲!AH29</f>
        <v>65.00344105132713</v>
      </c>
      <c r="Z29" s="2">
        <v>26</v>
      </c>
      <c r="AA29" s="2">
        <f>[1]节奏总纲!AM29</f>
        <v>14.6609224175611</v>
      </c>
      <c r="AB29" s="2">
        <f>[1]节奏总纲!AN29</f>
        <v>11.72873793404888</v>
      </c>
      <c r="AC29" s="2">
        <f>[1]节奏总纲!AO29</f>
        <v>8.7965534505366598</v>
      </c>
      <c r="AD29" s="2">
        <f>[1]节奏总纲!AP29</f>
        <v>5.8643689670244399</v>
      </c>
      <c r="AE29" s="2">
        <f>[1]节奏总纲!AQ29</f>
        <v>2.9321844835122199</v>
      </c>
      <c r="AG29" s="2">
        <v>26</v>
      </c>
      <c r="AH29" s="2">
        <f>[1]节奏总纲!AT29</f>
        <v>2.2609224175610994</v>
      </c>
      <c r="AI29" s="2">
        <f>[1]节奏总纲!AU29</f>
        <v>1.8087379340488781</v>
      </c>
      <c r="AJ29" s="2">
        <f>[1]节奏总纲!AV29</f>
        <v>1.3565534505366603</v>
      </c>
      <c r="AK29" s="2">
        <f>[1]节奏总纲!AW29</f>
        <v>0.90436896702443903</v>
      </c>
      <c r="AL29" s="2">
        <f>[1]节奏总纲!AX29</f>
        <v>0.45218448351221951</v>
      </c>
      <c r="AM29" s="2"/>
      <c r="AN29" s="2">
        <v>26</v>
      </c>
      <c r="AO29" s="2">
        <f>[1]节奏总纲!BA29</f>
        <v>29.45033047434006</v>
      </c>
      <c r="AP29" s="2">
        <f>[1]节奏总纲!BB29</f>
        <v>30.828727146189561</v>
      </c>
      <c r="AQ29" s="2">
        <f>[1]节奏总纲!BC29</f>
        <v>32.59931891681552</v>
      </c>
      <c r="AR29" s="2">
        <f>[1]节奏总纲!BD29</f>
        <v>35.146386283795508</v>
      </c>
      <c r="AS29" s="2">
        <f>[1]节奏总纲!BE29</f>
        <v>39.790623261487418</v>
      </c>
    </row>
    <row r="30" spans="2:45" x14ac:dyDescent="0.15">
      <c r="B30" s="2">
        <f>[1]节奏总纲!N30</f>
        <v>37</v>
      </c>
      <c r="C30" s="2">
        <v>27</v>
      </c>
      <c r="D30" s="2">
        <f>[1]节奏总纲!P30</f>
        <v>5.4980191708498847</v>
      </c>
      <c r="E30" s="2">
        <f>[1]节奏总纲!Q30</f>
        <v>4.7882248958931646</v>
      </c>
      <c r="F30" s="2">
        <f>[1]节奏总纲!R30</f>
        <v>3.9492271704214725</v>
      </c>
      <c r="G30" s="2">
        <f>[1]节奏总纲!S30</f>
        <v>2.9205477835554587</v>
      </c>
      <c r="H30" s="2">
        <f>[1]节奏总纲!T30</f>
        <v>1.6290630803228208</v>
      </c>
      <c r="J30" s="2">
        <v>27</v>
      </c>
      <c r="K30" s="2">
        <f>[1]节奏总纲!W30</f>
        <v>0.43515290480829272</v>
      </c>
      <c r="L30" s="2">
        <f>[1]节奏总纲!X30</f>
        <v>0.37948095142414662</v>
      </c>
      <c r="M30" s="2">
        <f>[1]节奏总纲!Y30</f>
        <v>0.31206404489719253</v>
      </c>
      <c r="N30" s="2">
        <f>[1]节奏总纲!Z30</f>
        <v>0.2291280765277488</v>
      </c>
      <c r="O30" s="2">
        <f>[1]节奏总纲!AA30</f>
        <v>0.12944209232130111</v>
      </c>
      <c r="Q30" s="2">
        <v>27</v>
      </c>
      <c r="R30" s="2">
        <f>[1]节奏总纲!AD30</f>
        <v>48.071211008105138</v>
      </c>
      <c r="S30" s="2">
        <f>[1]节奏总纲!AE30</f>
        <v>49.981218513907905</v>
      </c>
      <c r="T30" s="2">
        <f>[1]节奏总纲!AF30</f>
        <v>52.705993248660157</v>
      </c>
      <c r="U30" s="2">
        <f>[1]节奏总纲!AG30</f>
        <v>57.175765669822162</v>
      </c>
      <c r="V30" s="2">
        <f>[1]节奏总纲!AH30</f>
        <v>65.541743280100334</v>
      </c>
      <c r="Z30" s="2">
        <v>27</v>
      </c>
      <c r="AA30" s="2">
        <f>[1]节奏总纲!AM30</f>
        <v>17.314186320787698</v>
      </c>
      <c r="AB30" s="2">
        <f>[1]节奏总纲!AN30</f>
        <v>13.851349056630159</v>
      </c>
      <c r="AC30" s="2">
        <f>[1]节奏总纲!AO30</f>
        <v>10.388511792472618</v>
      </c>
      <c r="AD30" s="2">
        <f>[1]节奏总纲!AP30</f>
        <v>6.9256745283150796</v>
      </c>
      <c r="AE30" s="2">
        <f>[1]节奏总纲!AQ30</f>
        <v>3.4628372641575398</v>
      </c>
      <c r="AG30" s="2">
        <v>27</v>
      </c>
      <c r="AH30" s="2">
        <f>[1]节奏总纲!AT30</f>
        <v>2.6532639032265983</v>
      </c>
      <c r="AI30" s="2">
        <f>[1]节奏总纲!AU30</f>
        <v>2.1226111225812794</v>
      </c>
      <c r="AJ30" s="2">
        <f>[1]节奏总纲!AV30</f>
        <v>1.5919583419359586</v>
      </c>
      <c r="AK30" s="2">
        <f>[1]节奏总纲!AW30</f>
        <v>1.0613055612906397</v>
      </c>
      <c r="AL30" s="2">
        <f>[1]节奏总纲!AX30</f>
        <v>0.53065278064531984</v>
      </c>
      <c r="AM30" s="2"/>
      <c r="AN30" s="2">
        <v>27</v>
      </c>
      <c r="AO30" s="2">
        <f>[1]节奏总纲!BA30</f>
        <v>29.684232400152801</v>
      </c>
      <c r="AP30" s="2">
        <f>[1]节奏总纲!BB30</f>
        <v>31.066913270913183</v>
      </c>
      <c r="AQ30" s="2">
        <f>[1]节奏总纲!BC30</f>
        <v>32.842201900114915</v>
      </c>
      <c r="AR30" s="2">
        <f>[1]节奏总纲!BD30</f>
        <v>35.390363423454687</v>
      </c>
      <c r="AS30" s="2">
        <f>[1]节奏总纲!BE30</f>
        <v>40.052446592012309</v>
      </c>
    </row>
    <row r="31" spans="2:45" x14ac:dyDescent="0.15">
      <c r="B31" s="2">
        <f>[1]节奏总纲!N31</f>
        <v>38</v>
      </c>
      <c r="C31" s="2">
        <v>28</v>
      </c>
      <c r="D31" s="2">
        <f>[1]节奏总纲!P31</f>
        <v>5.9644045063689921</v>
      </c>
      <c r="E31" s="2">
        <f>[1]节奏总纲!Q31</f>
        <v>5.1914176823435705</v>
      </c>
      <c r="F31" s="2">
        <f>[1]节奏总纲!R31</f>
        <v>4.2752851501652938</v>
      </c>
      <c r="G31" s="2">
        <f>[1]节奏总纲!S31</f>
        <v>3.1653094715300236</v>
      </c>
      <c r="H31" s="2">
        <f>[1]节奏总纲!T31</f>
        <v>1.7738139001941382</v>
      </c>
      <c r="J31" s="2">
        <v>28</v>
      </c>
      <c r="K31" s="2">
        <f>[1]节奏总纲!W31</f>
        <v>0.46638533551910744</v>
      </c>
      <c r="L31" s="2">
        <f>[1]节奏总纲!X31</f>
        <v>0.4031927864504059</v>
      </c>
      <c r="M31" s="2">
        <f>[1]节奏总纲!Y31</f>
        <v>0.32605797974382122</v>
      </c>
      <c r="N31" s="2">
        <f>[1]节奏总纲!Z31</f>
        <v>0.24476168797456488</v>
      </c>
      <c r="O31" s="2">
        <f>[1]节奏总纲!AA31</f>
        <v>0.14475081987131744</v>
      </c>
      <c r="Q31" s="2">
        <v>28</v>
      </c>
      <c r="R31" s="2">
        <f>[1]节奏总纲!AD31</f>
        <v>48.571351621712928</v>
      </c>
      <c r="S31" s="2">
        <f>[1]节奏总纲!AE31</f>
        <v>50.509688493127967</v>
      </c>
      <c r="T31" s="2">
        <f>[1]节奏总纲!AF31</f>
        <v>53.212684955585161</v>
      </c>
      <c r="U31" s="2">
        <f>[1]节奏总纲!AG31</f>
        <v>57.699988965458331</v>
      </c>
      <c r="V31" s="2">
        <f>[1]节奏总纲!AH31</f>
        <v>66.076345334947405</v>
      </c>
      <c r="Z31" s="2">
        <v>28</v>
      </c>
      <c r="AA31" s="2">
        <f>[1]节奏总纲!AM31</f>
        <v>20.42625995518307</v>
      </c>
      <c r="AB31" s="2">
        <f>[1]节奏总纲!AN31</f>
        <v>16.341007964146456</v>
      </c>
      <c r="AC31" s="2">
        <f>[1]节奏总纲!AO31</f>
        <v>12.255755973109842</v>
      </c>
      <c r="AD31" s="2">
        <f>[1]节奏总纲!AP31</f>
        <v>8.1705039820732281</v>
      </c>
      <c r="AE31" s="2">
        <f>[1]节奏总纲!AQ31</f>
        <v>4.0852519910366141</v>
      </c>
      <c r="AG31" s="2">
        <v>28</v>
      </c>
      <c r="AH31" s="2">
        <f>[1]节奏总纲!AT31</f>
        <v>3.1120736343953723</v>
      </c>
      <c r="AI31" s="2">
        <f>[1]节奏总纲!AU31</f>
        <v>2.4896589075162971</v>
      </c>
      <c r="AJ31" s="2">
        <f>[1]节奏总纲!AV31</f>
        <v>1.8672441806372237</v>
      </c>
      <c r="AK31" s="2">
        <f>[1]节奏总纲!AW31</f>
        <v>1.2448294537581486</v>
      </c>
      <c r="AL31" s="2">
        <f>[1]节奏总纲!AX31</f>
        <v>0.62241472687907429</v>
      </c>
      <c r="AM31" s="2"/>
      <c r="AN31" s="2">
        <v>28</v>
      </c>
      <c r="AO31" s="2">
        <f>[1]节奏总纲!BA31</f>
        <v>29.918134325965539</v>
      </c>
      <c r="AP31" s="2">
        <f>[1]节奏总纲!BB31</f>
        <v>31.280110398778046</v>
      </c>
      <c r="AQ31" s="2">
        <f>[1]节奏总纲!BC31</f>
        <v>33.072726100175295</v>
      </c>
      <c r="AR31" s="2">
        <f>[1]节奏总纲!BD31</f>
        <v>35.634340563113874</v>
      </c>
      <c r="AS31" s="2">
        <f>[1]节奏总纲!BE31</f>
        <v>40.28554255651148</v>
      </c>
    </row>
    <row r="32" spans="2:45" x14ac:dyDescent="0.15">
      <c r="B32" s="2">
        <f>[1]节奏总纲!N32</f>
        <v>39</v>
      </c>
      <c r="C32" s="2">
        <v>29</v>
      </c>
      <c r="D32" s="2">
        <f>[1]节奏总纲!P32</f>
        <v>6.4642639322944575</v>
      </c>
      <c r="E32" s="2">
        <f>[1]节奏总纲!Q32</f>
        <v>5.6323131642081607</v>
      </c>
      <c r="F32" s="2">
        <f>[1]节奏总纲!R32</f>
        <v>4.6510378992858623</v>
      </c>
      <c r="G32" s="2">
        <f>[1]节奏总纲!S32</f>
        <v>3.4532097926316991</v>
      </c>
      <c r="H32" s="2">
        <f>[1]节奏总纲!T32</f>
        <v>1.9366934741154194</v>
      </c>
      <c r="J32" s="2">
        <v>29</v>
      </c>
      <c r="K32" s="2">
        <f>[1]节奏总纲!W32</f>
        <v>0.49985942592546539</v>
      </c>
      <c r="L32" s="2">
        <f>[1]节奏总纲!X32</f>
        <v>0.44089548186459027</v>
      </c>
      <c r="M32" s="2">
        <f>[1]节奏总纲!Y32</f>
        <v>0.37575274912056855</v>
      </c>
      <c r="N32" s="2">
        <f>[1]节奏总纲!Z32</f>
        <v>0.28790032110167552</v>
      </c>
      <c r="O32" s="2">
        <f>[1]节奏总纲!AA32</f>
        <v>0.16287957392128116</v>
      </c>
      <c r="Q32" s="2">
        <v>29</v>
      </c>
      <c r="R32" s="2">
        <f>[1]节奏总纲!AD32</f>
        <v>49.066704614192936</v>
      </c>
      <c r="S32" s="2">
        <f>[1]节奏总纲!AE32</f>
        <v>51.033341828534468</v>
      </c>
      <c r="T32" s="2">
        <f>[1]节奏总纲!AF32</f>
        <v>53.719431255885922</v>
      </c>
      <c r="U32" s="2">
        <f>[1]节奏总纲!AG32</f>
        <v>58.210135614815364</v>
      </c>
      <c r="V32" s="2">
        <f>[1]节奏总纲!AH32</f>
        <v>66.589764070576265</v>
      </c>
      <c r="Z32" s="2">
        <v>29</v>
      </c>
      <c r="AA32" s="2">
        <f>[1]节奏总纲!AM32</f>
        <v>24.074703862418847</v>
      </c>
      <c r="AB32" s="2">
        <f>[1]节奏总纲!AN32</f>
        <v>19.259763089935078</v>
      </c>
      <c r="AC32" s="2">
        <f>[1]节奏总纲!AO32</f>
        <v>14.444822317451308</v>
      </c>
      <c r="AD32" s="2">
        <f>[1]节奏总纲!AP32</f>
        <v>9.6298815449675388</v>
      </c>
      <c r="AE32" s="2">
        <f>[1]节奏总纲!AQ32</f>
        <v>4.8149407724837694</v>
      </c>
      <c r="AG32" s="2">
        <v>29</v>
      </c>
      <c r="AH32" s="2">
        <f>[1]节奏总纲!AT32</f>
        <v>3.6484439072357766</v>
      </c>
      <c r="AI32" s="2">
        <f>[1]节奏总纲!AU32</f>
        <v>2.9187551257886213</v>
      </c>
      <c r="AJ32" s="2">
        <f>[1]节奏总纲!AV32</f>
        <v>2.189066344341466</v>
      </c>
      <c r="AK32" s="2">
        <f>[1]节奏总纲!AW32</f>
        <v>1.4593775628943106</v>
      </c>
      <c r="AL32" s="2">
        <f>[1]节奏总纲!AX32</f>
        <v>0.72968878144715532</v>
      </c>
      <c r="AM32" s="2"/>
      <c r="AN32" s="2">
        <v>29</v>
      </c>
      <c r="AO32" s="2">
        <f>[1]节奏总纲!BA32</f>
        <v>30.12980063735499</v>
      </c>
      <c r="AP32" s="2">
        <f>[1]节奏总纲!BB32</f>
        <v>31.493307526642905</v>
      </c>
      <c r="AQ32" s="2">
        <f>[1]节奏总纲!BC32</f>
        <v>33.280329748032408</v>
      </c>
      <c r="AR32" s="2">
        <f>[1]节奏总纲!BD32</f>
        <v>35.878317702773053</v>
      </c>
      <c r="AS32" s="2">
        <f>[1]节奏总纲!BE32</f>
        <v>40.518638521010644</v>
      </c>
    </row>
    <row r="33" spans="2:45" x14ac:dyDescent="0.15">
      <c r="B33" s="2">
        <f>[1]节奏总纲!N33</f>
        <v>40</v>
      </c>
      <c r="C33" s="2">
        <v>30</v>
      </c>
      <c r="D33" s="2">
        <f>[1]节奏总纲!P33</f>
        <v>7</v>
      </c>
      <c r="E33" s="2">
        <f>[1]节奏总纲!Q33</f>
        <v>6.1025999999999998</v>
      </c>
      <c r="F33" s="2">
        <f>[1]节奏总纲!R33</f>
        <v>5.0421000000000005</v>
      </c>
      <c r="G33" s="2">
        <f>[1]节奏总纲!S33</f>
        <v>3.7428999999999997</v>
      </c>
      <c r="H33" s="2">
        <f>[1]节奏总纲!T33</f>
        <v>2.1006999999999998</v>
      </c>
      <c r="J33" s="2">
        <v>30</v>
      </c>
      <c r="K33" s="2">
        <f>[1]节奏总纲!W33</f>
        <v>0.5357360677055425</v>
      </c>
      <c r="L33" s="2">
        <f>[1]节奏总纲!X33</f>
        <v>0.47028683579183905</v>
      </c>
      <c r="M33" s="2">
        <f>[1]节奏总纲!Y33</f>
        <v>0.39106210071413816</v>
      </c>
      <c r="N33" s="2">
        <f>[1]节奏总纲!Z33</f>
        <v>0.28969020736830053</v>
      </c>
      <c r="O33" s="2">
        <f>[1]节奏总纲!AA33</f>
        <v>0.16400652588458042</v>
      </c>
      <c r="Q33" s="2">
        <v>30</v>
      </c>
      <c r="R33" s="2">
        <f>[1]节奏总纲!AD33</f>
        <v>49.533352307096472</v>
      </c>
      <c r="S33" s="2">
        <f>[1]节奏总纲!AE33</f>
        <v>51.497823295559343</v>
      </c>
      <c r="T33" s="2">
        <f>[1]节奏总纲!AF33</f>
        <v>54.213705787583436</v>
      </c>
      <c r="U33" s="2">
        <f>[1]节奏总纲!AG33</f>
        <v>58.701446767877648</v>
      </c>
      <c r="V33" s="2">
        <f>[1]节奏总纲!AH33</f>
        <v>67.097551508592701</v>
      </c>
      <c r="Z33" s="2">
        <v>30</v>
      </c>
      <c r="AA33" s="2">
        <f>[1]节奏总纲!AM33</f>
        <v>28.35</v>
      </c>
      <c r="AB33" s="2">
        <f>[1]节奏总纲!AN33</f>
        <v>22.680000000000003</v>
      </c>
      <c r="AC33" s="2">
        <f>[1]节奏总纲!AO33</f>
        <v>17.010000000000002</v>
      </c>
      <c r="AD33" s="2">
        <f>[1]节奏总纲!AP33</f>
        <v>11.340000000000002</v>
      </c>
      <c r="AE33" s="2">
        <f>[1]节奏总纲!AQ33</f>
        <v>5.6700000000000008</v>
      </c>
      <c r="AG33" s="2">
        <v>30</v>
      </c>
      <c r="AH33" s="2">
        <f>[1]节奏总纲!AT33</f>
        <v>4.2752961375811545</v>
      </c>
      <c r="AI33" s="2">
        <f>[1]节奏总纲!AU33</f>
        <v>3.4202369100649257</v>
      </c>
      <c r="AJ33" s="2">
        <f>[1]节奏总纲!AV33</f>
        <v>2.5651776825486934</v>
      </c>
      <c r="AK33" s="2">
        <f>[1]节奏总纲!AW33</f>
        <v>1.7101184550324628</v>
      </c>
      <c r="AL33" s="2">
        <f>[1]节奏总纲!AX33</f>
        <v>0.85505922751623142</v>
      </c>
      <c r="AM33" s="2"/>
      <c r="AN33" s="2">
        <v>30</v>
      </c>
      <c r="AO33" s="2">
        <f>[1]节奏总纲!BA33</f>
        <v>30.329493925593439</v>
      </c>
      <c r="AP33" s="2">
        <f>[1]节奏总纲!BB33</f>
        <v>31.706504654507764</v>
      </c>
      <c r="AQ33" s="2">
        <f>[1]节奏总纲!BC33</f>
        <v>33.487933395889513</v>
      </c>
      <c r="AR33" s="2">
        <f>[1]节奏总纲!BD33</f>
        <v>36.105477566569242</v>
      </c>
      <c r="AS33" s="2">
        <f>[1]节奏总纲!BE33</f>
        <v>40.751734485509814</v>
      </c>
    </row>
    <row r="34" spans="2:45" x14ac:dyDescent="0.15">
      <c r="B34" s="2">
        <f>[1]节奏总纲!N34</f>
        <v>41</v>
      </c>
      <c r="C34" s="2">
        <v>31</v>
      </c>
      <c r="D34" s="2">
        <f>[1]节奏总纲!P34</f>
        <v>7.5741877002903433</v>
      </c>
      <c r="E34" s="2">
        <f>[1]节奏总纲!Q34</f>
        <v>6.6115084435834408</v>
      </c>
      <c r="F34" s="2">
        <f>[1]节奏总纲!R34</f>
        <v>5.4632615882194253</v>
      </c>
      <c r="G34" s="2">
        <f>[1]节奏总纲!S34</f>
        <v>4.052190419655334</v>
      </c>
      <c r="H34" s="2">
        <f>[1]节奏总纲!T34</f>
        <v>2.2783156602473356</v>
      </c>
      <c r="J34" s="2">
        <v>31</v>
      </c>
      <c r="K34" s="2">
        <f>[1]节奏总纲!W34</f>
        <v>0.57418770029034327</v>
      </c>
      <c r="L34" s="2">
        <f>[1]节奏总纲!X34</f>
        <v>0.50890844358344101</v>
      </c>
      <c r="M34" s="2">
        <f>[1]节奏总纲!Y34</f>
        <v>0.42116158821942484</v>
      </c>
      <c r="N34" s="2">
        <f>[1]节奏总纲!Z34</f>
        <v>0.30929041965533433</v>
      </c>
      <c r="O34" s="2">
        <f>[1]节奏总纲!AA34</f>
        <v>0.17761566024733577</v>
      </c>
      <c r="Q34" s="2">
        <v>31</v>
      </c>
      <c r="R34" s="2">
        <f>[1]节奏总纲!AD34</f>
        <v>50</v>
      </c>
      <c r="S34" s="2">
        <f>[1]节奏总纲!AE34</f>
        <v>51.96230476258421</v>
      </c>
      <c r="T34" s="2">
        <f>[1]节奏总纲!AF34</f>
        <v>54.692509339255828</v>
      </c>
      <c r="U34" s="2">
        <f>[1]节奏总纲!AG34</f>
        <v>59.178112178215827</v>
      </c>
      <c r="V34" s="2">
        <f>[1]节奏总纲!AH34</f>
        <v>67.582949939226467</v>
      </c>
      <c r="Z34" s="2">
        <v>31</v>
      </c>
      <c r="AA34" s="2">
        <f>[1]节奏总纲!AM34</f>
        <v>33.357679571112705</v>
      </c>
      <c r="AB34" s="2">
        <f>[1]节奏总纲!AN34</f>
        <v>26.686143656890167</v>
      </c>
      <c r="AC34" s="2">
        <f>[1]节奏总纲!AO34</f>
        <v>20.014607742667621</v>
      </c>
      <c r="AD34" s="2">
        <f>[1]节奏总纲!AP34</f>
        <v>13.343071828445083</v>
      </c>
      <c r="AE34" s="2">
        <f>[1]节奏总纲!AQ34</f>
        <v>6.6715359142225417</v>
      </c>
      <c r="AG34" s="2">
        <v>31</v>
      </c>
      <c r="AH34" s="2">
        <f>[1]节奏总纲!AT34</f>
        <v>5.0076795711127033</v>
      </c>
      <c r="AI34" s="2">
        <f>[1]节奏总纲!AU34</f>
        <v>4.0061436568901634</v>
      </c>
      <c r="AJ34" s="2">
        <f>[1]节奏总纲!AV34</f>
        <v>3.0046077426676199</v>
      </c>
      <c r="AK34" s="2">
        <f>[1]节奏总纲!AW34</f>
        <v>2.0030718284450817</v>
      </c>
      <c r="AL34" s="2">
        <f>[1]节奏总纲!AX34</f>
        <v>1.0015359142225408</v>
      </c>
      <c r="AM34" s="2"/>
      <c r="AN34" s="2">
        <v>31</v>
      </c>
      <c r="AO34" s="2">
        <f>[1]节奏总纲!BA34</f>
        <v>30.529187213831889</v>
      </c>
      <c r="AP34" s="2">
        <f>[1]节奏总纲!BB34</f>
        <v>31.919701782372627</v>
      </c>
      <c r="AQ34" s="2">
        <f>[1]节奏总纲!BC34</f>
        <v>33.695537043746626</v>
      </c>
      <c r="AR34" s="2">
        <f>[1]节奏总纲!BD34</f>
        <v>36.315904388158508</v>
      </c>
      <c r="AS34" s="2">
        <f>[1]节奏总纲!BE34</f>
        <v>40.984830450008978</v>
      </c>
    </row>
    <row r="35" spans="2:45" x14ac:dyDescent="0.15">
      <c r="B35" s="2">
        <f>[1]节奏总纲!N35</f>
        <v>42</v>
      </c>
      <c r="C35" s="2">
        <v>32</v>
      </c>
      <c r="D35" s="2">
        <f>[1]节奏总纲!P35</f>
        <v>8.189586839976279</v>
      </c>
      <c r="E35" s="2">
        <f>[1]节奏总纲!Q35</f>
        <v>7.1519661873512845</v>
      </c>
      <c r="F35" s="2">
        <f>[1]节奏总纲!R35</f>
        <v>5.906330028990892</v>
      </c>
      <c r="G35" s="2">
        <f>[1]节奏总纲!S35</f>
        <v>4.3855237528072974</v>
      </c>
      <c r="H35" s="2">
        <f>[1]节奏总纲!T35</f>
        <v>2.46506563883286</v>
      </c>
      <c r="J35" s="2">
        <v>32</v>
      </c>
      <c r="K35" s="2">
        <f>[1]节奏总纲!W35</f>
        <v>0.61539913968593574</v>
      </c>
      <c r="L35" s="2">
        <f>[1]节奏总纲!X35</f>
        <v>0.54045774376784372</v>
      </c>
      <c r="M35" s="2">
        <f>[1]节奏总纲!Y35</f>
        <v>0.44306844077146668</v>
      </c>
      <c r="N35" s="2">
        <f>[1]节奏总纲!Z35</f>
        <v>0.33333333315196345</v>
      </c>
      <c r="O35" s="2">
        <f>[1]节奏总纲!AA35</f>
        <v>0.18674997858552445</v>
      </c>
      <c r="Q35" s="2">
        <v>32</v>
      </c>
      <c r="R35" s="2">
        <f>[1]节奏总纲!AD35</f>
        <v>50.435397692903535</v>
      </c>
      <c r="S35" s="2">
        <f>[1]节奏总纲!AE35</f>
        <v>52.391506955233744</v>
      </c>
      <c r="T35" s="2">
        <f>[1]节奏总纲!AF35</f>
        <v>55.159275389027101</v>
      </c>
      <c r="U35" s="2">
        <f>[1]节奏总纲!AG35</f>
        <v>59.632093520341421</v>
      </c>
      <c r="V35" s="2">
        <f>[1]节奏总纲!AH35</f>
        <v>68.063981730538742</v>
      </c>
      <c r="Z35" s="2">
        <v>32</v>
      </c>
      <c r="AA35" s="2">
        <f>[1]节奏总纲!AM35</f>
        <v>39.220797956048642</v>
      </c>
      <c r="AB35" s="2">
        <f>[1]节奏总纲!AN35</f>
        <v>31.376638364838914</v>
      </c>
      <c r="AC35" s="2">
        <f>[1]节奏总纲!AO35</f>
        <v>23.532478773629183</v>
      </c>
      <c r="AD35" s="2">
        <f>[1]节奏总纲!AP35</f>
        <v>15.688319182419457</v>
      </c>
      <c r="AE35" s="2">
        <f>[1]节奏总纲!AQ35</f>
        <v>7.8441595912097286</v>
      </c>
      <c r="AG35" s="2">
        <v>32</v>
      </c>
      <c r="AH35" s="2">
        <f>[1]节奏总纲!AT35</f>
        <v>5.8631183849359374</v>
      </c>
      <c r="AI35" s="2">
        <f>[1]节奏总纲!AU35</f>
        <v>4.6904947079487478</v>
      </c>
      <c r="AJ35" s="2">
        <f>[1]节奏总纲!AV35</f>
        <v>3.5178710309615617</v>
      </c>
      <c r="AK35" s="2">
        <f>[1]节奏总纲!AW35</f>
        <v>2.3452473539743739</v>
      </c>
      <c r="AL35" s="2">
        <f>[1]节奏总纲!AX35</f>
        <v>1.1726236769871869</v>
      </c>
      <c r="AM35" s="2"/>
      <c r="AN35" s="2">
        <v>32</v>
      </c>
      <c r="AO35" s="2">
        <f>[1]节奏总纲!BA35</f>
        <v>30.728880502070336</v>
      </c>
      <c r="AP35" s="2">
        <f>[1]节奏总纲!BB35</f>
        <v>32.113552950216736</v>
      </c>
      <c r="AQ35" s="2">
        <f>[1]节奏总纲!BC35</f>
        <v>33.903140691603731</v>
      </c>
      <c r="AR35" s="2">
        <f>[1]节奏总纲!BD35</f>
        <v>36.526331209747774</v>
      </c>
      <c r="AS35" s="2">
        <f>[1]节奏总纲!BE35</f>
        <v>41.188041754455355</v>
      </c>
    </row>
    <row r="36" spans="2:45" x14ac:dyDescent="0.15">
      <c r="B36" s="2">
        <f>[1]节奏总纲!N36</f>
        <v>43</v>
      </c>
      <c r="C36" s="2">
        <v>33</v>
      </c>
      <c r="D36" s="2">
        <f>[1]节奏总纲!P36</f>
        <v>8.8491553067593287</v>
      </c>
      <c r="E36" s="2">
        <f>[1]节奏总纲!Q36</f>
        <v>7.7120388498407557</v>
      </c>
      <c r="F36" s="2">
        <f>[1]节奏总纲!R36</f>
        <v>6.3696219898053652</v>
      </c>
      <c r="G36" s="2">
        <f>[1]节奏总纲!S36</f>
        <v>4.736067920177593</v>
      </c>
      <c r="H36" s="2">
        <f>[1]节奏总纲!T36</f>
        <v>2.6627108318038819</v>
      </c>
      <c r="J36" s="2">
        <v>33</v>
      </c>
      <c r="K36" s="2">
        <f>[1]节奏总纲!W36</f>
        <v>0.6595684667830497</v>
      </c>
      <c r="L36" s="2">
        <f>[1]节奏总纲!X36</f>
        <v>0.56007266248947118</v>
      </c>
      <c r="M36" s="2">
        <f>[1]节奏总纲!Y36</f>
        <v>0.46329196081447321</v>
      </c>
      <c r="N36" s="2">
        <f>[1]节奏总纲!Z36</f>
        <v>0.35054416737029559</v>
      </c>
      <c r="O36" s="2">
        <f>[1]节奏总纲!AA36</f>
        <v>0.1976451929710219</v>
      </c>
      <c r="Q36" s="2">
        <v>33</v>
      </c>
      <c r="R36" s="2">
        <f>[1]节奏总纲!AD36</f>
        <v>50.870795385807064</v>
      </c>
      <c r="S36" s="2">
        <f>[1]节奏总纲!AE36</f>
        <v>52.81759316022675</v>
      </c>
      <c r="T36" s="2">
        <f>[1]节奏总纲!AF36</f>
        <v>55.604435245632025</v>
      </c>
      <c r="U36" s="2">
        <f>[1]节奏总纲!AG36</f>
        <v>60.078368706270226</v>
      </c>
      <c r="V36" s="2">
        <f>[1]节奏总纲!AH36</f>
        <v>68.518369035696878</v>
      </c>
      <c r="Z36" s="2">
        <v>33</v>
      </c>
      <c r="AA36" s="2">
        <f>[1]节奏总纲!AM36</f>
        <v>46.082812923199413</v>
      </c>
      <c r="AB36" s="2">
        <f>[1]节奏总纲!AN36</f>
        <v>36.866250338559531</v>
      </c>
      <c r="AC36" s="2">
        <f>[1]节奏总纲!AO36</f>
        <v>27.649687753919647</v>
      </c>
      <c r="AD36" s="2">
        <f>[1]节奏总纲!AP36</f>
        <v>18.433125169279766</v>
      </c>
      <c r="AE36" s="2">
        <f>[1]节奏总纲!AQ36</f>
        <v>9.2165625846398829</v>
      </c>
      <c r="AG36" s="2">
        <v>33</v>
      </c>
      <c r="AH36" s="2">
        <f>[1]节奏总纲!AT36</f>
        <v>6.8620149671507704</v>
      </c>
      <c r="AI36" s="2">
        <f>[1]节奏总纲!AU36</f>
        <v>5.489611973720617</v>
      </c>
      <c r="AJ36" s="2">
        <f>[1]节奏总纲!AV36</f>
        <v>4.1172089802904637</v>
      </c>
      <c r="AK36" s="2">
        <f>[1]节奏总纲!AW36</f>
        <v>2.7448059868603085</v>
      </c>
      <c r="AL36" s="2">
        <f>[1]节奏总纲!AX36</f>
        <v>1.3724029934301543</v>
      </c>
      <c r="AM36" s="2"/>
      <c r="AN36" s="2">
        <v>33</v>
      </c>
      <c r="AO36" s="2">
        <f>[1]节奏总纲!BA36</f>
        <v>30.928573790308786</v>
      </c>
      <c r="AP36" s="2">
        <f>[1]节奏总纲!BB36</f>
        <v>32.295715187691279</v>
      </c>
      <c r="AQ36" s="2">
        <f>[1]节奏总纲!BC36</f>
        <v>34.09469189131628</v>
      </c>
      <c r="AR36" s="2">
        <f>[1]节奏总纲!BD36</f>
        <v>36.73675803133704</v>
      </c>
      <c r="AS36" s="2">
        <f>[1]节奏总纲!BE36</f>
        <v>41.389172829914081</v>
      </c>
    </row>
    <row r="37" spans="2:45" x14ac:dyDescent="0.15">
      <c r="B37" s="2">
        <f>[1]节奏总纲!N37</f>
        <v>44</v>
      </c>
      <c r="C37" s="2">
        <v>34</v>
      </c>
      <c r="D37" s="2">
        <f>[1]节奏总纲!P37</f>
        <v>9.5560632861831518</v>
      </c>
      <c r="E37" s="2">
        <f>[1]节奏总纲!Q37</f>
        <v>8.3309759728944712</v>
      </c>
      <c r="F37" s="2">
        <f>[1]节奏总纲!R37</f>
        <v>6.8918328419952886</v>
      </c>
      <c r="G37" s="2">
        <f>[1]节奏总纲!S37</f>
        <v>5.1287391656944967</v>
      </c>
      <c r="H37" s="2">
        <f>[1]节奏总纲!T37</f>
        <v>2.8811530807842201</v>
      </c>
      <c r="J37" s="2">
        <v>34</v>
      </c>
      <c r="K37" s="2">
        <f>[1]节奏总纲!W37</f>
        <v>0.70690797942382311</v>
      </c>
      <c r="L37" s="2">
        <f>[1]节奏总纲!X37</f>
        <v>0.61893712305371551</v>
      </c>
      <c r="M37" s="2">
        <f>[1]节奏总纲!Y37</f>
        <v>0.52221085218992336</v>
      </c>
      <c r="N37" s="2">
        <f>[1]节奏总纲!Z37</f>
        <v>0.39267124551690369</v>
      </c>
      <c r="O37" s="2">
        <f>[1]节奏总纲!AA37</f>
        <v>0.21844224898033815</v>
      </c>
      <c r="Q37" s="2">
        <v>34</v>
      </c>
      <c r="R37" s="2">
        <f>[1]节奏总纲!AD37</f>
        <v>51.285688244217212</v>
      </c>
      <c r="S37" s="2">
        <f>[1]节奏总纲!AE37</f>
        <v>53.226994578658328</v>
      </c>
      <c r="T37" s="2">
        <f>[1]节奏总纲!AF37</f>
        <v>56.045896281048073</v>
      </c>
      <c r="U37" s="2">
        <f>[1]节奏总纲!AG37</f>
        <v>60.491705764657482</v>
      </c>
      <c r="V37" s="2">
        <f>[1]节奏总纲!AH37</f>
        <v>68.972756340855</v>
      </c>
      <c r="Z37" s="2">
        <v>34</v>
      </c>
      <c r="AA37" s="2">
        <f>[1]节奏总纲!AM37</f>
        <v>54.110931329932889</v>
      </c>
      <c r="AB37" s="2">
        <f>[1]节奏总纲!AN37</f>
        <v>43.288745063946315</v>
      </c>
      <c r="AC37" s="2">
        <f>[1]节奏总纲!AO37</f>
        <v>32.466558797959735</v>
      </c>
      <c r="AD37" s="2">
        <f>[1]节奏总纲!AP37</f>
        <v>21.644372531973158</v>
      </c>
      <c r="AE37" s="2">
        <f>[1]节奏总纲!AQ37</f>
        <v>10.822186265986579</v>
      </c>
      <c r="AG37" s="2">
        <v>34</v>
      </c>
      <c r="AH37" s="2">
        <f>[1]节奏总纲!AT37</f>
        <v>8.0281184067334763</v>
      </c>
      <c r="AI37" s="2">
        <f>[1]节奏总纲!AU37</f>
        <v>6.4224947253867839</v>
      </c>
      <c r="AJ37" s="2">
        <f>[1]节奏总纲!AV37</f>
        <v>4.8168710440400879</v>
      </c>
      <c r="AK37" s="2">
        <f>[1]节奏总纲!AW37</f>
        <v>3.2112473626933919</v>
      </c>
      <c r="AL37" s="2">
        <f>[1]节奏总纲!AX37</f>
        <v>1.605623681346696</v>
      </c>
      <c r="AM37" s="2"/>
      <c r="AN37" s="2">
        <v>34</v>
      </c>
      <c r="AO37" s="2">
        <f>[1]节奏总纲!BA37</f>
        <v>31.109552696486158</v>
      </c>
      <c r="AP37" s="2">
        <f>[1]节奏总纲!BB37</f>
        <v>32.477877425165822</v>
      </c>
      <c r="AQ37" s="2">
        <f>[1]节奏总纲!BC37</f>
        <v>34.272203285175834</v>
      </c>
      <c r="AR37" s="2">
        <f>[1]节奏总纲!BD37</f>
        <v>36.947184852926306</v>
      </c>
      <c r="AS37" s="2">
        <f>[1]节奏总纲!BE37</f>
        <v>41.590303905372799</v>
      </c>
    </row>
    <row r="38" spans="2:45" x14ac:dyDescent="0.15">
      <c r="B38" s="2">
        <f>[1]节奏总纲!N38</f>
        <v>45</v>
      </c>
      <c r="C38" s="2">
        <v>35</v>
      </c>
      <c r="D38" s="2">
        <f>[1]节奏总纲!P38</f>
        <v>10.313708498984759</v>
      </c>
      <c r="E38" s="2">
        <f>[1]节奏总纲!Q38</f>
        <v>9.0048988904635934</v>
      </c>
      <c r="F38" s="2">
        <f>[1]节奏总纲!R38</f>
        <v>7.4547485030661838</v>
      </c>
      <c r="G38" s="2">
        <f>[1]节奏总纲!S38</f>
        <v>5.5405242056546129</v>
      </c>
      <c r="H38" s="2">
        <f>[1]节奏总纲!T38</f>
        <v>3.1106144832938032</v>
      </c>
      <c r="J38" s="2">
        <v>35</v>
      </c>
      <c r="K38" s="2">
        <f>[1]节奏总纲!W38</f>
        <v>0.75764521280160757</v>
      </c>
      <c r="L38" s="2">
        <f>[1]节奏总纲!X38</f>
        <v>0.67392291756912215</v>
      </c>
      <c r="M38" s="2">
        <f>[1]节奏总纲!Y38</f>
        <v>0.56291566107089519</v>
      </c>
      <c r="N38" s="2">
        <f>[1]节奏总纲!Z38</f>
        <v>0.41178503996011617</v>
      </c>
      <c r="O38" s="2">
        <f>[1]节奏总纲!AA38</f>
        <v>0.22946140250958313</v>
      </c>
      <c r="Q38" s="2">
        <v>35</v>
      </c>
      <c r="R38" s="2">
        <f>[1]节奏总纲!AD38</f>
        <v>51.691928656135211</v>
      </c>
      <c r="S38" s="2">
        <f>[1]节奏总纲!AE38</f>
        <v>53.623906555539456</v>
      </c>
      <c r="T38" s="2">
        <f>[1]节奏总纲!AF38</f>
        <v>56.457855949816349</v>
      </c>
      <c r="U38" s="2">
        <f>[1]节奏总纲!AG38</f>
        <v>60.905042823044738</v>
      </c>
      <c r="V38" s="2">
        <f>[1]节奏总纲!AH38</f>
        <v>69.385288338144662</v>
      </c>
      <c r="Z38" s="2">
        <v>35</v>
      </c>
      <c r="AA38" s="2">
        <f>[1]节奏总纲!AM38</f>
        <v>63.5</v>
      </c>
      <c r="AB38" s="2">
        <f>[1]节奏总纲!AN38</f>
        <v>50.800000000000004</v>
      </c>
      <c r="AC38" s="2">
        <f>[1]节奏总纲!AO38</f>
        <v>38.1</v>
      </c>
      <c r="AD38" s="2">
        <f>[1]节奏总纲!AP38</f>
        <v>25.400000000000002</v>
      </c>
      <c r="AE38" s="2">
        <f>[1]节奏总纲!AQ38</f>
        <v>12.700000000000001</v>
      </c>
      <c r="AG38" s="2">
        <v>35</v>
      </c>
      <c r="AH38" s="2">
        <f>[1]节奏总纲!AT38</f>
        <v>9.3890686700671111</v>
      </c>
      <c r="AI38" s="2">
        <f>[1]节奏总纲!AU38</f>
        <v>7.5112549360536889</v>
      </c>
      <c r="AJ38" s="2">
        <f>[1]节奏总纲!AV38</f>
        <v>5.6334412020402667</v>
      </c>
      <c r="AK38" s="2">
        <f>[1]节奏总纲!AW38</f>
        <v>3.7556274680268444</v>
      </c>
      <c r="AL38" s="2">
        <f>[1]节奏总纲!AX38</f>
        <v>1.8778137340134222</v>
      </c>
      <c r="AM38" s="2"/>
      <c r="AN38" s="2">
        <v>35</v>
      </c>
      <c r="AO38" s="2">
        <f>[1]节奏总纲!BA38</f>
        <v>31.280110398778046</v>
      </c>
      <c r="AP38" s="2">
        <f>[1]节奏总纲!BB38</f>
        <v>32.660039662640372</v>
      </c>
      <c r="AQ38" s="2">
        <f>[1]节奏总纲!BC38</f>
        <v>34.449714679035388</v>
      </c>
      <c r="AR38" s="2">
        <f>[1]节奏总纲!BD38</f>
        <v>37.135950591746003</v>
      </c>
      <c r="AS38" s="2">
        <f>[1]节奏总纲!BE38</f>
        <v>41.791434980831518</v>
      </c>
    </row>
    <row r="39" spans="2:45" x14ac:dyDescent="0.15">
      <c r="B39" s="2">
        <f>[1]节奏总纲!N39</f>
        <v>46</v>
      </c>
      <c r="C39" s="2">
        <v>36</v>
      </c>
      <c r="D39" s="2">
        <f>[1]节奏总纲!P39</f>
        <v>11.125732532083184</v>
      </c>
      <c r="E39" s="2">
        <f>[1]节奏总纲!Q39</f>
        <v>9.7261153795471191</v>
      </c>
      <c r="F39" s="2">
        <f>[1]节奏总纲!R39</f>
        <v>8.0405669009365166</v>
      </c>
      <c r="G39" s="2">
        <f>[1]节奏总纲!S39</f>
        <v>5.9700680767158358</v>
      </c>
      <c r="H39" s="2">
        <f>[1]节奏总纲!T39</f>
        <v>3.3388323328781633</v>
      </c>
      <c r="J39" s="2">
        <v>36</v>
      </c>
      <c r="K39" s="2">
        <f>[1]节奏总纲!W39</f>
        <v>0.81202403309842452</v>
      </c>
      <c r="L39" s="2">
        <f>[1]节奏总纲!X39</f>
        <v>0.72121648908352576</v>
      </c>
      <c r="M39" s="2">
        <f>[1]节奏总纲!Y39</f>
        <v>0.58581839787033285</v>
      </c>
      <c r="N39" s="2">
        <f>[1]节奏总纲!Z39</f>
        <v>0.42954387106122294</v>
      </c>
      <c r="O39" s="2">
        <f>[1]节奏总纲!AA39</f>
        <v>0.22821784958436009</v>
      </c>
      <c r="Q39" s="2">
        <v>36</v>
      </c>
      <c r="R39" s="2">
        <f>[1]节奏总纲!AD39</f>
        <v>52.091594979242075</v>
      </c>
      <c r="S39" s="2">
        <f>[1]节奏总纲!AE39</f>
        <v>54.020289560649204</v>
      </c>
      <c r="T39" s="2">
        <f>[1]节奏总纲!AF39</f>
        <v>56.869815618584624</v>
      </c>
      <c r="U39" s="2">
        <f>[1]节奏总纲!AG39</f>
        <v>61.294362422865476</v>
      </c>
      <c r="V39" s="2">
        <f>[1]节奏总纲!AH39</f>
        <v>69.795150761037945</v>
      </c>
      <c r="Z39" s="2">
        <v>36</v>
      </c>
      <c r="AA39" s="2">
        <f>[1]节奏总纲!AM39</f>
        <v>73.746861667008318</v>
      </c>
      <c r="AB39" s="2">
        <f>[1]节奏总纲!AN39</f>
        <v>58.997489333606659</v>
      </c>
      <c r="AC39" s="2">
        <f>[1]节奏总纲!AO39</f>
        <v>44.248117000204992</v>
      </c>
      <c r="AD39" s="2">
        <f>[1]节奏总纲!AP39</f>
        <v>29.498744666803329</v>
      </c>
      <c r="AE39" s="2">
        <f>[1]节奏总纲!AQ39</f>
        <v>14.749372333401665</v>
      </c>
      <c r="AG39" s="2">
        <v>36</v>
      </c>
      <c r="AH39" s="2">
        <f>[1]节奏总纲!AT39</f>
        <v>10.246861667008318</v>
      </c>
      <c r="AI39" s="2">
        <f>[1]节奏总纲!AU39</f>
        <v>8.1974893336066543</v>
      </c>
      <c r="AJ39" s="2">
        <f>[1]节奏总纲!AV39</f>
        <v>6.1481170002049907</v>
      </c>
      <c r="AK39" s="2">
        <f>[1]节奏总纲!AW39</f>
        <v>4.0987446668033272</v>
      </c>
      <c r="AL39" s="2">
        <f>[1]节奏总纲!AX39</f>
        <v>2.0493723334016636</v>
      </c>
      <c r="AM39" s="2"/>
      <c r="AN39" s="2">
        <v>36</v>
      </c>
      <c r="AO39" s="2">
        <f>[1]节奏总纲!BA39</f>
        <v>31.450668101069933</v>
      </c>
      <c r="AP39" s="2">
        <f>[1]节奏总纲!BB39</f>
        <v>32.842201900114915</v>
      </c>
      <c r="AQ39" s="2">
        <f>[1]节奏总纲!BC39</f>
        <v>34.627226072894942</v>
      </c>
      <c r="AR39" s="2">
        <f>[1]节奏总纲!BD39</f>
        <v>37.317457773889828</v>
      </c>
      <c r="AS39" s="2">
        <f>[1]节奏总纲!BE39</f>
        <v>41.992566056290244</v>
      </c>
    </row>
    <row r="40" spans="2:45" x14ac:dyDescent="0.15">
      <c r="B40" s="2">
        <f>[1]节奏总纲!N40</f>
        <v>47</v>
      </c>
      <c r="C40" s="2">
        <v>37</v>
      </c>
      <c r="D40" s="2">
        <f>[1]节奏总纲!P40</f>
        <v>11.996038341699768</v>
      </c>
      <c r="E40" s="2">
        <f>[1]节奏总纲!Q40</f>
        <v>10.483337906811427</v>
      </c>
      <c r="F40" s="2">
        <f>[1]节奏总纲!R40</f>
        <v>8.6671377018780831</v>
      </c>
      <c r="G40" s="2">
        <f>[1]节奏总纲!S40</f>
        <v>6.4166809089752066</v>
      </c>
      <c r="H40" s="2">
        <f>[1]节奏总纲!T40</f>
        <v>3.6000111063441</v>
      </c>
      <c r="J40" s="2">
        <v>37</v>
      </c>
      <c r="K40" s="2">
        <f>[1]节奏总纲!W40</f>
        <v>0.87030580961658366</v>
      </c>
      <c r="L40" s="2">
        <f>[1]节奏总纲!X40</f>
        <v>0.75722252726430739</v>
      </c>
      <c r="M40" s="2">
        <f>[1]节奏总纲!Y40</f>
        <v>0.62657080094156647</v>
      </c>
      <c r="N40" s="2">
        <f>[1]节奏总纲!Z40</f>
        <v>0.44661283225937076</v>
      </c>
      <c r="O40" s="2">
        <f>[1]节奏总纲!AA40</f>
        <v>0.26117877346593676</v>
      </c>
      <c r="Q40" s="2">
        <v>37</v>
      </c>
      <c r="R40" s="2">
        <f>[1]节奏总纲!AD40</f>
        <v>52.470630686057078</v>
      </c>
      <c r="S40" s="2">
        <f>[1]节奏总纲!AE40</f>
        <v>54.407116521581436</v>
      </c>
      <c r="T40" s="2">
        <f>[1]节奏总纲!AF40</f>
        <v>57.263329041432932</v>
      </c>
      <c r="U40" s="2">
        <f>[1]节奏总纲!AG40</f>
        <v>61.676518787205197</v>
      </c>
      <c r="V40" s="2">
        <f>[1]节奏总纲!AH40</f>
        <v>70.190427169053478</v>
      </c>
      <c r="Z40" s="2">
        <v>37</v>
      </c>
      <c r="AA40" s="2">
        <f>[1]节奏总纲!AM40</f>
        <v>85.62747641525452</v>
      </c>
      <c r="AB40" s="2">
        <f>[1]节奏总纲!AN40</f>
        <v>68.501981132203625</v>
      </c>
      <c r="AC40" s="2">
        <f>[1]节奏总纲!AO40</f>
        <v>51.376485849152708</v>
      </c>
      <c r="AD40" s="2">
        <f>[1]节奏总纲!AP40</f>
        <v>34.250990566101812</v>
      </c>
      <c r="AE40" s="2">
        <f>[1]节奏总纲!AQ40</f>
        <v>17.125495283050906</v>
      </c>
      <c r="AG40" s="2">
        <v>37</v>
      </c>
      <c r="AH40" s="2">
        <f>[1]节奏总纲!AT40</f>
        <v>11.880614748246202</v>
      </c>
      <c r="AI40" s="2">
        <f>[1]节奏总纲!AU40</f>
        <v>9.5044917985969661</v>
      </c>
      <c r="AJ40" s="2">
        <f>[1]节奏总纲!AV40</f>
        <v>7.1283688489477157</v>
      </c>
      <c r="AK40" s="2">
        <f>[1]节奏总纲!AW40</f>
        <v>4.7522458992984831</v>
      </c>
      <c r="AL40" s="2">
        <f>[1]节奏总纲!AX40</f>
        <v>2.3761229496492415</v>
      </c>
      <c r="AM40" s="2"/>
      <c r="AN40" s="2">
        <v>37</v>
      </c>
      <c r="AO40" s="2">
        <f>[1]节奏总纲!BA40</f>
        <v>31.621225803361821</v>
      </c>
      <c r="AP40" s="2">
        <f>[1]节奏总纲!BB40</f>
        <v>33.02082518821102</v>
      </c>
      <c r="AQ40" s="2">
        <f>[1]节奏总纲!BC40</f>
        <v>34.804737466754489</v>
      </c>
      <c r="AR40" s="2">
        <f>[1]节奏总纲!BD40</f>
        <v>37.498964956033646</v>
      </c>
      <c r="AS40" s="2">
        <f>[1]节奏总纲!BE40</f>
        <v>42.167148737437564</v>
      </c>
    </row>
    <row r="41" spans="2:45" x14ac:dyDescent="0.15">
      <c r="B41" s="2">
        <f>[1]节奏总纲!N41</f>
        <v>48</v>
      </c>
      <c r="C41" s="2">
        <v>38</v>
      </c>
      <c r="D41" s="2">
        <f>[1]节奏总纲!P41</f>
        <v>12.928809012737984</v>
      </c>
      <c r="E41" s="2">
        <f>[1]节奏总纲!Q41</f>
        <v>11.292021791725356</v>
      </c>
      <c r="F41" s="2">
        <f>[1]节奏总纲!R41</f>
        <v>9.3190855363815395</v>
      </c>
      <c r="G41" s="2">
        <f>[1]节奏总纲!S41</f>
        <v>6.8962267273944402</v>
      </c>
      <c r="H41" s="2">
        <f>[1]节奏总纲!T41</f>
        <v>3.8708854184137524</v>
      </c>
      <c r="J41" s="2">
        <v>38</v>
      </c>
      <c r="K41" s="2">
        <f>[1]节奏总纲!W41</f>
        <v>0.93277067103821665</v>
      </c>
      <c r="L41" s="2">
        <f>[1]节奏总纲!X41</f>
        <v>0.80868388491392906</v>
      </c>
      <c r="M41" s="2">
        <f>[1]节奏总纲!Y41</f>
        <v>0.65194783450345639</v>
      </c>
      <c r="N41" s="2">
        <f>[1]节奏总纲!Z41</f>
        <v>0.4795458184192336</v>
      </c>
      <c r="O41" s="2">
        <f>[1]节奏总纲!AA41</f>
        <v>0.2708743120696524</v>
      </c>
      <c r="Q41" s="2">
        <v>38</v>
      </c>
      <c r="R41" s="2">
        <f>[1]节奏总纲!AD41</f>
        <v>52.849666392872081</v>
      </c>
      <c r="S41" s="2">
        <f>[1]节奏总纲!AE41</f>
        <v>54.793943482513676</v>
      </c>
      <c r="T41" s="2">
        <f>[1]节奏总纲!AF41</f>
        <v>57.64832002380362</v>
      </c>
      <c r="U41" s="2">
        <f>[1]节奏总纲!AG41</f>
        <v>62.054222259937362</v>
      </c>
      <c r="V41" s="2">
        <f>[1]节奏总纲!AH41</f>
        <v>70.571129226337533</v>
      </c>
      <c r="Z41" s="2">
        <v>38</v>
      </c>
      <c r="AA41" s="2">
        <f>[1]节奏总纲!AM41</f>
        <v>99.401036064365428</v>
      </c>
      <c r="AB41" s="2">
        <f>[1]节奏总纲!AN41</f>
        <v>79.520828851492354</v>
      </c>
      <c r="AC41" s="2">
        <f>[1]节奏总纲!AO41</f>
        <v>59.640621638619251</v>
      </c>
      <c r="AD41" s="2">
        <f>[1]节奏总纲!AP41</f>
        <v>39.760414425746177</v>
      </c>
      <c r="AE41" s="2">
        <f>[1]节奏总纲!AQ41</f>
        <v>19.880207212873088</v>
      </c>
      <c r="AG41" s="2">
        <v>38</v>
      </c>
      <c r="AH41" s="2">
        <f>[1]节奏总纲!AT41</f>
        <v>13.773559649110908</v>
      </c>
      <c r="AI41" s="2">
        <f>[1]节奏总纲!AU41</f>
        <v>11.018847719288729</v>
      </c>
      <c r="AJ41" s="2">
        <f>[1]节奏总纲!AV41</f>
        <v>8.2641357894665433</v>
      </c>
      <c r="AK41" s="2">
        <f>[1]节奏总纲!AW41</f>
        <v>5.5094238596443645</v>
      </c>
      <c r="AL41" s="2">
        <f>[1]节奏总纲!AX41</f>
        <v>2.7547119298221823</v>
      </c>
      <c r="AM41" s="2"/>
      <c r="AN41" s="2">
        <v>38</v>
      </c>
      <c r="AO41" s="2">
        <f>[1]节奏总纲!BA41</f>
        <v>31.791783505653711</v>
      </c>
      <c r="AP41" s="2">
        <f>[1]节奏总纲!BB41</f>
        <v>33.176527924103851</v>
      </c>
      <c r="AQ41" s="2">
        <f>[1]节奏总纲!BC41</f>
        <v>34.982248860614042</v>
      </c>
      <c r="AR41" s="2">
        <f>[1]节奏总纲!BD41</f>
        <v>37.680472138177471</v>
      </c>
      <c r="AS41" s="2">
        <f>[1]节奏总纲!BE41</f>
        <v>42.340712512072891</v>
      </c>
    </row>
    <row r="42" spans="2:45" x14ac:dyDescent="0.15">
      <c r="B42" s="2">
        <f>[1]节奏总纲!N42</f>
        <v>49</v>
      </c>
      <c r="C42" s="2">
        <v>39</v>
      </c>
      <c r="D42" s="2">
        <f>[1]节奏总纲!P42</f>
        <v>13.928527864588917</v>
      </c>
      <c r="E42" s="2">
        <f>[1]节奏总纲!Q42</f>
        <v>12.147069150707994</v>
      </c>
      <c r="F42" s="2">
        <f>[1]节奏总纲!R42</f>
        <v>10.016004387425889</v>
      </c>
      <c r="G42" s="2">
        <f>[1]节奏总纲!S42</f>
        <v>7.4197267934665154</v>
      </c>
      <c r="H42" s="2">
        <f>[1]节奏总纲!T42</f>
        <v>4.1702012426579218</v>
      </c>
      <c r="J42" s="2">
        <v>39</v>
      </c>
      <c r="K42" s="2">
        <f>[1]节奏总纲!W42</f>
        <v>0.99971885185093257</v>
      </c>
      <c r="L42" s="2">
        <f>[1]节奏总纲!X42</f>
        <v>0.85504735898263817</v>
      </c>
      <c r="M42" s="2">
        <f>[1]节奏总纲!Y42</f>
        <v>0.69691885104434981</v>
      </c>
      <c r="N42" s="2">
        <f>[1]节奏总纲!Z42</f>
        <v>0.52350006607207522</v>
      </c>
      <c r="O42" s="2">
        <f>[1]节奏总纲!AA42</f>
        <v>0.29931582424416936</v>
      </c>
      <c r="Q42" s="2">
        <v>39</v>
      </c>
      <c r="R42" s="2">
        <f>[1]节奏总纲!AD42</f>
        <v>53.213386604241784</v>
      </c>
      <c r="S42" s="2">
        <f>[1]节奏总纲!AE42</f>
        <v>55.170390866416149</v>
      </c>
      <c r="T42" s="2">
        <f>[1]节奏总纲!AF42</f>
        <v>58.030740707238266</v>
      </c>
      <c r="U42" s="2">
        <f>[1]节奏总纲!AG42</f>
        <v>62.407376554018477</v>
      </c>
      <c r="V42" s="2">
        <f>[1]节奏总纲!AH42</f>
        <v>70.951831283621587</v>
      </c>
      <c r="Z42" s="2">
        <v>39</v>
      </c>
      <c r="AA42" s="2">
        <f>[1]节奏总纲!AM42</f>
        <v>115.36769098598003</v>
      </c>
      <c r="AB42" s="2">
        <f>[1]节奏总纲!AN42</f>
        <v>92.294152788784032</v>
      </c>
      <c r="AC42" s="2">
        <f>[1]节奏总纲!AO42</f>
        <v>69.220614591588017</v>
      </c>
      <c r="AD42" s="2">
        <f>[1]节奏总纲!AP42</f>
        <v>46.147076394392016</v>
      </c>
      <c r="AE42" s="2">
        <f>[1]节奏总纲!AQ42</f>
        <v>23.073538197196008</v>
      </c>
      <c r="AG42" s="2">
        <v>39</v>
      </c>
      <c r="AH42" s="2">
        <f>[1]节奏总纲!AT42</f>
        <v>15.966654921614605</v>
      </c>
      <c r="AI42" s="2">
        <f>[1]节奏总纲!AU42</f>
        <v>12.773323937291678</v>
      </c>
      <c r="AJ42" s="2">
        <f>[1]节奏总纲!AV42</f>
        <v>9.579992952968766</v>
      </c>
      <c r="AK42" s="2">
        <f>[1]节奏总纲!AW42</f>
        <v>6.3866619686458392</v>
      </c>
      <c r="AL42" s="2">
        <f>[1]节奏总纲!AX42</f>
        <v>3.1933309843229196</v>
      </c>
      <c r="AM42" s="2"/>
      <c r="AN42" s="2">
        <v>39</v>
      </c>
      <c r="AO42" s="2">
        <f>[1]节奏总纲!BA42</f>
        <v>31.962341207945599</v>
      </c>
      <c r="AP42" s="2">
        <f>[1]节奏总纲!BB42</f>
        <v>33.332230659996682</v>
      </c>
      <c r="AQ42" s="2">
        <f>[1]节奏总纲!BC42</f>
        <v>35.146386283795508</v>
      </c>
      <c r="AR42" s="2">
        <f>[1]节奏总纲!BD42</f>
        <v>37.861979320321296</v>
      </c>
      <c r="AS42" s="2">
        <f>[1]节奏总纲!BE42</f>
        <v>42.51427628670821</v>
      </c>
    </row>
    <row r="43" spans="2:45" x14ac:dyDescent="0.15">
      <c r="B43" s="2">
        <f>[1]节奏总纲!N43</f>
        <v>50</v>
      </c>
      <c r="C43" s="2">
        <v>40</v>
      </c>
      <c r="D43" s="2">
        <f>[1]节奏总纲!P43</f>
        <v>15</v>
      </c>
      <c r="E43" s="2">
        <f>[1]节奏总纲!Q43</f>
        <v>13.059000000000001</v>
      </c>
      <c r="F43" s="2">
        <f>[1]节奏总纲!R43</f>
        <v>10.782</v>
      </c>
      <c r="G43" s="2">
        <f>[1]节奏总纲!S43</f>
        <v>8.0009999999999994</v>
      </c>
      <c r="H43" s="2">
        <f>[1]节奏总纲!T43</f>
        <v>4.5</v>
      </c>
      <c r="J43" s="2">
        <v>40</v>
      </c>
      <c r="K43" s="2">
        <f>[1]节奏总纲!W43</f>
        <v>1.0714721354110832</v>
      </c>
      <c r="L43" s="2">
        <f>[1]节奏总纲!X43</f>
        <v>0.9119308492920073</v>
      </c>
      <c r="M43" s="2">
        <f>[1]节奏总纲!Y43</f>
        <v>0.76599561257411075</v>
      </c>
      <c r="N43" s="2">
        <f>[1]节奏总纲!Z43</f>
        <v>0.58127320653348402</v>
      </c>
      <c r="O43" s="2">
        <f>[1]节奏总纲!AA43</f>
        <v>0.3297987573420782</v>
      </c>
      <c r="Q43" s="2">
        <v>40</v>
      </c>
      <c r="R43" s="2">
        <f>[1]节奏总纲!AD43</f>
        <v>53.567039423670657</v>
      </c>
      <c r="S43" s="2">
        <f>[1]节奏总纲!AE43</f>
        <v>55.535006783542492</v>
      </c>
      <c r="T43" s="2">
        <f>[1]节奏总纲!AF43</f>
        <v>58.38602553461638</v>
      </c>
      <c r="U43" s="2">
        <f>[1]节奏总纲!AG43</f>
        <v>62.760530848099599</v>
      </c>
      <c r="V43" s="2">
        <f>[1]节奏总纲!AH43</f>
        <v>71.315281959371688</v>
      </c>
      <c r="Z43" s="2">
        <v>40</v>
      </c>
      <c r="AA43" s="2">
        <f>[1]节奏总纲!AM43</f>
        <v>133.875</v>
      </c>
      <c r="AB43" s="2">
        <f>[1]节奏总纲!AN43</f>
        <v>107.10000000000001</v>
      </c>
      <c r="AC43" s="2">
        <f>[1]节奏总纲!AO43</f>
        <v>80.325000000000003</v>
      </c>
      <c r="AD43" s="2">
        <f>[1]节奏总纲!AP43</f>
        <v>53.550000000000004</v>
      </c>
      <c r="AE43" s="2">
        <f>[1]节奏总纲!AQ43</f>
        <v>26.775000000000002</v>
      </c>
      <c r="AG43" s="2">
        <v>40</v>
      </c>
      <c r="AH43" s="2">
        <f>[1]节奏总纲!AT43</f>
        <v>18.507309014019967</v>
      </c>
      <c r="AI43" s="2">
        <f>[1]节奏总纲!AU43</f>
        <v>14.805847211215976</v>
      </c>
      <c r="AJ43" s="2">
        <f>[1]节奏总纲!AV43</f>
        <v>11.104385408411986</v>
      </c>
      <c r="AK43" s="2">
        <f>[1]节奏总纲!AW43</f>
        <v>7.4029236056079881</v>
      </c>
      <c r="AL43" s="2">
        <f>[1]节奏总纲!AX43</f>
        <v>3.7014618028039941</v>
      </c>
      <c r="AM43" s="2"/>
      <c r="AN43" s="2">
        <v>40</v>
      </c>
      <c r="AO43" s="2">
        <f>[1]节奏总纲!BA43</f>
        <v>32.113552950216736</v>
      </c>
      <c r="AP43" s="2">
        <f>[1]节奏总纲!BB43</f>
        <v>33.487933395889513</v>
      </c>
      <c r="AQ43" s="2">
        <f>[1]节奏总纲!BC43</f>
        <v>35.309037710234961</v>
      </c>
      <c r="AR43" s="2">
        <f>[1]节奏总纲!BD43</f>
        <v>38.037513426486328</v>
      </c>
      <c r="AS43" s="2">
        <f>[1]节奏总纲!BE43</f>
        <v>42.687840061343536</v>
      </c>
    </row>
    <row r="44" spans="2:45" x14ac:dyDescent="0.15">
      <c r="B44" s="2">
        <f>[1]节奏总纲!N44</f>
        <v>51</v>
      </c>
      <c r="C44" s="2">
        <v>41</v>
      </c>
      <c r="D44" s="2">
        <f>[1]节奏总纲!P44</f>
        <v>16.148375400580683</v>
      </c>
      <c r="E44" s="2">
        <f>[1]节奏总纲!Q44</f>
        <v>14.065234973905774</v>
      </c>
      <c r="F44" s="2">
        <f>[1]节奏总纲!R44</f>
        <v>11.621985775797917</v>
      </c>
      <c r="G44" s="2">
        <f>[1]节奏总纲!S44</f>
        <v>8.6296918140703163</v>
      </c>
      <c r="H44" s="2">
        <f>[1]节奏总纲!T44</f>
        <v>4.8606609955747855</v>
      </c>
      <c r="J44" s="2">
        <v>41</v>
      </c>
      <c r="K44" s="2">
        <f>[1]节奏总纲!W44</f>
        <v>1.148375400580683</v>
      </c>
      <c r="L44" s="2">
        <f>[1]节奏总纲!X44</f>
        <v>1.006234973905773</v>
      </c>
      <c r="M44" s="2">
        <f>[1]节奏总纲!Y44</f>
        <v>0.839985775797917</v>
      </c>
      <c r="N44" s="2">
        <f>[1]节奏总纲!Z44</f>
        <v>0.62869181407031682</v>
      </c>
      <c r="O44" s="2">
        <f>[1]节奏总纲!AA44</f>
        <v>0.36066099557478548</v>
      </c>
      <c r="Q44" s="2">
        <v>41</v>
      </c>
      <c r="R44" s="2">
        <f>[1]节奏总纲!AD44</f>
        <v>53.920692243099523</v>
      </c>
      <c r="S44" s="2">
        <f>[1]节奏总纲!AE44</f>
        <v>55.899622700668843</v>
      </c>
      <c r="T44" s="2">
        <f>[1]节奏总纲!AF44</f>
        <v>58.741310361994486</v>
      </c>
      <c r="U44" s="2">
        <f>[1]节奏总纲!AG44</f>
        <v>63.10587219844583</v>
      </c>
      <c r="V44" s="2">
        <f>[1]节奏总纲!AH44</f>
        <v>71.676233707038421</v>
      </c>
      <c r="Z44" s="2">
        <v>41</v>
      </c>
      <c r="AA44" s="2">
        <f>[1]节奏总纲!AM44</f>
        <v>155.32539280599755</v>
      </c>
      <c r="AB44" s="2">
        <f>[1]节奏总纲!AN44</f>
        <v>124.26031424479805</v>
      </c>
      <c r="AC44" s="2">
        <f>[1]节奏总纲!AO44</f>
        <v>93.195235683598526</v>
      </c>
      <c r="AD44" s="2">
        <f>[1]节奏总纲!AP44</f>
        <v>62.130157122399027</v>
      </c>
      <c r="AE44" s="2">
        <f>[1]节奏总纲!AQ44</f>
        <v>31.065078561199513</v>
      </c>
      <c r="AG44" s="2">
        <v>41</v>
      </c>
      <c r="AH44" s="2">
        <f>[1]节奏总纲!AT44</f>
        <v>21.450392805997552</v>
      </c>
      <c r="AI44" s="2">
        <f>[1]节奏总纲!AU44</f>
        <v>17.160314244798045</v>
      </c>
      <c r="AJ44" s="2">
        <f>[1]节奏总纲!AV44</f>
        <v>12.870235683598523</v>
      </c>
      <c r="AK44" s="2">
        <f>[1]节奏总纲!AW44</f>
        <v>8.5801571223990223</v>
      </c>
      <c r="AL44" s="2">
        <f>[1]节奏总纲!AX44</f>
        <v>4.2900785611995111</v>
      </c>
      <c r="AM44" s="2"/>
      <c r="AN44" s="2">
        <v>41</v>
      </c>
      <c r="AO44" s="2">
        <f>[1]节奏总纲!BA44</f>
        <v>32.259282740196369</v>
      </c>
      <c r="AP44" s="2">
        <f>[1]节奏总纲!BB44</f>
        <v>33.643636131782344</v>
      </c>
      <c r="AQ44" s="2">
        <f>[1]节奏总纲!BC44</f>
        <v>35.471689136674414</v>
      </c>
      <c r="AR44" s="2">
        <f>[1]节奏总纲!BD44</f>
        <v>38.194089742081125</v>
      </c>
      <c r="AS44" s="2">
        <f>[1]节奏总纲!BE44</f>
        <v>42.861403835978855</v>
      </c>
    </row>
    <row r="45" spans="2:45" x14ac:dyDescent="0.15">
      <c r="B45" s="2">
        <f>[1]节奏总纲!N45</f>
        <v>52</v>
      </c>
      <c r="C45" s="2">
        <v>42</v>
      </c>
      <c r="D45" s="2">
        <f>[1]节奏总纲!P45</f>
        <v>17.379173679952558</v>
      </c>
      <c r="E45" s="2">
        <f>[1]节奏总纲!Q45</f>
        <v>15.182446126806555</v>
      </c>
      <c r="F45" s="2">
        <f>[1]节奏总纲!R45</f>
        <v>12.547763396925747</v>
      </c>
      <c r="G45" s="2">
        <f>[1]节奏总纲!S45</f>
        <v>9.3221887619265527</v>
      </c>
      <c r="H45" s="2">
        <f>[1]节奏总纲!T45</f>
        <v>5.2485104513456724</v>
      </c>
      <c r="J45" s="2">
        <v>42</v>
      </c>
      <c r="K45" s="2">
        <f>[1]节奏总纲!W45</f>
        <v>1.230798279371875</v>
      </c>
      <c r="L45" s="2">
        <f>[1]节奏总纲!X45</f>
        <v>1.1172111529007811</v>
      </c>
      <c r="M45" s="2">
        <f>[1]节奏总纲!Y45</f>
        <v>0.92577762112783013</v>
      </c>
      <c r="N45" s="2">
        <f>[1]节奏总纲!Z45</f>
        <v>0.69249694785623639</v>
      </c>
      <c r="O45" s="2">
        <f>[1]节奏总纲!AA45</f>
        <v>0.38784945577088692</v>
      </c>
      <c r="Q45" s="2">
        <v>42</v>
      </c>
      <c r="R45" s="2">
        <f>[1]节奏总纲!AD45</f>
        <v>54.255972994404218</v>
      </c>
      <c r="S45" s="2">
        <f>[1]节奏总纲!AE45</f>
        <v>56.238779717153008</v>
      </c>
      <c r="T45" s="2">
        <f>[1]节奏总纲!AF45</f>
        <v>59.09095196730258</v>
      </c>
      <c r="U45" s="2">
        <f>[1]节奏总纲!AG45</f>
        <v>63.434756173851497</v>
      </c>
      <c r="V45" s="2">
        <f>[1]节奏总纲!AH45</f>
        <v>72.034562459436771</v>
      </c>
      <c r="Z45" s="2">
        <v>42</v>
      </c>
      <c r="AA45" s="2">
        <f>[1]节奏总纲!AM45</f>
        <v>180.18480345945557</v>
      </c>
      <c r="AB45" s="2">
        <f>[1]节奏总纲!AN45</f>
        <v>144.14784276756447</v>
      </c>
      <c r="AC45" s="2">
        <f>[1]节奏总纲!AO45</f>
        <v>108.11088207567333</v>
      </c>
      <c r="AD45" s="2">
        <f>[1]节奏总纲!AP45</f>
        <v>72.073921383782235</v>
      </c>
      <c r="AE45" s="2">
        <f>[1]节奏总纲!AQ45</f>
        <v>36.036960691891117</v>
      </c>
      <c r="AG45" s="2">
        <v>42</v>
      </c>
      <c r="AH45" s="2">
        <f>[1]节奏总纲!AT45</f>
        <v>24.859410653458013</v>
      </c>
      <c r="AI45" s="2">
        <f>[1]节奏总纲!AU45</f>
        <v>19.887528522766416</v>
      </c>
      <c r="AJ45" s="2">
        <f>[1]节奏总纲!AV45</f>
        <v>14.915646392074805</v>
      </c>
      <c r="AK45" s="2">
        <f>[1]节奏总纲!AW45</f>
        <v>9.9437642613832082</v>
      </c>
      <c r="AL45" s="2">
        <f>[1]节奏总纲!AX45</f>
        <v>4.9718821306916041</v>
      </c>
      <c r="AM45" s="2"/>
      <c r="AN45" s="2">
        <v>42</v>
      </c>
      <c r="AO45" s="2">
        <f>[1]节奏总纲!BA45</f>
        <v>32.405012530176009</v>
      </c>
      <c r="AP45" s="2">
        <f>[1]节奏总纲!BB45</f>
        <v>33.799338867675175</v>
      </c>
      <c r="AQ45" s="2">
        <f>[1]节奏总纲!BC45</f>
        <v>35.634340563113874</v>
      </c>
      <c r="AR45" s="2">
        <f>[1]节奏总纲!BD45</f>
        <v>38.35066605767593</v>
      </c>
      <c r="AS45" s="2">
        <f>[1]节奏总纲!BE45</f>
        <v>43.030177309109042</v>
      </c>
    </row>
    <row r="46" spans="2:45" x14ac:dyDescent="0.15">
      <c r="B46" s="2">
        <f>[1]节奏总纲!N46</f>
        <v>53</v>
      </c>
      <c r="C46" s="2">
        <v>43</v>
      </c>
      <c r="D46" s="2">
        <f>[1]节奏总纲!P46</f>
        <v>18.698310613518661</v>
      </c>
      <c r="E46" s="2">
        <f>[1]节奏总纲!Q46</f>
        <v>16.338583814092605</v>
      </c>
      <c r="F46" s="2">
        <f>[1]节奏总纲!R46</f>
        <v>13.509529418267233</v>
      </c>
      <c r="G46" s="2">
        <f>[1]节奏总纲!S46</f>
        <v>10.020424657784652</v>
      </c>
      <c r="H46" s="2">
        <f>[1]节奏总纲!T46</f>
        <v>5.6394104810372276</v>
      </c>
      <c r="J46" s="2">
        <v>43</v>
      </c>
      <c r="K46" s="2">
        <f>[1]节奏总纲!W46</f>
        <v>1.319136933566103</v>
      </c>
      <c r="L46" s="2">
        <f>[1]节奏总纲!X46</f>
        <v>1.1561376872860496</v>
      </c>
      <c r="M46" s="2">
        <f>[1]节奏总纲!Y46</f>
        <v>0.96176602134148581</v>
      </c>
      <c r="N46" s="2">
        <f>[1]节奏总纲!Z46</f>
        <v>0.6982358958580992</v>
      </c>
      <c r="O46" s="2">
        <f>[1]节奏总纲!AA46</f>
        <v>0.39090002969155524</v>
      </c>
      <c r="Q46" s="2">
        <v>43</v>
      </c>
      <c r="R46" s="2">
        <f>[1]节奏总纲!AD46</f>
        <v>54.585942742481357</v>
      </c>
      <c r="S46" s="2">
        <f>[1]节奏总纲!AE46</f>
        <v>56.568265567054013</v>
      </c>
      <c r="T46" s="2">
        <f>[1]节奏总纲!AF46</f>
        <v>59.425480572843689</v>
      </c>
      <c r="U46" s="2">
        <f>[1]节奏总纲!AG46</f>
        <v>63.763640149257171</v>
      </c>
      <c r="V46" s="2">
        <f>[1]节奏总纲!AH46</f>
        <v>72.370053318329937</v>
      </c>
      <c r="Z46" s="2">
        <v>43</v>
      </c>
      <c r="AA46" s="2">
        <f>[1]节奏总纲!AM46</f>
        <v>208.99265815439742</v>
      </c>
      <c r="AB46" s="2">
        <f>[1]节奏总纲!AN46</f>
        <v>167.19412652351795</v>
      </c>
      <c r="AC46" s="2">
        <f>[1]节奏总纲!AO46</f>
        <v>125.39559489263844</v>
      </c>
      <c r="AD46" s="2">
        <f>[1]节奏总纲!AP46</f>
        <v>83.597063261758976</v>
      </c>
      <c r="AE46" s="2">
        <f>[1]节奏总纲!AQ46</f>
        <v>41.798531630879488</v>
      </c>
      <c r="AG46" s="2">
        <v>43</v>
      </c>
      <c r="AH46" s="2">
        <f>[1]节奏总纲!AT46</f>
        <v>28.807854694941852</v>
      </c>
      <c r="AI46" s="2">
        <f>[1]节奏总纲!AU46</f>
        <v>23.046283755953482</v>
      </c>
      <c r="AJ46" s="2">
        <f>[1]节奏总纲!AV46</f>
        <v>17.284712816965111</v>
      </c>
      <c r="AK46" s="2">
        <f>[1]节奏总纲!AW46</f>
        <v>11.523141877976741</v>
      </c>
      <c r="AL46" s="2">
        <f>[1]节奏总纲!AX46</f>
        <v>5.7615709389883705</v>
      </c>
      <c r="AM46" s="2"/>
      <c r="AN46" s="2">
        <v>43</v>
      </c>
      <c r="AO46" s="2">
        <f>[1]节奏总纲!BA46</f>
        <v>32.550742320155642</v>
      </c>
      <c r="AP46" s="2">
        <f>[1]节奏总纲!BB46</f>
        <v>33.955041603568006</v>
      </c>
      <c r="AQ46" s="2">
        <f>[1]节奏总纲!BC46</f>
        <v>35.796991989553327</v>
      </c>
      <c r="AR46" s="2">
        <f>[1]节奏总纲!BD46</f>
        <v>38.507242373270728</v>
      </c>
      <c r="AS46" s="2">
        <f>[1]节奏总纲!BE46</f>
        <v>43.179964142847631</v>
      </c>
    </row>
    <row r="47" spans="2:45" x14ac:dyDescent="0.15">
      <c r="B47" s="2">
        <f>[1]节奏总纲!N47</f>
        <v>54</v>
      </c>
      <c r="C47" s="2">
        <v>44</v>
      </c>
      <c r="D47" s="2">
        <f>[1]节奏总纲!P47</f>
        <v>20.112126572366307</v>
      </c>
      <c r="E47" s="2">
        <f>[1]节奏总纲!Q47</f>
        <v>17.573976198933678</v>
      </c>
      <c r="F47" s="2">
        <f>[1]节奏总纲!R47</f>
        <v>14.520955385248474</v>
      </c>
      <c r="G47" s="2">
        <f>[1]节奏总纲!S47</f>
        <v>10.768032566844921</v>
      </c>
      <c r="H47" s="2">
        <f>[1]节奏总纲!T47</f>
        <v>6.0537500982822579</v>
      </c>
      <c r="J47" s="2">
        <v>44</v>
      </c>
      <c r="K47" s="2">
        <f>[1]节奏总纲!W47</f>
        <v>1.4138159588476462</v>
      </c>
      <c r="L47" s="2">
        <f>[1]节奏总纲!X47</f>
        <v>1.2353923848410737</v>
      </c>
      <c r="M47" s="2">
        <f>[1]节奏总纲!Y47</f>
        <v>1.0114259669812409</v>
      </c>
      <c r="N47" s="2">
        <f>[1]节奏总纲!Z47</f>
        <v>0.74760790906026919</v>
      </c>
      <c r="O47" s="2">
        <f>[1]节奏总纲!AA47</f>
        <v>0.41433961724503021</v>
      </c>
      <c r="Q47" s="2">
        <v>44</v>
      </c>
      <c r="R47" s="2">
        <f>[1]节奏总纲!AD47</f>
        <v>54.915912490558505</v>
      </c>
      <c r="S47" s="2">
        <f>[1]节奏总纲!AE47</f>
        <v>56.897751416955018</v>
      </c>
      <c r="T47" s="2">
        <f>[1]节奏总纲!AF47</f>
        <v>59.760009178384806</v>
      </c>
      <c r="U47" s="2">
        <f>[1]节奏总纲!AG47</f>
        <v>64.08760696397195</v>
      </c>
      <c r="V47" s="2">
        <f>[1]节奏总纲!AH47</f>
        <v>72.705544177223089</v>
      </c>
      <c r="Z47" s="2">
        <v>44</v>
      </c>
      <c r="AA47" s="2">
        <f>[1]节奏总纲!AM47</f>
        <v>242.37342918215046</v>
      </c>
      <c r="AB47" s="2">
        <f>[1]节奏总纲!AN47</f>
        <v>193.89874334572039</v>
      </c>
      <c r="AC47" s="2">
        <f>[1]节奏总纲!AO47</f>
        <v>145.42405750929026</v>
      </c>
      <c r="AD47" s="2">
        <f>[1]节奏总纲!AP47</f>
        <v>96.949371672860195</v>
      </c>
      <c r="AE47" s="2">
        <f>[1]节奏总纲!AQ47</f>
        <v>48.474685836430098</v>
      </c>
      <c r="AG47" s="2">
        <v>44</v>
      </c>
      <c r="AH47" s="2">
        <f>[1]节奏总纲!AT47</f>
        <v>33.380771027753042</v>
      </c>
      <c r="AI47" s="2">
        <f>[1]节奏总纲!AU47</f>
        <v>26.704616822202439</v>
      </c>
      <c r="AJ47" s="2">
        <f>[1]节奏总纲!AV47</f>
        <v>20.028462616651822</v>
      </c>
      <c r="AK47" s="2">
        <f>[1]节奏总纲!AW47</f>
        <v>13.35230841110122</v>
      </c>
      <c r="AL47" s="2">
        <f>[1]节奏总纲!AX47</f>
        <v>6.6761542055506098</v>
      </c>
      <c r="AM47" s="2"/>
      <c r="AN47" s="2">
        <v>44</v>
      </c>
      <c r="AO47" s="2">
        <f>[1]节奏总纲!BA47</f>
        <v>32.696472110135275</v>
      </c>
      <c r="AP47" s="2">
        <f>[1]节奏总纲!BB47</f>
        <v>34.09469189131628</v>
      </c>
      <c r="AQ47" s="2">
        <f>[1]节奏总纲!BC47</f>
        <v>35.95964341599278</v>
      </c>
      <c r="AR47" s="2">
        <f>[1]节奏总纲!BD47</f>
        <v>38.663818688865533</v>
      </c>
      <c r="AS47" s="2">
        <f>[1]节奏总纲!BE47</f>
        <v>43.329750976586219</v>
      </c>
    </row>
    <row r="48" spans="2:45" x14ac:dyDescent="0.15">
      <c r="B48" s="2">
        <f>[1]节奏总纲!N48</f>
        <v>55</v>
      </c>
      <c r="C48" s="2">
        <v>45</v>
      </c>
      <c r="D48" s="2">
        <f>[1]节奏总纲!P48</f>
        <v>21.627416997969519</v>
      </c>
      <c r="E48" s="2">
        <f>[1]节奏总纲!Q48</f>
        <v>18.900199714525563</v>
      </c>
      <c r="F48" s="2">
        <f>[1]节奏总纲!R48</f>
        <v>15.604181364035009</v>
      </c>
      <c r="G48" s="2">
        <f>[1]节奏总纲!S48</f>
        <v>11.572830835613489</v>
      </c>
      <c r="H48" s="2">
        <f>[1]节奏总纲!T48</f>
        <v>6.49903880788984</v>
      </c>
      <c r="J48" s="2">
        <v>45</v>
      </c>
      <c r="K48" s="2">
        <f>[1]节奏总纲!W48</f>
        <v>1.5152904256032116</v>
      </c>
      <c r="L48" s="2">
        <f>[1]节奏总纲!X48</f>
        <v>1.3262235155918844</v>
      </c>
      <c r="M48" s="2">
        <f>[1]节奏总纲!Y48</f>
        <v>1.083225978786535</v>
      </c>
      <c r="N48" s="2">
        <f>[1]节奏总纲!Z48</f>
        <v>0.80479826876856819</v>
      </c>
      <c r="O48" s="2">
        <f>[1]节奏总纲!AA48</f>
        <v>0.44528870960758216</v>
      </c>
      <c r="Q48" s="2">
        <v>45</v>
      </c>
      <c r="R48" s="2">
        <f>[1]节奏总纲!AD48</f>
        <v>55.229416240679981</v>
      </c>
      <c r="S48" s="2">
        <f>[1]节奏总纲!AE48</f>
        <v>57.218966664386244</v>
      </c>
      <c r="T48" s="2">
        <f>[1]节奏总纲!AF48</f>
        <v>60.086674688654931</v>
      </c>
      <c r="U48" s="2">
        <f>[1]节奏总纲!AG48</f>
        <v>64.399012521055653</v>
      </c>
      <c r="V48" s="2">
        <f>[1]节奏总纲!AH48</f>
        <v>73.037155126421851</v>
      </c>
      <c r="Z48" s="2">
        <v>45</v>
      </c>
      <c r="AA48" s="2">
        <f>[1]节奏总纲!AM48</f>
        <v>281.05</v>
      </c>
      <c r="AB48" s="2">
        <f>[1]节奏总纲!AN48</f>
        <v>224.84000000000003</v>
      </c>
      <c r="AC48" s="2">
        <f>[1]节奏总纲!AO48</f>
        <v>168.63</v>
      </c>
      <c r="AD48" s="2">
        <f>[1]节奏总纲!AP48</f>
        <v>112.42000000000002</v>
      </c>
      <c r="AE48" s="2">
        <f>[1]节奏总纲!AQ48</f>
        <v>56.210000000000008</v>
      </c>
      <c r="AG48" s="2">
        <v>45</v>
      </c>
      <c r="AH48" s="2">
        <f>[1]节奏总纲!AT48</f>
        <v>38.676570817849552</v>
      </c>
      <c r="AI48" s="2">
        <f>[1]节奏总纲!AU48</f>
        <v>30.941256654279641</v>
      </c>
      <c r="AJ48" s="2">
        <f>[1]节奏总纲!AV48</f>
        <v>23.205942490709731</v>
      </c>
      <c r="AK48" s="2">
        <f>[1]节奏总纲!AW48</f>
        <v>15.470628327139821</v>
      </c>
      <c r="AL48" s="2">
        <f>[1]节奏总纲!AX48</f>
        <v>7.7353141635699103</v>
      </c>
      <c r="AM48" s="2"/>
      <c r="AN48" s="2">
        <v>45</v>
      </c>
      <c r="AO48" s="2">
        <f>[1]节奏总纲!BA48</f>
        <v>32.842201900114915</v>
      </c>
      <c r="AP48" s="2">
        <f>[1]节奏总纲!BB48</f>
        <v>34.227825436710944</v>
      </c>
      <c r="AQ48" s="2">
        <f>[1]节奏总纲!BC48</f>
        <v>36.105477566569242</v>
      </c>
      <c r="AR48" s="2">
        <f>[1]节奏总纲!BD48</f>
        <v>38.82039500446033</v>
      </c>
      <c r="AS48" s="2">
        <f>[1]节奏总纲!BE48</f>
        <v>43.479537810324807</v>
      </c>
    </row>
    <row r="49" spans="2:45" x14ac:dyDescent="0.15">
      <c r="B49" s="2">
        <f>[1]节奏总纲!N49</f>
        <v>56</v>
      </c>
      <c r="C49" s="2">
        <v>46</v>
      </c>
      <c r="D49" s="2">
        <f>[1]节奏总纲!P49</f>
        <v>23.251465064166357</v>
      </c>
      <c r="E49" s="2">
        <f>[1]节奏总纲!Q49</f>
        <v>20.310154733549314</v>
      </c>
      <c r="F49" s="2">
        <f>[1]节奏总纲!R49</f>
        <v>16.757330871744692</v>
      </c>
      <c r="G49" s="2">
        <f>[1]节奏总纲!S49</f>
        <v>12.425582930290501</v>
      </c>
      <c r="H49" s="2">
        <f>[1]节奏总纲!T49</f>
        <v>6.9545132006921566</v>
      </c>
      <c r="J49" s="2">
        <v>46</v>
      </c>
      <c r="K49" s="2">
        <f>[1]节奏总纲!W49</f>
        <v>1.6240480661968384</v>
      </c>
      <c r="L49" s="2">
        <f>[1]节奏总纲!X49</f>
        <v>1.4099550190237515</v>
      </c>
      <c r="M49" s="2">
        <f>[1]节奏总纲!Y49</f>
        <v>1.1531495077096832</v>
      </c>
      <c r="N49" s="2">
        <f>[1]节奏总纲!Z49</f>
        <v>0.85275209467701174</v>
      </c>
      <c r="O49" s="2">
        <f>[1]节奏总纲!AA49</f>
        <v>0.45547439280231661</v>
      </c>
      <c r="Q49" s="2">
        <v>46</v>
      </c>
      <c r="R49" s="2">
        <f>[1]节奏总纲!AD49</f>
        <v>55.537288901845052</v>
      </c>
      <c r="S49" s="2">
        <f>[1]节奏总纲!AE49</f>
        <v>57.53646043868428</v>
      </c>
      <c r="T49" s="2">
        <f>[1]节奏总纲!AF49</f>
        <v>60.393379177879737</v>
      </c>
      <c r="U49" s="2">
        <f>[1]节奏总纲!AG49</f>
        <v>64.710418078139355</v>
      </c>
      <c r="V49" s="2">
        <f>[1]节奏总纲!AH49</f>
        <v>73.340924940105893</v>
      </c>
      <c r="Z49" s="2">
        <v>46</v>
      </c>
      <c r="AA49" s="2">
        <f>[1]节奏总纲!AM49</f>
        <v>325.85912455595718</v>
      </c>
      <c r="AB49" s="2">
        <f>[1]节奏总纲!AN49</f>
        <v>260.68729964476574</v>
      </c>
      <c r="AC49" s="2">
        <f>[1]节奏总纲!AO49</f>
        <v>195.51547473357431</v>
      </c>
      <c r="AD49" s="2">
        <f>[1]节奏总纲!AP49</f>
        <v>130.34364982238287</v>
      </c>
      <c r="AE49" s="2">
        <f>[1]节奏总纲!AQ49</f>
        <v>65.171824911191436</v>
      </c>
      <c r="AG49" s="2">
        <v>46</v>
      </c>
      <c r="AH49" s="2">
        <f>[1]节奏总纲!AT49</f>
        <v>44.809124555957169</v>
      </c>
      <c r="AI49" s="2">
        <f>[1]节奏总纲!AU49</f>
        <v>35.847299644765712</v>
      </c>
      <c r="AJ49" s="2">
        <f>[1]节奏总纲!AV49</f>
        <v>26.885474733574313</v>
      </c>
      <c r="AK49" s="2">
        <f>[1]节奏总纲!AW49</f>
        <v>17.923649822382856</v>
      </c>
      <c r="AL49" s="2">
        <f>[1]节奏总纲!AX49</f>
        <v>8.9618249111914281</v>
      </c>
      <c r="AM49" s="2"/>
      <c r="AN49" s="2">
        <v>46</v>
      </c>
      <c r="AO49" s="2">
        <f>[1]节奏总纲!BA49</f>
        <v>32.987931690094548</v>
      </c>
      <c r="AP49" s="2">
        <f>[1]节奏总纲!BB49</f>
        <v>34.360958982105608</v>
      </c>
      <c r="AQ49" s="2">
        <f>[1]节奏总纲!BC49</f>
        <v>36.245762114295424</v>
      </c>
      <c r="AR49" s="2">
        <f>[1]节奏总纲!BD49</f>
        <v>38.976971320055128</v>
      </c>
      <c r="AS49" s="2">
        <f>[1]节奏总纲!BE49</f>
        <v>43.629324644063402</v>
      </c>
    </row>
    <row r="50" spans="2:45" x14ac:dyDescent="0.15">
      <c r="B50" s="2">
        <f>[1]节奏总纲!N50</f>
        <v>57</v>
      </c>
      <c r="C50" s="2">
        <v>47</v>
      </c>
      <c r="D50" s="2">
        <f>[1]节奏总纲!P50</f>
        <v>24.992076683399535</v>
      </c>
      <c r="E50" s="2">
        <f>[1]节奏总纲!Q50</f>
        <v>21.823081359944474</v>
      </c>
      <c r="F50" s="2">
        <f>[1]节奏总纲!R50</f>
        <v>17.996794419716004</v>
      </c>
      <c r="G50" s="2">
        <f>[1]节奏总纲!S50</f>
        <v>13.335772118261991</v>
      </c>
      <c r="H50" s="2">
        <f>[1]节奏总纲!T50</f>
        <v>7.4426404363163821</v>
      </c>
      <c r="J50" s="2">
        <v>47</v>
      </c>
      <c r="K50" s="2">
        <f>[1]节奏总纲!W50</f>
        <v>1.740611619233178</v>
      </c>
      <c r="L50" s="2">
        <f>[1]节奏总纲!X50</f>
        <v>1.51292662639516</v>
      </c>
      <c r="M50" s="2">
        <f>[1]节奏总纲!Y50</f>
        <v>1.2394635479713116</v>
      </c>
      <c r="N50" s="2">
        <f>[1]节奏总纲!Z50</f>
        <v>0.91018918797148984</v>
      </c>
      <c r="O50" s="2">
        <f>[1]节奏总纲!AA50</f>
        <v>0.48812723562422544</v>
      </c>
      <c r="Q50" s="2">
        <v>47</v>
      </c>
      <c r="R50" s="2">
        <f>[1]节奏总纲!AD50</f>
        <v>55.845161563010116</v>
      </c>
      <c r="S50" s="2">
        <f>[1]节奏总纲!AE50</f>
        <v>57.853954212982316</v>
      </c>
      <c r="T50" s="2">
        <f>[1]节奏总纲!AF50</f>
        <v>60.700083667104536</v>
      </c>
      <c r="U50" s="2">
        <f>[1]节奏总纲!AG50</f>
        <v>65.021675833900701</v>
      </c>
      <c r="V50" s="2">
        <f>[1]节奏总纲!AH50</f>
        <v>73.644694753789935</v>
      </c>
      <c r="Z50" s="2">
        <v>47</v>
      </c>
      <c r="AA50" s="2">
        <f>[1]节奏总纲!AM50</f>
        <v>377.76930817680426</v>
      </c>
      <c r="AB50" s="2">
        <f>[1]节奏总纲!AN50</f>
        <v>302.21544654144344</v>
      </c>
      <c r="AC50" s="2">
        <f>[1]节奏总纲!AO50</f>
        <v>226.66158490608254</v>
      </c>
      <c r="AD50" s="2">
        <f>[1]节奏总纲!AP50</f>
        <v>151.10772327072172</v>
      </c>
      <c r="AE50" s="2">
        <f>[1]节奏总纲!AQ50</f>
        <v>75.55386163536086</v>
      </c>
      <c r="AG50" s="2">
        <v>47</v>
      </c>
      <c r="AH50" s="2">
        <f>[1]节奏总纲!AT50</f>
        <v>51.910183620847079</v>
      </c>
      <c r="AI50" s="2">
        <f>[1]节奏总纲!AU50</f>
        <v>41.528146896677697</v>
      </c>
      <c r="AJ50" s="2">
        <f>[1]节奏总纲!AV50</f>
        <v>31.14611017250823</v>
      </c>
      <c r="AK50" s="2">
        <f>[1]节奏总纲!AW50</f>
        <v>20.764073448338848</v>
      </c>
      <c r="AL50" s="2">
        <f>[1]节奏总纲!AX50</f>
        <v>10.382036724169424</v>
      </c>
      <c r="AM50" s="2"/>
      <c r="AN50" s="2">
        <v>47</v>
      </c>
      <c r="AO50" s="2">
        <f>[1]节奏总纲!BA50</f>
        <v>33.114246829746719</v>
      </c>
      <c r="AP50" s="2">
        <f>[1]节奏总纲!BB50</f>
        <v>34.494092527500278</v>
      </c>
      <c r="AQ50" s="2">
        <f>[1]节奏总纲!BC50</f>
        <v>36.386046662021599</v>
      </c>
      <c r="AR50" s="2">
        <f>[1]节奏总纲!BD50</f>
        <v>39.115214427575864</v>
      </c>
      <c r="AS50" s="2">
        <f>[1]节奏总纲!BE50</f>
        <v>43.77911147780199</v>
      </c>
    </row>
    <row r="51" spans="2:45" x14ac:dyDescent="0.15">
      <c r="B51" s="2">
        <f>[1]节奏总纲!N51</f>
        <v>58</v>
      </c>
      <c r="C51" s="2">
        <v>48</v>
      </c>
      <c r="D51" s="2">
        <f>[1]节奏总纲!P51</f>
        <v>26.857618025475972</v>
      </c>
      <c r="E51" s="2">
        <f>[1]节奏总纲!Q51</f>
        <v>23.425214441820142</v>
      </c>
      <c r="F51" s="2">
        <f>[1]节奏总纲!R51</f>
        <v>19.329427692935056</v>
      </c>
      <c r="G51" s="2">
        <f>[1]节奏总纲!S51</f>
        <v>14.269452456935383</v>
      </c>
      <c r="H51" s="2">
        <f>[1]节奏总纲!T51</f>
        <v>7.9605979827510778</v>
      </c>
      <c r="J51" s="2">
        <v>48</v>
      </c>
      <c r="K51" s="2">
        <f>[1]节奏总纲!W51</f>
        <v>1.8655413420764368</v>
      </c>
      <c r="L51" s="2">
        <f>[1]节奏总纲!X51</f>
        <v>1.6021330818756674</v>
      </c>
      <c r="M51" s="2">
        <f>[1]节奏总纲!Y51</f>
        <v>1.3326332732190522</v>
      </c>
      <c r="N51" s="2">
        <f>[1]节奏总纲!Z51</f>
        <v>0.93368033867339228</v>
      </c>
      <c r="O51" s="2">
        <f>[1]节奏总纲!AA51</f>
        <v>0.51795754643469571</v>
      </c>
      <c r="Q51" s="2">
        <v>48</v>
      </c>
      <c r="R51" s="2">
        <f>[1]节奏总纲!AD51</f>
        <v>56.142785979989682</v>
      </c>
      <c r="S51" s="2">
        <f>[1]节奏总纲!AE51</f>
        <v>58.155157256402767</v>
      </c>
      <c r="T51" s="2">
        <f>[1]节奏总纲!AF51</f>
        <v>61.006268532239034</v>
      </c>
      <c r="U51" s="2">
        <f>[1]节奏总纲!AG51</f>
        <v>65.330972386106993</v>
      </c>
      <c r="V51" s="2">
        <f>[1]节奏总纲!AH51</f>
        <v>73.948464567473962</v>
      </c>
      <c r="Z51" s="2">
        <v>48</v>
      </c>
      <c r="AA51" s="2">
        <f>[1]节奏总纲!AM51</f>
        <v>437.90148836012787</v>
      </c>
      <c r="AB51" s="2">
        <f>[1]节奏总纲!AN51</f>
        <v>350.32119068810232</v>
      </c>
      <c r="AC51" s="2">
        <f>[1]节奏总纲!AO51</f>
        <v>262.74089301607671</v>
      </c>
      <c r="AD51" s="2">
        <f>[1]节奏总纲!AP51</f>
        <v>175.16059534405116</v>
      </c>
      <c r="AE51" s="2">
        <f>[1]节奏总纲!AQ51</f>
        <v>87.58029767202558</v>
      </c>
      <c r="AG51" s="2">
        <v>48</v>
      </c>
      <c r="AH51" s="2">
        <f>[1]节奏总纲!AT51</f>
        <v>60.132180183323612</v>
      </c>
      <c r="AI51" s="2">
        <f>[1]节奏总纲!AU51</f>
        <v>48.105744146658878</v>
      </c>
      <c r="AJ51" s="2">
        <f>[1]节奏总纲!AV51</f>
        <v>36.079308109994173</v>
      </c>
      <c r="AK51" s="2">
        <f>[1]节奏总纲!AW51</f>
        <v>24.052872073329439</v>
      </c>
      <c r="AL51" s="2">
        <f>[1]节奏总纲!AX51</f>
        <v>12.02643603666472</v>
      </c>
      <c r="AM51" s="2"/>
      <c r="AN51" s="2">
        <v>48</v>
      </c>
      <c r="AO51" s="2">
        <f>[1]节奏总纲!BA51</f>
        <v>33.238809018460984</v>
      </c>
      <c r="AP51" s="2">
        <f>[1]节奏总纲!BB51</f>
        <v>34.627226072894942</v>
      </c>
      <c r="AQ51" s="2">
        <f>[1]节奏总纲!BC51</f>
        <v>36.526331209747774</v>
      </c>
      <c r="AR51" s="2">
        <f>[1]节奏总纲!BD51</f>
        <v>39.250296194358178</v>
      </c>
      <c r="AS51" s="2">
        <f>[1]节奏总纲!BE51</f>
        <v>43.928898311540578</v>
      </c>
    </row>
    <row r="52" spans="2:45" x14ac:dyDescent="0.15">
      <c r="B52" s="2">
        <f>[1]节奏总纲!N52</f>
        <v>59</v>
      </c>
      <c r="C52" s="2">
        <v>49</v>
      </c>
      <c r="D52" s="2">
        <f>[1]节奏总纲!P52</f>
        <v>28.857055729177837</v>
      </c>
      <c r="E52" s="2">
        <f>[1]节奏总纲!Q52</f>
        <v>25.166238301415991</v>
      </c>
      <c r="F52" s="2">
        <f>[1]节奏总纲!R52</f>
        <v>20.719366013549685</v>
      </c>
      <c r="G52" s="2">
        <f>[1]节奏总纲!S52</f>
        <v>15.268268186307994</v>
      </c>
      <c r="H52" s="2">
        <f>[1]节奏总纲!T52</f>
        <v>8.5474599069824766</v>
      </c>
      <c r="J52" s="2">
        <v>49</v>
      </c>
      <c r="K52" s="2">
        <f>[1]节奏总纲!W52</f>
        <v>1.9994377037018651</v>
      </c>
      <c r="L52" s="2">
        <f>[1]节奏总纲!X52</f>
        <v>1.7410238595958489</v>
      </c>
      <c r="M52" s="2">
        <f>[1]节奏总纲!Y52</f>
        <v>1.389938320614629</v>
      </c>
      <c r="N52" s="2">
        <f>[1]节奏总纲!Z52</f>
        <v>0.99881572937261076</v>
      </c>
      <c r="O52" s="2">
        <f>[1]节奏总纲!AA52</f>
        <v>0.58686192423139882</v>
      </c>
      <c r="Q52" s="2">
        <v>49</v>
      </c>
      <c r="R52" s="2">
        <f>[1]节奏总纲!AD52</f>
        <v>56.430041330048923</v>
      </c>
      <c r="S52" s="2">
        <f>[1]节奏总纲!AE52</f>
        <v>58.442483247955479</v>
      </c>
      <c r="T52" s="2">
        <f>[1]节奏总纲!AF52</f>
        <v>61.289495211956165</v>
      </c>
      <c r="U52" s="2">
        <f>[1]节奏总纲!AG52</f>
        <v>65.640268938313284</v>
      </c>
      <c r="V52" s="2">
        <f>[1]节奏总纲!AH52</f>
        <v>74.231558509323534</v>
      </c>
      <c r="Z52" s="2">
        <v>49</v>
      </c>
      <c r="AA52" s="2">
        <f>[1]节奏总纲!AM52</f>
        <v>507.55295278468168</v>
      </c>
      <c r="AB52" s="2">
        <f>[1]节奏总纲!AN52</f>
        <v>406.04236222774534</v>
      </c>
      <c r="AC52" s="2">
        <f>[1]节奏总纲!AO52</f>
        <v>304.53177167080901</v>
      </c>
      <c r="AD52" s="2">
        <f>[1]节奏总纲!AP52</f>
        <v>203.02118111387267</v>
      </c>
      <c r="AE52" s="2">
        <f>[1]节奏总纲!AQ52</f>
        <v>101.51059055693634</v>
      </c>
      <c r="AG52" s="2">
        <v>49</v>
      </c>
      <c r="AH52" s="2">
        <f>[1]节奏总纲!AT52</f>
        <v>69.651464424553808</v>
      </c>
      <c r="AI52" s="2">
        <f>[1]节奏总纲!AU52</f>
        <v>55.721171539643024</v>
      </c>
      <c r="AJ52" s="2">
        <f>[1]节奏总纲!AV52</f>
        <v>41.790878654732296</v>
      </c>
      <c r="AK52" s="2">
        <f>[1]节奏总纲!AW52</f>
        <v>27.860585769821512</v>
      </c>
      <c r="AL52" s="2">
        <f>[1]节奏总纲!AX52</f>
        <v>13.930292884910756</v>
      </c>
      <c r="AM52" s="2"/>
      <c r="AN52" s="2">
        <v>49</v>
      </c>
      <c r="AO52" s="2">
        <f>[1]节奏总纲!BA52</f>
        <v>33.363371207175248</v>
      </c>
      <c r="AP52" s="2">
        <f>[1]节奏总纲!BB52</f>
        <v>34.760359618289606</v>
      </c>
      <c r="AQ52" s="2">
        <f>[1]节奏总纲!BC52</f>
        <v>36.666615757473956</v>
      </c>
      <c r="AR52" s="2">
        <f>[1]节奏总纲!BD52</f>
        <v>39.385377961140485</v>
      </c>
      <c r="AS52" s="2">
        <f>[1]节奏总纲!BE52</f>
        <v>44.067911160744309</v>
      </c>
    </row>
    <row r="53" spans="2:45" x14ac:dyDescent="0.15">
      <c r="B53" s="2">
        <f>[1]节奏总纲!N53</f>
        <v>60</v>
      </c>
      <c r="C53" s="2">
        <v>50</v>
      </c>
      <c r="D53" s="2">
        <f>[1]节奏总纲!P53</f>
        <v>31</v>
      </c>
      <c r="E53" s="2">
        <f>[1]节奏总纲!Q53</f>
        <v>27.0351</v>
      </c>
      <c r="F53" s="2">
        <f>[1]节奏总纲!R53</f>
        <v>22.205300000000001</v>
      </c>
      <c r="G53" s="2">
        <f>[1]节奏总纲!S53</f>
        <v>16.386599999999998</v>
      </c>
      <c r="H53" s="2">
        <f>[1]节奏总纲!T53</f>
        <v>9.1883999999999997</v>
      </c>
      <c r="J53" s="2">
        <v>50</v>
      </c>
      <c r="K53" s="2">
        <f>[1]节奏总纲!W53</f>
        <v>2.1429442708221629</v>
      </c>
      <c r="L53" s="2">
        <f>[1]节奏总纲!X53</f>
        <v>1.8688616985840092</v>
      </c>
      <c r="M53" s="2">
        <f>[1]节奏总纲!Y53</f>
        <v>1.4859339864503163</v>
      </c>
      <c r="N53" s="2">
        <f>[1]节奏总纲!Z53</f>
        <v>1.118331813692004</v>
      </c>
      <c r="O53" s="2">
        <f>[1]节奏总纲!AA53</f>
        <v>0.64094009301752308</v>
      </c>
      <c r="Q53" s="2">
        <v>50</v>
      </c>
      <c r="R53" s="2">
        <f>[1]节奏总纲!AD53</f>
        <v>56.717296680108156</v>
      </c>
      <c r="S53" s="2">
        <f>[1]节奏总纲!AE53</f>
        <v>58.729809239508185</v>
      </c>
      <c r="T53" s="2">
        <f>[1]节奏总纲!AF53</f>
        <v>61.572721891673297</v>
      </c>
      <c r="U53" s="2">
        <f>[1]节奏总纲!AG53</f>
        <v>65.949565490519575</v>
      </c>
      <c r="V53" s="2">
        <f>[1]节奏总纲!AH53</f>
        <v>74.51042804689898</v>
      </c>
      <c r="Z53" s="2">
        <v>50</v>
      </c>
      <c r="AA53" s="2">
        <f>[1]节奏总纲!AM53</f>
        <v>588.22499999999991</v>
      </c>
      <c r="AB53" s="2">
        <f>[1]节奏总纲!AN53</f>
        <v>470.57999999999993</v>
      </c>
      <c r="AC53" s="2">
        <f>[1]节奏总纲!AO53</f>
        <v>352.93499999999995</v>
      </c>
      <c r="AD53" s="2">
        <f>[1]节奏总纲!AP53</f>
        <v>235.28999999999996</v>
      </c>
      <c r="AE53" s="2">
        <f>[1]节奏总纲!AQ53</f>
        <v>117.64499999999998</v>
      </c>
      <c r="AG53" s="2">
        <v>50</v>
      </c>
      <c r="AH53" s="2">
        <f>[1]节奏总纲!AT53</f>
        <v>80.67204721531823</v>
      </c>
      <c r="AI53" s="2">
        <f>[1]节奏总纲!AU53</f>
        <v>64.537637772254584</v>
      </c>
      <c r="AJ53" s="2">
        <f>[1]节奏总纲!AV53</f>
        <v>48.403228329190938</v>
      </c>
      <c r="AK53" s="2">
        <f>[1]节奏总纲!AW53</f>
        <v>32.268818886127292</v>
      </c>
      <c r="AL53" s="2">
        <f>[1]节奏总纲!AX53</f>
        <v>16.134409443063646</v>
      </c>
      <c r="AM53" s="2"/>
      <c r="AN53" s="2">
        <v>50</v>
      </c>
      <c r="AO53" s="2">
        <f>[1]节奏总纲!BA53</f>
        <v>33.487933395889513</v>
      </c>
      <c r="AP53" s="2">
        <f>[1]节奏总纲!BB53</f>
        <v>34.893493163684269</v>
      </c>
      <c r="AQ53" s="2">
        <f>[1]节奏总纲!BC53</f>
        <v>36.806900305200131</v>
      </c>
      <c r="AR53" s="2">
        <f>[1]节奏总纲!BD53</f>
        <v>39.520459727922798</v>
      </c>
      <c r="AS53" s="2">
        <f>[1]节奏总纲!BE53</f>
        <v>44.197188392263818</v>
      </c>
    </row>
    <row r="54" spans="2:45" x14ac:dyDescent="0.15">
      <c r="B54" s="2">
        <f>[1]节奏总纲!N54</f>
        <v>61</v>
      </c>
      <c r="C54" s="2">
        <v>51</v>
      </c>
      <c r="D54" s="2">
        <f>[1]节奏总纲!P54</f>
        <v>33.296750801161366</v>
      </c>
      <c r="E54" s="2">
        <f>[1]节奏总纲!Q54</f>
        <v>28.928217096048996</v>
      </c>
      <c r="F54" s="2">
        <f>[1]节奏总纲!R54</f>
        <v>23.783869097269566</v>
      </c>
      <c r="G54" s="2">
        <f>[1]节奏总纲!S54</f>
        <v>17.587343773173433</v>
      </c>
      <c r="H54" s="2">
        <f>[1]节奏总纲!T54</f>
        <v>9.8458492119034169</v>
      </c>
      <c r="J54" s="2">
        <v>51</v>
      </c>
      <c r="K54" s="2">
        <f>[1]节奏总纲!W54</f>
        <v>2.296750801161366</v>
      </c>
      <c r="L54" s="2">
        <f>[1]节奏总纲!X54</f>
        <v>1.8931170960489965</v>
      </c>
      <c r="M54" s="2">
        <f>[1]节奏总纲!Y54</f>
        <v>1.5785690972695647</v>
      </c>
      <c r="N54" s="2">
        <f>[1]节奏总纲!Z54</f>
        <v>1.2007437731734356</v>
      </c>
      <c r="O54" s="2">
        <f>[1]节奏总纲!AA54</f>
        <v>0.65744921190341721</v>
      </c>
      <c r="Q54" s="2">
        <v>51</v>
      </c>
      <c r="R54" s="2">
        <f>[1]节奏总纲!AD54</f>
        <v>57.004247194324648</v>
      </c>
      <c r="S54" s="2">
        <f>[1]节奏总纲!AE54</f>
        <v>59.016342740868758</v>
      </c>
      <c r="T54" s="2">
        <f>[1]节奏总纲!AF54</f>
        <v>61.855948571390428</v>
      </c>
      <c r="U54" s="2">
        <f>[1]节奏总纲!AG54</f>
        <v>66.241691764589476</v>
      </c>
      <c r="V54" s="2">
        <f>[1]节奏总纲!AH54</f>
        <v>74.789297584474426</v>
      </c>
      <c r="Z54" s="2">
        <v>51</v>
      </c>
      <c r="AA54" s="2">
        <f>[1]节奏总纲!AM54</f>
        <v>681.65492699983838</v>
      </c>
      <c r="AB54" s="2">
        <f>[1]节奏总纲!AN54</f>
        <v>545.32394159987075</v>
      </c>
      <c r="AC54" s="2">
        <f>[1]节奏总纲!AO54</f>
        <v>408.99295619990301</v>
      </c>
      <c r="AD54" s="2">
        <f>[1]节奏总纲!AP54</f>
        <v>272.66197079993537</v>
      </c>
      <c r="AE54" s="2">
        <f>[1]节奏总纲!AQ54</f>
        <v>136.33098539996769</v>
      </c>
      <c r="AG54" s="2">
        <v>51</v>
      </c>
      <c r="AH54" s="2">
        <f>[1]节奏总纲!AT54</f>
        <v>93.429926999838472</v>
      </c>
      <c r="AI54" s="2">
        <f>[1]节奏总纲!AU54</f>
        <v>74.743941599870823</v>
      </c>
      <c r="AJ54" s="2">
        <f>[1]节奏总纲!AV54</f>
        <v>56.05795619990306</v>
      </c>
      <c r="AK54" s="2">
        <f>[1]节奏总纲!AW54</f>
        <v>37.371970799935411</v>
      </c>
      <c r="AL54" s="2">
        <f>[1]节奏总纲!AX54</f>
        <v>18.685985399967706</v>
      </c>
      <c r="AN54" s="2">
        <v>51</v>
      </c>
      <c r="AO54" s="2">
        <f>[1]节奏总纲!BA54</f>
        <v>33.612495584603778</v>
      </c>
      <c r="AP54" s="2">
        <f>[1]节奏总纲!BB54</f>
        <v>35.024397713965918</v>
      </c>
      <c r="AQ54" s="2">
        <f>[1]节奏总纲!BC54</f>
        <v>36.947184852926306</v>
      </c>
      <c r="AR54" s="2">
        <f>[1]节奏总纲!BD54</f>
        <v>39.655541494705105</v>
      </c>
      <c r="AS54" s="2">
        <f>[1]节奏总纲!BE54</f>
        <v>44.326465623783335</v>
      </c>
    </row>
    <row r="55" spans="2:45" x14ac:dyDescent="0.15">
      <c r="B55" s="2">
        <f>[1]节奏总纲!N55</f>
        <v>62</v>
      </c>
      <c r="C55" s="2">
        <v>52</v>
      </c>
      <c r="D55" s="2">
        <f>[1]节奏总纲!P55</f>
        <v>35.758347359905123</v>
      </c>
      <c r="E55" s="2">
        <f>[1]节奏总纲!Q55</f>
        <v>31.081155525229534</v>
      </c>
      <c r="F55" s="2">
        <f>[1]节奏总纲!R55</f>
        <v>25.606552544428059</v>
      </c>
      <c r="G55" s="2">
        <f>[1]节奏总纲!S55</f>
        <v>18.930469092333773</v>
      </c>
      <c r="H55" s="2">
        <f>[1]节奏总纲!T55</f>
        <v>10.570167479587953</v>
      </c>
      <c r="J55" s="2">
        <v>52</v>
      </c>
      <c r="K55" s="2">
        <f>[1]节奏总纲!W55</f>
        <v>2.4615965587437572</v>
      </c>
      <c r="L55" s="2">
        <f>[1]节奏总纲!X55</f>
        <v>2.1529384291805371</v>
      </c>
      <c r="M55" s="2">
        <f>[1]节奏总纲!Y55</f>
        <v>1.822683447158493</v>
      </c>
      <c r="N55" s="2">
        <f>[1]节奏总纲!Z55</f>
        <v>1.3431253191603396</v>
      </c>
      <c r="O55" s="2">
        <f>[1]节奏总纲!AA55</f>
        <v>0.72431826768453611</v>
      </c>
      <c r="Q55" s="2">
        <v>52</v>
      </c>
      <c r="R55" s="2">
        <f>[1]节奏总纲!AD55</f>
        <v>57.27226591292537</v>
      </c>
      <c r="S55" s="2">
        <f>[1]节奏总纲!AE55</f>
        <v>59.290380144164828</v>
      </c>
      <c r="T55" s="2">
        <f>[1]节奏总纲!AF55</f>
        <v>62.130298748930763</v>
      </c>
      <c r="U55" s="2">
        <f>[1]节奏总纲!AG55</f>
        <v>66.530472725664353</v>
      </c>
      <c r="V55" s="2">
        <f>[1]节奏总纲!AH55</f>
        <v>75.062532510920803</v>
      </c>
      <c r="Z55" s="2">
        <v>52</v>
      </c>
      <c r="AA55" s="2">
        <f>[1]节奏总纲!AM55</f>
        <v>789.85301886939453</v>
      </c>
      <c r="AB55" s="2">
        <f>[1]节奏总纲!AN55</f>
        <v>631.88241509551563</v>
      </c>
      <c r="AC55" s="2">
        <f>[1]节奏总纲!AO55</f>
        <v>473.91181132163672</v>
      </c>
      <c r="AD55" s="2">
        <f>[1]节奏总纲!AP55</f>
        <v>315.94120754775781</v>
      </c>
      <c r="AE55" s="2">
        <f>[1]节奏总纲!AQ55</f>
        <v>157.97060377387891</v>
      </c>
      <c r="AG55" s="2">
        <v>52</v>
      </c>
      <c r="AH55" s="2">
        <f>[1]节奏总纲!AT55</f>
        <v>108.19809186955615</v>
      </c>
      <c r="AI55" s="2">
        <f>[1]节奏总纲!AU55</f>
        <v>86.558473495644876</v>
      </c>
      <c r="AJ55" s="2">
        <f>[1]节奏总纲!AV55</f>
        <v>64.918855121733714</v>
      </c>
      <c r="AK55" s="2">
        <f>[1]节奏总纲!AW55</f>
        <v>43.279236747822438</v>
      </c>
      <c r="AL55" s="2">
        <f>[1]节奏总纲!AX55</f>
        <v>21.639618373911219</v>
      </c>
      <c r="AN55" s="2">
        <v>52</v>
      </c>
      <c r="AO55" s="2">
        <f>[1]节奏总纲!BA55</f>
        <v>33.737057773318043</v>
      </c>
      <c r="AP55" s="2">
        <f>[1]节奏总纲!BB55</f>
        <v>35.146386283795508</v>
      </c>
      <c r="AQ55" s="2">
        <f>[1]节奏总纲!BC55</f>
        <v>37.075448197698059</v>
      </c>
      <c r="AR55" s="2">
        <f>[1]节奏总纲!BD55</f>
        <v>39.790623261487418</v>
      </c>
      <c r="AS55" s="2">
        <f>[1]节奏总纲!BE55</f>
        <v>44.455742855302844</v>
      </c>
    </row>
    <row r="56" spans="2:45" x14ac:dyDescent="0.15">
      <c r="B56" s="2">
        <f>[1]节奏总纲!N56</f>
        <v>63</v>
      </c>
      <c r="C56" s="2">
        <v>53</v>
      </c>
      <c r="D56" s="2">
        <f>[1]节奏总纲!P56</f>
        <v>38.396621227037308</v>
      </c>
      <c r="E56" s="2">
        <f>[1]节奏总纲!Q56</f>
        <v>33.42809844025868</v>
      </c>
      <c r="F56" s="2">
        <f>[1]节奏总纲!R56</f>
        <v>27.5802930273809</v>
      </c>
      <c r="G56" s="2">
        <f>[1]节奏总纲!S56</f>
        <v>20.319491953348145</v>
      </c>
      <c r="H56" s="2">
        <f>[1]节奏总纲!T56</f>
        <v>11.338522248344118</v>
      </c>
      <c r="J56" s="2">
        <v>53</v>
      </c>
      <c r="K56" s="2">
        <f>[1]节奏总纲!W56</f>
        <v>2.6382738671321846</v>
      </c>
      <c r="L56" s="2">
        <f>[1]节奏总纲!X56</f>
        <v>2.3469429150291461</v>
      </c>
      <c r="M56" s="2">
        <f>[1]节奏总纲!Y56</f>
        <v>1.9737404829528415</v>
      </c>
      <c r="N56" s="2">
        <f>[1]节奏总纲!Z56</f>
        <v>1.3890228610143716</v>
      </c>
      <c r="O56" s="2">
        <f>[1]节奏总纲!AA56</f>
        <v>0.76835476875616493</v>
      </c>
      <c r="Q56" s="2">
        <v>53</v>
      </c>
      <c r="R56" s="2">
        <f>[1]节奏总纲!AD56</f>
        <v>57.540284631526099</v>
      </c>
      <c r="S56" s="2">
        <f>[1]节奏总纲!AE56</f>
        <v>59.564417547460899</v>
      </c>
      <c r="T56" s="2">
        <f>[1]节奏总纲!AF56</f>
        <v>62.395461425033538</v>
      </c>
      <c r="U56" s="2">
        <f>[1]节奏总纲!AG56</f>
        <v>66.819253686739231</v>
      </c>
      <c r="V56" s="2">
        <f>[1]节奏总纲!AH56</f>
        <v>75.318351032805268</v>
      </c>
      <c r="Z56" s="2">
        <v>53</v>
      </c>
      <c r="AA56" s="2">
        <f>[1]节奏总纲!AM56</f>
        <v>915.14532082292135</v>
      </c>
      <c r="AB56" s="2">
        <f>[1]节奏总纲!AN56</f>
        <v>732.11625665833708</v>
      </c>
      <c r="AC56" s="2">
        <f>[1]节奏总纲!AO56</f>
        <v>549.08719249375281</v>
      </c>
      <c r="AD56" s="2">
        <f>[1]节奏总纲!AP56</f>
        <v>366.05812832916854</v>
      </c>
      <c r="AE56" s="2">
        <f>[1]节奏总纲!AQ56</f>
        <v>183.02906416458427</v>
      </c>
      <c r="AG56" s="2">
        <v>53</v>
      </c>
      <c r="AH56" s="2">
        <f>[1]节奏总纲!AT56</f>
        <v>125.29230195352682</v>
      </c>
      <c r="AI56" s="2">
        <f>[1]节奏总纲!AU56</f>
        <v>100.23384156282145</v>
      </c>
      <c r="AJ56" s="2">
        <f>[1]节奏总纲!AV56</f>
        <v>75.17538117211609</v>
      </c>
      <c r="AK56" s="2">
        <f>[1]节奏总纲!AW56</f>
        <v>50.116920781410727</v>
      </c>
      <c r="AL56" s="2">
        <f>[1]节奏总纲!AX56</f>
        <v>25.058460390705363</v>
      </c>
      <c r="AN56" s="2">
        <v>53</v>
      </c>
      <c r="AO56" s="2">
        <f>[1]节奏总纲!BA56</f>
        <v>33.861619962032307</v>
      </c>
      <c r="AP56" s="2">
        <f>[1]节奏总纲!BB56</f>
        <v>35.268374853625097</v>
      </c>
      <c r="AQ56" s="2">
        <f>[1]节奏总纲!BC56</f>
        <v>37.196452985793947</v>
      </c>
      <c r="AR56" s="2">
        <f>[1]节奏总纲!BD56</f>
        <v>39.925705028269732</v>
      </c>
      <c r="AS56" s="2">
        <f>[1]节奏总纲!BE56</f>
        <v>44.585020086822361</v>
      </c>
    </row>
    <row r="57" spans="2:45" x14ac:dyDescent="0.15">
      <c r="B57" s="2">
        <f>[1]节奏总纲!N57</f>
        <v>64</v>
      </c>
      <c r="C57" s="2">
        <v>54</v>
      </c>
      <c r="D57" s="2">
        <f>[1]节奏总纲!P57</f>
        <v>41.224253144732614</v>
      </c>
      <c r="E57" s="2">
        <f>[1]节奏总纲!Q57</f>
        <v>35.947548742206841</v>
      </c>
      <c r="F57" s="2">
        <f>[1]节奏总纲!R57</f>
        <v>29.553667079458812</v>
      </c>
      <c r="G57" s="2">
        <f>[1]节奏总纲!S57</f>
        <v>21.762283235104348</v>
      </c>
      <c r="H57" s="2">
        <f>[1]节奏总纲!T57</f>
        <v>12.111685573922442</v>
      </c>
      <c r="J57" s="2">
        <v>54</v>
      </c>
      <c r="K57" s="2">
        <f>[1]节奏总纲!W57</f>
        <v>2.8276319176953066</v>
      </c>
      <c r="L57" s="2">
        <f>[1]节奏总纲!X57</f>
        <v>2.5194503019481616</v>
      </c>
      <c r="M57" s="2">
        <f>[1]节奏总纲!Y57</f>
        <v>1.9733740520779115</v>
      </c>
      <c r="N57" s="2">
        <f>[1]节奏总纲!Z57</f>
        <v>1.4427912817562039</v>
      </c>
      <c r="O57" s="2">
        <f>[1]节奏总纲!AA57</f>
        <v>0.77316332557832368</v>
      </c>
      <c r="Q57" s="2">
        <v>54</v>
      </c>
      <c r="R57" s="2">
        <f>[1]节奏总纲!AD57</f>
        <v>57.80830335012682</v>
      </c>
      <c r="S57" s="2">
        <f>[1]节奏总纲!AE57</f>
        <v>59.838454950756969</v>
      </c>
      <c r="T57" s="2">
        <f>[1]节奏总纲!AF57</f>
        <v>62.660624101136307</v>
      </c>
      <c r="U57" s="2">
        <f>[1]节奏总纲!AG57</f>
        <v>67.098789255934349</v>
      </c>
      <c r="V57" s="2">
        <f>[1]节奏总纲!AH57</f>
        <v>75.574169554689718</v>
      </c>
      <c r="Z57" s="2">
        <v>54</v>
      </c>
      <c r="AA57" s="2">
        <f>[1]节奏总纲!AM57</f>
        <v>1060.2230944101252</v>
      </c>
      <c r="AB57" s="2">
        <f>[1]节奏总纲!AN57</f>
        <v>848.17847552810019</v>
      </c>
      <c r="AC57" s="2">
        <f>[1]节奏总纲!AO57</f>
        <v>636.13385664607506</v>
      </c>
      <c r="AD57" s="2">
        <f>[1]节奏总纲!AP57</f>
        <v>424.0892377640501</v>
      </c>
      <c r="AE57" s="2">
        <f>[1]节奏总纲!AQ57</f>
        <v>212.04461888202505</v>
      </c>
      <c r="AG57" s="2">
        <v>54</v>
      </c>
      <c r="AH57" s="2">
        <f>[1]节奏总纲!AT57</f>
        <v>145.07777358720386</v>
      </c>
      <c r="AI57" s="2">
        <f>[1]节奏总纲!AU57</f>
        <v>116.06221886976311</v>
      </c>
      <c r="AJ57" s="2">
        <f>[1]节奏总纲!AV57</f>
        <v>87.046664152322251</v>
      </c>
      <c r="AK57" s="2">
        <f>[1]节奏总纲!AW57</f>
        <v>58.031109434881557</v>
      </c>
      <c r="AL57" s="2">
        <f>[1]节奏总纲!AX57</f>
        <v>29.015554717440779</v>
      </c>
      <c r="AN57" s="2">
        <v>54</v>
      </c>
      <c r="AO57" s="2">
        <f>[1]节奏总纲!BA57</f>
        <v>33.986182150746572</v>
      </c>
      <c r="AP57" s="2">
        <f>[1]节奏总纲!BB57</f>
        <v>35.390363423454687</v>
      </c>
      <c r="AQ57" s="2">
        <f>[1]节奏总纲!BC57</f>
        <v>37.317457773889828</v>
      </c>
      <c r="AR57" s="2">
        <f>[1]节奏总纲!BD57</f>
        <v>40.052446592012309</v>
      </c>
      <c r="AS57" s="2">
        <f>[1]节奏总纲!BE57</f>
        <v>44.71429731834187</v>
      </c>
    </row>
    <row r="58" spans="2:45" x14ac:dyDescent="0.15">
      <c r="B58" s="2">
        <f>[1]节奏总纲!N58</f>
        <v>65</v>
      </c>
      <c r="C58" s="2">
        <v>55</v>
      </c>
      <c r="D58" s="2">
        <f>[1]节奏总纲!P58</f>
        <v>44.254833995939045</v>
      </c>
      <c r="E58" s="2">
        <f>[1]节奏总纲!Q58</f>
        <v>38.53268396026413</v>
      </c>
      <c r="F58" s="2">
        <f>[1]节奏总纲!R58</f>
        <v>31.642206307096416</v>
      </c>
      <c r="G58" s="2">
        <f>[1]节奏总纲!S58</f>
        <v>23.282468165263531</v>
      </c>
      <c r="H58" s="2">
        <f>[1]节奏总纲!T58</f>
        <v>12.944538943812169</v>
      </c>
      <c r="J58" s="2">
        <v>55</v>
      </c>
      <c r="K58" s="2">
        <f>[1]节奏总纲!W58</f>
        <v>3.0305808512064303</v>
      </c>
      <c r="L58" s="2">
        <f>[1]节奏总纲!X58</f>
        <v>2.5851352180572889</v>
      </c>
      <c r="M58" s="2">
        <f>[1]节奏总纲!Y58</f>
        <v>2.0885392276376038</v>
      </c>
      <c r="N58" s="2">
        <f>[1]节奏总纲!Z58</f>
        <v>1.5201849301591821</v>
      </c>
      <c r="O58" s="2">
        <f>[1]节奏总纲!AA58</f>
        <v>0.8328533698897278</v>
      </c>
      <c r="Q58" s="2">
        <v>55</v>
      </c>
      <c r="R58" s="2">
        <f>[1]节奏总纲!AD58</f>
        <v>58.071211008105138</v>
      </c>
      <c r="S58" s="2">
        <f>[1]节奏总纲!AE58</f>
        <v>60.102437883401088</v>
      </c>
      <c r="T58" s="2">
        <f>[1]节奏总纲!AF58</f>
        <v>62.925786777239075</v>
      </c>
      <c r="U58" s="2">
        <f>[1]节奏总纲!AG58</f>
        <v>67.36285691246691</v>
      </c>
      <c r="V58" s="2">
        <f>[1]节奏总纲!AH58</f>
        <v>75.829988076574182</v>
      </c>
      <c r="Z58" s="2">
        <v>55</v>
      </c>
      <c r="AA58" s="2">
        <f>[1]节奏总纲!AM58</f>
        <v>1228.2</v>
      </c>
      <c r="AB58" s="2">
        <f>[1]节奏总纲!AN58</f>
        <v>982.56000000000006</v>
      </c>
      <c r="AC58" s="2">
        <f>[1]节奏总纲!AO58</f>
        <v>736.92</v>
      </c>
      <c r="AD58" s="2">
        <f>[1]节奏总纲!AP58</f>
        <v>491.28000000000003</v>
      </c>
      <c r="AE58" s="2">
        <f>[1]节奏总纲!AQ58</f>
        <v>245.64000000000001</v>
      </c>
      <c r="AG58" s="2">
        <v>55</v>
      </c>
      <c r="AH58" s="2">
        <f>[1]节奏总纲!AT58</f>
        <v>167.97690558987483</v>
      </c>
      <c r="AI58" s="2">
        <f>[1]节奏总纲!AU58</f>
        <v>134.38152447189987</v>
      </c>
      <c r="AJ58" s="2">
        <f>[1]节奏总纲!AV58</f>
        <v>100.7861433539249</v>
      </c>
      <c r="AK58" s="2">
        <f>[1]节奏总纲!AW58</f>
        <v>67.190762235949933</v>
      </c>
      <c r="AL58" s="2">
        <f>[1]节奏总纲!AX58</f>
        <v>33.595381117974966</v>
      </c>
      <c r="AN58" s="2">
        <v>55</v>
      </c>
      <c r="AO58" s="2">
        <f>[1]节奏总纲!BA58</f>
        <v>34.09469189131628</v>
      </c>
      <c r="AP58" s="2">
        <f>[1]节奏总纲!BB58</f>
        <v>35.512351993284277</v>
      </c>
      <c r="AQ58" s="2">
        <f>[1]节奏总纲!BC58</f>
        <v>37.438462561985709</v>
      </c>
      <c r="AR58" s="2">
        <f>[1]节奏总纲!BD58</f>
        <v>40.168994574261895</v>
      </c>
      <c r="AS58" s="2">
        <f>[1]节奏总纲!BE58</f>
        <v>44.843574549861387</v>
      </c>
    </row>
    <row r="59" spans="2:45" x14ac:dyDescent="0.15">
      <c r="B59" s="2">
        <f>[1]节奏总纲!N59</f>
        <v>66</v>
      </c>
      <c r="C59" s="2">
        <v>56</v>
      </c>
      <c r="D59" s="2">
        <f>[1]节奏总纲!P59</f>
        <v>47.502930128332721</v>
      </c>
      <c r="E59" s="2">
        <f>[1]节奏总纲!Q59</f>
        <v>41.275295988508304</v>
      </c>
      <c r="F59" s="2">
        <f>[1]节奏总纲!R59</f>
        <v>33.888590353552566</v>
      </c>
      <c r="G59" s="2">
        <f>[1]节奏总纲!S59</f>
        <v>24.910536559297679</v>
      </c>
      <c r="H59" s="2">
        <f>[1]节奏总纲!T59</f>
        <v>13.837603546383322</v>
      </c>
      <c r="J59" s="2">
        <v>56</v>
      </c>
      <c r="K59" s="2">
        <f>[1]节奏总纲!W59</f>
        <v>3.2480961323936768</v>
      </c>
      <c r="L59" s="2">
        <f>[1]节奏总纲!X59</f>
        <v>2.7426120282441744</v>
      </c>
      <c r="M59" s="2">
        <f>[1]节奏总纲!Y59</f>
        <v>2.24638404645615</v>
      </c>
      <c r="N59" s="2">
        <f>[1]节奏总纲!Z59</f>
        <v>1.6280683940341483</v>
      </c>
      <c r="O59" s="2">
        <f>[1]节奏总纲!AA59</f>
        <v>0.89306460257115283</v>
      </c>
      <c r="Q59" s="2">
        <v>56</v>
      </c>
      <c r="R59" s="2">
        <f>[1]节奏总纲!AD59</f>
        <v>58.321281314909029</v>
      </c>
      <c r="S59" s="2">
        <f>[1]节奏总纲!AE59</f>
        <v>60.351982057337977</v>
      </c>
      <c r="T59" s="2">
        <f>[1]节奏总纲!AF59</f>
        <v>63.17626763611517</v>
      </c>
      <c r="U59" s="2">
        <f>[1]节奏总纲!AG59</f>
        <v>67.626924568999456</v>
      </c>
      <c r="V59" s="2">
        <f>[1]节奏总纲!AH59</f>
        <v>76.086647524934079</v>
      </c>
      <c r="Z59" s="2">
        <v>56</v>
      </c>
      <c r="AA59" s="2">
        <f>[1]节奏总纲!AM59</f>
        <v>1422.6782097755249</v>
      </c>
      <c r="AB59" s="2">
        <f>[1]节奏总纲!AN59</f>
        <v>1138.14256782042</v>
      </c>
      <c r="AC59" s="2">
        <f>[1]节奏总纲!AO59</f>
        <v>853.60692586531491</v>
      </c>
      <c r="AD59" s="2">
        <f>[1]节奏总纲!AP59</f>
        <v>569.07128391021001</v>
      </c>
      <c r="AE59" s="2">
        <f>[1]节奏总纲!AQ59</f>
        <v>284.53564195510501</v>
      </c>
      <c r="AG59" s="2">
        <v>56</v>
      </c>
      <c r="AH59" s="2">
        <f>[1]节奏总纲!AT59</f>
        <v>194.47820977552487</v>
      </c>
      <c r="AI59" s="2">
        <f>[1]节奏总纲!AU59</f>
        <v>155.58256782041997</v>
      </c>
      <c r="AJ59" s="2">
        <f>[1]节奏总纲!AV59</f>
        <v>116.68692586531495</v>
      </c>
      <c r="AK59" s="2">
        <f>[1]节奏总纲!AW59</f>
        <v>77.791283910209984</v>
      </c>
      <c r="AL59" s="2">
        <f>[1]节奏总纲!AX59</f>
        <v>38.895641955104992</v>
      </c>
      <c r="AN59" s="2">
        <v>56</v>
      </c>
      <c r="AO59" s="2">
        <f>[1]节奏总纲!BA59</f>
        <v>34.201198727632011</v>
      </c>
      <c r="AP59" s="2">
        <f>[1]节奏总纲!BB59</f>
        <v>35.634340563113874</v>
      </c>
      <c r="AQ59" s="2">
        <f>[1]节奏总纲!BC59</f>
        <v>37.55946735008159</v>
      </c>
      <c r="AR59" s="2">
        <f>[1]节奏总纲!BD59</f>
        <v>40.28554255651148</v>
      </c>
      <c r="AS59" s="2">
        <f>[1]节奏总纲!BE59</f>
        <v>44.972851781380903</v>
      </c>
    </row>
    <row r="60" spans="2:45" x14ac:dyDescent="0.15">
      <c r="B60" s="2">
        <f>[1]节奏总纲!N60</f>
        <v>67</v>
      </c>
      <c r="C60" s="2">
        <v>57</v>
      </c>
      <c r="D60" s="2">
        <f>[1]节奏总纲!P60</f>
        <v>50.984153366799077</v>
      </c>
      <c r="E60" s="2">
        <f>[1]节奏总纲!Q60</f>
        <v>44.310327691085078</v>
      </c>
      <c r="F60" s="2">
        <f>[1]节奏总纲!R60</f>
        <v>36.316012443170983</v>
      </c>
      <c r="G60" s="2">
        <f>[1]节奏总纲!S60</f>
        <v>26.664712210835919</v>
      </c>
      <c r="H60" s="2">
        <f>[1]节奏总纲!T60</f>
        <v>14.815994968391813</v>
      </c>
      <c r="J60" s="2">
        <v>57</v>
      </c>
      <c r="K60" s="2">
        <f>[1]节奏总纲!W60</f>
        <v>3.481223238466356</v>
      </c>
      <c r="L60" s="2">
        <f>[1]节奏总纲!X60</f>
        <v>3.0350317025767737</v>
      </c>
      <c r="M60" s="2">
        <f>[1]节奏总纲!Y60</f>
        <v>2.4274220896184175</v>
      </c>
      <c r="N60" s="2">
        <f>[1]节奏总纲!Z60</f>
        <v>1.7541756515382403</v>
      </c>
      <c r="O60" s="2">
        <f>[1]节奏总纲!AA60</f>
        <v>0.97839142200849061</v>
      </c>
      <c r="Q60" s="2">
        <v>57</v>
      </c>
      <c r="R60" s="2">
        <f>[1]节奏总纲!AD60</f>
        <v>58.571351621712921</v>
      </c>
      <c r="S60" s="2">
        <f>[1]节奏总纲!AE60</f>
        <v>60.60152623127486</v>
      </c>
      <c r="T60" s="2">
        <f>[1]节奏总纲!AF60</f>
        <v>63.421042351541736</v>
      </c>
      <c r="U60" s="2">
        <f>[1]节奏总纲!AG60</f>
        <v>67.890992225532017</v>
      </c>
      <c r="V60" s="2">
        <f>[1]节奏总纲!AH60</f>
        <v>76.344973133357612</v>
      </c>
      <c r="Z60" s="2">
        <v>57</v>
      </c>
      <c r="AA60" s="2">
        <f>[1]节奏总纲!AM60</f>
        <v>1647.8248427703616</v>
      </c>
      <c r="AB60" s="2">
        <f>[1]节奏总纲!AN60</f>
        <v>1318.2598742162893</v>
      </c>
      <c r="AC60" s="2">
        <f>[1]节奏总纲!AO60</f>
        <v>988.69490566221691</v>
      </c>
      <c r="AD60" s="2">
        <f>[1]节奏总纲!AP60</f>
        <v>659.12993710814465</v>
      </c>
      <c r="AE60" s="2">
        <f>[1]节奏总纲!AQ60</f>
        <v>329.56496855407232</v>
      </c>
      <c r="AG60" s="2">
        <v>57</v>
      </c>
      <c r="AH60" s="2">
        <f>[1]节奏总纲!AT60</f>
        <v>225.14663299483664</v>
      </c>
      <c r="AI60" s="2">
        <f>[1]节奏总纲!AU60</f>
        <v>180.11730639586926</v>
      </c>
      <c r="AJ60" s="2">
        <f>[1]节奏总纲!AV60</f>
        <v>135.087979796902</v>
      </c>
      <c r="AK60" s="2">
        <f>[1]节奏总纲!AW60</f>
        <v>90.058653197934632</v>
      </c>
      <c r="AL60" s="2">
        <f>[1]节奏总纲!AX60</f>
        <v>45.029326598967316</v>
      </c>
      <c r="AN60" s="2">
        <v>57</v>
      </c>
      <c r="AO60" s="2">
        <f>[1]节奏总纲!BA60</f>
        <v>34.307705563947749</v>
      </c>
      <c r="AP60" s="2">
        <f>[1]节奏总纲!BB60</f>
        <v>35.756329132943463</v>
      </c>
      <c r="AQ60" s="2">
        <f>[1]节奏总纲!BC60</f>
        <v>37.680472138177478</v>
      </c>
      <c r="AR60" s="2">
        <f>[1]节奏总纲!BD60</f>
        <v>40.402090538761065</v>
      </c>
      <c r="AS60" s="2">
        <f>[1]节奏总纲!BE60</f>
        <v>45.088151688727308</v>
      </c>
    </row>
    <row r="61" spans="2:45" x14ac:dyDescent="0.15">
      <c r="B61" s="2">
        <f>[1]节奏总纲!N61</f>
        <v>68</v>
      </c>
      <c r="C61" s="2">
        <v>58</v>
      </c>
      <c r="D61" s="2">
        <f>[1]节奏总纲!P61</f>
        <v>54.715236050951923</v>
      </c>
      <c r="E61" s="2">
        <f>[1]节奏总纲!Q61</f>
        <v>47.459995750595695</v>
      </c>
      <c r="F61" s="2">
        <f>[1]节奏总纲!R61</f>
        <v>38.913475879437009</v>
      </c>
      <c r="G61" s="2">
        <f>[1]节奏总纲!S61</f>
        <v>28.572296265807093</v>
      </c>
      <c r="H61" s="2">
        <f>[1]节奏总纲!T61</f>
        <v>15.856475407565867</v>
      </c>
      <c r="J61" s="2">
        <v>58</v>
      </c>
      <c r="K61" s="2">
        <f>[1]节奏总纲!W61</f>
        <v>3.7310826841528453</v>
      </c>
      <c r="L61" s="2">
        <f>[1]节奏总纲!X61</f>
        <v>3.149668059510617</v>
      </c>
      <c r="M61" s="2">
        <f>[1]节奏总纲!Y61</f>
        <v>2.5974634362660254</v>
      </c>
      <c r="N61" s="2">
        <f>[1]节奏总纲!Z61</f>
        <v>1.9075840549711742</v>
      </c>
      <c r="O61" s="2">
        <f>[1]节奏总纲!AA61</f>
        <v>1.0404804391740541</v>
      </c>
      <c r="Q61" s="2">
        <v>58</v>
      </c>
      <c r="R61" s="2">
        <f>[1]节奏总纲!AD61</f>
        <v>58.821421928516813</v>
      </c>
      <c r="S61" s="2">
        <f>[1]节奏总纲!AE61</f>
        <v>60.851070405211743</v>
      </c>
      <c r="T61" s="2">
        <f>[1]节奏总纲!AF61</f>
        <v>63.665817066968295</v>
      </c>
      <c r="U61" s="2">
        <f>[1]节奏总纲!AG61</f>
        <v>68.142437172458173</v>
      </c>
      <c r="V61" s="2">
        <f>[1]节奏总纲!AH61</f>
        <v>76.60329874178116</v>
      </c>
      <c r="Z61" s="2">
        <v>58</v>
      </c>
      <c r="AA61" s="2">
        <f>[1]节奏总纲!AM61</f>
        <v>1908.4603298511749</v>
      </c>
      <c r="AB61" s="2">
        <f>[1]节奏总纲!AN61</f>
        <v>1526.7682638809401</v>
      </c>
      <c r="AC61" s="2">
        <f>[1]节奏总纲!AO61</f>
        <v>1145.0761979107049</v>
      </c>
      <c r="AD61" s="2">
        <f>[1]节奏总纲!AP61</f>
        <v>763.38413194047007</v>
      </c>
      <c r="AE61" s="2">
        <f>[1]节奏总纲!AQ61</f>
        <v>381.69206597023503</v>
      </c>
      <c r="AG61" s="2">
        <v>58</v>
      </c>
      <c r="AH61" s="2">
        <f>[1]节奏总纲!AT61</f>
        <v>260.63548708081339</v>
      </c>
      <c r="AI61" s="2">
        <f>[1]节奏总纲!AU61</f>
        <v>208.50838966465085</v>
      </c>
      <c r="AJ61" s="2">
        <f>[1]节奏总纲!AV61</f>
        <v>156.38129224848797</v>
      </c>
      <c r="AK61" s="2">
        <f>[1]节奏总纲!AW61</f>
        <v>104.25419483232542</v>
      </c>
      <c r="AL61" s="2">
        <f>[1]节奏总纲!AX61</f>
        <v>52.127097416162712</v>
      </c>
      <c r="AN61" s="2">
        <v>58</v>
      </c>
      <c r="AO61" s="2">
        <f>[1]节奏总纲!BA61</f>
        <v>34.41421240026348</v>
      </c>
      <c r="AP61" s="2">
        <f>[1]节奏总纲!BB61</f>
        <v>35.878317702773053</v>
      </c>
      <c r="AQ61" s="2">
        <f>[1]节奏总纲!BC61</f>
        <v>37.801476926273359</v>
      </c>
      <c r="AR61" s="2">
        <f>[1]节奏总纲!BD61</f>
        <v>40.518638521010644</v>
      </c>
      <c r="AS61" s="2">
        <f>[1]节奏总纲!BE61</f>
        <v>45.199736104837825</v>
      </c>
    </row>
    <row r="62" spans="2:45" x14ac:dyDescent="0.15">
      <c r="B62" s="2">
        <f>[1]节奏总纲!N62</f>
        <v>69</v>
      </c>
      <c r="C62" s="2">
        <v>59</v>
      </c>
      <c r="D62" s="2">
        <f>[1]节奏总纲!P62</f>
        <v>58.714111458355703</v>
      </c>
      <c r="E62" s="2">
        <f>[1]节奏总纲!Q62</f>
        <v>50.940363101269412</v>
      </c>
      <c r="F62" s="2">
        <f>[1]节奏总纲!R62</f>
        <v>41.728119013453394</v>
      </c>
      <c r="G62" s="2">
        <f>[1]节奏总纲!S62</f>
        <v>30.607666303240826</v>
      </c>
      <c r="H62" s="2">
        <f>[1]节奏总纲!T62</f>
        <v>17.003606678339814</v>
      </c>
      <c r="J62" s="2">
        <v>59</v>
      </c>
      <c r="K62" s="2">
        <f>[1]节奏总纲!W62</f>
        <v>3.99887540740378</v>
      </c>
      <c r="L62" s="2">
        <f>[1]节奏总纲!X62</f>
        <v>3.4803673506737169</v>
      </c>
      <c r="M62" s="2">
        <f>[1]节奏总纲!Y62</f>
        <v>2.8146431340163858</v>
      </c>
      <c r="N62" s="2">
        <f>[1]节奏总纲!Z62</f>
        <v>2.0353700374337329</v>
      </c>
      <c r="O62" s="2">
        <f>[1]节奏总纲!AA62</f>
        <v>1.1471312707739472</v>
      </c>
      <c r="Q62" s="2">
        <v>59</v>
      </c>
      <c r="R62" s="2">
        <f>[1]节奏总纲!AD62</f>
        <v>59.066704614192936</v>
      </c>
      <c r="S62" s="2">
        <f>[1]节奏总纲!AE62</f>
        <v>61.094954819415335</v>
      </c>
      <c r="T62" s="2">
        <f>[1]节奏总纲!AF62</f>
        <v>63.91059178239486</v>
      </c>
      <c r="U62" s="2">
        <f>[1]节奏总纲!AG62</f>
        <v>68.385008299388929</v>
      </c>
      <c r="V62" s="2">
        <f>[1]节奏总纲!AH62</f>
        <v>76.861624350204693</v>
      </c>
      <c r="Z62" s="2">
        <v>59</v>
      </c>
      <c r="AA62" s="2">
        <f>[1]节奏总纲!AM62</f>
        <v>2210.1605665017755</v>
      </c>
      <c r="AB62" s="2">
        <f>[1]节奏总纲!AN62</f>
        <v>1768.1284532014206</v>
      </c>
      <c r="AC62" s="2">
        <f>[1]节奏总纲!AO62</f>
        <v>1326.0963399010652</v>
      </c>
      <c r="AD62" s="2">
        <f>[1]节奏总纲!AP62</f>
        <v>884.0642266007103</v>
      </c>
      <c r="AE62" s="2">
        <f>[1]节奏总纲!AQ62</f>
        <v>442.03211330035515</v>
      </c>
      <c r="AG62" s="2">
        <v>59</v>
      </c>
      <c r="AH62" s="2">
        <f>[1]节奏总纲!AT62</f>
        <v>301.70023665060057</v>
      </c>
      <c r="AI62" s="2">
        <f>[1]节奏总纲!AU62</f>
        <v>241.36018932048046</v>
      </c>
      <c r="AJ62" s="2">
        <f>[1]节奏总纲!AV62</f>
        <v>181.02014199036034</v>
      </c>
      <c r="AK62" s="2">
        <f>[1]节奏总纲!AW62</f>
        <v>120.68009466024023</v>
      </c>
      <c r="AL62" s="2">
        <f>[1]节奏总纲!AX62</f>
        <v>60.340047330120115</v>
      </c>
      <c r="AN62" s="2">
        <v>59</v>
      </c>
      <c r="AO62" s="2">
        <f>[1]节奏总纲!BA62</f>
        <v>34.520719236579211</v>
      </c>
      <c r="AP62" s="2">
        <f>[1]节奏总纲!BB62</f>
        <v>36.000264155774609</v>
      </c>
      <c r="AQ62" s="2">
        <f>[1]节奏总纲!BC62</f>
        <v>37.922481714369241</v>
      </c>
      <c r="AR62" s="2">
        <f>[1]节奏总纲!BD62</f>
        <v>40.635186503260229</v>
      </c>
      <c r="AS62" s="2">
        <f>[1]节奏总纲!BE62</f>
        <v>45.31132052094835</v>
      </c>
    </row>
    <row r="63" spans="2:45" x14ac:dyDescent="0.15">
      <c r="B63" s="2">
        <f>[1]节奏总纲!N63</f>
        <v>70</v>
      </c>
      <c r="C63" s="2">
        <v>60</v>
      </c>
      <c r="D63" s="2">
        <f>[1]节奏总纲!P63</f>
        <v>63</v>
      </c>
      <c r="E63" s="2">
        <f>[1]节奏总纲!Q63</f>
        <v>54.589500000000001</v>
      </c>
      <c r="F63" s="2">
        <f>[1]节奏总纲!R63</f>
        <v>44.717399999999998</v>
      </c>
      <c r="G63" s="2">
        <f>[1]节奏总纲!S63</f>
        <v>32.810400000000001</v>
      </c>
      <c r="H63" s="2">
        <f>[1]节奏总纲!T63</f>
        <v>18.276300000000003</v>
      </c>
      <c r="J63" s="2">
        <v>60</v>
      </c>
      <c r="K63" s="2">
        <f>[1]节奏总纲!W63</f>
        <v>4.2858885416442973</v>
      </c>
      <c r="L63" s="2">
        <f>[1]节奏总纲!X63</f>
        <v>3.649136898730589</v>
      </c>
      <c r="M63" s="2">
        <f>[1]节奏总纲!Y63</f>
        <v>2.9892809865466035</v>
      </c>
      <c r="N63" s="2">
        <f>[1]节奏总纲!Z63</f>
        <v>2.2027336967591751</v>
      </c>
      <c r="O63" s="2">
        <f>[1]节奏总纲!AA63</f>
        <v>1.2726933216601886</v>
      </c>
      <c r="Q63" s="2">
        <v>60</v>
      </c>
      <c r="R63" s="2">
        <f>[1]节奏总纲!AD63</f>
        <v>59.300028460644697</v>
      </c>
      <c r="S63" s="2">
        <f>[1]节奏总纲!AE63</f>
        <v>61.330461663183208</v>
      </c>
      <c r="T63" s="2">
        <f>[1]节奏总纲!AF63</f>
        <v>64.14304723627319</v>
      </c>
      <c r="U63" s="2">
        <f>[1]节奏总纲!AG63</f>
        <v>68.627579426319684</v>
      </c>
      <c r="V63" s="2">
        <f>[1]节奏总纲!AH63</f>
        <v>77.112805903056142</v>
      </c>
      <c r="Z63" s="2">
        <v>60</v>
      </c>
      <c r="AA63" s="2">
        <f>[1]节奏总纲!AM63</f>
        <v>2559.375</v>
      </c>
      <c r="AB63" s="2">
        <f>[1]节奏总纲!AN63</f>
        <v>2047.5</v>
      </c>
      <c r="AC63" s="2">
        <f>[1]节奏总纲!AO63</f>
        <v>1535.625</v>
      </c>
      <c r="AD63" s="2">
        <f>[1]节奏总纲!AP63</f>
        <v>1023.75</v>
      </c>
      <c r="AE63" s="2">
        <f>[1]节奏总纲!AQ63</f>
        <v>511.875</v>
      </c>
      <c r="AG63" s="2">
        <v>60</v>
      </c>
      <c r="AH63" s="2">
        <f>[1]节奏总纲!AT63</f>
        <v>349.21443349822448</v>
      </c>
      <c r="AI63" s="2">
        <f>[1]节奏总纲!AU63</f>
        <v>279.3715467985794</v>
      </c>
      <c r="AJ63" s="2">
        <f>[1]节奏总纲!AV63</f>
        <v>209.52866009893478</v>
      </c>
      <c r="AK63" s="2">
        <f>[1]节奏总纲!AW63</f>
        <v>139.6857733992897</v>
      </c>
      <c r="AL63" s="2">
        <f>[1]节奏总纲!AX63</f>
        <v>69.842886699644851</v>
      </c>
      <c r="AN63" s="2">
        <v>60</v>
      </c>
      <c r="AO63" s="2">
        <f>[1]节奏总纲!BA63</f>
        <v>34.627226072894942</v>
      </c>
      <c r="AP63" s="2">
        <f>[1]节奏总纲!BB63</f>
        <v>36.105477566569242</v>
      </c>
      <c r="AQ63" s="2">
        <f>[1]节奏总纲!BC63</f>
        <v>38.037513426486328</v>
      </c>
      <c r="AR63" s="2">
        <f>[1]节奏总纲!BD63</f>
        <v>40.751734485509814</v>
      </c>
      <c r="AS63" s="2">
        <f>[1]节奏总纲!BE63</f>
        <v>45.422904937058867</v>
      </c>
    </row>
    <row r="64" spans="2:45" x14ac:dyDescent="0.15">
      <c r="B64" s="2">
        <f>[1]节奏总纲!N64</f>
        <v>71</v>
      </c>
      <c r="C64" s="2">
        <v>61</v>
      </c>
      <c r="D64" s="2">
        <f>[1]节奏总纲!P64</f>
        <v>67.593501602322732</v>
      </c>
      <c r="E64" s="2">
        <f>[1]节奏总纲!Q64</f>
        <v>58.596806539053574</v>
      </c>
      <c r="F64" s="2">
        <f>[1]节奏总纲!R64</f>
        <v>47.977867437328676</v>
      </c>
      <c r="G64" s="2">
        <f>[1]节奏总纲!S64</f>
        <v>35.229733035130607</v>
      </c>
      <c r="H64" s="2">
        <f>[1]节奏总纲!T64</f>
        <v>19.602115464673592</v>
      </c>
      <c r="J64" s="2">
        <v>61</v>
      </c>
      <c r="K64" s="2">
        <f>[1]节奏总纲!W64</f>
        <v>4.593501602322732</v>
      </c>
      <c r="L64" s="2">
        <f>[1]节奏总纲!X64</f>
        <v>4.0073065390535731</v>
      </c>
      <c r="M64" s="2">
        <f>[1]节奏总纲!Y64</f>
        <v>3.2604674373286784</v>
      </c>
      <c r="N64" s="2">
        <f>[1]节奏总纲!Z64</f>
        <v>2.4193330351306059</v>
      </c>
      <c r="O64" s="2">
        <f>[1]节奏总纲!AA64</f>
        <v>1.3258154646735889</v>
      </c>
      <c r="Q64" s="2">
        <v>61</v>
      </c>
      <c r="R64" s="2">
        <f>[1]节奏总纲!AD64</f>
        <v>59.533352307096465</v>
      </c>
      <c r="S64" s="2">
        <f>[1]节奏总纲!AE64</f>
        <v>61.56596850695108</v>
      </c>
      <c r="T64" s="2">
        <f>[1]节奏总纲!AF64</f>
        <v>64.368413367596901</v>
      </c>
      <c r="U64" s="2">
        <f>[1]节奏总纲!AG64</f>
        <v>68.870150553250454</v>
      </c>
      <c r="V64" s="2">
        <f>[1]节奏总纲!AH64</f>
        <v>77.355745991356301</v>
      </c>
      <c r="Z64" s="2">
        <v>61</v>
      </c>
      <c r="AA64" s="2">
        <f>[1]节奏总纲!AM64</f>
        <v>2963.5631311027469</v>
      </c>
      <c r="AB64" s="2">
        <f>[1]节奏总纲!AN64</f>
        <v>2370.8505048821976</v>
      </c>
      <c r="AC64" s="2">
        <f>[1]节奏总纲!AO64</f>
        <v>1778.1378786616481</v>
      </c>
      <c r="AD64" s="2">
        <f>[1]节奏总纲!AP64</f>
        <v>1185.4252524410988</v>
      </c>
      <c r="AE64" s="2">
        <f>[1]节奏总纲!AQ64</f>
        <v>592.7126262205494</v>
      </c>
      <c r="AG64" s="2">
        <v>61</v>
      </c>
      <c r="AH64" s="2">
        <f>[1]节奏总纲!AT64</f>
        <v>404.18813110274687</v>
      </c>
      <c r="AI64" s="2">
        <f>[1]节奏总纲!AU64</f>
        <v>323.35050488219758</v>
      </c>
      <c r="AJ64" s="2">
        <f>[1]节奏总纲!AV64</f>
        <v>242.51287866164807</v>
      </c>
      <c r="AK64" s="2">
        <f>[1]节奏总纲!AW64</f>
        <v>161.67525244109879</v>
      </c>
      <c r="AL64" s="2">
        <f>[1]节奏总纲!AX64</f>
        <v>80.837626220549396</v>
      </c>
      <c r="AN64" s="2">
        <v>61</v>
      </c>
      <c r="AO64" s="2">
        <f>[1]节奏总纲!BA64</f>
        <v>34.733732909210673</v>
      </c>
      <c r="AP64" s="2">
        <f>[1]节奏总纲!BB64</f>
        <v>36.210690977363875</v>
      </c>
      <c r="AQ64" s="2">
        <f>[1]节奏总纲!BC64</f>
        <v>38.14189763688286</v>
      </c>
      <c r="AR64" s="2">
        <f>[1]节奏总纲!BD64</f>
        <v>40.8682824677594</v>
      </c>
      <c r="AS64" s="2">
        <f>[1]节奏总纲!BE64</f>
        <v>45.534489353169384</v>
      </c>
    </row>
    <row r="65" spans="2:45" x14ac:dyDescent="0.15">
      <c r="B65" s="2">
        <f>[1]节奏总纲!N65</f>
        <v>72</v>
      </c>
      <c r="C65" s="2">
        <v>62</v>
      </c>
      <c r="D65" s="2">
        <f>[1]节奏总纲!P65</f>
        <v>72.516694719810218</v>
      </c>
      <c r="E65" s="2">
        <f>[1]节奏总纲!Q65</f>
        <v>62.842967644187539</v>
      </c>
      <c r="F65" s="2">
        <f>[1]节奏总纲!R65</f>
        <v>51.5086082594812</v>
      </c>
      <c r="G65" s="2">
        <f>[1]节奏总纲!S65</f>
        <v>37.846462974268952</v>
      </c>
      <c r="H65" s="2">
        <f>[1]节奏总纲!T65</f>
        <v>21.124113171880715</v>
      </c>
      <c r="J65" s="2">
        <v>62</v>
      </c>
      <c r="K65" s="2">
        <f>[1]节奏总纲!W65</f>
        <v>4.9231931174874859</v>
      </c>
      <c r="L65" s="2">
        <f>[1]节奏总纲!X65</f>
        <v>4.2461611051339645</v>
      </c>
      <c r="M65" s="2">
        <f>[1]节奏总纲!Y65</f>
        <v>3.5307408221525236</v>
      </c>
      <c r="N65" s="2">
        <f>[1]节奏总纲!Z65</f>
        <v>2.6167299391383452</v>
      </c>
      <c r="O65" s="2">
        <f>[1]节奏总纲!AA65</f>
        <v>1.5219977072071238</v>
      </c>
      <c r="Q65" s="2">
        <v>62</v>
      </c>
      <c r="R65" s="2">
        <f>[1]节奏总纲!AD65</f>
        <v>59.766676153548232</v>
      </c>
      <c r="S65" s="2">
        <f>[1]节奏总纲!AE65</f>
        <v>61.801475350718952</v>
      </c>
      <c r="T65" s="2">
        <f>[1]节奏总纲!AF65</f>
        <v>64.593779498920611</v>
      </c>
      <c r="U65" s="2">
        <f>[1]节奏总纲!AG65</f>
        <v>69.105843627521551</v>
      </c>
      <c r="V65" s="2">
        <f>[1]节奏总纲!AH65</f>
        <v>77.59868607965646</v>
      </c>
      <c r="Z65" s="2">
        <v>62</v>
      </c>
      <c r="AA65" s="2">
        <f>[1]节奏总纲!AM65</f>
        <v>3431.3522956038646</v>
      </c>
      <c r="AB65" s="2">
        <f>[1]节奏总纲!AN65</f>
        <v>2745.081836483092</v>
      </c>
      <c r="AC65" s="2">
        <f>[1]节奏总纲!AO65</f>
        <v>2058.8113773623186</v>
      </c>
      <c r="AD65" s="2">
        <f>[1]节奏总纲!AP65</f>
        <v>1372.540918241546</v>
      </c>
      <c r="AE65" s="2">
        <f>[1]节奏总纲!AQ65</f>
        <v>686.27045912077301</v>
      </c>
      <c r="AG65" s="2">
        <v>62</v>
      </c>
      <c r="AH65" s="2">
        <f>[1]节奏总纲!AT65</f>
        <v>467.78916450111774</v>
      </c>
      <c r="AI65" s="2">
        <f>[1]节奏总纲!AU65</f>
        <v>374.23133160089446</v>
      </c>
      <c r="AJ65" s="2">
        <f>[1]节奏总纲!AV65</f>
        <v>280.67349870067051</v>
      </c>
      <c r="AK65" s="2">
        <f>[1]节奏总纲!AW65</f>
        <v>187.11566580044723</v>
      </c>
      <c r="AL65" s="2">
        <f>[1]节奏总纲!AX65</f>
        <v>93.557832900223616</v>
      </c>
      <c r="AN65" s="2">
        <v>62</v>
      </c>
      <c r="AO65" s="2">
        <f>[1]节奏总纲!BA65</f>
        <v>34.840239745526404</v>
      </c>
      <c r="AP65" s="2">
        <f>[1]节奏总纲!BB65</f>
        <v>36.315904388158508</v>
      </c>
      <c r="AQ65" s="2">
        <f>[1]节奏总纲!BC65</f>
        <v>38.246281847279398</v>
      </c>
      <c r="AR65" s="2">
        <f>[1]节奏总纲!BD65</f>
        <v>40.984830450008978</v>
      </c>
      <c r="AS65" s="2">
        <f>[1]节奏总纲!BE65</f>
        <v>45.646073769279901</v>
      </c>
    </row>
    <row r="66" spans="2:45" x14ac:dyDescent="0.15">
      <c r="B66" s="2">
        <f>[1]节奏总纲!N66</f>
        <v>73</v>
      </c>
      <c r="C66" s="2">
        <v>63</v>
      </c>
      <c r="D66" s="2">
        <f>[1]节奏总纲!P66</f>
        <v>77.793242454074615</v>
      </c>
      <c r="E66" s="2">
        <f>[1]节奏总纲!Q66</f>
        <v>67.470079180418907</v>
      </c>
      <c r="F66" s="2">
        <f>[1]节奏总纲!R66</f>
        <v>55.27987808786542</v>
      </c>
      <c r="G66" s="2">
        <f>[1]节奏总纲!S66</f>
        <v>40.678086479235617</v>
      </c>
      <c r="H66" s="2">
        <f>[1]节奏总纲!T66</f>
        <v>22.700068148098975</v>
      </c>
      <c r="J66" s="2">
        <v>63</v>
      </c>
      <c r="K66" s="2">
        <f>[1]节奏总纲!W66</f>
        <v>5.2765477342643976</v>
      </c>
      <c r="L66" s="2">
        <f>[1]节奏总纲!X66</f>
        <v>4.6271115362313679</v>
      </c>
      <c r="M66" s="2">
        <f>[1]节奏总纲!Y66</f>
        <v>3.7712698283842201</v>
      </c>
      <c r="N66" s="2">
        <f>[1]节奏总纲!Z66</f>
        <v>2.8316235049666645</v>
      </c>
      <c r="O66" s="2">
        <f>[1]节奏总纲!AA66</f>
        <v>1.5759549762182594</v>
      </c>
      <c r="Q66" s="2">
        <v>63</v>
      </c>
      <c r="R66" s="2">
        <f>[1]节奏总纲!AD66</f>
        <v>60</v>
      </c>
      <c r="S66" s="2">
        <f>[1]节奏总纲!AE66</f>
        <v>62.033937447710706</v>
      </c>
      <c r="T66" s="2">
        <f>[1]节奏总纲!AF66</f>
        <v>64.819145630244321</v>
      </c>
      <c r="U66" s="2">
        <f>[1]节奏总纲!AG66</f>
        <v>69.333613546893503</v>
      </c>
      <c r="V66" s="2">
        <f>[1]节奏总纲!AH66</f>
        <v>77.841626167956619</v>
      </c>
      <c r="Z66" s="2">
        <v>63</v>
      </c>
      <c r="AA66" s="2">
        <f>[1]节奏总纲!AM66</f>
        <v>3972.7200361130153</v>
      </c>
      <c r="AB66" s="2">
        <f>[1]节奏总纲!AN66</f>
        <v>3178.1760288904125</v>
      </c>
      <c r="AC66" s="2">
        <f>[1]节奏总纲!AO66</f>
        <v>2383.6320216678091</v>
      </c>
      <c r="AD66" s="2">
        <f>[1]节奏总纲!AP66</f>
        <v>1589.0880144452062</v>
      </c>
      <c r="AE66" s="2">
        <f>[1]节奏总纲!AQ66</f>
        <v>794.54400722260311</v>
      </c>
      <c r="AG66" s="2">
        <v>63</v>
      </c>
      <c r="AH66" s="2">
        <f>[1]节奏总纲!AT66</f>
        <v>541.36774050915074</v>
      </c>
      <c r="AI66" s="2">
        <f>[1]节奏总纲!AU66</f>
        <v>433.09419240732041</v>
      </c>
      <c r="AJ66" s="2">
        <f>[1]节奏总纲!AV66</f>
        <v>324.82064430549053</v>
      </c>
      <c r="AK66" s="2">
        <f>[1]节奏总纲!AW66</f>
        <v>216.5470962036602</v>
      </c>
      <c r="AL66" s="2">
        <f>[1]节奏总纲!AX66</f>
        <v>108.2735481018301</v>
      </c>
      <c r="AN66" s="2">
        <v>63</v>
      </c>
      <c r="AO66" s="2">
        <f>[1]节奏总纲!BA66</f>
        <v>34.946746581842135</v>
      </c>
      <c r="AP66" s="2">
        <f>[1]节奏总纲!BB66</f>
        <v>36.421117798953141</v>
      </c>
      <c r="AQ66" s="2">
        <f>[1]节奏总纲!BC66</f>
        <v>38.35066605767593</v>
      </c>
      <c r="AR66" s="2">
        <f>[1]节奏总纲!BD66</f>
        <v>41.087476216725996</v>
      </c>
      <c r="AS66" s="2">
        <f>[1]节奏总纲!BE66</f>
        <v>45.757658185390426</v>
      </c>
    </row>
    <row r="67" spans="2:45" x14ac:dyDescent="0.15">
      <c r="B67" s="2">
        <f>[1]节奏总纲!N67</f>
        <v>74</v>
      </c>
      <c r="C67" s="2">
        <v>64</v>
      </c>
      <c r="D67" s="2">
        <f>[1]节奏总纲!P67</f>
        <v>83.4485062894652</v>
      </c>
      <c r="E67" s="2">
        <f>[1]节奏总纲!Q67</f>
        <v>72.399924056740005</v>
      </c>
      <c r="F67" s="2">
        <f>[1]节奏总纲!R67</f>
        <v>59.365267374325548</v>
      </c>
      <c r="G67" s="2">
        <f>[1]节奏总纲!S67</f>
        <v>43.718672445050821</v>
      </c>
      <c r="H67" s="2">
        <f>[1]节奏总纲!T67</f>
        <v>24.341929284637001</v>
      </c>
      <c r="J67" s="2">
        <v>64</v>
      </c>
      <c r="K67" s="2">
        <f>[1]节奏总纲!W67</f>
        <v>5.6552638353905849</v>
      </c>
      <c r="L67" s="2">
        <f>[1]节奏总纲!X67</f>
        <v>4.9298448763210985</v>
      </c>
      <c r="M67" s="2">
        <f>[1]节奏总纲!Y67</f>
        <v>4.0853892864601278</v>
      </c>
      <c r="N67" s="2">
        <f>[1]节奏总纲!Z67</f>
        <v>3.0405859658152039</v>
      </c>
      <c r="O67" s="2">
        <f>[1]节奏总纲!AA67</f>
        <v>1.6418611365380258</v>
      </c>
      <c r="Q67" s="2">
        <v>64</v>
      </c>
      <c r="R67" s="2">
        <f>[1]节奏总纲!AD67</f>
        <v>60.217698846451768</v>
      </c>
      <c r="S67" s="2">
        <f>[1]节奏总纲!AE67</f>
        <v>62.250054995811666</v>
      </c>
      <c r="T67" s="2">
        <f>[1]节奏总纲!AF67</f>
        <v>65.042129882798193</v>
      </c>
      <c r="U67" s="2">
        <f>[1]节奏总纲!AG67</f>
        <v>69.56138346626544</v>
      </c>
      <c r="V67" s="2">
        <f>[1]节奏总纲!AH67</f>
        <v>78.077870469399883</v>
      </c>
      <c r="Z67" s="2">
        <v>64</v>
      </c>
      <c r="AA67" s="2">
        <f>[1]节奏总纲!AM67</f>
        <v>4599.2048883665893</v>
      </c>
      <c r="AB67" s="2">
        <f>[1]节奏总纲!AN67</f>
        <v>3679.3639106932715</v>
      </c>
      <c r="AC67" s="2">
        <f>[1]节奏总纲!AO67</f>
        <v>2759.5229330199536</v>
      </c>
      <c r="AD67" s="2">
        <f>[1]节奏总纲!AP67</f>
        <v>1839.6819553466357</v>
      </c>
      <c r="AE67" s="2">
        <f>[1]节奏总纲!AQ67</f>
        <v>919.84097767331787</v>
      </c>
      <c r="AG67" s="2">
        <v>64</v>
      </c>
      <c r="AH67" s="2">
        <f>[1]节奏总纲!AT67</f>
        <v>626.48485225357399</v>
      </c>
      <c r="AI67" s="2">
        <f>[1]节奏总纲!AU67</f>
        <v>501.18788180285901</v>
      </c>
      <c r="AJ67" s="2">
        <f>[1]节奏总纲!AV67</f>
        <v>375.89091135214449</v>
      </c>
      <c r="AK67" s="2">
        <f>[1]节奏总纲!AW67</f>
        <v>250.59394090142951</v>
      </c>
      <c r="AL67" s="2">
        <f>[1]节奏总纲!AX67</f>
        <v>125.29697045071475</v>
      </c>
      <c r="AN67" s="2">
        <v>64</v>
      </c>
      <c r="AO67" s="2">
        <f>[1]节奏总纲!BA67</f>
        <v>35.048795427931836</v>
      </c>
      <c r="AP67" s="2">
        <f>[1]节奏总纲!BB67</f>
        <v>36.526331209747774</v>
      </c>
      <c r="AQ67" s="2">
        <f>[1]节奏总纲!BC67</f>
        <v>38.455050268072462</v>
      </c>
      <c r="AR67" s="2">
        <f>[1]节奏总纲!BD67</f>
        <v>41.188041754455355</v>
      </c>
      <c r="AS67" s="2">
        <f>[1]节奏总纲!BE67</f>
        <v>45.869242601500943</v>
      </c>
    </row>
    <row r="68" spans="2:45" x14ac:dyDescent="0.15">
      <c r="B68" s="2">
        <f>[1]节奏总纲!N68</f>
        <v>75</v>
      </c>
      <c r="C68" s="2">
        <v>65</v>
      </c>
      <c r="D68" s="2">
        <f>[1]节奏总纲!P68</f>
        <v>89.509667991878061</v>
      </c>
      <c r="E68" s="2">
        <f>[1]节奏总纲!Q68</f>
        <v>77.64963698295422</v>
      </c>
      <c r="F68" s="2">
        <f>[1]节奏总纲!R68</f>
        <v>63.802491344610679</v>
      </c>
      <c r="G68" s="2">
        <f>[1]节奏总纲!S68</f>
        <v>46.929918928141667</v>
      </c>
      <c r="H68" s="2">
        <f>[1]节奏总纲!T68</f>
        <v>25.993607584841389</v>
      </c>
      <c r="J68" s="2">
        <v>65</v>
      </c>
      <c r="K68" s="2">
        <f>[1]节奏总纲!W68</f>
        <v>6.0611617024128606</v>
      </c>
      <c r="L68" s="2">
        <f>[1]节奏总纲!X68</f>
        <v>5.2497129262142153</v>
      </c>
      <c r="M68" s="2">
        <f>[1]节奏总纲!Y68</f>
        <v>4.4372239702851317</v>
      </c>
      <c r="N68" s="2">
        <f>[1]节奏总纲!Z68</f>
        <v>3.2112464830908465</v>
      </c>
      <c r="O68" s="2">
        <f>[1]节奏总纲!AA68</f>
        <v>1.651678300204388</v>
      </c>
      <c r="Q68" s="2">
        <v>65</v>
      </c>
      <c r="R68" s="2">
        <f>[1]节奏总纲!AD68</f>
        <v>60.435397692903535</v>
      </c>
      <c r="S68" s="2">
        <f>[1]节奏总纲!AE68</f>
        <v>62.466172543912634</v>
      </c>
      <c r="T68" s="2">
        <f>[1]节奏总纲!AF68</f>
        <v>65.255436396961542</v>
      </c>
      <c r="U68" s="2">
        <f>[1]节奏总纲!AG68</f>
        <v>69.789153385637391</v>
      </c>
      <c r="V68" s="2">
        <f>[1]节奏总纲!AH68</f>
        <v>78.301575047908599</v>
      </c>
      <c r="Z68" s="2">
        <v>65</v>
      </c>
      <c r="AA68" s="2">
        <f>[1]节奏总纲!AM68</f>
        <v>5324.1500000000005</v>
      </c>
      <c r="AB68" s="2">
        <f>[1]节奏总纲!AN68</f>
        <v>4259.3200000000006</v>
      </c>
      <c r="AC68" s="2">
        <f>[1]节奏总纲!AO68</f>
        <v>3194.4900000000002</v>
      </c>
      <c r="AD68" s="2">
        <f>[1]节奏总纲!AP68</f>
        <v>2129.6600000000003</v>
      </c>
      <c r="AE68" s="2">
        <f>[1]节奏总纲!AQ68</f>
        <v>1064.8300000000002</v>
      </c>
      <c r="AG68" s="2">
        <v>65</v>
      </c>
      <c r="AH68" s="2">
        <f>[1]节奏总纲!AT68</f>
        <v>724.94511163341122</v>
      </c>
      <c r="AI68" s="2">
        <f>[1]节奏总纲!AU68</f>
        <v>579.95608930672915</v>
      </c>
      <c r="AJ68" s="2">
        <f>[1]节奏总纲!AV68</f>
        <v>434.96706698004664</v>
      </c>
      <c r="AK68" s="2">
        <f>[1]节奏总纲!AW68</f>
        <v>289.97804465336458</v>
      </c>
      <c r="AL68" s="2">
        <f>[1]节奏总纲!AX68</f>
        <v>144.98902232668229</v>
      </c>
      <c r="AN68" s="2">
        <v>65</v>
      </c>
      <c r="AO68" s="2">
        <f>[1]节奏总纲!BA68</f>
        <v>35.146386283795508</v>
      </c>
      <c r="AP68" s="2">
        <f>[1]节奏总纲!BB68</f>
        <v>36.631544620542407</v>
      </c>
      <c r="AQ68" s="2">
        <f>[1]节奏总纲!BC68</f>
        <v>38.559434478468994</v>
      </c>
      <c r="AR68" s="2">
        <f>[1]节奏总纲!BD68</f>
        <v>41.288607292184714</v>
      </c>
      <c r="AS68" s="2">
        <f>[1]节奏总纲!BE68</f>
        <v>45.98082701761146</v>
      </c>
    </row>
    <row r="69" spans="2:45" x14ac:dyDescent="0.15">
      <c r="B69" s="2">
        <f>[1]节奏总纲!N69</f>
        <v>76</v>
      </c>
      <c r="C69" s="2">
        <v>66</v>
      </c>
      <c r="D69" s="2">
        <f>[1]节奏总纲!P69</f>
        <v>96.005860256665443</v>
      </c>
      <c r="E69" s="2">
        <f>[1]节奏总纲!Q69</f>
        <v>83.352287874836932</v>
      </c>
      <c r="F69" s="2">
        <f>[1]节奏总纲!R69</f>
        <v>68.490580707105124</v>
      </c>
      <c r="G69" s="2">
        <f>[1]节奏总纲!S69</f>
        <v>50.163061984107692</v>
      </c>
      <c r="H69" s="2">
        <f>[1]节奏总纲!T69</f>
        <v>27.851300060458648</v>
      </c>
      <c r="J69" s="2">
        <v>66</v>
      </c>
      <c r="K69" s="2">
        <f>[1]节奏总纲!W69</f>
        <v>6.496192264787382</v>
      </c>
      <c r="L69" s="2">
        <f>[1]节奏总纲!X69</f>
        <v>5.7026508918827119</v>
      </c>
      <c r="M69" s="2">
        <f>[1]节奏总纲!Y69</f>
        <v>4.6880893624944449</v>
      </c>
      <c r="N69" s="2">
        <f>[1]节奏总纲!Z69</f>
        <v>3.2331430559660248</v>
      </c>
      <c r="O69" s="2">
        <f>[1]节奏总纲!AA69</f>
        <v>1.8576924756172595</v>
      </c>
      <c r="Q69" s="2">
        <v>66</v>
      </c>
      <c r="R69" s="2">
        <f>[1]节奏总纲!AD69</f>
        <v>60.653096539355303</v>
      </c>
      <c r="S69" s="2">
        <f>[1]节奏总纲!AE69</f>
        <v>62.682290092013595</v>
      </c>
      <c r="T69" s="2">
        <f>[1]节奏总纲!AF69</f>
        <v>65.468742911124906</v>
      </c>
      <c r="U69" s="2">
        <f>[1]节奏总纲!AG69</f>
        <v>70.015851474333999</v>
      </c>
      <c r="V69" s="2">
        <f>[1]节奏总纲!AH69</f>
        <v>78.525279626417301</v>
      </c>
      <c r="Z69" s="2">
        <v>66</v>
      </c>
      <c r="AA69" s="2">
        <f>[1]节奏总纲!AM69</f>
        <v>6162.9846853088866</v>
      </c>
      <c r="AB69" s="2">
        <f>[1]节奏总纲!AN69</f>
        <v>4930.3877482471098</v>
      </c>
      <c r="AC69" s="2">
        <f>[1]节奏总纲!AO69</f>
        <v>3697.7908111853317</v>
      </c>
      <c r="AD69" s="2">
        <f>[1]节奏总纲!AP69</f>
        <v>2465.1938741235549</v>
      </c>
      <c r="AE69" s="2">
        <f>[1]节奏总纲!AQ69</f>
        <v>1232.5969370617775</v>
      </c>
      <c r="AG69" s="2">
        <v>66</v>
      </c>
      <c r="AH69" s="2">
        <f>[1]节奏总纲!AT69</f>
        <v>838.83468530888604</v>
      </c>
      <c r="AI69" s="2">
        <f>[1]节奏总纲!AU69</f>
        <v>671.06774824710919</v>
      </c>
      <c r="AJ69" s="2">
        <f>[1]节奏总纲!AV69</f>
        <v>503.30081118533144</v>
      </c>
      <c r="AK69" s="2">
        <f>[1]节奏总纲!AW69</f>
        <v>335.5338741235546</v>
      </c>
      <c r="AL69" s="2">
        <f>[1]节奏总纲!AX69</f>
        <v>167.7669370617773</v>
      </c>
      <c r="AN69" s="2">
        <v>66</v>
      </c>
      <c r="AO69" s="2">
        <f>[1]节奏总纲!BA69</f>
        <v>35.243977139659179</v>
      </c>
      <c r="AP69" s="2">
        <f>[1]节奏总纲!BB69</f>
        <v>36.73675803133704</v>
      </c>
      <c r="AQ69" s="2">
        <f>[1]节奏总纲!BC69</f>
        <v>38.663818688865533</v>
      </c>
      <c r="AR69" s="2">
        <f>[1]节奏总纲!BD69</f>
        <v>41.389172829914081</v>
      </c>
      <c r="AS69" s="2">
        <f>[1]节奏总纲!BE69</f>
        <v>46.079770001861057</v>
      </c>
    </row>
    <row r="70" spans="2:45" x14ac:dyDescent="0.15">
      <c r="B70" s="2">
        <f>[1]节奏总纲!N70</f>
        <v>77</v>
      </c>
      <c r="C70" s="2">
        <v>67</v>
      </c>
      <c r="D70" s="2">
        <f>[1]节奏总纲!P70</f>
        <v>102.96830673359811</v>
      </c>
      <c r="E70" s="2">
        <f>[1]节奏总纲!Q70</f>
        <v>89.469161720823394</v>
      </c>
      <c r="F70" s="2">
        <f>[1]节奏总纲!R70</f>
        <v>73.292840732975137</v>
      </c>
      <c r="G70" s="2">
        <f>[1]节奏总纲!S70</f>
        <v>53.625894146857902</v>
      </c>
      <c r="H70" s="2">
        <f>[1]节奏总纲!T70</f>
        <v>29.799027968703292</v>
      </c>
      <c r="J70" s="2">
        <v>67</v>
      </c>
      <c r="K70" s="2">
        <f>[1]节奏总纲!W70</f>
        <v>6.9624464769326693</v>
      </c>
      <c r="L70" s="2">
        <f>[1]节奏总纲!X70</f>
        <v>6.1168738459864613</v>
      </c>
      <c r="M70" s="2">
        <f>[1]节奏总纲!Y70</f>
        <v>4.8022600258700123</v>
      </c>
      <c r="N70" s="2">
        <f>[1]节奏总纲!Z70</f>
        <v>3.4628321627502103</v>
      </c>
      <c r="O70" s="2">
        <f>[1]节奏总纲!AA70</f>
        <v>1.9477279082446444</v>
      </c>
      <c r="Q70" s="2">
        <v>67</v>
      </c>
      <c r="R70" s="2">
        <f>[1]节奏总纲!AD70</f>
        <v>60.870795385807064</v>
      </c>
      <c r="S70" s="2">
        <f>[1]节奏总纲!AE70</f>
        <v>62.898407640114556</v>
      </c>
      <c r="T70" s="2">
        <f>[1]节奏总纲!AF70</f>
        <v>65.682049425288255</v>
      </c>
      <c r="U70" s="2">
        <f>[1]节奏总纲!AG70</f>
        <v>70.229195678021767</v>
      </c>
      <c r="V70" s="2">
        <f>[1]节奏总纲!AH70</f>
        <v>78.748984204926018</v>
      </c>
      <c r="Z70" s="2">
        <v>67</v>
      </c>
      <c r="AA70" s="2">
        <f>[1]节奏总纲!AM70</f>
        <v>7133.5498113340191</v>
      </c>
      <c r="AB70" s="2">
        <f>[1]节奏总纲!AN70</f>
        <v>5706.8398490672153</v>
      </c>
      <c r="AC70" s="2">
        <f>[1]节奏总纲!AO70</f>
        <v>4280.1298868004114</v>
      </c>
      <c r="AD70" s="2">
        <f>[1]节奏总纲!AP70</f>
        <v>2853.4199245336076</v>
      </c>
      <c r="AE70" s="2">
        <f>[1]节奏总纲!AQ70</f>
        <v>1426.7099622668038</v>
      </c>
      <c r="AG70" s="2">
        <v>67</v>
      </c>
      <c r="AH70" s="2">
        <f>[1]节奏总纲!AT70</f>
        <v>970.56512602513249</v>
      </c>
      <c r="AI70" s="2">
        <f>[1]节奏总纲!AU70</f>
        <v>776.45210082010544</v>
      </c>
      <c r="AJ70" s="2">
        <f>[1]节奏总纲!AV70</f>
        <v>582.33907561507976</v>
      </c>
      <c r="AK70" s="2">
        <f>[1]节奏总纲!AW70</f>
        <v>388.22605041005272</v>
      </c>
      <c r="AL70" s="2">
        <f>[1]节奏总纲!AX70</f>
        <v>194.11302520502636</v>
      </c>
      <c r="AN70" s="2">
        <v>67</v>
      </c>
      <c r="AO70" s="2">
        <f>[1]节奏总纲!BA70</f>
        <v>35.341567995522851</v>
      </c>
      <c r="AP70" s="2">
        <f>[1]节奏总纲!BB70</f>
        <v>36.841971442131673</v>
      </c>
      <c r="AQ70" s="2">
        <f>[1]节奏总纲!BC70</f>
        <v>38.768202899262064</v>
      </c>
      <c r="AR70" s="2">
        <f>[1]节奏总纲!BD70</f>
        <v>41.48973836764344</v>
      </c>
      <c r="AS70" s="2">
        <f>[1]节奏总纲!BE70</f>
        <v>46.176090215954694</v>
      </c>
    </row>
    <row r="71" spans="2:45" x14ac:dyDescent="0.15">
      <c r="B71" s="2">
        <f>[1]节奏总纲!N71</f>
        <v>78</v>
      </c>
      <c r="C71" s="2">
        <v>68</v>
      </c>
      <c r="D71" s="2">
        <f>[1]节奏总纲!P71</f>
        <v>110.43047210190386</v>
      </c>
      <c r="E71" s="2">
        <f>[1]节奏总纲!Q71</f>
        <v>95.831563690032169</v>
      </c>
      <c r="F71" s="2">
        <f>[1]节奏总纲!R71</f>
        <v>78.251032531409081</v>
      </c>
      <c r="G71" s="2">
        <f>[1]节奏总纲!S71</f>
        <v>57.412802445779818</v>
      </c>
      <c r="H71" s="2">
        <f>[1]节奏总纲!T71</f>
        <v>31.859191201399263</v>
      </c>
      <c r="J71" s="2">
        <v>68</v>
      </c>
      <c r="K71" s="2">
        <f>[1]节奏总纲!W71</f>
        <v>7.4621653683057474</v>
      </c>
      <c r="L71" s="2">
        <f>[1]节奏总纲!X71</f>
        <v>6.3624019692087757</v>
      </c>
      <c r="M71" s="2">
        <f>[1]节奏总纲!Y71</f>
        <v>4.9581917984339441</v>
      </c>
      <c r="N71" s="2">
        <f>[1]节奏总纲!Z71</f>
        <v>3.7869082989219152</v>
      </c>
      <c r="O71" s="2">
        <f>[1]节奏总纲!AA71</f>
        <v>2.0601632326959702</v>
      </c>
      <c r="Q71" s="2">
        <v>68</v>
      </c>
      <c r="R71" s="2">
        <f>[1]节奏总纲!AD71</f>
        <v>61.082568038258209</v>
      </c>
      <c r="S71" s="2">
        <f>[1]节奏总纲!AE71</f>
        <v>63.107492392331935</v>
      </c>
      <c r="T71" s="2">
        <f>[1]节奏总纲!AF71</f>
        <v>65.895355939451605</v>
      </c>
      <c r="U71" s="2">
        <f>[1]节奏总纲!AG71</f>
        <v>70.442539881709536</v>
      </c>
      <c r="V71" s="2">
        <f>[1]节奏总纲!AH71</f>
        <v>78.972688783434734</v>
      </c>
      <c r="Z71" s="2">
        <v>68</v>
      </c>
      <c r="AA71" s="2">
        <f>[1]节奏总纲!AM71</f>
        <v>8256.4738250473602</v>
      </c>
      <c r="AB71" s="2">
        <f>[1]节奏总纲!AN71</f>
        <v>6605.1790600378881</v>
      </c>
      <c r="AC71" s="2">
        <f>[1]节奏总纲!AO71</f>
        <v>4953.8842950284161</v>
      </c>
      <c r="AD71" s="2">
        <f>[1]节奏总纲!AP71</f>
        <v>3302.5895300189441</v>
      </c>
      <c r="AE71" s="2">
        <f>[1]节奏总纲!AQ71</f>
        <v>1651.294765009472</v>
      </c>
      <c r="AG71" s="2">
        <v>68</v>
      </c>
      <c r="AH71" s="2">
        <f>[1]节奏总纲!AT71</f>
        <v>1122.9240137133411</v>
      </c>
      <c r="AI71" s="2">
        <f>[1]节奏总纲!AU71</f>
        <v>898.33921097067287</v>
      </c>
      <c r="AJ71" s="2">
        <f>[1]节奏总纲!AV71</f>
        <v>673.75440822800465</v>
      </c>
      <c r="AK71" s="2">
        <f>[1]节奏总纲!AW71</f>
        <v>449.16960548533643</v>
      </c>
      <c r="AL71" s="2">
        <f>[1]节奏总纲!AX71</f>
        <v>224.58480274266822</v>
      </c>
      <c r="AN71" s="2">
        <v>68</v>
      </c>
      <c r="AO71" s="2">
        <f>[1]节奏总纲!BA71</f>
        <v>35.439158851386523</v>
      </c>
      <c r="AP71" s="2">
        <f>[1]节奏总纲!BB71</f>
        <v>36.947184852926306</v>
      </c>
      <c r="AQ71" s="2">
        <f>[1]节奏总纲!BC71</f>
        <v>38.872587109658596</v>
      </c>
      <c r="AR71" s="2">
        <f>[1]节奏总纲!BD71</f>
        <v>41.590303905372799</v>
      </c>
      <c r="AS71" s="2">
        <f>[1]节奏总纲!BE71</f>
        <v>46.272410430048332</v>
      </c>
    </row>
    <row r="72" spans="2:45" x14ac:dyDescent="0.15">
      <c r="B72" s="2">
        <f>[1]节奏总纲!N72</f>
        <v>79</v>
      </c>
      <c r="C72" s="2">
        <v>69</v>
      </c>
      <c r="D72" s="2">
        <f>[1]节奏总纲!P72</f>
        <v>118.42822291671132</v>
      </c>
      <c r="E72" s="2">
        <f>[1]节奏总纲!Q72</f>
        <v>102.51146975670532</v>
      </c>
      <c r="F72" s="2">
        <f>[1]节奏总纲!R72</f>
        <v>83.894553114198303</v>
      </c>
      <c r="G72" s="2">
        <f>[1]节奏总纲!S72</f>
        <v>61.535304627523196</v>
      </c>
      <c r="H72" s="2">
        <f>[1]节奏总纲!T72</f>
        <v>34.059956910846175</v>
      </c>
      <c r="J72" s="2">
        <v>69</v>
      </c>
      <c r="K72" s="2">
        <f>[1]节奏总纲!W72</f>
        <v>7.9977508148074605</v>
      </c>
      <c r="L72" s="2">
        <f>[1]节奏总纲!X72</f>
        <v>6.6799060666731549</v>
      </c>
      <c r="M72" s="2">
        <f>[1]节奏总纲!Y72</f>
        <v>5.6435205827892219</v>
      </c>
      <c r="N72" s="2">
        <f>[1]节奏总纲!Z72</f>
        <v>4.1225021817433785</v>
      </c>
      <c r="O72" s="2">
        <f>[1]节奏总纲!AA72</f>
        <v>2.2007657094469124</v>
      </c>
      <c r="Q72" s="2">
        <v>69</v>
      </c>
      <c r="R72" s="2">
        <f>[1]节奏总纲!AD72</f>
        <v>61.285688244217212</v>
      </c>
      <c r="S72" s="2">
        <f>[1]节奏总纲!AE72</f>
        <v>63.310338531528565</v>
      </c>
      <c r="T72" s="2">
        <f>[1]节奏总纲!AF72</f>
        <v>66.106079073217742</v>
      </c>
      <c r="U72" s="2">
        <f>[1]节奏总纲!AG72</f>
        <v>70.655884085397304</v>
      </c>
      <c r="V72" s="2">
        <f>[1]节奏总纲!AH72</f>
        <v>79.188599387584361</v>
      </c>
      <c r="Z72" s="2">
        <v>69</v>
      </c>
      <c r="AA72" s="2">
        <f>[1]节奏总纲!AM72</f>
        <v>9555.6072874592737</v>
      </c>
      <c r="AB72" s="2">
        <f>[1]节奏总纲!AN72</f>
        <v>7644.4858299674197</v>
      </c>
      <c r="AC72" s="2">
        <f>[1]节奏总纲!AO72</f>
        <v>5733.3643724755639</v>
      </c>
      <c r="AD72" s="2">
        <f>[1]节奏总纲!AP72</f>
        <v>3822.2429149837099</v>
      </c>
      <c r="AE72" s="2">
        <f>[1]节奏总纲!AQ72</f>
        <v>1911.1214574918549</v>
      </c>
      <c r="AG72" s="2">
        <v>69</v>
      </c>
      <c r="AH72" s="2">
        <f>[1]节奏总纲!AT72</f>
        <v>1299.1334624119136</v>
      </c>
      <c r="AI72" s="2">
        <f>[1]节奏总纲!AU72</f>
        <v>1039.3067699295316</v>
      </c>
      <c r="AJ72" s="2">
        <f>[1]节奏总纲!AV72</f>
        <v>779.48007744714778</v>
      </c>
      <c r="AK72" s="2">
        <f>[1]节奏总纲!AW72</f>
        <v>519.65338496476579</v>
      </c>
      <c r="AL72" s="2">
        <f>[1]节奏总纲!AX72</f>
        <v>259.8266924823829</v>
      </c>
      <c r="AN72" s="2">
        <v>69</v>
      </c>
      <c r="AO72" s="2">
        <f>[1]节奏总纲!BA72</f>
        <v>35.536749707250202</v>
      </c>
      <c r="AP72" s="2">
        <f>[1]节奏总纲!BB72</f>
        <v>37.045197000674086</v>
      </c>
      <c r="AQ72" s="2">
        <f>[1]节奏总纲!BC72</f>
        <v>38.976971320055128</v>
      </c>
      <c r="AR72" s="2">
        <f>[1]节奏总纲!BD72</f>
        <v>41.690869443102159</v>
      </c>
      <c r="AS72" s="2">
        <f>[1]节奏总纲!BE72</f>
        <v>46.368730644141969</v>
      </c>
    </row>
    <row r="73" spans="2:45" x14ac:dyDescent="0.15">
      <c r="B73" s="2">
        <f>[1]节奏总纲!N73</f>
        <v>80</v>
      </c>
      <c r="C73" s="2">
        <v>70</v>
      </c>
      <c r="D73" s="2">
        <f>[1]节奏总纲!P73</f>
        <v>127</v>
      </c>
      <c r="E73" s="2">
        <f>[1]节奏总纲!Q73</f>
        <v>109.9693</v>
      </c>
      <c r="F73" s="2">
        <f>[1]节奏总纲!R73</f>
        <v>90.106499999999997</v>
      </c>
      <c r="G73" s="2">
        <f>[1]节奏总纲!S73</f>
        <v>65.925700000000006</v>
      </c>
      <c r="H73" s="2">
        <f>[1]节奏总纲!T73</f>
        <v>36.4998</v>
      </c>
      <c r="J73" s="2">
        <v>70</v>
      </c>
      <c r="K73" s="2">
        <f>[1]节奏总纲!W73</f>
        <v>8.5717770832886799</v>
      </c>
      <c r="L73" s="2">
        <f>[1]节奏总纲!X73</f>
        <v>7.4578302432946799</v>
      </c>
      <c r="M73" s="2">
        <f>[1]节奏总纲!Y73</f>
        <v>6.2119468858016944</v>
      </c>
      <c r="N73" s="2">
        <f>[1]节奏总纲!Z73</f>
        <v>4.3903953724768101</v>
      </c>
      <c r="O73" s="2">
        <f>[1]节奏总纲!AA73</f>
        <v>2.4398430891538254</v>
      </c>
      <c r="Q73" s="2">
        <v>70</v>
      </c>
      <c r="R73" s="2">
        <f>[1]节奏总纲!AD73</f>
        <v>61.488808450176215</v>
      </c>
      <c r="S73" s="2">
        <f>[1]节奏总纲!AE73</f>
        <v>63.513184670725188</v>
      </c>
      <c r="T73" s="2">
        <f>[1]节奏总纲!AF73</f>
        <v>66.314314361313961</v>
      </c>
      <c r="U73" s="2">
        <f>[1]节奏总纲!AG73</f>
        <v>70.869228289085072</v>
      </c>
      <c r="V73" s="2">
        <f>[1]节奏总纲!AH73</f>
        <v>79.403426131671111</v>
      </c>
      <c r="Z73" s="2">
        <v>70</v>
      </c>
      <c r="AA73" s="2">
        <f>[1]节奏总纲!AM73</f>
        <v>11058.525000000001</v>
      </c>
      <c r="AB73" s="2">
        <f>[1]节奏总纲!AN73</f>
        <v>8846.8200000000015</v>
      </c>
      <c r="AC73" s="2">
        <f>[1]节奏总纲!AO73</f>
        <v>6635.1150000000007</v>
      </c>
      <c r="AD73" s="2">
        <f>[1]节奏总纲!AP73</f>
        <v>4423.4100000000008</v>
      </c>
      <c r="AE73" s="2">
        <f>[1]节奏总纲!AQ73</f>
        <v>2211.7050000000004</v>
      </c>
      <c r="AG73" s="2">
        <v>70</v>
      </c>
      <c r="AH73" s="2">
        <f>[1]节奏总纲!AT73</f>
        <v>1502.9177125407277</v>
      </c>
      <c r="AI73" s="2">
        <f>[1]节奏总纲!AU73</f>
        <v>1202.3341700325818</v>
      </c>
      <c r="AJ73" s="2">
        <f>[1]节奏总纲!AV73</f>
        <v>901.75062752443682</v>
      </c>
      <c r="AK73" s="2">
        <f>[1]节奏总纲!AW73</f>
        <v>601.16708501629091</v>
      </c>
      <c r="AL73" s="2">
        <f>[1]节奏总纲!AX73</f>
        <v>300.58354250814546</v>
      </c>
      <c r="AN73" s="2">
        <v>70</v>
      </c>
      <c r="AO73" s="2">
        <f>[1]节奏总纲!BA73</f>
        <v>35.634340563113874</v>
      </c>
      <c r="AP73" s="2">
        <f>[1]节奏总纲!BB73</f>
        <v>37.135950591746003</v>
      </c>
      <c r="AQ73" s="2">
        <f>[1]节奏总纲!BC73</f>
        <v>39.070187171981765</v>
      </c>
      <c r="AR73" s="2">
        <f>[1]节奏总纲!BD73</f>
        <v>41.791434980831518</v>
      </c>
      <c r="AS73" s="2">
        <f>[1]节奏总纲!BE73</f>
        <v>46.465050858235607</v>
      </c>
    </row>
    <row r="74" spans="2:45" x14ac:dyDescent="0.15">
      <c r="B74" s="2">
        <f>[1]节奏总纲!N74</f>
        <v>81</v>
      </c>
      <c r="C74" s="2">
        <v>71</v>
      </c>
      <c r="D74" s="2">
        <f>[1]节奏总纲!P74</f>
        <v>136.18700320464549</v>
      </c>
      <c r="E74" s="2">
        <f>[1]节奏总纲!Q74</f>
        <v>118.03327567746625</v>
      </c>
      <c r="F74" s="2">
        <f>[1]节奏总纲!R74</f>
        <v>96.583822672734584</v>
      </c>
      <c r="G74" s="2">
        <f>[1]节奏总纲!S74</f>
        <v>70.612961161608681</v>
      </c>
      <c r="H74" s="2">
        <f>[1]节奏总纲!T74</f>
        <v>39.126526020694648</v>
      </c>
      <c r="J74" s="2">
        <v>71</v>
      </c>
      <c r="K74" s="2">
        <f>[1]节奏总纲!W74</f>
        <v>9.1870032046454924</v>
      </c>
      <c r="L74" s="2">
        <f>[1]节奏总纲!X74</f>
        <v>8.0639756774662459</v>
      </c>
      <c r="M74" s="2">
        <f>[1]节奏总纲!Y74</f>
        <v>6.4773226727345872</v>
      </c>
      <c r="N74" s="2">
        <f>[1]节奏总纲!Z74</f>
        <v>4.6872611616086743</v>
      </c>
      <c r="O74" s="2">
        <f>[1]节奏总纲!AA74</f>
        <v>2.6267260206946474</v>
      </c>
      <c r="Q74" s="2">
        <v>71</v>
      </c>
      <c r="R74" s="2">
        <f>[1]节奏总纲!AD74</f>
        <v>61.691928656135218</v>
      </c>
      <c r="S74" s="2">
        <f>[1]节奏总纲!AE74</f>
        <v>63.716030809921811</v>
      </c>
      <c r="T74" s="2">
        <f>[1]节奏总纲!AF74</f>
        <v>66.52254964941018</v>
      </c>
      <c r="U74" s="2">
        <f>[1]节奏总纲!AG74</f>
        <v>71.07781362467729</v>
      </c>
      <c r="V74" s="2">
        <f>[1]节奏总纲!AH74</f>
        <v>79.618252875757847</v>
      </c>
      <c r="Z74" s="2">
        <v>71</v>
      </c>
      <c r="AA74" s="2">
        <f>[1]节奏总纲!AM74</f>
        <v>12797.106216824561</v>
      </c>
      <c r="AB74" s="2">
        <f>[1]节奏总纲!AN74</f>
        <v>10237.684973459649</v>
      </c>
      <c r="AC74" s="2">
        <f>[1]节奏总纲!AO74</f>
        <v>7678.2637300947363</v>
      </c>
      <c r="AD74" s="2">
        <f>[1]节奏总纲!AP74</f>
        <v>5118.8424867298245</v>
      </c>
      <c r="AE74" s="2">
        <f>[1]节奏总纲!AQ74</f>
        <v>2559.4212433649122</v>
      </c>
      <c r="AG74" s="2">
        <v>71</v>
      </c>
      <c r="AH74" s="2">
        <f>[1]节奏总纲!AT74</f>
        <v>1738.5812168245593</v>
      </c>
      <c r="AI74" s="2">
        <f>[1]节奏总纲!AU74</f>
        <v>1390.8649734596474</v>
      </c>
      <c r="AJ74" s="2">
        <f>[1]节奏总纲!AV74</f>
        <v>1043.1487300947356</v>
      </c>
      <c r="AK74" s="2">
        <f>[1]节奏总纲!AW74</f>
        <v>695.43248672982372</v>
      </c>
      <c r="AL74" s="2">
        <f>[1]节奏总纲!AX74</f>
        <v>347.71624336491186</v>
      </c>
      <c r="AN74" s="2">
        <v>71</v>
      </c>
      <c r="AO74" s="2">
        <f>[1]节奏总纲!BA74</f>
        <v>35.731931418977545</v>
      </c>
      <c r="AP74" s="2">
        <f>[1]节奏总纲!BB74</f>
        <v>37.226704182817912</v>
      </c>
      <c r="AQ74" s="2">
        <f>[1]节奏总纲!BC74</f>
        <v>39.160241683169971</v>
      </c>
      <c r="AR74" s="2">
        <f>[1]节奏总纲!BD74</f>
        <v>41.892000518560877</v>
      </c>
      <c r="AS74" s="2">
        <f>[1]节奏总纲!BE74</f>
        <v>46.561371072329244</v>
      </c>
    </row>
    <row r="75" spans="2:45" x14ac:dyDescent="0.15">
      <c r="B75" s="2">
        <f>[1]节奏总纲!N75</f>
        <v>82</v>
      </c>
      <c r="C75" s="2">
        <v>72</v>
      </c>
      <c r="D75" s="2">
        <f>[1]节奏总纲!P75</f>
        <v>146.03338943962044</v>
      </c>
      <c r="E75" s="2">
        <f>[1]节奏总纲!Q75</f>
        <v>126.581741966263</v>
      </c>
      <c r="F75" s="2">
        <f>[1]节奏总纲!R75</f>
        <v>103.31862302853146</v>
      </c>
      <c r="G75" s="2">
        <f>[1]节奏总纲!S75</f>
        <v>75.586882373947532</v>
      </c>
      <c r="H75" s="2">
        <f>[1]节奏总纲!T75</f>
        <v>41.896979430227098</v>
      </c>
      <c r="J75" s="2">
        <v>72</v>
      </c>
      <c r="K75" s="2">
        <f>[1]节奏总纲!W75</f>
        <v>9.8463862349749434</v>
      </c>
      <c r="L75" s="2">
        <f>[1]节奏总纲!X75</f>
        <v>8.548466288796746</v>
      </c>
      <c r="M75" s="2">
        <f>[1]节奏总纲!Y75</f>
        <v>6.7348003557968781</v>
      </c>
      <c r="N75" s="2">
        <f>[1]节奏总纲!Z75</f>
        <v>4.9739212123388512</v>
      </c>
      <c r="O75" s="2">
        <f>[1]节奏总纲!AA75</f>
        <v>2.7704534095324505</v>
      </c>
      <c r="Q75" s="2">
        <v>72</v>
      </c>
      <c r="R75" s="2">
        <f>[1]节奏总纲!AD75</f>
        <v>61.895048862094221</v>
      </c>
      <c r="S75" s="2">
        <f>[1]节奏总纲!AE75</f>
        <v>63.918876949118435</v>
      </c>
      <c r="T75" s="2">
        <f>[1]节奏总纲!AF75</f>
        <v>66.7307849375064</v>
      </c>
      <c r="U75" s="2">
        <f>[1]节奏总纲!AG75</f>
        <v>71.278862245535876</v>
      </c>
      <c r="V75" s="2">
        <f>[1]节奏总纲!AH75</f>
        <v>79.833079619844597</v>
      </c>
      <c r="Z75" s="2">
        <v>72</v>
      </c>
      <c r="AA75" s="2">
        <f>[1]节奏总纲!AM75</f>
        <v>14808.205062920617</v>
      </c>
      <c r="AB75" s="2">
        <f>[1]节奏总纲!AN75</f>
        <v>11846.564050336494</v>
      </c>
      <c r="AC75" s="2">
        <f>[1]节奏总纲!AO75</f>
        <v>8884.9230377523691</v>
      </c>
      <c r="AD75" s="2">
        <f>[1]节奏总纲!AP75</f>
        <v>5923.2820251682469</v>
      </c>
      <c r="AE75" s="2">
        <f>[1]节奏总纲!AQ75</f>
        <v>2961.6410125841235</v>
      </c>
      <c r="AG75" s="2">
        <v>72</v>
      </c>
      <c r="AH75" s="2">
        <f>[1]节奏总纲!AT75</f>
        <v>2011.0988460960561</v>
      </c>
      <c r="AI75" s="2">
        <f>[1]节奏总纲!AU75</f>
        <v>1608.8790768768449</v>
      </c>
      <c r="AJ75" s="2">
        <f>[1]节奏总纲!AV75</f>
        <v>1206.6593076576328</v>
      </c>
      <c r="AK75" s="2">
        <f>[1]节奏总纲!AW75</f>
        <v>804.43953843842246</v>
      </c>
      <c r="AL75" s="2">
        <f>[1]节奏总纲!AX75</f>
        <v>402.21976921921123</v>
      </c>
      <c r="AN75" s="2">
        <v>72</v>
      </c>
      <c r="AO75" s="2">
        <f>[1]节奏总纲!BA75</f>
        <v>35.829522274841217</v>
      </c>
      <c r="AP75" s="2">
        <f>[1]节奏总纲!BB75</f>
        <v>37.317457773889828</v>
      </c>
      <c r="AQ75" s="2">
        <f>[1]节奏总纲!BC75</f>
        <v>39.250296194358178</v>
      </c>
      <c r="AR75" s="2">
        <f>[1]节奏总纲!BD75</f>
        <v>41.992566056290244</v>
      </c>
      <c r="AS75" s="2">
        <f>[1]节奏总纲!BE75</f>
        <v>46.657691286422882</v>
      </c>
    </row>
    <row r="76" spans="2:45" x14ac:dyDescent="0.15">
      <c r="B76" s="2">
        <f>[1]节奏总纲!N76</f>
        <v>83</v>
      </c>
      <c r="C76" s="2">
        <v>73</v>
      </c>
      <c r="D76" s="2">
        <f>[1]节奏总纲!P76</f>
        <v>156.58648490814926</v>
      </c>
      <c r="E76" s="2">
        <f>[1]节奏总纲!Q76</f>
        <v>135.41599214856748</v>
      </c>
      <c r="F76" s="2">
        <f>[1]节奏总纲!R76</f>
        <v>110.58137564213501</v>
      </c>
      <c r="G76" s="2">
        <f>[1]节奏总纲!S76</f>
        <v>80.955212697513176</v>
      </c>
      <c r="H76" s="2">
        <f>[1]节奏总纲!T76</f>
        <v>44.877686574675579</v>
      </c>
      <c r="J76" s="2">
        <v>73</v>
      </c>
      <c r="K76" s="2">
        <f>[1]节奏总纲!W76</f>
        <v>10.553095468528824</v>
      </c>
      <c r="L76" s="2">
        <f>[1]节奏总纲!X76</f>
        <v>8.834250182304487</v>
      </c>
      <c r="M76" s="2">
        <f>[1]节奏总纲!Y76</f>
        <v>7.2627526136035527</v>
      </c>
      <c r="N76" s="2">
        <f>[1]节奏总纲!Z76</f>
        <v>5.3683303235656439</v>
      </c>
      <c r="O76" s="2">
        <f>[1]节奏总纲!AA76</f>
        <v>2.9807071444484805</v>
      </c>
      <c r="Q76" s="2">
        <v>73</v>
      </c>
      <c r="R76" s="2">
        <f>[1]节奏总纲!AD76</f>
        <v>62.091594979242075</v>
      </c>
      <c r="S76" s="2">
        <f>[1]节奏总纲!AE76</f>
        <v>64.114306430026588</v>
      </c>
      <c r="T76" s="2">
        <f>[1]节奏总纲!AF76</f>
        <v>66.939020225602619</v>
      </c>
      <c r="U76" s="2">
        <f>[1]节奏总纲!AG76</f>
        <v>71.479910866394462</v>
      </c>
      <c r="V76" s="2">
        <f>[1]节奏总纲!AH76</f>
        <v>80.043898354812981</v>
      </c>
      <c r="Z76" s="2">
        <v>73</v>
      </c>
      <c r="AA76" s="2">
        <f>[1]节奏总纲!AM76</f>
        <v>17134.425155737379</v>
      </c>
      <c r="AB76" s="2">
        <f>[1]节奏总纲!AN76</f>
        <v>13707.540124589905</v>
      </c>
      <c r="AC76" s="2">
        <f>[1]节奏总纲!AO76</f>
        <v>10280.655093442427</v>
      </c>
      <c r="AD76" s="2">
        <f>[1]节奏总纲!AP76</f>
        <v>6853.7700622949524</v>
      </c>
      <c r="AE76" s="2">
        <f>[1]节奏总纲!AQ76</f>
        <v>3426.8850311474762</v>
      </c>
      <c r="AG76" s="2">
        <v>73</v>
      </c>
      <c r="AH76" s="2">
        <f>[1]节奏总纲!AT76</f>
        <v>2326.2200928167622</v>
      </c>
      <c r="AI76" s="2">
        <f>[1]节奏总纲!AU76</f>
        <v>1860.9760742534108</v>
      </c>
      <c r="AJ76" s="2">
        <f>[1]节奏总纲!AV76</f>
        <v>1395.7320556900577</v>
      </c>
      <c r="AK76" s="2">
        <f>[1]节奏总纲!AW76</f>
        <v>930.48803712670542</v>
      </c>
      <c r="AL76" s="2">
        <f>[1]节奏总纲!AX76</f>
        <v>465.24401856335271</v>
      </c>
      <c r="AN76" s="2">
        <v>73</v>
      </c>
      <c r="AO76" s="2">
        <f>[1]节奏总纲!BA76</f>
        <v>35.927113130704889</v>
      </c>
      <c r="AP76" s="2">
        <f>[1]节奏总纲!BB76</f>
        <v>37.408211364961737</v>
      </c>
      <c r="AQ76" s="2">
        <f>[1]节奏总纲!BC76</f>
        <v>39.340350705546385</v>
      </c>
      <c r="AR76" s="2">
        <f>[1]节奏总纲!BD76</f>
        <v>42.080366850119908</v>
      </c>
      <c r="AS76" s="2">
        <f>[1]节奏总纲!BE76</f>
        <v>46.754011500516519</v>
      </c>
    </row>
    <row r="77" spans="2:45" x14ac:dyDescent="0.15">
      <c r="B77" s="2">
        <f>[1]节奏总纲!N77</f>
        <v>84</v>
      </c>
      <c r="C77" s="2">
        <v>74</v>
      </c>
      <c r="D77" s="2">
        <f>[1]节奏总纲!P77</f>
        <v>167.89701257893043</v>
      </c>
      <c r="E77" s="2">
        <f>[1]节奏总纲!Q77</f>
        <v>145.16375707574326</v>
      </c>
      <c r="F77" s="2">
        <f>[1]节奏总纲!R77</f>
        <v>118.70318789330381</v>
      </c>
      <c r="G77" s="2">
        <f>[1]节奏总纲!S77</f>
        <v>86.869914308338593</v>
      </c>
      <c r="H77" s="2">
        <f>[1]节奏总纲!T77</f>
        <v>48.169652908895138</v>
      </c>
      <c r="J77" s="2">
        <v>74</v>
      </c>
      <c r="K77" s="2">
        <f>[1]节奏总纲!W77</f>
        <v>11.31052767078117</v>
      </c>
      <c r="L77" s="2">
        <f>[1]节奏总纲!X77</f>
        <v>9.7477649271757798</v>
      </c>
      <c r="M77" s="2">
        <f>[1]节奏总纲!Y77</f>
        <v>8.1218122511687909</v>
      </c>
      <c r="N77" s="2">
        <f>[1]节奏总纲!Z77</f>
        <v>5.9147016108254178</v>
      </c>
      <c r="O77" s="2">
        <f>[1]节奏总纲!AA77</f>
        <v>3.2919663342195591</v>
      </c>
      <c r="Q77" s="2">
        <v>74</v>
      </c>
      <c r="R77" s="2">
        <f>[1]节奏总纲!AD77</f>
        <v>62.281112832649576</v>
      </c>
      <c r="S77" s="2">
        <f>[1]节奏总纲!AE77</f>
        <v>64.304793036447776</v>
      </c>
      <c r="T77" s="2">
        <f>[1]节奏总纲!AF77</f>
        <v>67.14262442756818</v>
      </c>
      <c r="U77" s="2">
        <f>[1]节奏总纲!AG77</f>
        <v>71.680959487253048</v>
      </c>
      <c r="V77" s="2">
        <f>[1]节奏总纲!AH77</f>
        <v>80.24075196383977</v>
      </c>
      <c r="Z77" s="2">
        <v>74</v>
      </c>
      <c r="AA77" s="2">
        <f>[1]节奏总纲!AM77</f>
        <v>19825.014596370729</v>
      </c>
      <c r="AB77" s="2">
        <f>[1]节奏总纲!AN77</f>
        <v>15860.011677096583</v>
      </c>
      <c r="AC77" s="2">
        <f>[1]节奏总纲!AO77</f>
        <v>11895.008757822437</v>
      </c>
      <c r="AD77" s="2">
        <f>[1]节奏总纲!AP77</f>
        <v>7930.0058385482916</v>
      </c>
      <c r="AE77" s="2">
        <f>[1]节奏总纲!AQ77</f>
        <v>3965.0029192741458</v>
      </c>
      <c r="AG77" s="2">
        <v>74</v>
      </c>
      <c r="AH77" s="2">
        <f>[1]节奏总纲!AT77</f>
        <v>2690.58944063335</v>
      </c>
      <c r="AI77" s="2">
        <f>[1]节奏总纲!AU77</f>
        <v>2152.4715525066786</v>
      </c>
      <c r="AJ77" s="2">
        <f>[1]节奏总纲!AV77</f>
        <v>1614.3536643800107</v>
      </c>
      <c r="AK77" s="2">
        <f>[1]节奏总纲!AW77</f>
        <v>1076.2357762533393</v>
      </c>
      <c r="AL77" s="2">
        <f>[1]节奏总纲!AX77</f>
        <v>538.11788812666964</v>
      </c>
      <c r="AN77" s="2">
        <v>74</v>
      </c>
      <c r="AO77" s="2">
        <f>[1]节奏总纲!BA77</f>
        <v>36.021306837933537</v>
      </c>
      <c r="AP77" s="2">
        <f>[1]节奏总纲!BB77</f>
        <v>37.498964956033646</v>
      </c>
      <c r="AQ77" s="2">
        <f>[1]节奏总纲!BC77</f>
        <v>39.430405216734592</v>
      </c>
      <c r="AR77" s="2">
        <f>[1]节奏总纲!BD77</f>
        <v>42.167148737437564</v>
      </c>
      <c r="AS77" s="2">
        <f>[1]节奏总纲!BE77</f>
        <v>46.850331714610157</v>
      </c>
    </row>
    <row r="78" spans="2:45" x14ac:dyDescent="0.15">
      <c r="B78" s="2">
        <f>[1]节奏总纲!N78</f>
        <v>85</v>
      </c>
      <c r="C78" s="2">
        <v>75</v>
      </c>
      <c r="D78" s="2">
        <f>[1]节奏总纲!P78</f>
        <v>180.01933598375612</v>
      </c>
      <c r="E78" s="2">
        <f>[1]节奏总纲!Q78</f>
        <v>155.75272949314578</v>
      </c>
      <c r="F78" s="2">
        <f>[1]节奏总纲!R78</f>
        <v>127.38168214210583</v>
      </c>
      <c r="G78" s="2">
        <f>[1]节奏总纲!S78</f>
        <v>93.214012172388934</v>
      </c>
      <c r="H78" s="2">
        <f>[1]节奏总纲!T78</f>
        <v>51.755559095329879</v>
      </c>
      <c r="J78" s="2">
        <v>75</v>
      </c>
      <c r="K78" s="2">
        <f>[1]节奏总纲!W78</f>
        <v>12.122323404825693</v>
      </c>
      <c r="L78" s="2">
        <f>[1]节奏总纲!X78</f>
        <v>10.588972417402516</v>
      </c>
      <c r="M78" s="2">
        <f>[1]节奏总纲!Y78</f>
        <v>8.6784942488020249</v>
      </c>
      <c r="N78" s="2">
        <f>[1]节奏总纲!Z78</f>
        <v>6.3440978640503403</v>
      </c>
      <c r="O78" s="2">
        <f>[1]节奏总纲!AA78</f>
        <v>3.585906186434741</v>
      </c>
      <c r="Q78" s="2">
        <v>75</v>
      </c>
      <c r="R78" s="2">
        <f>[1]节奏总纲!AD78</f>
        <v>62.470630686057078</v>
      </c>
      <c r="S78" s="2">
        <f>[1]节奏总纲!AE78</f>
        <v>64.495279642868965</v>
      </c>
      <c r="T78" s="2">
        <f>[1]节奏总纲!AF78</f>
        <v>67.344310856946692</v>
      </c>
      <c r="U78" s="2">
        <f>[1]节奏总纲!AG78</f>
        <v>71.882008108111634</v>
      </c>
      <c r="V78" s="2">
        <f>[1]节奏总纲!AH78</f>
        <v>80.437605572866573</v>
      </c>
      <c r="Z78" s="2">
        <v>75</v>
      </c>
      <c r="AA78" s="2">
        <f>[1]节奏总纲!AM78</f>
        <v>22936.899999999998</v>
      </c>
      <c r="AB78" s="2">
        <f>[1]节奏总纲!AN78</f>
        <v>18349.52</v>
      </c>
      <c r="AC78" s="2">
        <f>[1]节奏总纲!AO78</f>
        <v>13762.139999999998</v>
      </c>
      <c r="AD78" s="2">
        <f>[1]节奏总纲!AP78</f>
        <v>9174.76</v>
      </c>
      <c r="AE78" s="2">
        <f>[1]节奏总纲!AQ78</f>
        <v>4587.38</v>
      </c>
      <c r="AG78" s="2">
        <v>75</v>
      </c>
      <c r="AH78" s="2">
        <f>[1]节奏总纲!AT78</f>
        <v>3111.8854036292687</v>
      </c>
      <c r="AI78" s="2">
        <f>[1]节奏总纲!AU78</f>
        <v>2489.5083229034171</v>
      </c>
      <c r="AJ78" s="2">
        <f>[1]节奏总纲!AV78</f>
        <v>1867.1312421775601</v>
      </c>
      <c r="AK78" s="2">
        <f>[1]节奏总纲!AW78</f>
        <v>1244.7541614517086</v>
      </c>
      <c r="AL78" s="2">
        <f>[1]节奏总纲!AX78</f>
        <v>622.37708072585428</v>
      </c>
      <c r="AN78" s="2">
        <v>75</v>
      </c>
      <c r="AO78" s="2">
        <f>[1]节奏总纲!BA78</f>
        <v>36.105477566569242</v>
      </c>
      <c r="AP78" s="2">
        <f>[1]节奏总纲!BB78</f>
        <v>37.589718547105562</v>
      </c>
      <c r="AQ78" s="2">
        <f>[1]节奏总纲!BC78</f>
        <v>39.520459727922798</v>
      </c>
      <c r="AR78" s="2">
        <f>[1]节奏总纲!BD78</f>
        <v>42.253930624755228</v>
      </c>
      <c r="AS78" s="2">
        <f>[1]节奏总纲!BE78</f>
        <v>46.946651928703787</v>
      </c>
    </row>
    <row r="79" spans="2:45" x14ac:dyDescent="0.15">
      <c r="B79" s="2">
        <f>[1]节奏总纲!N79</f>
        <v>86</v>
      </c>
      <c r="C79" s="2">
        <v>76</v>
      </c>
      <c r="D79" s="2">
        <f>[1]节奏总纲!P79</f>
        <v>193.01172051333091</v>
      </c>
      <c r="E79" s="2">
        <f>[1]节奏总纲!Q79</f>
        <v>166.97443941608256</v>
      </c>
      <c r="F79" s="2">
        <f>[1]节奏总纲!R79</f>
        <v>136.51718991907896</v>
      </c>
      <c r="G79" s="2">
        <f>[1]节奏总纲!S79</f>
        <v>100.0379747420594</v>
      </c>
      <c r="H79" s="2">
        <f>[1]节奏总纲!T79</f>
        <v>55.664580196044632</v>
      </c>
      <c r="J79" s="2">
        <v>76</v>
      </c>
      <c r="K79" s="2">
        <f>[1]节奏总纲!W79</f>
        <v>12.992384529574792</v>
      </c>
      <c r="L79" s="2">
        <f>[1]节奏总纲!X79</f>
        <v>11.221709922936782</v>
      </c>
      <c r="M79" s="2">
        <f>[1]节奏总纲!Y79</f>
        <v>9.1355077769731281</v>
      </c>
      <c r="N79" s="2">
        <f>[1]节奏总纲!Z79</f>
        <v>6.8239625696704707</v>
      </c>
      <c r="O79" s="2">
        <f>[1]节奏总纲!AA79</f>
        <v>3.9090211007147531</v>
      </c>
      <c r="Q79" s="2">
        <v>76</v>
      </c>
      <c r="R79" s="2">
        <f>[1]节奏总纲!AD79</f>
        <v>62.660148539464579</v>
      </c>
      <c r="S79" s="2">
        <f>[1]节奏总纲!AE79</f>
        <v>64.685766249290154</v>
      </c>
      <c r="T79" s="2">
        <f>[1]节奏总纲!AF79</f>
        <v>67.545997286325218</v>
      </c>
      <c r="U79" s="2">
        <f>[1]节奏总纲!AG79</f>
        <v>72.076954583856178</v>
      </c>
      <c r="V79" s="2">
        <f>[1]节奏总纲!AH79</f>
        <v>80.634459181893376</v>
      </c>
      <c r="Z79" s="2">
        <v>76</v>
      </c>
      <c r="AA79" s="2">
        <f>[1]节奏总纲!AM79</f>
        <v>26535.88112606269</v>
      </c>
      <c r="AB79" s="2">
        <f>[1]节奏总纲!AN79</f>
        <v>21228.704900850153</v>
      </c>
      <c r="AC79" s="2">
        <f>[1]节奏总纲!AO79</f>
        <v>15921.528675637614</v>
      </c>
      <c r="AD79" s="2">
        <f>[1]节奏总纲!AP79</f>
        <v>10614.352450425076</v>
      </c>
      <c r="AE79" s="2">
        <f>[1]节奏总纲!AQ79</f>
        <v>5307.1762252125382</v>
      </c>
      <c r="AG79" s="2">
        <v>76</v>
      </c>
      <c r="AH79" s="2">
        <f>[1]节奏总纲!AT79</f>
        <v>3598.9811260626921</v>
      </c>
      <c r="AI79" s="2">
        <f>[1]节奏总纲!AU79</f>
        <v>2879.1849008501522</v>
      </c>
      <c r="AJ79" s="2">
        <f>[1]节奏总纲!AV79</f>
        <v>2159.388675637616</v>
      </c>
      <c r="AK79" s="2">
        <f>[1]节奏总纲!AW79</f>
        <v>1439.5924504250761</v>
      </c>
      <c r="AL79" s="2">
        <f>[1]节奏总纲!AX79</f>
        <v>719.79622521253805</v>
      </c>
      <c r="AN79" s="2">
        <v>76</v>
      </c>
      <c r="AO79" s="2">
        <f>[1]节奏总纲!BA79</f>
        <v>36.189648295204947</v>
      </c>
      <c r="AP79" s="2">
        <f>[1]节奏总纲!BB79</f>
        <v>37.680472138177471</v>
      </c>
      <c r="AQ79" s="2">
        <f>[1]节奏总纲!BC79</f>
        <v>39.610514239111005</v>
      </c>
      <c r="AR79" s="2">
        <f>[1]节奏总纲!BD79</f>
        <v>42.340712512072891</v>
      </c>
      <c r="AS79" s="2">
        <f>[1]节奏总纲!BE79</f>
        <v>47.037096473408994</v>
      </c>
    </row>
    <row r="80" spans="2:45" x14ac:dyDescent="0.15">
      <c r="B80" s="2">
        <f>[1]节奏总纲!N80</f>
        <v>87</v>
      </c>
      <c r="C80" s="2">
        <v>77</v>
      </c>
      <c r="D80" s="2">
        <f>[1]节奏总纲!P80</f>
        <v>206.93661346719625</v>
      </c>
      <c r="E80" s="2">
        <f>[1]节奏总纲!Q80</f>
        <v>179.12433261720508</v>
      </c>
      <c r="F80" s="2">
        <f>[1]节奏总纲!R80</f>
        <v>146.53181599612165</v>
      </c>
      <c r="G80" s="2">
        <f>[1]节奏总纲!S80</f>
        <v>107.42079605082158</v>
      </c>
      <c r="H80" s="2">
        <f>[1]节奏总纲!T80</f>
        <v>59.535663694512365</v>
      </c>
      <c r="J80" s="2">
        <v>77</v>
      </c>
      <c r="K80" s="2">
        <f>[1]节奏总纲!W80</f>
        <v>13.924892953865339</v>
      </c>
      <c r="L80" s="2">
        <f>[1]节奏总纲!X80</f>
        <v>12.149893201122524</v>
      </c>
      <c r="M80" s="2">
        <f>[1]节奏总纲!Y80</f>
        <v>10.014626077042692</v>
      </c>
      <c r="N80" s="2">
        <f>[1]节奏总纲!Z80</f>
        <v>7.3828213087621748</v>
      </c>
      <c r="O80" s="2">
        <f>[1]节奏总纲!AA80</f>
        <v>3.8710834984677334</v>
      </c>
      <c r="Q80" s="2">
        <v>77</v>
      </c>
      <c r="R80" s="2">
        <f>[1]节奏总纲!AD80</f>
        <v>62.849666392872081</v>
      </c>
      <c r="S80" s="2">
        <f>[1]节奏总纲!AE80</f>
        <v>64.876252855711357</v>
      </c>
      <c r="T80" s="2">
        <f>[1]节奏总纲!AF80</f>
        <v>67.747683715703729</v>
      </c>
      <c r="U80" s="2">
        <f>[1]节奏总纲!AG80</f>
        <v>72.263232241847945</v>
      </c>
      <c r="V80" s="2">
        <f>[1]节奏总纲!AH80</f>
        <v>80.83131279092018</v>
      </c>
      <c r="Z80" s="2">
        <v>77</v>
      </c>
      <c r="AA80" s="2">
        <f>[1]节奏总纲!AM80</f>
        <v>30698.011006346387</v>
      </c>
      <c r="AB80" s="2">
        <f>[1]节奏总纲!AN80</f>
        <v>24558.40880507711</v>
      </c>
      <c r="AC80" s="2">
        <f>[1]节奏总纲!AO80</f>
        <v>18418.806603807832</v>
      </c>
      <c r="AD80" s="2">
        <f>[1]节奏总纲!AP80</f>
        <v>12279.204402538555</v>
      </c>
      <c r="AE80" s="2">
        <f>[1]节奏总纲!AQ80</f>
        <v>6139.6022012692774</v>
      </c>
      <c r="AG80" s="2">
        <v>77</v>
      </c>
      <c r="AH80" s="2">
        <f>[1]节奏总纲!AT80</f>
        <v>4162.1298802836973</v>
      </c>
      <c r="AI80" s="2">
        <f>[1]节奏总纲!AU80</f>
        <v>3329.7039042269571</v>
      </c>
      <c r="AJ80" s="2">
        <f>[1]节奏总纲!AV80</f>
        <v>2497.2779281702187</v>
      </c>
      <c r="AK80" s="2">
        <f>[1]节奏总纲!AW80</f>
        <v>1664.8519521134785</v>
      </c>
      <c r="AL80" s="2">
        <f>[1]节奏总纲!AX80</f>
        <v>832.42597605673927</v>
      </c>
      <c r="AN80" s="2">
        <v>77</v>
      </c>
      <c r="AO80" s="2">
        <f>[1]节奏总纲!BA80</f>
        <v>36.273819023840659</v>
      </c>
      <c r="AP80" s="2">
        <f>[1]节奏总纲!BB80</f>
        <v>37.771225729249387</v>
      </c>
      <c r="AQ80" s="2">
        <f>[1]节奏总纲!BC80</f>
        <v>39.700568750299212</v>
      </c>
      <c r="AR80" s="2">
        <f>[1]节奏总纲!BD80</f>
        <v>42.427494399390554</v>
      </c>
      <c r="AS80" s="2">
        <f>[1]节奏总纲!BE80</f>
        <v>47.12024662670057</v>
      </c>
    </row>
    <row r="81" spans="2:45" x14ac:dyDescent="0.15">
      <c r="B81" s="2">
        <f>[1]节奏总纲!N81</f>
        <v>88</v>
      </c>
      <c r="C81" s="2">
        <v>78</v>
      </c>
      <c r="D81" s="2">
        <f>[1]节奏总纲!P81</f>
        <v>221.86094420380775</v>
      </c>
      <c r="E81" s="2">
        <f>[1]节奏总纲!Q81</f>
        <v>192.04283330281601</v>
      </c>
      <c r="F81" s="2">
        <f>[1]节奏总纲!R81</f>
        <v>157.23285115723854</v>
      </c>
      <c r="G81" s="2">
        <f>[1]节奏总纲!S81</f>
        <v>115.1680161361966</v>
      </c>
      <c r="H81" s="2">
        <f>[1]节奏总纲!T81</f>
        <v>63.651904892072437</v>
      </c>
      <c r="J81" s="2">
        <v>78</v>
      </c>
      <c r="K81" s="2">
        <f>[1]节奏总纲!W81</f>
        <v>14.924330736611495</v>
      </c>
      <c r="L81" s="2">
        <f>[1]节奏总纲!X81</f>
        <v>12.918500685610923</v>
      </c>
      <c r="M81" s="2">
        <f>[1]节奏总纲!Y81</f>
        <v>10.701035161116891</v>
      </c>
      <c r="N81" s="2">
        <f>[1]节奏总纲!Z81</f>
        <v>7.7472200853750195</v>
      </c>
      <c r="O81" s="2">
        <f>[1]节奏总纲!AA81</f>
        <v>4.1162411975600719</v>
      </c>
      <c r="Q81" s="2">
        <v>78</v>
      </c>
      <c r="R81" s="2">
        <f>[1]节奏总纲!AD81</f>
        <v>63.036560194527354</v>
      </c>
      <c r="S81" s="2">
        <f>[1]节奏总纲!AE81</f>
        <v>65.061438622789353</v>
      </c>
      <c r="T81" s="2">
        <f>[1]节奏总纲!AF81</f>
        <v>67.949370145082256</v>
      </c>
      <c r="U81" s="2">
        <f>[1]节奏总纲!AG81</f>
        <v>72.449509899839711</v>
      </c>
      <c r="V81" s="2">
        <f>[1]节奏总纲!AH81</f>
        <v>81.026624803116562</v>
      </c>
      <c r="Z81" s="2">
        <v>78</v>
      </c>
      <c r="AA81" s="2">
        <f>[1]节奏总纲!AM81</f>
        <v>35511.190322760085</v>
      </c>
      <c r="AB81" s="2">
        <f>[1]节奏总纲!AN81</f>
        <v>28408.952258208068</v>
      </c>
      <c r="AC81" s="2">
        <f>[1]节奏总纲!AO81</f>
        <v>21306.714193656051</v>
      </c>
      <c r="AD81" s="2">
        <f>[1]节奏总纲!AP81</f>
        <v>14204.476129104034</v>
      </c>
      <c r="AE81" s="2">
        <f>[1]节奏总纲!AQ81</f>
        <v>7102.238064552017</v>
      </c>
      <c r="AG81" s="2">
        <v>78</v>
      </c>
      <c r="AH81" s="2">
        <f>[1]节奏总纲!AT81</f>
        <v>4813.179316413698</v>
      </c>
      <c r="AI81" s="2">
        <f>[1]节奏总纲!AU81</f>
        <v>3850.5434531309584</v>
      </c>
      <c r="AJ81" s="2">
        <f>[1]节奏总纲!AV81</f>
        <v>2887.9075898482188</v>
      </c>
      <c r="AK81" s="2">
        <f>[1]节奏总纲!AW81</f>
        <v>1925.2717265654792</v>
      </c>
      <c r="AL81" s="2">
        <f>[1]节奏总纲!AX81</f>
        <v>962.63586328273959</v>
      </c>
      <c r="AN81" s="2">
        <v>78</v>
      </c>
      <c r="AO81" s="2">
        <f>[1]节奏总纲!BA81</f>
        <v>36.357989752476364</v>
      </c>
      <c r="AP81" s="2">
        <f>[1]节奏总纲!BB81</f>
        <v>37.861979320321296</v>
      </c>
      <c r="AQ81" s="2">
        <f>[1]节奏总纲!BC81</f>
        <v>39.790623261487418</v>
      </c>
      <c r="AR81" s="2">
        <f>[1]节奏总纲!BD81</f>
        <v>42.51427628670821</v>
      </c>
      <c r="AS81" s="2">
        <f>[1]节奏总纲!BE81</f>
        <v>47.203396779992147</v>
      </c>
    </row>
    <row r="82" spans="2:45" x14ac:dyDescent="0.15">
      <c r="B82" s="2">
        <f>[1]节奏总纲!N82</f>
        <v>89</v>
      </c>
      <c r="C82" s="2">
        <v>79</v>
      </c>
      <c r="D82" s="2">
        <f>[1]节奏总纲!P82</f>
        <v>237.85644583342264</v>
      </c>
      <c r="E82" s="2">
        <f>[1]节奏总纲!Q82</f>
        <v>206.07882467007735</v>
      </c>
      <c r="F82" s="2">
        <f>[1]节奏总纲!R82</f>
        <v>168.73536267423003</v>
      </c>
      <c r="G82" s="2">
        <f>[1]节奏总纲!S82</f>
        <v>123.11449636337954</v>
      </c>
      <c r="H82" s="2">
        <f>[1]节奏总纲!T82</f>
        <v>68.122086086692235</v>
      </c>
      <c r="J82" s="2">
        <v>79</v>
      </c>
      <c r="K82" s="2">
        <f>[1]节奏总纲!W82</f>
        <v>15.995501629614893</v>
      </c>
      <c r="L82" s="2">
        <f>[1]节奏总纲!X82</f>
        <v>14.035991367261346</v>
      </c>
      <c r="M82" s="2">
        <f>[1]节奏总纲!Y82</f>
        <v>11.50251151699149</v>
      </c>
      <c r="N82" s="2">
        <f>[1]节奏总纲!Z82</f>
        <v>7.9464802271829456</v>
      </c>
      <c r="O82" s="2">
        <f>[1]节奏总纲!AA82</f>
        <v>4.4701811946197978</v>
      </c>
      <c r="Q82" s="2">
        <v>79</v>
      </c>
      <c r="R82" s="2">
        <f>[1]节奏总纲!AD82</f>
        <v>63.213386604241791</v>
      </c>
      <c r="S82" s="2">
        <f>[1]节奏总纲!AE82</f>
        <v>65.23679566619937</v>
      </c>
      <c r="T82" s="2">
        <f>[1]节奏总纲!AF82</f>
        <v>68.132712808893615</v>
      </c>
      <c r="U82" s="2">
        <f>[1]节奏总纲!AG82</f>
        <v>72.635787557831478</v>
      </c>
      <c r="V82" s="2">
        <f>[1]节奏总纲!AH82</f>
        <v>81.212704266341873</v>
      </c>
      <c r="Z82" s="2">
        <v>79</v>
      </c>
      <c r="AA82" s="2">
        <f>[1]节奏总纲!AM82</f>
        <v>41077.009235645834</v>
      </c>
      <c r="AB82" s="2">
        <f>[1]节奏总纲!AN82</f>
        <v>32861.60738851667</v>
      </c>
      <c r="AC82" s="2">
        <f>[1]节奏总纲!AO82</f>
        <v>24646.205541387499</v>
      </c>
      <c r="AD82" s="2">
        <f>[1]节奏总纲!AP82</f>
        <v>16430.803694258335</v>
      </c>
      <c r="AE82" s="2">
        <f>[1]节奏总纲!AQ82</f>
        <v>8215.4018471291674</v>
      </c>
      <c r="AG82" s="2">
        <v>79</v>
      </c>
      <c r="AH82" s="2">
        <f>[1]节奏总纲!AT82</f>
        <v>5565.8189128857484</v>
      </c>
      <c r="AI82" s="2">
        <f>[1]节奏总纲!AU82</f>
        <v>4452.6551303086017</v>
      </c>
      <c r="AJ82" s="2">
        <f>[1]节奏总纲!AV82</f>
        <v>3339.4913477314476</v>
      </c>
      <c r="AK82" s="2">
        <f>[1]节奏总纲!AW82</f>
        <v>2226.3275651543008</v>
      </c>
      <c r="AL82" s="2">
        <f>[1]节奏总纲!AX82</f>
        <v>1113.1637825771504</v>
      </c>
      <c r="AN82" s="2">
        <v>79</v>
      </c>
      <c r="AO82" s="2">
        <f>[1]节奏总纲!BA82</f>
        <v>36.442160481112069</v>
      </c>
      <c r="AP82" s="2">
        <f>[1]节奏总纲!BB82</f>
        <v>37.952732911393213</v>
      </c>
      <c r="AQ82" s="2">
        <f>[1]节奏总纲!BC82</f>
        <v>39.880677772675625</v>
      </c>
      <c r="AR82" s="2">
        <f>[1]节奏总纲!BD82</f>
        <v>42.601058174025873</v>
      </c>
      <c r="AS82" s="2">
        <f>[1]节奏总纲!BE82</f>
        <v>47.286546933283724</v>
      </c>
    </row>
    <row r="83" spans="2:45" x14ac:dyDescent="0.15">
      <c r="B83" s="2">
        <f>[1]节奏总纲!N83</f>
        <v>90</v>
      </c>
      <c r="C83" s="2">
        <v>80</v>
      </c>
      <c r="D83" s="2">
        <f>[1]节奏总纲!P83</f>
        <v>255</v>
      </c>
      <c r="E83" s="2">
        <f>[1]节奏总纲!Q83</f>
        <v>221.08500000000001</v>
      </c>
      <c r="F83" s="2">
        <f>[1]节奏总纲!R83</f>
        <v>180.33600000000001</v>
      </c>
      <c r="G83" s="2">
        <f>[1]节奏总纲!S83</f>
        <v>131.58000000000001</v>
      </c>
      <c r="H83" s="2">
        <f>[1]节奏总纲!T83</f>
        <v>72.777000000000001</v>
      </c>
      <c r="J83" s="2">
        <v>80</v>
      </c>
      <c r="K83" s="2">
        <f>[1]节奏总纲!W83</f>
        <v>17.14355416657736</v>
      </c>
      <c r="L83" s="2">
        <f>[1]节奏总纲!X83</f>
        <v>15.006175329922655</v>
      </c>
      <c r="M83" s="2">
        <f>[1]节奏总纲!Y83</f>
        <v>11.600637325769981</v>
      </c>
      <c r="N83" s="2">
        <f>[1]节奏总纲!Z83</f>
        <v>8.4655036366204683</v>
      </c>
      <c r="O83" s="2">
        <f>[1]节奏总纲!AA83</f>
        <v>4.6549139133077659</v>
      </c>
      <c r="Q83" s="2">
        <v>80</v>
      </c>
      <c r="R83" s="2">
        <f>[1]节奏总纲!AD83</f>
        <v>63.39021301395622</v>
      </c>
      <c r="S83" s="2">
        <f>[1]节奏总纲!AE83</f>
        <v>65.412152709609373</v>
      </c>
      <c r="T83" s="2">
        <f>[1]节奏总纲!AF83</f>
        <v>68.309907165737044</v>
      </c>
      <c r="U83" s="2">
        <f>[1]节奏总纲!AG83</f>
        <v>72.822065215823244</v>
      </c>
      <c r="V83" s="2">
        <f>[1]节奏总纲!AH83</f>
        <v>81.398783729567185</v>
      </c>
      <c r="Z83" s="2">
        <v>80</v>
      </c>
      <c r="AA83" s="2">
        <f>[1]节奏总纲!AM83</f>
        <v>47512.875</v>
      </c>
      <c r="AB83" s="2">
        <f>[1]节奏总纲!AN83</f>
        <v>38010.300000000003</v>
      </c>
      <c r="AC83" s="2">
        <f>[1]节奏总纲!AO83</f>
        <v>28507.724999999999</v>
      </c>
      <c r="AD83" s="2">
        <f>[1]节奏总纲!AP83</f>
        <v>19005.150000000001</v>
      </c>
      <c r="AE83" s="2">
        <f>[1]节奏总纲!AQ83</f>
        <v>9502.5750000000007</v>
      </c>
      <c r="AG83" s="2">
        <v>80</v>
      </c>
      <c r="AH83" s="2">
        <f>[1]节奏总纲!AT83</f>
        <v>6435.8657643541665</v>
      </c>
      <c r="AI83" s="2">
        <f>[1]节奏总纲!AU83</f>
        <v>5148.6926114833332</v>
      </c>
      <c r="AJ83" s="2">
        <f>[1]节奏总纲!AV83</f>
        <v>3861.5194586124999</v>
      </c>
      <c r="AK83" s="2">
        <f>[1]节奏总纲!AW83</f>
        <v>2574.3463057416666</v>
      </c>
      <c r="AL83" s="2">
        <f>[1]节奏总纲!AX83</f>
        <v>1287.1731528708333</v>
      </c>
      <c r="AN83" s="2">
        <v>80</v>
      </c>
      <c r="AO83" s="2">
        <f>[1]节奏总纲!BA83</f>
        <v>36.526331209747774</v>
      </c>
      <c r="AP83" s="2">
        <f>[1]节奏总纲!BB83</f>
        <v>38.037513426486328</v>
      </c>
      <c r="AQ83" s="2">
        <f>[1]节奏总纲!BC83</f>
        <v>39.970732283863832</v>
      </c>
      <c r="AR83" s="2">
        <f>[1]节奏总纲!BD83</f>
        <v>42.687840061343536</v>
      </c>
      <c r="AS83" s="2">
        <f>[1]节奏总纲!BE83</f>
        <v>47.3696970865753</v>
      </c>
    </row>
    <row r="84" spans="2:45" x14ac:dyDescent="0.15">
      <c r="B84" s="2">
        <f>[1]节奏总纲!N84</f>
        <v>91</v>
      </c>
      <c r="C84" s="2">
        <v>81</v>
      </c>
      <c r="D84" s="2">
        <f>[1]节奏总纲!P84</f>
        <v>273.37400640929098</v>
      </c>
      <c r="E84" s="2">
        <f>[1]节奏总纲!Q84</f>
        <v>236.35916594147301</v>
      </c>
      <c r="F84" s="2">
        <f>[1]节奏总纲!R84</f>
        <v>192.67399971726829</v>
      </c>
      <c r="G84" s="2">
        <f>[1]节奏总纲!S84</f>
        <v>140.76027590014394</v>
      </c>
      <c r="H84" s="2">
        <f>[1]节奏总纲!T84</f>
        <v>77.856917025366073</v>
      </c>
      <c r="J84" s="2">
        <v>81</v>
      </c>
      <c r="K84" s="2">
        <f>[1]节奏总纲!W84</f>
        <v>18.374006409290985</v>
      </c>
      <c r="L84" s="2">
        <f>[1]节奏总纲!X84</f>
        <v>15.274165941473001</v>
      </c>
      <c r="M84" s="2">
        <f>[1]节奏总纲!Y84</f>
        <v>12.337999717268275</v>
      </c>
      <c r="N84" s="2">
        <f>[1]节奏总纲!Z84</f>
        <v>9.1802759001439256</v>
      </c>
      <c r="O84" s="2">
        <f>[1]节奏总纲!AA84</f>
        <v>5.0799170253660719</v>
      </c>
      <c r="Q84" s="2">
        <v>81</v>
      </c>
      <c r="R84" s="2">
        <f>[1]节奏总纲!AD84</f>
        <v>63.567039423670657</v>
      </c>
      <c r="S84" s="2">
        <f>[1]节奏总纲!AE84</f>
        <v>65.58750975301939</v>
      </c>
      <c r="T84" s="2">
        <f>[1]节奏总纲!AF84</f>
        <v>68.487101522580488</v>
      </c>
      <c r="U84" s="2">
        <f>[1]节奏总纲!AG84</f>
        <v>73.007572199822363</v>
      </c>
      <c r="V84" s="2">
        <f>[1]节奏总纲!AH84</f>
        <v>81.584863192792497</v>
      </c>
      <c r="AN84" s="2">
        <v>81</v>
      </c>
      <c r="AO84" s="2">
        <f>[1]节奏总纲!BA84</f>
        <v>36.610501938383479</v>
      </c>
      <c r="AP84" s="2">
        <f>[1]节奏总纲!BB84</f>
        <v>38.11580158428373</v>
      </c>
      <c r="AQ84" s="2">
        <f>[1]节奏总纲!BC84</f>
        <v>40.052446592012309</v>
      </c>
      <c r="AR84" s="2">
        <f>[1]节奏总纲!BD84</f>
        <v>42.774621948661192</v>
      </c>
      <c r="AS84" s="2">
        <f>[1]节奏总纲!BE84</f>
        <v>47.452847239866877</v>
      </c>
    </row>
    <row r="85" spans="2:45" x14ac:dyDescent="0.15">
      <c r="B85" s="2">
        <f>[1]节奏总纲!N85</f>
        <v>92</v>
      </c>
      <c r="C85" s="2">
        <v>82</v>
      </c>
      <c r="D85" s="2">
        <f>[1]节奏总纲!P85</f>
        <v>293.06677887924064</v>
      </c>
      <c r="E85" s="2">
        <f>[1]节奏总纲!Q85</f>
        <v>253.15108359588808</v>
      </c>
      <c r="F85" s="2">
        <f>[1]节奏总纲!R85</f>
        <v>206.37762568676126</v>
      </c>
      <c r="G85" s="2">
        <f>[1]节奏总纲!S85</f>
        <v>150.81216441125721</v>
      </c>
      <c r="H85" s="2">
        <f>[1]节奏总纲!T85</f>
        <v>83.230965201704336</v>
      </c>
      <c r="J85" s="2">
        <v>82</v>
      </c>
      <c r="K85" s="2">
        <f>[1]节奏总纲!W85</f>
        <v>19.692772469949659</v>
      </c>
      <c r="L85" s="2">
        <f>[1]节奏总纲!X85</f>
        <v>16.791917654415073</v>
      </c>
      <c r="M85" s="2">
        <f>[1]节奏总纲!Y85</f>
        <v>13.703625969492975</v>
      </c>
      <c r="N85" s="2">
        <f>[1]节奏总纲!Z85</f>
        <v>10.051888511113276</v>
      </c>
      <c r="O85" s="2">
        <f>[1]节奏总纲!AA85</f>
        <v>5.3740481763382633</v>
      </c>
      <c r="Q85" s="2">
        <v>82</v>
      </c>
      <c r="R85" s="2">
        <f>[1]节奏总纲!AD85</f>
        <v>63.743865833385094</v>
      </c>
      <c r="S85" s="2">
        <f>[1]节奏总纲!AE85</f>
        <v>65.762866796429392</v>
      </c>
      <c r="T85" s="2">
        <f>[1]节奏总纲!AF85</f>
        <v>68.664295879423918</v>
      </c>
      <c r="U85" s="2">
        <f>[1]节奏总纲!AG85</f>
        <v>73.176642436293761</v>
      </c>
      <c r="V85" s="2">
        <f>[1]节奏总纲!AH85</f>
        <v>81.770942656017823</v>
      </c>
      <c r="AN85" s="2">
        <v>82</v>
      </c>
      <c r="AO85" s="2">
        <f>[1]节奏总纲!BA85</f>
        <v>36.694672667019191</v>
      </c>
      <c r="AP85" s="2">
        <f>[1]节奏总纲!BB85</f>
        <v>38.194089742081125</v>
      </c>
      <c r="AQ85" s="2">
        <f>[1]节奏总纲!BC85</f>
        <v>40.130145246845366</v>
      </c>
      <c r="AR85" s="2">
        <f>[1]节奏总纲!BD85</f>
        <v>42.861403835978855</v>
      </c>
      <c r="AS85" s="2">
        <f>[1]节奏总纲!BE85</f>
        <v>47.535997393158453</v>
      </c>
    </row>
    <row r="86" spans="2:45" x14ac:dyDescent="0.15">
      <c r="B86" s="2">
        <f>[1]节奏总纲!N86</f>
        <v>93</v>
      </c>
      <c r="C86" s="2">
        <v>83</v>
      </c>
      <c r="D86" s="2">
        <f>[1]节奏总纲!P86</f>
        <v>314.1729698162988</v>
      </c>
      <c r="E86" s="2">
        <f>[1]节奏总纲!Q86</f>
        <v>271.53969781222702</v>
      </c>
      <c r="F86" s="2">
        <f>[1]节奏总纲!R86</f>
        <v>221.55477831445393</v>
      </c>
      <c r="G86" s="2">
        <f>[1]节奏总纲!S86</f>
        <v>161.57915837652246</v>
      </c>
      <c r="H86" s="2">
        <f>[1]节奏总纲!T86</f>
        <v>89.193706130847232</v>
      </c>
      <c r="J86" s="2">
        <v>83</v>
      </c>
      <c r="K86" s="2">
        <f>[1]节奏总纲!W86</f>
        <v>21.106190937058159</v>
      </c>
      <c r="L86" s="2">
        <f>[1]节奏总纲!X86</f>
        <v>18.388614216338937</v>
      </c>
      <c r="M86" s="2">
        <f>[1]节奏总纲!Y86</f>
        <v>15.177152627692664</v>
      </c>
      <c r="N86" s="2">
        <f>[1]节奏总纲!Z86</f>
        <v>10.766993965265243</v>
      </c>
      <c r="O86" s="2">
        <f>[1]节奏总纲!AA86</f>
        <v>5.9627409291428961</v>
      </c>
      <c r="Q86" s="2">
        <v>83</v>
      </c>
      <c r="R86" s="2">
        <f>[1]节奏总纲!AD86</f>
        <v>63.920692243099523</v>
      </c>
      <c r="S86" s="2">
        <f>[1]节奏总纲!AE86</f>
        <v>65.938223839839395</v>
      </c>
      <c r="T86" s="2">
        <f>[1]节奏总纲!AF86</f>
        <v>68.841490236267347</v>
      </c>
      <c r="U86" s="2">
        <f>[1]节奏总纲!AG86</f>
        <v>73.34571267276516</v>
      </c>
      <c r="V86" s="2">
        <f>[1]节奏总纲!AH86</f>
        <v>81.957022119243135</v>
      </c>
      <c r="AN86" s="2">
        <v>83</v>
      </c>
      <c r="AO86" s="2">
        <f>[1]节奏总纲!BA86</f>
        <v>36.778843395654896</v>
      </c>
      <c r="AP86" s="2">
        <f>[1]节奏总纲!BB86</f>
        <v>38.272377899878528</v>
      </c>
      <c r="AQ86" s="2">
        <f>[1]节奏总纲!BC86</f>
        <v>40.207843901678423</v>
      </c>
      <c r="AR86" s="2">
        <f>[1]节奏总纲!BD86</f>
        <v>42.948185723296518</v>
      </c>
      <c r="AS86" s="2">
        <f>[1]节奏总纲!BE86</f>
        <v>47.619147546450023</v>
      </c>
    </row>
    <row r="87" spans="2:45" x14ac:dyDescent="0.15">
      <c r="B87" s="2">
        <f>[1]节奏总纲!N87</f>
        <v>94</v>
      </c>
      <c r="C87" s="2">
        <v>84</v>
      </c>
      <c r="D87" s="2">
        <f>[1]节奏总纲!P87</f>
        <v>336.79402515786086</v>
      </c>
      <c r="E87" s="2">
        <f>[1]节奏总纲!Q87</f>
        <v>291.2594729565181</v>
      </c>
      <c r="F87" s="2">
        <f>[1]节奏总纲!R87</f>
        <v>237.27139072371298</v>
      </c>
      <c r="G87" s="2">
        <f>[1]节奏总纲!S87</f>
        <v>172.97741132107731</v>
      </c>
      <c r="H87" s="2">
        <f>[1]节奏总纲!T87</f>
        <v>95.64950314483248</v>
      </c>
      <c r="J87" s="2">
        <v>84</v>
      </c>
      <c r="K87" s="2">
        <f>[1]节奏总纲!W87</f>
        <v>22.621055341562055</v>
      </c>
      <c r="L87" s="2">
        <f>[1]节奏总纲!X87</f>
        <v>19.719775144291077</v>
      </c>
      <c r="M87" s="2">
        <f>[1]节奏总纲!Y87</f>
        <v>15.716612409259056</v>
      </c>
      <c r="N87" s="2">
        <f>[1]节奏总纲!Z87</f>
        <v>11.398252944554855</v>
      </c>
      <c r="O87" s="2">
        <f>[1]节奏总纲!AA87</f>
        <v>6.4557970139852472</v>
      </c>
      <c r="Q87" s="2">
        <v>84</v>
      </c>
      <c r="R87" s="2">
        <f>[1]节奏总纲!AD87</f>
        <v>64.090988120365651</v>
      </c>
      <c r="S87" s="2">
        <f>[1]节奏总纲!AE87</f>
        <v>66.105889403880397</v>
      </c>
      <c r="T87" s="2">
        <f>[1]节奏总纲!AF87</f>
        <v>69.01697485309198</v>
      </c>
      <c r="U87" s="2">
        <f>[1]节奏总纲!AG87</f>
        <v>73.514782909236544</v>
      </c>
      <c r="V87" s="2">
        <f>[1]节奏总纲!AH87</f>
        <v>82.128973371044353</v>
      </c>
      <c r="AN87" s="2">
        <v>84</v>
      </c>
      <c r="AO87" s="2">
        <f>[1]节奏总纲!BA87</f>
        <v>36.863014124290601</v>
      </c>
      <c r="AP87" s="2">
        <f>[1]节奏总纲!BB87</f>
        <v>38.35066605767593</v>
      </c>
      <c r="AQ87" s="2">
        <f>[1]节奏总纲!BC87</f>
        <v>40.28554255651148</v>
      </c>
      <c r="AR87" s="2">
        <f>[1]节奏总纲!BD87</f>
        <v>43.030177309109042</v>
      </c>
      <c r="AS87" s="2">
        <f>[1]节奏总纲!BE87</f>
        <v>47.7022976997416</v>
      </c>
    </row>
    <row r="88" spans="2:45" x14ac:dyDescent="0.15">
      <c r="B88" s="2">
        <f>[1]节奏总纲!N88</f>
        <v>95</v>
      </c>
      <c r="C88" s="2">
        <v>85</v>
      </c>
      <c r="D88" s="2">
        <f>[1]节奏总纲!P88</f>
        <v>361.0386719675123</v>
      </c>
      <c r="E88" s="2">
        <f>[1]节奏总纲!Q88</f>
        <v>311.72078937675008</v>
      </c>
      <c r="F88" s="2">
        <f>[1]节奏总纲!R88</f>
        <v>253.91849799475142</v>
      </c>
      <c r="G88" s="2">
        <f>[1]节奏总纲!S88</f>
        <v>185.57387739130132</v>
      </c>
      <c r="H88" s="2">
        <f>[1]节奏总纲!T88</f>
        <v>102.53498283877349</v>
      </c>
      <c r="J88" s="2">
        <v>85</v>
      </c>
      <c r="K88" s="2">
        <f>[1]节奏总纲!W88</f>
        <v>24.244646809651442</v>
      </c>
      <c r="L88" s="2">
        <f>[1]节奏总纲!X88</f>
        <v>20.461316420231981</v>
      </c>
      <c r="M88" s="2">
        <f>[1]节奏总纲!Y88</f>
        <v>16.647107271038436</v>
      </c>
      <c r="N88" s="2">
        <f>[1]节奏总纲!Z88</f>
        <v>12.596466070224011</v>
      </c>
      <c r="O88" s="2">
        <f>[1]节奏总纲!AA88</f>
        <v>6.8854796939410079</v>
      </c>
      <c r="Q88" s="2">
        <v>85</v>
      </c>
      <c r="R88" s="2">
        <f>[1]节奏总纲!AD88</f>
        <v>64.255972994404218</v>
      </c>
      <c r="S88" s="2">
        <f>[1]节奏总纲!AE88</f>
        <v>66.269371604948859</v>
      </c>
      <c r="T88" s="2">
        <f>[1]节奏总纲!AF88</f>
        <v>69.17795498031839</v>
      </c>
      <c r="U88" s="2">
        <f>[1]节奏总纲!AG88</f>
        <v>73.683853145707943</v>
      </c>
      <c r="V88" s="2">
        <f>[1]节奏总纲!AH88</f>
        <v>82.296681479091191</v>
      </c>
      <c r="AN88" s="2">
        <v>85</v>
      </c>
      <c r="AO88" s="2">
        <f>[1]节奏总纲!BA88</f>
        <v>36.947184852926306</v>
      </c>
      <c r="AP88" s="2">
        <f>[1]节奏总纲!BB88</f>
        <v>38.428954215473325</v>
      </c>
      <c r="AQ88" s="2">
        <f>[1]节奏总纲!BC88</f>
        <v>40.363241211344537</v>
      </c>
      <c r="AR88" s="2">
        <f>[1]节奏总纲!BD88</f>
        <v>43.105070725978337</v>
      </c>
      <c r="AS88" s="2">
        <f>[1]节奏总纲!BE88</f>
        <v>47.785447853033176</v>
      </c>
    </row>
    <row r="89" spans="2:45" x14ac:dyDescent="0.15">
      <c r="B89" s="2">
        <f>[1]节奏总纲!N89</f>
        <v>96</v>
      </c>
      <c r="C89" s="2">
        <v>86</v>
      </c>
      <c r="D89" s="2">
        <f>[1]节奏总纲!P89</f>
        <v>387.02344102666189</v>
      </c>
      <c r="E89" s="2">
        <f>[1]节奏总纲!Q89</f>
        <v>334.00122960600919</v>
      </c>
      <c r="F89" s="2">
        <f>[1]节奏总纲!R89</f>
        <v>272.23228841815398</v>
      </c>
      <c r="G89" s="2">
        <f>[1]节奏总纲!S89</f>
        <v>199.39447681693619</v>
      </c>
      <c r="H89" s="2">
        <f>[1]节奏总纲!T89</f>
        <v>108.94709864900531</v>
      </c>
      <c r="J89" s="2">
        <v>86</v>
      </c>
      <c r="K89" s="2">
        <f>[1]节奏总纲!W89</f>
        <v>25.984769059149585</v>
      </c>
      <c r="L89" s="2">
        <f>[1]节奏总纲!X89</f>
        <v>22.280440229259113</v>
      </c>
      <c r="M89" s="2">
        <f>[1]节奏总纲!Y89</f>
        <v>18.313790423402565</v>
      </c>
      <c r="N89" s="2">
        <f>[1]节奏总纲!Z89</f>
        <v>13.820599425634867</v>
      </c>
      <c r="O89" s="2">
        <f>[1]节奏总纲!AA89</f>
        <v>6.4121158102318248</v>
      </c>
      <c r="Q89" s="2">
        <v>86</v>
      </c>
      <c r="R89" s="2">
        <f>[1]节奏总纲!AD89</f>
        <v>64.420957868442798</v>
      </c>
      <c r="S89" s="2">
        <f>[1]节奏总纲!AE89</f>
        <v>66.43285380601732</v>
      </c>
      <c r="T89" s="2">
        <f>[1]节奏总纲!AF89</f>
        <v>69.338935107544785</v>
      </c>
      <c r="U89" s="2">
        <f>[1]节奏总纲!AG89</f>
        <v>73.852923382179341</v>
      </c>
      <c r="V89" s="2">
        <f>[1]节奏总纲!AH89</f>
        <v>82.464389587138029</v>
      </c>
      <c r="AN89" s="2">
        <v>86</v>
      </c>
      <c r="AO89" s="2">
        <f>[1]节奏总纲!BA89</f>
        <v>37.027046282459708</v>
      </c>
      <c r="AP89" s="2">
        <f>[1]节奏总纲!BB89</f>
        <v>38.507242373270728</v>
      </c>
      <c r="AQ89" s="2">
        <f>[1]节奏总纲!BC89</f>
        <v>40.440939866177594</v>
      </c>
      <c r="AR89" s="2">
        <f>[1]节奏总纲!BD89</f>
        <v>43.179964142847631</v>
      </c>
      <c r="AS89" s="2">
        <f>[1]节奏总纲!BE89</f>
        <v>47.868598006324753</v>
      </c>
    </row>
    <row r="90" spans="2:45" x14ac:dyDescent="0.15">
      <c r="B90" s="2">
        <f>[1]节奏总纲!N90</f>
        <v>97</v>
      </c>
      <c r="C90" s="2">
        <v>87</v>
      </c>
      <c r="D90" s="2">
        <f>[1]节奏总纲!P90</f>
        <v>414.87322693439216</v>
      </c>
      <c r="E90" s="2">
        <f>[1]节奏总纲!Q90</f>
        <v>358.28451878054108</v>
      </c>
      <c r="F90" s="2">
        <f>[1]节奏总纲!R90</f>
        <v>292.4026503433596</v>
      </c>
      <c r="G90" s="2">
        <f>[1]节奏总纲!S90</f>
        <v>212.58104148118252</v>
      </c>
      <c r="H90" s="2">
        <f>[1]节奏总纲!T90</f>
        <v>115.74963031469542</v>
      </c>
      <c r="J90" s="2">
        <v>87</v>
      </c>
      <c r="K90" s="2">
        <f>[1]节奏总纲!W90</f>
        <v>27.849785907730279</v>
      </c>
      <c r="L90" s="2">
        <f>[1]节奏总纲!X90</f>
        <v>24.283289174531888</v>
      </c>
      <c r="M90" s="2">
        <f>[1]节奏总纲!Y90</f>
        <v>20.170361925205611</v>
      </c>
      <c r="N90" s="2">
        <f>[1]节奏总纲!Z90</f>
        <v>13.186564664246333</v>
      </c>
      <c r="O90" s="2">
        <f>[1]节奏总纲!AA90</f>
        <v>6.8025316656901111</v>
      </c>
      <c r="Q90" s="2">
        <v>87</v>
      </c>
      <c r="R90" s="2">
        <f>[1]节奏总纲!AD90</f>
        <v>64.585942742481365</v>
      </c>
      <c r="S90" s="2">
        <f>[1]节奏总纲!AE90</f>
        <v>66.596336007085796</v>
      </c>
      <c r="T90" s="2">
        <f>[1]节奏总纲!AF90</f>
        <v>69.49991523477118</v>
      </c>
      <c r="U90" s="2">
        <f>[1]节奏总纲!AG90</f>
        <v>74.02050499447661</v>
      </c>
      <c r="V90" s="2">
        <f>[1]节奏总纲!AH90</f>
        <v>82.632097695184868</v>
      </c>
      <c r="AN90" s="2">
        <v>87</v>
      </c>
      <c r="AO90" s="2">
        <f>[1]节奏总纲!BA90</f>
        <v>37.099649155317238</v>
      </c>
      <c r="AP90" s="2">
        <f>[1]节奏总纲!BB90</f>
        <v>38.58553053106813</v>
      </c>
      <c r="AQ90" s="2">
        <f>[1]节奏总纲!BC90</f>
        <v>40.518638521010651</v>
      </c>
      <c r="AR90" s="2">
        <f>[1]节奏总纲!BD90</f>
        <v>43.254857559716925</v>
      </c>
      <c r="AS90" s="2">
        <f>[1]节奏总纲!BE90</f>
        <v>47.951748159616329</v>
      </c>
    </row>
    <row r="91" spans="2:45" x14ac:dyDescent="0.15">
      <c r="B91" s="2">
        <f>[1]节奏总纲!N91</f>
        <v>98</v>
      </c>
      <c r="C91" s="2">
        <v>88</v>
      </c>
      <c r="D91" s="2">
        <f>[1]节奏总纲!P91</f>
        <v>444.72188840761549</v>
      </c>
      <c r="E91" s="2">
        <f>[1]节奏总纲!Q91</f>
        <v>384.7733778502689</v>
      </c>
      <c r="F91" s="2">
        <f>[1]节奏总纲!R91</f>
        <v>312.90632068359827</v>
      </c>
      <c r="G91" s="2">
        <f>[1]节奏总纲!S91</f>
        <v>226.0076636887502</v>
      </c>
      <c r="H91" s="2">
        <f>[1]节奏总纲!T91</f>
        <v>123.1879630889095</v>
      </c>
      <c r="J91" s="2">
        <v>88</v>
      </c>
      <c r="K91" s="2">
        <f>[1]节奏总纲!W91</f>
        <v>29.848661473223331</v>
      </c>
      <c r="L91" s="2">
        <f>[1]节奏总纲!X91</f>
        <v>26.488859069727823</v>
      </c>
      <c r="M91" s="2">
        <f>[1]节奏总纲!Y91</f>
        <v>20.503670340238671</v>
      </c>
      <c r="N91" s="2">
        <f>[1]节奏总纲!Z91</f>
        <v>13.426622207567675</v>
      </c>
      <c r="O91" s="2">
        <f>[1]节奏总纲!AA91</f>
        <v>7.438332774214075</v>
      </c>
      <c r="Q91" s="2">
        <v>88</v>
      </c>
      <c r="R91" s="2">
        <f>[1]节奏总纲!AD91</f>
        <v>64.750927616519931</v>
      </c>
      <c r="S91" s="2">
        <f>[1]节奏总纲!AE91</f>
        <v>66.759818208154257</v>
      </c>
      <c r="T91" s="2">
        <f>[1]节奏总纲!AF91</f>
        <v>69.660895361997589</v>
      </c>
      <c r="U91" s="2">
        <f>[1]节奏总纲!AG91</f>
        <v>74.178131818877702</v>
      </c>
      <c r="V91" s="2">
        <f>[1]节奏总纲!AH91</f>
        <v>82.799805803231706</v>
      </c>
      <c r="AN91" s="2">
        <v>88</v>
      </c>
      <c r="AO91" s="2">
        <f>[1]节奏总纲!BA91</f>
        <v>37.172252028174768</v>
      </c>
      <c r="AP91" s="2">
        <f>[1]节奏总纲!BB91</f>
        <v>38.663818688865533</v>
      </c>
      <c r="AQ91" s="2">
        <f>[1]节奏总纲!BC91</f>
        <v>40.596337175843701</v>
      </c>
      <c r="AR91" s="2">
        <f>[1]节奏总纲!BD91</f>
        <v>43.329750976586219</v>
      </c>
      <c r="AS91" s="2">
        <f>[1]节奏总纲!BE91</f>
        <v>48.030128751164234</v>
      </c>
    </row>
    <row r="92" spans="2:45" x14ac:dyDescent="0.15">
      <c r="B92" s="2">
        <f>[1]节奏总纲!N92</f>
        <v>99</v>
      </c>
      <c r="C92" s="2">
        <v>89</v>
      </c>
      <c r="D92" s="2">
        <f>[1]节奏总纲!P92</f>
        <v>476.71289166684534</v>
      </c>
      <c r="E92" s="2">
        <f>[1]节奏总纲!Q92</f>
        <v>411.78459582182103</v>
      </c>
      <c r="F92" s="2">
        <f>[1]节奏总纲!R92</f>
        <v>332.60258451595797</v>
      </c>
      <c r="G92" s="2">
        <f>[1]节奏总纲!S92</f>
        <v>240.31096868925673</v>
      </c>
      <c r="H92" s="2">
        <f>[1]节奏总纲!T92</f>
        <v>130.61933231671563</v>
      </c>
      <c r="J92" s="2">
        <v>89</v>
      </c>
      <c r="K92" s="2">
        <f>[1]节奏总纲!W92</f>
        <v>31.991003259229842</v>
      </c>
      <c r="L92" s="2">
        <f>[1]节奏总纲!X92</f>
        <v>27.011217971552128</v>
      </c>
      <c r="M92" s="2">
        <f>[1]节奏总纲!Y92</f>
        <v>19.696263832359705</v>
      </c>
      <c r="N92" s="2">
        <f>[1]节奏总纲!Z92</f>
        <v>14.303305000506526</v>
      </c>
      <c r="O92" s="2">
        <f>[1]节奏总纲!AA92</f>
        <v>7.4313692278061296</v>
      </c>
      <c r="Q92" s="2">
        <v>89</v>
      </c>
      <c r="R92" s="2">
        <f>[1]节奏总纲!AD92</f>
        <v>64.915912490558512</v>
      </c>
      <c r="S92" s="2">
        <f>[1]节奏总纲!AE92</f>
        <v>66.923300409222719</v>
      </c>
      <c r="T92" s="2">
        <f>[1]节奏总纲!AF92</f>
        <v>69.821875489223984</v>
      </c>
      <c r="U92" s="2">
        <f>[1]节奏总纲!AG92</f>
        <v>74.335758643278794</v>
      </c>
      <c r="V92" s="2">
        <f>[1]节奏总纲!AH92</f>
        <v>82.967513911278544</v>
      </c>
      <c r="AN92" s="2">
        <v>89</v>
      </c>
      <c r="AO92" s="2">
        <f>[1]节奏总纲!BA92</f>
        <v>37.244854901032298</v>
      </c>
      <c r="AP92" s="2">
        <f>[1]节奏总纲!BB92</f>
        <v>38.742106846662928</v>
      </c>
      <c r="AQ92" s="2">
        <f>[1]节奏总纲!BC92</f>
        <v>40.674035830676758</v>
      </c>
      <c r="AR92" s="2">
        <f>[1]节奏总纲!BD92</f>
        <v>43.404644393455513</v>
      </c>
      <c r="AS92" s="2">
        <f>[1]节奏总纲!BE92</f>
        <v>48.101914750802706</v>
      </c>
    </row>
    <row r="93" spans="2:45" x14ac:dyDescent="0.15">
      <c r="B93" s="2">
        <f>[1]节奏总纲!N93</f>
        <v>100</v>
      </c>
      <c r="C93" s="2">
        <v>90</v>
      </c>
      <c r="D93" s="2">
        <f>[1]节奏总纲!P93</f>
        <v>511</v>
      </c>
      <c r="E93" s="2">
        <f>[1]节奏总纲!Q93</f>
        <v>438.13140000000004</v>
      </c>
      <c r="F93" s="2">
        <f>[1]节奏总纲!R93</f>
        <v>354.12299999999999</v>
      </c>
      <c r="G93" s="2">
        <f>[1]节奏总纲!S93</f>
        <v>254.88680000000002</v>
      </c>
      <c r="H93" s="2">
        <f>[1]节奏总纲!T93</f>
        <v>138.48100000000002</v>
      </c>
      <c r="J93" s="2">
        <v>90</v>
      </c>
      <c r="K93" s="2">
        <f>[1]节奏总纲!W93</f>
        <v>34.287108333154663</v>
      </c>
      <c r="L93" s="2">
        <f>[1]节奏总纲!X93</f>
        <v>26.346804178179013</v>
      </c>
      <c r="M93" s="2">
        <f>[1]节奏总纲!Y93</f>
        <v>21.520415484042019</v>
      </c>
      <c r="N93" s="2">
        <f>[1]节奏总纲!Z93</f>
        <v>14.575831310743297</v>
      </c>
      <c r="O93" s="2">
        <f>[1]节奏总纲!AA93</f>
        <v>7.861667683284395</v>
      </c>
      <c r="Q93" s="2">
        <v>90</v>
      </c>
      <c r="R93" s="2">
        <f>[1]节奏总纲!AD93</f>
        <v>65.075479910097457</v>
      </c>
      <c r="S93" s="2">
        <f>[1]节奏总纲!AE93</f>
        <v>67.083433628014333</v>
      </c>
      <c r="T93" s="2">
        <f>[1]节奏总纲!AF93</f>
        <v>69.982855616450394</v>
      </c>
      <c r="U93" s="2">
        <f>[1]节奏总纲!AG93</f>
        <v>74.493385467679886</v>
      </c>
      <c r="V93" s="2">
        <f>[1]节奏总纲!AH93</f>
        <v>83.124894550960335</v>
      </c>
      <c r="AN93" s="2">
        <v>90</v>
      </c>
      <c r="AO93" s="2">
        <f>[1]节奏总纲!BA93</f>
        <v>37.317457773889828</v>
      </c>
      <c r="AP93" s="2">
        <f>[1]节奏总纲!BB93</f>
        <v>38.82039500446033</v>
      </c>
      <c r="AQ93" s="2">
        <f>[1]节奏总纲!BC93</f>
        <v>40.751734485509814</v>
      </c>
      <c r="AR93" s="2">
        <f>[1]节奏总纲!BD93</f>
        <v>43.479537810324807</v>
      </c>
      <c r="AS93" s="2">
        <f>[1]节奏总纲!BE93</f>
        <v>48.173700750441178</v>
      </c>
    </row>
    <row r="94" spans="2:45" x14ac:dyDescent="0.15">
      <c r="B94" s="2">
        <f>[1]节奏总纲!N94</f>
        <v>101</v>
      </c>
      <c r="C94" s="2">
        <v>91</v>
      </c>
      <c r="D94" s="2">
        <f>[1]节奏总纲!P94</f>
        <v>547.74801281858208</v>
      </c>
      <c r="E94" s="2">
        <f>[1]节奏总纲!Q94</f>
        <v>469.6391461906523</v>
      </c>
      <c r="F94" s="2">
        <f>[1]节奏总纲!R94</f>
        <v>378.43910205635837</v>
      </c>
      <c r="G94" s="2">
        <f>[1]节奏总纲!S94</f>
        <v>272.61418597980827</v>
      </c>
      <c r="H94" s="2">
        <f>[1]节奏总纲!T94</f>
        <v>147.89196346101718</v>
      </c>
      <c r="J94" s="2">
        <v>91</v>
      </c>
      <c r="K94" s="2">
        <f>[1]节奏总纲!W94</f>
        <v>36.748012818582083</v>
      </c>
      <c r="L94" s="2">
        <f>[1]节奏总纲!X94</f>
        <v>31.507746190652256</v>
      </c>
      <c r="M94" s="2">
        <f>[1]节奏总纲!Y94</f>
        <v>24.316102056358375</v>
      </c>
      <c r="N94" s="2">
        <f>[1]节奏总纲!Z94</f>
        <v>17.727385979808247</v>
      </c>
      <c r="O94" s="2">
        <f>[1]节奏总纲!AA94</f>
        <v>9.4109634610171611</v>
      </c>
      <c r="Q94" s="2">
        <v>91</v>
      </c>
      <c r="R94" s="2">
        <f>[1]节奏总纲!AD94</f>
        <v>65.229416240679981</v>
      </c>
      <c r="S94" s="2">
        <f>[1]节奏总纲!AE94</f>
        <v>67.240606973055961</v>
      </c>
      <c r="T94" s="2">
        <f>[1]节奏总纲!AF94</f>
        <v>70.137942795989005</v>
      </c>
      <c r="U94" s="2">
        <f>[1]节奏总纲!AG94</f>
        <v>74.651012292080978</v>
      </c>
      <c r="V94" s="2">
        <f>[1]节奏总纲!AH94</f>
        <v>83.279794092850153</v>
      </c>
      <c r="AN94" s="2">
        <v>91</v>
      </c>
      <c r="AO94" s="2">
        <f>[1]节奏总纲!BA94</f>
        <v>37.390060646747358</v>
      </c>
      <c r="AP94" s="2">
        <f>[1]节奏总纲!BB94</f>
        <v>38.898683162257733</v>
      </c>
      <c r="AQ94" s="2">
        <f>[1]节奏总纲!BC94</f>
        <v>40.829433140342871</v>
      </c>
      <c r="AR94" s="2">
        <f>[1]节奏总纲!BD94</f>
        <v>43.554431227194108</v>
      </c>
      <c r="AS94" s="2">
        <f>[1]节奏总纲!BE94</f>
        <v>48.24548675007965</v>
      </c>
    </row>
    <row r="95" spans="2:45" x14ac:dyDescent="0.15">
      <c r="B95" s="2">
        <f>[1]节奏总纲!N95</f>
        <v>102</v>
      </c>
      <c r="C95" s="2">
        <v>92</v>
      </c>
      <c r="D95" s="2">
        <f>[1]节奏总纲!P95</f>
        <v>587.1335577584814</v>
      </c>
      <c r="E95" s="2">
        <f>[1]节奏总纲!Q95</f>
        <v>502.29275866238083</v>
      </c>
      <c r="F95" s="2">
        <f>[1]节奏总纲!R95</f>
        <v>405.12215485335213</v>
      </c>
      <c r="G95" s="2">
        <f>[1]节奏总纲!S95</f>
        <v>291.57052478286187</v>
      </c>
      <c r="H95" s="2">
        <f>[1]节奏总纲!T95</f>
        <v>157.64536025815227</v>
      </c>
      <c r="J95" s="2">
        <v>92</v>
      </c>
      <c r="K95" s="2">
        <f>[1]节奏总纲!W95</f>
        <v>39.385544939899319</v>
      </c>
      <c r="L95" s="2">
        <f>[1]节奏总纲!X95</f>
        <v>32.653612471728536</v>
      </c>
      <c r="M95" s="2">
        <f>[1]节奏总纲!Y95</f>
        <v>26.683052796993763</v>
      </c>
      <c r="N95" s="2">
        <f>[1]节奏总纲!Z95</f>
        <v>18.956338803053598</v>
      </c>
      <c r="O95" s="2">
        <f>[1]节奏总纲!AA95</f>
        <v>9.7533967971350819</v>
      </c>
      <c r="Q95" s="2">
        <v>92</v>
      </c>
      <c r="R95" s="2">
        <f>[1]节奏总纲!AD95</f>
        <v>65.38335257126252</v>
      </c>
      <c r="S95" s="2">
        <f>[1]节奏总纲!AE95</f>
        <v>67.397780318097588</v>
      </c>
      <c r="T95" s="2">
        <f>[1]节奏总纲!AF95</f>
        <v>70.292327570459079</v>
      </c>
      <c r="U95" s="2">
        <f>[1]节奏总纲!AG95</f>
        <v>74.808639116482055</v>
      </c>
      <c r="V95" s="2">
        <f>[1]节奏总纲!AH95</f>
        <v>83.434693634739986</v>
      </c>
      <c r="AN95" s="2">
        <v>92</v>
      </c>
      <c r="AO95" s="2">
        <f>[1]节奏总纲!BA95</f>
        <v>37.462663519604888</v>
      </c>
      <c r="AP95" s="2">
        <f>[1]节奏总纲!BB95</f>
        <v>38.976971320055128</v>
      </c>
      <c r="AQ95" s="2">
        <f>[1]节奏总纲!BC95</f>
        <v>40.907131795175928</v>
      </c>
      <c r="AR95" s="2">
        <f>[1]节奏总纲!BD95</f>
        <v>43.629324644063402</v>
      </c>
      <c r="AS95" s="2">
        <f>[1]节奏总纲!BE95</f>
        <v>48.317272749718121</v>
      </c>
    </row>
    <row r="96" spans="2:45" x14ac:dyDescent="0.15">
      <c r="B96" s="2">
        <f>[1]节奏总纲!N96</f>
        <v>103</v>
      </c>
      <c r="C96" s="2">
        <v>93</v>
      </c>
      <c r="D96" s="2">
        <f>[1]节奏总纲!P96</f>
        <v>629.34593963259704</v>
      </c>
      <c r="E96" s="2">
        <f>[1]节奏总纲!Q96</f>
        <v>538.34251676172357</v>
      </c>
      <c r="F96" s="2">
        <f>[1]节奏总纲!R96</f>
        <v>433.68228700082267</v>
      </c>
      <c r="G96" s="2">
        <f>[1]节奏总纲!S96</f>
        <v>311.52624011813555</v>
      </c>
      <c r="H96" s="2">
        <f>[1]节奏总纲!T96</f>
        <v>168.35003885171972</v>
      </c>
      <c r="J96" s="2">
        <v>93</v>
      </c>
      <c r="K96" s="2">
        <f>[1]节奏总纲!W96</f>
        <v>42.212381874115636</v>
      </c>
      <c r="L96" s="2">
        <f>[1]节奏总纲!X96</f>
        <v>36.049758099342739</v>
      </c>
      <c r="M96" s="2">
        <f>[1]节奏总纲!Y96</f>
        <v>28.56013214747054</v>
      </c>
      <c r="N96" s="2">
        <f>[1]节奏总纲!Z96</f>
        <v>19.95571533527368</v>
      </c>
      <c r="O96" s="2">
        <f>[1]节奏总纲!AA96</f>
        <v>10.704678593567451</v>
      </c>
      <c r="Q96" s="2">
        <v>93</v>
      </c>
      <c r="R96" s="2">
        <f>[1]节奏总纲!AD96</f>
        <v>65.537288901845059</v>
      </c>
      <c r="S96" s="2">
        <f>[1]节奏总纲!AE96</f>
        <v>67.554953663139216</v>
      </c>
      <c r="T96" s="2">
        <f>[1]节奏总纲!AF96</f>
        <v>70.446712344929153</v>
      </c>
      <c r="U96" s="2">
        <f>[1]节奏总纲!AG96</f>
        <v>74.966265940883147</v>
      </c>
      <c r="V96" s="2">
        <f>[1]节奏总纲!AH96</f>
        <v>83.589593176629805</v>
      </c>
      <c r="AN96" s="2">
        <v>93</v>
      </c>
      <c r="AO96" s="2">
        <f>[1]节奏总纲!BA96</f>
        <v>37.535266392462418</v>
      </c>
      <c r="AP96" s="2">
        <f>[1]节奏总纲!BB96</f>
        <v>39.047673544184711</v>
      </c>
      <c r="AQ96" s="2">
        <f>[1]节奏总纲!BC96</f>
        <v>40.984830450008985</v>
      </c>
      <c r="AR96" s="2">
        <f>[1]节奏总纲!BD96</f>
        <v>43.704218060932696</v>
      </c>
      <c r="AS96" s="2">
        <f>[1]节奏总纲!BE96</f>
        <v>48.389058749356593</v>
      </c>
    </row>
    <row r="97" spans="2:45" x14ac:dyDescent="0.15">
      <c r="B97" s="2">
        <f>[1]节奏总纲!N97</f>
        <v>104</v>
      </c>
      <c r="C97" s="2">
        <v>94</v>
      </c>
      <c r="D97" s="2">
        <f>[1]节奏总纲!P97</f>
        <v>674.58805031572183</v>
      </c>
      <c r="E97" s="2">
        <f>[1]节奏总纲!Q97</f>
        <v>576.30057138472114</v>
      </c>
      <c r="F97" s="2">
        <f>[1]节奏总纲!R97</f>
        <v>464.04911981218504</v>
      </c>
      <c r="G97" s="2">
        <f>[1]节奏总纲!S97</f>
        <v>332.70682641571403</v>
      </c>
      <c r="H97" s="2">
        <f>[1]节奏总纲!T97</f>
        <v>179.6427977990767</v>
      </c>
      <c r="J97" s="2">
        <v>94</v>
      </c>
      <c r="K97" s="2">
        <f>[1]节奏总纲!W97</f>
        <v>45.242110683124793</v>
      </c>
      <c r="L97" s="2">
        <f>[1]节奏总纲!X97</f>
        <v>37.958054622997565</v>
      </c>
      <c r="M97" s="2">
        <f>[1]节奏总纲!Y97</f>
        <v>30.366832811362372</v>
      </c>
      <c r="N97" s="2">
        <f>[1]节奏总纲!Z97</f>
        <v>21.180586297578486</v>
      </c>
      <c r="O97" s="2">
        <f>[1]节奏总纲!AA97</f>
        <v>11.292758947356987</v>
      </c>
      <c r="Q97" s="2">
        <v>94</v>
      </c>
      <c r="R97" s="2">
        <f>[1]节奏总纲!AD97</f>
        <v>65.691225232427584</v>
      </c>
      <c r="S97" s="2">
        <f>[1]节奏总纲!AE97</f>
        <v>67.712127008180858</v>
      </c>
      <c r="T97" s="2">
        <f>[1]节奏总纲!AF97</f>
        <v>70.601097119399213</v>
      </c>
      <c r="U97" s="2">
        <f>[1]节奏总纲!AG97</f>
        <v>75.115180559621535</v>
      </c>
      <c r="V97" s="2">
        <f>[1]节奏总纲!AH97</f>
        <v>83.744492718519624</v>
      </c>
      <c r="AN97" s="2">
        <v>94</v>
      </c>
      <c r="AO97" s="2">
        <f>[1]节奏总纲!BA97</f>
        <v>37.607869265319941</v>
      </c>
      <c r="AP97" s="2">
        <f>[1]节奏总纲!BB97</f>
        <v>39.115214427575864</v>
      </c>
      <c r="AQ97" s="2">
        <f>[1]节奏总纲!BC97</f>
        <v>41.053954370816207</v>
      </c>
      <c r="AR97" s="2">
        <f>[1]节奏总纲!BD97</f>
        <v>43.77911147780199</v>
      </c>
      <c r="AS97" s="2">
        <f>[1]节奏总纲!BE97</f>
        <v>48.460844748995065</v>
      </c>
    </row>
    <row r="98" spans="2:45" x14ac:dyDescent="0.15">
      <c r="B98" s="2">
        <f>[1]节奏总纲!N98</f>
        <v>105</v>
      </c>
      <c r="C98" s="2">
        <v>95</v>
      </c>
      <c r="D98" s="2">
        <f>[1]节奏总纲!P98</f>
        <v>723.0773439350246</v>
      </c>
      <c r="E98" s="2">
        <f>[1]节奏总纲!Q98</f>
        <v>618.15882133005255</v>
      </c>
      <c r="F98" s="2">
        <f>[1]节奏总纲!R98</f>
        <v>495.95875020503337</v>
      </c>
      <c r="G98" s="2">
        <f>[1]节奏总纲!S98</f>
        <v>355.39251454406457</v>
      </c>
      <c r="H98" s="2">
        <f>[1]节奏总纲!T98</f>
        <v>192.84472762747106</v>
      </c>
      <c r="J98" s="2">
        <v>95</v>
      </c>
      <c r="K98" s="2">
        <f>[1]节奏总纲!W98</f>
        <v>48.489293619302771</v>
      </c>
      <c r="L98" s="2">
        <f>[1]节奏总纲!X98</f>
        <v>41.858249945331409</v>
      </c>
      <c r="M98" s="2">
        <f>[1]节奏总纲!Y98</f>
        <v>31.909630392848328</v>
      </c>
      <c r="N98" s="2">
        <f>[1]节奏总纲!Z98</f>
        <v>22.685688128350534</v>
      </c>
      <c r="O98" s="2">
        <f>[1]节奏总纲!AA98</f>
        <v>13.201929828394356</v>
      </c>
      <c r="Q98" s="2">
        <v>95</v>
      </c>
      <c r="R98" s="2">
        <f>[1]节奏总纲!AD98</f>
        <v>65.845161563010123</v>
      </c>
      <c r="S98" s="2">
        <f>[1]节奏总纲!AE98</f>
        <v>67.869300353222485</v>
      </c>
      <c r="T98" s="2">
        <f>[1]节奏总纲!AF98</f>
        <v>70.755481893869288</v>
      </c>
      <c r="U98" s="2">
        <f>[1]节奏总纲!AG98</f>
        <v>75.261722981240993</v>
      </c>
      <c r="V98" s="2">
        <f>[1]节奏总纲!AH98</f>
        <v>83.899392260409456</v>
      </c>
      <c r="AN98" s="2">
        <v>95</v>
      </c>
      <c r="AO98" s="2">
        <f>[1]节奏总纲!BA98</f>
        <v>37.680472138177471</v>
      </c>
      <c r="AP98" s="2">
        <f>[1]节奏总纲!BB98</f>
        <v>39.182755310967018</v>
      </c>
      <c r="AQ98" s="2">
        <f>[1]节奏总纲!BC98</f>
        <v>41.120998062635785</v>
      </c>
      <c r="AR98" s="2">
        <f>[1]节奏总纲!BD98</f>
        <v>43.854004894671284</v>
      </c>
      <c r="AS98" s="2">
        <f>[1]节奏总纲!BE98</f>
        <v>48.532630748633537</v>
      </c>
    </row>
    <row r="99" spans="2:45" x14ac:dyDescent="0.15">
      <c r="B99" s="2">
        <f>[1]节奏总纲!N99</f>
        <v>106</v>
      </c>
      <c r="C99" s="2">
        <v>96</v>
      </c>
      <c r="D99" s="2">
        <f>[1]节奏总纲!P99</f>
        <v>775.04688205332377</v>
      </c>
      <c r="E99" s="2">
        <f>[1]节奏总纲!Q99</f>
        <v>661.0374857032798</v>
      </c>
      <c r="F99" s="2">
        <f>[1]节奏总纲!R99</f>
        <v>529.97705794806279</v>
      </c>
      <c r="G99" s="2">
        <f>[1]节奏总纲!S99</f>
        <v>380.70302846459265</v>
      </c>
      <c r="H99" s="2">
        <f>[1]节奏总纲!T99</f>
        <v>206.86001282003213</v>
      </c>
      <c r="J99" s="2">
        <v>96</v>
      </c>
      <c r="K99" s="2">
        <f>[1]节奏总纲!W99</f>
        <v>51.96953811829917</v>
      </c>
      <c r="L99" s="2">
        <f>[1]节奏总纲!X99</f>
        <v>42.878664373227252</v>
      </c>
      <c r="M99" s="2">
        <f>[1]节奏总纲!Y99</f>
        <v>34.018307743029425</v>
      </c>
      <c r="N99" s="2">
        <f>[1]节奏总纲!Z99</f>
        <v>25.310513920528081</v>
      </c>
      <c r="O99" s="2">
        <f>[1]节奏总纲!AA99</f>
        <v>14.015285192561066</v>
      </c>
      <c r="Q99" s="2">
        <v>96</v>
      </c>
      <c r="R99" s="2">
        <f>[1]节奏总纲!AD99</f>
        <v>65.999097893592648</v>
      </c>
      <c r="S99" s="2">
        <f>[1]节奏总纲!AE99</f>
        <v>68.025215371037646</v>
      </c>
      <c r="T99" s="2">
        <f>[1]节奏总纲!AF99</f>
        <v>70.909866668339362</v>
      </c>
      <c r="U99" s="2">
        <f>[1]节奏总纲!AG99</f>
        <v>75.408265402860437</v>
      </c>
      <c r="V99" s="2">
        <f>[1]节奏总纲!AH99</f>
        <v>84.050903767166133</v>
      </c>
      <c r="AN99" s="2">
        <v>96</v>
      </c>
      <c r="AO99" s="2">
        <f>[1]节奏总纲!BA99</f>
        <v>37.753075011035001</v>
      </c>
      <c r="AP99" s="2">
        <f>[1]节奏总纲!BB99</f>
        <v>39.250296194358178</v>
      </c>
      <c r="AQ99" s="2">
        <f>[1]节奏总纲!BC99</f>
        <v>41.188041754455355</v>
      </c>
      <c r="AR99" s="2">
        <f>[1]节奏总纲!BD99</f>
        <v>43.928898311540578</v>
      </c>
      <c r="AS99" s="2">
        <f>[1]节奏总纲!BE99</f>
        <v>48.604416748272008</v>
      </c>
    </row>
    <row r="100" spans="2:45" x14ac:dyDescent="0.15">
      <c r="B100" s="2">
        <f>[1]节奏总纲!N100</f>
        <v>107</v>
      </c>
      <c r="C100" s="2">
        <v>97</v>
      </c>
      <c r="D100" s="2">
        <f>[1]节奏总纲!P100</f>
        <v>830.74645386878444</v>
      </c>
      <c r="E100" s="2">
        <f>[1]节奏总纲!Q100</f>
        <v>707.71290405081743</v>
      </c>
      <c r="F100" s="2">
        <f>[1]节奏总纲!R100</f>
        <v>569.31054483627804</v>
      </c>
      <c r="G100" s="2">
        <f>[1]节奏总纲!S100</f>
        <v>409.80722569347137</v>
      </c>
      <c r="H100" s="2">
        <f>[1]节奏总纲!T100</f>
        <v>223.30464679992923</v>
      </c>
      <c r="J100" s="2">
        <v>97</v>
      </c>
      <c r="K100" s="2">
        <f>[1]节奏总纲!W100</f>
        <v>55.699571815460672</v>
      </c>
      <c r="L100" s="2">
        <f>[1]节奏总纲!X100</f>
        <v>46.675418347537629</v>
      </c>
      <c r="M100" s="2">
        <f>[1]节奏总纲!Y100</f>
        <v>39.333486888215248</v>
      </c>
      <c r="N100" s="2">
        <f>[1]节奏总纲!Z100</f>
        <v>29.104197228878718</v>
      </c>
      <c r="O100" s="2">
        <f>[1]节奏总纲!AA100</f>
        <v>16.444633979897105</v>
      </c>
      <c r="Q100" s="2">
        <v>97</v>
      </c>
      <c r="R100" s="2">
        <f>[1]节奏总纲!AD100</f>
        <v>66.142785979989682</v>
      </c>
      <c r="S100" s="2">
        <f>[1]节奏总纲!AE100</f>
        <v>68.174918074940805</v>
      </c>
      <c r="T100" s="2">
        <f>[1]节奏总纲!AF100</f>
        <v>71.061795050376986</v>
      </c>
      <c r="U100" s="2">
        <f>[1]节奏总纲!AG100</f>
        <v>75.554807824479894</v>
      </c>
      <c r="V100" s="2">
        <f>[1]节奏总纲!AH100</f>
        <v>84.196136930932482</v>
      </c>
      <c r="AN100" s="2">
        <v>97</v>
      </c>
      <c r="AO100" s="2">
        <f>[1]节奏总纲!BA100</f>
        <v>37.825677883892531</v>
      </c>
      <c r="AP100" s="2">
        <f>[1]节奏总纲!BB100</f>
        <v>39.317837077749331</v>
      </c>
      <c r="AQ100" s="2">
        <f>[1]节奏总纲!BC100</f>
        <v>41.255085446274933</v>
      </c>
      <c r="AR100" s="2">
        <f>[1]节奏总纲!BD100</f>
        <v>44.003272544984547</v>
      </c>
      <c r="AS100" s="2">
        <f>[1]节奏总纲!BE100</f>
        <v>48.67620274791048</v>
      </c>
    </row>
    <row r="101" spans="2:45" x14ac:dyDescent="0.15">
      <c r="B101" s="2">
        <f>[1]节奏总纲!N101</f>
        <v>108</v>
      </c>
      <c r="C101" s="2">
        <v>98</v>
      </c>
      <c r="D101" s="2">
        <f>[1]节奏总纲!P101</f>
        <v>890.4437768152311</v>
      </c>
      <c r="E101" s="2">
        <f>[1]节奏总纲!Q101</f>
        <v>760.34994102252585</v>
      </c>
      <c r="F101" s="2">
        <f>[1]节奏总纲!R101</f>
        <v>612.98149595960513</v>
      </c>
      <c r="G101" s="2">
        <f>[1]节奏总纲!S101</f>
        <v>441.9272464333992</v>
      </c>
      <c r="H101" s="2">
        <f>[1]节奏总纲!T101</f>
        <v>240.77599725083846</v>
      </c>
      <c r="J101" s="2">
        <v>98</v>
      </c>
      <c r="K101" s="2">
        <f>[1]节奏总纲!W101</f>
        <v>59.697322946446661</v>
      </c>
      <c r="L101" s="2">
        <f>[1]节奏总纲!X101</f>
        <v>52.637036971708426</v>
      </c>
      <c r="M101" s="2">
        <f>[1]节奏总纲!Y101</f>
        <v>43.670951123327086</v>
      </c>
      <c r="N101" s="2">
        <f>[1]节奏总纲!Z101</f>
        <v>32.120020739927838</v>
      </c>
      <c r="O101" s="2">
        <f>[1]节奏总纲!AA101</f>
        <v>17.471350450909227</v>
      </c>
      <c r="Q101" s="2">
        <v>98</v>
      </c>
      <c r="R101" s="2">
        <f>[1]节奏总纲!AD101</f>
        <v>66.286413655019302</v>
      </c>
      <c r="S101" s="2">
        <f>[1]节奏总纲!AE101</f>
        <v>68.324620778843951</v>
      </c>
      <c r="T101" s="2">
        <f>[1]节奏总纲!AF101</f>
        <v>71.210277551293188</v>
      </c>
      <c r="U101" s="2">
        <f>[1]节奏总纲!AG101</f>
        <v>75.701350246099338</v>
      </c>
      <c r="V101" s="2">
        <f>[1]节奏总纲!AH101</f>
        <v>84.341370094698831</v>
      </c>
      <c r="AN101" s="2">
        <v>98</v>
      </c>
      <c r="AO101" s="2">
        <f>[1]节奏总纲!BA101</f>
        <v>37.898280756750061</v>
      </c>
      <c r="AP101" s="2">
        <f>[1]节奏总纲!BB101</f>
        <v>39.385377961140485</v>
      </c>
      <c r="AQ101" s="2">
        <f>[1]节奏总纲!BC101</f>
        <v>41.322129138094503</v>
      </c>
      <c r="AR101" s="2">
        <f>[1]节奏总纲!BD101</f>
        <v>44.067911160744309</v>
      </c>
      <c r="AS101" s="2">
        <f>[1]节奏总纲!BE101</f>
        <v>48.747988747548945</v>
      </c>
    </row>
    <row r="102" spans="2:45" x14ac:dyDescent="0.15">
      <c r="B102" s="2">
        <f>[1]节奏总纲!N102</f>
        <v>109</v>
      </c>
      <c r="C102" s="2">
        <v>99</v>
      </c>
      <c r="D102" s="2">
        <f>[1]节奏总纲!P102</f>
        <v>954.42578333369079</v>
      </c>
      <c r="E102" s="2">
        <f>[1]节奏总纲!Q102</f>
        <v>816.51125764197252</v>
      </c>
      <c r="F102" s="2">
        <f>[1]节奏总纲!R102</f>
        <v>658.6492330785801</v>
      </c>
      <c r="G102" s="2">
        <f>[1]节奏总纲!S102</f>
        <v>475.39948267851139</v>
      </c>
      <c r="H102" s="2">
        <f>[1]节奏总纲!T102</f>
        <v>257.59951892176309</v>
      </c>
      <c r="J102" s="2">
        <v>99</v>
      </c>
      <c r="K102" s="2">
        <f>[1]节奏总纲!W102</f>
        <v>63.982006518459684</v>
      </c>
      <c r="L102" s="2">
        <f>[1]节奏总纲!X102</f>
        <v>56.161316619446666</v>
      </c>
      <c r="M102" s="2">
        <f>[1]节奏总纲!Y102</f>
        <v>45.667737118974969</v>
      </c>
      <c r="N102" s="2">
        <f>[1]节奏总纲!Z102</f>
        <v>33.472236245112185</v>
      </c>
      <c r="O102" s="2">
        <f>[1]节奏总纲!AA102</f>
        <v>16.823521670924634</v>
      </c>
      <c r="Q102" s="2">
        <v>99</v>
      </c>
      <c r="R102" s="2">
        <f>[1]节奏总纲!AD102</f>
        <v>66.430041330048923</v>
      </c>
      <c r="S102" s="2">
        <f>[1]节奏总纲!AE102</f>
        <v>68.474323482747096</v>
      </c>
      <c r="T102" s="2">
        <f>[1]节奏总纲!AF102</f>
        <v>71.358760052209377</v>
      </c>
      <c r="U102" s="2">
        <f>[1]节奏总纲!AG102</f>
        <v>75.847892667718796</v>
      </c>
      <c r="V102" s="2">
        <f>[1]节奏总纲!AH102</f>
        <v>84.48660325846518</v>
      </c>
      <c r="AN102" s="2">
        <v>99</v>
      </c>
      <c r="AO102" s="2">
        <f>[1]节奏总纲!BA102</f>
        <v>37.970883629607592</v>
      </c>
      <c r="AP102" s="2">
        <f>[1]节奏总纲!BB102</f>
        <v>39.452918844531645</v>
      </c>
      <c r="AQ102" s="2">
        <f>[1]节奏总纲!BC102</f>
        <v>41.389172829914081</v>
      </c>
      <c r="AR102" s="2">
        <f>[1]节奏总纲!BD102</f>
        <v>44.132549776504064</v>
      </c>
      <c r="AS102" s="2">
        <f>[1]节奏总纲!BE102</f>
        <v>48.819774747187417</v>
      </c>
    </row>
    <row r="103" spans="2:45" x14ac:dyDescent="0.15">
      <c r="B103" s="2">
        <f>[1]节奏总纲!N103</f>
        <v>110</v>
      </c>
      <c r="C103" s="2">
        <v>100</v>
      </c>
      <c r="D103" s="2">
        <f>[1]节奏总纲!P103</f>
        <v>1023</v>
      </c>
      <c r="E103" s="2">
        <f>[1]节奏总纲!Q103</f>
        <v>875.38110000000006</v>
      </c>
      <c r="F103" s="2">
        <f>[1]节奏总纲!R103</f>
        <v>706.6884</v>
      </c>
      <c r="G103" s="2">
        <f>[1]节奏总纲!S103</f>
        <v>508.22640000000001</v>
      </c>
      <c r="H103" s="2">
        <f>[1]节奏总纲!T103</f>
        <v>274.77780000000001</v>
      </c>
      <c r="J103" s="2">
        <v>100</v>
      </c>
      <c r="K103" s="2">
        <f>[1]节奏总纲!W103</f>
        <v>68.574216666309212</v>
      </c>
      <c r="L103" s="2">
        <f>[1]节奏总纲!X103</f>
        <v>58.86984235802754</v>
      </c>
      <c r="M103" s="2">
        <f>[1]节奏总纲!Y103</f>
        <v>48.039166921419906</v>
      </c>
      <c r="N103" s="2">
        <f>[1]节奏总纲!Z103</f>
        <v>32.826917321488622</v>
      </c>
      <c r="O103" s="2">
        <f>[1]节奏总纲!AA103</f>
        <v>17.178281078236921</v>
      </c>
      <c r="Q103" s="2">
        <v>100</v>
      </c>
      <c r="R103" s="2">
        <f>[1]节奏总纲!AD103</f>
        <v>66.573669005078543</v>
      </c>
      <c r="S103" s="2">
        <f>[1]节奏总纲!AE103</f>
        <v>68.624026186650241</v>
      </c>
      <c r="T103" s="2">
        <f>[1]节奏总纲!AF103</f>
        <v>71.507242553125565</v>
      </c>
      <c r="U103" s="2">
        <f>[1]节奏总纲!AG103</f>
        <v>75.994435089338239</v>
      </c>
      <c r="V103" s="2">
        <f>[1]节奏总纲!AH103</f>
        <v>84.63183642223153</v>
      </c>
      <c r="AN103" s="2">
        <v>100</v>
      </c>
      <c r="AO103" s="2">
        <f>[1]节奏总纲!BA103</f>
        <v>38.037513426486328</v>
      </c>
      <c r="AP103" s="2">
        <f>[1]节奏总纲!BB103</f>
        <v>39.520459727922798</v>
      </c>
      <c r="AQ103" s="2">
        <f>[1]节奏总纲!BC103</f>
        <v>41.456216521733651</v>
      </c>
      <c r="AR103" s="2">
        <f>[1]节奏总纲!BD103</f>
        <v>44.197188392263818</v>
      </c>
      <c r="AS103" s="2">
        <f>[1]节奏总纲!BE103</f>
        <v>48.891560746825888</v>
      </c>
    </row>
    <row r="104" spans="2:45" x14ac:dyDescent="0.15">
      <c r="B104" s="2">
        <f>[1]节奏总纲!N104</f>
        <v>111</v>
      </c>
      <c r="C104" s="2">
        <v>101</v>
      </c>
      <c r="D104" s="2">
        <f>[1]节奏总纲!P104</f>
        <v>1096.4960256371633</v>
      </c>
      <c r="E104" s="2">
        <f>[1]节奏总纲!Q104</f>
        <v>939.14884595823037</v>
      </c>
      <c r="F104" s="2">
        <f>[1]节奏总纲!R104</f>
        <v>756.25330888195151</v>
      </c>
      <c r="G104" s="2">
        <f>[1]节奏总纲!S104</f>
        <v>541.99798547244984</v>
      </c>
      <c r="H104" s="2">
        <f>[1]节奏总纲!T104</f>
        <v>293.42233646050488</v>
      </c>
      <c r="J104" s="2">
        <v>101</v>
      </c>
      <c r="K104" s="2">
        <f>[1]节奏总纲!W104</f>
        <v>73.496025637163257</v>
      </c>
      <c r="L104" s="2">
        <f>[1]节奏总纲!X104</f>
        <v>63.767745958230307</v>
      </c>
      <c r="M104" s="2">
        <f>[1]节奏总纲!Y104</f>
        <v>49.56490888195151</v>
      </c>
      <c r="N104" s="2">
        <f>[1]节奏总纲!Z104</f>
        <v>33.771585472449829</v>
      </c>
      <c r="O104" s="2">
        <f>[1]节奏总纲!AA104</f>
        <v>18.644536460504867</v>
      </c>
      <c r="Q104" s="2">
        <v>101</v>
      </c>
      <c r="R104" s="2">
        <f>[1]节奏总纲!AD104</f>
        <v>66.717296680108163</v>
      </c>
      <c r="S104" s="2">
        <f>[1]节奏总纲!AE104</f>
        <v>68.773728890553386</v>
      </c>
      <c r="T104" s="2">
        <f>[1]节奏总纲!AF104</f>
        <v>71.655725054041767</v>
      </c>
      <c r="U104" s="2">
        <f>[1]节奏总纲!AG104</f>
        <v>76.130305911210229</v>
      </c>
      <c r="V104" s="2">
        <f>[1]节奏总纲!AH104</f>
        <v>84.777069585997879</v>
      </c>
      <c r="AN104" s="2">
        <v>101</v>
      </c>
      <c r="AO104" s="2">
        <f>[1]节奏总纲!BA104</f>
        <v>38.100143952724252</v>
      </c>
      <c r="AP104" s="2">
        <f>[1]节奏总纲!BB104</f>
        <v>39.588000611313952</v>
      </c>
      <c r="AQ104" s="2">
        <f>[1]节奏总纲!BC104</f>
        <v>41.523260213553229</v>
      </c>
      <c r="AR104" s="2">
        <f>[1]节奏总纲!BD104</f>
        <v>44.261827008023573</v>
      </c>
      <c r="AS104" s="2">
        <f>[1]节奏总纲!BE104</f>
        <v>48.96334674646436</v>
      </c>
    </row>
    <row r="105" spans="2:45" x14ac:dyDescent="0.15">
      <c r="B105" s="2">
        <f>[1]节奏总纲!N105</f>
        <v>112</v>
      </c>
      <c r="C105" s="2">
        <v>102</v>
      </c>
      <c r="D105" s="2">
        <f>[1]节奏总纲!P105</f>
        <v>1175.2671155169628</v>
      </c>
      <c r="E105" s="2">
        <f>[1]节奏总纲!Q105</f>
        <v>1004.2657502092447</v>
      </c>
      <c r="F105" s="2">
        <f>[1]节奏总纲!R105</f>
        <v>806.23324124463659</v>
      </c>
      <c r="G105" s="2">
        <f>[1]节奏总纲!S105</f>
        <v>577.99636741124232</v>
      </c>
      <c r="H105" s="2">
        <f>[1]节奏总纲!T105</f>
        <v>313.56126641992563</v>
      </c>
      <c r="J105" s="2">
        <v>102</v>
      </c>
      <c r="K105" s="2">
        <f>[1]节奏总纲!W105</f>
        <v>78.771089879799547</v>
      </c>
      <c r="L105" s="2">
        <f>[1]节奏总纲!X105</f>
        <v>65.116904251014375</v>
      </c>
      <c r="M105" s="2">
        <f>[1]节奏总纲!Y105</f>
        <v>49.979932362685076</v>
      </c>
      <c r="N105" s="2">
        <f>[1]节奏总纲!Z105</f>
        <v>35.998381938792477</v>
      </c>
      <c r="O105" s="2">
        <f>[1]节奏总纲!AA105</f>
        <v>20.13892995942075</v>
      </c>
      <c r="Q105" s="2">
        <v>102</v>
      </c>
      <c r="R105" s="2">
        <f>[1]节奏总纲!AD105</f>
        <v>66.860924355137783</v>
      </c>
      <c r="S105" s="2">
        <f>[1]节奏总纲!AE105</f>
        <v>68.923431594456531</v>
      </c>
      <c r="T105" s="2">
        <f>[1]节奏总纲!AF105</f>
        <v>71.804207554957955</v>
      </c>
      <c r="U105" s="2">
        <f>[1]节奏总纲!AG105</f>
        <v>76.265755485049056</v>
      </c>
      <c r="V105" s="2">
        <f>[1]节奏总纲!AH105</f>
        <v>84.922302749764228</v>
      </c>
      <c r="AN105" s="2">
        <v>102</v>
      </c>
      <c r="AO105" s="2">
        <f>[1]节奏总纲!BA105</f>
        <v>38.16277447896217</v>
      </c>
      <c r="AP105" s="2">
        <f>[1]节奏总纲!BB105</f>
        <v>39.655541494705105</v>
      </c>
      <c r="AQ105" s="2">
        <f>[1]节奏总纲!BC105</f>
        <v>41.590303905372799</v>
      </c>
      <c r="AR105" s="2">
        <f>[1]节奏总纲!BD105</f>
        <v>44.326465623783335</v>
      </c>
      <c r="AS105" s="2">
        <f>[1]节奏总纲!BE105</f>
        <v>49.030333272797542</v>
      </c>
    </row>
    <row r="106" spans="2:45" x14ac:dyDescent="0.15">
      <c r="B106" s="2">
        <f>[1]节奏总纲!N106</f>
        <v>113</v>
      </c>
      <c r="C106" s="2">
        <v>103</v>
      </c>
      <c r="D106" s="2">
        <f>[1]节奏总纲!P106</f>
        <v>1259.6918792651943</v>
      </c>
      <c r="E106" s="2">
        <f>[1]节奏总纲!Q106</f>
        <v>1073.383450321872</v>
      </c>
      <c r="F106" s="2">
        <f>[1]节奏总纲!R106</f>
        <v>861.50327622946634</v>
      </c>
      <c r="G106" s="2">
        <f>[1]节奏总纲!S106</f>
        <v>619.01258947091651</v>
      </c>
      <c r="H106" s="2">
        <f>[1]节奏总纲!T106</f>
        <v>335.8338550121008</v>
      </c>
      <c r="J106" s="2">
        <v>103</v>
      </c>
      <c r="K106" s="2">
        <f>[1]节奏总纲!W106</f>
        <v>84.424763748231499</v>
      </c>
      <c r="L106" s="2">
        <f>[1]节奏总纲!X106</f>
        <v>69.11770011262729</v>
      </c>
      <c r="M106" s="2">
        <f>[1]节奏总纲!Y106</f>
        <v>55.270034984829749</v>
      </c>
      <c r="N106" s="2">
        <f>[1]节奏总纲!Z106</f>
        <v>41.016222059674192</v>
      </c>
      <c r="O106" s="2">
        <f>[1]节奏总纲!AA106</f>
        <v>22.272588592175168</v>
      </c>
      <c r="Q106" s="2">
        <v>103</v>
      </c>
      <c r="R106" s="2">
        <f>[1]节奏总纲!AD106</f>
        <v>67.004247194324648</v>
      </c>
      <c r="S106" s="2">
        <f>[1]节奏总纲!AE106</f>
        <v>69.0655056802525</v>
      </c>
      <c r="T106" s="2">
        <f>[1]节奏总纲!AF106</f>
        <v>71.952690055874157</v>
      </c>
      <c r="U106" s="2">
        <f>[1]节奏总纲!AG106</f>
        <v>76.401205058887882</v>
      </c>
      <c r="V106" s="2">
        <f>[1]节奏总纲!AH106</f>
        <v>85.072521641060263</v>
      </c>
      <c r="AN106" s="2">
        <v>103</v>
      </c>
      <c r="AO106" s="2">
        <f>[1]节奏总纲!BA106</f>
        <v>38.225405005200088</v>
      </c>
      <c r="AP106" s="2">
        <f>[1]节奏总纲!BB106</f>
        <v>39.723082378096265</v>
      </c>
      <c r="AQ106" s="2">
        <f>[1]节奏总纲!BC106</f>
        <v>41.657347597192377</v>
      </c>
      <c r="AR106" s="2">
        <f>[1]节奏总纲!BD106</f>
        <v>44.39110423954309</v>
      </c>
      <c r="AS106" s="2">
        <f>[1]节奏总纲!BE106</f>
        <v>49.09231260978715</v>
      </c>
    </row>
    <row r="107" spans="2:45" x14ac:dyDescent="0.15">
      <c r="B107" s="2">
        <f>[1]节奏总纲!N107</f>
        <v>114</v>
      </c>
      <c r="C107" s="2">
        <v>104</v>
      </c>
      <c r="D107" s="2">
        <f>[1]节奏总纲!P107</f>
        <v>1350.1761006314437</v>
      </c>
      <c r="E107" s="2">
        <f>[1]节奏总纲!Q107</f>
        <v>1150.7550905681794</v>
      </c>
      <c r="F107" s="2">
        <f>[1]节奏总纲!R107</f>
        <v>925.41069937279144</v>
      </c>
      <c r="G107" s="2">
        <f>[1]节奏总纲!S107</f>
        <v>665.09674717104917</v>
      </c>
      <c r="H107" s="2">
        <f>[1]节奏总纲!T107</f>
        <v>360.49701886859549</v>
      </c>
      <c r="J107" s="2">
        <v>104</v>
      </c>
      <c r="K107" s="2">
        <f>[1]节奏总纲!W107</f>
        <v>90.484221366249358</v>
      </c>
      <c r="L107" s="2">
        <f>[1]节奏总纲!X107</f>
        <v>77.371640246307379</v>
      </c>
      <c r="M107" s="2">
        <f>[1]节奏总纲!Y107</f>
        <v>63.907423143325104</v>
      </c>
      <c r="N107" s="2">
        <f>[1]节奏总纲!Z107</f>
        <v>46.084157700132664</v>
      </c>
      <c r="O107" s="2">
        <f>[1]节奏总纲!AA107</f>
        <v>24.663163856494691</v>
      </c>
      <c r="Q107" s="2">
        <v>104</v>
      </c>
      <c r="R107" s="2">
        <f>[1]节奏总纲!AD107</f>
        <v>67.138256553625013</v>
      </c>
      <c r="S107" s="2">
        <f>[1]节奏总纲!AE107</f>
        <v>69.199592937186125</v>
      </c>
      <c r="T107" s="2">
        <f>[1]节奏总纲!AF107</f>
        <v>72.093818006439079</v>
      </c>
      <c r="U107" s="2">
        <f>[1]节奏总纲!AG107</f>
        <v>76.536654632726695</v>
      </c>
      <c r="V107" s="2">
        <f>[1]节奏总纲!AH107</f>
        <v>85.228476403824274</v>
      </c>
      <c r="AN107" s="2">
        <v>104</v>
      </c>
      <c r="AO107" s="2">
        <f>[1]节奏总纲!BA107</f>
        <v>38.288035531438013</v>
      </c>
      <c r="AP107" s="2">
        <f>[1]节奏总纲!BB107</f>
        <v>39.790623261487418</v>
      </c>
      <c r="AQ107" s="2">
        <f>[1]节奏总纲!BC107</f>
        <v>41.724391289011947</v>
      </c>
      <c r="AR107" s="2">
        <f>[1]节奏总纲!BD107</f>
        <v>44.455742855302844</v>
      </c>
      <c r="AS107" s="2">
        <f>[1]节奏总纲!BE107</f>
        <v>49.154291946776759</v>
      </c>
    </row>
    <row r="108" spans="2:45" x14ac:dyDescent="0.15">
      <c r="B108" s="2">
        <f>[1]节奏总纲!N108</f>
        <v>115</v>
      </c>
      <c r="C108" s="2">
        <v>105</v>
      </c>
      <c r="D108" s="2">
        <f>[1]节奏总纲!P108</f>
        <v>1447.1546878700494</v>
      </c>
      <c r="E108" s="2">
        <f>[1]节奏总纲!Q108</f>
        <v>1234.8570951595132</v>
      </c>
      <c r="F108" s="2">
        <f>[1]节奏总纲!R108</f>
        <v>993.18226228521496</v>
      </c>
      <c r="G108" s="2">
        <f>[1]节奏总纲!S108</f>
        <v>713.59197658872131</v>
      </c>
      <c r="H108" s="2">
        <f>[1]节奏总纲!T108</f>
        <v>386.39030166130323</v>
      </c>
      <c r="J108" s="2">
        <v>105</v>
      </c>
      <c r="K108" s="2">
        <f>[1]节奏总纲!W108</f>
        <v>96.978587238605769</v>
      </c>
      <c r="L108" s="2">
        <f>[1]节奏总纲!X108</f>
        <v>84.102004591333753</v>
      </c>
      <c r="M108" s="2">
        <f>[1]节奏总纲!Y108</f>
        <v>67.771562912423519</v>
      </c>
      <c r="N108" s="2">
        <f>[1]节奏总纲!Z108</f>
        <v>48.495229417672135</v>
      </c>
      <c r="O108" s="2">
        <f>[1]节奏总纲!AA108</f>
        <v>25.893282792707737</v>
      </c>
      <c r="Q108" s="2">
        <v>105</v>
      </c>
      <c r="R108" s="2">
        <f>[1]节奏总纲!AD108</f>
        <v>67.272265912925377</v>
      </c>
      <c r="S108" s="2">
        <f>[1]节奏总纲!AE108</f>
        <v>69.333680194119751</v>
      </c>
      <c r="T108" s="2">
        <f>[1]节奏总纲!AF108</f>
        <v>72.23150684883845</v>
      </c>
      <c r="U108" s="2">
        <f>[1]节奏总纲!AG108</f>
        <v>76.672104206565521</v>
      </c>
      <c r="V108" s="2">
        <f>[1]节奏总纲!AH108</f>
        <v>85.384431166588271</v>
      </c>
      <c r="AN108" s="2">
        <v>105</v>
      </c>
      <c r="AO108" s="2">
        <f>[1]节奏总纲!BA108</f>
        <v>38.35066605767593</v>
      </c>
      <c r="AP108" s="2">
        <f>[1]节奏总纲!BB108</f>
        <v>39.858164144878572</v>
      </c>
      <c r="AQ108" s="2">
        <f>[1]节奏总纲!BC108</f>
        <v>41.791434980831518</v>
      </c>
      <c r="AR108" s="2">
        <f>[1]节奏总纲!BD108</f>
        <v>44.520381471062606</v>
      </c>
      <c r="AS108" s="2">
        <f>[1]节奏总纲!BE108</f>
        <v>49.216271283766375</v>
      </c>
    </row>
    <row r="109" spans="2:45" x14ac:dyDescent="0.15">
      <c r="B109" s="2">
        <f>[1]节奏总纲!N109</f>
        <v>116</v>
      </c>
      <c r="C109" s="2">
        <v>106</v>
      </c>
      <c r="D109" s="2">
        <f>[1]节奏总纲!P109</f>
        <v>1551.0937641066464</v>
      </c>
      <c r="E109" s="2">
        <f>[1]节奏总纲!Q109</f>
        <v>1324.4789651706653</v>
      </c>
      <c r="F109" s="2">
        <f>[1]节奏总纲!R109</f>
        <v>1064.6707596828021</v>
      </c>
      <c r="G109" s="2">
        <f>[1]节奏总纲!S109</f>
        <v>764.3790069517554</v>
      </c>
      <c r="H109" s="2">
        <f>[1]节奏总纲!T109</f>
        <v>412.59094125236794</v>
      </c>
      <c r="J109" s="2">
        <v>106</v>
      </c>
      <c r="K109" s="2">
        <f>[1]节奏总纲!W109</f>
        <v>103.93907623659697</v>
      </c>
      <c r="L109" s="2">
        <f>[1]节奏总纲!X109</f>
        <v>89.621870011152168</v>
      </c>
      <c r="M109" s="2">
        <f>[1]节奏总纲!Y109</f>
        <v>71.488497397587139</v>
      </c>
      <c r="N109" s="2">
        <f>[1]节奏总纲!Z109</f>
        <v>50.787030363034091</v>
      </c>
      <c r="O109" s="2">
        <f>[1]节奏总纲!AA109</f>
        <v>26.200639591064714</v>
      </c>
      <c r="Q109" s="2">
        <v>106</v>
      </c>
      <c r="R109" s="2">
        <f>[1]节奏总纲!AD109</f>
        <v>67.406275272225741</v>
      </c>
      <c r="S109" s="2">
        <f>[1]节奏总纲!AE109</f>
        <v>69.467767451053362</v>
      </c>
      <c r="T109" s="2">
        <f>[1]节奏总纲!AF109</f>
        <v>72.369195691237806</v>
      </c>
      <c r="U109" s="2">
        <f>[1]节奏总纲!AG109</f>
        <v>76.807553780404334</v>
      </c>
      <c r="V109" s="2">
        <f>[1]节奏总纲!AH109</f>
        <v>85.540385929352269</v>
      </c>
      <c r="AN109" s="2">
        <v>106</v>
      </c>
      <c r="AO109" s="2">
        <f>[1]节奏总纲!BA109</f>
        <v>38.413296583913848</v>
      </c>
      <c r="AP109" s="2">
        <f>[1]节奏总纲!BB109</f>
        <v>39.925705028269732</v>
      </c>
      <c r="AQ109" s="2">
        <f>[1]节奏总纲!BC109</f>
        <v>41.858478672651096</v>
      </c>
      <c r="AR109" s="2">
        <f>[1]节奏总纲!BD109</f>
        <v>44.585020086822361</v>
      </c>
      <c r="AS109" s="2">
        <f>[1]节奏总纲!BE109</f>
        <v>49.278250620755983</v>
      </c>
    </row>
    <row r="110" spans="2:45" x14ac:dyDescent="0.15">
      <c r="B110" s="2">
        <f>[1]节奏总纲!N110</f>
        <v>117</v>
      </c>
      <c r="C110" s="2">
        <v>107</v>
      </c>
      <c r="D110" s="2">
        <f>[1]节奏总纲!P110</f>
        <v>1662.4929077375689</v>
      </c>
      <c r="E110" s="2">
        <f>[1]节奏总纲!Q110</f>
        <v>1418.9376967540152</v>
      </c>
      <c r="F110" s="2">
        <f>[1]节奏总纲!R110</f>
        <v>1141.6338797433884</v>
      </c>
      <c r="G110" s="2">
        <f>[1]节奏总纲!S110</f>
        <v>816.11776840837263</v>
      </c>
      <c r="H110" s="2">
        <f>[1]节奏总纲!T110</f>
        <v>440.22812196890823</v>
      </c>
      <c r="J110" s="2">
        <v>107</v>
      </c>
      <c r="K110" s="2">
        <f>[1]节奏总纲!W110</f>
        <v>111.39914363092248</v>
      </c>
      <c r="L110" s="2">
        <f>[1]节奏总纲!X110</f>
        <v>94.458731583349845</v>
      </c>
      <c r="M110" s="2">
        <f>[1]节奏总纲!Y110</f>
        <v>76.963120060586334</v>
      </c>
      <c r="N110" s="2">
        <f>[1]节奏总纲!Z110</f>
        <v>51.738761456617226</v>
      </c>
      <c r="O110" s="2">
        <f>[1]节奏总纲!AA110</f>
        <v>27.637180716540286</v>
      </c>
      <c r="Q110" s="2">
        <v>107</v>
      </c>
      <c r="R110" s="2">
        <f>[1]节奏总纲!AD110</f>
        <v>67.540284631526106</v>
      </c>
      <c r="S110" s="2">
        <f>[1]节奏总纲!AE110</f>
        <v>69.601854707986988</v>
      </c>
      <c r="T110" s="2">
        <f>[1]节奏总纲!AF110</f>
        <v>72.506884533637162</v>
      </c>
      <c r="U110" s="2">
        <f>[1]节奏总纲!AG110</f>
        <v>76.94300335424316</v>
      </c>
      <c r="V110" s="2">
        <f>[1]节奏总纲!AH110</f>
        <v>85.696340692116266</v>
      </c>
      <c r="AN110" s="2">
        <v>107</v>
      </c>
      <c r="AO110" s="2">
        <f>[1]节奏总纲!BA110</f>
        <v>38.475927110151773</v>
      </c>
      <c r="AP110" s="2">
        <f>[1]节奏总纲!BB110</f>
        <v>39.993245911660885</v>
      </c>
      <c r="AQ110" s="2">
        <f>[1]节奏总纲!BC110</f>
        <v>41.925522364470666</v>
      </c>
      <c r="AR110" s="2">
        <f>[1]节奏总纲!BD110</f>
        <v>44.649658702582116</v>
      </c>
      <c r="AS110" s="2">
        <f>[1]节奏总纲!BE110</f>
        <v>49.340229957745592</v>
      </c>
    </row>
    <row r="111" spans="2:45" x14ac:dyDescent="0.15">
      <c r="B111" s="2">
        <f>[1]节奏总纲!N111</f>
        <v>118</v>
      </c>
      <c r="C111" s="2">
        <v>108</v>
      </c>
      <c r="D111" s="2">
        <f>[1]节奏总纲!P111</f>
        <v>1781.8875536304624</v>
      </c>
      <c r="E111" s="2">
        <f>[1]节奏总纲!Q111</f>
        <v>1520.8410270235997</v>
      </c>
      <c r="F111" s="2">
        <f>[1]节奏总纲!R111</f>
        <v>1218.0983316617842</v>
      </c>
      <c r="G111" s="2">
        <f>[1]节奏总纲!S111</f>
        <v>871.69939123602228</v>
      </c>
      <c r="H111" s="2">
        <f>[1]节奏总纲!T111</f>
        <v>471.13106917989433</v>
      </c>
      <c r="J111" s="2">
        <v>108</v>
      </c>
      <c r="K111" s="2">
        <f>[1]节奏总纲!W111</f>
        <v>119.39464589289355</v>
      </c>
      <c r="L111" s="2">
        <f>[1]节奏总纲!X111</f>
        <v>101.90333026958456</v>
      </c>
      <c r="M111" s="2">
        <f>[1]节奏总纲!Y111</f>
        <v>76.464451918395753</v>
      </c>
      <c r="N111" s="2">
        <f>[1]节奏总纲!Z111</f>
        <v>55.581622827649653</v>
      </c>
      <c r="O111" s="2">
        <f>[1]节奏总纲!AA111</f>
        <v>30.902947210986099</v>
      </c>
      <c r="Q111" s="2">
        <v>108</v>
      </c>
      <c r="R111" s="2">
        <f>[1]节奏总纲!AD111</f>
        <v>67.674293990826456</v>
      </c>
      <c r="S111" s="2">
        <f>[1]节奏总纲!AE111</f>
        <v>69.735941964920613</v>
      </c>
      <c r="T111" s="2">
        <f>[1]节奏总纲!AF111</f>
        <v>72.644573376036519</v>
      </c>
      <c r="U111" s="2">
        <f>[1]节奏总纲!AG111</f>
        <v>77.074762810762508</v>
      </c>
      <c r="V111" s="2">
        <f>[1]节奏总纲!AH111</f>
        <v>85.852295454880277</v>
      </c>
      <c r="AN111" s="2">
        <v>108</v>
      </c>
      <c r="AO111" s="2">
        <f>[1]节奏总纲!BA111</f>
        <v>38.53855763638969</v>
      </c>
      <c r="AP111" s="2">
        <f>[1]节奏总纲!BB111</f>
        <v>40.052446592012309</v>
      </c>
      <c r="AQ111" s="2">
        <f>[1]节奏总纲!BC111</f>
        <v>41.992566056290244</v>
      </c>
      <c r="AR111" s="2">
        <f>[1]节奏总纲!BD111</f>
        <v>44.71429731834187</v>
      </c>
      <c r="AS111" s="2">
        <f>[1]节奏总纲!BE111</f>
        <v>49.402209294735208</v>
      </c>
    </row>
    <row r="112" spans="2:45" x14ac:dyDescent="0.15">
      <c r="B112" s="2">
        <f>[1]节奏总纲!N112</f>
        <v>119</v>
      </c>
      <c r="C112" s="2">
        <v>109</v>
      </c>
      <c r="D112" s="2">
        <f>[1]节奏总纲!P112</f>
        <v>1909.8515666673818</v>
      </c>
      <c r="E112" s="2">
        <f>[1]节奏总纲!Q112</f>
        <v>1624.7107277639418</v>
      </c>
      <c r="F112" s="2">
        <f>[1]节奏总纲!R112</f>
        <v>1301.5638426838207</v>
      </c>
      <c r="G112" s="2">
        <f>[1]节奏总纲!S112</f>
        <v>931.81657937701561</v>
      </c>
      <c r="H112" s="2">
        <f>[1]节奏总纲!T112</f>
        <v>504.58278391352223</v>
      </c>
      <c r="J112" s="2">
        <v>109</v>
      </c>
      <c r="K112" s="2">
        <f>[1]节奏总纲!W112</f>
        <v>127.96401303691937</v>
      </c>
      <c r="L112" s="2">
        <f>[1]节奏总纲!X112</f>
        <v>103.86970074034207</v>
      </c>
      <c r="M112" s="2">
        <f>[1]节奏总纲!Y112</f>
        <v>83.46551102203648</v>
      </c>
      <c r="N112" s="2">
        <f>[1]节奏总纲!Z112</f>
        <v>60.117188140993335</v>
      </c>
      <c r="O112" s="2">
        <f>[1]节奏总纲!AA112</f>
        <v>33.451714733627909</v>
      </c>
      <c r="Q112" s="2">
        <v>109</v>
      </c>
      <c r="R112" s="2">
        <f>[1]节奏总纲!AD112</f>
        <v>67.80830335012682</v>
      </c>
      <c r="S112" s="2">
        <f>[1]节奏总纲!AE112</f>
        <v>69.870029221854239</v>
      </c>
      <c r="T112" s="2">
        <f>[1]节奏总纲!AF112</f>
        <v>72.782262218435889</v>
      </c>
      <c r="U112" s="2">
        <f>[1]节奏总纲!AG112</f>
        <v>77.203841369133116</v>
      </c>
      <c r="V112" s="2">
        <f>[1]节奏总纲!AH112</f>
        <v>86.007776715139968</v>
      </c>
      <c r="AN112" s="2">
        <v>109</v>
      </c>
      <c r="AO112" s="2">
        <f>[1]节奏总纲!BA112</f>
        <v>38.601188162627608</v>
      </c>
      <c r="AP112" s="2">
        <f>[1]节奏总纲!BB112</f>
        <v>40.110720583137102</v>
      </c>
      <c r="AQ112" s="2">
        <f>[1]节奏总纲!BC112</f>
        <v>42.051439554347354</v>
      </c>
      <c r="AR112" s="2">
        <f>[1]节奏总纲!BD112</f>
        <v>44.778935934101632</v>
      </c>
      <c r="AS112" s="2">
        <f>[1]节奏总纲!BE112</f>
        <v>49.464188631724817</v>
      </c>
    </row>
    <row r="113" spans="2:45" x14ac:dyDescent="0.15">
      <c r="B113" s="2">
        <f>[1]节奏总纲!N113</f>
        <v>120</v>
      </c>
      <c r="C113" s="2">
        <v>110</v>
      </c>
      <c r="D113" s="2">
        <f>[1]节奏总纲!P113</f>
        <v>2047</v>
      </c>
      <c r="E113" s="2">
        <f>[1]节奏总纲!Q113</f>
        <v>1741.3829000000001</v>
      </c>
      <c r="F113" s="2">
        <f>[1]节奏总纲!R113</f>
        <v>1397.2821999999999</v>
      </c>
      <c r="G113" s="2">
        <f>[1]节奏总纲!S113</f>
        <v>1001.3924000000001</v>
      </c>
      <c r="H113" s="2">
        <f>[1]节奏总纲!T113</f>
        <v>542.04559999999992</v>
      </c>
      <c r="J113" s="2">
        <v>110</v>
      </c>
      <c r="K113" s="2">
        <f>[1]节奏总纲!W113</f>
        <v>137.1484333326182</v>
      </c>
      <c r="L113" s="2">
        <f>[1]节奏总纲!X113</f>
        <v>116.67217223605826</v>
      </c>
      <c r="M113" s="2">
        <f>[1]节奏总纲!Y113</f>
        <v>95.718357316179208</v>
      </c>
      <c r="N113" s="2">
        <f>[1]节奏总纲!Z113</f>
        <v>69.575820622984452</v>
      </c>
      <c r="O113" s="2">
        <f>[1]节奏总纲!AA113</f>
        <v>37.462816086477687</v>
      </c>
      <c r="Q113" s="2">
        <v>110</v>
      </c>
      <c r="R113" s="2">
        <f>[1]节奏总纲!AD113</f>
        <v>67.942312709427185</v>
      </c>
      <c r="S113" s="2">
        <f>[1]节奏总纲!AE113</f>
        <v>70.003807055133578</v>
      </c>
      <c r="T113" s="2">
        <f>[1]节奏总纲!AF113</f>
        <v>72.919951060835245</v>
      </c>
      <c r="U113" s="2">
        <f>[1]节奏总纲!AG113</f>
        <v>77.332919927503724</v>
      </c>
      <c r="V113" s="2">
        <f>[1]节奏总纲!AH113</f>
        <v>86.154780808490045</v>
      </c>
      <c r="AN113" s="2">
        <v>110</v>
      </c>
      <c r="AO113" s="2">
        <f>[1]节奏总纲!BA113</f>
        <v>38.663818688865533</v>
      </c>
      <c r="AP113" s="2">
        <f>[1]节奏总纲!BB113</f>
        <v>40.168994574261895</v>
      </c>
      <c r="AQ113" s="2">
        <f>[1]节奏总纲!BC113</f>
        <v>42.109294145892463</v>
      </c>
      <c r="AR113" s="2">
        <f>[1]节奏总纲!BD113</f>
        <v>44.843574549861387</v>
      </c>
      <c r="AS113" s="2">
        <f>[1]节奏总纲!BE113</f>
        <v>49.526167968714425</v>
      </c>
    </row>
    <row r="114" spans="2:45" x14ac:dyDescent="0.15">
      <c r="B114" s="2">
        <f>[1]节奏总纲!N114</f>
        <v>121</v>
      </c>
      <c r="C114" s="2">
        <v>111</v>
      </c>
      <c r="D114" s="2">
        <f>[1]节奏总纲!P114</f>
        <v>2193.9920512743265</v>
      </c>
      <c r="E114" s="2">
        <f>[1]节奏总纲!Q114</f>
        <v>1869.0618284805987</v>
      </c>
      <c r="F114" s="2">
        <f>[1]节奏总纲!R114</f>
        <v>1500.4711638665117</v>
      </c>
      <c r="G114" s="2">
        <f>[1]节奏总纲!S114</f>
        <v>1076.5918995603122</v>
      </c>
      <c r="H114" s="2">
        <f>[1]节奏总纲!T114</f>
        <v>583.16308722871599</v>
      </c>
      <c r="J114" s="2">
        <v>111</v>
      </c>
      <c r="K114" s="2">
        <f>[1]节奏总纲!W114</f>
        <v>146.99205127432651</v>
      </c>
      <c r="L114" s="2">
        <f>[1]节奏总纲!X114</f>
        <v>127.67892848059864</v>
      </c>
      <c r="M114" s="2">
        <f>[1]节奏总纲!Y114</f>
        <v>103.18896386651181</v>
      </c>
      <c r="N114" s="2">
        <f>[1]节奏总纲!Z114</f>
        <v>75.19949956031212</v>
      </c>
      <c r="O114" s="2">
        <f>[1]节奏总纲!AA114</f>
        <v>41.117487228716072</v>
      </c>
      <c r="Q114" s="2">
        <v>111</v>
      </c>
      <c r="R114" s="2">
        <f>[1]节奏总纲!AD114</f>
        <v>68.071211008105138</v>
      </c>
      <c r="S114" s="2">
        <f>[1]节奏总纲!AE114</f>
        <v>70.127815365673797</v>
      </c>
      <c r="T114" s="2">
        <f>[1]节奏总纲!AF114</f>
        <v>73.051543220271398</v>
      </c>
      <c r="U114" s="2">
        <f>[1]节奏总纲!AG114</f>
        <v>77.461998485874332</v>
      </c>
      <c r="V114" s="2">
        <f>[1]节奏总纲!AH114</f>
        <v>86.301784901840136</v>
      </c>
      <c r="AN114" s="2">
        <v>111</v>
      </c>
      <c r="AO114" s="2">
        <f>[1]节奏总纲!BA114</f>
        <v>38.72644921510345</v>
      </c>
      <c r="AP114" s="2">
        <f>[1]节奏总纲!BB114</f>
        <v>40.227268565386687</v>
      </c>
      <c r="AQ114" s="2">
        <f>[1]节奏总纲!BC114</f>
        <v>42.167148737437572</v>
      </c>
      <c r="AR114" s="2">
        <f>[1]节奏总纲!BD114</f>
        <v>44.908213165621142</v>
      </c>
      <c r="AS114" s="2">
        <f>[1]节奏总纲!BE114</f>
        <v>49.588147305704041</v>
      </c>
    </row>
    <row r="115" spans="2:45" x14ac:dyDescent="0.15">
      <c r="B115" s="2">
        <f>[1]节奏总纲!N115</f>
        <v>122</v>
      </c>
      <c r="C115" s="2">
        <v>112</v>
      </c>
      <c r="D115" s="2">
        <f>[1]节奏总纲!P115</f>
        <v>2351.5342310339256</v>
      </c>
      <c r="E115" s="2">
        <f>[1]节奏总纲!Q115</f>
        <v>2004.6829319564217</v>
      </c>
      <c r="F115" s="2">
        <f>[1]节奏总纲!R115</f>
        <v>1609.3900277196187</v>
      </c>
      <c r="G115" s="2">
        <f>[1]节奏总纲!S115</f>
        <v>1155.3087677069677</v>
      </c>
      <c r="H115" s="2">
        <f>[1]节奏总纲!T115</f>
        <v>623.15657122399034</v>
      </c>
      <c r="J115" s="2">
        <v>112</v>
      </c>
      <c r="K115" s="2">
        <f>[1]节奏总纲!W115</f>
        <v>157.54217975959909</v>
      </c>
      <c r="L115" s="2">
        <f>[1]节奏总纲!X115</f>
        <v>135.62110347582302</v>
      </c>
      <c r="M115" s="2">
        <f>[1]节奏总纲!Y115</f>
        <v>108.91886385310704</v>
      </c>
      <c r="N115" s="2">
        <f>[1]节奏总纲!Z115</f>
        <v>78.716868146655543</v>
      </c>
      <c r="O115" s="2">
        <f>[1]节奏总纲!AA115</f>
        <v>39.993483995274346</v>
      </c>
      <c r="Q115" s="2">
        <v>112</v>
      </c>
      <c r="R115" s="2">
        <f>[1]节奏总纲!AD115</f>
        <v>68.196246161507091</v>
      </c>
      <c r="S115" s="2">
        <f>[1]节奏总纲!AE115</f>
        <v>70.251823676214016</v>
      </c>
      <c r="T115" s="2">
        <f>[1]节奏总纲!AF115</f>
        <v>73.174668450093861</v>
      </c>
      <c r="U115" s="2">
        <f>[1]节奏总纲!AG115</f>
        <v>77.591077044244926</v>
      </c>
      <c r="V115" s="2">
        <f>[1]节奏总纲!AH115</f>
        <v>86.448788995190213</v>
      </c>
      <c r="AN115" s="2">
        <v>112</v>
      </c>
      <c r="AO115" s="2">
        <f>[1]节奏总纲!BA115</f>
        <v>38.789079741341368</v>
      </c>
      <c r="AP115" s="2">
        <f>[1]节奏总纲!BB115</f>
        <v>40.28554255651148</v>
      </c>
      <c r="AQ115" s="2">
        <f>[1]节奏总纲!BC115</f>
        <v>42.225003328982673</v>
      </c>
      <c r="AR115" s="2">
        <f>[1]节奏总纲!BD115</f>
        <v>44.972851781380903</v>
      </c>
      <c r="AS115" s="2">
        <f>[1]节奏总纲!BE115</f>
        <v>49.65012664269365</v>
      </c>
    </row>
    <row r="116" spans="2:45" x14ac:dyDescent="0.15">
      <c r="B116" s="2">
        <f>[1]节奏总纲!N116</f>
        <v>123</v>
      </c>
      <c r="C116" s="2">
        <v>113</v>
      </c>
      <c r="D116" s="2">
        <f>[1]节奏总纲!P116</f>
        <v>2520.3837585303886</v>
      </c>
      <c r="E116" s="2">
        <f>[1]节奏总纲!Q116</f>
        <v>2149.6353076505684</v>
      </c>
      <c r="F116" s="2">
        <f>[1]节奏总纲!R116</f>
        <v>1726.7149129691693</v>
      </c>
      <c r="G116" s="2">
        <f>[1]节奏总纲!S116</f>
        <v>1235.7441568074496</v>
      </c>
      <c r="H116" s="2">
        <f>[1]节奏总纲!T116</f>
        <v>665.63335062787564</v>
      </c>
      <c r="J116" s="2">
        <v>113</v>
      </c>
      <c r="K116" s="2">
        <f>[1]节奏总纲!W116</f>
        <v>168.849527496463</v>
      </c>
      <c r="L116" s="2">
        <f>[1]节奏总纲!X116</f>
        <v>144.95237569414667</v>
      </c>
      <c r="M116" s="2">
        <f>[1]节奏总纲!Y116</f>
        <v>117.32488524955056</v>
      </c>
      <c r="N116" s="2">
        <f>[1]节奏总纲!Z116</f>
        <v>80.435389100481871</v>
      </c>
      <c r="O116" s="2">
        <f>[1]节奏总纲!AA116</f>
        <v>42.476779403885303</v>
      </c>
      <c r="Q116" s="2">
        <v>113</v>
      </c>
      <c r="R116" s="2">
        <f>[1]节奏总纲!AD116</f>
        <v>68.321281314909029</v>
      </c>
      <c r="S116" s="2">
        <f>[1]节奏总纲!AE116</f>
        <v>70.375831986754235</v>
      </c>
      <c r="T116" s="2">
        <f>[1]节奏总纲!AF116</f>
        <v>73.297793679916325</v>
      </c>
      <c r="U116" s="2">
        <f>[1]节奏总纲!AG116</f>
        <v>77.720155602615534</v>
      </c>
      <c r="V116" s="2">
        <f>[1]节奏总纲!AH116</f>
        <v>86.595793088540304</v>
      </c>
      <c r="AN116" s="2">
        <v>113</v>
      </c>
      <c r="AO116" s="2">
        <f>[1]节奏总纲!BA116</f>
        <v>38.851710267579293</v>
      </c>
      <c r="AP116" s="2">
        <f>[1]节奏总纲!BB116</f>
        <v>40.343816547636273</v>
      </c>
      <c r="AQ116" s="2">
        <f>[1]节奏总纲!BC116</f>
        <v>42.282857920527782</v>
      </c>
      <c r="AR116" s="2">
        <f>[1]节奏总纲!BD116</f>
        <v>45.032359480672049</v>
      </c>
      <c r="AS116" s="2">
        <f>[1]节奏总纲!BE116</f>
        <v>49.712105979683258</v>
      </c>
    </row>
    <row r="117" spans="2:45" x14ac:dyDescent="0.15">
      <c r="B117" s="2">
        <f>[1]节奏总纲!N117</f>
        <v>124</v>
      </c>
      <c r="C117" s="2">
        <v>114</v>
      </c>
      <c r="D117" s="2">
        <f>[1]节奏总纲!P117</f>
        <v>2701.3522012628878</v>
      </c>
      <c r="E117" s="2">
        <f>[1]节奏总纲!Q117</f>
        <v>2304.5235628973696</v>
      </c>
      <c r="F117" s="2">
        <f>[1]节奏总纲!R117</f>
        <v>1846.3742295631837</v>
      </c>
      <c r="G117" s="2">
        <f>[1]节奏总纲!S117</f>
        <v>1319.3404150967945</v>
      </c>
      <c r="H117" s="2">
        <f>[1]节奏总纲!T117</f>
        <v>710.99589937239205</v>
      </c>
      <c r="J117" s="2">
        <v>114</v>
      </c>
      <c r="K117" s="2">
        <f>[1]节奏总纲!W117</f>
        <v>180.96844273249917</v>
      </c>
      <c r="L117" s="2">
        <f>[1]节奏总纲!X117</f>
        <v>154.88825524680124</v>
      </c>
      <c r="M117" s="2">
        <f>[1]节奏总纲!Y117</f>
        <v>119.6593165940144</v>
      </c>
      <c r="N117" s="2">
        <f>[1]节奏总纲!Z117</f>
        <v>83.59625828934486</v>
      </c>
      <c r="O117" s="2">
        <f>[1]节奏总纲!AA117</f>
        <v>45.362548744516403</v>
      </c>
      <c r="Q117" s="2">
        <v>114</v>
      </c>
      <c r="R117" s="2">
        <f>[1]节奏总纲!AD117</f>
        <v>68.446316468310982</v>
      </c>
      <c r="S117" s="2">
        <f>[1]节奏总纲!AE117</f>
        <v>70.499840297294455</v>
      </c>
      <c r="T117" s="2">
        <f>[1]节奏总纲!AF117</f>
        <v>73.420918909738774</v>
      </c>
      <c r="U117" s="2">
        <f>[1]节奏总纲!AG117</f>
        <v>77.849234160986143</v>
      </c>
      <c r="V117" s="2">
        <f>[1]节奏总纲!AH117</f>
        <v>86.742797181890381</v>
      </c>
      <c r="AN117" s="2">
        <v>114</v>
      </c>
      <c r="AO117" s="2">
        <f>[1]节奏总纲!BA117</f>
        <v>38.91434079381721</v>
      </c>
      <c r="AP117" s="2">
        <f>[1]节奏总纲!BB117</f>
        <v>40.402090538761065</v>
      </c>
      <c r="AQ117" s="2">
        <f>[1]节奏总纲!BC117</f>
        <v>42.340712512072891</v>
      </c>
      <c r="AR117" s="2">
        <f>[1]节奏总纲!BD117</f>
        <v>45.088151688727308</v>
      </c>
      <c r="AS117" s="2">
        <f>[1]节奏总纲!BE117</f>
        <v>49.774085316672867</v>
      </c>
    </row>
    <row r="118" spans="2:45" x14ac:dyDescent="0.15">
      <c r="B118" s="2">
        <f>[1]节奏总纲!N118</f>
        <v>125</v>
      </c>
      <c r="C118" s="2">
        <v>115</v>
      </c>
      <c r="D118" s="2">
        <f>[1]节奏总纲!P118</f>
        <v>2895.3093757400989</v>
      </c>
      <c r="E118" s="2">
        <f>[1]节奏总纲!Q118</f>
        <v>2463.0396859421021</v>
      </c>
      <c r="F118" s="2">
        <f>[1]节奏总纲!R118</f>
        <v>1969.9684992535633</v>
      </c>
      <c r="G118" s="2">
        <f>[1]节奏总纲!S118</f>
        <v>1407.1203566096881</v>
      </c>
      <c r="H118" s="2">
        <f>[1]节奏总纲!T118</f>
        <v>758.86058738147995</v>
      </c>
      <c r="J118" s="2">
        <v>115</v>
      </c>
      <c r="K118" s="2">
        <f>[1]节奏总纲!W118</f>
        <v>193.95717447721108</v>
      </c>
      <c r="L118" s="2">
        <f>[1]节奏总纲!X118</f>
        <v>158.51612304473247</v>
      </c>
      <c r="M118" s="2">
        <f>[1]节奏总纲!Y118</f>
        <v>123.59426969037963</v>
      </c>
      <c r="N118" s="2">
        <f>[1]节奏总纲!Z118</f>
        <v>87.779941512893629</v>
      </c>
      <c r="O118" s="2">
        <f>[1]节奏总纲!AA118</f>
        <v>47.864688009087899</v>
      </c>
      <c r="Q118" s="2">
        <v>115</v>
      </c>
      <c r="R118" s="2">
        <f>[1]节奏总纲!AD118</f>
        <v>68.571351621712935</v>
      </c>
      <c r="S118" s="2">
        <f>[1]节奏总纲!AE118</f>
        <v>70.623848607834674</v>
      </c>
      <c r="T118" s="2">
        <f>[1]节奏总纲!AF118</f>
        <v>73.544044139561237</v>
      </c>
      <c r="U118" s="2">
        <f>[1]节奏总纲!AG118</f>
        <v>77.978312719356751</v>
      </c>
      <c r="V118" s="2">
        <f>[1]节奏总纲!AH118</f>
        <v>86.889801275240458</v>
      </c>
      <c r="AN118" s="2">
        <v>115</v>
      </c>
      <c r="AO118" s="2">
        <f>[1]节奏总纲!BA118</f>
        <v>38.976971320055128</v>
      </c>
      <c r="AP118" s="2">
        <f>[1]节奏总纲!BB118</f>
        <v>40.460364529885858</v>
      </c>
      <c r="AQ118" s="2">
        <f>[1]节奏总纲!BC118</f>
        <v>42.398567103617999</v>
      </c>
      <c r="AR118" s="2">
        <f>[1]节奏总纲!BD118</f>
        <v>45.143943896782567</v>
      </c>
      <c r="AS118" s="2">
        <f>[1]节奏总纲!BE118</f>
        <v>49.836064653662483</v>
      </c>
    </row>
    <row r="119" spans="2:45" x14ac:dyDescent="0.15">
      <c r="B119" s="2">
        <f>[1]节奏总纲!N119</f>
        <v>126</v>
      </c>
      <c r="C119" s="2">
        <v>116</v>
      </c>
      <c r="D119" s="2">
        <f>[1]节奏总纲!P119</f>
        <v>3103.1875282132928</v>
      </c>
      <c r="E119" s="2">
        <f>[1]节奏总纲!Q119</f>
        <v>2636.7784427228348</v>
      </c>
      <c r="F119" s="2">
        <f>[1]节奏总纲!R119</f>
        <v>2108.9262441737537</v>
      </c>
      <c r="G119" s="2">
        <f>[1]节奏总纲!S119</f>
        <v>1509.0800949701243</v>
      </c>
      <c r="H119" s="2">
        <f>[1]节奏总纲!T119</f>
        <v>813.34545114470404</v>
      </c>
      <c r="J119" s="2">
        <v>116</v>
      </c>
      <c r="K119" s="2">
        <f>[1]节奏总纲!W119</f>
        <v>207.87815247319395</v>
      </c>
      <c r="L119" s="2">
        <f>[1]节奏总纲!X119</f>
        <v>173.73875678073273</v>
      </c>
      <c r="M119" s="2">
        <f>[1]节奏总纲!Y119</f>
        <v>138.95774492019041</v>
      </c>
      <c r="N119" s="2">
        <f>[1]节奏总纲!Z119</f>
        <v>101.95973836043618</v>
      </c>
      <c r="O119" s="2">
        <f>[1]节奏总纲!AA119</f>
        <v>54.484863763224098</v>
      </c>
      <c r="Q119" s="2">
        <v>116</v>
      </c>
      <c r="R119" s="2">
        <f>[1]节奏总纲!AD119</f>
        <v>68.696386775114874</v>
      </c>
      <c r="S119" s="2">
        <f>[1]节奏总纲!AE119</f>
        <v>70.747856918374893</v>
      </c>
      <c r="T119" s="2">
        <f>[1]节奏总纲!AF119</f>
        <v>73.667169369383686</v>
      </c>
      <c r="U119" s="2">
        <f>[1]节奏总纲!AG119</f>
        <v>78.10469841238104</v>
      </c>
      <c r="V119" s="2">
        <f>[1]节奏总纲!AH119</f>
        <v>87.033659382136349</v>
      </c>
      <c r="AN119" s="2">
        <v>116</v>
      </c>
      <c r="AO119" s="2">
        <f>[1]节奏总纲!BA119</f>
        <v>39.034165367506482</v>
      </c>
      <c r="AP119" s="2">
        <f>[1]节奏总纲!BB119</f>
        <v>40.518638521010644</v>
      </c>
      <c r="AQ119" s="2">
        <f>[1]节奏总纲!BC119</f>
        <v>42.456421695163108</v>
      </c>
      <c r="AR119" s="2">
        <f>[1]节奏总纲!BD119</f>
        <v>45.199736104837825</v>
      </c>
      <c r="AS119" s="2">
        <f>[1]节奏总纲!BE119</f>
        <v>49.898043990652091</v>
      </c>
    </row>
    <row r="120" spans="2:45" x14ac:dyDescent="0.15">
      <c r="B120" s="2">
        <f>[1]节奏总纲!N120</f>
        <v>127</v>
      </c>
      <c r="C120" s="2">
        <v>117</v>
      </c>
      <c r="D120" s="2">
        <f>[1]节奏总纲!P120</f>
        <v>3325.985815475135</v>
      </c>
      <c r="E120" s="2">
        <f>[1]节奏总纲!Q120</f>
        <v>2826.7553445723174</v>
      </c>
      <c r="F120" s="2">
        <f>[1]节奏总纲!R120</f>
        <v>2262.6681502677343</v>
      </c>
      <c r="G120" s="2">
        <f>[1]节奏总纲!S120</f>
        <v>1618.0920992286531</v>
      </c>
      <c r="H120" s="2">
        <f>[1]节奏总纲!T120</f>
        <v>873.07127656222303</v>
      </c>
      <c r="J120" s="2">
        <v>117</v>
      </c>
      <c r="K120" s="2">
        <f>[1]节奏总纲!W120</f>
        <v>222.79828726184223</v>
      </c>
      <c r="L120" s="2">
        <f>[1]节奏总纲!X120</f>
        <v>189.9769018494826</v>
      </c>
      <c r="M120" s="2">
        <f>[1]节奏总纲!Y120</f>
        <v>153.74190609398056</v>
      </c>
      <c r="N120" s="2">
        <f>[1]节奏总纲!Z120</f>
        <v>109.0120042585288</v>
      </c>
      <c r="O120" s="2">
        <f>[1]节奏总纲!AA120</f>
        <v>59.72582541751899</v>
      </c>
      <c r="Q120" s="2">
        <v>117</v>
      </c>
      <c r="R120" s="2">
        <f>[1]节奏总纲!AD120</f>
        <v>68.821421928516827</v>
      </c>
      <c r="S120" s="2">
        <f>[1]节奏总纲!AE120</f>
        <v>70.871865228915112</v>
      </c>
      <c r="T120" s="2">
        <f>[1]节奏总纲!AF120</f>
        <v>73.790294599206149</v>
      </c>
      <c r="U120" s="2">
        <f>[1]节奏总纲!AG120</f>
        <v>78.230540290975199</v>
      </c>
      <c r="V120" s="2">
        <f>[1]节奏总纲!AH120</f>
        <v>87.168098110592624</v>
      </c>
      <c r="AN120" s="2">
        <v>117</v>
      </c>
      <c r="AO120" s="2">
        <f>[1]节奏总纲!BA120</f>
        <v>39.088198074219406</v>
      </c>
      <c r="AP120" s="2">
        <f>[1]节奏总纲!BB120</f>
        <v>40.576912512135436</v>
      </c>
      <c r="AQ120" s="2">
        <f>[1]节奏总纲!BC120</f>
        <v>42.51427628670821</v>
      </c>
      <c r="AR120" s="2">
        <f>[1]节奏总纲!BD120</f>
        <v>45.255528312893091</v>
      </c>
      <c r="AS120" s="2">
        <f>[1]节奏总纲!BE120</f>
        <v>49.9600233276417</v>
      </c>
    </row>
    <row r="121" spans="2:45" x14ac:dyDescent="0.15">
      <c r="B121" s="2">
        <f>[1]节奏总纲!N121</f>
        <v>128</v>
      </c>
      <c r="C121" s="2">
        <v>118</v>
      </c>
      <c r="D121" s="2">
        <f>[1]节奏总纲!P121</f>
        <v>3564.7751072609281</v>
      </c>
      <c r="E121" s="2">
        <f>[1]节奏总纲!Q121</f>
        <v>3030.4153186825147</v>
      </c>
      <c r="F121" s="2">
        <f>[1]节奏总纲!R121</f>
        <v>2426.1859380017877</v>
      </c>
      <c r="G121" s="2">
        <f>[1]节奏总纲!S121</f>
        <v>1737.4713872789764</v>
      </c>
      <c r="H121" s="2">
        <f>[1]节奏总纲!T121</f>
        <v>936.10994316671975</v>
      </c>
      <c r="J121" s="2">
        <v>118</v>
      </c>
      <c r="K121" s="2">
        <f>[1]节奏总纲!W121</f>
        <v>238.78929178579301</v>
      </c>
      <c r="L121" s="2">
        <f>[1]节奏总纲!X121</f>
        <v>203.65997411019725</v>
      </c>
      <c r="M121" s="2">
        <f>[1]节奏总纲!Y121</f>
        <v>163.5177877340534</v>
      </c>
      <c r="N121" s="2">
        <f>[1]节奏总纲!Z121</f>
        <v>119.37928805032334</v>
      </c>
      <c r="O121" s="2">
        <f>[1]节奏总纲!AA121</f>
        <v>63.038666604496711</v>
      </c>
      <c r="Q121" s="2">
        <v>118</v>
      </c>
      <c r="R121" s="2">
        <f>[1]节奏总纲!AD121</f>
        <v>68.946457081918766</v>
      </c>
      <c r="S121" s="2">
        <f>[1]节奏总纲!AE121</f>
        <v>70.995873539455332</v>
      </c>
      <c r="T121" s="2">
        <f>[1]节奏总纲!AF121</f>
        <v>73.913419829028598</v>
      </c>
      <c r="U121" s="2">
        <f>[1]节奏总纲!AG121</f>
        <v>78.356382169569343</v>
      </c>
      <c r="V121" s="2">
        <f>[1]节奏总纲!AH121</f>
        <v>87.302536839048898</v>
      </c>
      <c r="AN121" s="2">
        <v>118</v>
      </c>
      <c r="AO121" s="2">
        <f>[1]节奏总纲!BA121</f>
        <v>39.14223078093233</v>
      </c>
      <c r="AP121" s="2">
        <f>[1]节奏总纲!BB121</f>
        <v>40.635186503260229</v>
      </c>
      <c r="AQ121" s="2">
        <f>[1]节奏总纲!BC121</f>
        <v>42.572130878253319</v>
      </c>
      <c r="AR121" s="2">
        <f>[1]节奏总纲!BD121</f>
        <v>45.31132052094835</v>
      </c>
      <c r="AS121" s="2">
        <f>[1]节奏总纲!BE121</f>
        <v>50.018998195299922</v>
      </c>
    </row>
    <row r="122" spans="2:45" x14ac:dyDescent="0.15">
      <c r="B122" s="2">
        <f>[1]节奏总纲!N122</f>
        <v>129</v>
      </c>
      <c r="C122" s="2">
        <v>119</v>
      </c>
      <c r="D122" s="2">
        <f>[1]节奏总纲!P122</f>
        <v>3820.7031333347636</v>
      </c>
      <c r="E122" s="2">
        <f>[1]节奏总纲!Q122</f>
        <v>3250.2721555278836</v>
      </c>
      <c r="F122" s="2">
        <f>[1]节奏总纲!R122</f>
        <v>2604.5733259943081</v>
      </c>
      <c r="G122" s="2">
        <f>[1]节奏总纲!S122</f>
        <v>1863.3569181273642</v>
      </c>
      <c r="H122" s="2">
        <f>[1]节奏总纲!T122</f>
        <v>1000.260080307041</v>
      </c>
      <c r="J122" s="2">
        <v>119</v>
      </c>
      <c r="K122" s="2">
        <f>[1]节奏总纲!W122</f>
        <v>255.92802607383555</v>
      </c>
      <c r="L122" s="2">
        <f>[1]节奏总纲!X122</f>
        <v>219.85683684536889</v>
      </c>
      <c r="M122" s="2">
        <f>[1]节奏总纲!Y122</f>
        <v>178.38738799252042</v>
      </c>
      <c r="N122" s="2">
        <f>[1]节奏总纲!Z122</f>
        <v>125.88553084838782</v>
      </c>
      <c r="O122" s="2">
        <f>[1]节奏总纲!AA122</f>
        <v>64.150137140321249</v>
      </c>
      <c r="Q122" s="2">
        <v>119</v>
      </c>
      <c r="R122" s="2">
        <f>[1]节奏总纲!AD122</f>
        <v>69.066704614192943</v>
      </c>
      <c r="S122" s="2">
        <f>[1]节奏总纲!AE122</f>
        <v>71.113087458015798</v>
      </c>
      <c r="T122" s="2">
        <f>[1]节奏总纲!AF122</f>
        <v>74.034200876118248</v>
      </c>
      <c r="U122" s="2">
        <f>[1]节奏总纲!AG122</f>
        <v>78.482224048163502</v>
      </c>
      <c r="V122" s="2">
        <f>[1]节奏总纲!AH122</f>
        <v>87.436975567505186</v>
      </c>
      <c r="AN122" s="2">
        <v>119</v>
      </c>
      <c r="AO122" s="2">
        <f>[1]节奏总纲!BA122</f>
        <v>39.196263487645254</v>
      </c>
      <c r="AP122" s="2">
        <f>[1]节奏总纲!BB122</f>
        <v>40.693460494385022</v>
      </c>
      <c r="AQ122" s="2">
        <f>[1]节奏总纲!BC122</f>
        <v>42.629985469798427</v>
      </c>
      <c r="AR122" s="2">
        <f>[1]节奏总纲!BD122</f>
        <v>45.367112729003608</v>
      </c>
      <c r="AS122" s="2">
        <f>[1]节奏总纲!BE122</f>
        <v>50.072514238398277</v>
      </c>
    </row>
    <row r="123" spans="2:45" x14ac:dyDescent="0.15">
      <c r="B123" s="2">
        <f>[1]节奏总纲!N123</f>
        <v>130</v>
      </c>
      <c r="C123" s="2">
        <v>120</v>
      </c>
      <c r="D123" s="2">
        <f>[1]节奏总纲!P123</f>
        <v>4095</v>
      </c>
      <c r="E123" s="2">
        <f>[1]节奏总纲!Q123</f>
        <v>3486.0735</v>
      </c>
      <c r="F123" s="2">
        <f>[1]节奏总纲!R123</f>
        <v>2791.971</v>
      </c>
      <c r="G123" s="2">
        <f>[1]节奏总纲!S123</f>
        <v>1988.5319999999999</v>
      </c>
      <c r="H123" s="2">
        <f>[1]节奏总纲!T123</f>
        <v>1067.9759999999999</v>
      </c>
      <c r="J123" s="2">
        <v>120</v>
      </c>
      <c r="K123" s="2">
        <f>[1]节奏总纲!W123</f>
        <v>274.29686666523639</v>
      </c>
      <c r="L123" s="2">
        <f>[1]节奏总纲!X123</f>
        <v>235.8013444721164</v>
      </c>
      <c r="M123" s="2">
        <f>[1]节奏总纲!Y123</f>
        <v>187.3976740056919</v>
      </c>
      <c r="N123" s="2">
        <f>[1]节奏总纲!Z123</f>
        <v>125.1750818726357</v>
      </c>
      <c r="O123" s="2">
        <f>[1]节奏总纲!AA123</f>
        <v>67.715919692958892</v>
      </c>
      <c r="Q123" s="2">
        <v>120</v>
      </c>
      <c r="R123" s="2">
        <f>[1]节奏总纲!AD123</f>
        <v>69.18336653741882</v>
      </c>
      <c r="S123" s="2">
        <f>[1]节奏总纲!AE123</f>
        <v>71.230067506391322</v>
      </c>
      <c r="T123" s="2">
        <f>[1]节奏总纲!AF123</f>
        <v>74.149428238300118</v>
      </c>
      <c r="U123" s="2">
        <f>[1]节奏总纲!AG123</f>
        <v>78.608065926757661</v>
      </c>
      <c r="V123" s="2">
        <f>[1]节奏总纲!AH123</f>
        <v>87.571414295961461</v>
      </c>
      <c r="AN123" s="2">
        <v>120</v>
      </c>
      <c r="AO123" s="2">
        <f>[1]节奏总纲!BA123</f>
        <v>39.250296194358178</v>
      </c>
      <c r="AP123" s="2">
        <f>[1]节奏总纲!BB123</f>
        <v>40.751734485509814</v>
      </c>
      <c r="AQ123" s="2">
        <f>[1]节奏总纲!BC123</f>
        <v>42.687840061343536</v>
      </c>
      <c r="AR123" s="2">
        <f>[1]节奏总纲!BD123</f>
        <v>45.422904937058867</v>
      </c>
      <c r="AS123" s="2">
        <f>[1]节奏总纲!BE123</f>
        <v>50.126030281496639</v>
      </c>
    </row>
    <row r="124" spans="2:45" x14ac:dyDescent="0.15">
      <c r="B124" s="2">
        <f>[1]节奏总纲!N124</f>
        <v>131</v>
      </c>
      <c r="C124" s="2">
        <v>121</v>
      </c>
      <c r="D124" s="2">
        <f>[1]节奏总纲!P124</f>
        <v>4388.9841025486576</v>
      </c>
      <c r="E124" s="2">
        <f>[1]节奏总纲!Q124</f>
        <v>3731.5142839868686</v>
      </c>
      <c r="F124" s="2">
        <f>[1]节奏总纲!R124</f>
        <v>2978.8035103997736</v>
      </c>
      <c r="G124" s="2">
        <f>[1]节奏总纲!S124</f>
        <v>2122.0738135822758</v>
      </c>
      <c r="H124" s="2">
        <f>[1]节奏总纲!T124</f>
        <v>1143.3303587139253</v>
      </c>
      <c r="J124" s="2">
        <v>121</v>
      </c>
      <c r="K124" s="2">
        <f>[1]节奏总纲!W124</f>
        <v>293.98410254865757</v>
      </c>
      <c r="L124" s="2">
        <f>[1]节奏总纲!X124</f>
        <v>245.44078398686861</v>
      </c>
      <c r="M124" s="2">
        <f>[1]节奏总纲!Y124</f>
        <v>186.83251039977358</v>
      </c>
      <c r="N124" s="2">
        <f>[1]节奏总纲!Z124</f>
        <v>133.54181358227584</v>
      </c>
      <c r="O124" s="2">
        <f>[1]节奏总纲!AA124</f>
        <v>75.354358713925421</v>
      </c>
      <c r="Q124" s="2">
        <v>121</v>
      </c>
      <c r="R124" s="2">
        <f>[1]节奏总纲!AD124</f>
        <v>69.300028460644711</v>
      </c>
      <c r="S124" s="2">
        <f>[1]节奏总纲!AE124</f>
        <v>71.347047554766846</v>
      </c>
      <c r="T124" s="2">
        <f>[1]节奏总纲!AF124</f>
        <v>74.264655600481987</v>
      </c>
      <c r="U124" s="2">
        <f>[1]节奏总纲!AG124</f>
        <v>78.733907805351805</v>
      </c>
      <c r="V124" s="2">
        <f>[1]节奏总纲!AH124</f>
        <v>87.705853024417735</v>
      </c>
      <c r="AN124" s="2">
        <v>121</v>
      </c>
      <c r="AO124" s="2">
        <f>[1]节奏总纲!BA124</f>
        <v>39.304328901071102</v>
      </c>
      <c r="AP124" s="2">
        <f>[1]节奏总纲!BB124</f>
        <v>40.810008476634607</v>
      </c>
      <c r="AQ124" s="2">
        <f>[1]节奏总纲!BC124</f>
        <v>42.745694652888645</v>
      </c>
      <c r="AR124" s="2">
        <f>[1]节奏总纲!BD124</f>
        <v>45.478697145114126</v>
      </c>
      <c r="AS124" s="2">
        <f>[1]节奏总纲!BE124</f>
        <v>50.179546324595002</v>
      </c>
    </row>
    <row r="125" spans="2:45" x14ac:dyDescent="0.15">
      <c r="B125" s="2">
        <f>[1]节奏总纲!N125</f>
        <v>132</v>
      </c>
      <c r="C125" s="2">
        <v>122</v>
      </c>
      <c r="D125" s="2">
        <f>[1]节奏总纲!P125</f>
        <v>4704.0684620678521</v>
      </c>
      <c r="E125" s="2">
        <f>[1]节奏总纲!Q125</f>
        <v>3989.5204626797454</v>
      </c>
      <c r="F125" s="2">
        <f>[1]节奏总纲!R125</f>
        <v>3183.7135351275219</v>
      </c>
      <c r="G125" s="2">
        <f>[1]节奏总纲!S125</f>
        <v>2271.1242534863591</v>
      </c>
      <c r="H125" s="2">
        <f>[1]节奏总纲!T125</f>
        <v>1223.9986138300551</v>
      </c>
      <c r="J125" s="2">
        <v>122</v>
      </c>
      <c r="K125" s="2">
        <f>[1]节奏总纲!W125</f>
        <v>315.08435951919455</v>
      </c>
      <c r="L125" s="2">
        <f>[1]节奏总纲!X125</f>
        <v>258.0061786928768</v>
      </c>
      <c r="M125" s="2">
        <f>[1]节奏总纲!Y125</f>
        <v>204.91002472774835</v>
      </c>
      <c r="N125" s="2">
        <f>[1]节奏总纲!Z125</f>
        <v>149.05043990408331</v>
      </c>
      <c r="O125" s="2">
        <f>[1]节奏总纲!AA125</f>
        <v>80.668255116129785</v>
      </c>
      <c r="Q125" s="2">
        <v>122</v>
      </c>
      <c r="R125" s="2">
        <f>[1]节奏总纲!AD125</f>
        <v>69.416690383870588</v>
      </c>
      <c r="S125" s="2">
        <f>[1]节奏总纲!AE125</f>
        <v>71.46402760314237</v>
      </c>
      <c r="T125" s="2">
        <f>[1]节奏总纲!AF125</f>
        <v>74.379882962663856</v>
      </c>
      <c r="U125" s="2">
        <f>[1]节奏总纲!AG125</f>
        <v>78.859749683945964</v>
      </c>
      <c r="V125" s="2">
        <f>[1]节奏总纲!AH125</f>
        <v>87.840291752874009</v>
      </c>
      <c r="AN125" s="2">
        <v>122</v>
      </c>
      <c r="AO125" s="2">
        <f>[1]节奏总纲!BA125</f>
        <v>39.358361607784026</v>
      </c>
      <c r="AP125" s="2">
        <f>[1]节奏总纲!BB125</f>
        <v>40.8682824677594</v>
      </c>
      <c r="AQ125" s="2">
        <f>[1]节奏总纲!BC125</f>
        <v>42.803549244433754</v>
      </c>
      <c r="AR125" s="2">
        <f>[1]节奏总纲!BD125</f>
        <v>45.534489353169384</v>
      </c>
      <c r="AS125" s="2">
        <f>[1]节奏总纲!BE125</f>
        <v>50.233062367693357</v>
      </c>
    </row>
    <row r="126" spans="2:45" x14ac:dyDescent="0.15">
      <c r="B126" s="2">
        <f>[1]节奏总纲!N126</f>
        <v>133</v>
      </c>
      <c r="C126" s="2">
        <v>123</v>
      </c>
      <c r="D126" s="2">
        <f>[1]节奏总纲!P126</f>
        <v>5041.7675170607781</v>
      </c>
      <c r="E126" s="2">
        <f>[1]节奏总纲!Q126</f>
        <v>4275.9230312192458</v>
      </c>
      <c r="F126" s="2">
        <f>[1]节奏总纲!R126</f>
        <v>3419.8309068223257</v>
      </c>
      <c r="G126" s="2">
        <f>[1]节奏总纲!S126</f>
        <v>2442.7363620159467</v>
      </c>
      <c r="H126" s="2">
        <f>[1]节奏总纲!T126</f>
        <v>1316.4054987045693</v>
      </c>
      <c r="J126" s="2">
        <v>123</v>
      </c>
      <c r="K126" s="2">
        <f>[1]节奏总纲!W126</f>
        <v>337.69905499292599</v>
      </c>
      <c r="L126" s="2">
        <f>[1]节奏总纲!X126</f>
        <v>286.40256853950041</v>
      </c>
      <c r="M126" s="2">
        <f>[1]节奏总纲!Y126</f>
        <v>236.11737169480375</v>
      </c>
      <c r="N126" s="2">
        <f>[1]节奏总纲!Z126</f>
        <v>171.61210852958766</v>
      </c>
      <c r="O126" s="2">
        <f>[1]节奏总纲!AA126</f>
        <v>92.406884874514162</v>
      </c>
      <c r="Q126" s="2">
        <v>123</v>
      </c>
      <c r="R126" s="2">
        <f>[1]节奏总纲!AD126</f>
        <v>69.533352307096465</v>
      </c>
      <c r="S126" s="2">
        <f>[1]节奏总纲!AE126</f>
        <v>71.581007651517908</v>
      </c>
      <c r="T126" s="2">
        <f>[1]节奏总纲!AF126</f>
        <v>74.495110324845726</v>
      </c>
      <c r="U126" s="2">
        <f>[1]节奏总纲!AG126</f>
        <v>78.985591562540122</v>
      </c>
      <c r="V126" s="2">
        <f>[1]节奏总纲!AH126</f>
        <v>87.974730481330297</v>
      </c>
      <c r="AN126" s="2">
        <v>123</v>
      </c>
      <c r="AO126" s="2">
        <f>[1]节奏总纲!BA126</f>
        <v>39.41239431449695</v>
      </c>
      <c r="AP126" s="2">
        <f>[1]节奏总纲!BB126</f>
        <v>40.926556458884193</v>
      </c>
      <c r="AQ126" s="2">
        <f>[1]节奏总纲!BC126</f>
        <v>42.861403835978855</v>
      </c>
      <c r="AR126" s="2">
        <f>[1]节奏总纲!BD126</f>
        <v>45.590281561224643</v>
      </c>
      <c r="AS126" s="2">
        <f>[1]节奏总纲!BE126</f>
        <v>50.286578410791719</v>
      </c>
    </row>
    <row r="127" spans="2:45" x14ac:dyDescent="0.15">
      <c r="B127" s="2">
        <f>[1]节奏总纲!N127</f>
        <v>134</v>
      </c>
      <c r="C127" s="2">
        <v>124</v>
      </c>
      <c r="D127" s="2">
        <f>[1]节奏总纲!P127</f>
        <v>5403.704402525771</v>
      </c>
      <c r="E127" s="2">
        <f>[1]节奏总纲!Q127</f>
        <v>4591.5276308261473</v>
      </c>
      <c r="F127" s="2">
        <f>[1]节奏总纲!R127</f>
        <v>3671.276771076009</v>
      </c>
      <c r="G127" s="2">
        <f>[1]节奏总纲!S127</f>
        <v>2624.0388578665143</v>
      </c>
      <c r="H127" s="2">
        <f>[1]节奏总纲!T127</f>
        <v>1415.7705534617521</v>
      </c>
      <c r="J127" s="2">
        <v>124</v>
      </c>
      <c r="K127" s="2">
        <f>[1]节奏总纲!W127</f>
        <v>361.93688546499288</v>
      </c>
      <c r="L127" s="2">
        <f>[1]节奏总纲!X127</f>
        <v>315.6045996069015</v>
      </c>
      <c r="M127" s="2">
        <f>[1]节奏总纲!Y127</f>
        <v>251.44586425368334</v>
      </c>
      <c r="N127" s="2">
        <f>[1]节奏总纲!Z127</f>
        <v>181.30249585056754</v>
      </c>
      <c r="O127" s="2">
        <f>[1]节奏总纲!AA127</f>
        <v>99.365054757182861</v>
      </c>
      <c r="Q127" s="2">
        <v>124</v>
      </c>
      <c r="R127" s="2">
        <f>[1]节奏总纲!AD127</f>
        <v>69.650014230322356</v>
      </c>
      <c r="S127" s="2">
        <f>[1]节奏总纲!AE127</f>
        <v>71.697987699893432</v>
      </c>
      <c r="T127" s="2">
        <f>[1]节奏总纲!AF127</f>
        <v>74.610337687027609</v>
      </c>
      <c r="U127" s="2">
        <f>[1]节奏总纲!AG127</f>
        <v>79.104601412347151</v>
      </c>
      <c r="V127" s="2">
        <f>[1]节奏总纲!AH127</f>
        <v>88.109271506528316</v>
      </c>
      <c r="AN127" s="2">
        <v>124</v>
      </c>
      <c r="AO127" s="2">
        <f>[1]节奏总纲!BA127</f>
        <v>39.466427021209874</v>
      </c>
      <c r="AP127" s="2">
        <f>[1]节奏总纲!BB127</f>
        <v>40.984830450008978</v>
      </c>
      <c r="AQ127" s="2">
        <f>[1]节奏总纲!BC127</f>
        <v>42.919258427523964</v>
      </c>
      <c r="AR127" s="2">
        <f>[1]节奏总纲!BD127</f>
        <v>45.646073769279901</v>
      </c>
      <c r="AS127" s="2">
        <f>[1]节奏总纲!BE127</f>
        <v>50.340094453890082</v>
      </c>
    </row>
    <row r="128" spans="2:45" x14ac:dyDescent="0.15">
      <c r="B128" s="2">
        <f>[1]节奏总纲!N128</f>
        <v>135</v>
      </c>
      <c r="C128" s="2">
        <v>125</v>
      </c>
      <c r="D128" s="2">
        <f>[1]节奏总纲!P128</f>
        <v>5791.6187514801986</v>
      </c>
      <c r="E128" s="2">
        <f>[1]节奏总纲!Q128</f>
        <v>4918.821805632133</v>
      </c>
      <c r="F128" s="2">
        <f>[1]节奏总纲!R128</f>
        <v>3940.0382366319791</v>
      </c>
      <c r="G128" s="2">
        <f>[1]节奏总纲!S128</f>
        <v>2816.4641988448207</v>
      </c>
      <c r="H128" s="2">
        <f>[1]节奏总纲!T128</f>
        <v>1509.8750085108877</v>
      </c>
      <c r="J128" s="2">
        <v>125</v>
      </c>
      <c r="K128" s="2">
        <f>[1]节奏总纲!W128</f>
        <v>387.91434895442762</v>
      </c>
      <c r="L128" s="2">
        <f>[1]节奏总纲!X128</f>
        <v>327.29417480598568</v>
      </c>
      <c r="M128" s="2">
        <f>[1]节奏总纲!Y128</f>
        <v>268.76146555597006</v>
      </c>
      <c r="N128" s="2">
        <f>[1]节奏总纲!Z128</f>
        <v>192.42534097830639</v>
      </c>
      <c r="O128" s="2">
        <f>[1]节奏总纲!AA128</f>
        <v>94.104455049135595</v>
      </c>
      <c r="Q128" s="2">
        <v>125</v>
      </c>
      <c r="R128" s="2">
        <f>[1]节奏总纲!AD128</f>
        <v>69.766676153548232</v>
      </c>
      <c r="S128" s="2">
        <f>[1]节奏总纲!AE128</f>
        <v>71.814967748268955</v>
      </c>
      <c r="T128" s="2">
        <f>[1]节奏总纲!AF128</f>
        <v>74.725565049209479</v>
      </c>
      <c r="U128" s="2">
        <f>[1]节奏总纲!AG128</f>
        <v>79.222727875098187</v>
      </c>
      <c r="V128" s="2">
        <f>[1]节奏总纲!AH128</f>
        <v>88.243836210467165</v>
      </c>
      <c r="AN128" s="2">
        <v>125</v>
      </c>
      <c r="AO128" s="2">
        <f>[1]节奏总纲!BA128</f>
        <v>39.520459727922798</v>
      </c>
      <c r="AP128" s="2">
        <f>[1]节奏总纲!BB128</f>
        <v>41.037193447861313</v>
      </c>
      <c r="AQ128" s="2">
        <f>[1]节奏总纲!BC128</f>
        <v>42.977113019069073</v>
      </c>
      <c r="AR128" s="2">
        <f>[1]节奏总纲!BD128</f>
        <v>45.701865977335167</v>
      </c>
      <c r="AS128" s="2">
        <f>[1]节奏总纲!BE128</f>
        <v>50.393610496988437</v>
      </c>
    </row>
    <row r="129" spans="2:45" x14ac:dyDescent="0.15">
      <c r="B129" s="2">
        <f>[1]节奏总纲!N129</f>
        <v>136</v>
      </c>
      <c r="C129" s="2">
        <v>126</v>
      </c>
      <c r="D129" s="2">
        <f>[1]节奏总纲!P129</f>
        <v>6207.3750564265865</v>
      </c>
      <c r="E129" s="2">
        <f>[1]节奏总纲!Q129</f>
        <v>5279.3724854908123</v>
      </c>
      <c r="F129" s="2">
        <f>[1]节奏总纲!R129</f>
        <v>4225.9809384152195</v>
      </c>
      <c r="G129" s="2">
        <f>[1]节奏总纲!S129</f>
        <v>3006.8524773330387</v>
      </c>
      <c r="H129" s="2">
        <f>[1]节奏总纲!T129</f>
        <v>1610.1930896370566</v>
      </c>
      <c r="J129" s="2">
        <v>126</v>
      </c>
      <c r="K129" s="2">
        <f>[1]节奏总纲!W129</f>
        <v>415.7563049463879</v>
      </c>
      <c r="L129" s="2">
        <f>[1]节奏总纲!X129</f>
        <v>360.55067985867936</v>
      </c>
      <c r="M129" s="2">
        <f>[1]节奏总纲!Y129</f>
        <v>285.94270178324041</v>
      </c>
      <c r="N129" s="2">
        <f>[1]节奏总纲!Z129</f>
        <v>190.38827848821802</v>
      </c>
      <c r="O129" s="2">
        <f>[1]节奏总纲!AA129</f>
        <v>100.31808112616886</v>
      </c>
      <c r="Q129" s="2">
        <v>126</v>
      </c>
      <c r="R129" s="2">
        <f>[1]节奏总纲!AD129</f>
        <v>69.883338076774123</v>
      </c>
      <c r="S129" s="2">
        <f>[1]节奏总纲!AE129</f>
        <v>71.931947796644479</v>
      </c>
      <c r="T129" s="2">
        <f>[1]节奏总纲!AF129</f>
        <v>74.840792411391348</v>
      </c>
      <c r="U129" s="2">
        <f>[1]节奏总纲!AG129</f>
        <v>79.340854337849223</v>
      </c>
      <c r="V129" s="2">
        <f>[1]节奏总纲!AH129</f>
        <v>88.378400914406001</v>
      </c>
      <c r="AN129" s="2">
        <v>126</v>
      </c>
      <c r="AO129" s="2">
        <f>[1]节奏总纲!BA129</f>
        <v>39.574492434635722</v>
      </c>
      <c r="AP129" s="2">
        <f>[1]节奏总纲!BB129</f>
        <v>41.087476216725996</v>
      </c>
      <c r="AQ129" s="2">
        <f>[1]节奏总纲!BC129</f>
        <v>43.030177309109042</v>
      </c>
      <c r="AR129" s="2">
        <f>[1]节奏总纲!BD129</f>
        <v>45.757658185390426</v>
      </c>
      <c r="AS129" s="2">
        <f>[1]节奏总纲!BE129</f>
        <v>50.447126540086799</v>
      </c>
    </row>
    <row r="130" spans="2:45" x14ac:dyDescent="0.15">
      <c r="B130" s="2">
        <f>[1]节奏总纲!N130</f>
        <v>137</v>
      </c>
      <c r="C130" s="2">
        <v>127</v>
      </c>
      <c r="D130" s="2">
        <f>[1]节奏总纲!P130</f>
        <v>6652.971630950271</v>
      </c>
      <c r="E130" s="2">
        <f>[1]节奏总纲!Q130</f>
        <v>5658.3523721232059</v>
      </c>
      <c r="F130" s="2">
        <f>[1]节奏总纲!R130</f>
        <v>4508.7188742949984</v>
      </c>
      <c r="G130" s="2">
        <f>[1]节奏总纲!S130</f>
        <v>3203.4058403025556</v>
      </c>
      <c r="H130" s="2">
        <f>[1]节奏总纲!T130</f>
        <v>1719.793166600645</v>
      </c>
      <c r="J130" s="2">
        <v>127</v>
      </c>
      <c r="K130" s="2">
        <f>[1]节奏总纲!W130</f>
        <v>445.59657452368447</v>
      </c>
      <c r="L130" s="2">
        <f>[1]节奏总纲!X130</f>
        <v>378.97988663239357</v>
      </c>
      <c r="M130" s="2">
        <f>[1]节奏总纲!Y130</f>
        <v>282.73793587977889</v>
      </c>
      <c r="N130" s="2">
        <f>[1]节奏总纲!Z130</f>
        <v>196.55336296951691</v>
      </c>
      <c r="O130" s="2">
        <f>[1]节奏总纲!AA130</f>
        <v>109.60007696358844</v>
      </c>
      <c r="Q130" s="2">
        <v>127</v>
      </c>
      <c r="R130" s="2">
        <f>[1]节奏总纲!AD130</f>
        <v>70</v>
      </c>
      <c r="S130" s="2">
        <f>[1]节奏总纲!AE130</f>
        <v>72.047345051940553</v>
      </c>
      <c r="T130" s="2">
        <f>[1]节奏总纲!AF130</f>
        <v>74.956019773573217</v>
      </c>
      <c r="U130" s="2">
        <f>[1]节奏总纲!AG130</f>
        <v>79.458980800600258</v>
      </c>
      <c r="V130" s="2">
        <f>[1]节奏总纲!AH130</f>
        <v>88.51296561834485</v>
      </c>
      <c r="AN130" s="2">
        <v>127</v>
      </c>
      <c r="AO130" s="2">
        <f>[1]节奏总纲!BA130</f>
        <v>39.628525141348646</v>
      </c>
      <c r="AP130" s="2">
        <f>[1]节奏总纲!BB130</f>
        <v>41.137758985590679</v>
      </c>
      <c r="AQ130" s="2">
        <f>[1]节奏总纲!BC130</f>
        <v>43.080106253688569</v>
      </c>
      <c r="AR130" s="2">
        <f>[1]节奏总纲!BD130</f>
        <v>45.813450393445684</v>
      </c>
      <c r="AS130" s="2">
        <f>[1]节奏总纲!BE130</f>
        <v>50.500642583185162</v>
      </c>
    </row>
    <row r="131" spans="2:45" x14ac:dyDescent="0.15">
      <c r="B131" s="2">
        <f>[1]节奏总纲!N131</f>
        <v>138</v>
      </c>
      <c r="C131" s="2">
        <v>128</v>
      </c>
      <c r="D131" s="2">
        <f>[1]节奏总纲!P131</f>
        <v>7130.5502145218443</v>
      </c>
      <c r="E131" s="2">
        <f>[1]节奏总纲!Q131</f>
        <v>6036.010756592741</v>
      </c>
      <c r="F131" s="2">
        <f>[1]节奏总纲!R131</f>
        <v>4805.9908445877236</v>
      </c>
      <c r="G131" s="2">
        <f>[1]节奏总纲!S131</f>
        <v>3419.0988278632244</v>
      </c>
      <c r="H131" s="2">
        <f>[1]节奏总纲!T131</f>
        <v>1838.9689003251838</v>
      </c>
      <c r="J131" s="2">
        <v>128</v>
      </c>
      <c r="K131" s="2">
        <f>[1]节奏总纲!W131</f>
        <v>477.57858357157329</v>
      </c>
      <c r="L131" s="2">
        <f>[1]节奏总纲!X131</f>
        <v>377.65838446953512</v>
      </c>
      <c r="M131" s="2">
        <f>[1]节奏总纲!Y131</f>
        <v>297.2719702927252</v>
      </c>
      <c r="N131" s="2">
        <f>[1]节奏总纲!Z131</f>
        <v>215.69298756066883</v>
      </c>
      <c r="O131" s="2">
        <f>[1]节奏总纲!AA131</f>
        <v>119.17573372453876</v>
      </c>
      <c r="Q131" s="2">
        <v>128</v>
      </c>
      <c r="R131" s="2">
        <f>[1]节奏总纲!AD131</f>
        <v>70.108849423225877</v>
      </c>
      <c r="S131" s="2">
        <f>[1]节奏总纲!AE131</f>
        <v>72.160540850040434</v>
      </c>
      <c r="T131" s="2">
        <f>[1]节奏总纲!AF131</f>
        <v>75.067682921736733</v>
      </c>
      <c r="U131" s="2">
        <f>[1]节奏总纲!AG131</f>
        <v>79.577107263351294</v>
      </c>
      <c r="V131" s="2">
        <f>[1]节奏总纲!AH131</f>
        <v>88.6475303222837</v>
      </c>
      <c r="AN131" s="2">
        <v>128</v>
      </c>
      <c r="AO131" s="2">
        <f>[1]节奏总纲!BA131</f>
        <v>39.68255784806157</v>
      </c>
      <c r="AP131" s="2">
        <f>[1]节奏总纲!BB131</f>
        <v>41.188041754455355</v>
      </c>
      <c r="AQ131" s="2">
        <f>[1]节奏总纲!BC131</f>
        <v>43.130035198268104</v>
      </c>
      <c r="AR131" s="2">
        <f>[1]节奏总纲!BD131</f>
        <v>45.869242601500943</v>
      </c>
      <c r="AS131" s="2">
        <f>[1]节奏总纲!BE131</f>
        <v>50.554158626283517</v>
      </c>
    </row>
    <row r="132" spans="2:45" x14ac:dyDescent="0.15">
      <c r="B132" s="2">
        <f>[1]节奏总纲!N132</f>
        <v>139</v>
      </c>
      <c r="C132" s="2">
        <v>129</v>
      </c>
      <c r="D132" s="2">
        <f>[1]节奏总纲!P132</f>
        <v>7642.4062666695281</v>
      </c>
      <c r="E132" s="2">
        <f>[1]节奏总纲!Q132</f>
        <v>6469.2969047357556</v>
      </c>
      <c r="F132" s="2">
        <f>[1]节奏总纲!R132</f>
        <v>5159.388470628599</v>
      </c>
      <c r="G132" s="2">
        <f>[1]节奏总纲!S132</f>
        <v>3676.7616548947103</v>
      </c>
      <c r="H132" s="2">
        <f>[1]节奏总纲!T132</f>
        <v>1975.5620199340731</v>
      </c>
      <c r="J132" s="2">
        <v>129</v>
      </c>
      <c r="K132" s="2">
        <f>[1]节奏总纲!W132</f>
        <v>511.85605214768384</v>
      </c>
      <c r="L132" s="2">
        <f>[1]节奏总纲!X132</f>
        <v>433.28614814301454</v>
      </c>
      <c r="M132" s="2">
        <f>[1]节奏总纲!Y132</f>
        <v>353.39762604087537</v>
      </c>
      <c r="N132" s="2">
        <f>[1]节奏总纲!Z132</f>
        <v>257.6628270314859</v>
      </c>
      <c r="O132" s="2">
        <f>[1]节奏总纲!AA132</f>
        <v>136.59311960888931</v>
      </c>
      <c r="Q132" s="2">
        <v>129</v>
      </c>
      <c r="R132" s="2">
        <f>[1]节奏总纲!AD132</f>
        <v>70.217698846451768</v>
      </c>
      <c r="S132" s="2">
        <f>[1]节奏总纲!AE132</f>
        <v>72.273736648140314</v>
      </c>
      <c r="T132" s="2">
        <f>[1]节奏总纲!AF132</f>
        <v>75.177145912126889</v>
      </c>
      <c r="U132" s="2">
        <f>[1]节奏总纲!AG132</f>
        <v>79.69523372610233</v>
      </c>
      <c r="V132" s="2">
        <f>[1]节奏总纲!AH132</f>
        <v>88.782095026222549</v>
      </c>
      <c r="AN132" s="2">
        <v>129</v>
      </c>
      <c r="AO132" s="2">
        <f>[1]节奏总纲!BA132</f>
        <v>39.736590554774494</v>
      </c>
      <c r="AP132" s="2">
        <f>[1]节奏总纲!BB132</f>
        <v>41.238324523320038</v>
      </c>
      <c r="AQ132" s="2">
        <f>[1]节奏总纲!BC132</f>
        <v>43.179964142847631</v>
      </c>
      <c r="AR132" s="2">
        <f>[1]节奏总纲!BD132</f>
        <v>45.925034809556202</v>
      </c>
      <c r="AS132" s="2">
        <f>[1]节奏总纲!BE132</f>
        <v>50.607674669381879</v>
      </c>
    </row>
    <row r="133" spans="2:45" x14ac:dyDescent="0.15">
      <c r="B133" s="2">
        <f>[1]节奏总纲!N133</f>
        <v>140</v>
      </c>
      <c r="C133" s="2">
        <v>130</v>
      </c>
      <c r="D133" s="2">
        <f>[1]节奏总纲!P133</f>
        <v>8191</v>
      </c>
      <c r="E133" s="2">
        <f>[1]节奏总纲!Q133</f>
        <v>6941.8725000000004</v>
      </c>
      <c r="F133" s="2">
        <f>[1]节奏总纲!R133</f>
        <v>5542.0306</v>
      </c>
      <c r="G133" s="2">
        <f>[1]节奏总纲!S133</f>
        <v>3951.3384000000001</v>
      </c>
      <c r="H133" s="2">
        <f>[1]节奏总纲!T133</f>
        <v>2124.7454000000002</v>
      </c>
      <c r="J133" s="2">
        <v>130</v>
      </c>
      <c r="K133" s="2">
        <f>[1]节奏总纲!W133</f>
        <v>548.59373333047188</v>
      </c>
      <c r="L133" s="2">
        <f>[1]节奏总纲!X133</f>
        <v>472.57559526424484</v>
      </c>
      <c r="M133" s="2">
        <f>[1]节奏总纲!Y133</f>
        <v>382.6421293714011</v>
      </c>
      <c r="N133" s="2">
        <f>[1]节奏总纲!Z133</f>
        <v>274.57674510528977</v>
      </c>
      <c r="O133" s="2">
        <f>[1]节奏总纲!AA133</f>
        <v>149.18338006592717</v>
      </c>
      <c r="Q133" s="2">
        <v>130</v>
      </c>
      <c r="R133" s="2">
        <f>[1]节奏总纲!AD133</f>
        <v>70.326548269677644</v>
      </c>
      <c r="S133" s="2">
        <f>[1]节奏总纲!AE133</f>
        <v>72.386932446240195</v>
      </c>
      <c r="T133" s="2">
        <f>[1]节奏总纲!AF133</f>
        <v>75.286608902517045</v>
      </c>
      <c r="U133" s="2">
        <f>[1]节奏总纲!AG133</f>
        <v>79.813360188853366</v>
      </c>
      <c r="V133" s="2">
        <f>[1]节奏总纲!AH133</f>
        <v>88.916659730161399</v>
      </c>
      <c r="AN133" s="2">
        <v>130</v>
      </c>
      <c r="AO133" s="2">
        <f>[1]节奏总纲!BA133</f>
        <v>39.790623261487418</v>
      </c>
      <c r="AP133" s="2">
        <f>[1]节奏总纲!BB133</f>
        <v>41.288607292184714</v>
      </c>
      <c r="AQ133" s="2">
        <f>[1]节奏总纲!BC133</f>
        <v>43.229893087427158</v>
      </c>
      <c r="AR133" s="2">
        <f>[1]节奏总纲!BD133</f>
        <v>45.98082701761146</v>
      </c>
      <c r="AS133" s="2">
        <f>[1]节奏总纲!BE133</f>
        <v>50.661190712480241</v>
      </c>
    </row>
    <row r="134" spans="2:45" x14ac:dyDescent="0.15">
      <c r="B134" s="2">
        <f>[1]节奏总纲!N134</f>
        <v>141</v>
      </c>
      <c r="C134" s="2">
        <v>131</v>
      </c>
      <c r="D134" s="2">
        <f>[1]节奏总纲!P134</f>
        <v>8778.9682050973151</v>
      </c>
      <c r="E134" s="2">
        <f>[1]节奏总纲!Q134</f>
        <v>7443.6871411020138</v>
      </c>
      <c r="F134" s="2">
        <f>[1]节奏总纲!R134</f>
        <v>5945.117268491902</v>
      </c>
      <c r="G134" s="2">
        <f>[1]节奏总纲!S134</f>
        <v>4244.6311271645518</v>
      </c>
      <c r="H134" s="2">
        <f>[1]节奏总纲!T134</f>
        <v>2275.5085587612239</v>
      </c>
      <c r="J134" s="2">
        <v>131</v>
      </c>
      <c r="K134" s="2">
        <f>[1]节奏总纲!W134</f>
        <v>587.96820509731515</v>
      </c>
      <c r="L134" s="2">
        <f>[1]节奏总纲!X134</f>
        <v>501.81464110201341</v>
      </c>
      <c r="M134" s="2">
        <f>[1]节奏总纲!Y134</f>
        <v>403.08666849190195</v>
      </c>
      <c r="N134" s="2">
        <f>[1]节奏总纲!Z134</f>
        <v>293.29272716455171</v>
      </c>
      <c r="O134" s="2">
        <f>[1]节奏总纲!AA134</f>
        <v>150.76315876122362</v>
      </c>
      <c r="Q134" s="2">
        <v>131</v>
      </c>
      <c r="R134" s="2">
        <f>[1]节奏总纲!AD134</f>
        <v>70.435397692903535</v>
      </c>
      <c r="S134" s="2">
        <f>[1]节奏总纲!AE134</f>
        <v>72.50012824434009</v>
      </c>
      <c r="T134" s="2">
        <f>[1]节奏总纲!AF134</f>
        <v>75.396071892907202</v>
      </c>
      <c r="U134" s="2">
        <f>[1]节奏总纲!AG134</f>
        <v>79.931486651604402</v>
      </c>
      <c r="V134" s="2">
        <f>[1]节奏总纲!AH134</f>
        <v>89.048420729369383</v>
      </c>
      <c r="AN134" s="2">
        <v>131</v>
      </c>
      <c r="AO134" s="2">
        <f>[1]节奏总纲!BA134</f>
        <v>39.844655968200342</v>
      </c>
      <c r="AP134" s="2">
        <f>[1]节奏总纲!BB134</f>
        <v>41.338890061049398</v>
      </c>
      <c r="AQ134" s="2">
        <f>[1]节奏总纲!BC134</f>
        <v>43.279822032006692</v>
      </c>
      <c r="AR134" s="2">
        <f>[1]节奏总纲!BD134</f>
        <v>46.031609894814238</v>
      </c>
      <c r="AS134" s="2">
        <f>[1]节奏总纲!BE134</f>
        <v>50.714706755578604</v>
      </c>
    </row>
    <row r="135" spans="2:45" x14ac:dyDescent="0.15">
      <c r="B135" s="2">
        <f>[1]节奏总纲!N135</f>
        <v>142</v>
      </c>
      <c r="C135" s="2">
        <v>132</v>
      </c>
      <c r="D135" s="2">
        <f>[1]节奏总纲!P135</f>
        <v>9409.1369241357042</v>
      </c>
      <c r="E135" s="2">
        <f>[1]节奏总纲!Q135</f>
        <v>7983.6526801291457</v>
      </c>
      <c r="F135" s="2">
        <f>[1]节奏总纲!R135</f>
        <v>6385.9812304109018</v>
      </c>
      <c r="G135" s="2">
        <f>[1]节奏总纲!S135</f>
        <v>4544.6131343575453</v>
      </c>
      <c r="H135" s="2">
        <f>[1]节奏总纲!T135</f>
        <v>2431.3209811966663</v>
      </c>
      <c r="J135" s="2">
        <v>132</v>
      </c>
      <c r="K135" s="2">
        <f>[1]节奏总纲!W135</f>
        <v>630.1687190383891</v>
      </c>
      <c r="L135" s="2">
        <f>[1]节奏总纲!X135</f>
        <v>539.96553902713185</v>
      </c>
      <c r="M135" s="2">
        <f>[1]节奏总纲!Y135</f>
        <v>440.86396191899985</v>
      </c>
      <c r="N135" s="2">
        <f>[1]节奏总纲!Z135</f>
        <v>299.98200719299348</v>
      </c>
      <c r="O135" s="2">
        <f>[1]节奏总纲!AA135</f>
        <v>155.81242243544239</v>
      </c>
      <c r="Q135" s="2">
        <v>132</v>
      </c>
      <c r="R135" s="2">
        <f>[1]节奏总纲!AD135</f>
        <v>70.544247116129412</v>
      </c>
      <c r="S135" s="2">
        <f>[1]节奏总纲!AE135</f>
        <v>72.61332404243997</v>
      </c>
      <c r="T135" s="2">
        <f>[1]节奏总纲!AF135</f>
        <v>75.505534883297358</v>
      </c>
      <c r="U135" s="2">
        <f>[1]节奏总纲!AG135</f>
        <v>80.045750258986601</v>
      </c>
      <c r="V135" s="2">
        <f>[1]节奏总纲!AH135</f>
        <v>89.175620204122851</v>
      </c>
      <c r="AN135" s="2">
        <v>132</v>
      </c>
      <c r="AO135" s="2">
        <f>[1]节奏总纲!BA135</f>
        <v>39.898688674913267</v>
      </c>
      <c r="AP135" s="2">
        <f>[1]节奏总纲!BB135</f>
        <v>41.389172829914081</v>
      </c>
      <c r="AQ135" s="2">
        <f>[1]节奏总纲!BC135</f>
        <v>43.329750976586219</v>
      </c>
      <c r="AR135" s="2">
        <f>[1]节奏总纲!BD135</f>
        <v>46.079770001861057</v>
      </c>
      <c r="AS135" s="2">
        <f>[1]节奏总纲!BE135</f>
        <v>50.768222798676959</v>
      </c>
    </row>
    <row r="136" spans="2:45" x14ac:dyDescent="0.15">
      <c r="B136" s="2">
        <f>[1]节奏总纲!N136</f>
        <v>143</v>
      </c>
      <c r="C136" s="2">
        <v>133</v>
      </c>
      <c r="D136" s="2">
        <f>[1]节奏总纲!P136</f>
        <v>10084.535034121556</v>
      </c>
      <c r="E136" s="2">
        <f>[1]节奏总纲!Q136</f>
        <v>8562.7786974726132</v>
      </c>
      <c r="F136" s="2">
        <f>[1]节奏总纲!R136</f>
        <v>6827.2302181002942</v>
      </c>
      <c r="G136" s="2">
        <f>[1]节奏总纲!S136</f>
        <v>4847.6359909022322</v>
      </c>
      <c r="H136" s="2">
        <f>[1]节奏总纲!T136</f>
        <v>2595.759317782889</v>
      </c>
      <c r="J136" s="2">
        <v>133</v>
      </c>
      <c r="K136" s="2">
        <f>[1]节奏总纲!W136</f>
        <v>675.39810998585199</v>
      </c>
      <c r="L136" s="2">
        <f>[1]节奏总纲!X136</f>
        <v>579.12601734346754</v>
      </c>
      <c r="M136" s="2">
        <f>[1]节奏总纲!Y136</f>
        <v>441.24898768939238</v>
      </c>
      <c r="N136" s="2">
        <f>[1]节奏总纲!Z136</f>
        <v>303.02285654468687</v>
      </c>
      <c r="O136" s="2">
        <f>[1]节奏总纲!AA136</f>
        <v>164.4383365862227</v>
      </c>
      <c r="Q136" s="2">
        <v>133</v>
      </c>
      <c r="R136" s="2">
        <f>[1]节奏总纲!AD136</f>
        <v>70.653096539355303</v>
      </c>
      <c r="S136" s="2">
        <f>[1]节奏总纲!AE136</f>
        <v>72.726519840539851</v>
      </c>
      <c r="T136" s="2">
        <f>[1]节奏总纲!AF136</f>
        <v>75.614997873687514</v>
      </c>
      <c r="U136" s="2">
        <f>[1]节奏总纲!AG136</f>
        <v>80.154679447049915</v>
      </c>
      <c r="V136" s="2">
        <f>[1]节奏总纲!AH136</f>
        <v>89.302819678876304</v>
      </c>
      <c r="AN136" s="2">
        <v>133</v>
      </c>
      <c r="AO136" s="2">
        <f>[1]节奏总纲!BA136</f>
        <v>39.952721381626191</v>
      </c>
      <c r="AP136" s="2">
        <f>[1]节奏总纲!BB136</f>
        <v>41.439455598778757</v>
      </c>
      <c r="AQ136" s="2">
        <f>[1]节奏总纲!BC136</f>
        <v>43.379679921165753</v>
      </c>
      <c r="AR136" s="2">
        <f>[1]节奏总纲!BD136</f>
        <v>46.127930108907876</v>
      </c>
      <c r="AS136" s="2">
        <f>[1]节奏总纲!BE136</f>
        <v>50.821738841775321</v>
      </c>
    </row>
    <row r="137" spans="2:45" x14ac:dyDescent="0.15">
      <c r="B137" s="2">
        <f>[1]节奏总纲!N137</f>
        <v>144</v>
      </c>
      <c r="C137" s="2">
        <v>134</v>
      </c>
      <c r="D137" s="2">
        <f>[1]节奏总纲!P137</f>
        <v>10808.408805051544</v>
      </c>
      <c r="E137" s="2">
        <f>[1]节奏总纲!Q137</f>
        <v>9151.4797352371424</v>
      </c>
      <c r="F137" s="2">
        <f>[1]节奏总纲!R137</f>
        <v>7283.7866937242361</v>
      </c>
      <c r="G137" s="2">
        <f>[1]节奏总纲!S137</f>
        <v>5175.0661358586794</v>
      </c>
      <c r="H137" s="2">
        <f>[1]节奏总纲!T137</f>
        <v>2775.5993811372364</v>
      </c>
      <c r="J137" s="2">
        <v>134</v>
      </c>
      <c r="K137" s="2">
        <f>[1]节奏总纲!W137</f>
        <v>723.87377092998759</v>
      </c>
      <c r="L137" s="2">
        <f>[1]节奏总纲!X137</f>
        <v>588.70103776452925</v>
      </c>
      <c r="M137" s="2">
        <f>[1]节奏总纲!Y137</f>
        <v>456.55647562394188</v>
      </c>
      <c r="N137" s="2">
        <f>[1]节奏总纲!Z137</f>
        <v>327.43014495644729</v>
      </c>
      <c r="O137" s="2">
        <f>[1]节奏总纲!AA137</f>
        <v>179.84006335434742</v>
      </c>
      <c r="Q137" s="2">
        <v>134</v>
      </c>
      <c r="R137" s="2">
        <f>[1]节奏总纲!AD137</f>
        <v>70.76194596258118</v>
      </c>
      <c r="S137" s="2">
        <f>[1]节奏总纲!AE137</f>
        <v>72.839715638639731</v>
      </c>
      <c r="T137" s="2">
        <f>[1]节奏总纲!AF137</f>
        <v>75.72446086407767</v>
      </c>
      <c r="U137" s="2">
        <f>[1]节奏总纲!AG137</f>
        <v>80.263608635113243</v>
      </c>
      <c r="V137" s="2">
        <f>[1]节奏总纲!AH137</f>
        <v>89.430019153629758</v>
      </c>
      <c r="AN137" s="2">
        <v>134</v>
      </c>
      <c r="AO137" s="2">
        <f>[1]节奏总纲!BA137</f>
        <v>40.005827399112476</v>
      </c>
      <c r="AP137" s="2">
        <f>[1]节奏总纲!BB137</f>
        <v>41.48973836764344</v>
      </c>
      <c r="AQ137" s="2">
        <f>[1]节奏总纲!BC137</f>
        <v>43.42960886574528</v>
      </c>
      <c r="AR137" s="2">
        <f>[1]节奏总纲!BD137</f>
        <v>46.176090215954694</v>
      </c>
      <c r="AS137" s="2">
        <f>[1]节奏总纲!BE137</f>
        <v>50.875254884873684</v>
      </c>
    </row>
    <row r="138" spans="2:45" x14ac:dyDescent="0.15">
      <c r="B138" s="2">
        <f>[1]节奏总纲!N138</f>
        <v>145</v>
      </c>
      <c r="C138" s="2">
        <v>135</v>
      </c>
      <c r="D138" s="2">
        <f>[1]节奏总纲!P138</f>
        <v>11584.237502960397</v>
      </c>
      <c r="E138" s="2">
        <f>[1]节奏总纲!Q138</f>
        <v>9796.789656253608</v>
      </c>
      <c r="F138" s="2">
        <f>[1]节奏总纲!R138</f>
        <v>7796.1918394923478</v>
      </c>
      <c r="G138" s="2">
        <f>[1]节奏总纲!S138</f>
        <v>5548.8497639180305</v>
      </c>
      <c r="H138" s="2">
        <f>[1]节奏总纲!T138</f>
        <v>2979.465885761414</v>
      </c>
      <c r="J138" s="2">
        <v>135</v>
      </c>
      <c r="K138" s="2">
        <f>[1]节奏总纲!W138</f>
        <v>775.82869790885343</v>
      </c>
      <c r="L138" s="2">
        <f>[1]节奏总纲!X138</f>
        <v>645.30992101646552</v>
      </c>
      <c r="M138" s="2">
        <f>[1]节奏总纲!Y138</f>
        <v>512.40514576811165</v>
      </c>
      <c r="N138" s="2">
        <f>[1]节奏总纲!Z138</f>
        <v>373.78362805935103</v>
      </c>
      <c r="O138" s="2">
        <f>[1]节奏总纲!AA138</f>
        <v>203.86650462417765</v>
      </c>
      <c r="Q138" s="2">
        <v>135</v>
      </c>
      <c r="R138" s="2">
        <f>[1]节奏总纲!AD138</f>
        <v>70.870795385807057</v>
      </c>
      <c r="S138" s="2">
        <f>[1]节奏总纲!AE138</f>
        <v>72.952911436739612</v>
      </c>
      <c r="T138" s="2">
        <f>[1]节奏总纲!AF138</f>
        <v>75.833923854467812</v>
      </c>
      <c r="U138" s="2">
        <f>[1]节奏总纲!AG138</f>
        <v>80.372537823176572</v>
      </c>
      <c r="V138" s="2">
        <f>[1]节奏总纲!AH138</f>
        <v>89.557218628383211</v>
      </c>
      <c r="AN138" s="2">
        <v>135</v>
      </c>
      <c r="AO138" s="2">
        <f>[1]节奏总纲!BA138</f>
        <v>40.052446592012309</v>
      </c>
      <c r="AP138" s="2">
        <f>[1]节奏总纲!BB138</f>
        <v>41.540021136508116</v>
      </c>
      <c r="AQ138" s="2">
        <f>[1]节奏总纲!BC138</f>
        <v>43.479537810324814</v>
      </c>
      <c r="AR138" s="2">
        <f>[1]节奏总纲!BD138</f>
        <v>46.224250323001513</v>
      </c>
      <c r="AS138" s="2">
        <f>[1]节奏总纲!BE138</f>
        <v>50.928770927972039</v>
      </c>
    </row>
    <row r="139" spans="2:45" x14ac:dyDescent="0.15">
      <c r="B139" s="2">
        <f>[1]节奏总纲!N139</f>
        <v>146</v>
      </c>
      <c r="C139" s="2">
        <v>136</v>
      </c>
      <c r="D139" s="2">
        <f>[1]节奏总纲!P139</f>
        <v>12415.750112853173</v>
      </c>
      <c r="E139" s="2">
        <f>[1]节奏总纲!Q139</f>
        <v>10507.449320507641</v>
      </c>
      <c r="F139" s="2">
        <f>[1]节奏总纲!R139</f>
        <v>8384.3560512097483</v>
      </c>
      <c r="G139" s="2">
        <f>[1]节奏总纲!S139</f>
        <v>5967.009504237235</v>
      </c>
      <c r="H139" s="2">
        <f>[1]节奏总纲!T139</f>
        <v>3204.5051041274041</v>
      </c>
      <c r="J139" s="2">
        <v>136</v>
      </c>
      <c r="K139" s="2">
        <f>[1]节奏总纲!W139</f>
        <v>831.5126098927758</v>
      </c>
      <c r="L139" s="2">
        <f>[1]节奏总纲!X139</f>
        <v>710.65966425403349</v>
      </c>
      <c r="M139" s="2">
        <f>[1]节奏总纲!Y139</f>
        <v>588.16421171740058</v>
      </c>
      <c r="N139" s="2">
        <f>[1]节奏总纲!Z139</f>
        <v>418.1597403192045</v>
      </c>
      <c r="O139" s="2">
        <f>[1]节奏总纲!AA139</f>
        <v>225.03921836599011</v>
      </c>
      <c r="Q139" s="2">
        <v>136</v>
      </c>
      <c r="R139" s="2">
        <f>[1]节奏总纲!AD139</f>
        <v>70.979644809032948</v>
      </c>
      <c r="S139" s="2">
        <f>[1]节奏总纲!AE139</f>
        <v>73.059911975288244</v>
      </c>
      <c r="T139" s="2">
        <f>[1]节奏总纲!AF139</f>
        <v>75.943386844857969</v>
      </c>
      <c r="U139" s="2">
        <f>[1]节奏总纲!AG139</f>
        <v>80.4814670112399</v>
      </c>
      <c r="V139" s="2">
        <f>[1]节奏总纲!AH139</f>
        <v>89.684418103136665</v>
      </c>
      <c r="AN139" s="2">
        <v>136</v>
      </c>
      <c r="AO139" s="2">
        <f>[1]节奏总纲!BA139</f>
        <v>40.099065784912149</v>
      </c>
      <c r="AP139" s="2">
        <f>[1]节奏总纲!BB139</f>
        <v>41.590303905372799</v>
      </c>
      <c r="AQ139" s="2">
        <f>[1]节奏总纲!BC139</f>
        <v>43.529466754904341</v>
      </c>
      <c r="AR139" s="2">
        <f>[1]节奏总纲!BD139</f>
        <v>46.272410430048332</v>
      </c>
      <c r="AS139" s="2">
        <f>[1]节奏总纲!BE139</f>
        <v>50.982286971070401</v>
      </c>
    </row>
    <row r="140" spans="2:45" x14ac:dyDescent="0.15">
      <c r="B140" s="2">
        <f>[1]节奏总纲!N140</f>
        <v>147</v>
      </c>
      <c r="C140" s="2">
        <v>137</v>
      </c>
      <c r="D140" s="2">
        <f>[1]节奏总纲!P140</f>
        <v>13306.943261900544</v>
      </c>
      <c r="E140" s="2">
        <f>[1]节奏总纲!Q140</f>
        <v>11274.973025808331</v>
      </c>
      <c r="F140" s="2">
        <f>[1]节奏总纲!R140</f>
        <v>8995.4936450447676</v>
      </c>
      <c r="G140" s="2">
        <f>[1]节奏总纲!S140</f>
        <v>6407.293180605112</v>
      </c>
      <c r="H140" s="2">
        <f>[1]节奏总纲!T140</f>
        <v>3438.5141388751008</v>
      </c>
      <c r="J140" s="2">
        <v>137</v>
      </c>
      <c r="K140" s="2">
        <f>[1]节奏总纲!W140</f>
        <v>891.19314904737075</v>
      </c>
      <c r="L140" s="2">
        <f>[1]节奏总纲!X140</f>
        <v>767.52370530068947</v>
      </c>
      <c r="M140" s="2">
        <f>[1]节奏总纲!Y140</f>
        <v>611.13759383501929</v>
      </c>
      <c r="N140" s="2">
        <f>[1]节奏总纲!Z140</f>
        <v>440.28367636787698</v>
      </c>
      <c r="O140" s="2">
        <f>[1]节奏总纲!AA140</f>
        <v>234.00903474769666</v>
      </c>
      <c r="Q140" s="2">
        <v>137</v>
      </c>
      <c r="R140" s="2">
        <f>[1]节奏总纲!AD140</f>
        <v>71.082568038258202</v>
      </c>
      <c r="S140" s="2">
        <f>[1]节奏总纲!AE140</f>
        <v>73.162499594857536</v>
      </c>
      <c r="T140" s="2">
        <f>[1]节奏总纲!AF140</f>
        <v>76.048210495050611</v>
      </c>
      <c r="U140" s="2">
        <f>[1]节奏总纲!AG140</f>
        <v>80.590396199303228</v>
      </c>
      <c r="V140" s="2">
        <f>[1]节奏总纲!AH140</f>
        <v>89.811617577890132</v>
      </c>
      <c r="AN140" s="2">
        <v>137</v>
      </c>
      <c r="AO140" s="2">
        <f>[1]节奏总纲!BA140</f>
        <v>40.145684977811982</v>
      </c>
      <c r="AP140" s="2">
        <f>[1]节奏总纲!BB140</f>
        <v>41.640586674237483</v>
      </c>
      <c r="AQ140" s="2">
        <f>[1]节奏总纲!BC140</f>
        <v>43.579395699483875</v>
      </c>
      <c r="AR140" s="2">
        <f>[1]节奏总纲!BD140</f>
        <v>46.320570537095151</v>
      </c>
      <c r="AS140" s="2">
        <f>[1]节奏总纲!BE140</f>
        <v>51.030916192165336</v>
      </c>
    </row>
    <row r="141" spans="2:45" x14ac:dyDescent="0.15">
      <c r="B141" s="2">
        <f>[1]节奏总纲!N141</f>
        <v>148</v>
      </c>
      <c r="C141" s="2">
        <v>138</v>
      </c>
      <c r="D141" s="2">
        <f>[1]节奏总纲!P141</f>
        <v>14262.10042904369</v>
      </c>
      <c r="E141" s="2">
        <f>[1]节奏总纲!Q141</f>
        <v>12084.27769352872</v>
      </c>
      <c r="F141" s="2">
        <f>[1]节奏总纲!R141</f>
        <v>9648.3109402480568</v>
      </c>
      <c r="G141" s="2">
        <f>[1]节奏总纲!S141</f>
        <v>6871.4799867132497</v>
      </c>
      <c r="H141" s="2">
        <f>[1]节奏总纲!T141</f>
        <v>3671.064650435846</v>
      </c>
      <c r="J141" s="2">
        <v>138</v>
      </c>
      <c r="K141" s="2">
        <f>[1]节奏总纲!W141</f>
        <v>955.15716714314658</v>
      </c>
      <c r="L141" s="2">
        <f>[1]节奏总纲!X141</f>
        <v>809.30466772038926</v>
      </c>
      <c r="M141" s="2">
        <f>[1]节奏总纲!Y141</f>
        <v>652.81729520328918</v>
      </c>
      <c r="N141" s="2">
        <f>[1]节奏总纲!Z141</f>
        <v>464.18680610813772</v>
      </c>
      <c r="O141" s="2">
        <f>[1]节奏总纲!AA141</f>
        <v>232.55051156074524</v>
      </c>
      <c r="Q141" s="2">
        <v>138</v>
      </c>
      <c r="R141" s="2">
        <f>[1]节奏总纲!AD141</f>
        <v>71.184128141237707</v>
      </c>
      <c r="S141" s="2">
        <f>[1]节奏总纲!AE141</f>
        <v>73.265087214426828</v>
      </c>
      <c r="T141" s="2">
        <f>[1]节奏总纲!AF141</f>
        <v>76.148064447889894</v>
      </c>
      <c r="U141" s="2">
        <f>[1]节奏总纲!AG141</f>
        <v>80.699325387366557</v>
      </c>
      <c r="V141" s="2">
        <f>[1]节奏总纲!AH141</f>
        <v>89.938817052643586</v>
      </c>
      <c r="AN141" s="2">
        <v>138</v>
      </c>
      <c r="AO141" s="2">
        <f>[1]节奏总纲!BA141</f>
        <v>40.192304170711814</v>
      </c>
      <c r="AP141" s="2">
        <f>[1]节奏总纲!BB141</f>
        <v>41.690869443102159</v>
      </c>
      <c r="AQ141" s="2">
        <f>[1]节奏总纲!BC141</f>
        <v>43.629324644063402</v>
      </c>
      <c r="AR141" s="2">
        <f>[1]节奏总纲!BD141</f>
        <v>46.368730644141969</v>
      </c>
      <c r="AS141" s="2">
        <f>[1]节奏总纲!BE141</f>
        <v>51.077127728003028</v>
      </c>
    </row>
    <row r="142" spans="2:45" x14ac:dyDescent="0.15">
      <c r="B142" s="2">
        <f>[1]节奏总纲!N142</f>
        <v>149</v>
      </c>
      <c r="C142" s="2">
        <v>139</v>
      </c>
      <c r="D142" s="2">
        <f>[1]节奏总纲!P142</f>
        <v>15285.812533339058</v>
      </c>
      <c r="E142" s="2">
        <f>[1]节奏总纲!Q142</f>
        <v>12957.783284511519</v>
      </c>
      <c r="F142" s="2">
        <f>[1]节奏总纲!R142</f>
        <v>10342.380760057207</v>
      </c>
      <c r="G142" s="2">
        <f>[1]节奏总纲!S142</f>
        <v>7335.6614347494142</v>
      </c>
      <c r="H142" s="2">
        <f>[1]节奏总纲!T142</f>
        <v>3920.8109148014687</v>
      </c>
      <c r="J142" s="2">
        <v>139</v>
      </c>
      <c r="K142" s="2">
        <f>[1]节奏总纲!W142</f>
        <v>1023.7121042953677</v>
      </c>
      <c r="L142" s="2">
        <f>[1]节奏总纲!X142</f>
        <v>873.50559098279882</v>
      </c>
      <c r="M142" s="2">
        <f>[1]节奏总纲!Y142</f>
        <v>694.06981980915043</v>
      </c>
      <c r="N142" s="2">
        <f>[1]节奏总纲!Z142</f>
        <v>464.18144803616451</v>
      </c>
      <c r="O142" s="2">
        <f>[1]节奏总纲!AA142</f>
        <v>249.74626436562266</v>
      </c>
      <c r="Q142" s="2">
        <v>139</v>
      </c>
      <c r="R142" s="2">
        <f>[1]节奏总纲!AD142</f>
        <v>71.285688244217212</v>
      </c>
      <c r="S142" s="2">
        <f>[1]节奏总纲!AE142</f>
        <v>73.367674833996119</v>
      </c>
      <c r="T142" s="2">
        <f>[1]节奏总纲!AF142</f>
        <v>76.247918400729162</v>
      </c>
      <c r="U142" s="2">
        <f>[1]节奏总纲!AG142</f>
        <v>80.808254575429885</v>
      </c>
      <c r="V142" s="2">
        <f>[1]节奏总纲!AH142</f>
        <v>90.055148444912135</v>
      </c>
      <c r="AN142" s="2">
        <v>139</v>
      </c>
      <c r="AO142" s="2">
        <f>[1]节奏总纲!BA142</f>
        <v>40.238923363611647</v>
      </c>
      <c r="AP142" s="2">
        <f>[1]节奏总纲!BB142</f>
        <v>41.741152211966842</v>
      </c>
      <c r="AQ142" s="2">
        <f>[1]节奏总纲!BC142</f>
        <v>43.679253588642929</v>
      </c>
      <c r="AR142" s="2">
        <f>[1]节奏总纲!BD142</f>
        <v>46.416890751188788</v>
      </c>
      <c r="AS142" s="2">
        <f>[1]节奏总纲!BE142</f>
        <v>51.12333926384072</v>
      </c>
    </row>
    <row r="143" spans="2:45" x14ac:dyDescent="0.15">
      <c r="B143" s="2">
        <f>[1]节奏总纲!N143</f>
        <v>150</v>
      </c>
      <c r="C143" s="2">
        <v>140</v>
      </c>
      <c r="D143" s="2">
        <f>[1]节奏总纲!P143</f>
        <v>16383</v>
      </c>
      <c r="E143" s="2">
        <f>[1]节奏总纲!Q143</f>
        <v>13881.315900000001</v>
      </c>
      <c r="F143" s="2">
        <f>[1]节奏总纲!R143</f>
        <v>11037.2271</v>
      </c>
      <c r="G143" s="2">
        <f>[1]节奏总纲!S143</f>
        <v>7827.7974000000004</v>
      </c>
      <c r="H143" s="2">
        <f>[1]节奏总纲!T143</f>
        <v>4192.4097000000002</v>
      </c>
      <c r="J143" s="2">
        <v>140</v>
      </c>
      <c r="K143" s="2">
        <f>[1]节奏总纲!W143</f>
        <v>1097.1874666609419</v>
      </c>
      <c r="L143" s="2">
        <f>[1]节奏总纲!X143</f>
        <v>923.53261548848241</v>
      </c>
      <c r="M143" s="2">
        <f>[1]节奏总纲!Y143</f>
        <v>694.84633994279284</v>
      </c>
      <c r="N143" s="2">
        <f>[1]节奏总纲!Z143</f>
        <v>492.1359652505862</v>
      </c>
      <c r="O143" s="2">
        <f>[1]节奏总纲!AA143</f>
        <v>271.59878519853146</v>
      </c>
      <c r="Q143" s="2">
        <v>140</v>
      </c>
      <c r="R143" s="2">
        <f>[1]节奏总纲!AD143</f>
        <v>71.387248347196717</v>
      </c>
      <c r="S143" s="2">
        <f>[1]节奏总纲!AE143</f>
        <v>73.470262453565411</v>
      </c>
      <c r="T143" s="2">
        <f>[1]节奏总纲!AF143</f>
        <v>76.347772353568445</v>
      </c>
      <c r="U143" s="2">
        <f>[1]节奏总纲!AG143</f>
        <v>80.917183763493213</v>
      </c>
      <c r="V143" s="2">
        <f>[1]节奏总纲!AH143</f>
        <v>90.16140749098561</v>
      </c>
      <c r="AN143" s="2">
        <v>140</v>
      </c>
      <c r="AO143" s="2">
        <f>[1]节奏总纲!BA143</f>
        <v>40.28554255651148</v>
      </c>
      <c r="AP143" s="2">
        <f>[1]节奏总纲!BB143</f>
        <v>41.791434980831518</v>
      </c>
      <c r="AQ143" s="2">
        <f>[1]节奏总纲!BC143</f>
        <v>43.729182533222463</v>
      </c>
      <c r="AR143" s="2">
        <f>[1]节奏总纲!BD143</f>
        <v>46.465050858235607</v>
      </c>
      <c r="AS143" s="2">
        <f>[1]节奏总纲!BE143</f>
        <v>51.169550799678412</v>
      </c>
    </row>
    <row r="144" spans="2:45" x14ac:dyDescent="0.15">
      <c r="B144" s="2">
        <f>[1]节奏总纲!N144</f>
        <v>151</v>
      </c>
      <c r="C144" s="2">
        <v>141</v>
      </c>
      <c r="D144" s="2">
        <f>[1]节奏总纲!P144</f>
        <v>17558.936410194601</v>
      </c>
      <c r="E144" s="2">
        <f>[1]节奏总纲!Q144</f>
        <v>14839.057160255457</v>
      </c>
      <c r="F144" s="2">
        <f>[1]节奏总纲!R144</f>
        <v>11789.069905804656</v>
      </c>
      <c r="G144" s="2">
        <f>[1]节奏总纲!S144</f>
        <v>8380.8803485858825</v>
      </c>
      <c r="H144" s="2">
        <f>[1]节奏总纲!T144</f>
        <v>4489.820040086759</v>
      </c>
      <c r="J144" s="2">
        <v>141</v>
      </c>
      <c r="K144" s="2">
        <f>[1]节奏总纲!W144</f>
        <v>1175.9364101946012</v>
      </c>
      <c r="L144" s="2">
        <f>[1]节奏总纲!X144</f>
        <v>957.74126025545593</v>
      </c>
      <c r="M144" s="2">
        <f>[1]节奏总纲!Y144</f>
        <v>751.84280580465565</v>
      </c>
      <c r="N144" s="2">
        <f>[1]节奏总纲!Z144</f>
        <v>553.08294858588215</v>
      </c>
      <c r="O144" s="2">
        <f>[1]节奏总纲!AA144</f>
        <v>297.41034008675888</v>
      </c>
      <c r="Q144" s="2">
        <v>141</v>
      </c>
      <c r="R144" s="2">
        <f>[1]节奏总纲!AD144</f>
        <v>71.488808450176208</v>
      </c>
      <c r="S144" s="2">
        <f>[1]节奏总纲!AE144</f>
        <v>73.572850073134703</v>
      </c>
      <c r="T144" s="2">
        <f>[1]节奏总纲!AF144</f>
        <v>76.447626306407713</v>
      </c>
      <c r="U144" s="2">
        <f>[1]节奏总纲!AG144</f>
        <v>81.023848662825003</v>
      </c>
      <c r="V144" s="2">
        <f>[1]节奏总纲!AH144</f>
        <v>90.267666537059071</v>
      </c>
      <c r="AN144" s="2">
        <v>141</v>
      </c>
      <c r="AO144" s="2">
        <f>[1]节奏总纲!BA144</f>
        <v>40.332161749411313</v>
      </c>
      <c r="AP144" s="2">
        <f>[1]节奏总纲!BB144</f>
        <v>41.841717749696201</v>
      </c>
      <c r="AQ144" s="2">
        <f>[1]节奏总纲!BC144</f>
        <v>43.77911147780199</v>
      </c>
      <c r="AR144" s="2">
        <f>[1]节奏总纲!BD144</f>
        <v>46.513210965282425</v>
      </c>
      <c r="AS144" s="2">
        <f>[1]节奏总纲!BE144</f>
        <v>51.215762335516104</v>
      </c>
    </row>
    <row r="145" spans="2:45" x14ac:dyDescent="0.15">
      <c r="B145" s="2">
        <f>[1]节奏总纲!N145</f>
        <v>152</v>
      </c>
      <c r="C145" s="2">
        <v>142</v>
      </c>
      <c r="D145" s="2">
        <f>[1]节奏总纲!P145</f>
        <v>18819.273848271412</v>
      </c>
      <c r="E145" s="2">
        <f>[1]节奏总纲!Q145</f>
        <v>15904.16832917417</v>
      </c>
      <c r="F145" s="2">
        <f>[1]节奏总纲!R145</f>
        <v>12667.253227271489</v>
      </c>
      <c r="G145" s="2">
        <f>[1]节奏总纲!S145</f>
        <v>9003.140609013044</v>
      </c>
      <c r="H145" s="2">
        <f>[1]节奏总纲!T145</f>
        <v>4823.3798873119622</v>
      </c>
      <c r="J145" s="2">
        <v>142</v>
      </c>
      <c r="K145" s="2">
        <f>[1]节奏总纲!W145</f>
        <v>1260.3374380768109</v>
      </c>
      <c r="L145" s="2">
        <f>[1]节奏总纲!X145</f>
        <v>1065.1111689187128</v>
      </c>
      <c r="M145" s="2">
        <f>[1]节奏总纲!Y145</f>
        <v>878.18332146683315</v>
      </c>
      <c r="N145" s="2">
        <f>[1]节奏总纲!Z145</f>
        <v>622.26026042716148</v>
      </c>
      <c r="O145" s="2">
        <f>[1]节奏总纲!AA145</f>
        <v>333.55984722520316</v>
      </c>
      <c r="Q145" s="2">
        <v>142</v>
      </c>
      <c r="R145" s="2">
        <f>[1]节奏总纲!AD145</f>
        <v>71.590368553155713</v>
      </c>
      <c r="S145" s="2">
        <f>[1]节奏总纲!AE145</f>
        <v>73.675437692703994</v>
      </c>
      <c r="T145" s="2">
        <f>[1]节奏总纲!AF145</f>
        <v>76.547480259246996</v>
      </c>
      <c r="U145" s="2">
        <f>[1]节奏总纲!AG145</f>
        <v>81.123332456233015</v>
      </c>
      <c r="V145" s="2">
        <f>[1]节奏总纲!AH145</f>
        <v>90.373925583132547</v>
      </c>
      <c r="AN145" s="2">
        <v>142</v>
      </c>
      <c r="AO145" s="2">
        <f>[1]节奏总纲!BA145</f>
        <v>40.378780942311145</v>
      </c>
      <c r="AP145" s="2">
        <f>[1]节奏总纲!BB145</f>
        <v>41.892000518560877</v>
      </c>
      <c r="AQ145" s="2">
        <f>[1]节奏总纲!BC145</f>
        <v>43.829040422381524</v>
      </c>
      <c r="AR145" s="2">
        <f>[1]节奏总纲!BD145</f>
        <v>46.561371072329244</v>
      </c>
      <c r="AS145" s="2">
        <f>[1]节奏总纲!BE145</f>
        <v>51.261973871353796</v>
      </c>
    </row>
    <row r="146" spans="2:45" x14ac:dyDescent="0.15">
      <c r="B146" s="2">
        <f>[1]节奏总纲!N146</f>
        <v>153</v>
      </c>
      <c r="C146" s="2">
        <v>143</v>
      </c>
      <c r="D146" s="2">
        <f>[1]节奏总纲!P146</f>
        <v>20170.070068243116</v>
      </c>
      <c r="E146" s="2">
        <f>[1]节奏总纲!Q146</f>
        <v>17065.896284740498</v>
      </c>
      <c r="F146" s="2">
        <f>[1]节奏总纲!R146</f>
        <v>13594.62722599586</v>
      </c>
      <c r="G146" s="2">
        <f>[1]节奏总纲!S146</f>
        <v>9669.5315907157492</v>
      </c>
      <c r="H146" s="2">
        <f>[1]节奏总纲!T146</f>
        <v>5185.7250145453054</v>
      </c>
      <c r="J146" s="2">
        <v>143</v>
      </c>
      <c r="K146" s="2">
        <f>[1]节奏总纲!W146</f>
        <v>1350.796219971704</v>
      </c>
      <c r="L146" s="2">
        <f>[1]节奏总纲!X146</f>
        <v>1161.7279555663281</v>
      </c>
      <c r="M146" s="2">
        <f>[1]节奏总纲!Y146</f>
        <v>927.37399872437163</v>
      </c>
      <c r="N146" s="2">
        <f>[1]节奏总纲!Z146</f>
        <v>666.39098170270518</v>
      </c>
      <c r="O146" s="2">
        <f>[1]节奏总纲!AA146</f>
        <v>362.34512723334319</v>
      </c>
      <c r="Q146" s="2">
        <v>143</v>
      </c>
      <c r="R146" s="2">
        <f>[1]节奏总纲!AD146</f>
        <v>71.691928656135218</v>
      </c>
      <c r="S146" s="2">
        <f>[1]节奏总纲!AE146</f>
        <v>73.778025312273286</v>
      </c>
      <c r="T146" s="2">
        <f>[1]节奏总纲!AF146</f>
        <v>76.647334212086264</v>
      </c>
      <c r="U146" s="2">
        <f>[1]节奏总纲!AG146</f>
        <v>81.222816249641028</v>
      </c>
      <c r="V146" s="2">
        <f>[1]节奏总纲!AH146</f>
        <v>90.480184629206022</v>
      </c>
      <c r="AN146" s="2">
        <v>143</v>
      </c>
      <c r="AO146" s="2">
        <f>[1]节奏总纲!BA146</f>
        <v>40.425400135210978</v>
      </c>
      <c r="AP146" s="2">
        <f>[1]节奏总纲!BB146</f>
        <v>41.94228328742556</v>
      </c>
      <c r="AQ146" s="2">
        <f>[1]节奏总纲!BC146</f>
        <v>43.878969366961051</v>
      </c>
      <c r="AR146" s="2">
        <f>[1]节奏总纲!BD146</f>
        <v>46.609531179376063</v>
      </c>
      <c r="AS146" s="2">
        <f>[1]节奏总纲!BE146</f>
        <v>51.308185407191495</v>
      </c>
    </row>
    <row r="147" spans="2:45" x14ac:dyDescent="0.15">
      <c r="B147" s="2">
        <f>[1]节奏总纲!N147</f>
        <v>154</v>
      </c>
      <c r="C147" s="2">
        <v>144</v>
      </c>
      <c r="D147" s="2">
        <f>[1]节奏总纲!P147</f>
        <v>21617.817610103088</v>
      </c>
      <c r="E147" s="2">
        <f>[1]节奏总纲!Q147</f>
        <v>18290.835479908223</v>
      </c>
      <c r="F147" s="2">
        <f>[1]节奏总纲!R147</f>
        <v>14585.541541536553</v>
      </c>
      <c r="G147" s="2">
        <f>[1]节奏总纲!S147</f>
        <v>10380.876016371503</v>
      </c>
      <c r="H147" s="2">
        <f>[1]节奏总纲!T147</f>
        <v>5547.1319987524521</v>
      </c>
      <c r="J147" s="2">
        <v>144</v>
      </c>
      <c r="K147" s="2">
        <f>[1]节奏总纲!W147</f>
        <v>1447.7475418599715</v>
      </c>
      <c r="L147" s="2">
        <f>[1]节奏总纲!X147</f>
        <v>1224.9391951677244</v>
      </c>
      <c r="M147" s="2">
        <f>[1]节奏总纲!Y147</f>
        <v>990.91431554069277</v>
      </c>
      <c r="N147" s="2">
        <f>[1]节奏总纲!Z147</f>
        <v>711.34442565575409</v>
      </c>
      <c r="O147" s="2">
        <f>[1]节奏总纲!AA147</f>
        <v>361.40698420714671</v>
      </c>
      <c r="Q147" s="2">
        <v>144</v>
      </c>
      <c r="R147" s="2">
        <f>[1]节奏总纲!AD147</f>
        <v>71.793488759114723</v>
      </c>
      <c r="S147" s="2">
        <f>[1]节奏总纲!AE147</f>
        <v>73.880612931842577</v>
      </c>
      <c r="T147" s="2">
        <f>[1]节奏总纲!AF147</f>
        <v>76.747188164925547</v>
      </c>
      <c r="U147" s="2">
        <f>[1]节奏总纲!AG147</f>
        <v>81.322300043049054</v>
      </c>
      <c r="V147" s="2">
        <f>[1]节奏总纲!AH147</f>
        <v>90.586443675279497</v>
      </c>
      <c r="AN147" s="2">
        <v>144</v>
      </c>
      <c r="AO147" s="2">
        <f>[1]节奏总纲!BA147</f>
        <v>40.472019328110811</v>
      </c>
      <c r="AP147" s="2">
        <f>[1]节奏总纲!BB147</f>
        <v>41.992566056290244</v>
      </c>
      <c r="AQ147" s="2">
        <f>[1]节奏总纲!BC147</f>
        <v>43.928898311540586</v>
      </c>
      <c r="AR147" s="2">
        <f>[1]节奏总纲!BD147</f>
        <v>46.657691286422882</v>
      </c>
      <c r="AS147" s="2">
        <f>[1]节奏总纲!BE147</f>
        <v>51.354396943029187</v>
      </c>
    </row>
    <row r="148" spans="2:45" x14ac:dyDescent="0.15">
      <c r="B148" s="2">
        <f>[1]节奏总纲!N148</f>
        <v>155</v>
      </c>
      <c r="C148" s="2">
        <v>145</v>
      </c>
      <c r="D148" s="2">
        <f>[1]节奏总纲!P148</f>
        <v>23169.475005920798</v>
      </c>
      <c r="E148" s="2">
        <f>[1]节奏总纲!Q148</f>
        <v>19631.496172516694</v>
      </c>
      <c r="F148" s="2">
        <f>[1]节奏总纲!R148</f>
        <v>15650.9803664995</v>
      </c>
      <c r="G148" s="2">
        <f>[1]节奏总纲!S148</f>
        <v>11105.129370337838</v>
      </c>
      <c r="H148" s="2">
        <f>[1]节奏总纲!T148</f>
        <v>5926.7517065145412</v>
      </c>
      <c r="J148" s="2">
        <v>145</v>
      </c>
      <c r="K148" s="2">
        <f>[1]节奏总纲!W148</f>
        <v>1551.6573958177105</v>
      </c>
      <c r="L148" s="2">
        <f>[1]节奏总纲!X148</f>
        <v>1340.6606926084714</v>
      </c>
      <c r="M148" s="2">
        <f>[1]节奏总纲!Y148</f>
        <v>1065.4388249629465</v>
      </c>
      <c r="N148" s="2">
        <f>[1]节奏总纲!Z148</f>
        <v>724.25335396633454</v>
      </c>
      <c r="O148" s="2">
        <f>[1]节奏总纲!AA148</f>
        <v>379.61970776208909</v>
      </c>
      <c r="Q148" s="2">
        <v>145</v>
      </c>
      <c r="R148" s="2">
        <f>[1]节奏总纲!AD148</f>
        <v>71.895048862094214</v>
      </c>
      <c r="S148" s="2">
        <f>[1]节奏总纲!AE148</f>
        <v>73.983200551411869</v>
      </c>
      <c r="T148" s="2">
        <f>[1]节奏总纲!AF148</f>
        <v>76.847042117764815</v>
      </c>
      <c r="U148" s="2">
        <f>[1]节奏总纲!AG148</f>
        <v>81.421783836457067</v>
      </c>
      <c r="V148" s="2">
        <f>[1]节奏总纲!AH148</f>
        <v>90.692702721352973</v>
      </c>
      <c r="AN148" s="2">
        <v>145</v>
      </c>
      <c r="AO148" s="2">
        <f>[1]节奏总纲!BA148</f>
        <v>40.518638521010651</v>
      </c>
      <c r="AP148" s="2">
        <f>[1]节奏总纲!BB148</f>
        <v>42.036975906461073</v>
      </c>
      <c r="AQ148" s="2">
        <f>[1]节奏总纲!BC148</f>
        <v>43.978827256120113</v>
      </c>
      <c r="AR148" s="2">
        <f>[1]节奏总纲!BD148</f>
        <v>46.7058513934697</v>
      </c>
      <c r="AS148" s="2">
        <f>[1]节奏总纲!BE148</f>
        <v>51.400608478866879</v>
      </c>
    </row>
    <row r="149" spans="2:45" x14ac:dyDescent="0.15">
      <c r="B149" s="2">
        <f>[1]节奏总纲!N149</f>
        <v>156</v>
      </c>
      <c r="C149" s="2">
        <v>146</v>
      </c>
      <c r="D149" s="2">
        <f>[1]节奏总纲!P149</f>
        <v>24832.50022570635</v>
      </c>
      <c r="E149" s="2">
        <f>[1]节奏总纲!Q149</f>
        <v>21035.61094119585</v>
      </c>
      <c r="F149" s="2">
        <f>[1]节奏总纲!R149</f>
        <v>16719.722401968087</v>
      </c>
      <c r="G149" s="2">
        <f>[1]节奏总纲!S149</f>
        <v>11847.5858576845</v>
      </c>
      <c r="H149" s="2">
        <f>[1]节奏总纲!T149</f>
        <v>6324.8378074874072</v>
      </c>
      <c r="J149" s="2">
        <v>146</v>
      </c>
      <c r="K149" s="2">
        <f>[1]节奏总纲!W149</f>
        <v>1663.0252197855516</v>
      </c>
      <c r="L149" s="2">
        <f>[1]节奏总纲!X149</f>
        <v>1404.1147686791555</v>
      </c>
      <c r="M149" s="2">
        <f>[1]节奏总纲!Y149</f>
        <v>1068.7420354685873</v>
      </c>
      <c r="N149" s="2">
        <f>[1]节奏总纲!Z149</f>
        <v>742.45648734666247</v>
      </c>
      <c r="O149" s="2">
        <f>[1]节奏总纲!AA149</f>
        <v>398.08610097286601</v>
      </c>
      <c r="Q149" s="2">
        <v>146</v>
      </c>
      <c r="R149" s="2">
        <f>[1]节奏总纲!AD149</f>
        <v>71.996608965073719</v>
      </c>
      <c r="S149" s="2">
        <f>[1]节奏总纲!AE149</f>
        <v>74.078973000522922</v>
      </c>
      <c r="T149" s="2">
        <f>[1]节奏总纲!AF149</f>
        <v>76.946896070604097</v>
      </c>
      <c r="U149" s="2">
        <f>[1]节奏总纲!AG149</f>
        <v>81.521267629865079</v>
      </c>
      <c r="V149" s="2">
        <f>[1]节奏总纲!AH149</f>
        <v>90.798961767426448</v>
      </c>
      <c r="AN149" s="2">
        <v>146</v>
      </c>
      <c r="AO149" s="2">
        <f>[1]节奏总纲!BA149</f>
        <v>40.565257713910484</v>
      </c>
      <c r="AP149" s="2">
        <f>[1]节奏总纲!BB149</f>
        <v>42.080366850119908</v>
      </c>
      <c r="AQ149" s="2">
        <f>[1]节奏总纲!BC149</f>
        <v>44.024818750237806</v>
      </c>
      <c r="AR149" s="2">
        <f>[1]节奏总纲!BD149</f>
        <v>46.754011500516519</v>
      </c>
      <c r="AS149" s="2">
        <f>[1]节奏总纲!BE149</f>
        <v>51.446820014704571</v>
      </c>
    </row>
    <row r="150" spans="2:45" x14ac:dyDescent="0.15">
      <c r="B150" s="2">
        <f>[1]节奏总纲!N150</f>
        <v>157</v>
      </c>
      <c r="C150" s="2">
        <v>147</v>
      </c>
      <c r="D150" s="2">
        <f>[1]节奏总纲!P150</f>
        <v>26614.886523801088</v>
      </c>
      <c r="E150" s="2">
        <f>[1]节奏总纲!Q150</f>
        <v>22470.948692045258</v>
      </c>
      <c r="F150" s="2">
        <f>[1]节奏总纲!R150</f>
        <v>17837.296948251489</v>
      </c>
      <c r="G150" s="2">
        <f>[1]节奏总纲!S150</f>
        <v>12631.425144195997</v>
      </c>
      <c r="H150" s="2">
        <f>[1]节奏总纲!T150</f>
        <v>6754.8581997407164</v>
      </c>
      <c r="J150" s="2">
        <v>147</v>
      </c>
      <c r="K150" s="2">
        <f>[1]节奏总纲!W150</f>
        <v>1782.3862980947379</v>
      </c>
      <c r="L150" s="2">
        <f>[1]节奏总纲!X150</f>
        <v>1435.3377508494086</v>
      </c>
      <c r="M150" s="2">
        <f>[1]节奏总纲!Y150</f>
        <v>1117.574546283402</v>
      </c>
      <c r="N150" s="2">
        <f>[1]节奏总纲!Z150</f>
        <v>783.83928651149654</v>
      </c>
      <c r="O150" s="2">
        <f>[1]节奏总纲!AA150</f>
        <v>430.02039225330918</v>
      </c>
      <c r="Q150" s="2">
        <v>147</v>
      </c>
      <c r="R150" s="2">
        <f>[1]节奏总纲!AD150</f>
        <v>72.091594979242075</v>
      </c>
      <c r="S150" s="2">
        <f>[1]节奏总纲!AE150</f>
        <v>74.173410870467364</v>
      </c>
      <c r="T150" s="2">
        <f>[1]节奏总纲!AF150</f>
        <v>77.043751281705866</v>
      </c>
      <c r="U150" s="2">
        <f>[1]节奏总纲!AG150</f>
        <v>81.620751423273092</v>
      </c>
      <c r="V150" s="2">
        <f>[1]节奏总纲!AH150</f>
        <v>90.905220813499923</v>
      </c>
      <c r="AN150" s="2">
        <v>147</v>
      </c>
      <c r="AO150" s="2">
        <f>[1]节奏总纲!BA150</f>
        <v>40.611876906810316</v>
      </c>
      <c r="AP150" s="2">
        <f>[1]节奏总纲!BB150</f>
        <v>42.123757793778736</v>
      </c>
      <c r="AQ150" s="2">
        <f>[1]节奏总纲!BC150</f>
        <v>44.067911160744309</v>
      </c>
      <c r="AR150" s="2">
        <f>[1]节奏总纲!BD150</f>
        <v>46.802171607563338</v>
      </c>
      <c r="AS150" s="2">
        <f>[1]节奏总纲!BE150</f>
        <v>51.493031550542263</v>
      </c>
    </row>
    <row r="151" spans="2:45" x14ac:dyDescent="0.15">
      <c r="B151" s="2">
        <f>[1]节奏总纲!N151</f>
        <v>158</v>
      </c>
      <c r="C151" s="2">
        <v>148</v>
      </c>
      <c r="D151" s="2">
        <f>[1]节奏总纲!P151</f>
        <v>28525.200858087381</v>
      </c>
      <c r="E151" s="2">
        <f>[1]节奏总纲!Q151</f>
        <v>24083.827084483179</v>
      </c>
      <c r="F151" s="2">
        <f>[1]节奏总纲!R151</f>
        <v>19128.999695433398</v>
      </c>
      <c r="G151" s="2">
        <f>[1]节奏总纲!S151</f>
        <v>13566.58552810636</v>
      </c>
      <c r="H151" s="2">
        <f>[1]节奏总纲!T151</f>
        <v>7242.5484978683862</v>
      </c>
      <c r="J151" s="2">
        <v>148</v>
      </c>
      <c r="K151" s="2">
        <f>[1]节奏总纲!W151</f>
        <v>1910.3143342862932</v>
      </c>
      <c r="L151" s="2">
        <f>[1]节奏总纲!X151</f>
        <v>1612.8783924379204</v>
      </c>
      <c r="M151" s="2">
        <f>[1]节奏总纲!Y151</f>
        <v>1291.7027471819092</v>
      </c>
      <c r="N151" s="2">
        <f>[1]节奏总纲!Z151</f>
        <v>935.16038391036273</v>
      </c>
      <c r="O151" s="2">
        <f>[1]节奏总纲!AA151</f>
        <v>487.69029812766985</v>
      </c>
      <c r="Q151" s="2">
        <v>148</v>
      </c>
      <c r="R151" s="2">
        <f>[1]节奏总纲!AD151</f>
        <v>72.186353905945822</v>
      </c>
      <c r="S151" s="2">
        <f>[1]节奏总纲!AE151</f>
        <v>74.267848740411821</v>
      </c>
      <c r="T151" s="2">
        <f>[1]节奏总纲!AF151</f>
        <v>77.137200185007629</v>
      </c>
      <c r="U151" s="2">
        <f>[1]节奏总纲!AG151</f>
        <v>81.720235216681118</v>
      </c>
      <c r="V151" s="2">
        <f>[1]节奏总纲!AH151</f>
        <v>91.011076811620597</v>
      </c>
      <c r="AN151" s="2">
        <v>148</v>
      </c>
      <c r="AO151" s="2">
        <f>[1]节奏总纲!BA151</f>
        <v>40.658496099710149</v>
      </c>
      <c r="AP151" s="2">
        <f>[1]节奏总纲!BB151</f>
        <v>42.167148737437564</v>
      </c>
      <c r="AQ151" s="2">
        <f>[1]节奏总纲!BC151</f>
        <v>44.111003571250812</v>
      </c>
      <c r="AR151" s="2">
        <f>[1]节奏总纲!BD151</f>
        <v>46.850331714610157</v>
      </c>
      <c r="AS151" s="2">
        <f>[1]节奏总纲!BE151</f>
        <v>51.539243086379955</v>
      </c>
    </row>
    <row r="152" spans="2:45" x14ac:dyDescent="0.15">
      <c r="B152" s="2">
        <f>[1]节奏总纲!N152</f>
        <v>159</v>
      </c>
      <c r="C152" s="2">
        <v>149</v>
      </c>
      <c r="D152" s="2">
        <f>[1]节奏总纲!P152</f>
        <v>30572.62506667812</v>
      </c>
      <c r="E152" s="2">
        <f>[1]节奏总纲!Q152</f>
        <v>25818.581868809673</v>
      </c>
      <c r="F152" s="2">
        <f>[1]节奏总纲!R152</f>
        <v>20520.345944754354</v>
      </c>
      <c r="G152" s="2">
        <f>[1]节奏总纲!S152</f>
        <v>14549.512269232117</v>
      </c>
      <c r="H152" s="2">
        <f>[1]节奏总纲!T152</f>
        <v>7768.50402944291</v>
      </c>
      <c r="J152" s="2">
        <v>149</v>
      </c>
      <c r="K152" s="2">
        <f>[1]节奏总纲!W152</f>
        <v>2047.424208590739</v>
      </c>
      <c r="L152" s="2">
        <f>[1]节奏总纲!X152</f>
        <v>1734.7547843264947</v>
      </c>
      <c r="M152" s="2">
        <f>[1]节奏总纲!Y152</f>
        <v>1391.3462493209554</v>
      </c>
      <c r="N152" s="2">
        <f>[1]节奏总纲!Z152</f>
        <v>982.92674112575696</v>
      </c>
      <c r="O152" s="2">
        <f>[1]节奏总纲!AA152</f>
        <v>525.95553157452377</v>
      </c>
      <c r="Q152" s="2">
        <v>149</v>
      </c>
      <c r="R152" s="2">
        <f>[1]节奏总纲!AD152</f>
        <v>72.281112832649583</v>
      </c>
      <c r="S152" s="2">
        <f>[1]节奏总纲!AE152</f>
        <v>74.362286610356264</v>
      </c>
      <c r="T152" s="2">
        <f>[1]节奏总纲!AF152</f>
        <v>77.230649088309391</v>
      </c>
      <c r="U152" s="2">
        <f>[1]节奏总纲!AG152</f>
        <v>81.819719010089131</v>
      </c>
      <c r="V152" s="2">
        <f>[1]节奏总纲!AH152</f>
        <v>91.113605194377854</v>
      </c>
      <c r="AN152" s="2">
        <v>149</v>
      </c>
      <c r="AO152" s="2">
        <f>[1]节奏总纲!BA152</f>
        <v>40.705115292609982</v>
      </c>
      <c r="AP152" s="2">
        <f>[1]节奏总纲!BB152</f>
        <v>42.2105396810964</v>
      </c>
      <c r="AQ152" s="2">
        <f>[1]节奏总纲!BC152</f>
        <v>44.154095981757315</v>
      </c>
      <c r="AR152" s="2">
        <f>[1]节奏总纲!BD152</f>
        <v>46.898491821656968</v>
      </c>
      <c r="AS152" s="2">
        <f>[1]节奏总纲!BE152</f>
        <v>51.585454622217647</v>
      </c>
    </row>
    <row r="153" spans="2:45" x14ac:dyDescent="0.15">
      <c r="B153" s="2">
        <f>[1]节奏总纲!N153</f>
        <v>160</v>
      </c>
      <c r="C153" s="2">
        <v>150</v>
      </c>
      <c r="D153" s="2">
        <f>[1]节奏总纲!P153</f>
        <v>32767</v>
      </c>
      <c r="E153" s="2">
        <f>[1]节奏总纲!Q153</f>
        <v>27671.731500000002</v>
      </c>
      <c r="F153" s="2">
        <f>[1]节奏总纲!R153</f>
        <v>21996.487099999998</v>
      </c>
      <c r="G153" s="2">
        <f>[1]节奏总纲!S153</f>
        <v>15603.645400000001</v>
      </c>
      <c r="H153" s="2">
        <f>[1]节奏总纲!T153</f>
        <v>8355.5850000000009</v>
      </c>
      <c r="J153" s="2">
        <v>150</v>
      </c>
      <c r="K153" s="2">
        <f>[1]节奏总纲!W153</f>
        <v>2194.3749333218802</v>
      </c>
      <c r="L153" s="2">
        <f>[1]节奏总纲!X153</f>
        <v>1853.1496311903284</v>
      </c>
      <c r="M153" s="2">
        <f>[1]节奏总纲!Y153</f>
        <v>1476.1411552456448</v>
      </c>
      <c r="N153" s="2">
        <f>[1]节奏总纲!Z153</f>
        <v>1054.1331307678847</v>
      </c>
      <c r="O153" s="2">
        <f>[1]节奏总纲!AA153</f>
        <v>587.08097055709095</v>
      </c>
      <c r="Q153" s="2">
        <v>150</v>
      </c>
      <c r="R153" s="2">
        <f>[1]节奏总纲!AD153</f>
        <v>72.375871759353331</v>
      </c>
      <c r="S153" s="2">
        <f>[1]节奏总纲!AE153</f>
        <v>74.456724480300707</v>
      </c>
      <c r="T153" s="2">
        <f>[1]节奏总纲!AF153</f>
        <v>77.324097991611154</v>
      </c>
      <c r="U153" s="2">
        <f>[1]节奏总纲!AG153</f>
        <v>81.919202803497143</v>
      </c>
      <c r="V153" s="2">
        <f>[1]节奏总纲!AH153</f>
        <v>91.216133577135096</v>
      </c>
      <c r="AN153" s="2">
        <v>150</v>
      </c>
      <c r="AO153" s="2">
        <f>[1]节奏总纲!BA153</f>
        <v>40.751734485509814</v>
      </c>
      <c r="AP153" s="2">
        <f>[1]节奏总纲!BB153</f>
        <v>42.253930624755228</v>
      </c>
      <c r="AQ153" s="2">
        <f>[1]节奏总纲!BC153</f>
        <v>44.197188392263818</v>
      </c>
      <c r="AR153" s="2">
        <f>[1]节奏总纲!BD153</f>
        <v>46.946651928703787</v>
      </c>
      <c r="AS153" s="2">
        <f>[1]节奏总纲!BE153</f>
        <v>51.631666158055346</v>
      </c>
    </row>
    <row r="154" spans="2:45" x14ac:dyDescent="0.15">
      <c r="B154" s="2">
        <f>[1]节奏总纲!N154</f>
        <v>161</v>
      </c>
      <c r="C154" s="2">
        <v>151</v>
      </c>
      <c r="D154" s="2">
        <f>[1]节奏总纲!P154</f>
        <v>35118.87282038921</v>
      </c>
      <c r="E154" s="2">
        <f>[1]节奏总纲!Q154</f>
        <v>29671.935645946844</v>
      </c>
      <c r="F154" s="2">
        <f>[1]节奏总纲!R154</f>
        <v>23592.858760737468</v>
      </c>
      <c r="G154" s="2">
        <f>[1]节奏总纲!S154</f>
        <v>16804.380644556237</v>
      </c>
      <c r="H154" s="2">
        <f>[1]节奏总纲!T154</f>
        <v>9095.7880604808051</v>
      </c>
      <c r="J154" s="2">
        <v>151</v>
      </c>
      <c r="K154" s="2">
        <f>[1]节奏总纲!W154</f>
        <v>2351.8728203892097</v>
      </c>
      <c r="L154" s="2">
        <f>[1]节奏总纲!X154</f>
        <v>2000.2041459468419</v>
      </c>
      <c r="M154" s="2">
        <f>[1]节奏总纲!Y154</f>
        <v>1596.3716607374699</v>
      </c>
      <c r="N154" s="2">
        <f>[1]节奏总纲!Z154</f>
        <v>1200.7352445562356</v>
      </c>
      <c r="O154" s="2">
        <f>[1]节奏总纲!AA154</f>
        <v>740.2030604808042</v>
      </c>
      <c r="Q154" s="2">
        <v>151</v>
      </c>
      <c r="R154" s="2">
        <f>[1]节奏总纲!AD154</f>
        <v>72.470630686057078</v>
      </c>
      <c r="S154" s="2">
        <f>[1]节奏总纲!AE154</f>
        <v>74.551162350245164</v>
      </c>
      <c r="T154" s="2">
        <f>[1]节奏总纲!AF154</f>
        <v>77.417546894912917</v>
      </c>
      <c r="U154" s="2">
        <f>[1]节奏总纲!AG154</f>
        <v>82.01744549958407</v>
      </c>
      <c r="V154" s="2">
        <f>[1]节奏总纲!AH154</f>
        <v>91.318661959892353</v>
      </c>
      <c r="AN154" s="2">
        <v>151</v>
      </c>
      <c r="AO154" s="2">
        <f>[1]节奏总纲!BA154</f>
        <v>40.798353678409647</v>
      </c>
      <c r="AP154" s="2">
        <f>[1]节奏总纲!BB154</f>
        <v>42.297321568414056</v>
      </c>
      <c r="AQ154" s="2">
        <f>[1]节奏总纲!BC154</f>
        <v>44.240280802770329</v>
      </c>
      <c r="AR154" s="2">
        <f>[1]节奏总纲!BD154</f>
        <v>46.994812035750606</v>
      </c>
      <c r="AS154" s="2">
        <f>[1]节奏总纲!BE154</f>
        <v>51.677877693893038</v>
      </c>
    </row>
    <row r="155" spans="2:45" x14ac:dyDescent="0.15">
      <c r="B155" s="2">
        <f>[1]节奏总纲!N155</f>
        <v>162</v>
      </c>
      <c r="C155" s="2">
        <v>152</v>
      </c>
      <c r="D155" s="2">
        <f>[1]节奏总纲!P155</f>
        <v>37639.547696542824</v>
      </c>
      <c r="E155" s="2">
        <f>[1]节奏总纲!Q155</f>
        <v>31794.125939269725</v>
      </c>
      <c r="F155" s="2">
        <f>[1]节奏总纲!R155</f>
        <v>25425.514469014677</v>
      </c>
      <c r="G155" s="2">
        <f>[1]节奏总纲!S155</f>
        <v>18255.180632823271</v>
      </c>
      <c r="H155" s="2">
        <f>[1]节奏总纲!T155</f>
        <v>14114.830386203559</v>
      </c>
      <c r="J155" s="2">
        <v>152</v>
      </c>
      <c r="K155" s="2">
        <f>[1]节奏总纲!W155</f>
        <v>2520.6748761536146</v>
      </c>
      <c r="L155" s="2">
        <f>[1]节奏总纲!X155</f>
        <v>2122.1902933228812</v>
      </c>
      <c r="M155" s="2">
        <f>[1]节奏总纲!Y155</f>
        <v>1832.6557082772088</v>
      </c>
      <c r="N155" s="2">
        <f>[1]节奏总纲!Z155</f>
        <v>1450.7999882670338</v>
      </c>
      <c r="O155" s="2">
        <f>[1]节奏总纲!AA155</f>
        <v>5019.042325722754</v>
      </c>
      <c r="Q155" s="2">
        <v>152</v>
      </c>
      <c r="R155" s="2">
        <f>[1]节奏总纲!AD155</f>
        <v>72.565389612760825</v>
      </c>
      <c r="S155" s="2">
        <f>[1]节奏总纲!AE155</f>
        <v>74.645600220189607</v>
      </c>
      <c r="T155" s="2">
        <f>[1]节奏总纲!AF155</f>
        <v>77.51099579821468</v>
      </c>
      <c r="U155" s="2">
        <f>[1]节奏总纲!AG155</f>
        <v>82.110321933176039</v>
      </c>
      <c r="V155" s="2">
        <f>[1]节奏总纲!AH155</f>
        <v>91.421190342649595</v>
      </c>
      <c r="AN155" s="2">
        <v>152</v>
      </c>
      <c r="AO155" s="2">
        <f>[1]节奏总纲!BA155</f>
        <v>40.84497287130948</v>
      </c>
      <c r="AP155" s="2">
        <f>[1]节奏总纲!BB155</f>
        <v>42.340712512072891</v>
      </c>
      <c r="AQ155" s="2">
        <f>[1]节奏总纲!BC155</f>
        <v>44.283373213276832</v>
      </c>
      <c r="AR155" s="2">
        <f>[1]节奏总纲!BD155</f>
        <v>47.037096473408994</v>
      </c>
      <c r="AS155" s="2">
        <f>[1]节奏总纲!BE155</f>
        <v>51.72408922973073</v>
      </c>
    </row>
    <row r="156" spans="2:45" x14ac:dyDescent="0.15">
      <c r="B156" s="2">
        <f>[1]节奏总纲!N156</f>
        <v>163</v>
      </c>
      <c r="C156" s="2">
        <v>153</v>
      </c>
      <c r="D156" s="2">
        <f>[1]节奏总纲!P156</f>
        <v>40341.140136486232</v>
      </c>
      <c r="E156" s="2">
        <f>[1]节奏总纲!Q156</f>
        <v>34330.31025614978</v>
      </c>
      <c r="F156" s="2">
        <f>[1]节奏总纲!R156</f>
        <v>27552.998713220099</v>
      </c>
      <c r="G156" s="2">
        <f>[1]节奏总纲!S156</f>
        <v>24204.684081891737</v>
      </c>
      <c r="H156" s="2">
        <f>[1]节奏总纲!T156</f>
        <v>24204.684081891737</v>
      </c>
      <c r="J156" s="2">
        <v>153</v>
      </c>
      <c r="K156" s="2">
        <f>[1]节奏总纲!W156</f>
        <v>2701.592439943408</v>
      </c>
      <c r="L156" s="2">
        <f>[1]节奏总纲!X156</f>
        <v>2536.1843168800551</v>
      </c>
      <c r="M156" s="2">
        <f>[1]节奏总纲!Y156</f>
        <v>2127.4842442054214</v>
      </c>
      <c r="N156" s="2">
        <f>[1]节奏总纲!Z156</f>
        <v>5949.5034490684666</v>
      </c>
      <c r="O156" s="2">
        <f>[1]节奏总纲!AA156</f>
        <v>10089.853695688178</v>
      </c>
      <c r="Q156" s="2">
        <v>153</v>
      </c>
      <c r="R156" s="2">
        <f>[1]节奏总纲!AD156</f>
        <v>72.660148539464572</v>
      </c>
      <c r="S156" s="2">
        <f>[1]节奏总纲!AE156</f>
        <v>74.74003809013405</v>
      </c>
      <c r="T156" s="2">
        <f>[1]节奏总纲!AF156</f>
        <v>77.604444701516456</v>
      </c>
      <c r="U156" s="2">
        <f>[1]节奏总纲!AG156</f>
        <v>82.203198366767992</v>
      </c>
      <c r="V156" s="2">
        <f>[1]节奏总纲!AH156</f>
        <v>91.523718725406852</v>
      </c>
      <c r="AN156" s="2">
        <v>153</v>
      </c>
      <c r="AO156" s="2">
        <f>[1]节奏总纲!BA156</f>
        <v>40.891592064209313</v>
      </c>
      <c r="AP156" s="2">
        <f>[1]节奏总纲!BB156</f>
        <v>42.384103455731719</v>
      </c>
      <c r="AQ156" s="2">
        <f>[1]节奏总纲!BC156</f>
        <v>44.326465623783335</v>
      </c>
      <c r="AR156" s="2">
        <f>[1]节奏总纲!BD156</f>
        <v>47.078671550054786</v>
      </c>
      <c r="AS156" s="2">
        <f>[1]节奏总纲!BE156</f>
        <v>51.770300765568422</v>
      </c>
    </row>
    <row r="157" spans="2:45" x14ac:dyDescent="0.15">
      <c r="B157" s="2">
        <f>[1]节奏总纲!N157</f>
        <v>164</v>
      </c>
      <c r="C157" s="2">
        <v>154</v>
      </c>
      <c r="D157" s="2">
        <f>[1]节奏总纲!P157</f>
        <v>43236.635220206183</v>
      </c>
      <c r="E157" s="2">
        <f>[1]节奏总纲!Q157</f>
        <v>36967.323113276288</v>
      </c>
      <c r="F157" s="2">
        <f>[1]节奏总纲!R157</f>
        <v>33940.758647861854</v>
      </c>
      <c r="G157" s="2">
        <f>[1]节奏总纲!S157</f>
        <v>34156.941823962887</v>
      </c>
      <c r="H157" s="2">
        <f>[1]节奏总纲!T157</f>
        <v>34156.941823962887</v>
      </c>
      <c r="J157" s="2">
        <v>154</v>
      </c>
      <c r="K157" s="2">
        <f>[1]节奏总纲!W157</f>
        <v>2895.4950837199503</v>
      </c>
      <c r="L157" s="2">
        <f>[1]节奏总纲!X157</f>
        <v>2637.0128571265086</v>
      </c>
      <c r="M157" s="2">
        <f>[1]节奏总纲!Y157</f>
        <v>6387.7599346417555</v>
      </c>
      <c r="N157" s="2">
        <f>[1]节奏总纲!Z157</f>
        <v>9952.2577420711496</v>
      </c>
      <c r="O157" s="2">
        <f>[1]节奏总纲!AA157</f>
        <v>9952.2577420711496</v>
      </c>
      <c r="Q157" s="2">
        <v>154</v>
      </c>
      <c r="R157" s="2">
        <f>[1]节奏总纲!AD157</f>
        <v>72.754907466168333</v>
      </c>
      <c r="S157" s="2">
        <f>[1]节奏总纲!AE157</f>
        <v>74.834475960078507</v>
      </c>
      <c r="T157" s="2">
        <f>[1]节奏总纲!AF157</f>
        <v>77.697893604818219</v>
      </c>
      <c r="U157" s="2">
        <f>[1]节奏总纲!AG157</f>
        <v>82.29607480035996</v>
      </c>
      <c r="V157" s="2">
        <f>[1]节奏总纲!AH157</f>
        <v>91.626247108164094</v>
      </c>
      <c r="AN157" s="2">
        <v>154</v>
      </c>
      <c r="AO157" s="2">
        <f>[1]节奏总纲!BA157</f>
        <v>40.938211257109145</v>
      </c>
      <c r="AP157" s="2">
        <f>[1]节奏总纲!BB157</f>
        <v>42.427494399390554</v>
      </c>
      <c r="AQ157" s="2">
        <f>[1]节奏总纲!BC157</f>
        <v>44.369558034289838</v>
      </c>
      <c r="AR157" s="2">
        <f>[1]节奏总纲!BD157</f>
        <v>47.12024662670057</v>
      </c>
      <c r="AS157" s="2">
        <f>[1]节奏总纲!BE157</f>
        <v>51.816512301406114</v>
      </c>
    </row>
    <row r="158" spans="2:45" x14ac:dyDescent="0.15">
      <c r="B158" s="2">
        <f>[1]节奏总纲!N158</f>
        <v>165</v>
      </c>
      <c r="C158" s="2">
        <v>155</v>
      </c>
      <c r="D158" s="2">
        <f>[1]节奏总纲!P158</f>
        <v>46339.950011841604</v>
      </c>
      <c r="E158" s="2">
        <f>[1]节奏总纲!Q158</f>
        <v>44078.560451263736</v>
      </c>
      <c r="F158" s="2">
        <f>[1]节奏总纲!R158</f>
        <v>44402.940101346627</v>
      </c>
      <c r="G158" s="2">
        <f>[1]节奏总纲!S158</f>
        <v>44402.940101346627</v>
      </c>
      <c r="H158" s="2">
        <f>[1]节奏总纲!T158</f>
        <v>44541.959951382152</v>
      </c>
      <c r="J158" s="2">
        <v>155</v>
      </c>
      <c r="K158" s="2">
        <f>[1]节奏总纲!W158</f>
        <v>3103.314791635421</v>
      </c>
      <c r="L158" s="2">
        <f>[1]节奏总纲!X158</f>
        <v>7111.237337987448</v>
      </c>
      <c r="M158" s="2">
        <f>[1]节奏总纲!Y158</f>
        <v>10462.181453484773</v>
      </c>
      <c r="N158" s="2">
        <f>[1]节奏总纲!Z158</f>
        <v>10245.99827738374</v>
      </c>
      <c r="O158" s="2">
        <f>[1]节奏总纲!AA158</f>
        <v>10385.018127419266</v>
      </c>
      <c r="Q158" s="2">
        <v>155</v>
      </c>
      <c r="R158" s="2">
        <f>[1]节奏总纲!AD158</f>
        <v>72.849666392872081</v>
      </c>
      <c r="S158" s="2">
        <f>[1]节奏总纲!AE158</f>
        <v>74.92891383002295</v>
      </c>
      <c r="T158" s="2">
        <f>[1]节奏总纲!AF158</f>
        <v>77.791342508119982</v>
      </c>
      <c r="U158" s="2">
        <f>[1]节奏总纲!AG158</f>
        <v>82.388951233951914</v>
      </c>
      <c r="V158" s="2">
        <f>[1]节奏总纲!AH158</f>
        <v>91.72877549092135</v>
      </c>
      <c r="AN158" s="2">
        <v>155</v>
      </c>
      <c r="AO158" s="2">
        <f>[1]节奏总纲!BA158</f>
        <v>40.984830450008985</v>
      </c>
      <c r="AP158" s="2">
        <f>[1]节奏总纲!BB158</f>
        <v>42.470885343049382</v>
      </c>
      <c r="AQ158" s="2">
        <f>[1]节奏总纲!BC158</f>
        <v>44.412650444796341</v>
      </c>
      <c r="AR158" s="2">
        <f>[1]节奏总纲!BD158</f>
        <v>47.161821703346362</v>
      </c>
      <c r="AS158" s="2">
        <f>[1]节奏总纲!BE158</f>
        <v>51.862723837243806</v>
      </c>
    </row>
    <row r="159" spans="2:45" x14ac:dyDescent="0.15">
      <c r="B159" s="2">
        <f>[1]节奏总纲!N159</f>
        <v>166</v>
      </c>
      <c r="C159" s="2">
        <v>156</v>
      </c>
      <c r="D159" s="2">
        <f>[1]节奏总纲!P159</f>
        <v>49666.000451412707</v>
      </c>
      <c r="E159" s="2">
        <f>[1]节奏总纲!Q159</f>
        <v>49666.000451412707</v>
      </c>
      <c r="F159" s="2">
        <f>[1]节奏总纲!R159</f>
        <v>50162.660455926831</v>
      </c>
      <c r="G159" s="2">
        <f>[1]节奏总纲!S159</f>
        <v>50162.660455926831</v>
      </c>
      <c r="H159" s="2">
        <f>[1]节奏总纲!T159</f>
        <v>50311.658457281068</v>
      </c>
      <c r="J159" s="2">
        <v>156</v>
      </c>
      <c r="K159" s="2">
        <f>[1]节奏总纲!W159</f>
        <v>3326.0504395711032</v>
      </c>
      <c r="L159" s="2">
        <f>[1]节奏总纲!X159</f>
        <v>5587.4400001489703</v>
      </c>
      <c r="M159" s="2">
        <f>[1]节奏总纲!Y159</f>
        <v>5759.720354580204</v>
      </c>
      <c r="N159" s="2">
        <f>[1]节奏总纲!Z159</f>
        <v>5759.720354580204</v>
      </c>
      <c r="O159" s="2">
        <f>[1]节奏总纲!AA159</f>
        <v>5769.6985058989158</v>
      </c>
      <c r="Q159" s="2">
        <v>156</v>
      </c>
      <c r="R159" s="2">
        <f>[1]节奏总纲!AD159</f>
        <v>72.944425319575828</v>
      </c>
      <c r="S159" s="2">
        <f>[1]节奏总纲!AE159</f>
        <v>75.022035011469043</v>
      </c>
      <c r="T159" s="2">
        <f>[1]节奏总纲!AF159</f>
        <v>77.884791411421745</v>
      </c>
      <c r="U159" s="2">
        <f>[1]节奏总纲!AG159</f>
        <v>82.481827667543882</v>
      </c>
      <c r="V159" s="2">
        <f>[1]节奏总纲!AH159</f>
        <v>91.831303873678593</v>
      </c>
      <c r="AN159" s="2">
        <v>156</v>
      </c>
      <c r="AO159" s="2">
        <f>[1]节奏总纲!BA159</f>
        <v>41.027136894088379</v>
      </c>
      <c r="AP159" s="2">
        <f>[1]节奏总纲!BB159</f>
        <v>42.51427628670821</v>
      </c>
      <c r="AQ159" s="2">
        <f>[1]节奏总纲!BC159</f>
        <v>44.455742855302844</v>
      </c>
      <c r="AR159" s="2">
        <f>[1]节奏总纲!BD159</f>
        <v>47.203396779992147</v>
      </c>
      <c r="AS159" s="2">
        <f>[1]节奏总纲!BE159</f>
        <v>51.908935373081505</v>
      </c>
    </row>
    <row r="160" spans="2:45" x14ac:dyDescent="0.15">
      <c r="B160" s="2">
        <f>[1]节奏总纲!N160</f>
        <v>167</v>
      </c>
      <c r="C160" s="2">
        <v>157</v>
      </c>
      <c r="D160" s="2">
        <f>[1]节奏总纲!P160</f>
        <v>53230.773047602182</v>
      </c>
      <c r="E160" s="2">
        <f>[1]节奏总纲!Q160</f>
        <v>53230.773047602182</v>
      </c>
      <c r="F160" s="2">
        <f>[1]节奏总纲!R160</f>
        <v>53763.080778078205</v>
      </c>
      <c r="G160" s="2">
        <f>[1]节奏总纲!S160</f>
        <v>53763.080778078205</v>
      </c>
      <c r="H160" s="2">
        <f>[1]节奏总纲!T160</f>
        <v>53763.080778078205</v>
      </c>
      <c r="J160" s="2">
        <v>157</v>
      </c>
      <c r="K160" s="2">
        <f>[1]节奏总纲!W160</f>
        <v>3564.7725961894757</v>
      </c>
      <c r="L160" s="2">
        <f>[1]节奏总纲!X160</f>
        <v>3564.7725961894757</v>
      </c>
      <c r="M160" s="2">
        <f>[1]节奏总纲!Y160</f>
        <v>3600.4203221513744</v>
      </c>
      <c r="N160" s="2">
        <f>[1]节奏总纲!Z160</f>
        <v>3600.4203221513744</v>
      </c>
      <c r="O160" s="2">
        <f>[1]节奏总纲!AA160</f>
        <v>3451.4223207971372</v>
      </c>
      <c r="Q160" s="2">
        <v>157</v>
      </c>
      <c r="R160" s="2">
        <f>[1]节奏总纲!AD160</f>
        <v>73.036560194527354</v>
      </c>
      <c r="S160" s="2">
        <f>[1]节奏总纲!AE160</f>
        <v>75.111147990406067</v>
      </c>
      <c r="T160" s="2">
        <f>[1]节奏总纲!AF160</f>
        <v>77.978240314723507</v>
      </c>
      <c r="U160" s="2">
        <f>[1]节奏总纲!AG160</f>
        <v>82.574704101135836</v>
      </c>
      <c r="V160" s="2">
        <f>[1]节奏总纲!AH160</f>
        <v>91.933832256435849</v>
      </c>
      <c r="AN160" s="2">
        <v>157</v>
      </c>
      <c r="AO160" s="2">
        <f>[1]节奏总纲!BA160</f>
        <v>41.067363109180121</v>
      </c>
      <c r="AP160" s="2">
        <f>[1]节奏总纲!BB160</f>
        <v>42.557667230367045</v>
      </c>
      <c r="AQ160" s="2">
        <f>[1]节奏总纲!BC160</f>
        <v>44.498835265809355</v>
      </c>
      <c r="AR160" s="2">
        <f>[1]节奏总纲!BD160</f>
        <v>47.244971856637939</v>
      </c>
      <c r="AS160" s="2">
        <f>[1]节奏总纲!BE160</f>
        <v>51.955146908919197</v>
      </c>
    </row>
    <row r="161" spans="2:45" x14ac:dyDescent="0.15">
      <c r="B161" s="2">
        <f>[1]节奏总纲!N161</f>
        <v>168</v>
      </c>
      <c r="C161" s="2">
        <v>158</v>
      </c>
      <c r="D161" s="2">
        <f>[1]节奏总纲!P161</f>
        <v>57051.401716174769</v>
      </c>
      <c r="E161" s="2">
        <f>[1]节奏总纲!Q161</f>
        <v>57051.401716174769</v>
      </c>
      <c r="F161" s="2">
        <f>[1]节奏总纲!R161</f>
        <v>57621.915733336515</v>
      </c>
      <c r="G161" s="2">
        <f>[1]节奏总纲!S161</f>
        <v>57621.915733336515</v>
      </c>
      <c r="H161" s="2">
        <f>[1]节奏总纲!T161</f>
        <v>57621.915733336515</v>
      </c>
      <c r="J161" s="2">
        <v>158</v>
      </c>
      <c r="K161" s="2">
        <f>[1]节奏总纲!W161</f>
        <v>3820.6286685725863</v>
      </c>
      <c r="L161" s="2">
        <f>[1]节奏总纲!X161</f>
        <v>3820.6286685725863</v>
      </c>
      <c r="M161" s="2">
        <f>[1]节奏总纲!Y161</f>
        <v>3858.8349552583095</v>
      </c>
      <c r="N161" s="2">
        <f>[1]节奏总纲!Z161</f>
        <v>3858.8349552583095</v>
      </c>
      <c r="O161" s="2">
        <f>[1]节奏总纲!AA161</f>
        <v>3858.8349552583095</v>
      </c>
      <c r="Q161" s="2">
        <v>158</v>
      </c>
      <c r="R161" s="2">
        <f>[1]节奏总纲!AD161</f>
        <v>73.124973399384572</v>
      </c>
      <c r="S161" s="2">
        <f>[1]节奏总纲!AE161</f>
        <v>75.200260969343077</v>
      </c>
      <c r="T161" s="2">
        <f>[1]节奏总纲!AF161</f>
        <v>78.066694029528094</v>
      </c>
      <c r="U161" s="2">
        <f>[1]节奏总纲!AG161</f>
        <v>82.667580534727804</v>
      </c>
      <c r="V161" s="2">
        <f>[1]节奏总纲!AH161</f>
        <v>92.033129415212969</v>
      </c>
      <c r="AN161" s="2">
        <v>158</v>
      </c>
      <c r="AO161" s="2">
        <f>[1]节奏总纲!BA161</f>
        <v>41.107589324271871</v>
      </c>
      <c r="AP161" s="2">
        <f>[1]节奏总纲!BB161</f>
        <v>42.601058174025873</v>
      </c>
      <c r="AQ161" s="2">
        <f>[1]节奏总纲!BC161</f>
        <v>44.541927676315858</v>
      </c>
      <c r="AR161" s="2">
        <f>[1]节奏总纲!BD161</f>
        <v>47.286546933283724</v>
      </c>
      <c r="AS161" s="2">
        <f>[1]节奏总纲!BE161</f>
        <v>52.001173105835825</v>
      </c>
    </row>
    <row r="162" spans="2:45" x14ac:dyDescent="0.15">
      <c r="B162" s="2">
        <f>[1]节奏总纲!N162</f>
        <v>169</v>
      </c>
      <c r="C162" s="2">
        <v>159</v>
      </c>
      <c r="D162" s="2">
        <f>[1]节奏总纲!P162</f>
        <v>61146.25013335624</v>
      </c>
      <c r="E162" s="2">
        <f>[1]节奏总纲!Q162</f>
        <v>61146.25013335624</v>
      </c>
      <c r="F162" s="2">
        <f>[1]节奏总纲!R162</f>
        <v>61757.7126346898</v>
      </c>
      <c r="G162" s="2">
        <f>[1]节奏总纲!S162</f>
        <v>61757.7126346898</v>
      </c>
      <c r="H162" s="2">
        <f>[1]节奏总纲!T162</f>
        <v>61757.7126346898</v>
      </c>
      <c r="J162" s="2">
        <v>159</v>
      </c>
      <c r="K162" s="2">
        <f>[1]节奏总纲!W162</f>
        <v>4094.8484171814707</v>
      </c>
      <c r="L162" s="2">
        <f>[1]节奏总纲!X162</f>
        <v>4094.8484171814707</v>
      </c>
      <c r="M162" s="2">
        <f>[1]节奏总纲!Y162</f>
        <v>4135.7969013532856</v>
      </c>
      <c r="N162" s="2">
        <f>[1]节奏总纲!Z162</f>
        <v>4135.7969013532856</v>
      </c>
      <c r="O162" s="2">
        <f>[1]节奏总纲!AA162</f>
        <v>4135.7969013532856</v>
      </c>
      <c r="Q162" s="2">
        <v>159</v>
      </c>
      <c r="R162" s="2">
        <f>[1]节奏总纲!AD162</f>
        <v>73.213386604241791</v>
      </c>
      <c r="S162" s="2">
        <f>[1]节奏总纲!AE162</f>
        <v>75.289373948280101</v>
      </c>
      <c r="T162" s="2">
        <f>[1]节奏总纲!AF162</f>
        <v>78.153631564737054</v>
      </c>
      <c r="U162" s="2">
        <f>[1]节奏总纲!AG162</f>
        <v>82.760456968319758</v>
      </c>
      <c r="V162" s="2">
        <f>[1]节奏总纲!AH162</f>
        <v>92.126546512350387</v>
      </c>
      <c r="AN162" s="2">
        <v>159</v>
      </c>
      <c r="AO162" s="2">
        <f>[1]节奏总纲!BA162</f>
        <v>41.147815539363613</v>
      </c>
      <c r="AP162" s="2">
        <f>[1]节奏总纲!BB162</f>
        <v>42.644449117684701</v>
      </c>
      <c r="AQ162" s="2">
        <f>[1]节奏总纲!BC162</f>
        <v>44.585020086822361</v>
      </c>
      <c r="AR162" s="2">
        <f>[1]节奏总纲!BD162</f>
        <v>47.328122009929508</v>
      </c>
      <c r="AS162" s="2">
        <f>[1]节奏总纲!BE162</f>
        <v>52.041079787427918</v>
      </c>
    </row>
    <row r="163" spans="2:45" x14ac:dyDescent="0.15">
      <c r="B163" s="2">
        <f>[1]节奏总纲!N163</f>
        <v>170</v>
      </c>
      <c r="C163" s="2">
        <v>160</v>
      </c>
      <c r="D163" s="2">
        <f>[1]节奏总纲!P163</f>
        <v>65535</v>
      </c>
      <c r="E163" s="2">
        <f>[1]节奏总纲!Q163</f>
        <v>65535</v>
      </c>
      <c r="F163" s="2">
        <f>[1]节奏总纲!R163</f>
        <v>66190.350000000006</v>
      </c>
      <c r="G163" s="2">
        <f>[1]节奏总纲!S163</f>
        <v>66190.350000000006</v>
      </c>
      <c r="H163" s="2">
        <f>[1]节奏总纲!T163</f>
        <v>66190.350000000006</v>
      </c>
      <c r="J163" s="2">
        <v>160</v>
      </c>
      <c r="K163" s="2">
        <f>[1]节奏总纲!W163</f>
        <v>4388.7498666437605</v>
      </c>
      <c r="L163" s="2">
        <f>[1]节奏总纲!X163</f>
        <v>4388.7498666437605</v>
      </c>
      <c r="M163" s="2">
        <f>[1]节奏总纲!Y163</f>
        <v>4432.6373653102055</v>
      </c>
      <c r="N163" s="2">
        <f>[1]节奏总纲!Z163</f>
        <v>4432.6373653102055</v>
      </c>
      <c r="O163" s="2">
        <f>[1]节奏总纲!AA163</f>
        <v>4432.6373653102055</v>
      </c>
      <c r="Q163" s="2">
        <v>160</v>
      </c>
      <c r="R163" s="2">
        <f>[1]节奏总纲!AD163</f>
        <v>73.301799809099009</v>
      </c>
      <c r="S163" s="2">
        <f>[1]节奏总纲!AE163</f>
        <v>75.378486927217125</v>
      </c>
      <c r="T163" s="2">
        <f>[1]节奏总纲!AF163</f>
        <v>78.240569099946029</v>
      </c>
      <c r="U163" s="2">
        <f>[1]节奏总纲!AG163</f>
        <v>82.853333401911726</v>
      </c>
      <c r="V163" s="2">
        <f>[1]节奏总纲!AH163</f>
        <v>92.219963609487792</v>
      </c>
      <c r="AN163" s="2">
        <v>160</v>
      </c>
      <c r="AO163" s="2">
        <f>[1]节奏总纲!BA163</f>
        <v>41.188041754455355</v>
      </c>
      <c r="AP163" s="2">
        <f>[1]节奏总纲!BB163</f>
        <v>42.687840061343536</v>
      </c>
      <c r="AQ163" s="2">
        <f>[1]节奏总纲!BC163</f>
        <v>44.628112497328864</v>
      </c>
      <c r="AR163" s="2">
        <f>[1]节奏总纲!BD163</f>
        <v>47.3696970865753</v>
      </c>
      <c r="AS163" s="2">
        <f>[1]节奏总纲!BE163</f>
        <v>52.080986469020011</v>
      </c>
    </row>
    <row r="164" spans="2:45" x14ac:dyDescent="0.15">
      <c r="Q164" s="2">
        <v>161</v>
      </c>
      <c r="R164" s="2">
        <f>[1]节奏总纲!AD164</f>
        <v>73.390213013956213</v>
      </c>
      <c r="S164" s="2">
        <f>[1]节奏总纲!AE164</f>
        <v>75.467599906154135</v>
      </c>
      <c r="T164" s="2">
        <f>[1]节奏总纲!AF164</f>
        <v>78.32750663515499</v>
      </c>
      <c r="U164" s="2">
        <f>[1]节奏总纲!AG164</f>
        <v>82.94620983550368</v>
      </c>
      <c r="V164" s="2">
        <f>[1]节奏总纲!AH164</f>
        <v>92.313380706625196</v>
      </c>
      <c r="AN164" s="2">
        <v>161</v>
      </c>
      <c r="AO164" s="2">
        <f>[1]节奏总纲!BA164</f>
        <v>41.228267969547105</v>
      </c>
      <c r="AP164" s="2">
        <f>[1]节奏总纲!BB164</f>
        <v>42.731231005002364</v>
      </c>
      <c r="AQ164" s="2">
        <f>[1]节奏总纲!BC164</f>
        <v>44.671204907835367</v>
      </c>
      <c r="AR164" s="2">
        <f>[1]节奏总纲!BD164</f>
        <v>47.411272163221085</v>
      </c>
      <c r="AS164" s="2">
        <f>[1]节奏总纲!BE164</f>
        <v>52.120893150612112</v>
      </c>
    </row>
    <row r="165" spans="2:45" x14ac:dyDescent="0.15">
      <c r="Q165" s="2">
        <v>162</v>
      </c>
      <c r="R165" s="2">
        <f>[1]节奏总纲!AD165</f>
        <v>73.478626218813432</v>
      </c>
      <c r="S165" s="2">
        <f>[1]节奏总纲!AE165</f>
        <v>75.556712885091159</v>
      </c>
      <c r="T165" s="2">
        <f>[1]节奏总纲!AF165</f>
        <v>78.414444170363964</v>
      </c>
      <c r="U165" s="2">
        <f>[1]节奏总纲!AG165</f>
        <v>83.036921590135321</v>
      </c>
      <c r="V165" s="2">
        <f>[1]节奏总纲!AH165</f>
        <v>92.406797803762601</v>
      </c>
      <c r="AN165" s="2">
        <v>162</v>
      </c>
      <c r="AO165" s="2">
        <f>[1]节奏总纲!BA165</f>
        <v>41.268494184638847</v>
      </c>
      <c r="AP165" s="2">
        <f>[1]节奏总纲!BB165</f>
        <v>42.774621948661192</v>
      </c>
      <c r="AQ165" s="2">
        <f>[1]节奏总纲!BC165</f>
        <v>44.714297318341877</v>
      </c>
      <c r="AR165" s="2">
        <f>[1]节奏总纲!BD165</f>
        <v>47.452847239866877</v>
      </c>
      <c r="AS165" s="2">
        <f>[1]节奏总纲!BE165</f>
        <v>52.160799832204205</v>
      </c>
    </row>
    <row r="166" spans="2:45" x14ac:dyDescent="0.15">
      <c r="Q166" s="2">
        <v>163</v>
      </c>
      <c r="R166" s="2">
        <f>[1]节奏总纲!AD166</f>
        <v>73.56703942367065</v>
      </c>
      <c r="S166" s="2">
        <f>[1]节奏总纲!AE166</f>
        <v>75.645825864028183</v>
      </c>
      <c r="T166" s="2">
        <f>[1]节奏总纲!AF166</f>
        <v>78.501381705572925</v>
      </c>
      <c r="U166" s="2">
        <f>[1]节奏总纲!AG166</f>
        <v>83.124654333465756</v>
      </c>
      <c r="V166" s="2">
        <f>[1]节奏总纲!AH166</f>
        <v>92.500214900900005</v>
      </c>
      <c r="AN166" s="2">
        <v>163</v>
      </c>
      <c r="AO166" s="2">
        <f>[1]节奏总纲!BA166</f>
        <v>41.308720399730589</v>
      </c>
      <c r="AP166" s="2">
        <f>[1]节奏总纲!BB166</f>
        <v>42.818012892320027</v>
      </c>
      <c r="AQ166" s="2">
        <f>[1]节奏总纲!BC166</f>
        <v>44.757389728848381</v>
      </c>
      <c r="AR166" s="2">
        <f>[1]节奏总纲!BD166</f>
        <v>47.494422316512662</v>
      </c>
      <c r="AS166" s="2">
        <f>[1]节奏总纲!BE166</f>
        <v>52.200706513796298</v>
      </c>
    </row>
    <row r="167" spans="2:45" x14ac:dyDescent="0.15">
      <c r="Q167" s="2">
        <v>164</v>
      </c>
      <c r="R167" s="2">
        <f>[1]节奏总纲!AD167</f>
        <v>73.655452628527868</v>
      </c>
      <c r="S167" s="2">
        <f>[1]节奏总纲!AE167</f>
        <v>75.734938842965192</v>
      </c>
      <c r="T167" s="2">
        <f>[1]节奏总纲!AF167</f>
        <v>78.5883192407819</v>
      </c>
      <c r="U167" s="2">
        <f>[1]节奏总纲!AG167</f>
        <v>83.21238707679619</v>
      </c>
      <c r="V167" s="2">
        <f>[1]节奏总纲!AH167</f>
        <v>92.593631998037409</v>
      </c>
      <c r="AN167" s="2">
        <v>164</v>
      </c>
      <c r="AO167" s="2">
        <f>[1]节奏总纲!BA167</f>
        <v>41.348946614822331</v>
      </c>
      <c r="AP167" s="2">
        <f>[1]节奏总纲!BB167</f>
        <v>42.861403835978855</v>
      </c>
      <c r="AQ167" s="2">
        <f>[1]节奏总纲!BC167</f>
        <v>44.800482139354884</v>
      </c>
      <c r="AR167" s="2">
        <f>[1]节奏总纲!BD167</f>
        <v>47.535997393158453</v>
      </c>
      <c r="AS167" s="2">
        <f>[1]节奏总纲!BE167</f>
        <v>52.240613195388391</v>
      </c>
    </row>
    <row r="168" spans="2:45" x14ac:dyDescent="0.15">
      <c r="Q168" s="2">
        <v>165</v>
      </c>
      <c r="R168" s="2">
        <f>[1]节奏总纲!AD168</f>
        <v>73.743865833385087</v>
      </c>
      <c r="S168" s="2">
        <f>[1]节奏总纲!AE168</f>
        <v>75.824051821902216</v>
      </c>
      <c r="T168" s="2">
        <f>[1]节奏总纲!AF168</f>
        <v>78.67525677599086</v>
      </c>
      <c r="U168" s="2">
        <f>[1]节奏总纲!AG168</f>
        <v>83.300119820126625</v>
      </c>
      <c r="V168" s="2">
        <f>[1]节奏总纲!AH168</f>
        <v>92.687049095174814</v>
      </c>
      <c r="AN168" s="2">
        <v>165</v>
      </c>
      <c r="AO168" s="2">
        <f>[1]节奏总纲!BA168</f>
        <v>41.389172829914081</v>
      </c>
      <c r="AP168" s="2">
        <f>[1]节奏总纲!BB168</f>
        <v>42.904794779637683</v>
      </c>
      <c r="AQ168" s="2">
        <f>[1]节奏总纲!BC168</f>
        <v>44.843574549861387</v>
      </c>
      <c r="AR168" s="2">
        <f>[1]节奏总纲!BD168</f>
        <v>47.577572469804238</v>
      </c>
      <c r="AS168" s="2">
        <f>[1]节奏总纲!BE168</f>
        <v>52.280519876980485</v>
      </c>
    </row>
    <row r="169" spans="2:45" x14ac:dyDescent="0.15">
      <c r="Q169" s="2">
        <v>166</v>
      </c>
      <c r="R169" s="2">
        <f>[1]节奏总纲!AD169</f>
        <v>73.832279038242305</v>
      </c>
      <c r="S169" s="2">
        <f>[1]节奏总纲!AE169</f>
        <v>75.91316480083924</v>
      </c>
      <c r="T169" s="2">
        <f>[1]节奏总纲!AF169</f>
        <v>78.762194311199835</v>
      </c>
      <c r="U169" s="2">
        <f>[1]节奏总纲!AG169</f>
        <v>83.387852563457059</v>
      </c>
      <c r="V169" s="2">
        <f>[1]节奏总纲!AH169</f>
        <v>92.780466192312218</v>
      </c>
      <c r="AN169" s="2">
        <v>166</v>
      </c>
      <c r="AO169" s="2">
        <f>[1]节奏总纲!BA169</f>
        <v>41.429399045005823</v>
      </c>
      <c r="AP169" s="2">
        <f>[1]节奏总纲!BB169</f>
        <v>42.948185723296518</v>
      </c>
      <c r="AQ169" s="2">
        <f>[1]节奏总纲!BC169</f>
        <v>44.88666696036789</v>
      </c>
      <c r="AR169" s="2">
        <f>[1]节奏总纲!BD169</f>
        <v>47.619147546450023</v>
      </c>
      <c r="AS169" s="2">
        <f>[1]节奏总纲!BE169</f>
        <v>52.320426558572585</v>
      </c>
    </row>
    <row r="170" spans="2:45" x14ac:dyDescent="0.15">
      <c r="Q170" s="2">
        <v>167</v>
      </c>
      <c r="R170" s="2">
        <f>[1]节奏总纲!AD170</f>
        <v>73.920692243099523</v>
      </c>
      <c r="S170" s="2">
        <f>[1]节奏总纲!AE170</f>
        <v>76.002103770254962</v>
      </c>
      <c r="T170" s="2">
        <f>[1]节奏总纲!AF170</f>
        <v>78.849131846408795</v>
      </c>
      <c r="U170" s="2">
        <f>[1]节奏总纲!AG170</f>
        <v>83.475585306787494</v>
      </c>
      <c r="V170" s="2">
        <f>[1]节奏总纲!AH170</f>
        <v>92.873883289449623</v>
      </c>
      <c r="AN170" s="2">
        <v>167</v>
      </c>
      <c r="AO170" s="2">
        <f>[1]节奏总纲!BA170</f>
        <v>41.469625260097565</v>
      </c>
      <c r="AP170" s="2">
        <f>[1]节奏总纲!BB170</f>
        <v>42.991576666955346</v>
      </c>
      <c r="AQ170" s="2">
        <f>[1]节奏总纲!BC170</f>
        <v>44.9297593708744</v>
      </c>
      <c r="AR170" s="2">
        <f>[1]节奏总纲!BD170</f>
        <v>47.660722623095815</v>
      </c>
      <c r="AS170" s="2">
        <f>[1]节奏总纲!BE170</f>
        <v>52.360333240164678</v>
      </c>
    </row>
    <row r="171" spans="2:45" x14ac:dyDescent="0.15">
      <c r="Q171" s="2">
        <v>168</v>
      </c>
      <c r="R171" s="2">
        <f>[1]节奏总纲!AD171</f>
        <v>74.008495683346354</v>
      </c>
      <c r="S171" s="2">
        <f>[1]节奏总纲!AE171</f>
        <v>76.084409020469636</v>
      </c>
      <c r="T171" s="2">
        <f>[1]节奏总纲!AF171</f>
        <v>78.93606938161777</v>
      </c>
      <c r="U171" s="2">
        <f>[1]节奏总纲!AG171</f>
        <v>83.563318050117928</v>
      </c>
      <c r="V171" s="2">
        <f>[1]节奏总纲!AH171</f>
        <v>92.967300386587027</v>
      </c>
      <c r="AN171" s="2">
        <v>168</v>
      </c>
      <c r="AO171" s="2">
        <f>[1]节奏总纲!BA171</f>
        <v>41.509851475189308</v>
      </c>
      <c r="AP171" s="2">
        <f>[1]节奏总纲!BB171</f>
        <v>43.030177309109042</v>
      </c>
      <c r="AQ171" s="2">
        <f>[1]节奏总纲!BC171</f>
        <v>44.972851781380903</v>
      </c>
      <c r="AR171" s="2">
        <f>[1]节奏总纲!BD171</f>
        <v>47.7022976997416</v>
      </c>
      <c r="AS171" s="2">
        <f>[1]节奏总纲!BE171</f>
        <v>52.400239921756771</v>
      </c>
    </row>
    <row r="172" spans="2:45" x14ac:dyDescent="0.15">
      <c r="Q172" s="2">
        <v>169</v>
      </c>
      <c r="R172" s="2">
        <f>[1]节奏总纲!AD172</f>
        <v>74.090988120365651</v>
      </c>
      <c r="S172" s="2">
        <f>[1]节奏总纲!AE172</f>
        <v>76.166714270684309</v>
      </c>
      <c r="T172" s="2">
        <f>[1]节奏总纲!AF172</f>
        <v>79.022812309215297</v>
      </c>
      <c r="U172" s="2">
        <f>[1]节奏总纲!AG172</f>
        <v>83.651050793448363</v>
      </c>
      <c r="V172" s="2">
        <f>[1]节奏总纲!AH172</f>
        <v>93.057555567360481</v>
      </c>
      <c r="AN172" s="2">
        <v>169</v>
      </c>
      <c r="AO172" s="2">
        <f>[1]节奏总纲!BA172</f>
        <v>41.550077690281057</v>
      </c>
      <c r="AP172" s="2">
        <f>[1]节奏总纲!BB172</f>
        <v>43.067624017543686</v>
      </c>
      <c r="AQ172" s="2">
        <f>[1]节奏总纲!BC172</f>
        <v>45.013762077986961</v>
      </c>
      <c r="AR172" s="2">
        <f>[1]节奏总纲!BD172</f>
        <v>47.743872776387391</v>
      </c>
      <c r="AS172" s="2">
        <f>[1]节奏总纲!BE172</f>
        <v>52.440146603348865</v>
      </c>
    </row>
    <row r="173" spans="2:45" x14ac:dyDescent="0.15">
      <c r="Q173" s="2">
        <v>170</v>
      </c>
      <c r="R173" s="2">
        <f>[1]节奏总纲!AD173</f>
        <v>74.173480557384934</v>
      </c>
      <c r="S173" s="2">
        <f>[1]节奏总纲!AE173</f>
        <v>76.249019520898997</v>
      </c>
      <c r="T173" s="2">
        <f>[1]节奏总纲!AF173</f>
        <v>79.109014469658547</v>
      </c>
      <c r="U173" s="2">
        <f>[1]节奏总纲!AG173</f>
        <v>83.738783536778797</v>
      </c>
      <c r="V173" s="2">
        <f>[1]节奏总纲!AH173</f>
        <v>93.146107887007233</v>
      </c>
      <c r="AN173" s="2">
        <v>170</v>
      </c>
      <c r="AO173" s="2">
        <f>[1]节奏总纲!BA173</f>
        <v>41.590303905372799</v>
      </c>
      <c r="AP173" s="2">
        <f>[1]节奏总纲!BB173</f>
        <v>43.105070725978337</v>
      </c>
      <c r="AQ173" s="2">
        <f>[1]节奏总纲!BC173</f>
        <v>45.050956883357138</v>
      </c>
      <c r="AR173" s="2">
        <f>[1]节奏总纲!BD173</f>
        <v>47.785447853033176</v>
      </c>
      <c r="AS173" s="2">
        <f>[1]节奏总纲!BE173</f>
        <v>52.480053284940965</v>
      </c>
    </row>
    <row r="174" spans="2:45" x14ac:dyDescent="0.15">
      <c r="Q174" s="2">
        <v>171</v>
      </c>
      <c r="R174" s="2">
        <f>[1]节奏总纲!AD174</f>
        <v>74.255972994404218</v>
      </c>
      <c r="S174" s="2">
        <f>[1]节奏总纲!AE174</f>
        <v>76.331324771113671</v>
      </c>
      <c r="T174" s="2">
        <f>[1]节奏总纲!AF174</f>
        <v>79.195216630101797</v>
      </c>
      <c r="U174" s="2">
        <f>[1]节奏总纲!AG174</f>
        <v>83.826516280109232</v>
      </c>
      <c r="V174" s="2">
        <f>[1]节奏总纲!AH174</f>
        <v>93.23466020665397</v>
      </c>
      <c r="AN174" s="2">
        <v>171</v>
      </c>
      <c r="AO174" s="2">
        <f>[1]节奏总纲!BA174</f>
        <v>41.630530120464542</v>
      </c>
      <c r="AP174" s="2">
        <f>[1]节奏总纲!BB174</f>
        <v>43.14251743441298</v>
      </c>
      <c r="AQ174" s="2">
        <f>[1]节奏总纲!BC174</f>
        <v>45.088151688727308</v>
      </c>
      <c r="AR174" s="2">
        <f>[1]节奏总纲!BD174</f>
        <v>47.827022929678968</v>
      </c>
      <c r="AS174" s="2">
        <f>[1]节奏总纲!BE174</f>
        <v>52.519959966533058</v>
      </c>
    </row>
    <row r="175" spans="2:45" x14ac:dyDescent="0.15">
      <c r="Q175" s="2">
        <v>172</v>
      </c>
      <c r="R175" s="2">
        <f>[1]节奏总纲!AD175</f>
        <v>74.338465431423501</v>
      </c>
      <c r="S175" s="2">
        <f>[1]节奏总纲!AE175</f>
        <v>76.413630021328345</v>
      </c>
      <c r="T175" s="2">
        <f>[1]节奏总纲!AF175</f>
        <v>79.281418790545047</v>
      </c>
      <c r="U175" s="2">
        <f>[1]节奏总纲!AG175</f>
        <v>83.914249023439666</v>
      </c>
      <c r="V175" s="2">
        <f>[1]节奏总纲!AH175</f>
        <v>93.323212526300722</v>
      </c>
      <c r="AN175" s="2">
        <v>172</v>
      </c>
      <c r="AO175" s="2">
        <f>[1]节奏总纲!BA175</f>
        <v>41.670756335556291</v>
      </c>
      <c r="AP175" s="2">
        <f>[1]节奏总纲!BB175</f>
        <v>43.179964142847631</v>
      </c>
      <c r="AQ175" s="2">
        <f>[1]节奏总纲!BC175</f>
        <v>45.125346494097485</v>
      </c>
      <c r="AR175" s="2">
        <f>[1]节奏总纲!BD175</f>
        <v>47.868598006324753</v>
      </c>
      <c r="AS175" s="2">
        <f>[1]节奏总纲!BE175</f>
        <v>52.559866648125151</v>
      </c>
    </row>
    <row r="176" spans="2:45" x14ac:dyDescent="0.15">
      <c r="Q176" s="2">
        <v>173</v>
      </c>
      <c r="R176" s="2">
        <f>[1]节奏总纲!AD176</f>
        <v>74.420957868442784</v>
      </c>
      <c r="S176" s="2">
        <f>[1]节奏总纲!AE176</f>
        <v>76.495935271543019</v>
      </c>
      <c r="T176" s="2">
        <f>[1]节奏总纲!AF176</f>
        <v>79.367620950988297</v>
      </c>
      <c r="U176" s="2">
        <f>[1]节奏总纲!AG176</f>
        <v>84.00179325525086</v>
      </c>
      <c r="V176" s="2">
        <f>[1]节奏总纲!AH176</f>
        <v>93.411764845947459</v>
      </c>
      <c r="AN176" s="2">
        <v>173</v>
      </c>
      <c r="AO176" s="2">
        <f>[1]节奏总纲!BA176</f>
        <v>41.710982550648033</v>
      </c>
      <c r="AP176" s="2">
        <f>[1]节奏总纲!BB176</f>
        <v>43.217410851282274</v>
      </c>
      <c r="AQ176" s="2">
        <f>[1]节奏总纲!BC176</f>
        <v>45.162541299467655</v>
      </c>
      <c r="AR176" s="2">
        <f>[1]节奏总纲!BD176</f>
        <v>47.910173082970537</v>
      </c>
      <c r="AS176" s="2">
        <f>[1]节奏总纲!BE176</f>
        <v>52.599773329717245</v>
      </c>
    </row>
    <row r="177" spans="17:45" x14ac:dyDescent="0.15">
      <c r="Q177" s="2">
        <v>174</v>
      </c>
      <c r="R177" s="2">
        <f>[1]节奏总纲!AD177</f>
        <v>74.503450305462081</v>
      </c>
      <c r="S177" s="2">
        <f>[1]节奏总纲!AE177</f>
        <v>76.578240521757706</v>
      </c>
      <c r="T177" s="2">
        <f>[1]节奏总纲!AF177</f>
        <v>79.453823111431561</v>
      </c>
      <c r="U177" s="2">
        <f>[1]节奏总纲!AG177</f>
        <v>84.08118060043364</v>
      </c>
      <c r="V177" s="2">
        <f>[1]节奏总纲!AH177</f>
        <v>93.500317165594211</v>
      </c>
      <c r="AN177" s="2">
        <v>174</v>
      </c>
      <c r="AO177" s="2">
        <f>[1]节奏总纲!BA177</f>
        <v>41.751208765739776</v>
      </c>
      <c r="AP177" s="2">
        <f>[1]节奏总纲!BB177</f>
        <v>43.254857559716925</v>
      </c>
      <c r="AQ177" s="2">
        <f>[1]节奏总纲!BC177</f>
        <v>45.199736104837832</v>
      </c>
      <c r="AR177" s="2">
        <f>[1]节奏总纲!BD177</f>
        <v>47.951748159616329</v>
      </c>
      <c r="AS177" s="2">
        <f>[1]节奏总纲!BE177</f>
        <v>52.639680011309345</v>
      </c>
    </row>
    <row r="178" spans="17:45" x14ac:dyDescent="0.15">
      <c r="Q178" s="2">
        <v>175</v>
      </c>
      <c r="R178" s="2">
        <f>[1]节奏总纲!AD178</f>
        <v>74.585942742481365</v>
      </c>
      <c r="S178" s="2">
        <f>[1]节奏总纲!AE178</f>
        <v>76.66054577197238</v>
      </c>
      <c r="T178" s="2">
        <f>[1]节奏总纲!AF178</f>
        <v>79.540025271874811</v>
      </c>
      <c r="U178" s="2">
        <f>[1]节奏总纲!AG178</f>
        <v>84.160567945616407</v>
      </c>
      <c r="V178" s="2">
        <f>[1]节奏总纲!AH178</f>
        <v>93.588869485240949</v>
      </c>
      <c r="AN178" s="2">
        <v>175</v>
      </c>
      <c r="AO178" s="2">
        <f>[1]节奏总纲!BA178</f>
        <v>41.791434980831518</v>
      </c>
      <c r="AP178" s="2">
        <f>[1]节奏总纲!BB178</f>
        <v>43.292304268151575</v>
      </c>
      <c r="AQ178" s="2">
        <f>[1]节奏总纲!BC178</f>
        <v>45.236930910208002</v>
      </c>
      <c r="AR178" s="2">
        <f>[1]节奏总纲!BD178</f>
        <v>47.993323236262114</v>
      </c>
      <c r="AS178" s="2">
        <f>[1]节奏总纲!BE178</f>
        <v>52.679586692901438</v>
      </c>
    </row>
    <row r="179" spans="17:45" x14ac:dyDescent="0.15">
      <c r="Q179" s="2">
        <v>176</v>
      </c>
      <c r="R179" s="2">
        <f>[1]节奏总纲!AD179</f>
        <v>74.668435179500648</v>
      </c>
      <c r="S179" s="2">
        <f>[1]节奏总纲!AE179</f>
        <v>76.742851022187054</v>
      </c>
      <c r="T179" s="2">
        <f>[1]节奏总纲!AF179</f>
        <v>79.626227432318061</v>
      </c>
      <c r="U179" s="2">
        <f>[1]节奏总纲!AG179</f>
        <v>84.239955290799188</v>
      </c>
      <c r="V179" s="2">
        <f>[1]节奏总纲!AH179</f>
        <v>93.6774218048877</v>
      </c>
      <c r="AN179" s="2">
        <v>176</v>
      </c>
      <c r="AO179" s="2">
        <f>[1]节奏总纲!BA179</f>
        <v>41.831661195923267</v>
      </c>
      <c r="AP179" s="2">
        <f>[1]节奏总纲!BB179</f>
        <v>43.329750976586219</v>
      </c>
      <c r="AQ179" s="2">
        <f>[1]节奏总纲!BC179</f>
        <v>45.274125715578172</v>
      </c>
      <c r="AR179" s="2">
        <f>[1]节奏总纲!BD179</f>
        <v>48.030128751164234</v>
      </c>
      <c r="AS179" s="2">
        <f>[1]节奏总纲!BE179</f>
        <v>52.719493374493531</v>
      </c>
    </row>
    <row r="180" spans="17:45" x14ac:dyDescent="0.15">
      <c r="Q180" s="2">
        <v>177</v>
      </c>
      <c r="R180" s="2">
        <f>[1]节奏总纲!AD180</f>
        <v>74.750927616519931</v>
      </c>
      <c r="S180" s="2">
        <f>[1]节奏总纲!AE180</f>
        <v>76.825156272401728</v>
      </c>
      <c r="T180" s="2">
        <f>[1]节奏总纲!AF180</f>
        <v>79.71242959276131</v>
      </c>
      <c r="U180" s="2">
        <f>[1]节奏总纲!AG180</f>
        <v>84.319342635981968</v>
      </c>
      <c r="V180" s="2">
        <f>[1]节奏总纲!AH180</f>
        <v>93.765974124534438</v>
      </c>
      <c r="AN180" s="2">
        <v>177</v>
      </c>
      <c r="AO180" s="2">
        <f>[1]节奏总纲!BA180</f>
        <v>41.87188741101501</v>
      </c>
      <c r="AP180" s="2">
        <f>[1]节奏总纲!BB180</f>
        <v>43.367197685020869</v>
      </c>
      <c r="AQ180" s="2">
        <f>[1]节奏总纲!BC180</f>
        <v>45.31132052094835</v>
      </c>
      <c r="AR180" s="2">
        <f>[1]节奏总纲!BD180</f>
        <v>48.066021750983474</v>
      </c>
      <c r="AS180" s="2">
        <f>[1]节奏总纲!BE180</f>
        <v>52.759400056085624</v>
      </c>
    </row>
    <row r="181" spans="17:45" x14ac:dyDescent="0.15">
      <c r="Q181" s="2">
        <v>178</v>
      </c>
      <c r="R181" s="2">
        <f>[1]节奏总纲!AD181</f>
        <v>74.833420053539214</v>
      </c>
      <c r="S181" s="2">
        <f>[1]节奏总纲!AE181</f>
        <v>76.907461522616416</v>
      </c>
      <c r="T181" s="2">
        <f>[1]节奏总纲!AF181</f>
        <v>79.79863175320456</v>
      </c>
      <c r="U181" s="2">
        <f>[1]节奏总纲!AG181</f>
        <v>84.398729981164735</v>
      </c>
      <c r="V181" s="2">
        <f>[1]节奏总纲!AH181</f>
        <v>93.85452644418119</v>
      </c>
      <c r="AN181" s="2">
        <v>178</v>
      </c>
      <c r="AO181" s="2">
        <f>[1]节奏总纲!BA181</f>
        <v>41.912113626106752</v>
      </c>
      <c r="AP181" s="2">
        <f>[1]节奏总纲!BB181</f>
        <v>43.404644393455513</v>
      </c>
      <c r="AQ181" s="2">
        <f>[1]节奏总纲!BC181</f>
        <v>45.34851532631852</v>
      </c>
      <c r="AR181" s="2">
        <f>[1]节奏总纲!BD181</f>
        <v>48.101914750802706</v>
      </c>
      <c r="AS181" s="2">
        <f>[1]节奏总纲!BE181</f>
        <v>52.799306737677718</v>
      </c>
    </row>
    <row r="182" spans="17:45" x14ac:dyDescent="0.15">
      <c r="Q182" s="2">
        <v>179</v>
      </c>
      <c r="R182" s="2">
        <f>[1]节奏总纲!AD182</f>
        <v>74.915912490558512</v>
      </c>
      <c r="S182" s="2">
        <f>[1]节奏总纲!AE182</f>
        <v>76.989766772831089</v>
      </c>
      <c r="T182" s="2">
        <f>[1]节奏总纲!AF182</f>
        <v>79.88483391364781</v>
      </c>
      <c r="U182" s="2">
        <f>[1]节奏总纲!AG182</f>
        <v>84.478117326347515</v>
      </c>
      <c r="V182" s="2">
        <f>[1]节奏总纲!AH182</f>
        <v>93.943078763827941</v>
      </c>
      <c r="AN182" s="2">
        <v>179</v>
      </c>
      <c r="AO182" s="2">
        <f>[1]节奏总纲!BA182</f>
        <v>41.952339841198494</v>
      </c>
      <c r="AP182" s="2">
        <f>[1]节奏总纲!BB182</f>
        <v>43.442091101890163</v>
      </c>
      <c r="AQ182" s="2">
        <f>[1]节奏总纲!BC182</f>
        <v>45.385710131688697</v>
      </c>
      <c r="AR182" s="2">
        <f>[1]节奏总纲!BD182</f>
        <v>48.137807750621946</v>
      </c>
      <c r="AS182" s="2">
        <f>[1]节奏总纲!BE182</f>
        <v>52.839213419269818</v>
      </c>
    </row>
    <row r="183" spans="17:45" x14ac:dyDescent="0.15">
      <c r="Q183" s="2">
        <v>180</v>
      </c>
      <c r="R183" s="2">
        <f>[1]节奏总纲!AD183</f>
        <v>74.998404927577795</v>
      </c>
      <c r="S183" s="2">
        <f>[1]节奏总纲!AE183</f>
        <v>77.06778397927944</v>
      </c>
      <c r="T183" s="2">
        <f>[1]节奏总纲!AF183</f>
        <v>79.97103607409106</v>
      </c>
      <c r="U183" s="2">
        <f>[1]节奏总纲!AG183</f>
        <v>84.557504671530296</v>
      </c>
      <c r="V183" s="2">
        <f>[1]节奏总纲!AH183</f>
        <v>94.027056817114342</v>
      </c>
      <c r="AN183" s="2">
        <v>180</v>
      </c>
      <c r="AO183" s="2">
        <f>[1]节奏总纲!BA183</f>
        <v>41.992566056290244</v>
      </c>
      <c r="AP183" s="2">
        <f>[1]节奏总纲!BB183</f>
        <v>43.479537810324807</v>
      </c>
      <c r="AQ183" s="2">
        <f>[1]节奏总纲!BC183</f>
        <v>45.422904937058867</v>
      </c>
      <c r="AR183" s="2">
        <f>[1]节奏总纲!BD183</f>
        <v>48.173700750441178</v>
      </c>
      <c r="AS183" s="2">
        <f>[1]节奏总纲!BE183</f>
        <v>52.879120100861911</v>
      </c>
    </row>
    <row r="184" spans="17:45" x14ac:dyDescent="0.15">
      <c r="Q184" s="2">
        <v>181</v>
      </c>
      <c r="R184" s="2">
        <f>[1]节奏总纲!AD184</f>
        <v>75.075479910097457</v>
      </c>
      <c r="S184" s="2">
        <f>[1]节奏总纲!AE184</f>
        <v>77.145192343015793</v>
      </c>
      <c r="T184" s="2">
        <f>[1]节奏总纲!AF184</f>
        <v>80.053817475702374</v>
      </c>
      <c r="U184" s="2">
        <f>[1]节奏总纲!AG184</f>
        <v>84.636892016713063</v>
      </c>
      <c r="V184" s="2">
        <f>[1]节奏总纲!AH184</f>
        <v>94.102803318799971</v>
      </c>
      <c r="AN184" s="2">
        <v>181</v>
      </c>
      <c r="AO184" s="2">
        <f>[1]节奏总纲!BA184</f>
        <v>42.028297717729309</v>
      </c>
      <c r="AP184" s="2">
        <f>[1]节奏总纲!BB184</f>
        <v>43.516984518759458</v>
      </c>
      <c r="AQ184" s="2">
        <f>[1]节奏总纲!BC184</f>
        <v>45.460099742429037</v>
      </c>
      <c r="AR184" s="2">
        <f>[1]节奏总纲!BD184</f>
        <v>48.209593750260417</v>
      </c>
      <c r="AS184" s="2">
        <f>[1]节奏总纲!BE184</f>
        <v>52.919026782454004</v>
      </c>
    </row>
    <row r="185" spans="17:45" x14ac:dyDescent="0.15">
      <c r="Q185" s="2">
        <v>182</v>
      </c>
      <c r="R185" s="2">
        <f>[1]节奏总纲!AD185</f>
        <v>75.152448075388719</v>
      </c>
      <c r="S185" s="2">
        <f>[1]节奏总纲!AE185</f>
        <v>77.222600706752132</v>
      </c>
      <c r="T185" s="2">
        <f>[1]节奏总纲!AF185</f>
        <v>80.134867890916794</v>
      </c>
      <c r="U185" s="2">
        <f>[1]节奏总纲!AG185</f>
        <v>84.716279361895843</v>
      </c>
      <c r="V185" s="2">
        <f>[1]节奏总纲!AH185</f>
        <v>94.1785498204856</v>
      </c>
      <c r="AN185" s="2">
        <v>182</v>
      </c>
      <c r="AO185" s="2">
        <f>[1]节奏总纲!BA185</f>
        <v>42.063010472656373</v>
      </c>
      <c r="AP185" s="2">
        <f>[1]节奏总纲!BB185</f>
        <v>43.554431227194108</v>
      </c>
      <c r="AQ185" s="2">
        <f>[1]节奏总纲!BC185</f>
        <v>45.497294547799214</v>
      </c>
      <c r="AR185" s="2">
        <f>[1]节奏总纲!BD185</f>
        <v>48.24548675007965</v>
      </c>
      <c r="AS185" s="2">
        <f>[1]节奏总纲!BE185</f>
        <v>52.958933464046098</v>
      </c>
    </row>
    <row r="186" spans="17:45" x14ac:dyDescent="0.15">
      <c r="Q186" s="2">
        <v>183</v>
      </c>
      <c r="R186" s="2">
        <f>[1]节奏总纲!AD186</f>
        <v>75.229416240679981</v>
      </c>
      <c r="S186" s="2">
        <f>[1]节奏总纲!AE186</f>
        <v>77.300009070488485</v>
      </c>
      <c r="T186" s="2">
        <f>[1]节奏总纲!AF186</f>
        <v>80.215918306131215</v>
      </c>
      <c r="U186" s="2">
        <f>[1]节奏总纲!AG186</f>
        <v>84.795666707078624</v>
      </c>
      <c r="V186" s="2">
        <f>[1]节奏总纲!AH186</f>
        <v>94.254296322171228</v>
      </c>
      <c r="AN186" s="2">
        <v>183</v>
      </c>
      <c r="AO186" s="2">
        <f>[1]节奏总纲!BA186</f>
        <v>42.097723227583437</v>
      </c>
      <c r="AP186" s="2">
        <f>[1]节奏总纲!BB186</f>
        <v>43.591877935628752</v>
      </c>
      <c r="AQ186" s="2">
        <f>[1]节奏总纲!BC186</f>
        <v>45.534489353169384</v>
      </c>
      <c r="AR186" s="2">
        <f>[1]节奏总纲!BD186</f>
        <v>48.281379749898889</v>
      </c>
      <c r="AS186" s="2">
        <f>[1]节奏总纲!BE186</f>
        <v>52.998840145638198</v>
      </c>
    </row>
    <row r="187" spans="17:45" x14ac:dyDescent="0.15">
      <c r="Q187" s="2">
        <v>184</v>
      </c>
      <c r="R187" s="2">
        <f>[1]节奏总纲!AD187</f>
        <v>75.306384405971258</v>
      </c>
      <c r="S187" s="2">
        <f>[1]节奏总纲!AE187</f>
        <v>77.377417434224824</v>
      </c>
      <c r="T187" s="2">
        <f>[1]节奏总纲!AF187</f>
        <v>80.296968721345635</v>
      </c>
      <c r="U187" s="2">
        <f>[1]节奏总纲!AG187</f>
        <v>84.87505405226139</v>
      </c>
      <c r="V187" s="2">
        <f>[1]节奏总纲!AH187</f>
        <v>94.330042823856857</v>
      </c>
      <c r="AN187" s="2">
        <v>184</v>
      </c>
      <c r="AO187" s="2">
        <f>[1]节奏总纲!BA187</f>
        <v>42.132435982510501</v>
      </c>
      <c r="AP187" s="2">
        <f>[1]节奏总纲!BB187</f>
        <v>43.629324644063402</v>
      </c>
      <c r="AQ187" s="2">
        <f>[1]节奏总纲!BC187</f>
        <v>45.571684158539561</v>
      </c>
      <c r="AR187" s="2">
        <f>[1]节奏总纲!BD187</f>
        <v>48.317272749718121</v>
      </c>
      <c r="AS187" s="2">
        <f>[1]节奏总纲!BE187</f>
        <v>53.033462597729766</v>
      </c>
    </row>
    <row r="188" spans="17:45" x14ac:dyDescent="0.15">
      <c r="Q188" s="2">
        <v>185</v>
      </c>
      <c r="R188" s="2">
        <f>[1]节奏总纲!AD188</f>
        <v>75.38335257126252</v>
      </c>
      <c r="S188" s="2">
        <f>[1]节奏总纲!AE188</f>
        <v>77.454825797961163</v>
      </c>
      <c r="T188" s="2">
        <f>[1]节奏总纲!AF188</f>
        <v>80.378019136560056</v>
      </c>
      <c r="U188" s="2">
        <f>[1]节奏总纲!AG188</f>
        <v>84.954441397444171</v>
      </c>
      <c r="V188" s="2">
        <f>[1]节奏总纲!AH188</f>
        <v>94.405789325542486</v>
      </c>
      <c r="AN188" s="2">
        <v>185</v>
      </c>
      <c r="AO188" s="2">
        <f>[1]节奏总纲!BA188</f>
        <v>42.167148737437564</v>
      </c>
      <c r="AP188" s="2">
        <f>[1]节奏总纲!BB188</f>
        <v>43.666771352498046</v>
      </c>
      <c r="AQ188" s="2">
        <f>[1]节奏总纲!BC188</f>
        <v>45.608878963909731</v>
      </c>
      <c r="AR188" s="2">
        <f>[1]节奏总纲!BD188</f>
        <v>48.353165749537354</v>
      </c>
      <c r="AS188" s="2">
        <f>[1]节奏总纲!BE188</f>
        <v>53.067926870763252</v>
      </c>
    </row>
    <row r="189" spans="17:45" x14ac:dyDescent="0.15">
      <c r="Q189" s="2">
        <v>186</v>
      </c>
      <c r="R189" s="2">
        <f>[1]节奏总纲!AD189</f>
        <v>75.460320736553783</v>
      </c>
      <c r="S189" s="2">
        <f>[1]节奏总纲!AE189</f>
        <v>77.532234161697517</v>
      </c>
      <c r="T189" s="2">
        <f>[1]节奏总纲!AF189</f>
        <v>80.459069551774476</v>
      </c>
      <c r="U189" s="2">
        <f>[1]节奏总纲!AG189</f>
        <v>85.030832425973387</v>
      </c>
      <c r="V189" s="2">
        <f>[1]节奏总纲!AH189</f>
        <v>94.4815358272281</v>
      </c>
      <c r="AN189" s="2">
        <v>186</v>
      </c>
      <c r="AO189" s="2">
        <f>[1]节奏总纲!BA189</f>
        <v>42.201861492364635</v>
      </c>
      <c r="AP189" s="2">
        <f>[1]节奏总纲!BB189</f>
        <v>43.704218060932696</v>
      </c>
      <c r="AQ189" s="2">
        <f>[1]节奏总纲!BC189</f>
        <v>45.646073769279901</v>
      </c>
      <c r="AR189" s="2">
        <f>[1]节奏总纲!BD189</f>
        <v>48.389058749356593</v>
      </c>
      <c r="AS189" s="2">
        <f>[1]节奏总纲!BE189</f>
        <v>53.102391143796744</v>
      </c>
    </row>
    <row r="190" spans="17:45" x14ac:dyDescent="0.15">
      <c r="Q190" s="2">
        <v>187</v>
      </c>
      <c r="R190" s="2">
        <f>[1]节奏总纲!AD190</f>
        <v>75.537288901845045</v>
      </c>
      <c r="S190" s="2">
        <f>[1]节奏总纲!AE190</f>
        <v>77.609642525433856</v>
      </c>
      <c r="T190" s="2">
        <f>[1]节奏总纲!AF190</f>
        <v>80.540119966988897</v>
      </c>
      <c r="U190" s="2">
        <f>[1]节奏总纲!AG190</f>
        <v>85.103188187775231</v>
      </c>
      <c r="V190" s="2">
        <f>[1]节奏总纲!AH190</f>
        <v>94.557282328913729</v>
      </c>
      <c r="AN190" s="2">
        <v>187</v>
      </c>
      <c r="AO190" s="2">
        <f>[1]节奏总纲!BA190</f>
        <v>42.236574247291699</v>
      </c>
      <c r="AP190" s="2">
        <f>[1]节奏总纲!BB190</f>
        <v>43.741664769367347</v>
      </c>
      <c r="AQ190" s="2">
        <f>[1]节奏总纲!BC190</f>
        <v>45.683268574650079</v>
      </c>
      <c r="AR190" s="2">
        <f>[1]节奏总纲!BD190</f>
        <v>48.424951749175825</v>
      </c>
      <c r="AS190" s="2">
        <f>[1]节奏总纲!BE190</f>
        <v>53.13685541683023</v>
      </c>
    </row>
    <row r="191" spans="17:45" x14ac:dyDescent="0.15">
      <c r="Q191" s="2">
        <v>188</v>
      </c>
      <c r="R191" s="2">
        <f>[1]节奏总纲!AD191</f>
        <v>75.614257067136322</v>
      </c>
      <c r="S191" s="2">
        <f>[1]节奏总纲!AE191</f>
        <v>77.687050889170209</v>
      </c>
      <c r="T191" s="2">
        <f>[1]节奏总纲!AF191</f>
        <v>80.621170382203317</v>
      </c>
      <c r="U191" s="2">
        <f>[1]节奏总纲!AG191</f>
        <v>85.175543949577076</v>
      </c>
      <c r="V191" s="2">
        <f>[1]节奏总纲!AH191</f>
        <v>94.633028830599358</v>
      </c>
      <c r="AN191" s="2">
        <v>188</v>
      </c>
      <c r="AO191" s="2">
        <f>[1]节奏总纲!BA191</f>
        <v>42.271287002218763</v>
      </c>
      <c r="AP191" s="2">
        <f>[1]节奏总纲!BB191</f>
        <v>43.77911147780199</v>
      </c>
      <c r="AQ191" s="2">
        <f>[1]节奏总纲!BC191</f>
        <v>45.720463380020249</v>
      </c>
      <c r="AR191" s="2">
        <f>[1]节奏总纲!BD191</f>
        <v>48.460844748995065</v>
      </c>
      <c r="AS191" s="2">
        <f>[1]节奏总纲!BE191</f>
        <v>53.171319689863722</v>
      </c>
    </row>
    <row r="192" spans="17:45" x14ac:dyDescent="0.15">
      <c r="Q192" s="2">
        <v>189</v>
      </c>
      <c r="R192" s="2">
        <f>[1]节奏总纲!AD192</f>
        <v>75.691225232427584</v>
      </c>
      <c r="S192" s="2">
        <f>[1]节奏总纲!AE192</f>
        <v>77.764459252906548</v>
      </c>
      <c r="T192" s="2">
        <f>[1]节奏总纲!AF192</f>
        <v>80.702220797417738</v>
      </c>
      <c r="U192" s="2">
        <f>[1]节奏总纲!AG192</f>
        <v>85.247899711378935</v>
      </c>
      <c r="V192" s="2">
        <f>[1]节奏总纲!AH192</f>
        <v>94.708775332284986</v>
      </c>
      <c r="AN192" s="2">
        <v>189</v>
      </c>
      <c r="AO192" s="2">
        <f>[1]节奏总纲!BA192</f>
        <v>42.305999757145827</v>
      </c>
      <c r="AP192" s="2">
        <f>[1]节奏总纲!BB192</f>
        <v>43.816558186236641</v>
      </c>
      <c r="AQ192" s="2">
        <f>[1]节奏总纲!BC192</f>
        <v>45.757658185390426</v>
      </c>
      <c r="AR192" s="2">
        <f>[1]节奏总纲!BD192</f>
        <v>48.496737748814297</v>
      </c>
      <c r="AS192" s="2">
        <f>[1]节奏总纲!BE192</f>
        <v>53.205783962897208</v>
      </c>
    </row>
    <row r="193" spans="17:45" x14ac:dyDescent="0.15">
      <c r="Q193" s="2">
        <v>190</v>
      </c>
      <c r="R193" s="2">
        <f>[1]节奏总纲!AD193</f>
        <v>75.768193397718846</v>
      </c>
      <c r="S193" s="2">
        <f>[1]节奏总纲!AE193</f>
        <v>77.841867616642901</v>
      </c>
      <c r="T193" s="2">
        <f>[1]节奏总纲!AF193</f>
        <v>80.783271212632158</v>
      </c>
      <c r="U193" s="2">
        <f>[1]节奏总纲!AG193</f>
        <v>85.320255473180779</v>
      </c>
      <c r="V193" s="2">
        <f>[1]节奏总纲!AH193</f>
        <v>94.784521833970615</v>
      </c>
      <c r="AN193" s="2">
        <v>190</v>
      </c>
      <c r="AO193" s="2">
        <f>[1]节奏总纲!BA193</f>
        <v>42.340712512072891</v>
      </c>
      <c r="AP193" s="2">
        <f>[1]节奏总纲!BB193</f>
        <v>43.854004894671284</v>
      </c>
      <c r="AQ193" s="2">
        <f>[1]节奏总纲!BC193</f>
        <v>45.794852990760596</v>
      </c>
      <c r="AR193" s="2">
        <f>[1]节奏总纲!BD193</f>
        <v>48.532630748633537</v>
      </c>
      <c r="AS193" s="2">
        <f>[1]节奏总纲!BE193</f>
        <v>53.240248235930693</v>
      </c>
    </row>
    <row r="194" spans="17:45" x14ac:dyDescent="0.15">
      <c r="Q194" s="2">
        <v>191</v>
      </c>
      <c r="R194" s="2">
        <f>[1]节奏总纲!AD194</f>
        <v>75.845161563010109</v>
      </c>
      <c r="S194" s="2">
        <f>[1]节奏总纲!AE194</f>
        <v>77.91927598037924</v>
      </c>
      <c r="T194" s="2">
        <f>[1]节奏总纲!AF194</f>
        <v>80.864321627846579</v>
      </c>
      <c r="U194" s="2">
        <f>[1]节奏总纲!AG194</f>
        <v>85.392611234982624</v>
      </c>
      <c r="V194" s="2">
        <f>[1]节奏总纲!AH194</f>
        <v>94.860268335656244</v>
      </c>
      <c r="AN194" s="2">
        <v>191</v>
      </c>
      <c r="AO194" s="2">
        <f>[1]节奏总纲!BA194</f>
        <v>42.375425266999954</v>
      </c>
      <c r="AP194" s="2">
        <f>[1]节奏总纲!BB194</f>
        <v>43.891451603105935</v>
      </c>
      <c r="AQ194" s="2">
        <f>[1]节奏总纲!BC194</f>
        <v>45.832047796130773</v>
      </c>
      <c r="AR194" s="2">
        <f>[1]节奏总纲!BD194</f>
        <v>48.568523748452769</v>
      </c>
      <c r="AS194" s="2">
        <f>[1]节奏总纲!BE194</f>
        <v>53.274712508964186</v>
      </c>
    </row>
    <row r="195" spans="17:45" x14ac:dyDescent="0.15">
      <c r="Q195" s="2">
        <v>192</v>
      </c>
      <c r="R195" s="2">
        <f>[1]节奏总纲!AD195</f>
        <v>75.922129728301385</v>
      </c>
      <c r="S195" s="2">
        <f>[1]节奏总纲!AE195</f>
        <v>77.996684344115593</v>
      </c>
      <c r="T195" s="2">
        <f>[1]节奏总纲!AF195</f>
        <v>80.945372043060999</v>
      </c>
      <c r="U195" s="2">
        <f>[1]节奏总纲!AG195</f>
        <v>85.464966996784469</v>
      </c>
      <c r="V195" s="2">
        <f>[1]节奏总纲!AH195</f>
        <v>94.936014837341872</v>
      </c>
      <c r="AN195" s="2">
        <v>192</v>
      </c>
      <c r="AO195" s="2">
        <f>[1]节奏总纲!BA195</f>
        <v>42.410138021927018</v>
      </c>
      <c r="AP195" s="2">
        <f>[1]节奏总纲!BB195</f>
        <v>43.928898311540578</v>
      </c>
      <c r="AQ195" s="2">
        <f>[1]节奏总纲!BC195</f>
        <v>45.869242601500943</v>
      </c>
      <c r="AR195" s="2">
        <f>[1]节奏总纲!BD195</f>
        <v>48.604416748272008</v>
      </c>
      <c r="AS195" s="2">
        <f>[1]节奏总纲!BE195</f>
        <v>53.309176781997671</v>
      </c>
    </row>
    <row r="196" spans="17:45" x14ac:dyDescent="0.15">
      <c r="Q196" s="2">
        <v>193</v>
      </c>
      <c r="R196" s="2">
        <f>[1]节奏总纲!AD196</f>
        <v>75.999097893592648</v>
      </c>
      <c r="S196" s="2">
        <f>[1]节奏总纲!AE196</f>
        <v>78.068193736526268</v>
      </c>
      <c r="T196" s="2">
        <f>[1]节奏总纲!AF196</f>
        <v>81.02378934476593</v>
      </c>
      <c r="U196" s="2">
        <f>[1]节奏总纲!AG196</f>
        <v>85.537322758586328</v>
      </c>
      <c r="V196" s="2">
        <f>[1]节奏总纲!AH196</f>
        <v>95.011078787937279</v>
      </c>
      <c r="AN196" s="2">
        <v>193</v>
      </c>
      <c r="AO196" s="2">
        <f>[1]节奏总纲!BA196</f>
        <v>42.444850776854082</v>
      </c>
      <c r="AP196" s="2">
        <f>[1]节奏总纲!BB196</f>
        <v>43.966345019975229</v>
      </c>
      <c r="AQ196" s="2">
        <f>[1]节奏总纲!BC196</f>
        <v>45.906437406871113</v>
      </c>
      <c r="AR196" s="2">
        <f>[1]节奏总纲!BD196</f>
        <v>48.640309748091241</v>
      </c>
      <c r="AS196" s="2">
        <f>[1]节奏总纲!BE196</f>
        <v>53.343641055031163</v>
      </c>
    </row>
    <row r="197" spans="17:45" x14ac:dyDescent="0.15">
      <c r="Q197" s="2">
        <v>194</v>
      </c>
      <c r="R197" s="2">
        <f>[1]节奏总纲!AD197</f>
        <v>76.070972142474872</v>
      </c>
      <c r="S197" s="2">
        <f>[1]节奏总纲!AE197</f>
        <v>78.139439149396253</v>
      </c>
      <c r="T197" s="2">
        <f>[1]节奏总纲!AF197</f>
        <v>81.096762731680187</v>
      </c>
      <c r="U197" s="2">
        <f>[1]节奏总纲!AG197</f>
        <v>85.609678520388172</v>
      </c>
      <c r="V197" s="2">
        <f>[1]节奏总纲!AH197</f>
        <v>95.082429458741387</v>
      </c>
      <c r="AN197" s="2">
        <v>194</v>
      </c>
      <c r="AO197" s="2">
        <f>[1]节奏总纲!BA197</f>
        <v>42.479563531781146</v>
      </c>
      <c r="AP197" s="2">
        <f>[1]节奏总纲!BB197</f>
        <v>44.003272544984547</v>
      </c>
      <c r="AQ197" s="2">
        <f>[1]节奏总纲!BC197</f>
        <v>45.94363221224129</v>
      </c>
      <c r="AR197" s="2">
        <f>[1]节奏总纲!BD197</f>
        <v>48.67620274791048</v>
      </c>
      <c r="AS197" s="2">
        <f>[1]节奏总纲!BE197</f>
        <v>53.378105328064649</v>
      </c>
    </row>
    <row r="198" spans="17:45" x14ac:dyDescent="0.15">
      <c r="Q198" s="2">
        <v>195</v>
      </c>
      <c r="R198" s="2">
        <f>[1]节奏总纲!AD198</f>
        <v>76.142785979989682</v>
      </c>
      <c r="S198" s="2">
        <f>[1]节奏总纲!AE198</f>
        <v>78.210684562266223</v>
      </c>
      <c r="T198" s="2">
        <f>[1]节奏总纲!AF198</f>
        <v>81.169736118594443</v>
      </c>
      <c r="U198" s="2">
        <f>[1]节奏总纲!AG198</f>
        <v>85.682034282190017</v>
      </c>
      <c r="V198" s="2">
        <f>[1]节奏总纲!AH198</f>
        <v>95.153780129545481</v>
      </c>
      <c r="AN198" s="2">
        <v>195</v>
      </c>
      <c r="AO198" s="2">
        <f>[1]节奏总纲!BA198</f>
        <v>42.51427628670821</v>
      </c>
      <c r="AP198" s="2">
        <f>[1]节奏总纲!BB198</f>
        <v>44.035591852864428</v>
      </c>
      <c r="AQ198" s="2">
        <f>[1]节奏总纲!BC198</f>
        <v>45.98082701761146</v>
      </c>
      <c r="AR198" s="2">
        <f>[1]节奏总纲!BD198</f>
        <v>48.712095747729713</v>
      </c>
      <c r="AS198" s="2">
        <f>[1]节奏总纲!BE198</f>
        <v>53.412569601098134</v>
      </c>
    </row>
    <row r="199" spans="17:45" x14ac:dyDescent="0.15">
      <c r="Q199" s="2">
        <v>196</v>
      </c>
      <c r="R199" s="2">
        <f>[1]节奏总纲!AD199</f>
        <v>76.214599817504492</v>
      </c>
      <c r="S199" s="2">
        <f>[1]节奏总纲!AE199</f>
        <v>78.281929975136208</v>
      </c>
      <c r="T199" s="2">
        <f>[1]节奏总纲!AF199</f>
        <v>81.242709505508685</v>
      </c>
      <c r="U199" s="2">
        <f>[1]节奏总纲!AG199</f>
        <v>85.754390043991862</v>
      </c>
      <c r="V199" s="2">
        <f>[1]节奏总纲!AH199</f>
        <v>95.225130800349589</v>
      </c>
      <c r="AN199" s="2">
        <v>196</v>
      </c>
      <c r="AO199" s="2">
        <f>[1]节奏总纲!BA199</f>
        <v>42.548989041635274</v>
      </c>
      <c r="AP199" s="2">
        <f>[1]节奏总纲!BB199</f>
        <v>44.067911160744309</v>
      </c>
      <c r="AQ199" s="2">
        <f>[1]节奏总纲!BC199</f>
        <v>46.01555652579863</v>
      </c>
      <c r="AR199" s="2">
        <f>[1]节奏总纲!BD199</f>
        <v>48.747988747548945</v>
      </c>
      <c r="AS199" s="2">
        <f>[1]节奏总纲!BE199</f>
        <v>53.447033874131627</v>
      </c>
    </row>
    <row r="200" spans="17:45" x14ac:dyDescent="0.15">
      <c r="Q200" s="2">
        <v>197</v>
      </c>
      <c r="R200" s="2">
        <f>[1]节奏总纲!AD200</f>
        <v>76.286413655019302</v>
      </c>
      <c r="S200" s="2">
        <f>[1]节奏总纲!AE200</f>
        <v>78.353175388006179</v>
      </c>
      <c r="T200" s="2">
        <f>[1]节奏总纲!AF200</f>
        <v>81.315682892422942</v>
      </c>
      <c r="U200" s="2">
        <f>[1]节奏总纲!AG200</f>
        <v>85.82674580579372</v>
      </c>
      <c r="V200" s="2">
        <f>[1]节奏总纲!AH200</f>
        <v>95.296481471153683</v>
      </c>
      <c r="AN200" s="2">
        <v>197</v>
      </c>
      <c r="AO200" s="2">
        <f>[1]节奏总纲!BA200</f>
        <v>42.583701796562345</v>
      </c>
      <c r="AP200" s="2">
        <f>[1]节奏总纲!BB200</f>
        <v>44.100230468624183</v>
      </c>
      <c r="AQ200" s="2">
        <f>[1]节奏总纲!BC200</f>
        <v>46.047663263829847</v>
      </c>
      <c r="AR200" s="2">
        <f>[1]节奏总纲!BD200</f>
        <v>48.783881747368184</v>
      </c>
      <c r="AS200" s="2">
        <f>[1]节奏总纲!BE200</f>
        <v>53.481498147165112</v>
      </c>
    </row>
    <row r="201" spans="17:45" x14ac:dyDescent="0.15">
      <c r="Q201" s="2">
        <v>198</v>
      </c>
      <c r="R201" s="2">
        <f>[1]节奏总纲!AD201</f>
        <v>76.358227492534112</v>
      </c>
      <c r="S201" s="2">
        <f>[1]节奏总纲!AE201</f>
        <v>78.424420800876163</v>
      </c>
      <c r="T201" s="2">
        <f>[1]节奏总纲!AF201</f>
        <v>81.388656279337198</v>
      </c>
      <c r="U201" s="2">
        <f>[1]节奏总纲!AG201</f>
        <v>85.899101567595565</v>
      </c>
      <c r="V201" s="2">
        <f>[1]节奏总纲!AH201</f>
        <v>95.367832141957777</v>
      </c>
      <c r="AN201" s="2">
        <v>198</v>
      </c>
      <c r="AO201" s="2">
        <f>[1]节奏总纲!BA201</f>
        <v>42.618414551489408</v>
      </c>
      <c r="AP201" s="2">
        <f>[1]节奏总纲!BB201</f>
        <v>44.132549776504064</v>
      </c>
      <c r="AQ201" s="2">
        <f>[1]节奏总纲!BC201</f>
        <v>46.079770001861057</v>
      </c>
      <c r="AR201" s="2">
        <f>[1]节奏总纲!BD201</f>
        <v>48.819774747187417</v>
      </c>
      <c r="AS201" s="2">
        <f>[1]节奏总纲!BE201</f>
        <v>53.515962420198605</v>
      </c>
    </row>
    <row r="202" spans="17:45" x14ac:dyDescent="0.15">
      <c r="Q202" s="2">
        <v>199</v>
      </c>
      <c r="R202" s="2">
        <f>[1]节奏总纲!AD202</f>
        <v>76.430041330048923</v>
      </c>
      <c r="S202" s="2">
        <f>[1]节奏总纲!AE202</f>
        <v>78.495666213746148</v>
      </c>
      <c r="T202" s="2">
        <f>[1]节奏总纲!AF202</f>
        <v>81.461629666251454</v>
      </c>
      <c r="U202" s="2">
        <f>[1]节奏总纲!AG202</f>
        <v>85.97145732939741</v>
      </c>
      <c r="V202" s="2">
        <f>[1]节奏总纲!AH202</f>
        <v>95.439182812761885</v>
      </c>
      <c r="AN202" s="2">
        <v>199</v>
      </c>
      <c r="AO202" s="2">
        <f>[1]节奏总纲!BA202</f>
        <v>42.653127306416472</v>
      </c>
      <c r="AP202" s="2">
        <f>[1]节奏总纲!BB202</f>
        <v>44.164869084383938</v>
      </c>
      <c r="AQ202" s="2">
        <f>[1]节奏总纲!BC202</f>
        <v>46.111876739892267</v>
      </c>
      <c r="AR202" s="2">
        <f>[1]节奏总纲!BD202</f>
        <v>48.855667747006656</v>
      </c>
      <c r="AS202" s="2">
        <f>[1]节奏总纲!BE202</f>
        <v>53.55042669323209</v>
      </c>
    </row>
    <row r="203" spans="17:45" x14ac:dyDescent="0.15">
      <c r="Q203" s="2">
        <v>200</v>
      </c>
      <c r="R203" s="2">
        <f>[1]节奏总纲!AD203</f>
        <v>76.501855167563733</v>
      </c>
      <c r="S203" s="2">
        <f>[1]节奏总纲!AE203</f>
        <v>78.566911626616118</v>
      </c>
      <c r="T203" s="2">
        <f>[1]节奏总纲!AF203</f>
        <v>81.534603053165696</v>
      </c>
      <c r="U203" s="2">
        <f>[1]节奏总纲!AG203</f>
        <v>86.045919706798657</v>
      </c>
      <c r="V203" s="2">
        <f>[1]节奏总纲!AH203</f>
        <v>95.510533483565979</v>
      </c>
      <c r="AN203" s="2">
        <v>200</v>
      </c>
      <c r="AO203" s="2">
        <f>[1]节奏总纲!BA203</f>
        <v>42.687840061343536</v>
      </c>
      <c r="AP203" s="2">
        <f>[1]节奏总纲!BB203</f>
        <v>44.197188392263818</v>
      </c>
      <c r="AQ203" s="2">
        <f>[1]节奏总纲!BC203</f>
        <v>46.143983477923484</v>
      </c>
      <c r="AR203" s="2">
        <f>[1]节奏总纲!BD203</f>
        <v>48.891560746825888</v>
      </c>
      <c r="AS203" s="2">
        <f>[1]节奏总纲!BE203</f>
        <v>53.584890966265583</v>
      </c>
    </row>
    <row r="204" spans="17:45" x14ac:dyDescent="0.15">
      <c r="Q204" s="2">
        <v>201</v>
      </c>
      <c r="R204" s="2">
        <f>[1]节奏总纲!AD204</f>
        <v>76.573669005078543</v>
      </c>
      <c r="S204" s="2">
        <f>[1]节奏总纲!AE204</f>
        <v>78.638157039486103</v>
      </c>
      <c r="T204" s="2">
        <f>[1]节奏总纲!AF204</f>
        <v>81.607576440079953</v>
      </c>
      <c r="U204" s="2">
        <f>[1]节奏总纲!AG204</f>
        <v>86.121754469336281</v>
      </c>
      <c r="V204" s="2">
        <f>[1]节奏总纲!AH204</f>
        <v>95.581884154370087</v>
      </c>
      <c r="AN204" s="2">
        <v>201</v>
      </c>
      <c r="AO204" s="2">
        <f>[1]节奏总纲!BA204</f>
        <v>42.7225528162706</v>
      </c>
      <c r="AP204" s="2">
        <f>[1]节奏总纲!BB204</f>
        <v>44.229507700143699</v>
      </c>
      <c r="AQ204" s="2">
        <f>[1]节奏总纲!BC204</f>
        <v>46.176090215954694</v>
      </c>
      <c r="AR204" s="2">
        <f>[1]节奏总纲!BD204</f>
        <v>48.927453746645128</v>
      </c>
      <c r="AS204" s="2">
        <f>[1]节奏总纲!BE204</f>
        <v>53.619355239299068</v>
      </c>
    </row>
    <row r="205" spans="17:45" x14ac:dyDescent="0.15">
      <c r="Q205" s="2">
        <v>202</v>
      </c>
      <c r="R205" s="2">
        <f>[1]节奏总纲!AD205</f>
        <v>76.645482842593353</v>
      </c>
      <c r="S205" s="2">
        <f>[1]节奏总纲!AE205</f>
        <v>78.709402452356088</v>
      </c>
      <c r="T205" s="2">
        <f>[1]节奏总纲!AF205</f>
        <v>81.680549826994209</v>
      </c>
      <c r="U205" s="2">
        <f>[1]节奏总纲!AG205</f>
        <v>86.197589231873891</v>
      </c>
      <c r="V205" s="2">
        <f>[1]节奏总纲!AH205</f>
        <v>95.653234825174181</v>
      </c>
      <c r="AN205" s="2">
        <v>202</v>
      </c>
      <c r="AO205" s="2">
        <f>[1]节奏总纲!BA205</f>
        <v>42.757265571197664</v>
      </c>
      <c r="AP205" s="2">
        <f>[1]节奏总纲!BB205</f>
        <v>44.261827008023573</v>
      </c>
      <c r="AQ205" s="2">
        <f>[1]节奏总纲!BC205</f>
        <v>46.208196953985905</v>
      </c>
      <c r="AR205" s="2">
        <f>[1]节奏总纲!BD205</f>
        <v>48.96334674646436</v>
      </c>
      <c r="AS205" s="2">
        <f>[1]节奏总纲!BE205</f>
        <v>53.653819512332554</v>
      </c>
    </row>
    <row r="206" spans="17:45" x14ac:dyDescent="0.15">
      <c r="Q206" s="2">
        <v>203</v>
      </c>
      <c r="R206" s="2">
        <f>[1]节奏总纲!AD206</f>
        <v>76.717296680108163</v>
      </c>
      <c r="S206" s="2">
        <f>[1]节奏总纲!AE206</f>
        <v>78.780647865226058</v>
      </c>
      <c r="T206" s="2">
        <f>[1]节奏总纲!AF206</f>
        <v>81.753523213908451</v>
      </c>
      <c r="U206" s="2">
        <f>[1]节奏总纲!AG206</f>
        <v>86.273423994411502</v>
      </c>
      <c r="V206" s="2">
        <f>[1]节奏总纲!AH206</f>
        <v>95.724585495978289</v>
      </c>
      <c r="AN206" s="2">
        <v>203</v>
      </c>
      <c r="AO206" s="2">
        <f>[1]节奏总纲!BA206</f>
        <v>42.791978326124728</v>
      </c>
      <c r="AP206" s="2">
        <f>[1]节奏总纲!BB206</f>
        <v>44.294146315903454</v>
      </c>
      <c r="AQ206" s="2">
        <f>[1]节奏总纲!BC206</f>
        <v>46.240303692017122</v>
      </c>
      <c r="AR206" s="2">
        <f>[1]节奏总纲!BD206</f>
        <v>48.9992397462836</v>
      </c>
      <c r="AS206" s="2">
        <f>[1]节奏总纲!BE206</f>
        <v>53.688283785366046</v>
      </c>
    </row>
    <row r="207" spans="17:45" x14ac:dyDescent="0.15">
      <c r="Q207" s="2">
        <v>204</v>
      </c>
      <c r="R207" s="2">
        <f>[1]节奏总纲!AD207</f>
        <v>76.789110517622973</v>
      </c>
      <c r="S207" s="2">
        <f>[1]节奏总纲!AE207</f>
        <v>78.851893278096043</v>
      </c>
      <c r="T207" s="2">
        <f>[1]节奏总纲!AF207</f>
        <v>81.826496600822708</v>
      </c>
      <c r="U207" s="2">
        <f>[1]节奏总纲!AG207</f>
        <v>86.349258756949112</v>
      </c>
      <c r="V207" s="2">
        <f>[1]节奏总纲!AH207</f>
        <v>95.795936166782383</v>
      </c>
      <c r="AN207" s="2">
        <v>204</v>
      </c>
      <c r="AO207" s="2">
        <f>[1]节奏总纲!BA207</f>
        <v>42.826691081051791</v>
      </c>
      <c r="AP207" s="2">
        <f>[1]节奏总纲!BB207</f>
        <v>44.326465623783335</v>
      </c>
      <c r="AQ207" s="2">
        <f>[1]节奏总纲!BC207</f>
        <v>46.272410430048332</v>
      </c>
      <c r="AR207" s="2">
        <f>[1]节奏总纲!BD207</f>
        <v>49.030333272797542</v>
      </c>
      <c r="AS207" s="2">
        <f>[1]节奏总纲!BE207</f>
        <v>53.722748058399532</v>
      </c>
    </row>
    <row r="208" spans="17:45" x14ac:dyDescent="0.15">
      <c r="Q208" s="2">
        <v>205</v>
      </c>
      <c r="R208" s="2">
        <f>[1]节奏总纲!AD208</f>
        <v>76.860924355137783</v>
      </c>
      <c r="S208" s="2">
        <f>[1]节奏总纲!AE208</f>
        <v>78.923138690966013</v>
      </c>
      <c r="T208" s="2">
        <f>[1]节奏总纲!AF208</f>
        <v>81.899469987736964</v>
      </c>
      <c r="U208" s="2">
        <f>[1]节奏总纲!AG208</f>
        <v>86.425093519486722</v>
      </c>
      <c r="V208" s="2">
        <f>[1]节奏总纲!AH208</f>
        <v>95.867286837586477</v>
      </c>
      <c r="AN208" s="2">
        <v>205</v>
      </c>
      <c r="AO208" s="2">
        <f>[1]节奏总纲!BA208</f>
        <v>42.861403835978855</v>
      </c>
      <c r="AP208" s="2">
        <f>[1]节奏总纲!BB208</f>
        <v>44.358784931663209</v>
      </c>
      <c r="AQ208" s="2">
        <f>[1]节奏总纲!BC208</f>
        <v>46.304517168079542</v>
      </c>
      <c r="AR208" s="2">
        <f>[1]节奏总纲!BD208</f>
        <v>49.061322941292346</v>
      </c>
      <c r="AS208" s="2">
        <f>[1]节奏总纲!BE208</f>
        <v>53.757212331433024</v>
      </c>
    </row>
    <row r="209" spans="17:45" x14ac:dyDescent="0.15">
      <c r="Q209" s="2">
        <v>206</v>
      </c>
      <c r="R209" s="2">
        <f>[1]节奏总纲!AD209</f>
        <v>76.932738192652593</v>
      </c>
      <c r="S209" s="2">
        <f>[1]节奏总纲!AE209</f>
        <v>78.994384103835998</v>
      </c>
      <c r="T209" s="2">
        <f>[1]节奏总纲!AF209</f>
        <v>81.972443374651206</v>
      </c>
      <c r="U209" s="2">
        <f>[1]节奏总纲!AG209</f>
        <v>86.500928282024347</v>
      </c>
      <c r="V209" s="2">
        <f>[1]节奏总纲!AH209</f>
        <v>95.938637508390585</v>
      </c>
      <c r="AN209" s="2">
        <v>206</v>
      </c>
      <c r="AO209" s="2">
        <f>[1]节奏总纲!BA209</f>
        <v>42.896116590905919</v>
      </c>
      <c r="AP209" s="2">
        <f>[1]节奏总纲!BB209</f>
        <v>44.39110423954309</v>
      </c>
      <c r="AQ209" s="2">
        <f>[1]节奏总纲!BC209</f>
        <v>46.336623906110759</v>
      </c>
      <c r="AR209" s="2">
        <f>[1]节奏总纲!BD209</f>
        <v>49.09231260978715</v>
      </c>
      <c r="AS209" s="2">
        <f>[1]节奏总纲!BE209</f>
        <v>53.79167660446651</v>
      </c>
    </row>
    <row r="210" spans="17:45" x14ac:dyDescent="0.15">
      <c r="Q210" s="2">
        <v>207</v>
      </c>
      <c r="R210" s="2">
        <f>[1]节奏总纲!AD210</f>
        <v>77.004247194324648</v>
      </c>
      <c r="S210" s="2">
        <f>[1]节奏总纲!AE210</f>
        <v>79.061386416569832</v>
      </c>
      <c r="T210" s="2">
        <f>[1]节奏总纲!AF210</f>
        <v>82.041007317281839</v>
      </c>
      <c r="U210" s="2">
        <f>[1]节奏总纲!AG210</f>
        <v>86.576763044561957</v>
      </c>
      <c r="V210" s="2">
        <f>[1]节奏总纲!AH210</f>
        <v>96.008512635801992</v>
      </c>
      <c r="AN210" s="2">
        <v>207</v>
      </c>
      <c r="AO210" s="2">
        <f>[1]节奏总纲!BA210</f>
        <v>42.930829345832983</v>
      </c>
      <c r="AP210" s="2">
        <f>[1]节奏总纲!BB210</f>
        <v>44.423423547422971</v>
      </c>
      <c r="AQ210" s="2">
        <f>[1]节奏总纲!BC210</f>
        <v>46.368730644141969</v>
      </c>
      <c r="AR210" s="2">
        <f>[1]节奏总纲!BD210</f>
        <v>49.123302278281955</v>
      </c>
      <c r="AS210" s="2">
        <f>[1]节奏总纲!BE210</f>
        <v>53.826140877499995</v>
      </c>
    </row>
    <row r="211" spans="17:45" x14ac:dyDescent="0.15">
      <c r="Q211" s="2">
        <v>208</v>
      </c>
      <c r="R211" s="2">
        <f>[1]节奏总纲!AD211</f>
        <v>77.07125187397483</v>
      </c>
      <c r="S211" s="2">
        <f>[1]节奏总纲!AE211</f>
        <v>79.128025648620252</v>
      </c>
      <c r="T211" s="2">
        <f>[1]节奏总纲!AF211</f>
        <v>82.106895829081836</v>
      </c>
      <c r="U211" s="2">
        <f>[1]节奏总纲!AG211</f>
        <v>86.652597807099568</v>
      </c>
      <c r="V211" s="2">
        <f>[1]节奏总纲!AH211</f>
        <v>96.069322745727362</v>
      </c>
      <c r="AN211" s="2">
        <v>208</v>
      </c>
      <c r="AO211" s="2">
        <f>[1]节奏总纲!BA211</f>
        <v>42.965542100760054</v>
      </c>
      <c r="AP211" s="2">
        <f>[1]节奏总纲!BB211</f>
        <v>44.455742855302844</v>
      </c>
      <c r="AQ211" s="2">
        <f>[1]节奏总纲!BC211</f>
        <v>46.400837382173179</v>
      </c>
      <c r="AR211" s="2">
        <f>[1]节奏总纲!BD211</f>
        <v>49.154291946776759</v>
      </c>
      <c r="AS211" s="2">
        <f>[1]节奏总纲!BE211</f>
        <v>53.860605150533488</v>
      </c>
    </row>
    <row r="212" spans="17:45" x14ac:dyDescent="0.15">
      <c r="Q212" s="2">
        <v>209</v>
      </c>
      <c r="R212" s="2">
        <f>[1]节奏总纲!AD212</f>
        <v>77.138256553625013</v>
      </c>
      <c r="S212" s="2">
        <f>[1]节奏总纲!AE212</f>
        <v>79.194664880670672</v>
      </c>
      <c r="T212" s="2">
        <f>[1]节奏总纲!AF212</f>
        <v>82.172784340881819</v>
      </c>
      <c r="U212" s="2">
        <f>[1]节奏总纲!AG212</f>
        <v>86.728432569637178</v>
      </c>
      <c r="V212" s="2">
        <f>[1]节奏总纲!AH212</f>
        <v>96.130132855652732</v>
      </c>
      <c r="AN212" s="2">
        <v>209</v>
      </c>
      <c r="AO212" s="2">
        <f>[1]节奏总纲!BA212</f>
        <v>43.000219942361319</v>
      </c>
      <c r="AP212" s="2">
        <f>[1]节奏总纲!BB212</f>
        <v>44.488062163182725</v>
      </c>
      <c r="AQ212" s="2">
        <f>[1]节奏总纲!BC212</f>
        <v>46.432944120204397</v>
      </c>
      <c r="AR212" s="2">
        <f>[1]节奏总纲!BD212</f>
        <v>49.18528161527157</v>
      </c>
      <c r="AS212" s="2">
        <f>[1]节奏总纲!BE212</f>
        <v>53.895069423566973</v>
      </c>
    </row>
    <row r="213" spans="17:45" x14ac:dyDescent="0.15">
      <c r="Q213" s="2">
        <v>210</v>
      </c>
      <c r="R213" s="2">
        <f>[1]节奏总纲!AD213</f>
        <v>77.205261233275195</v>
      </c>
      <c r="S213" s="2">
        <f>[1]节奏总纲!AE213</f>
        <v>79.261304112721092</v>
      </c>
      <c r="T213" s="2">
        <f>[1]节奏总纲!AF213</f>
        <v>82.238672852681816</v>
      </c>
      <c r="U213" s="2">
        <f>[1]节奏总纲!AG213</f>
        <v>86.804267332174788</v>
      </c>
      <c r="V213" s="2">
        <f>[1]节奏总纲!AH213</f>
        <v>96.190942965578103</v>
      </c>
      <c r="AN213" s="2">
        <v>210</v>
      </c>
      <c r="AO213" s="2">
        <f>[1]节奏总纲!BA213</f>
        <v>43.030177309109042</v>
      </c>
      <c r="AP213" s="2">
        <f>[1]节奏总纲!BB213</f>
        <v>44.520381471062606</v>
      </c>
      <c r="AQ213" s="2">
        <f>[1]节奏总纲!BC213</f>
        <v>46.465050858235607</v>
      </c>
      <c r="AR213" s="2">
        <f>[1]节奏总纲!BD213</f>
        <v>49.216271283766375</v>
      </c>
      <c r="AS213" s="2">
        <f>[1]节奏总纲!BE213</f>
        <v>53.929533696600465</v>
      </c>
    </row>
    <row r="214" spans="17:45" x14ac:dyDescent="0.15">
      <c r="Q214" s="2">
        <v>211</v>
      </c>
      <c r="R214" s="2">
        <f>[1]节奏总纲!AD214</f>
        <v>77.272265912925377</v>
      </c>
      <c r="S214" s="2">
        <f>[1]节奏总纲!AE214</f>
        <v>79.327943344771512</v>
      </c>
      <c r="T214" s="2">
        <f>[1]节奏总纲!AF214</f>
        <v>82.304561364481813</v>
      </c>
      <c r="U214" s="2">
        <f>[1]节奏总纲!AG214</f>
        <v>86.880102094712413</v>
      </c>
      <c r="V214" s="2">
        <f>[1]节奏总纲!AH214</f>
        <v>96.251753075503458</v>
      </c>
      <c r="AN214" s="2">
        <v>211</v>
      </c>
      <c r="AO214" s="2">
        <f>[1]节奏总纲!BA214</f>
        <v>43.060134675856759</v>
      </c>
      <c r="AP214" s="2">
        <f>[1]节奏总纲!BB214</f>
        <v>44.55270077894248</v>
      </c>
      <c r="AQ214" s="2">
        <f>[1]节奏总纲!BC214</f>
        <v>46.497157596266817</v>
      </c>
      <c r="AR214" s="2">
        <f>[1]节奏总纲!BD214</f>
        <v>49.247260952261179</v>
      </c>
      <c r="AS214" s="2">
        <f>[1]节奏总纲!BE214</f>
        <v>53.963997969633951</v>
      </c>
    </row>
    <row r="215" spans="17:45" x14ac:dyDescent="0.15">
      <c r="Q215" s="2">
        <v>212</v>
      </c>
      <c r="R215" s="2">
        <f>[1]节奏总纲!AD215</f>
        <v>77.339270592575559</v>
      </c>
      <c r="S215" s="2">
        <f>[1]节奏总纲!AE215</f>
        <v>79.394582576821932</v>
      </c>
      <c r="T215" s="2">
        <f>[1]节奏总纲!AF215</f>
        <v>82.370449876281796</v>
      </c>
      <c r="U215" s="2">
        <f>[1]节奏总纲!AG215</f>
        <v>86.955936857250023</v>
      </c>
      <c r="V215" s="2">
        <f>[1]节奏总纲!AH215</f>
        <v>96.312563185428829</v>
      </c>
      <c r="AN215" s="2">
        <v>212</v>
      </c>
      <c r="AO215" s="2">
        <f>[1]节奏总纲!BA215</f>
        <v>43.090092042604475</v>
      </c>
      <c r="AP215" s="2">
        <f>[1]节奏总纲!BB215</f>
        <v>44.585020086822361</v>
      </c>
      <c r="AQ215" s="2">
        <f>[1]节奏总纲!BC215</f>
        <v>46.529264334298034</v>
      </c>
      <c r="AR215" s="2">
        <f>[1]节奏总纲!BD215</f>
        <v>49.278250620755983</v>
      </c>
      <c r="AS215" s="2">
        <f>[1]节奏总纲!BE215</f>
        <v>53.998462242667436</v>
      </c>
    </row>
    <row r="216" spans="17:45" x14ac:dyDescent="0.15">
      <c r="Q216" s="2">
        <v>213</v>
      </c>
      <c r="R216" s="2">
        <f>[1]节奏总纲!AD216</f>
        <v>77.406275272225741</v>
      </c>
      <c r="S216" s="2">
        <f>[1]节奏总纲!AE216</f>
        <v>79.461221808872352</v>
      </c>
      <c r="T216" s="2">
        <f>[1]节奏总纲!AF216</f>
        <v>82.436338388081793</v>
      </c>
      <c r="U216" s="2">
        <f>[1]节奏总纲!AG216</f>
        <v>87.031203567981635</v>
      </c>
      <c r="V216" s="2">
        <f>[1]节奏总纲!AH216</f>
        <v>96.373373295354199</v>
      </c>
      <c r="AN216" s="2">
        <v>213</v>
      </c>
      <c r="AO216" s="2">
        <f>[1]节奏总纲!BA216</f>
        <v>43.120049409352191</v>
      </c>
      <c r="AP216" s="2">
        <f>[1]节奏总纲!BB216</f>
        <v>44.617339394702242</v>
      </c>
      <c r="AQ216" s="2">
        <f>[1]节奏总纲!BC216</f>
        <v>46.561371072329244</v>
      </c>
      <c r="AR216" s="2">
        <f>[1]节奏总纲!BD216</f>
        <v>49.309240289250788</v>
      </c>
      <c r="AS216" s="2">
        <f>[1]节奏总纲!BE216</f>
        <v>54.028437871105552</v>
      </c>
    </row>
    <row r="217" spans="17:45" x14ac:dyDescent="0.15">
      <c r="Q217" s="2">
        <v>214</v>
      </c>
      <c r="R217" s="2">
        <f>[1]节奏总纲!AD217</f>
        <v>77.473279951875909</v>
      </c>
      <c r="S217" s="2">
        <f>[1]节奏总纲!AE217</f>
        <v>79.527861040922772</v>
      </c>
      <c r="T217" s="2">
        <f>[1]节奏总纲!AF217</f>
        <v>82.502226899881776</v>
      </c>
      <c r="U217" s="2">
        <f>[1]节奏总纲!AG217</f>
        <v>87.10568246405397</v>
      </c>
      <c r="V217" s="2">
        <f>[1]节奏总纲!AH217</f>
        <v>96.434183405279569</v>
      </c>
      <c r="AN217" s="2">
        <v>214</v>
      </c>
      <c r="AO217" s="2">
        <f>[1]节奏总纲!BA217</f>
        <v>43.150006776099914</v>
      </c>
      <c r="AP217" s="2">
        <f>[1]节奏总纲!BB217</f>
        <v>44.649658702582116</v>
      </c>
      <c r="AQ217" s="2">
        <f>[1]节奏总纲!BC217</f>
        <v>46.593477810360454</v>
      </c>
      <c r="AR217" s="2">
        <f>[1]节奏总纲!BD217</f>
        <v>49.340229957745592</v>
      </c>
      <c r="AS217" s="2">
        <f>[1]节奏总纲!BE217</f>
        <v>54.058203867701586</v>
      </c>
    </row>
    <row r="218" spans="17:45" x14ac:dyDescent="0.15">
      <c r="Q218" s="2">
        <v>215</v>
      </c>
      <c r="R218" s="2">
        <f>[1]节奏总纲!AD218</f>
        <v>77.540284631526092</v>
      </c>
      <c r="S218" s="2">
        <f>[1]节奏总纲!AE218</f>
        <v>79.594500272973193</v>
      </c>
      <c r="T218" s="2">
        <f>[1]节奏总纲!AF218</f>
        <v>82.568115411681774</v>
      </c>
      <c r="U218" s="2">
        <f>[1]节奏总纲!AG218</f>
        <v>87.180161360126306</v>
      </c>
      <c r="V218" s="2">
        <f>[1]节奏总纲!AH218</f>
        <v>96.494993515204939</v>
      </c>
      <c r="AN218" s="2">
        <v>215</v>
      </c>
      <c r="AO218" s="2">
        <f>[1]节奏总纲!BA218</f>
        <v>43.179964142847631</v>
      </c>
      <c r="AP218" s="2">
        <f>[1]节奏总纲!BB218</f>
        <v>44.681978010461997</v>
      </c>
      <c r="AQ218" s="2">
        <f>[1]节奏总纲!BC218</f>
        <v>46.625584548391664</v>
      </c>
      <c r="AR218" s="2">
        <f>[1]节奏总纲!BD218</f>
        <v>49.371219626240396</v>
      </c>
      <c r="AS218" s="2">
        <f>[1]节奏总纲!BE218</f>
        <v>54.087969864297619</v>
      </c>
    </row>
    <row r="219" spans="17:45" x14ac:dyDescent="0.15">
      <c r="Q219" s="2">
        <v>216</v>
      </c>
      <c r="R219" s="2">
        <f>[1]节奏总纲!AD219</f>
        <v>77.607289311176274</v>
      </c>
      <c r="S219" s="2">
        <f>[1]节奏总纲!AE219</f>
        <v>79.661139505023613</v>
      </c>
      <c r="T219" s="2">
        <f>[1]节奏总纲!AF219</f>
        <v>82.634003923481771</v>
      </c>
      <c r="U219" s="2">
        <f>[1]节奏总纲!AG219</f>
        <v>87.254640256198641</v>
      </c>
      <c r="V219" s="2">
        <f>[1]节奏总纲!AH219</f>
        <v>96.555803625130309</v>
      </c>
      <c r="AN219" s="2">
        <v>216</v>
      </c>
      <c r="AO219" s="2">
        <f>[1]节奏总纲!BA219</f>
        <v>43.209921509595347</v>
      </c>
      <c r="AP219" s="2">
        <f>[1]节奏总纲!BB219</f>
        <v>44.71429731834187</v>
      </c>
      <c r="AQ219" s="2">
        <f>[1]节奏总纲!BC219</f>
        <v>46.657691286422882</v>
      </c>
      <c r="AR219" s="2">
        <f>[1]节奏总纲!BD219</f>
        <v>49.402209294735208</v>
      </c>
      <c r="AS219" s="2">
        <f>[1]节奏总纲!BE219</f>
        <v>54.117735860893646</v>
      </c>
    </row>
    <row r="220" spans="17:45" x14ac:dyDescent="0.15">
      <c r="Q220" s="2">
        <v>217</v>
      </c>
      <c r="R220" s="2">
        <f>[1]节奏总纲!AD220</f>
        <v>77.674293990826456</v>
      </c>
      <c r="S220" s="2">
        <f>[1]节奏总纲!AE220</f>
        <v>79.727778737074033</v>
      </c>
      <c r="T220" s="2">
        <f>[1]节奏总纲!AF220</f>
        <v>82.699892435281754</v>
      </c>
      <c r="U220" s="2">
        <f>[1]节奏总纲!AG220</f>
        <v>87.329119152270991</v>
      </c>
      <c r="V220" s="2">
        <f>[1]节奏总纲!AH220</f>
        <v>96.61661373505568</v>
      </c>
      <c r="AN220" s="2">
        <v>217</v>
      </c>
      <c r="AO220" s="2">
        <f>[1]节奏总纲!BA220</f>
        <v>43.239878876343063</v>
      </c>
      <c r="AP220" s="2">
        <f>[1]节奏总纲!BB220</f>
        <v>44.746616626221751</v>
      </c>
      <c r="AQ220" s="2">
        <f>[1]节奏总纲!BC220</f>
        <v>46.689798024454092</v>
      </c>
      <c r="AR220" s="2">
        <f>[1]节奏总纲!BD220</f>
        <v>49.433198963230012</v>
      </c>
      <c r="AS220" s="2">
        <f>[1]节奏总纲!BE220</f>
        <v>54.147501857489679</v>
      </c>
    </row>
    <row r="221" spans="17:45" x14ac:dyDescent="0.15">
      <c r="Q221" s="2">
        <v>218</v>
      </c>
      <c r="R221" s="2">
        <f>[1]节奏总纲!AD221</f>
        <v>77.741298670476638</v>
      </c>
      <c r="S221" s="2">
        <f>[1]节奏总纲!AE221</f>
        <v>79.794417969124453</v>
      </c>
      <c r="T221" s="2">
        <f>[1]节奏总纲!AF221</f>
        <v>82.765780947081751</v>
      </c>
      <c r="U221" s="2">
        <f>[1]节奏总纲!AG221</f>
        <v>87.403598048343326</v>
      </c>
      <c r="V221" s="2">
        <f>[1]节奏总纲!AH221</f>
        <v>96.67742384498105</v>
      </c>
      <c r="AN221" s="2">
        <v>218</v>
      </c>
      <c r="AO221" s="2">
        <f>[1]节奏总纲!BA221</f>
        <v>43.269836243090786</v>
      </c>
      <c r="AP221" s="2">
        <f>[1]节奏总纲!BB221</f>
        <v>44.778935934101632</v>
      </c>
      <c r="AQ221" s="2">
        <f>[1]节奏总纲!BC221</f>
        <v>46.721904762485302</v>
      </c>
      <c r="AR221" s="2">
        <f>[1]节奏总纲!BD221</f>
        <v>49.464188631724817</v>
      </c>
      <c r="AS221" s="2">
        <f>[1]节奏总纲!BE221</f>
        <v>54.177267854085706</v>
      </c>
    </row>
    <row r="222" spans="17:45" x14ac:dyDescent="0.15">
      <c r="Q222" s="2">
        <v>219</v>
      </c>
      <c r="R222" s="2">
        <f>[1]节奏总纲!AD222</f>
        <v>77.80830335012682</v>
      </c>
      <c r="S222" s="2">
        <f>[1]节奏总纲!AE222</f>
        <v>79.861057201174873</v>
      </c>
      <c r="T222" s="2">
        <f>[1]节奏总纲!AF222</f>
        <v>82.831669458881734</v>
      </c>
      <c r="U222" s="2">
        <f>[1]节奏总纲!AG222</f>
        <v>87.478076944415662</v>
      </c>
      <c r="V222" s="2">
        <f>[1]节奏总纲!AH222</f>
        <v>96.73823395490642</v>
      </c>
      <c r="AN222" s="2">
        <v>219</v>
      </c>
      <c r="AO222" s="2">
        <f>[1]节奏总纲!BA222</f>
        <v>43.299793609838503</v>
      </c>
      <c r="AP222" s="2">
        <f>[1]节奏总纲!BB222</f>
        <v>44.811255241981506</v>
      </c>
      <c r="AQ222" s="2">
        <f>[1]节奏总纲!BC222</f>
        <v>46.754011500516519</v>
      </c>
      <c r="AR222" s="2">
        <f>[1]节奏总纲!BD222</f>
        <v>49.495178300219621</v>
      </c>
      <c r="AS222" s="2">
        <f>[1]节奏总纲!BE222</f>
        <v>54.207033850681739</v>
      </c>
    </row>
    <row r="223" spans="17:45" x14ac:dyDescent="0.15">
      <c r="Q223" s="2">
        <v>220</v>
      </c>
      <c r="R223" s="2">
        <f>[1]节奏总纲!AD223</f>
        <v>77.875308029777003</v>
      </c>
      <c r="S223" s="2">
        <f>[1]节奏总纲!AE223</f>
        <v>79.927696433225293</v>
      </c>
      <c r="T223" s="2">
        <f>[1]节奏总纲!AF223</f>
        <v>82.897557970681731</v>
      </c>
      <c r="U223" s="2">
        <f>[1]节奏总纲!AG223</f>
        <v>87.552555840488012</v>
      </c>
      <c r="V223" s="2">
        <f>[1]节奏总纲!AH223</f>
        <v>96.79904406483179</v>
      </c>
      <c r="AN223" s="2">
        <v>220</v>
      </c>
      <c r="AO223" s="2">
        <f>[1]节奏总纲!BA223</f>
        <v>43.329750976586219</v>
      </c>
      <c r="AP223" s="2">
        <f>[1]节奏总纲!BB223</f>
        <v>44.843574549861387</v>
      </c>
      <c r="AQ223" s="2">
        <f>[1]节奏总纲!BC223</f>
        <v>46.786118238547729</v>
      </c>
      <c r="AR223" s="2">
        <f>[1]节奏总纲!BD223</f>
        <v>49.526167968714425</v>
      </c>
      <c r="AS223" s="2">
        <f>[1]节奏总纲!BE223</f>
        <v>54.236799847277773</v>
      </c>
    </row>
    <row r="224" spans="17:45" x14ac:dyDescent="0.15">
      <c r="Q224" s="2">
        <v>221</v>
      </c>
      <c r="R224" s="2">
        <f>[1]节奏总纲!AD224</f>
        <v>77.942312709427185</v>
      </c>
      <c r="S224" s="2">
        <f>[1]节奏总纲!AE224</f>
        <v>79.994335665275713</v>
      </c>
      <c r="T224" s="2">
        <f>[1]节奏总纲!AF224</f>
        <v>82.963446482481729</v>
      </c>
      <c r="U224" s="2">
        <f>[1]节奏总纲!AG224</f>
        <v>87.627034736560347</v>
      </c>
      <c r="V224" s="2">
        <f>[1]节奏总纲!AH224</f>
        <v>96.85985417475716</v>
      </c>
      <c r="AN224" s="2">
        <v>221</v>
      </c>
      <c r="AO224" s="2">
        <f>[1]节奏总纲!BA224</f>
        <v>43.359708343333942</v>
      </c>
      <c r="AP224" s="2">
        <f>[1]节奏总纲!BB224</f>
        <v>44.875893857741268</v>
      </c>
      <c r="AQ224" s="2">
        <f>[1]节奏总纲!BC224</f>
        <v>46.818224976578939</v>
      </c>
      <c r="AR224" s="2">
        <f>[1]节奏总纲!BD224</f>
        <v>49.55715763720923</v>
      </c>
      <c r="AS224" s="2">
        <f>[1]节奏总纲!BE224</f>
        <v>54.266565843873799</v>
      </c>
    </row>
    <row r="225" spans="17:45" x14ac:dyDescent="0.15">
      <c r="Q225" s="2">
        <v>222</v>
      </c>
      <c r="R225" s="2">
        <f>[1]节奏总纲!AD225</f>
        <v>78.008693431404168</v>
      </c>
      <c r="S225" s="2">
        <f>[1]节奏总纲!AE225</f>
        <v>80.05990507131493</v>
      </c>
      <c r="T225" s="2">
        <f>[1]节奏总纲!AF225</f>
        <v>83.028328094754301</v>
      </c>
      <c r="U225" s="2">
        <f>[1]节奏总纲!AG225</f>
        <v>87.701513632632683</v>
      </c>
      <c r="V225" s="2">
        <f>[1]节奏总纲!AH225</f>
        <v>96.920664284682516</v>
      </c>
      <c r="AN225" s="2">
        <v>222</v>
      </c>
      <c r="AO225" s="2">
        <f>[1]节奏总纲!BA225</f>
        <v>43.389665710081658</v>
      </c>
      <c r="AP225" s="2">
        <f>[1]节奏总纲!BB225</f>
        <v>44.908213165621142</v>
      </c>
      <c r="AQ225" s="2">
        <f>[1]节奏总纲!BC225</f>
        <v>46.850331714610157</v>
      </c>
      <c r="AR225" s="2">
        <f>[1]节奏总纲!BD225</f>
        <v>49.588147305704041</v>
      </c>
      <c r="AS225" s="2">
        <f>[1]节奏总纲!BE225</f>
        <v>54.296331840469833</v>
      </c>
    </row>
    <row r="226" spans="17:45" x14ac:dyDescent="0.15">
      <c r="Q226" s="2">
        <v>223</v>
      </c>
      <c r="R226" s="2">
        <f>[1]节奏总纲!AD226</f>
        <v>78.071211008105138</v>
      </c>
      <c r="S226" s="2">
        <f>[1]节奏总纲!AE226</f>
        <v>80.125375094609936</v>
      </c>
      <c r="T226" s="2">
        <f>[1]节奏总纲!AF226</f>
        <v>83.091955037632331</v>
      </c>
      <c r="U226" s="2">
        <f>[1]节奏总纲!AG226</f>
        <v>87.775992528705018</v>
      </c>
      <c r="V226" s="2">
        <f>[1]节奏总纲!AH226</f>
        <v>96.981474394607886</v>
      </c>
      <c r="AN226" s="2">
        <v>223</v>
      </c>
      <c r="AO226" s="2">
        <f>[1]节奏总纲!BA226</f>
        <v>43.419623076829374</v>
      </c>
      <c r="AP226" s="2">
        <f>[1]节奏总纲!BB226</f>
        <v>44.940532473501023</v>
      </c>
      <c r="AQ226" s="2">
        <f>[1]节奏总纲!BC226</f>
        <v>46.882438452641367</v>
      </c>
      <c r="AR226" s="2">
        <f>[1]节奏总纲!BD226</f>
        <v>49.619136974198845</v>
      </c>
      <c r="AS226" s="2">
        <f>[1]节奏总纲!BE226</f>
        <v>54.326097837065859</v>
      </c>
    </row>
    <row r="227" spans="17:45" x14ac:dyDescent="0.15">
      <c r="Q227" s="2">
        <v>224</v>
      </c>
      <c r="R227" s="2">
        <f>[1]节奏总纲!AD227</f>
        <v>78.133728584806107</v>
      </c>
      <c r="S227" s="2">
        <f>[1]节奏总纲!AE227</f>
        <v>80.190845117904942</v>
      </c>
      <c r="T227" s="2">
        <f>[1]节奏总纲!AF227</f>
        <v>83.155581980510348</v>
      </c>
      <c r="U227" s="2">
        <f>[1]节奏总纲!AG227</f>
        <v>87.850471424777368</v>
      </c>
      <c r="V227" s="2">
        <f>[1]节奏总纲!AH227</f>
        <v>97.03979962522213</v>
      </c>
      <c r="AN227" s="2">
        <v>224</v>
      </c>
      <c r="AO227" s="2">
        <f>[1]节奏总纲!BA227</f>
        <v>43.449580443577091</v>
      </c>
      <c r="AP227" s="2">
        <f>[1]节奏总纲!BB227</f>
        <v>44.972851781380903</v>
      </c>
      <c r="AQ227" s="2">
        <f>[1]节奏总纲!BC227</f>
        <v>46.914545190672577</v>
      </c>
      <c r="AR227" s="2">
        <f>[1]节奏总纲!BD227</f>
        <v>49.65012664269365</v>
      </c>
      <c r="AS227" s="2">
        <f>[1]节奏总纲!BE227</f>
        <v>54.355863833661893</v>
      </c>
    </row>
    <row r="228" spans="17:45" x14ac:dyDescent="0.15">
      <c r="Q228" s="2">
        <v>225</v>
      </c>
      <c r="R228" s="2">
        <f>[1]节奏总纲!AD228</f>
        <v>78.196246161507091</v>
      </c>
      <c r="S228" s="2">
        <f>[1]节奏总纲!AE228</f>
        <v>80.256315141199948</v>
      </c>
      <c r="T228" s="2">
        <f>[1]节奏总纲!AF228</f>
        <v>83.219208923388379</v>
      </c>
      <c r="U228" s="2">
        <f>[1]节奏总纲!AG228</f>
        <v>87.924950320849703</v>
      </c>
      <c r="V228" s="2">
        <f>[1]节奏总纲!AH228</f>
        <v>97.097036185315744</v>
      </c>
      <c r="AN228" s="2">
        <v>225</v>
      </c>
      <c r="AO228" s="2">
        <f>[1]节奏总纲!BA228</f>
        <v>43.479537810324814</v>
      </c>
      <c r="AP228" s="2">
        <f>[1]节奏总纲!BB228</f>
        <v>45.004463376644416</v>
      </c>
      <c r="AQ228" s="2">
        <f>[1]节奏总纲!BC228</f>
        <v>46.946651928703794</v>
      </c>
      <c r="AR228" s="2">
        <f>[1]节奏总纲!BD228</f>
        <v>49.681116311188454</v>
      </c>
      <c r="AS228" s="2">
        <f>[1]节奏总纲!BE228</f>
        <v>54.385629830257926</v>
      </c>
    </row>
    <row r="229" spans="17:45" x14ac:dyDescent="0.15">
      <c r="Q229" s="2">
        <v>226</v>
      </c>
      <c r="R229" s="2">
        <f>[1]节奏总纲!AD229</f>
        <v>78.25876373820806</v>
      </c>
      <c r="S229" s="2">
        <f>[1]节奏总纲!AE229</f>
        <v>80.321785164494941</v>
      </c>
      <c r="T229" s="2">
        <f>[1]节奏总纲!AF229</f>
        <v>83.282835866266396</v>
      </c>
      <c r="U229" s="2">
        <f>[1]节奏总纲!AG229</f>
        <v>87.999429216922039</v>
      </c>
      <c r="V229" s="2">
        <f>[1]节奏总纲!AH229</f>
        <v>97.154272745409358</v>
      </c>
      <c r="AN229" s="2">
        <v>226</v>
      </c>
      <c r="AO229" s="2">
        <f>[1]节奏总纲!BA229</f>
        <v>43.50949517707253</v>
      </c>
      <c r="AP229" s="2">
        <f>[1]节奏总纲!BB229</f>
        <v>45.032359480672049</v>
      </c>
      <c r="AQ229" s="2">
        <f>[1]节奏总纲!BC229</f>
        <v>46.978758666735004</v>
      </c>
      <c r="AR229" s="2">
        <f>[1]节奏总纲!BD229</f>
        <v>49.712105979683258</v>
      </c>
      <c r="AS229" s="2">
        <f>[1]节奏总纲!BE229</f>
        <v>54.415395826853953</v>
      </c>
    </row>
    <row r="230" spans="17:45" x14ac:dyDescent="0.15">
      <c r="Q230" s="2">
        <v>227</v>
      </c>
      <c r="R230" s="2">
        <f>[1]节奏总纲!AD230</f>
        <v>78.321281314909029</v>
      </c>
      <c r="S230" s="2">
        <f>[1]节奏总纲!AE230</f>
        <v>80.387255187789947</v>
      </c>
      <c r="T230" s="2">
        <f>[1]节奏总纲!AF230</f>
        <v>83.346462809144427</v>
      </c>
      <c r="U230" s="2">
        <f>[1]节奏总纲!AG230</f>
        <v>88.069378113045531</v>
      </c>
      <c r="V230" s="2">
        <f>[1]节奏总纲!AH230</f>
        <v>97.211509305502972</v>
      </c>
      <c r="AN230" s="2">
        <v>227</v>
      </c>
      <c r="AO230" s="2">
        <f>[1]节奏总纲!BA230</f>
        <v>43.539452543820246</v>
      </c>
      <c r="AP230" s="2">
        <f>[1]节奏总纲!BB230</f>
        <v>45.060255584699682</v>
      </c>
      <c r="AQ230" s="2">
        <f>[1]节奏总纲!BC230</f>
        <v>47.009379755645142</v>
      </c>
      <c r="AR230" s="2">
        <f>[1]节奏总纲!BD230</f>
        <v>49.743095648178063</v>
      </c>
      <c r="AS230" s="2">
        <f>[1]节奏总纲!BE230</f>
        <v>54.445161823449986</v>
      </c>
    </row>
    <row r="231" spans="17:45" x14ac:dyDescent="0.15">
      <c r="Q231" s="2">
        <v>228</v>
      </c>
      <c r="R231" s="2">
        <f>[1]节奏总纲!AD231</f>
        <v>78.383798891610013</v>
      </c>
      <c r="S231" s="2">
        <f>[1]节奏总纲!AE231</f>
        <v>80.452725211084953</v>
      </c>
      <c r="T231" s="2">
        <f>[1]节奏总纲!AF231</f>
        <v>83.410089752022458</v>
      </c>
      <c r="U231" s="2">
        <f>[1]节奏总纲!AG231</f>
        <v>88.139292024548126</v>
      </c>
      <c r="V231" s="2">
        <f>[1]节奏总纲!AH231</f>
        <v>97.268745865596571</v>
      </c>
      <c r="AN231" s="2">
        <v>228</v>
      </c>
      <c r="AO231" s="2">
        <f>[1]节奏总纲!BA231</f>
        <v>43.569409910567963</v>
      </c>
      <c r="AP231" s="2">
        <f>[1]节奏总纲!BB231</f>
        <v>45.088151688727308</v>
      </c>
      <c r="AQ231" s="2">
        <f>[1]节奏总纲!BC231</f>
        <v>47.037096473409001</v>
      </c>
      <c r="AR231" s="2">
        <f>[1]节奏总纲!BD231</f>
        <v>49.774085316672867</v>
      </c>
      <c r="AS231" s="2">
        <f>[1]节奏总纲!BE231</f>
        <v>54.47492782004602</v>
      </c>
    </row>
    <row r="232" spans="17:45" x14ac:dyDescent="0.15">
      <c r="Q232" s="2">
        <v>229</v>
      </c>
      <c r="R232" s="2">
        <f>[1]节奏总纲!AD232</f>
        <v>78.446316468310982</v>
      </c>
      <c r="S232" s="2">
        <f>[1]节奏总纲!AE232</f>
        <v>80.518195234379959</v>
      </c>
      <c r="T232" s="2">
        <f>[1]节奏总纲!AF232</f>
        <v>83.473716694900475</v>
      </c>
      <c r="U232" s="2">
        <f>[1]节奏总纲!AG232</f>
        <v>88.209205936050708</v>
      </c>
      <c r="V232" s="2">
        <f>[1]节奏总纲!AH232</f>
        <v>97.325982425690185</v>
      </c>
      <c r="AN232" s="2">
        <v>229</v>
      </c>
      <c r="AO232" s="2">
        <f>[1]节奏总纲!BA232</f>
        <v>43.599367277315686</v>
      </c>
      <c r="AP232" s="2">
        <f>[1]节奏总纲!BB232</f>
        <v>45.116047792754941</v>
      </c>
      <c r="AQ232" s="2">
        <f>[1]节奏总纲!BC232</f>
        <v>47.06481319117286</v>
      </c>
      <c r="AR232" s="2">
        <f>[1]节奏总纲!BD232</f>
        <v>49.805074985167678</v>
      </c>
      <c r="AS232" s="2">
        <f>[1]节奏总纲!BE232</f>
        <v>54.504693816642046</v>
      </c>
    </row>
    <row r="233" spans="17:45" x14ac:dyDescent="0.15">
      <c r="Q233" s="2">
        <v>230</v>
      </c>
      <c r="R233" s="2">
        <f>[1]节奏总纲!AD233</f>
        <v>78.508834045011952</v>
      </c>
      <c r="S233" s="2">
        <f>[1]节奏总纲!AE233</f>
        <v>80.583665257674966</v>
      </c>
      <c r="T233" s="2">
        <f>[1]节奏总纲!AF233</f>
        <v>83.537343637778505</v>
      </c>
      <c r="U233" s="2">
        <f>[1]节奏总纲!AG233</f>
        <v>88.279119847553304</v>
      </c>
      <c r="V233" s="2">
        <f>[1]节奏总纲!AH233</f>
        <v>97.383218985783799</v>
      </c>
      <c r="AN233" s="2">
        <v>230</v>
      </c>
      <c r="AO233" s="2">
        <f>[1]节奏总纲!BA233</f>
        <v>43.629324644063402</v>
      </c>
      <c r="AP233" s="2">
        <f>[1]节奏总纲!BB233</f>
        <v>45.143943896782567</v>
      </c>
      <c r="AQ233" s="2">
        <f>[1]节奏总纲!BC233</f>
        <v>47.092529908936719</v>
      </c>
      <c r="AR233" s="2">
        <f>[1]节奏总纲!BD233</f>
        <v>49.836064653662483</v>
      </c>
      <c r="AS233" s="2">
        <f>[1]节奏总纲!BE233</f>
        <v>54.53445981323808</v>
      </c>
    </row>
    <row r="234" spans="17:45" x14ac:dyDescent="0.15">
      <c r="Q234" s="2">
        <v>231</v>
      </c>
      <c r="R234" s="2">
        <f>[1]节奏总纲!AD234</f>
        <v>78.571351621712921</v>
      </c>
      <c r="S234" s="2">
        <f>[1]节奏总纲!AE234</f>
        <v>80.649135280969972</v>
      </c>
      <c r="T234" s="2">
        <f>[1]节奏总纲!AF234</f>
        <v>83.600970580656536</v>
      </c>
      <c r="U234" s="2">
        <f>[1]节奏总纲!AG234</f>
        <v>88.349033759055899</v>
      </c>
      <c r="V234" s="2">
        <f>[1]节奏总纲!AH234</f>
        <v>97.440455545877413</v>
      </c>
      <c r="AN234" s="2">
        <v>231</v>
      </c>
      <c r="AO234" s="2">
        <f>[1]节奏总纲!BA234</f>
        <v>43.659282010811118</v>
      </c>
      <c r="AP234" s="2">
        <f>[1]节奏总纲!BB234</f>
        <v>45.171840000810199</v>
      </c>
      <c r="AQ234" s="2">
        <f>[1]节奏总纲!BC234</f>
        <v>47.120246626700578</v>
      </c>
      <c r="AR234" s="2">
        <f>[1]节奏总纲!BD234</f>
        <v>49.867054322157287</v>
      </c>
      <c r="AS234" s="2">
        <f>[1]节奏总纲!BE234</f>
        <v>54.564225809834106</v>
      </c>
    </row>
    <row r="235" spans="17:45" x14ac:dyDescent="0.15">
      <c r="Q235" s="2">
        <v>232</v>
      </c>
      <c r="R235" s="2">
        <f>[1]节奏总纲!AD235</f>
        <v>78.633869198413905</v>
      </c>
      <c r="S235" s="2">
        <f>[1]节奏总纲!AE235</f>
        <v>80.714605304264978</v>
      </c>
      <c r="T235" s="2">
        <f>[1]节奏总纲!AF235</f>
        <v>83.664597523534553</v>
      </c>
      <c r="U235" s="2">
        <f>[1]节奏总纲!AG235</f>
        <v>88.418947670558495</v>
      </c>
      <c r="V235" s="2">
        <f>[1]节奏总纲!AH235</f>
        <v>97.497692105971026</v>
      </c>
      <c r="AN235" s="2">
        <v>232</v>
      </c>
      <c r="AO235" s="2">
        <f>[1]节奏总纲!BA235</f>
        <v>43.689239377558835</v>
      </c>
      <c r="AP235" s="2">
        <f>[1]节奏总纲!BB235</f>
        <v>45.199736104837825</v>
      </c>
      <c r="AQ235" s="2">
        <f>[1]节奏总纲!BC235</f>
        <v>47.147963344464429</v>
      </c>
      <c r="AR235" s="2">
        <f>[1]节奏总纲!BD235</f>
        <v>49.898043990652091</v>
      </c>
      <c r="AS235" s="2">
        <f>[1]节奏总纲!BE235</f>
        <v>54.593991806430139</v>
      </c>
    </row>
    <row r="236" spans="17:45" x14ac:dyDescent="0.15">
      <c r="Q236" s="2">
        <v>233</v>
      </c>
      <c r="R236" s="2">
        <f>[1]节奏总纲!AD236</f>
        <v>78.696386775114874</v>
      </c>
      <c r="S236" s="2">
        <f>[1]节奏总纲!AE236</f>
        <v>80.78007532755997</v>
      </c>
      <c r="T236" s="2">
        <f>[1]节奏总纲!AF236</f>
        <v>83.728224466412584</v>
      </c>
      <c r="U236" s="2">
        <f>[1]节奏总纲!AG236</f>
        <v>88.488861582061077</v>
      </c>
      <c r="V236" s="2">
        <f>[1]节奏总纲!AH236</f>
        <v>97.554928666064626</v>
      </c>
      <c r="AN236" s="2">
        <v>233</v>
      </c>
      <c r="AO236" s="2">
        <f>[1]节奏总纲!BA236</f>
        <v>43.719196744306558</v>
      </c>
      <c r="AP236" s="2">
        <f>[1]节奏总纲!BB236</f>
        <v>45.227632208865458</v>
      </c>
      <c r="AQ236" s="2">
        <f>[1]节奏总纲!BC236</f>
        <v>47.175680062228288</v>
      </c>
      <c r="AR236" s="2">
        <f>[1]节奏总纲!BD236</f>
        <v>49.929033659146896</v>
      </c>
      <c r="AS236" s="2">
        <f>[1]节奏总纲!BE236</f>
        <v>54.623757803026173</v>
      </c>
    </row>
    <row r="237" spans="17:45" x14ac:dyDescent="0.15">
      <c r="Q237" s="2">
        <v>234</v>
      </c>
      <c r="R237" s="2">
        <f>[1]节奏总纲!AD237</f>
        <v>78.758904351815843</v>
      </c>
      <c r="S237" s="2">
        <f>[1]节奏总纲!AE237</f>
        <v>80.845545350854977</v>
      </c>
      <c r="T237" s="2">
        <f>[1]节奏总纲!AF237</f>
        <v>83.791851409290615</v>
      </c>
      <c r="U237" s="2">
        <f>[1]节奏总纲!AG237</f>
        <v>88.558775493563672</v>
      </c>
      <c r="V237" s="2">
        <f>[1]节奏总纲!AH237</f>
        <v>97.61216522615824</v>
      </c>
      <c r="AN237" s="2">
        <v>234</v>
      </c>
      <c r="AO237" s="2">
        <f>[1]节奏总纲!BA237</f>
        <v>43.749154111054274</v>
      </c>
      <c r="AP237" s="2">
        <f>[1]节奏总纲!BB237</f>
        <v>45.255528312893091</v>
      </c>
      <c r="AQ237" s="2">
        <f>[1]节奏总纲!BC237</f>
        <v>47.203396779992147</v>
      </c>
      <c r="AR237" s="2">
        <f>[1]节奏总纲!BD237</f>
        <v>49.9600233276417</v>
      </c>
      <c r="AS237" s="2">
        <f>[1]节奏总纲!BE237</f>
        <v>54.653523799622199</v>
      </c>
    </row>
    <row r="238" spans="17:45" x14ac:dyDescent="0.15">
      <c r="Q238" s="2">
        <v>235</v>
      </c>
      <c r="R238" s="2">
        <f>[1]节奏总纲!AD238</f>
        <v>78.821421928516827</v>
      </c>
      <c r="S238" s="2">
        <f>[1]节奏总纲!AE238</f>
        <v>80.911015374149983</v>
      </c>
      <c r="T238" s="2">
        <f>[1]节奏总纲!AF238</f>
        <v>83.855478352168632</v>
      </c>
      <c r="U238" s="2">
        <f>[1]节奏总纲!AG238</f>
        <v>88.628689405066268</v>
      </c>
      <c r="V238" s="2">
        <f>[1]节奏总纲!AH238</f>
        <v>97.669401786251854</v>
      </c>
      <c r="AN238" s="2">
        <v>235</v>
      </c>
      <c r="AO238" s="2">
        <f>[1]节奏总纲!BA238</f>
        <v>43.77911147780199</v>
      </c>
      <c r="AP238" s="2">
        <f>[1]节奏总纲!BB238</f>
        <v>45.283424416920717</v>
      </c>
      <c r="AQ238" s="2">
        <f>[1]节奏总纲!BC238</f>
        <v>47.231113497756006</v>
      </c>
      <c r="AR238" s="2">
        <f>[1]节奏总纲!BD238</f>
        <v>49.991012996136504</v>
      </c>
      <c r="AS238" s="2">
        <f>[1]节奏总纲!BE238</f>
        <v>54.683289796218233</v>
      </c>
    </row>
    <row r="239" spans="17:45" x14ac:dyDescent="0.15">
      <c r="Q239" s="2">
        <v>236</v>
      </c>
      <c r="R239" s="2">
        <f>[1]节奏总纲!AD239</f>
        <v>78.883939505217796</v>
      </c>
      <c r="S239" s="2">
        <f>[1]节奏总纲!AE239</f>
        <v>80.976485397444989</v>
      </c>
      <c r="T239" s="2">
        <f>[1]节奏总纲!AF239</f>
        <v>83.919105295046663</v>
      </c>
      <c r="U239" s="2">
        <f>[1]节奏总纲!AG239</f>
        <v>88.698603316568864</v>
      </c>
      <c r="V239" s="2">
        <f>[1]节奏总纲!AH239</f>
        <v>97.726638346345467</v>
      </c>
      <c r="AN239" s="2">
        <v>236</v>
      </c>
      <c r="AO239" s="2">
        <f>[1]节奏总纲!BA239</f>
        <v>43.809068844549707</v>
      </c>
      <c r="AP239" s="2">
        <f>[1]节奏总纲!BB239</f>
        <v>45.31132052094835</v>
      </c>
      <c r="AQ239" s="2">
        <f>[1]节奏总纲!BC239</f>
        <v>47.258830215519865</v>
      </c>
      <c r="AR239" s="2">
        <f>[1]节奏总纲!BD239</f>
        <v>50.018998195299922</v>
      </c>
      <c r="AS239" s="2">
        <f>[1]节奏总纲!BE239</f>
        <v>54.713055792814259</v>
      </c>
    </row>
    <row r="240" spans="17:45" x14ac:dyDescent="0.15">
      <c r="Q240" s="2">
        <v>237</v>
      </c>
      <c r="R240" s="2">
        <f>[1]节奏总纲!AD240</f>
        <v>78.946457081918766</v>
      </c>
      <c r="S240" s="2">
        <f>[1]节奏总纲!AE240</f>
        <v>81.038163244467697</v>
      </c>
      <c r="T240" s="2">
        <f>[1]节奏总纲!AF240</f>
        <v>83.982732237924694</v>
      </c>
      <c r="U240" s="2">
        <f>[1]节奏总纲!AG240</f>
        <v>88.768517228071445</v>
      </c>
      <c r="V240" s="2">
        <f>[1]节奏总纲!AH240</f>
        <v>97.783874906439081</v>
      </c>
      <c r="AN240" s="2">
        <v>237</v>
      </c>
      <c r="AO240" s="2">
        <f>[1]节奏总纲!BA240</f>
        <v>43.83902621129743</v>
      </c>
      <c r="AP240" s="2">
        <f>[1]节奏总纲!BB240</f>
        <v>45.339216624975975</v>
      </c>
      <c r="AQ240" s="2">
        <f>[1]节奏总纲!BC240</f>
        <v>47.286546933283724</v>
      </c>
      <c r="AR240" s="2">
        <f>[1]节奏总纲!BD240</f>
        <v>50.045756216849099</v>
      </c>
      <c r="AS240" s="2">
        <f>[1]节奏总纲!BE240</f>
        <v>54.742821789410293</v>
      </c>
    </row>
    <row r="241" spans="17:45" x14ac:dyDescent="0.15">
      <c r="Q241" s="2">
        <v>238</v>
      </c>
      <c r="R241" s="2">
        <f>[1]节奏总纲!AD241</f>
        <v>79.008373652580005</v>
      </c>
      <c r="S241" s="2">
        <f>[1]节奏总纲!AE241</f>
        <v>81.097715704203424</v>
      </c>
      <c r="T241" s="2">
        <f>[1]节奏总纲!AF241</f>
        <v>84.043767921022209</v>
      </c>
      <c r="U241" s="2">
        <f>[1]节奏总纲!AG241</f>
        <v>88.838431139574041</v>
      </c>
      <c r="V241" s="2">
        <f>[1]节奏总纲!AH241</f>
        <v>97.841111466532681</v>
      </c>
      <c r="AN241" s="2">
        <v>238</v>
      </c>
      <c r="AO241" s="2">
        <f>[1]节奏总纲!BA241</f>
        <v>43.868983578045146</v>
      </c>
      <c r="AP241" s="2">
        <f>[1]节奏总纲!BB241</f>
        <v>45.367112729003608</v>
      </c>
      <c r="AQ241" s="2">
        <f>[1]节奏总纲!BC241</f>
        <v>47.314263651047582</v>
      </c>
      <c r="AR241" s="2">
        <f>[1]节奏总纲!BD241</f>
        <v>50.072514238398277</v>
      </c>
      <c r="AS241" s="2">
        <f>[1]节奏总纲!BE241</f>
        <v>54.772587786006326</v>
      </c>
    </row>
    <row r="242" spans="17:45" x14ac:dyDescent="0.15">
      <c r="Q242" s="2">
        <v>239</v>
      </c>
      <c r="R242" s="2">
        <f>[1]节奏总纲!AD242</f>
        <v>79.066704614192943</v>
      </c>
      <c r="S242" s="2">
        <f>[1]节奏总纲!AE242</f>
        <v>81.157268163939136</v>
      </c>
      <c r="T242" s="2">
        <f>[1]节奏总纲!AF242</f>
        <v>84.103838417578672</v>
      </c>
      <c r="U242" s="2">
        <f>[1]节奏总纲!AG242</f>
        <v>88.908345051076637</v>
      </c>
      <c r="V242" s="2">
        <f>[1]节奏总纲!AH242</f>
        <v>97.898348026626294</v>
      </c>
      <c r="AN242" s="2">
        <v>239</v>
      </c>
      <c r="AO242" s="2">
        <f>[1]节奏总纲!BA242</f>
        <v>43.898940944792862</v>
      </c>
      <c r="AP242" s="2">
        <f>[1]节奏总纲!BB242</f>
        <v>45.395008833031234</v>
      </c>
      <c r="AQ242" s="2">
        <f>[1]节奏总纲!BC242</f>
        <v>47.341980368811441</v>
      </c>
      <c r="AR242" s="2">
        <f>[1]节奏总纲!BD242</f>
        <v>50.099272259947462</v>
      </c>
      <c r="AS242" s="2">
        <f>[1]节奏总纲!BE242</f>
        <v>54.802353782602353</v>
      </c>
    </row>
    <row r="243" spans="17:45" x14ac:dyDescent="0.15">
      <c r="Q243" s="2">
        <v>240</v>
      </c>
      <c r="R243" s="2">
        <f>[1]节奏总纲!AD243</f>
        <v>79.125035575805882</v>
      </c>
      <c r="S243" s="2">
        <f>[1]节奏总纲!AE243</f>
        <v>81.216820623674849</v>
      </c>
      <c r="T243" s="2">
        <f>[1]节奏总纲!AF243</f>
        <v>84.163908914135135</v>
      </c>
      <c r="U243" s="2">
        <f>[1]节奏总纲!AG243</f>
        <v>88.978258962579233</v>
      </c>
      <c r="V243" s="2">
        <f>[1]节奏总纲!AH243</f>
        <v>97.955584586719908</v>
      </c>
      <c r="AN243" s="2">
        <v>240</v>
      </c>
      <c r="AO243" s="2">
        <f>[1]节奏总纲!BA243</f>
        <v>43.928898311540586</v>
      </c>
      <c r="AP243" s="2">
        <f>[1]节奏总纲!BB243</f>
        <v>45.422904937058867</v>
      </c>
      <c r="AQ243" s="2">
        <f>[1]节奏总纲!BC243</f>
        <v>47.3696970865753</v>
      </c>
      <c r="AR243" s="2">
        <f>[1]节奏总纲!BD243</f>
        <v>50.126030281496639</v>
      </c>
      <c r="AS243" s="2">
        <f>[1]节奏总纲!BE243</f>
        <v>54.832119779198386</v>
      </c>
    </row>
    <row r="244" spans="17:45" x14ac:dyDescent="0.15">
      <c r="Q244" s="2">
        <v>241</v>
      </c>
      <c r="R244" s="2">
        <f>[1]节奏总纲!AD244</f>
        <v>79.18336653741882</v>
      </c>
      <c r="S244" s="2">
        <f>[1]节奏总纲!AE244</f>
        <v>81.276373083410562</v>
      </c>
      <c r="T244" s="2">
        <f>[1]节奏总纲!AF244</f>
        <v>84.223979410691598</v>
      </c>
      <c r="U244" s="2">
        <f>[1]节奏总纲!AG244</f>
        <v>89.047272179270863</v>
      </c>
      <c r="V244" s="2">
        <f>[1]节奏总纲!AH244</f>
        <v>98.013314854852808</v>
      </c>
      <c r="AN244" s="2">
        <v>241</v>
      </c>
      <c r="AO244" s="2">
        <f>[1]节奏总纲!BA244</f>
        <v>43.958855678288302</v>
      </c>
      <c r="AP244" s="2">
        <f>[1]节奏总纲!BB244</f>
        <v>45.450801041086493</v>
      </c>
      <c r="AQ244" s="2">
        <f>[1]节奏总纲!BC244</f>
        <v>47.397413804339159</v>
      </c>
      <c r="AR244" s="2">
        <f>[1]节奏总纲!BD244</f>
        <v>50.152788303045817</v>
      </c>
      <c r="AS244" s="2">
        <f>[1]节奏总纲!BE244</f>
        <v>54.86188577579442</v>
      </c>
    </row>
    <row r="245" spans="17:45" x14ac:dyDescent="0.15">
      <c r="Q245" s="2">
        <v>242</v>
      </c>
      <c r="R245" s="2">
        <f>[1]节奏总纲!AD245</f>
        <v>79.241697499031773</v>
      </c>
      <c r="S245" s="2">
        <f>[1]节奏总纲!AE245</f>
        <v>81.335925543146274</v>
      </c>
      <c r="T245" s="2">
        <f>[1]节奏总纲!AF245</f>
        <v>84.284049907248061</v>
      </c>
      <c r="U245" s="2">
        <f>[1]节奏总纲!AG245</f>
        <v>89.11587890081428</v>
      </c>
      <c r="V245" s="2">
        <f>[1]节奏总纲!AH245</f>
        <v>98.072755441643167</v>
      </c>
      <c r="AN245" s="2">
        <v>242</v>
      </c>
      <c r="AO245" s="2">
        <f>[1]节奏总纲!BA245</f>
        <v>43.988813045036018</v>
      </c>
      <c r="AP245" s="2">
        <f>[1]节奏总纲!BB245</f>
        <v>45.478697145114126</v>
      </c>
      <c r="AQ245" s="2">
        <f>[1]节奏总纲!BC245</f>
        <v>47.425130522103018</v>
      </c>
      <c r="AR245" s="2">
        <f>[1]节奏总纲!BD245</f>
        <v>50.179546324595002</v>
      </c>
      <c r="AS245" s="2">
        <f>[1]节奏总纲!BE245</f>
        <v>54.891651772390446</v>
      </c>
    </row>
    <row r="246" spans="17:45" x14ac:dyDescent="0.15">
      <c r="Q246" s="2">
        <v>243</v>
      </c>
      <c r="R246" s="2">
        <f>[1]节奏总纲!AD246</f>
        <v>79.300028460644711</v>
      </c>
      <c r="S246" s="2">
        <f>[1]节奏总纲!AE246</f>
        <v>81.395478002882001</v>
      </c>
      <c r="T246" s="2">
        <f>[1]节奏总纲!AF246</f>
        <v>84.344120403804524</v>
      </c>
      <c r="U246" s="2">
        <f>[1]节奏总纲!AG246</f>
        <v>89.184485622357698</v>
      </c>
      <c r="V246" s="2">
        <f>[1]节奏总纲!AH246</f>
        <v>98.132196028433526</v>
      </c>
      <c r="AN246" s="2">
        <v>243</v>
      </c>
      <c r="AO246" s="2">
        <f>[1]节奏总纲!BA246</f>
        <v>44.016200268136501</v>
      </c>
      <c r="AP246" s="2">
        <f>[1]节奏总纲!BB246</f>
        <v>45.506593249141758</v>
      </c>
      <c r="AQ246" s="2">
        <f>[1]节奏总纲!BC246</f>
        <v>47.452847239866877</v>
      </c>
      <c r="AR246" s="2">
        <f>[1]节奏总纲!BD246</f>
        <v>50.206304346144179</v>
      </c>
      <c r="AS246" s="2">
        <f>[1]节奏总纲!BE246</f>
        <v>54.92141776898648</v>
      </c>
    </row>
    <row r="247" spans="17:45" x14ac:dyDescent="0.15">
      <c r="Q247" s="2">
        <v>244</v>
      </c>
      <c r="R247" s="2">
        <f>[1]节奏总纲!AD247</f>
        <v>79.358359422257649</v>
      </c>
      <c r="S247" s="2">
        <f>[1]节奏总纲!AE247</f>
        <v>81.455030462617714</v>
      </c>
      <c r="T247" s="2">
        <f>[1]节奏总纲!AF247</f>
        <v>84.404190900360987</v>
      </c>
      <c r="U247" s="2">
        <f>[1]节奏总纲!AG247</f>
        <v>89.253092343901116</v>
      </c>
      <c r="V247" s="2">
        <f>[1]节奏总纲!AH247</f>
        <v>98.191636615223871</v>
      </c>
      <c r="AN247" s="2">
        <v>244</v>
      </c>
      <c r="AO247" s="2">
        <f>[1]节奏总纲!BA247</f>
        <v>44.042055714440401</v>
      </c>
      <c r="AP247" s="2">
        <f>[1]节奏总纲!BB247</f>
        <v>45.534489353169384</v>
      </c>
      <c r="AQ247" s="2">
        <f>[1]节奏总纲!BC247</f>
        <v>47.480563957630736</v>
      </c>
      <c r="AR247" s="2">
        <f>[1]节奏总纲!BD247</f>
        <v>50.233062367693357</v>
      </c>
      <c r="AS247" s="2">
        <f>[1]节奏总纲!BE247</f>
        <v>54.951183765582506</v>
      </c>
    </row>
    <row r="248" spans="17:45" x14ac:dyDescent="0.15">
      <c r="Q248" s="2">
        <v>245</v>
      </c>
      <c r="R248" s="2">
        <f>[1]节奏总纲!AD248</f>
        <v>79.416690383870588</v>
      </c>
      <c r="S248" s="2">
        <f>[1]节奏总纲!AE248</f>
        <v>81.514582922353426</v>
      </c>
      <c r="T248" s="2">
        <f>[1]节奏总纲!AF248</f>
        <v>84.46426139691745</v>
      </c>
      <c r="U248" s="2">
        <f>[1]节奏总纲!AG248</f>
        <v>89.321699065444534</v>
      </c>
      <c r="V248" s="2">
        <f>[1]节奏总纲!AH248</f>
        <v>98.25107720201423</v>
      </c>
      <c r="AN248" s="2">
        <v>245</v>
      </c>
      <c r="AO248" s="2">
        <f>[1]节奏总纲!BA248</f>
        <v>44.067911160744309</v>
      </c>
      <c r="AP248" s="2">
        <f>[1]节奏总纲!BB248</f>
        <v>45.562385457197017</v>
      </c>
      <c r="AQ248" s="2">
        <f>[1]节奏总纲!BC248</f>
        <v>47.508280675394595</v>
      </c>
      <c r="AR248" s="2">
        <f>[1]节奏总纲!BD248</f>
        <v>50.259820389242542</v>
      </c>
      <c r="AS248" s="2">
        <f>[1]节奏总纲!BE248</f>
        <v>54.98094976217854</v>
      </c>
    </row>
    <row r="249" spans="17:45" x14ac:dyDescent="0.15">
      <c r="Q249" s="2">
        <v>246</v>
      </c>
      <c r="R249" s="2">
        <f>[1]节奏总纲!AD249</f>
        <v>79.475021345483526</v>
      </c>
      <c r="S249" s="2">
        <f>[1]节奏总纲!AE249</f>
        <v>81.574135382089139</v>
      </c>
      <c r="T249" s="2">
        <f>[1]节奏总纲!AF249</f>
        <v>84.524331893473914</v>
      </c>
      <c r="U249" s="2">
        <f>[1]节奏总纲!AG249</f>
        <v>89.390305786987952</v>
      </c>
      <c r="V249" s="2">
        <f>[1]节奏总纲!AH249</f>
        <v>98.310517788804589</v>
      </c>
      <c r="AN249" s="2">
        <v>246</v>
      </c>
      <c r="AO249" s="2">
        <f>[1]节奏总纲!BA249</f>
        <v>44.093766607048209</v>
      </c>
      <c r="AP249" s="2">
        <f>[1]节奏总纲!BB249</f>
        <v>45.590281561224643</v>
      </c>
      <c r="AQ249" s="2">
        <f>[1]节奏总纲!BC249</f>
        <v>47.535997393158453</v>
      </c>
      <c r="AR249" s="2">
        <f>[1]节奏总纲!BD249</f>
        <v>50.286578410791719</v>
      </c>
      <c r="AS249" s="2">
        <f>[1]节奏总纲!BE249</f>
        <v>55.009255535630842</v>
      </c>
    </row>
    <row r="250" spans="17:45" x14ac:dyDescent="0.15">
      <c r="Q250" s="2">
        <v>247</v>
      </c>
      <c r="R250" s="2">
        <f>[1]节奏总纲!AD250</f>
        <v>79.533352307096465</v>
      </c>
      <c r="S250" s="2">
        <f>[1]节奏总纲!AE250</f>
        <v>81.633687841824852</v>
      </c>
      <c r="T250" s="2">
        <f>[1]节奏总纲!AF250</f>
        <v>84.584402390030377</v>
      </c>
      <c r="U250" s="2">
        <f>[1]节奏总纲!AG250</f>
        <v>89.45891250853137</v>
      </c>
      <c r="V250" s="2">
        <f>[1]节奏总纲!AH250</f>
        <v>98.369958375594933</v>
      </c>
      <c r="AN250" s="2">
        <v>247</v>
      </c>
      <c r="AO250" s="2">
        <f>[1]节奏总纲!BA250</f>
        <v>44.11962205335211</v>
      </c>
      <c r="AP250" s="2">
        <f>[1]节奏总纲!BB250</f>
        <v>45.618177665252276</v>
      </c>
      <c r="AQ250" s="2">
        <f>[1]节奏总纲!BC250</f>
        <v>47.563714110922312</v>
      </c>
      <c r="AR250" s="2">
        <f>[1]节奏总纲!BD250</f>
        <v>50.313336432340897</v>
      </c>
      <c r="AS250" s="2">
        <f>[1]节奏总纲!BE250</f>
        <v>55.034965356827627</v>
      </c>
    </row>
    <row r="251" spans="17:45" x14ac:dyDescent="0.15">
      <c r="Q251" s="2">
        <v>248</v>
      </c>
      <c r="R251" s="2">
        <f>[1]节奏总纲!AD251</f>
        <v>79.591683268709417</v>
      </c>
      <c r="S251" s="2">
        <f>[1]节奏总纲!AE251</f>
        <v>81.693240301560579</v>
      </c>
      <c r="T251" s="2">
        <f>[1]节奏总纲!AF251</f>
        <v>84.64447288658684</v>
      </c>
      <c r="U251" s="2">
        <f>[1]节奏总纲!AG251</f>
        <v>89.527519230074788</v>
      </c>
      <c r="V251" s="2">
        <f>[1]节奏总纲!AH251</f>
        <v>98.429398962385292</v>
      </c>
      <c r="AN251" s="2">
        <v>248</v>
      </c>
      <c r="AO251" s="2">
        <f>[1]节奏总纲!BA251</f>
        <v>44.145477499656018</v>
      </c>
      <c r="AP251" s="2">
        <f>[1]节奏总纲!BB251</f>
        <v>45.646073769279901</v>
      </c>
      <c r="AQ251" s="2">
        <f>[1]节奏总纲!BC251</f>
        <v>47.591430828686171</v>
      </c>
      <c r="AR251" s="2">
        <f>[1]节奏总纲!BD251</f>
        <v>50.340094453890082</v>
      </c>
      <c r="AS251" s="2">
        <f>[1]节奏总纲!BE251</f>
        <v>55.060675178024418</v>
      </c>
    </row>
    <row r="252" spans="17:45" x14ac:dyDescent="0.15">
      <c r="Q252" s="2">
        <v>249</v>
      </c>
      <c r="R252" s="2">
        <f>[1]节奏总纲!AD252</f>
        <v>79.650014230322356</v>
      </c>
      <c r="S252" s="2">
        <f>[1]节奏总纲!AE252</f>
        <v>81.752792761296291</v>
      </c>
      <c r="T252" s="2">
        <f>[1]节奏总纲!AF252</f>
        <v>84.704543383143317</v>
      </c>
      <c r="U252" s="2">
        <f>[1]节奏总纲!AG252</f>
        <v>89.596125951618205</v>
      </c>
      <c r="V252" s="2">
        <f>[1]节奏总纲!AH252</f>
        <v>98.488839549175651</v>
      </c>
      <c r="AN252" s="2">
        <v>249</v>
      </c>
      <c r="AO252" s="2">
        <f>[1]节奏总纲!BA252</f>
        <v>44.171332945959918</v>
      </c>
      <c r="AP252" s="2">
        <f>[1]节奏总纲!BB252</f>
        <v>45.673969873307534</v>
      </c>
      <c r="AQ252" s="2">
        <f>[1]节奏总纲!BC252</f>
        <v>47.61914754645003</v>
      </c>
      <c r="AR252" s="2">
        <f>[1]节奏总纲!BD252</f>
        <v>50.366852475439259</v>
      </c>
      <c r="AS252" s="2">
        <f>[1]节奏总纲!BE252</f>
        <v>55.086384999221202</v>
      </c>
    </row>
    <row r="253" spans="17:45" x14ac:dyDescent="0.15">
      <c r="Q253" s="2">
        <v>250</v>
      </c>
      <c r="R253" s="2">
        <f>[1]节奏总纲!AD253</f>
        <v>79.708345191935294</v>
      </c>
      <c r="S253" s="2">
        <f>[1]节奏总纲!AE253</f>
        <v>81.812345221032004</v>
      </c>
      <c r="T253" s="2">
        <f>[1]节奏总纲!AF253</f>
        <v>84.76461387969978</v>
      </c>
      <c r="U253" s="2">
        <f>[1]节奏总纲!AG253</f>
        <v>89.664732673161623</v>
      </c>
      <c r="V253" s="2">
        <f>[1]节奏总纲!AH253</f>
        <v>98.548280135965996</v>
      </c>
      <c r="AN253" s="2">
        <v>250</v>
      </c>
      <c r="AO253" s="2">
        <f>[1]节奏总纲!BA253</f>
        <v>44.197188392263818</v>
      </c>
      <c r="AP253" s="2">
        <f>[1]节奏总纲!BB253</f>
        <v>45.701865977335167</v>
      </c>
      <c r="AQ253" s="2">
        <f>[1]节奏总纲!BC253</f>
        <v>47.646864264213889</v>
      </c>
      <c r="AR253" s="2">
        <f>[1]节奏总纲!BD253</f>
        <v>50.393610496988437</v>
      </c>
      <c r="AS253" s="2">
        <f>[1]节奏总纲!BE253</f>
        <v>55.112094820417994</v>
      </c>
    </row>
    <row r="254" spans="17:45" x14ac:dyDescent="0.15">
      <c r="Q254" s="2">
        <v>251</v>
      </c>
      <c r="R254" s="2">
        <f>[1]节奏总纲!AD254</f>
        <v>79.766676153548232</v>
      </c>
      <c r="S254" s="2">
        <f>[1]节奏总纲!AE254</f>
        <v>81.871897680767717</v>
      </c>
      <c r="T254" s="2">
        <f>[1]节奏总纲!AF254</f>
        <v>84.824684376256243</v>
      </c>
      <c r="U254" s="2">
        <f>[1]节奏总纲!AG254</f>
        <v>89.733339394705041</v>
      </c>
      <c r="V254" s="2">
        <f>[1]节奏总纲!AH254</f>
        <v>98.607720722756355</v>
      </c>
      <c r="AN254" s="2">
        <v>251</v>
      </c>
      <c r="AO254" s="2">
        <f>[1]节奏总纲!BA254</f>
        <v>44.223043838567726</v>
      </c>
      <c r="AP254" s="2">
        <f>[1]节奏总纲!BB254</f>
        <v>45.729762081362793</v>
      </c>
      <c r="AQ254" s="2">
        <f>[1]节奏总纲!BC254</f>
        <v>47.674580981977748</v>
      </c>
      <c r="AR254" s="2">
        <f>[1]节奏总纲!BD254</f>
        <v>50.420368518537622</v>
      </c>
      <c r="AS254" s="2">
        <f>[1]节奏总纲!BE254</f>
        <v>55.137804641614778</v>
      </c>
    </row>
    <row r="255" spans="17:45" x14ac:dyDescent="0.15">
      <c r="Q255" s="2">
        <v>252</v>
      </c>
      <c r="R255" s="2">
        <f>[1]节奏总纲!AD255</f>
        <v>79.825007115161171</v>
      </c>
      <c r="S255" s="2">
        <f>[1]节奏总纲!AE255</f>
        <v>81.931450140503429</v>
      </c>
      <c r="T255" s="2">
        <f>[1]节奏总纲!AF255</f>
        <v>84.884754872812707</v>
      </c>
      <c r="U255" s="2">
        <f>[1]节奏总纲!AG255</f>
        <v>89.801946116248459</v>
      </c>
      <c r="V255" s="2">
        <f>[1]节奏总纲!AH255</f>
        <v>98.667161309546714</v>
      </c>
      <c r="AN255" s="2">
        <v>252</v>
      </c>
      <c r="AO255" s="2">
        <f>[1]节奏总纲!BA255</f>
        <v>44.248899284871626</v>
      </c>
      <c r="AP255" s="2">
        <f>[1]节奏总纲!BB255</f>
        <v>45.757658185390426</v>
      </c>
      <c r="AQ255" s="2">
        <f>[1]节奏总纲!BC255</f>
        <v>47.7022976997416</v>
      </c>
      <c r="AR255" s="2">
        <f>[1]节奏总纲!BD255</f>
        <v>50.447126540086799</v>
      </c>
      <c r="AS255" s="2">
        <f>[1]节奏总纲!BE255</f>
        <v>55.163514462811563</v>
      </c>
    </row>
    <row r="256" spans="17:45" x14ac:dyDescent="0.15">
      <c r="Q256" s="2">
        <v>253</v>
      </c>
      <c r="R256" s="2">
        <f>[1]节奏总纲!AD256</f>
        <v>79.883338076774123</v>
      </c>
      <c r="S256" s="2">
        <f>[1]节奏总纲!AE256</f>
        <v>81.991002600239142</v>
      </c>
      <c r="T256" s="2">
        <f>[1]节奏总纲!AF256</f>
        <v>84.94482536936917</v>
      </c>
      <c r="U256" s="2">
        <f>[1]节奏总纲!AG256</f>
        <v>89.870552837791877</v>
      </c>
      <c r="V256" s="2">
        <f>[1]节奏总纲!AH256</f>
        <v>98.726601896337058</v>
      </c>
      <c r="AN256" s="2">
        <v>253</v>
      </c>
      <c r="AO256" s="2">
        <f>[1]节奏总纲!BA256</f>
        <v>44.274754731175527</v>
      </c>
      <c r="AP256" s="2">
        <f>[1]节奏总纲!BB256</f>
        <v>45.785554289418052</v>
      </c>
      <c r="AQ256" s="2">
        <f>[1]节奏总纲!BC256</f>
        <v>47.730014417505458</v>
      </c>
      <c r="AR256" s="2">
        <f>[1]节奏总纲!BD256</f>
        <v>50.473884561635977</v>
      </c>
      <c r="AS256" s="2">
        <f>[1]节奏总纲!BE256</f>
        <v>55.189224284008354</v>
      </c>
    </row>
    <row r="257" spans="17:45" x14ac:dyDescent="0.15">
      <c r="Q257" s="2">
        <v>254</v>
      </c>
      <c r="R257" s="2">
        <f>[1]节奏总纲!AD257</f>
        <v>79.941669038387062</v>
      </c>
      <c r="S257" s="2">
        <f>[1]节奏总纲!AE257</f>
        <v>82.046165327855846</v>
      </c>
      <c r="T257" s="2">
        <f>[1]节奏总纲!AF257</f>
        <v>85.004450307848032</v>
      </c>
      <c r="U257" s="2">
        <f>[1]节奏总纲!AG257</f>
        <v>89.939159559335295</v>
      </c>
      <c r="V257" s="2">
        <f>[1]节奏总纲!AH257</f>
        <v>98.786042483127417</v>
      </c>
      <c r="AN257" s="2">
        <v>254</v>
      </c>
      <c r="AO257" s="2">
        <f>[1]节奏总纲!BA257</f>
        <v>44.300610177479435</v>
      </c>
      <c r="AP257" s="2">
        <f>[1]节奏总纲!BB257</f>
        <v>45.813450393445684</v>
      </c>
      <c r="AQ257" s="2">
        <f>[1]节奏总纲!BC257</f>
        <v>47.757731135269317</v>
      </c>
      <c r="AR257" s="2">
        <f>[1]节奏总纲!BD257</f>
        <v>50.500642583185162</v>
      </c>
      <c r="AS257" s="2">
        <f>[1]节奏总纲!BE257</f>
        <v>55.214934105205138</v>
      </c>
    </row>
    <row r="258" spans="17:45" x14ac:dyDescent="0.15">
      <c r="Q258" s="2">
        <v>255</v>
      </c>
      <c r="R258" s="2">
        <f>[1]节奏总纲!AD258</f>
        <v>80</v>
      </c>
      <c r="S258" s="2">
        <f>[1]节奏总纲!AE258</f>
        <v>82.100546804797787</v>
      </c>
      <c r="T258" s="2">
        <f>[1]节奏总纲!AF258</f>
        <v>85.059053968634842</v>
      </c>
      <c r="U258" s="2">
        <f>[1]节奏总纲!AG258</f>
        <v>90.006385600230558</v>
      </c>
      <c r="V258" s="2">
        <f>[1]节奏总纲!AH258</f>
        <v>98.845483069917776</v>
      </c>
      <c r="AN258" s="2">
        <v>255</v>
      </c>
      <c r="AO258" s="2">
        <f>[1]节奏总纲!BA258</f>
        <v>44.326465623783335</v>
      </c>
      <c r="AP258" s="2">
        <f>[1]节奏总纲!BB258</f>
        <v>45.84134649747331</v>
      </c>
      <c r="AQ258" s="2">
        <f>[1]节奏总纲!BC258</f>
        <v>47.785447853033176</v>
      </c>
      <c r="AR258" s="2">
        <f>[1]节奏总纲!BD258</f>
        <v>50.527400604734339</v>
      </c>
      <c r="AS258" s="2">
        <f>[1]节奏总纲!BE258</f>
        <v>55.24064392640193</v>
      </c>
    </row>
    <row r="259" spans="17:45" x14ac:dyDescent="0.15">
      <c r="Q259" s="2">
        <v>256</v>
      </c>
      <c r="R259" s="2">
        <f>[1]节奏总纲!AD259</f>
        <v>80.054424711612938</v>
      </c>
      <c r="S259" s="2">
        <f>[1]节奏总纲!AE259</f>
        <v>82.154928281739714</v>
      </c>
      <c r="T259" s="2">
        <f>[1]节奏总纲!AF259</f>
        <v>85.113657629421638</v>
      </c>
      <c r="U259" s="2">
        <f>[1]节奏总纲!AG259</f>
        <v>90.062795496260307</v>
      </c>
      <c r="V259" s="2">
        <f>[1]节奏总纲!AH259</f>
        <v>98.904923656708121</v>
      </c>
      <c r="AN259" s="2">
        <v>256</v>
      </c>
      <c r="AO259" s="2">
        <f>[1]节奏总纲!BA259</f>
        <v>44.352321070087235</v>
      </c>
      <c r="AP259" s="2">
        <f>[1]节奏总纲!BB259</f>
        <v>45.869242601500943</v>
      </c>
      <c r="AQ259" s="2">
        <f>[1]节奏总纲!BC259</f>
        <v>47.813164570797035</v>
      </c>
      <c r="AR259" s="2">
        <f>[1]节奏总纲!BD259</f>
        <v>50.554158626283517</v>
      </c>
      <c r="AS259" s="2">
        <f>[1]节奏总纲!BE259</f>
        <v>55.266353747598714</v>
      </c>
    </row>
    <row r="260" spans="17:45" x14ac:dyDescent="0.15">
      <c r="Q260" s="2">
        <v>257</v>
      </c>
      <c r="R260" s="2">
        <f>[1]节奏总纲!AD260</f>
        <v>80.108849423225877</v>
      </c>
      <c r="S260" s="2">
        <f>[1]节奏总纲!AE260</f>
        <v>82.209309758681655</v>
      </c>
      <c r="T260" s="2">
        <f>[1]节奏总纲!AF260</f>
        <v>85.168261290208434</v>
      </c>
      <c r="U260" s="2">
        <f>[1]节奏总纲!AG260</f>
        <v>90.119205392290041</v>
      </c>
      <c r="V260" s="2">
        <f>[1]节奏总纲!AH260</f>
        <v>98.96436424349848</v>
      </c>
      <c r="AN260" s="2">
        <v>257</v>
      </c>
      <c r="AO260" s="2">
        <f>[1]节奏总纲!BA260</f>
        <v>44.378176516391136</v>
      </c>
      <c r="AP260" s="2">
        <f>[1]节奏总纲!BB260</f>
        <v>45.897138705528576</v>
      </c>
      <c r="AQ260" s="2">
        <f>[1]节奏总纲!BC260</f>
        <v>47.840881288560894</v>
      </c>
      <c r="AR260" s="2">
        <f>[1]节奏总纲!BD260</f>
        <v>50.580916647832701</v>
      </c>
      <c r="AS260" s="2">
        <f>[1]节奏总纲!BE260</f>
        <v>55.292063568795498</v>
      </c>
    </row>
    <row r="261" spans="17:45" x14ac:dyDescent="0.15">
      <c r="Q261" s="2">
        <v>258</v>
      </c>
      <c r="R261" s="2">
        <f>[1]节奏总纲!AD261</f>
        <v>80.163274134838829</v>
      </c>
      <c r="S261" s="2">
        <f>[1]节奏总纲!AE261</f>
        <v>82.263691235623583</v>
      </c>
      <c r="T261" s="2">
        <f>[1]节奏总纲!AF261</f>
        <v>85.222864950995231</v>
      </c>
      <c r="U261" s="2">
        <f>[1]节奏总纲!AG261</f>
        <v>90.175615288319776</v>
      </c>
      <c r="V261" s="2">
        <f>[1]节奏总纲!AH261</f>
        <v>99.023313221876677</v>
      </c>
      <c r="AN261" s="2">
        <v>258</v>
      </c>
      <c r="AO261" s="2">
        <f>[1]节奏总纲!BA261</f>
        <v>44.404031962695043</v>
      </c>
      <c r="AP261" s="2">
        <f>[1]节奏总纲!BB261</f>
        <v>45.925034809556202</v>
      </c>
      <c r="AQ261" s="2">
        <f>[1]节奏总纲!BC261</f>
        <v>47.868598006324753</v>
      </c>
      <c r="AR261" s="2">
        <f>[1]节奏总纲!BD261</f>
        <v>50.607674669381879</v>
      </c>
      <c r="AS261" s="2">
        <f>[1]节奏总纲!BE261</f>
        <v>55.31777338999229</v>
      </c>
    </row>
    <row r="262" spans="17:45" x14ac:dyDescent="0.15">
      <c r="Q262" s="2">
        <v>259</v>
      </c>
      <c r="R262" s="2">
        <f>[1]节奏总纲!AD262</f>
        <v>80.217698846451768</v>
      </c>
      <c r="S262" s="2">
        <f>[1]节奏总纲!AE262</f>
        <v>82.318072712565524</v>
      </c>
      <c r="T262" s="2">
        <f>[1]节奏总纲!AF262</f>
        <v>85.277468611782027</v>
      </c>
      <c r="U262" s="2">
        <f>[1]节奏总纲!AG262</f>
        <v>90.23202518434951</v>
      </c>
      <c r="V262" s="2">
        <f>[1]节奏总纲!AH262</f>
        <v>99.081526263999208</v>
      </c>
      <c r="AN262" s="2">
        <v>259</v>
      </c>
      <c r="AO262" s="2">
        <f>[1]节奏总纲!BA262</f>
        <v>44.429887408998944</v>
      </c>
      <c r="AP262" s="2">
        <f>[1]节奏总纲!BB262</f>
        <v>45.952930913583835</v>
      </c>
      <c r="AQ262" s="2">
        <f>[1]节奏总纲!BC262</f>
        <v>47.896314724088612</v>
      </c>
      <c r="AR262" s="2">
        <f>[1]节奏总纲!BD262</f>
        <v>50.634432690931064</v>
      </c>
      <c r="AS262" s="2">
        <f>[1]节奏总纲!BE262</f>
        <v>55.343483211189074</v>
      </c>
    </row>
    <row r="263" spans="17:45" x14ac:dyDescent="0.15">
      <c r="Q263" s="2">
        <v>260</v>
      </c>
      <c r="R263" s="2">
        <f>[1]节奏总纲!AD263</f>
        <v>80.272123558064706</v>
      </c>
      <c r="S263" s="2">
        <f>[1]节奏总纲!AE263</f>
        <v>82.372454189507465</v>
      </c>
      <c r="T263" s="2">
        <f>[1]节奏总纲!AF263</f>
        <v>85.332072272568837</v>
      </c>
      <c r="U263" s="2">
        <f>[1]节奏总纲!AG263</f>
        <v>90.288435080379244</v>
      </c>
      <c r="V263" s="2">
        <f>[1]节奏总纲!AH263</f>
        <v>99.139739306121726</v>
      </c>
      <c r="AN263" s="2">
        <v>260</v>
      </c>
      <c r="AO263" s="2">
        <f>[1]节奏总纲!BA263</f>
        <v>44.455742855302844</v>
      </c>
      <c r="AP263" s="2">
        <f>[1]节奏总纲!BB263</f>
        <v>45.98082701761146</v>
      </c>
      <c r="AQ263" s="2">
        <f>[1]节奏总纲!BC263</f>
        <v>47.92403144185247</v>
      </c>
      <c r="AR263" s="2">
        <f>[1]节奏总纲!BD263</f>
        <v>50.661190712480241</v>
      </c>
      <c r="AS263" s="2">
        <f>[1]节奏总纲!BE263</f>
        <v>55.369193032385866</v>
      </c>
    </row>
    <row r="264" spans="17:45" x14ac:dyDescent="0.15">
      <c r="Q264" s="2">
        <v>261</v>
      </c>
      <c r="R264" s="2">
        <f>[1]节奏总纲!AD264</f>
        <v>80.326548269677644</v>
      </c>
      <c r="S264" s="2">
        <f>[1]节奏总纲!AE264</f>
        <v>82.426835666449392</v>
      </c>
      <c r="T264" s="2">
        <f>[1]节奏总纲!AF264</f>
        <v>85.386675933355633</v>
      </c>
      <c r="U264" s="2">
        <f>[1]节奏总纲!AG264</f>
        <v>90.344844976408993</v>
      </c>
      <c r="V264" s="2">
        <f>[1]节奏总纲!AH264</f>
        <v>99.197952348244257</v>
      </c>
      <c r="AN264" s="2">
        <v>261</v>
      </c>
      <c r="AO264" s="2">
        <f>[1]节奏总纲!BA264</f>
        <v>44.481598301606752</v>
      </c>
      <c r="AP264" s="2">
        <f>[1]节奏总纲!BB264</f>
        <v>46.007529841290832</v>
      </c>
      <c r="AQ264" s="2">
        <f>[1]节奏总纲!BC264</f>
        <v>47.951748159616329</v>
      </c>
      <c r="AR264" s="2">
        <f>[1]节奏总纲!BD264</f>
        <v>50.687948734029419</v>
      </c>
      <c r="AS264" s="2">
        <f>[1]节奏总纲!BE264</f>
        <v>55.39490285358265</v>
      </c>
    </row>
    <row r="265" spans="17:45" x14ac:dyDescent="0.15">
      <c r="Q265" s="2">
        <v>262</v>
      </c>
      <c r="R265" s="2">
        <f>[1]节奏总纲!AD265</f>
        <v>80.380972981290597</v>
      </c>
      <c r="S265" s="2">
        <f>[1]节奏总纲!AE265</f>
        <v>82.481217143391333</v>
      </c>
      <c r="T265" s="2">
        <f>[1]节奏总纲!AF265</f>
        <v>85.441279594142429</v>
      </c>
      <c r="U265" s="2">
        <f>[1]节奏总纲!AG265</f>
        <v>90.401254872438727</v>
      </c>
      <c r="V265" s="2">
        <f>[1]节奏总纲!AH265</f>
        <v>99.256165390366789</v>
      </c>
      <c r="AN265" s="2">
        <v>262</v>
      </c>
      <c r="AO265" s="2">
        <f>[1]节奏总纲!BA265</f>
        <v>44.507453747910652</v>
      </c>
      <c r="AP265" s="2">
        <f>[1]节奏总纲!BB265</f>
        <v>46.031609894814238</v>
      </c>
      <c r="AQ265" s="2">
        <f>[1]节奏总纲!BC265</f>
        <v>47.979464877380188</v>
      </c>
      <c r="AR265" s="2">
        <f>[1]节奏总纲!BD265</f>
        <v>50.714706755578604</v>
      </c>
      <c r="AS265" s="2">
        <f>[1]节奏总纲!BE265</f>
        <v>55.420612674779434</v>
      </c>
    </row>
    <row r="266" spans="17:45" x14ac:dyDescent="0.15">
      <c r="Q266" s="2">
        <v>263</v>
      </c>
      <c r="R266" s="2">
        <f>[1]节奏总纲!AD266</f>
        <v>80.435397692903535</v>
      </c>
      <c r="S266" s="2">
        <f>[1]节奏总纲!AE266</f>
        <v>82.535598620333275</v>
      </c>
      <c r="T266" s="2">
        <f>[1]节奏总纲!AF266</f>
        <v>85.495883254929225</v>
      </c>
      <c r="U266" s="2">
        <f>[1]节奏总纲!AG266</f>
        <v>90.457664768468462</v>
      </c>
      <c r="V266" s="2">
        <f>[1]节奏总纲!AH266</f>
        <v>99.314378432489306</v>
      </c>
      <c r="AN266" s="2">
        <v>263</v>
      </c>
      <c r="AO266" s="2">
        <f>[1]节奏总纲!BA266</f>
        <v>44.533309194214553</v>
      </c>
      <c r="AP266" s="2">
        <f>[1]节奏总纲!BB266</f>
        <v>46.055689948337651</v>
      </c>
      <c r="AQ266" s="2">
        <f>[1]节奏总纲!BC266</f>
        <v>48.006200084618079</v>
      </c>
      <c r="AR266" s="2">
        <f>[1]节奏总纲!BD266</f>
        <v>50.741464777127781</v>
      </c>
      <c r="AS266" s="2">
        <f>[1]节奏总纲!BE266</f>
        <v>55.446322495976226</v>
      </c>
    </row>
    <row r="267" spans="17:45" x14ac:dyDescent="0.15">
      <c r="Q267" s="2">
        <v>264</v>
      </c>
      <c r="R267" s="2">
        <f>[1]节奏总纲!AD267</f>
        <v>80.489822404516474</v>
      </c>
      <c r="S267" s="2">
        <f>[1]节奏总纲!AE267</f>
        <v>82.589980097275202</v>
      </c>
      <c r="T267" s="2">
        <f>[1]节奏总纲!AF267</f>
        <v>85.550486915716021</v>
      </c>
      <c r="U267" s="2">
        <f>[1]节奏总纲!AG267</f>
        <v>90.514074664498196</v>
      </c>
      <c r="V267" s="2">
        <f>[1]节奏总纲!AH267</f>
        <v>99.372591474611838</v>
      </c>
      <c r="AN267" s="2">
        <v>264</v>
      </c>
      <c r="AO267" s="2">
        <f>[1]节奏总纲!BA267</f>
        <v>44.55916464051846</v>
      </c>
      <c r="AP267" s="2">
        <f>[1]节奏总纲!BB267</f>
        <v>46.079770001861057</v>
      </c>
      <c r="AQ267" s="2">
        <f>[1]节奏总纲!BC267</f>
        <v>48.030128751164241</v>
      </c>
      <c r="AR267" s="2">
        <f>[1]节奏总纲!BD267</f>
        <v>50.768222798676959</v>
      </c>
      <c r="AS267" s="2">
        <f>[1]节奏总纲!BE267</f>
        <v>55.47203231717301</v>
      </c>
    </row>
    <row r="268" spans="17:45" x14ac:dyDescent="0.15">
      <c r="Q268" s="2">
        <v>265</v>
      </c>
      <c r="R268" s="2">
        <f>[1]节奏总纲!AD268</f>
        <v>80.544247116129412</v>
      </c>
      <c r="S268" s="2">
        <f>[1]节奏总纲!AE268</f>
        <v>82.644361574217143</v>
      </c>
      <c r="T268" s="2">
        <f>[1]节奏总纲!AF268</f>
        <v>85.605090576502832</v>
      </c>
      <c r="U268" s="2">
        <f>[1]节奏总纲!AG268</f>
        <v>90.57048456052793</v>
      </c>
      <c r="V268" s="2">
        <f>[1]节奏总纲!AH268</f>
        <v>99.430804516734369</v>
      </c>
      <c r="AN268" s="2">
        <v>265</v>
      </c>
      <c r="AO268" s="2">
        <f>[1]节奏总纲!BA268</f>
        <v>44.585020086822361</v>
      </c>
      <c r="AP268" s="2">
        <f>[1]节奏总纲!BB268</f>
        <v>46.10385005538447</v>
      </c>
      <c r="AQ268" s="2">
        <f>[1]节奏总纲!BC268</f>
        <v>48.054057417710396</v>
      </c>
      <c r="AR268" s="2">
        <f>[1]节奏总纲!BD268</f>
        <v>50.794980820226144</v>
      </c>
      <c r="AS268" s="2">
        <f>[1]节奏总纲!BE268</f>
        <v>55.497742138369794</v>
      </c>
    </row>
    <row r="269" spans="17:45" x14ac:dyDescent="0.15">
      <c r="Q269" s="2">
        <v>266</v>
      </c>
      <c r="R269" s="2">
        <f>[1]节奏总纲!AD269</f>
        <v>80.598671827742351</v>
      </c>
      <c r="S269" s="2">
        <f>[1]节奏总纲!AE269</f>
        <v>82.698743051159084</v>
      </c>
      <c r="T269" s="2">
        <f>[1]节奏总纲!AF269</f>
        <v>85.659694237289628</v>
      </c>
      <c r="U269" s="2">
        <f>[1]节奏总纲!AG269</f>
        <v>90.626894456557665</v>
      </c>
      <c r="V269" s="2">
        <f>[1]节奏总纲!AH269</f>
        <v>99.489017558856887</v>
      </c>
      <c r="AN269" s="2">
        <v>266</v>
      </c>
      <c r="AO269" s="2">
        <f>[1]节奏总纲!BA269</f>
        <v>44.610875533126261</v>
      </c>
      <c r="AP269" s="2">
        <f>[1]节奏总纲!BB269</f>
        <v>46.127930108907876</v>
      </c>
      <c r="AQ269" s="2">
        <f>[1]节奏总纲!BC269</f>
        <v>48.077986084256551</v>
      </c>
      <c r="AR269" s="2">
        <f>[1]节奏总纲!BD269</f>
        <v>50.821738841775321</v>
      </c>
      <c r="AS269" s="2">
        <f>[1]节奏总纲!BE269</f>
        <v>55.523451959566586</v>
      </c>
    </row>
    <row r="270" spans="17:45" x14ac:dyDescent="0.15">
      <c r="Q270" s="2">
        <v>267</v>
      </c>
      <c r="R270" s="2">
        <f>[1]节奏总纲!AD270</f>
        <v>80.653096539355303</v>
      </c>
      <c r="S270" s="2">
        <f>[1]节奏总纲!AE270</f>
        <v>82.753124528101011</v>
      </c>
      <c r="T270" s="2">
        <f>[1]节奏总纲!AF270</f>
        <v>85.714297898076424</v>
      </c>
      <c r="U270" s="2">
        <f>[1]节奏总纲!AG270</f>
        <v>90.683304352587413</v>
      </c>
      <c r="V270" s="2">
        <f>[1]节奏总纲!AH270</f>
        <v>99.547230600979418</v>
      </c>
      <c r="AN270" s="2">
        <v>267</v>
      </c>
      <c r="AO270" s="2">
        <f>[1]节奏总纲!BA270</f>
        <v>44.636730979430169</v>
      </c>
      <c r="AP270" s="2">
        <f>[1]节奏总纲!BB270</f>
        <v>46.152010162431289</v>
      </c>
      <c r="AQ270" s="2">
        <f>[1]节奏总纲!BC270</f>
        <v>48.101914750802706</v>
      </c>
      <c r="AR270" s="2">
        <f>[1]节奏总纲!BD270</f>
        <v>50.848496863324499</v>
      </c>
      <c r="AS270" s="2">
        <f>[1]节奏总纲!BE270</f>
        <v>55.54916178076337</v>
      </c>
    </row>
    <row r="271" spans="17:45" x14ac:dyDescent="0.15">
      <c r="Q271" s="2">
        <v>268</v>
      </c>
      <c r="R271" s="2">
        <f>[1]节奏总纲!AD271</f>
        <v>80.707521250968242</v>
      </c>
      <c r="S271" s="2">
        <f>[1]节奏总纲!AE271</f>
        <v>82.807506005042953</v>
      </c>
      <c r="T271" s="2">
        <f>[1]节奏总纲!AF271</f>
        <v>85.76890155886322</v>
      </c>
      <c r="U271" s="2">
        <f>[1]节奏总纲!AG271</f>
        <v>90.739714248617148</v>
      </c>
      <c r="V271" s="2">
        <f>[1]节奏总纲!AH271</f>
        <v>99.605443643101935</v>
      </c>
      <c r="AN271" s="2">
        <v>268</v>
      </c>
      <c r="AO271" s="2">
        <f>[1]节奏总纲!BA271</f>
        <v>44.662586425734069</v>
      </c>
      <c r="AP271" s="2">
        <f>[1]节奏总纲!BB271</f>
        <v>46.176090215954694</v>
      </c>
      <c r="AQ271" s="2">
        <f>[1]节奏总纲!BC271</f>
        <v>48.125843417348868</v>
      </c>
      <c r="AR271" s="2">
        <f>[1]节奏总纲!BD271</f>
        <v>50.875254884873684</v>
      </c>
      <c r="AS271" s="2">
        <f>[1]节奏总纲!BE271</f>
        <v>55.574871601960162</v>
      </c>
    </row>
    <row r="272" spans="17:45" x14ac:dyDescent="0.15">
      <c r="Q272" s="2">
        <v>269</v>
      </c>
      <c r="R272" s="2">
        <f>[1]节奏总纲!AD272</f>
        <v>80.76194596258118</v>
      </c>
      <c r="S272" s="2">
        <f>[1]节奏总纲!AE272</f>
        <v>82.861887481984894</v>
      </c>
      <c r="T272" s="2">
        <f>[1]节奏总纲!AF272</f>
        <v>85.823505219650016</v>
      </c>
      <c r="U272" s="2">
        <f>[1]节奏总纲!AG272</f>
        <v>90.796124144646882</v>
      </c>
      <c r="V272" s="2">
        <f>[1]节奏总纲!AH272</f>
        <v>99.663656685224467</v>
      </c>
      <c r="AN272" s="2">
        <v>269</v>
      </c>
      <c r="AO272" s="2">
        <f>[1]节奏总纲!BA272</f>
        <v>44.68844187203797</v>
      </c>
      <c r="AP272" s="2">
        <f>[1]节奏总纲!BB272</f>
        <v>46.200170269478107</v>
      </c>
      <c r="AQ272" s="2">
        <f>[1]节奏总纲!BC272</f>
        <v>48.149772083895023</v>
      </c>
      <c r="AR272" s="2">
        <f>[1]节奏总纲!BD272</f>
        <v>50.902012906422861</v>
      </c>
      <c r="AS272" s="2">
        <f>[1]节奏总纲!BE272</f>
        <v>55.600581423156946</v>
      </c>
    </row>
    <row r="273" spans="17:45" x14ac:dyDescent="0.15">
      <c r="Q273" s="2">
        <v>270</v>
      </c>
      <c r="R273" s="2">
        <f>[1]节奏总纲!AD273</f>
        <v>80.816370674194118</v>
      </c>
      <c r="S273" s="2">
        <f>[1]节奏总纲!AE273</f>
        <v>82.916268958926821</v>
      </c>
      <c r="T273" s="2">
        <f>[1]节奏总纲!AF273</f>
        <v>85.878108880436827</v>
      </c>
      <c r="U273" s="2">
        <f>[1]节奏总纲!AG273</f>
        <v>90.852534040676616</v>
      </c>
      <c r="V273" s="2">
        <f>[1]节奏总纲!AH273</f>
        <v>99.721869727346999</v>
      </c>
      <c r="AN273" s="2">
        <v>270</v>
      </c>
      <c r="AO273" s="2">
        <f>[1]节奏总纲!BA273</f>
        <v>44.714297318341877</v>
      </c>
      <c r="AP273" s="2">
        <f>[1]节奏总纲!BB273</f>
        <v>46.224250323001513</v>
      </c>
      <c r="AQ273" s="2">
        <f>[1]节奏总纲!BC273</f>
        <v>48.173700750441178</v>
      </c>
      <c r="AR273" s="2">
        <f>[1]节奏总纲!BD273</f>
        <v>50.928770927972039</v>
      </c>
      <c r="AS273" s="2">
        <f>[1]节奏总纲!BE273</f>
        <v>55.62629124435373</v>
      </c>
    </row>
    <row r="274" spans="17:45" x14ac:dyDescent="0.15">
      <c r="Q274" s="2">
        <v>271</v>
      </c>
      <c r="R274" s="2">
        <f>[1]节奏总纲!AD274</f>
        <v>80.870795385807057</v>
      </c>
      <c r="S274" s="2">
        <f>[1]节奏总纲!AE274</f>
        <v>82.970650435868762</v>
      </c>
      <c r="T274" s="2">
        <f>[1]节奏总纲!AF274</f>
        <v>85.932712541223623</v>
      </c>
      <c r="U274" s="2">
        <f>[1]节奏总纲!AG274</f>
        <v>90.908943936706351</v>
      </c>
      <c r="V274" s="2">
        <f>[1]节奏总纲!AH274</f>
        <v>99.780082769469516</v>
      </c>
      <c r="AN274" s="2">
        <v>271</v>
      </c>
      <c r="AO274" s="2">
        <f>[1]节奏总纲!BA274</f>
        <v>44.740152764645778</v>
      </c>
      <c r="AP274" s="2">
        <f>[1]节奏总纲!BB274</f>
        <v>46.248330376524919</v>
      </c>
      <c r="AQ274" s="2">
        <f>[1]节奏总纲!BC274</f>
        <v>48.19762941698734</v>
      </c>
      <c r="AR274" s="2">
        <f>[1]节奏总纲!BD274</f>
        <v>50.955528949521224</v>
      </c>
      <c r="AS274" s="2">
        <f>[1]节奏总纲!BE274</f>
        <v>55.652001065550522</v>
      </c>
    </row>
    <row r="275" spans="17:45" x14ac:dyDescent="0.15">
      <c r="Q275" s="2">
        <v>272</v>
      </c>
      <c r="R275" s="2">
        <f>[1]节奏总纲!AD275</f>
        <v>80.925220097420009</v>
      </c>
      <c r="S275" s="2">
        <f>[1]节奏总纲!AE275</f>
        <v>83.023342162088809</v>
      </c>
      <c r="T275" s="2">
        <f>[1]节奏总纲!AF275</f>
        <v>85.987316202010419</v>
      </c>
      <c r="U275" s="2">
        <f>[1]节奏总纲!AG275</f>
        <v>90.965353832736099</v>
      </c>
      <c r="V275" s="2">
        <f>[1]节奏总纲!AH275</f>
        <v>99.838295811592047</v>
      </c>
      <c r="AN275" s="2">
        <v>272</v>
      </c>
      <c r="AO275" s="2">
        <f>[1]节奏总纲!BA275</f>
        <v>44.766008210949678</v>
      </c>
      <c r="AP275" s="2">
        <f>[1]节奏总纲!BB275</f>
        <v>46.272410430048332</v>
      </c>
      <c r="AQ275" s="2">
        <f>[1]节奏总纲!BC275</f>
        <v>48.221558083533495</v>
      </c>
      <c r="AR275" s="2">
        <f>[1]节奏总纲!BD275</f>
        <v>50.982286971070401</v>
      </c>
      <c r="AS275" s="2">
        <f>[1]节奏总纲!BE275</f>
        <v>55.677710886747306</v>
      </c>
    </row>
    <row r="276" spans="17:45" x14ac:dyDescent="0.15">
      <c r="Q276" s="2">
        <v>273</v>
      </c>
      <c r="R276" s="2">
        <f>[1]节奏总纲!AD276</f>
        <v>80.979644809032948</v>
      </c>
      <c r="S276" s="2">
        <f>[1]节奏总纲!AE276</f>
        <v>83.07405267945947</v>
      </c>
      <c r="T276" s="2">
        <f>[1]节奏总纲!AF276</f>
        <v>86.038061368689995</v>
      </c>
      <c r="U276" s="2">
        <f>[1]节奏总纲!AG276</f>
        <v>91.020352770869948</v>
      </c>
      <c r="V276" s="2">
        <f>[1]节奏总纲!AH276</f>
        <v>99.896508853714579</v>
      </c>
      <c r="AN276" s="2">
        <v>273</v>
      </c>
      <c r="AO276" s="2">
        <f>[1]节奏总纲!BA276</f>
        <v>44.791863657253586</v>
      </c>
      <c r="AP276" s="2">
        <f>[1]节奏总纲!BB276</f>
        <v>46.296490483571738</v>
      </c>
      <c r="AQ276" s="2">
        <f>[1]节奏总纲!BC276</f>
        <v>48.24548675007965</v>
      </c>
      <c r="AR276" s="2">
        <f>[1]节奏总纲!BD276</f>
        <v>51.007810424246486</v>
      </c>
      <c r="AS276" s="2">
        <f>[1]节奏总纲!BE276</f>
        <v>55.703420707944098</v>
      </c>
    </row>
    <row r="277" spans="17:45" x14ac:dyDescent="0.15">
      <c r="Q277" s="2">
        <v>274</v>
      </c>
      <c r="R277" s="2">
        <f>[1]节奏总纲!AD277</f>
        <v>81.031787986768464</v>
      </c>
      <c r="S277" s="2">
        <f>[1]节奏总纲!AE277</f>
        <v>83.124763196830131</v>
      </c>
      <c r="T277" s="2">
        <f>[1]节奏总纲!AF277</f>
        <v>86.087639061133402</v>
      </c>
      <c r="U277" s="2">
        <f>[1]节奏总纲!AG277</f>
        <v>91.073105573528181</v>
      </c>
      <c r="V277" s="2">
        <f>[1]节奏总纲!AH277</f>
        <v>99.954721895837096</v>
      </c>
      <c r="AN277" s="2">
        <v>274</v>
      </c>
      <c r="AO277" s="2">
        <f>[1]节奏总纲!BA277</f>
        <v>44.817719103557486</v>
      </c>
      <c r="AP277" s="2">
        <f>[1]节奏总纲!BB277</f>
        <v>46.320570537095151</v>
      </c>
      <c r="AQ277" s="2">
        <f>[1]节奏总纲!BC277</f>
        <v>48.269415416625804</v>
      </c>
      <c r="AR277" s="2">
        <f>[1]节奏总纲!BD277</f>
        <v>51.030916192165336</v>
      </c>
      <c r="AS277" s="2">
        <f>[1]节奏总纲!BE277</f>
        <v>55.729130529140882</v>
      </c>
    </row>
    <row r="278" spans="17:45" x14ac:dyDescent="0.15">
      <c r="Q278" s="2">
        <v>275</v>
      </c>
      <c r="R278" s="2">
        <f>[1]节奏总纲!AD278</f>
        <v>81.082568038258216</v>
      </c>
      <c r="S278" s="2">
        <f>[1]节奏总纲!AE278</f>
        <v>83.175473714200777</v>
      </c>
      <c r="T278" s="2">
        <f>[1]节奏总纲!AF278</f>
        <v>86.137216753576809</v>
      </c>
      <c r="U278" s="2">
        <f>[1]节奏总纲!AG278</f>
        <v>91.125858376186414</v>
      </c>
      <c r="V278" s="2">
        <f>[1]节奏总纲!AH278</f>
        <v>100.01191770041967</v>
      </c>
      <c r="AN278" s="2">
        <v>275</v>
      </c>
      <c r="AO278" s="2">
        <f>[1]节奏总纲!BA278</f>
        <v>44.843574549861387</v>
      </c>
      <c r="AP278" s="2">
        <f>[1]节奏总纲!BB278</f>
        <v>46.344650590618556</v>
      </c>
      <c r="AQ278" s="2">
        <f>[1]节奏总纲!BC278</f>
        <v>48.293344083171966</v>
      </c>
      <c r="AR278" s="2">
        <f>[1]节奏总纲!BD278</f>
        <v>51.054021960084178</v>
      </c>
      <c r="AS278" s="2">
        <f>[1]节奏总纲!BE278</f>
        <v>55.754840350337666</v>
      </c>
    </row>
    <row r="279" spans="17:45" x14ac:dyDescent="0.15">
      <c r="Q279" s="2">
        <v>276</v>
      </c>
      <c r="R279" s="2">
        <f>[1]节奏总纲!AD279</f>
        <v>81.133348089747955</v>
      </c>
      <c r="S279" s="2">
        <f>[1]节奏总纲!AE279</f>
        <v>83.226184231571438</v>
      </c>
      <c r="T279" s="2">
        <f>[1]节奏总纲!AF279</f>
        <v>86.186794446020215</v>
      </c>
      <c r="U279" s="2">
        <f>[1]节奏总纲!AG279</f>
        <v>91.178611178844633</v>
      </c>
      <c r="V279" s="2">
        <f>[1]节奏总纲!AH279</f>
        <v>100.06555271580974</v>
      </c>
      <c r="AN279" s="2">
        <v>276</v>
      </c>
      <c r="AO279" s="2">
        <f>[1]节奏总纲!BA279</f>
        <v>44.869429996165294</v>
      </c>
      <c r="AP279" s="2">
        <f>[1]节奏总纲!BB279</f>
        <v>46.368730644141969</v>
      </c>
      <c r="AQ279" s="2">
        <f>[1]节奏总纲!BC279</f>
        <v>48.317272749718121</v>
      </c>
      <c r="AR279" s="2">
        <f>[1]节奏总纲!BD279</f>
        <v>51.077127728003028</v>
      </c>
      <c r="AS279" s="2">
        <f>[1]节奏总纲!BE279</f>
        <v>55.780550171534458</v>
      </c>
    </row>
    <row r="280" spans="17:45" x14ac:dyDescent="0.15">
      <c r="Q280" s="2">
        <v>277</v>
      </c>
      <c r="R280" s="2">
        <f>[1]节奏总纲!AD280</f>
        <v>81.184128141237707</v>
      </c>
      <c r="S280" s="2">
        <f>[1]节奏总纲!AE280</f>
        <v>83.276894748942098</v>
      </c>
      <c r="T280" s="2">
        <f>[1]节奏总纲!AF280</f>
        <v>86.236372138463622</v>
      </c>
      <c r="U280" s="2">
        <f>[1]节奏总纲!AG280</f>
        <v>91.231363981502867</v>
      </c>
      <c r="V280" s="2">
        <f>[1]节奏总纲!AH280</f>
        <v>100.11918773119983</v>
      </c>
      <c r="AN280" s="2">
        <v>277</v>
      </c>
      <c r="AO280" s="2">
        <f>[1]节奏总纲!BA280</f>
        <v>44.895285442469195</v>
      </c>
      <c r="AP280" s="2">
        <f>[1]节奏总纲!BB280</f>
        <v>46.392810697665375</v>
      </c>
      <c r="AQ280" s="2">
        <f>[1]节奏总纲!BC280</f>
        <v>48.341201416264276</v>
      </c>
      <c r="AR280" s="2">
        <f>[1]节奏总纲!BD280</f>
        <v>51.10023349592187</v>
      </c>
      <c r="AS280" s="2">
        <f>[1]节奏总纲!BE280</f>
        <v>55.806259992731242</v>
      </c>
    </row>
    <row r="281" spans="17:45" x14ac:dyDescent="0.15">
      <c r="Q281" s="2">
        <v>278</v>
      </c>
      <c r="R281" s="2">
        <f>[1]节奏总纲!AD281</f>
        <v>81.23490819272746</v>
      </c>
      <c r="S281" s="2">
        <f>[1]节奏总纲!AE281</f>
        <v>83.327605266312744</v>
      </c>
      <c r="T281" s="2">
        <f>[1]节奏总纲!AF281</f>
        <v>86.285949830907029</v>
      </c>
      <c r="U281" s="2">
        <f>[1]节奏总纲!AG281</f>
        <v>91.2841167841611</v>
      </c>
      <c r="V281" s="2">
        <f>[1]节奏总纲!AH281</f>
        <v>100.1728227465899</v>
      </c>
      <c r="AN281" s="2">
        <v>278</v>
      </c>
      <c r="AO281" s="2">
        <f>[1]节奏总纲!BA281</f>
        <v>44.921140888773095</v>
      </c>
      <c r="AP281" s="2">
        <f>[1]节奏总纲!BB281</f>
        <v>46.416890751188788</v>
      </c>
      <c r="AQ281" s="2">
        <f>[1]节奏总纲!BC281</f>
        <v>48.365130082810438</v>
      </c>
      <c r="AR281" s="2">
        <f>[1]节奏总纲!BD281</f>
        <v>51.12333926384072</v>
      </c>
      <c r="AS281" s="2">
        <f>[1]节奏总纲!BE281</f>
        <v>55.831969813928033</v>
      </c>
    </row>
    <row r="282" spans="17:45" x14ac:dyDescent="0.15">
      <c r="Q282" s="2">
        <v>279</v>
      </c>
      <c r="R282" s="2">
        <f>[1]节奏总纲!AD282</f>
        <v>81.285688244217212</v>
      </c>
      <c r="S282" s="2">
        <f>[1]节奏总纲!AE282</f>
        <v>83.378315783683405</v>
      </c>
      <c r="T282" s="2">
        <f>[1]节奏总纲!AF282</f>
        <v>86.335527523350422</v>
      </c>
      <c r="U282" s="2">
        <f>[1]节奏总纲!AG282</f>
        <v>91.336869586819319</v>
      </c>
      <c r="V282" s="2">
        <f>[1]节奏总纲!AH282</f>
        <v>100.22645776197997</v>
      </c>
      <c r="AN282" s="2">
        <v>279</v>
      </c>
      <c r="AO282" s="2">
        <f>[1]节奏总纲!BA282</f>
        <v>44.946996335076996</v>
      </c>
      <c r="AP282" s="2">
        <f>[1]节奏总纲!BB282</f>
        <v>46.440970804712194</v>
      </c>
      <c r="AQ282" s="2">
        <f>[1]节奏总纲!BC282</f>
        <v>48.389058749356593</v>
      </c>
      <c r="AR282" s="2">
        <f>[1]节奏总纲!BD282</f>
        <v>51.146445031759569</v>
      </c>
      <c r="AS282" s="2">
        <f>[1]节奏总纲!BE282</f>
        <v>55.857679635124818</v>
      </c>
    </row>
    <row r="283" spans="17:45" x14ac:dyDescent="0.15">
      <c r="Q283" s="2">
        <v>280</v>
      </c>
      <c r="R283" s="2">
        <f>[1]节奏总纲!AD283</f>
        <v>81.336468295706965</v>
      </c>
      <c r="S283" s="2">
        <f>[1]节奏总纲!AE283</f>
        <v>83.429026301054066</v>
      </c>
      <c r="T283" s="2">
        <f>[1]节奏总纲!AF283</f>
        <v>86.385105215793828</v>
      </c>
      <c r="U283" s="2">
        <f>[1]节奏总纲!AG283</f>
        <v>91.389622389477552</v>
      </c>
      <c r="V283" s="2">
        <f>[1]节奏总纲!AH283</f>
        <v>100.28009277737006</v>
      </c>
      <c r="AN283" s="2">
        <v>280</v>
      </c>
      <c r="AO283" s="2">
        <f>[1]节奏总纲!BA283</f>
        <v>44.972851781380903</v>
      </c>
      <c r="AP283" s="2">
        <f>[1]节奏总纲!BB283</f>
        <v>46.465050858235607</v>
      </c>
      <c r="AQ283" s="2">
        <f>[1]节奏总纲!BC283</f>
        <v>48.412987415902748</v>
      </c>
      <c r="AR283" s="2">
        <f>[1]节奏总纲!BD283</f>
        <v>51.169550799678412</v>
      </c>
      <c r="AS283" s="2">
        <f>[1]节奏总纲!BE283</f>
        <v>55.883389456321602</v>
      </c>
    </row>
    <row r="284" spans="17:45" x14ac:dyDescent="0.15">
      <c r="Q284" s="2">
        <v>281</v>
      </c>
      <c r="R284" s="2">
        <f>[1]节奏总纲!AD284</f>
        <v>81.387248347196717</v>
      </c>
      <c r="S284" s="2">
        <f>[1]节奏总纲!AE284</f>
        <v>83.479736818424712</v>
      </c>
      <c r="T284" s="2">
        <f>[1]节奏总纲!AF284</f>
        <v>86.434682908237235</v>
      </c>
      <c r="U284" s="2">
        <f>[1]节奏总纲!AG284</f>
        <v>91.442375192135771</v>
      </c>
      <c r="V284" s="2">
        <f>[1]节奏总纲!AH284</f>
        <v>100.33372779276013</v>
      </c>
      <c r="AN284" s="2">
        <v>281</v>
      </c>
      <c r="AO284" s="2">
        <f>[1]节奏总纲!BA284</f>
        <v>44.998707227684804</v>
      </c>
      <c r="AP284" s="2">
        <f>[1]节奏总纲!BB284</f>
        <v>46.489130911759013</v>
      </c>
      <c r="AQ284" s="2">
        <f>[1]节奏总纲!BC284</f>
        <v>48.43691608244891</v>
      </c>
      <c r="AR284" s="2">
        <f>[1]节奏总纲!BD284</f>
        <v>51.192656567597261</v>
      </c>
      <c r="AS284" s="2">
        <f>[1]节奏总纲!BE284</f>
        <v>55.909099277518393</v>
      </c>
    </row>
    <row r="285" spans="17:45" x14ac:dyDescent="0.15">
      <c r="Q285" s="2">
        <v>282</v>
      </c>
      <c r="R285" s="2">
        <f>[1]节奏总纲!AD285</f>
        <v>81.43802839868647</v>
      </c>
      <c r="S285" s="2">
        <f>[1]节奏总纲!AE285</f>
        <v>83.530447335795373</v>
      </c>
      <c r="T285" s="2">
        <f>[1]节奏总纲!AF285</f>
        <v>86.484260600680642</v>
      </c>
      <c r="U285" s="2">
        <f>[1]节奏总纲!AG285</f>
        <v>91.495127994794004</v>
      </c>
      <c r="V285" s="2">
        <f>[1]节奏总纲!AH285</f>
        <v>100.3873628081502</v>
      </c>
      <c r="AN285" s="2">
        <v>282</v>
      </c>
      <c r="AO285" s="2">
        <f>[1]节奏总纲!BA285</f>
        <v>45.021201039060998</v>
      </c>
      <c r="AP285" s="2">
        <f>[1]节奏总纲!BB285</f>
        <v>46.513210965282425</v>
      </c>
      <c r="AQ285" s="2">
        <f>[1]节奏总纲!BC285</f>
        <v>48.460844748995065</v>
      </c>
      <c r="AR285" s="2">
        <f>[1]节奏总纲!BD285</f>
        <v>51.215762335516104</v>
      </c>
      <c r="AS285" s="2">
        <f>[1]节奏总纲!BE285</f>
        <v>55.934809098715178</v>
      </c>
    </row>
    <row r="286" spans="17:45" x14ac:dyDescent="0.15">
      <c r="Q286" s="2">
        <v>283</v>
      </c>
      <c r="R286" s="2">
        <f>[1]节奏总纲!AD286</f>
        <v>81.488808450176222</v>
      </c>
      <c r="S286" s="2">
        <f>[1]节奏总纲!AE286</f>
        <v>83.581157853166033</v>
      </c>
      <c r="T286" s="2">
        <f>[1]节奏总纲!AF286</f>
        <v>86.533838293124049</v>
      </c>
      <c r="U286" s="2">
        <f>[1]节奏总纲!AG286</f>
        <v>91.547880797452237</v>
      </c>
      <c r="V286" s="2">
        <f>[1]节奏总纲!AH286</f>
        <v>100.44099782354027</v>
      </c>
      <c r="AN286" s="2">
        <v>283</v>
      </c>
      <c r="AO286" s="2">
        <f>[1]节奏总纲!BA286</f>
        <v>45.043517922283101</v>
      </c>
      <c r="AP286" s="2">
        <f>[1]节奏总纲!BB286</f>
        <v>46.537291018805831</v>
      </c>
      <c r="AQ286" s="2">
        <f>[1]节奏总纲!BC286</f>
        <v>48.48477341554122</v>
      </c>
      <c r="AR286" s="2">
        <f>[1]节奏总纲!BD286</f>
        <v>51.238868103434953</v>
      </c>
      <c r="AS286" s="2">
        <f>[1]节奏总纲!BE286</f>
        <v>55.960518919911962</v>
      </c>
    </row>
    <row r="287" spans="17:45" x14ac:dyDescent="0.15">
      <c r="Q287" s="2">
        <v>284</v>
      </c>
      <c r="R287" s="2">
        <f>[1]节奏总纲!AD287</f>
        <v>81.539588501665975</v>
      </c>
      <c r="S287" s="2">
        <f>[1]节奏总纲!AE287</f>
        <v>83.631868370536679</v>
      </c>
      <c r="T287" s="2">
        <f>[1]节奏总纲!AF287</f>
        <v>86.583415985567456</v>
      </c>
      <c r="U287" s="2">
        <f>[1]节奏总纲!AG287</f>
        <v>91.600633600110456</v>
      </c>
      <c r="V287" s="2">
        <f>[1]节奏总纲!AH287</f>
        <v>100.49463283893036</v>
      </c>
      <c r="AN287" s="2">
        <v>284</v>
      </c>
      <c r="AO287" s="2">
        <f>[1]节奏总纲!BA287</f>
        <v>45.065834805505204</v>
      </c>
      <c r="AP287" s="2">
        <f>[1]节奏总纲!BB287</f>
        <v>46.561371072329244</v>
      </c>
      <c r="AQ287" s="2">
        <f>[1]节奏总纲!BC287</f>
        <v>48.508702082087382</v>
      </c>
      <c r="AR287" s="2">
        <f>[1]节奏总纲!BD287</f>
        <v>51.261973871353796</v>
      </c>
      <c r="AS287" s="2">
        <f>[1]节奏总纲!BE287</f>
        <v>55.986228741108754</v>
      </c>
    </row>
    <row r="288" spans="17:45" x14ac:dyDescent="0.15">
      <c r="Q288" s="2">
        <v>285</v>
      </c>
      <c r="R288" s="2">
        <f>[1]节奏总纲!AD288</f>
        <v>81.590368553155727</v>
      </c>
      <c r="S288" s="2">
        <f>[1]节奏总纲!AE288</f>
        <v>83.68257888790734</v>
      </c>
      <c r="T288" s="2">
        <f>[1]节奏总纲!AF288</f>
        <v>86.632993678010848</v>
      </c>
      <c r="U288" s="2">
        <f>[1]节奏总纲!AG288</f>
        <v>91.653386402768689</v>
      </c>
      <c r="V288" s="2">
        <f>[1]节奏总纲!AH288</f>
        <v>100.54826785432043</v>
      </c>
      <c r="AN288" s="2">
        <v>285</v>
      </c>
      <c r="AO288" s="2">
        <f>[1]节奏总纲!BA288</f>
        <v>45.088151688727308</v>
      </c>
      <c r="AP288" s="2">
        <f>[1]节奏总纲!BB288</f>
        <v>46.58545112585265</v>
      </c>
      <c r="AQ288" s="2">
        <f>[1]节奏总纲!BC288</f>
        <v>48.532630748633537</v>
      </c>
      <c r="AR288" s="2">
        <f>[1]节奏总纲!BD288</f>
        <v>51.285079639272645</v>
      </c>
      <c r="AS288" s="2">
        <f>[1]节奏总纲!BE288</f>
        <v>56.010312347085055</v>
      </c>
    </row>
    <row r="289" spans="17:45" x14ac:dyDescent="0.15">
      <c r="Q289" s="2">
        <v>286</v>
      </c>
      <c r="R289" s="2">
        <f>[1]节奏总纲!AD289</f>
        <v>81.64114860464548</v>
      </c>
      <c r="S289" s="2">
        <f>[1]节奏总纲!AE289</f>
        <v>83.733289405278001</v>
      </c>
      <c r="T289" s="2">
        <f>[1]节奏总纲!AF289</f>
        <v>86.682571370454255</v>
      </c>
      <c r="U289" s="2">
        <f>[1]节奏总纲!AG289</f>
        <v>91.706139205426922</v>
      </c>
      <c r="V289" s="2">
        <f>[1]节奏总纲!AH289</f>
        <v>100.6019028697105</v>
      </c>
      <c r="AN289" s="2">
        <v>286</v>
      </c>
      <c r="AO289" s="2">
        <f>[1]节奏总纲!BA289</f>
        <v>45.110468571949411</v>
      </c>
      <c r="AP289" s="2">
        <f>[1]节奏总纲!BB289</f>
        <v>46.609531179376063</v>
      </c>
      <c r="AQ289" s="2">
        <f>[1]节奏总纲!BC289</f>
        <v>48.556559415179692</v>
      </c>
      <c r="AR289" s="2">
        <f>[1]节奏总纲!BD289</f>
        <v>51.308185407191495</v>
      </c>
      <c r="AS289" s="2">
        <f>[1]节奏总纲!BE289</f>
        <v>56.032520096468168</v>
      </c>
    </row>
    <row r="290" spans="17:45" x14ac:dyDescent="0.15">
      <c r="Q290" s="2">
        <v>287</v>
      </c>
      <c r="R290" s="2">
        <f>[1]节奏总纲!AD290</f>
        <v>81.691928656135218</v>
      </c>
      <c r="S290" s="2">
        <f>[1]节奏总纲!AE290</f>
        <v>83.783999922648647</v>
      </c>
      <c r="T290" s="2">
        <f>[1]节奏总纲!AF290</f>
        <v>86.732149062897662</v>
      </c>
      <c r="U290" s="2">
        <f>[1]节奏总纲!AG290</f>
        <v>91.758892008085141</v>
      </c>
      <c r="V290" s="2">
        <f>[1]节奏总纲!AH290</f>
        <v>100.65553788510059</v>
      </c>
      <c r="AN290" s="2">
        <v>287</v>
      </c>
      <c r="AO290" s="2">
        <f>[1]节奏总纲!BA290</f>
        <v>45.132785455171515</v>
      </c>
      <c r="AP290" s="2">
        <f>[1]节奏总纲!BB290</f>
        <v>46.633611232899469</v>
      </c>
      <c r="AQ290" s="2">
        <f>[1]节奏总纲!BC290</f>
        <v>48.580488081725846</v>
      </c>
      <c r="AR290" s="2">
        <f>[1]节奏总纲!BD290</f>
        <v>51.331291175110337</v>
      </c>
      <c r="AS290" s="2">
        <f>[1]节奏总纲!BE290</f>
        <v>56.054727845851275</v>
      </c>
    </row>
    <row r="291" spans="17:45" x14ac:dyDescent="0.15">
      <c r="Q291" s="2">
        <v>288</v>
      </c>
      <c r="R291" s="2">
        <f>[1]节奏总纲!AD291</f>
        <v>81.742708707624971</v>
      </c>
      <c r="S291" s="2">
        <f>[1]节奏总纲!AE291</f>
        <v>83.834710440019307</v>
      </c>
      <c r="T291" s="2">
        <f>[1]节奏总纲!AF291</f>
        <v>86.781726755341069</v>
      </c>
      <c r="U291" s="2">
        <f>[1]节奏总纲!AG291</f>
        <v>91.811644810743374</v>
      </c>
      <c r="V291" s="2">
        <f>[1]节奏总纲!AH291</f>
        <v>100.70917290049066</v>
      </c>
      <c r="AN291" s="2">
        <v>288</v>
      </c>
      <c r="AO291" s="2">
        <f>[1]节奏总纲!BA291</f>
        <v>45.155102338393618</v>
      </c>
      <c r="AP291" s="2">
        <f>[1]节奏总纲!BB291</f>
        <v>46.657691286422882</v>
      </c>
      <c r="AQ291" s="2">
        <f>[1]节奏总纲!BC291</f>
        <v>48.604416748272008</v>
      </c>
      <c r="AR291" s="2">
        <f>[1]节奏总纲!BD291</f>
        <v>51.354396943029187</v>
      </c>
      <c r="AS291" s="2">
        <f>[1]节奏总纲!BE291</f>
        <v>56.076935595234382</v>
      </c>
    </row>
    <row r="292" spans="17:45" x14ac:dyDescent="0.15">
      <c r="Q292" s="2">
        <v>289</v>
      </c>
      <c r="R292" s="2">
        <f>[1]节奏总纲!AD292</f>
        <v>81.793488759114723</v>
      </c>
      <c r="S292" s="2">
        <f>[1]节奏总纲!AE292</f>
        <v>83.885420957389968</v>
      </c>
      <c r="T292" s="2">
        <f>[1]节奏总纲!AF292</f>
        <v>86.831304447784476</v>
      </c>
      <c r="U292" s="2">
        <f>[1]节奏总纲!AG292</f>
        <v>91.864397613401607</v>
      </c>
      <c r="V292" s="2">
        <f>[1]节奏总纲!AH292</f>
        <v>100.76280791588073</v>
      </c>
      <c r="AN292" s="2">
        <v>289</v>
      </c>
      <c r="AO292" s="2">
        <f>[1]节奏总纲!BA292</f>
        <v>45.177419221615722</v>
      </c>
      <c r="AP292" s="2">
        <f>[1]节奏总纲!BB292</f>
        <v>46.681771339946287</v>
      </c>
      <c r="AQ292" s="2">
        <f>[1]节奏总纲!BC292</f>
        <v>48.628345414818163</v>
      </c>
      <c r="AR292" s="2">
        <f>[1]节奏总纲!BD292</f>
        <v>51.377502710948029</v>
      </c>
      <c r="AS292" s="2">
        <f>[1]节奏总纲!BE292</f>
        <v>56.099143344617488</v>
      </c>
    </row>
    <row r="293" spans="17:45" x14ac:dyDescent="0.15">
      <c r="Q293" s="2">
        <v>290</v>
      </c>
      <c r="R293" s="2">
        <f>[1]节奏总纲!AD293</f>
        <v>81.844268810604476</v>
      </c>
      <c r="S293" s="2">
        <f>[1]节奏总纲!AE293</f>
        <v>83.936131474760614</v>
      </c>
      <c r="T293" s="2">
        <f>[1]节奏总纲!AF293</f>
        <v>86.880882140227882</v>
      </c>
      <c r="U293" s="2">
        <f>[1]节奏总纲!AG293</f>
        <v>91.917150416059826</v>
      </c>
      <c r="V293" s="2">
        <f>[1]节奏总纲!AH293</f>
        <v>100.8164429312708</v>
      </c>
      <c r="AN293" s="2">
        <v>290</v>
      </c>
      <c r="AO293" s="2">
        <f>[1]节奏总纲!BA293</f>
        <v>45.199736104837825</v>
      </c>
      <c r="AP293" s="2">
        <f>[1]节奏总纲!BB293</f>
        <v>46.7058513934697</v>
      </c>
      <c r="AQ293" s="2">
        <f>[1]节奏总纲!BC293</f>
        <v>48.652274081364318</v>
      </c>
      <c r="AR293" s="2">
        <f>[1]节奏总纲!BD293</f>
        <v>51.400608478866879</v>
      </c>
      <c r="AS293" s="2">
        <f>[1]节奏总纲!BE293</f>
        <v>56.121351094000602</v>
      </c>
    </row>
    <row r="294" spans="17:45" x14ac:dyDescent="0.15">
      <c r="Q294" s="2">
        <v>291</v>
      </c>
      <c r="R294" s="2">
        <f>[1]节奏总纲!AD294</f>
        <v>81.895048862094228</v>
      </c>
      <c r="S294" s="2">
        <f>[1]节奏总纲!AE294</f>
        <v>83.986841992131275</v>
      </c>
      <c r="T294" s="2">
        <f>[1]节奏总纲!AF294</f>
        <v>86.930459832671289</v>
      </c>
      <c r="U294" s="2">
        <f>[1]节奏总纲!AG294</f>
        <v>91.969903218718059</v>
      </c>
      <c r="V294" s="2">
        <f>[1]节奏总纲!AH294</f>
        <v>100.87007794666089</v>
      </c>
      <c r="AN294" s="2">
        <v>291</v>
      </c>
      <c r="AO294" s="2">
        <f>[1]节奏总纲!BA294</f>
        <v>45.222052988059936</v>
      </c>
      <c r="AP294" s="2">
        <f>[1]节奏总纲!BB294</f>
        <v>46.729931446993106</v>
      </c>
      <c r="AQ294" s="2">
        <f>[1]节奏总纲!BC294</f>
        <v>48.67620274791048</v>
      </c>
      <c r="AR294" s="2">
        <f>[1]节奏总纲!BD294</f>
        <v>51.423714246785721</v>
      </c>
      <c r="AS294" s="2">
        <f>[1]节奏总纲!BE294</f>
        <v>56.143558843383708</v>
      </c>
    </row>
    <row r="295" spans="17:45" x14ac:dyDescent="0.15">
      <c r="Q295" s="2">
        <v>292</v>
      </c>
      <c r="R295" s="2">
        <f>[1]节奏总纲!AD295</f>
        <v>81.945828913583981</v>
      </c>
      <c r="S295" s="2">
        <f>[1]节奏总纲!AE295</f>
        <v>84.036191564035917</v>
      </c>
      <c r="T295" s="2">
        <f>[1]节奏总纲!AF295</f>
        <v>86.980037525114682</v>
      </c>
      <c r="U295" s="2">
        <f>[1]节奏总纲!AG295</f>
        <v>92.021521414287719</v>
      </c>
      <c r="V295" s="2">
        <f>[1]节奏总纲!AH295</f>
        <v>100.92371296205096</v>
      </c>
      <c r="AN295" s="2">
        <v>292</v>
      </c>
      <c r="AO295" s="2">
        <f>[1]节奏总纲!BA295</f>
        <v>45.244369871282039</v>
      </c>
      <c r="AP295" s="2">
        <f>[1]节奏总纲!BB295</f>
        <v>46.754011500516519</v>
      </c>
      <c r="AQ295" s="2">
        <f>[1]节奏总纲!BC295</f>
        <v>48.700131414456635</v>
      </c>
      <c r="AR295" s="2">
        <f>[1]节奏总纲!BD295</f>
        <v>51.446820014704571</v>
      </c>
      <c r="AS295" s="2">
        <f>[1]节奏总纲!BE295</f>
        <v>56.165766592766815</v>
      </c>
    </row>
    <row r="296" spans="17:45" x14ac:dyDescent="0.15">
      <c r="Q296" s="2">
        <v>293</v>
      </c>
      <c r="R296" s="2">
        <f>[1]节奏总纲!AD296</f>
        <v>81.996608965073733</v>
      </c>
      <c r="S296" s="2">
        <f>[1]节奏总纲!AE296</f>
        <v>84.085064274836242</v>
      </c>
      <c r="T296" s="2">
        <f>[1]节奏总纲!AF296</f>
        <v>87.029133791498197</v>
      </c>
      <c r="U296" s="2">
        <f>[1]节奏总纲!AG296</f>
        <v>92.071632371634976</v>
      </c>
      <c r="V296" s="2">
        <f>[1]节奏总纲!AH296</f>
        <v>100.97734797744103</v>
      </c>
      <c r="AN296" s="2">
        <v>293</v>
      </c>
      <c r="AO296" s="2">
        <f>[1]节奏总纲!BA296</f>
        <v>45.266686754504143</v>
      </c>
      <c r="AP296" s="2">
        <f>[1]节奏总纲!BB296</f>
        <v>46.778091554039925</v>
      </c>
      <c r="AQ296" s="2">
        <f>[1]节奏总纲!BC296</f>
        <v>48.72406008100279</v>
      </c>
      <c r="AR296" s="2">
        <f>[1]节奏总纲!BD296</f>
        <v>51.46992578262342</v>
      </c>
      <c r="AS296" s="2">
        <f>[1]节奏总纲!BE296</f>
        <v>56.187974342149921</v>
      </c>
    </row>
    <row r="297" spans="17:45" x14ac:dyDescent="0.15">
      <c r="Q297" s="2">
        <v>294</v>
      </c>
      <c r="R297" s="2">
        <f>[1]节奏总纲!AD297</f>
        <v>82.044215515890215</v>
      </c>
      <c r="S297" s="2">
        <f>[1]节奏总纲!AE297</f>
        <v>84.133936985636566</v>
      </c>
      <c r="T297" s="2">
        <f>[1]节奏总纲!AF297</f>
        <v>87.077905547159801</v>
      </c>
      <c r="U297" s="2">
        <f>[1]节奏总纲!AG297</f>
        <v>92.121743328982234</v>
      </c>
      <c r="V297" s="2">
        <f>[1]节奏总纲!AH297</f>
        <v>101.02868392415382</v>
      </c>
      <c r="AN297" s="2">
        <v>294</v>
      </c>
      <c r="AO297" s="2">
        <f>[1]节奏总纲!BA297</f>
        <v>45.289003637726246</v>
      </c>
      <c r="AP297" s="2">
        <f>[1]节奏总纲!BB297</f>
        <v>46.802171607563338</v>
      </c>
      <c r="AQ297" s="2">
        <f>[1]节奏总纲!BC297</f>
        <v>48.747988747548945</v>
      </c>
      <c r="AR297" s="2">
        <f>[1]节奏总纲!BD297</f>
        <v>51.493031550542263</v>
      </c>
      <c r="AS297" s="2">
        <f>[1]节奏总纲!BE297</f>
        <v>56.210182091533035</v>
      </c>
    </row>
    <row r="298" spans="17:45" x14ac:dyDescent="0.15">
      <c r="Q298" s="2">
        <v>295</v>
      </c>
      <c r="R298" s="2">
        <f>[1]节奏总纲!AD298</f>
        <v>82.091594979242089</v>
      </c>
      <c r="S298" s="2">
        <f>[1]节奏总纲!AE298</f>
        <v>84.182809696436891</v>
      </c>
      <c r="T298" s="2">
        <f>[1]节奏总纲!AF298</f>
        <v>87.126677302821392</v>
      </c>
      <c r="U298" s="2">
        <f>[1]节奏总纲!AG298</f>
        <v>92.171854286329506</v>
      </c>
      <c r="V298" s="2">
        <f>[1]节奏总纲!AH298</f>
        <v>101.07833899530283</v>
      </c>
      <c r="AN298" s="2">
        <v>295</v>
      </c>
      <c r="AO298" s="2">
        <f>[1]节奏总纲!BA298</f>
        <v>45.31132052094835</v>
      </c>
      <c r="AP298" s="2">
        <f>[1]节奏总纲!BB298</f>
        <v>46.826251661086744</v>
      </c>
      <c r="AQ298" s="2">
        <f>[1]节奏总纲!BC298</f>
        <v>48.771917414095107</v>
      </c>
      <c r="AR298" s="2">
        <f>[1]节奏总纲!BD298</f>
        <v>51.516137318461112</v>
      </c>
      <c r="AS298" s="2">
        <f>[1]节奏总纲!BE298</f>
        <v>56.232389840916142</v>
      </c>
    </row>
    <row r="299" spans="17:45" x14ac:dyDescent="0.15">
      <c r="Q299" s="2">
        <v>296</v>
      </c>
      <c r="R299" s="2">
        <f>[1]节奏总纲!AD299</f>
        <v>82.138974442593963</v>
      </c>
      <c r="S299" s="2">
        <f>[1]节奏总纲!AE299</f>
        <v>84.23168240723723</v>
      </c>
      <c r="T299" s="2">
        <f>[1]节奏总纲!AF299</f>
        <v>87.175449058482982</v>
      </c>
      <c r="U299" s="2">
        <f>[1]节奏总纲!AG299</f>
        <v>92.221965243676763</v>
      </c>
      <c r="V299" s="2">
        <f>[1]节奏总纲!AH299</f>
        <v>101.12799406645185</v>
      </c>
      <c r="AN299" s="2">
        <v>296</v>
      </c>
      <c r="AO299" s="2">
        <f>[1]节奏总纲!BA299</f>
        <v>45.333637404170453</v>
      </c>
      <c r="AP299" s="2">
        <f>[1]节奏总纲!BB299</f>
        <v>46.850331714610157</v>
      </c>
      <c r="AQ299" s="2">
        <f>[1]节奏总纲!BC299</f>
        <v>48.795846080641262</v>
      </c>
      <c r="AR299" s="2">
        <f>[1]节奏总纲!BD299</f>
        <v>51.539243086379955</v>
      </c>
      <c r="AS299" s="2">
        <f>[1]节奏总纲!BE299</f>
        <v>56.254597590299248</v>
      </c>
    </row>
    <row r="300" spans="17:45" x14ac:dyDescent="0.15">
      <c r="Q300" s="2">
        <v>297</v>
      </c>
      <c r="R300" s="2">
        <f>[1]节奏总纲!AD300</f>
        <v>82.186353905945836</v>
      </c>
      <c r="S300" s="2">
        <f>[1]节奏总纲!AE300</f>
        <v>84.280555118037555</v>
      </c>
      <c r="T300" s="2">
        <f>[1]节奏总纲!AF300</f>
        <v>87.224220814144587</v>
      </c>
      <c r="U300" s="2">
        <f>[1]节奏总纲!AG300</f>
        <v>92.272076201024021</v>
      </c>
      <c r="V300" s="2">
        <f>[1]节奏总纲!AH300</f>
        <v>101.17764913760085</v>
      </c>
      <c r="AN300" s="2">
        <v>297</v>
      </c>
      <c r="AO300" s="2">
        <f>[1]节奏总纲!BA300</f>
        <v>45.355954287392557</v>
      </c>
      <c r="AP300" s="2">
        <f>[1]节奏总纲!BB300</f>
        <v>46.874411768133562</v>
      </c>
      <c r="AQ300" s="2">
        <f>[1]节奏总纲!BC300</f>
        <v>48.819774747187417</v>
      </c>
      <c r="AR300" s="2">
        <f>[1]节奏总纲!BD300</f>
        <v>51.562348854298804</v>
      </c>
      <c r="AS300" s="2">
        <f>[1]节奏总纲!BE300</f>
        <v>56.276805339682355</v>
      </c>
    </row>
    <row r="301" spans="17:45" x14ac:dyDescent="0.15">
      <c r="Q301" s="2">
        <v>298</v>
      </c>
      <c r="R301" s="2">
        <f>[1]节奏总纲!AD301</f>
        <v>82.23373336929771</v>
      </c>
      <c r="S301" s="2">
        <f>[1]节奏总纲!AE301</f>
        <v>84.329427828837879</v>
      </c>
      <c r="T301" s="2">
        <f>[1]节奏总纲!AF301</f>
        <v>87.272992569806178</v>
      </c>
      <c r="U301" s="2">
        <f>[1]节奏总纲!AG301</f>
        <v>92.322187158371293</v>
      </c>
      <c r="V301" s="2">
        <f>[1]节奏总纲!AH301</f>
        <v>101.22730420874987</v>
      </c>
      <c r="AN301" s="2">
        <v>298</v>
      </c>
      <c r="AO301" s="2">
        <f>[1]节奏总纲!BA301</f>
        <v>45.37827117061466</v>
      </c>
      <c r="AP301" s="2">
        <f>[1]节奏总纲!BB301</f>
        <v>46.898491821656968</v>
      </c>
      <c r="AQ301" s="2">
        <f>[1]节奏总纲!BC301</f>
        <v>48.843703413733579</v>
      </c>
      <c r="AR301" s="2">
        <f>[1]节奏总纲!BD301</f>
        <v>51.585454622217647</v>
      </c>
      <c r="AS301" s="2">
        <f>[1]节奏总纲!BE301</f>
        <v>56.299013089065468</v>
      </c>
    </row>
    <row r="302" spans="17:45" x14ac:dyDescent="0.15">
      <c r="Q302" s="2">
        <v>299</v>
      </c>
      <c r="R302" s="2">
        <f>[1]节奏总纲!AD302</f>
        <v>82.281112832649583</v>
      </c>
      <c r="S302" s="2">
        <f>[1]节奏总纲!AE302</f>
        <v>84.378300539638204</v>
      </c>
      <c r="T302" s="2">
        <f>[1]节奏总纲!AF302</f>
        <v>87.321764325467768</v>
      </c>
      <c r="U302" s="2">
        <f>[1]节奏总纲!AG302</f>
        <v>92.37229811571855</v>
      </c>
      <c r="V302" s="2">
        <f>[1]节奏总纲!AH302</f>
        <v>101.27695927989888</v>
      </c>
      <c r="AN302" s="2">
        <v>299</v>
      </c>
      <c r="AO302" s="2">
        <f>[1]节奏总纲!BA302</f>
        <v>45.400588053836763</v>
      </c>
      <c r="AP302" s="2">
        <f>[1]节奏总纲!BB302</f>
        <v>46.922571875180381</v>
      </c>
      <c r="AQ302" s="2">
        <f>[1]节奏总纲!BC302</f>
        <v>48.867632080279733</v>
      </c>
      <c r="AR302" s="2">
        <f>[1]节奏总纲!BD302</f>
        <v>51.608560390136496</v>
      </c>
      <c r="AS302" s="2">
        <f>[1]节奏总纲!BE302</f>
        <v>56.321220838448575</v>
      </c>
    </row>
    <row r="303" spans="17:45" x14ac:dyDescent="0.15">
      <c r="Q303" s="2">
        <v>300</v>
      </c>
      <c r="R303" s="2">
        <f>[1]节奏总纲!AD303</f>
        <v>82.328492296001457</v>
      </c>
      <c r="S303" s="2">
        <f>[1]节奏总纲!AE303</f>
        <v>84.427173250438543</v>
      </c>
      <c r="T303" s="2">
        <f>[1]节奏总纲!AF303</f>
        <v>87.370536081129359</v>
      </c>
      <c r="U303" s="2">
        <f>[1]节奏总纲!AG303</f>
        <v>92.422409073065808</v>
      </c>
      <c r="V303" s="2">
        <f>[1]节奏总纲!AH303</f>
        <v>101.32661435104789</v>
      </c>
      <c r="AN303" s="2">
        <v>300</v>
      </c>
      <c r="AO303" s="2">
        <f>[1]节奏总纲!BA303</f>
        <v>45.422904937058867</v>
      </c>
      <c r="AP303" s="2">
        <f>[1]节奏总纲!BB303</f>
        <v>46.946651928703787</v>
      </c>
      <c r="AQ303" s="2">
        <f>[1]节奏总纲!BC303</f>
        <v>48.891560746825888</v>
      </c>
      <c r="AR303" s="2">
        <f>[1]节奏总纲!BD303</f>
        <v>51.631666158055346</v>
      </c>
      <c r="AS303" s="2">
        <f>[1]节奏总纲!BE303</f>
        <v>56.343428587831681</v>
      </c>
    </row>
    <row r="304" spans="17:45" x14ac:dyDescent="0.15">
      <c r="Q304" s="2">
        <v>301</v>
      </c>
      <c r="R304" s="2">
        <f>[1]节奏总纲!AD304</f>
        <v>82.375871759353331</v>
      </c>
      <c r="S304" s="2">
        <f>[1]节奏总纲!AE304</f>
        <v>84.476045961238867</v>
      </c>
      <c r="T304" s="2">
        <f>[1]节奏总纲!AF304</f>
        <v>87.419307836790964</v>
      </c>
      <c r="U304" s="2">
        <f>[1]节奏总纲!AG304</f>
        <v>92.472520030413079</v>
      </c>
      <c r="V304" s="2">
        <f>[1]节奏总纲!AH304</f>
        <v>101.3762694221969</v>
      </c>
      <c r="AN304" s="2">
        <v>301</v>
      </c>
      <c r="AO304" s="2">
        <f>[1]节奏总纲!BA304</f>
        <v>45.44522182028097</v>
      </c>
      <c r="AP304" s="2">
        <f>[1]节奏总纲!BB304</f>
        <v>46.9707319822272</v>
      </c>
      <c r="AQ304" s="2">
        <f>[1]节奏总纲!BC304</f>
        <v>48.91548941337205</v>
      </c>
      <c r="AR304" s="2">
        <f>[1]节奏总纲!BD304</f>
        <v>51.654771925974188</v>
      </c>
      <c r="AS304" s="2">
        <f>[1]节奏总纲!BE304</f>
        <v>56.365636337214795</v>
      </c>
    </row>
    <row r="305" spans="17:45" x14ac:dyDescent="0.15">
      <c r="Q305" s="2">
        <v>302</v>
      </c>
      <c r="R305" s="2">
        <f>[1]节奏总纲!AD305</f>
        <v>82.423251222705204</v>
      </c>
      <c r="S305" s="2">
        <f>[1]节奏总纲!AE305</f>
        <v>84.524918672039192</v>
      </c>
      <c r="T305" s="2">
        <f>[1]节奏总纲!AF305</f>
        <v>87.468079592452554</v>
      </c>
      <c r="U305" s="2">
        <f>[1]节奏总纲!AG305</f>
        <v>92.522630987760337</v>
      </c>
      <c r="V305" s="2">
        <f>[1]节奏总纲!AH305</f>
        <v>101.42592449334592</v>
      </c>
      <c r="AN305" s="2">
        <v>302</v>
      </c>
      <c r="AO305" s="2">
        <f>[1]节奏总纲!BA305</f>
        <v>45.467538703503074</v>
      </c>
      <c r="AP305" s="2">
        <f>[1]节奏总纲!BB305</f>
        <v>46.994812035750606</v>
      </c>
      <c r="AQ305" s="2">
        <f>[1]节奏总纲!BC305</f>
        <v>48.939418079918205</v>
      </c>
      <c r="AR305" s="2">
        <f>[1]节奏总纲!BD305</f>
        <v>51.677877693893038</v>
      </c>
      <c r="AS305" s="2">
        <f>[1]节奏总纲!BE305</f>
        <v>56.387844086597902</v>
      </c>
    </row>
    <row r="306" spans="17:45" x14ac:dyDescent="0.15">
      <c r="Q306" s="2">
        <v>303</v>
      </c>
      <c r="R306" s="2">
        <f>[1]节奏总纲!AD306</f>
        <v>82.470630686057078</v>
      </c>
      <c r="S306" s="2">
        <f>[1]节奏总纲!AE306</f>
        <v>84.573791382839516</v>
      </c>
      <c r="T306" s="2">
        <f>[1]节奏总纲!AF306</f>
        <v>87.516851348114145</v>
      </c>
      <c r="U306" s="2">
        <f>[1]节奏总纲!AG306</f>
        <v>92.572741945107595</v>
      </c>
      <c r="V306" s="2">
        <f>[1]节奏总纲!AH306</f>
        <v>101.47557956449492</v>
      </c>
      <c r="AN306" s="2">
        <v>303</v>
      </c>
      <c r="AO306" s="2">
        <f>[1]节奏总纲!BA306</f>
        <v>45.489855586725177</v>
      </c>
      <c r="AP306" s="2">
        <f>[1]节奏总纲!BB306</f>
        <v>47.016308935086101</v>
      </c>
      <c r="AQ306" s="2">
        <f>[1]节奏总纲!BC306</f>
        <v>48.96334674646436</v>
      </c>
      <c r="AR306" s="2">
        <f>[1]节奏总纲!BD306</f>
        <v>51.70098346181188</v>
      </c>
      <c r="AS306" s="2">
        <f>[1]节奏总纲!BE306</f>
        <v>56.410051835981008</v>
      </c>
    </row>
    <row r="307" spans="17:45" x14ac:dyDescent="0.15">
      <c r="Q307" s="2">
        <v>304</v>
      </c>
      <c r="R307" s="2">
        <f>[1]节奏总纲!AD307</f>
        <v>82.518010149408951</v>
      </c>
      <c r="S307" s="2">
        <f>[1]节奏总纲!AE307</f>
        <v>84.622664093639855</v>
      </c>
      <c r="T307" s="2">
        <f>[1]节奏总纲!AF307</f>
        <v>87.565623103775735</v>
      </c>
      <c r="U307" s="2">
        <f>[1]节奏总纲!AG307</f>
        <v>92.622852902454852</v>
      </c>
      <c r="V307" s="2">
        <f>[1]节奏总纲!AH307</f>
        <v>101.52523463564394</v>
      </c>
      <c r="AN307" s="2">
        <v>304</v>
      </c>
      <c r="AO307" s="2">
        <f>[1]节奏总纲!BA307</f>
        <v>45.512172469947281</v>
      </c>
      <c r="AP307" s="2">
        <f>[1]节奏总纲!BB307</f>
        <v>47.037096473408994</v>
      </c>
      <c r="AQ307" s="2">
        <f>[1]节奏总纲!BC307</f>
        <v>48.987275413010522</v>
      </c>
      <c r="AR307" s="2">
        <f>[1]节奏总纲!BD307</f>
        <v>51.72408922973073</v>
      </c>
      <c r="AS307" s="2">
        <f>[1]节奏总纲!BE307</f>
        <v>56.432259585364115</v>
      </c>
    </row>
    <row r="308" spans="17:45" x14ac:dyDescent="0.15">
      <c r="Q308" s="2">
        <v>305</v>
      </c>
      <c r="R308" s="2">
        <f>[1]节奏总纲!AD308</f>
        <v>82.565389612760825</v>
      </c>
      <c r="S308" s="2">
        <f>[1]节奏总纲!AE308</f>
        <v>84.67153680444018</v>
      </c>
      <c r="T308" s="2">
        <f>[1]节奏总纲!AF308</f>
        <v>87.61439485943734</v>
      </c>
      <c r="U308" s="2">
        <f>[1]节奏总纲!AG308</f>
        <v>92.672963859802124</v>
      </c>
      <c r="V308" s="2">
        <f>[1]节奏总纲!AH308</f>
        <v>101.57488970679294</v>
      </c>
      <c r="AN308" s="2">
        <v>305</v>
      </c>
      <c r="AO308" s="2">
        <f>[1]节奏总纲!BA308</f>
        <v>45.534489353169384</v>
      </c>
      <c r="AP308" s="2">
        <f>[1]节奏总纲!BB308</f>
        <v>47.057884011731893</v>
      </c>
      <c r="AQ308" s="2">
        <f>[1]节奏总纲!BC308</f>
        <v>49.009673493801003</v>
      </c>
      <c r="AR308" s="2">
        <f>[1]节奏总纲!BD308</f>
        <v>51.747194997649579</v>
      </c>
      <c r="AS308" s="2">
        <f>[1]节奏总纲!BE308</f>
        <v>56.454467334747228</v>
      </c>
    </row>
    <row r="309" spans="17:45" x14ac:dyDescent="0.15">
      <c r="Q309" s="2">
        <v>306</v>
      </c>
      <c r="R309" s="2">
        <f>[1]节奏总纲!AD309</f>
        <v>82.612769076112698</v>
      </c>
      <c r="S309" s="2">
        <f>[1]节奏总纲!AE309</f>
        <v>84.720409515240505</v>
      </c>
      <c r="T309" s="2">
        <f>[1]节奏总纲!AF309</f>
        <v>87.66316661509893</v>
      </c>
      <c r="U309" s="2">
        <f>[1]节奏总纲!AG309</f>
        <v>92.723074817149381</v>
      </c>
      <c r="V309" s="2">
        <f>[1]节奏总纲!AH309</f>
        <v>101.62454477794196</v>
      </c>
      <c r="AN309" s="2">
        <v>306</v>
      </c>
      <c r="AO309" s="2">
        <f>[1]节奏总纲!BA309</f>
        <v>45.556806236391488</v>
      </c>
      <c r="AP309" s="2">
        <f>[1]节奏总纲!BB309</f>
        <v>47.078671550054786</v>
      </c>
      <c r="AQ309" s="2">
        <f>[1]节奏总纲!BC309</f>
        <v>49.030333272797542</v>
      </c>
      <c r="AR309" s="2">
        <f>[1]节奏总纲!BD309</f>
        <v>51.770300765568422</v>
      </c>
      <c r="AS309" s="2">
        <f>[1]节奏总纲!BE309</f>
        <v>56.476675084130335</v>
      </c>
    </row>
    <row r="310" spans="17:45" x14ac:dyDescent="0.15">
      <c r="Q310" s="2">
        <v>307</v>
      </c>
      <c r="R310" s="2">
        <f>[1]节奏总纲!AD310</f>
        <v>82.660148539464572</v>
      </c>
      <c r="S310" s="2">
        <f>[1]节奏总纲!AE310</f>
        <v>84.769282226040829</v>
      </c>
      <c r="T310" s="2">
        <f>[1]节奏总纲!AF310</f>
        <v>87.711938370760521</v>
      </c>
      <c r="U310" s="2">
        <f>[1]节奏总纲!AG310</f>
        <v>92.773185774496639</v>
      </c>
      <c r="V310" s="2">
        <f>[1]节奏总纲!AH310</f>
        <v>101.67419984909097</v>
      </c>
      <c r="AN310" s="2">
        <v>307</v>
      </c>
      <c r="AO310" s="2">
        <f>[1]节奏总纲!BA310</f>
        <v>45.579123119613591</v>
      </c>
      <c r="AP310" s="2">
        <f>[1]节奏总纲!BB310</f>
        <v>47.099459088377678</v>
      </c>
      <c r="AQ310" s="2">
        <f>[1]节奏总纲!BC310</f>
        <v>49.05099305179408</v>
      </c>
      <c r="AR310" s="2">
        <f>[1]节奏总纲!BD310</f>
        <v>51.793406533487271</v>
      </c>
      <c r="AS310" s="2">
        <f>[1]节奏总纲!BE310</f>
        <v>56.498882833513441</v>
      </c>
    </row>
    <row r="311" spans="17:45" x14ac:dyDescent="0.15">
      <c r="Q311" s="2">
        <v>308</v>
      </c>
      <c r="R311" s="2">
        <f>[1]节奏总纲!AD311</f>
        <v>82.707528002816446</v>
      </c>
      <c r="S311" s="2">
        <f>[1]节奏总纲!AE311</f>
        <v>84.818154936841154</v>
      </c>
      <c r="T311" s="2">
        <f>[1]节奏总纲!AF311</f>
        <v>87.760710126422126</v>
      </c>
      <c r="U311" s="2">
        <f>[1]节奏总纲!AG311</f>
        <v>92.823296731843911</v>
      </c>
      <c r="V311" s="2">
        <f>[1]节奏总纲!AH311</f>
        <v>101.72385492023999</v>
      </c>
      <c r="AN311" s="2">
        <v>308</v>
      </c>
      <c r="AO311" s="2">
        <f>[1]节奏总纲!BA311</f>
        <v>45.601440002835695</v>
      </c>
      <c r="AP311" s="2">
        <f>[1]节奏总纲!BB311</f>
        <v>47.12024662670057</v>
      </c>
      <c r="AQ311" s="2">
        <f>[1]节奏总纲!BC311</f>
        <v>49.071652830790612</v>
      </c>
      <c r="AR311" s="2">
        <f>[1]节奏总纲!BD311</f>
        <v>51.816512301406114</v>
      </c>
      <c r="AS311" s="2">
        <f>[1]节奏总纲!BE311</f>
        <v>56.521090582896548</v>
      </c>
    </row>
    <row r="312" spans="17:45" x14ac:dyDescent="0.15">
      <c r="Q312" s="2">
        <v>309</v>
      </c>
      <c r="R312" s="2">
        <f>[1]节奏总纲!AD312</f>
        <v>82.754907466168319</v>
      </c>
      <c r="S312" s="2">
        <f>[1]节奏总纲!AE312</f>
        <v>84.867027647641493</v>
      </c>
      <c r="T312" s="2">
        <f>[1]节奏总纲!AF312</f>
        <v>87.809481882083716</v>
      </c>
      <c r="U312" s="2">
        <f>[1]节奏总纲!AG312</f>
        <v>92.873407689191168</v>
      </c>
      <c r="V312" s="2">
        <f>[1]节奏总纲!AH312</f>
        <v>101.77350999138899</v>
      </c>
      <c r="AN312" s="2">
        <v>309</v>
      </c>
      <c r="AO312" s="2">
        <f>[1]节奏总纲!BA312</f>
        <v>45.623756886057798</v>
      </c>
      <c r="AP312" s="2">
        <f>[1]节奏总纲!BB312</f>
        <v>47.14103416502347</v>
      </c>
      <c r="AQ312" s="2">
        <f>[1]节奏总纲!BC312</f>
        <v>49.09231260978715</v>
      </c>
      <c r="AR312" s="2">
        <f>[1]节奏总纲!BD312</f>
        <v>51.839618069324963</v>
      </c>
      <c r="AS312" s="2">
        <f>[1]节奏总纲!BE312</f>
        <v>56.543298332279662</v>
      </c>
    </row>
    <row r="313" spans="17:45" x14ac:dyDescent="0.15">
      <c r="Q313" s="2">
        <v>310</v>
      </c>
      <c r="R313" s="2">
        <f>[1]节奏总纲!AD313</f>
        <v>82.802286929520193</v>
      </c>
      <c r="S313" s="2">
        <f>[1]节奏总纲!AE313</f>
        <v>84.915900358441817</v>
      </c>
      <c r="T313" s="2">
        <f>[1]节奏总纲!AF313</f>
        <v>87.858253637745307</v>
      </c>
      <c r="U313" s="2">
        <f>[1]节奏总纲!AG313</f>
        <v>92.923518646538426</v>
      </c>
      <c r="V313" s="2">
        <f>[1]节奏总纲!AH313</f>
        <v>101.82316506253801</v>
      </c>
      <c r="AN313" s="2">
        <v>310</v>
      </c>
      <c r="AO313" s="2">
        <f>[1]节奏总纲!BA313</f>
        <v>45.646073769279901</v>
      </c>
      <c r="AP313" s="2">
        <f>[1]节奏总纲!BB313</f>
        <v>47.161821703346362</v>
      </c>
      <c r="AQ313" s="2">
        <f>[1]节奏总纲!BC313</f>
        <v>49.112972388783689</v>
      </c>
      <c r="AR313" s="2">
        <f>[1]节奏总纲!BD313</f>
        <v>51.862723837243806</v>
      </c>
      <c r="AS313" s="2">
        <f>[1]节奏总纲!BE313</f>
        <v>56.565506081662768</v>
      </c>
    </row>
    <row r="314" spans="17:45" x14ac:dyDescent="0.15">
      <c r="Q314" s="2">
        <v>311</v>
      </c>
      <c r="R314" s="2">
        <f>[1]节奏总纲!AD314</f>
        <v>82.849666392872066</v>
      </c>
      <c r="S314" s="2">
        <f>[1]节奏总纲!AE314</f>
        <v>84.964773069242142</v>
      </c>
      <c r="T314" s="2">
        <f>[1]节奏总纲!AF314</f>
        <v>87.907025393406897</v>
      </c>
      <c r="U314" s="2">
        <f>[1]节奏总纲!AG314</f>
        <v>92.973629603885698</v>
      </c>
      <c r="V314" s="2">
        <f>[1]节奏总纲!AH314</f>
        <v>101.87282013368701</v>
      </c>
      <c r="AN314" s="2">
        <v>311</v>
      </c>
      <c r="AO314" s="2">
        <f>[1]节奏总纲!BA314</f>
        <v>45.668390652502012</v>
      </c>
      <c r="AP314" s="2">
        <f>[1]节奏总纲!BB314</f>
        <v>47.182609241669255</v>
      </c>
      <c r="AQ314" s="2">
        <f>[1]节奏总纲!BC314</f>
        <v>49.133632167780227</v>
      </c>
      <c r="AR314" s="2">
        <f>[1]节奏总纲!BD314</f>
        <v>51.885829605162655</v>
      </c>
      <c r="AS314" s="2">
        <f>[1]节奏总纲!BE314</f>
        <v>56.587713831045875</v>
      </c>
    </row>
    <row r="315" spans="17:45" x14ac:dyDescent="0.15">
      <c r="Q315" s="2">
        <v>312</v>
      </c>
      <c r="R315" s="2">
        <f>[1]节奏总纲!AD315</f>
        <v>82.89704585622394</v>
      </c>
      <c r="S315" s="2">
        <f>[1]节奏总纲!AE315</f>
        <v>85.012531647506819</v>
      </c>
      <c r="T315" s="2">
        <f>[1]节奏总纲!AF315</f>
        <v>87.955797149068502</v>
      </c>
      <c r="U315" s="2">
        <f>[1]节奏总纲!AG315</f>
        <v>93.022367647203353</v>
      </c>
      <c r="V315" s="2">
        <f>[1]节奏总纲!AH315</f>
        <v>101.92247520483603</v>
      </c>
      <c r="AN315" s="2">
        <v>312</v>
      </c>
      <c r="AO315" s="2">
        <f>[1]节奏总纲!BA315</f>
        <v>45.690707535724115</v>
      </c>
      <c r="AP315" s="2">
        <f>[1]节奏总纲!BB315</f>
        <v>47.203396779992147</v>
      </c>
      <c r="AQ315" s="2">
        <f>[1]节奏总纲!BC315</f>
        <v>49.154291946776759</v>
      </c>
      <c r="AR315" s="2">
        <f>[1]节奏总纲!BD315</f>
        <v>51.908935373081505</v>
      </c>
      <c r="AS315" s="2">
        <f>[1]节奏总纲!BE315</f>
        <v>56.609921580428981</v>
      </c>
    </row>
    <row r="316" spans="17:45" x14ac:dyDescent="0.15">
      <c r="Q316" s="2">
        <v>313</v>
      </c>
      <c r="R316" s="2">
        <f>[1]节奏总纲!AD316</f>
        <v>82.944425319575814</v>
      </c>
      <c r="S316" s="2">
        <f>[1]节奏总纲!AE316</f>
        <v>85.057414064088832</v>
      </c>
      <c r="T316" s="2">
        <f>[1]节奏总纲!AF316</f>
        <v>88.004756197276762</v>
      </c>
      <c r="U316" s="2">
        <f>[1]节奏总纲!AG316</f>
        <v>93.069580693431178</v>
      </c>
      <c r="V316" s="2">
        <f>[1]节奏总纲!AH316</f>
        <v>101.97213027598504</v>
      </c>
      <c r="AN316" s="2">
        <v>313</v>
      </c>
      <c r="AO316" s="2">
        <f>[1]节奏总纲!BA316</f>
        <v>45.713024418946219</v>
      </c>
      <c r="AP316" s="2">
        <f>[1]节奏总纲!BB316</f>
        <v>47.224184318315039</v>
      </c>
      <c r="AQ316" s="2">
        <f>[1]节奏总纲!BC316</f>
        <v>49.174951725773298</v>
      </c>
      <c r="AR316" s="2">
        <f>[1]节奏总纲!BD316</f>
        <v>51.932041141000347</v>
      </c>
      <c r="AS316" s="2">
        <f>[1]节奏总纲!BE316</f>
        <v>56.632129329812095</v>
      </c>
    </row>
    <row r="317" spans="17:45" x14ac:dyDescent="0.15">
      <c r="Q317" s="2">
        <v>314</v>
      </c>
      <c r="R317" s="2">
        <f>[1]节奏总纲!AD317</f>
        <v>82.991804782927687</v>
      </c>
      <c r="S317" s="2">
        <f>[1]节奏总纲!AE317</f>
        <v>85.10229648067083</v>
      </c>
      <c r="T317" s="2">
        <f>[1]节奏总纲!AF317</f>
        <v>88.05552724748766</v>
      </c>
      <c r="U317" s="2">
        <f>[1]节奏总纲!AG317</f>
        <v>93.116793739659002</v>
      </c>
      <c r="V317" s="2">
        <f>[1]节奏总纲!AH317</f>
        <v>102.01969836502204</v>
      </c>
      <c r="AN317" s="2">
        <v>314</v>
      </c>
      <c r="AO317" s="2">
        <f>[1]节奏总纲!BA317</f>
        <v>45.735341302168322</v>
      </c>
      <c r="AP317" s="2">
        <f>[1]节奏总纲!BB317</f>
        <v>47.244971856637939</v>
      </c>
      <c r="AQ317" s="2">
        <f>[1]节奏总纲!BC317</f>
        <v>49.195611504769836</v>
      </c>
      <c r="AR317" s="2">
        <f>[1]节奏总纲!BD317</f>
        <v>51.955146908919197</v>
      </c>
      <c r="AS317" s="2">
        <f>[1]节奏总纲!BE317</f>
        <v>56.654337079195201</v>
      </c>
    </row>
    <row r="318" spans="17:45" x14ac:dyDescent="0.15">
      <c r="Q318" s="2">
        <v>315</v>
      </c>
      <c r="R318" s="2">
        <f>[1]节奏总纲!AD318</f>
        <v>83.03656019452734</v>
      </c>
      <c r="S318" s="2">
        <f>[1]节奏总纲!AE318</f>
        <v>85.147178897252829</v>
      </c>
      <c r="T318" s="2">
        <f>[1]节奏总纲!AF318</f>
        <v>88.106298297698572</v>
      </c>
      <c r="U318" s="2">
        <f>[1]节奏总纲!AG318</f>
        <v>93.164006785886826</v>
      </c>
      <c r="V318" s="2">
        <f>[1]节奏总纲!AH318</f>
        <v>102.06459660376342</v>
      </c>
      <c r="AN318" s="2">
        <v>315</v>
      </c>
      <c r="AO318" s="2">
        <f>[1]节奏总纲!BA318</f>
        <v>45.757658185390426</v>
      </c>
      <c r="AP318" s="2">
        <f>[1]节奏总纲!BB318</f>
        <v>47.265759394960831</v>
      </c>
      <c r="AQ318" s="2">
        <f>[1]节奏总纲!BC318</f>
        <v>49.216271283766375</v>
      </c>
      <c r="AR318" s="2">
        <f>[1]节奏总纲!BD318</f>
        <v>51.978252676838039</v>
      </c>
      <c r="AS318" s="2">
        <f>[1]节奏总纲!BE318</f>
        <v>56.676544828578308</v>
      </c>
    </row>
    <row r="319" spans="17:45" x14ac:dyDescent="0.15">
      <c r="Q319" s="2">
        <v>316</v>
      </c>
      <c r="R319" s="2">
        <f>[1]节奏总纲!AD319</f>
        <v>83.080766796955942</v>
      </c>
      <c r="S319" s="2">
        <f>[1]节奏总纲!AE319</f>
        <v>85.192061313834827</v>
      </c>
      <c r="T319" s="2">
        <f>[1]节奏总纲!AF319</f>
        <v>88.15706934790947</v>
      </c>
      <c r="U319" s="2">
        <f>[1]节奏总纲!AG319</f>
        <v>93.211219832114651</v>
      </c>
      <c r="V319" s="2">
        <f>[1]节奏总纲!AH319</f>
        <v>102.1094948425048</v>
      </c>
      <c r="AN319" s="2">
        <v>316</v>
      </c>
      <c r="AO319" s="2">
        <f>[1]节奏总纲!BA319</f>
        <v>45.779975068612529</v>
      </c>
      <c r="AP319" s="2">
        <f>[1]节奏总纲!BB319</f>
        <v>47.286546933283724</v>
      </c>
      <c r="AQ319" s="2">
        <f>[1]节奏总纲!BC319</f>
        <v>49.236931062762913</v>
      </c>
      <c r="AR319" s="2">
        <f>[1]节奏总纲!BD319</f>
        <v>52.001173105835825</v>
      </c>
      <c r="AS319" s="2">
        <f>[1]节奏总纲!BE319</f>
        <v>56.698752577961415</v>
      </c>
    </row>
    <row r="320" spans="17:45" x14ac:dyDescent="0.15">
      <c r="Q320" s="2">
        <v>317</v>
      </c>
      <c r="R320" s="2">
        <f>[1]节奏总纲!AD320</f>
        <v>83.124973399384558</v>
      </c>
      <c r="S320" s="2">
        <f>[1]节奏总纲!AE320</f>
        <v>85.236943730416826</v>
      </c>
      <c r="T320" s="2">
        <f>[1]节奏总纲!AF320</f>
        <v>88.207840398120382</v>
      </c>
      <c r="U320" s="2">
        <f>[1]节奏总纲!AG320</f>
        <v>93.258432878342475</v>
      </c>
      <c r="V320" s="2">
        <f>[1]节奏总纲!AH320</f>
        <v>102.15439308124618</v>
      </c>
      <c r="AN320" s="2">
        <v>317</v>
      </c>
      <c r="AO320" s="2">
        <f>[1]节奏总纲!BA320</f>
        <v>45.802291951834633</v>
      </c>
      <c r="AP320" s="2">
        <f>[1]节奏总纲!BB320</f>
        <v>47.307334471606616</v>
      </c>
      <c r="AQ320" s="2">
        <f>[1]节奏总纲!BC320</f>
        <v>49.257590841759445</v>
      </c>
      <c r="AR320" s="2">
        <f>[1]节奏总纲!BD320</f>
        <v>52.021126446631868</v>
      </c>
      <c r="AS320" s="2">
        <f>[1]节奏总纲!BE320</f>
        <v>56.720960327344528</v>
      </c>
    </row>
    <row r="321" spans="17:45" x14ac:dyDescent="0.15">
      <c r="Q321" s="2">
        <v>318</v>
      </c>
      <c r="R321" s="2">
        <f>[1]节奏总纲!AD321</f>
        <v>83.16918000181316</v>
      </c>
      <c r="S321" s="2">
        <f>[1]节奏总纲!AE321</f>
        <v>85.281826146998839</v>
      </c>
      <c r="T321" s="2">
        <f>[1]节奏总纲!AF321</f>
        <v>88.258611448331294</v>
      </c>
      <c r="U321" s="2">
        <f>[1]节奏总纲!AG321</f>
        <v>93.3056459245703</v>
      </c>
      <c r="V321" s="2">
        <f>[1]节奏总纲!AH321</f>
        <v>102.19929131998755</v>
      </c>
      <c r="AN321" s="2">
        <v>318</v>
      </c>
      <c r="AO321" s="2">
        <f>[1]节奏总纲!BA321</f>
        <v>45.824608835056736</v>
      </c>
      <c r="AP321" s="2">
        <f>[1]节奏总纲!BB321</f>
        <v>47.328122009929508</v>
      </c>
      <c r="AQ321" s="2">
        <f>[1]节奏总纲!BC321</f>
        <v>49.278250620755983</v>
      </c>
      <c r="AR321" s="2">
        <f>[1]节奏总纲!BD321</f>
        <v>52.041079787427918</v>
      </c>
      <c r="AS321" s="2">
        <f>[1]节奏总纲!BE321</f>
        <v>56.743168076727635</v>
      </c>
    </row>
    <row r="322" spans="17:45" x14ac:dyDescent="0.15">
      <c r="Q322" s="2">
        <v>319</v>
      </c>
      <c r="R322" s="2">
        <f>[1]节奏总纲!AD322</f>
        <v>83.213386604241776</v>
      </c>
      <c r="S322" s="2">
        <f>[1]节奏总纲!AE322</f>
        <v>85.326708563580837</v>
      </c>
      <c r="T322" s="2">
        <f>[1]节奏总纲!AF322</f>
        <v>88.309382498542192</v>
      </c>
      <c r="U322" s="2">
        <f>[1]节奏总纲!AG322</f>
        <v>93.352858970798124</v>
      </c>
      <c r="V322" s="2">
        <f>[1]节奏总纲!AH322</f>
        <v>102.24418955872893</v>
      </c>
      <c r="AN322" s="2">
        <v>319</v>
      </c>
      <c r="AO322" s="2">
        <f>[1]节奏总纲!BA322</f>
        <v>45.84692571827884</v>
      </c>
      <c r="AP322" s="2">
        <f>[1]节奏总纲!BB322</f>
        <v>47.348909548252408</v>
      </c>
      <c r="AQ322" s="2">
        <f>[1]节奏总纲!BC322</f>
        <v>49.298910399752522</v>
      </c>
      <c r="AR322" s="2">
        <f>[1]节奏总纲!BD322</f>
        <v>52.061033128223968</v>
      </c>
      <c r="AS322" s="2">
        <f>[1]节奏总纲!BE322</f>
        <v>56.765375826110741</v>
      </c>
    </row>
    <row r="323" spans="17:45" x14ac:dyDescent="0.15">
      <c r="Q323" s="2">
        <v>320</v>
      </c>
      <c r="R323" s="2">
        <f>[1]节奏总纲!AD323</f>
        <v>83.257593206670379</v>
      </c>
      <c r="S323" s="2">
        <f>[1]节奏总纲!AE323</f>
        <v>85.371590980162836</v>
      </c>
      <c r="T323" s="2">
        <f>[1]节奏总纲!AF323</f>
        <v>88.360153548753104</v>
      </c>
      <c r="U323" s="2">
        <f>[1]节奏总纲!AG323</f>
        <v>93.400072017025948</v>
      </c>
      <c r="V323" s="2">
        <f>[1]节奏总纲!AH323</f>
        <v>102.28908779747032</v>
      </c>
      <c r="AN323" s="2">
        <v>320</v>
      </c>
      <c r="AO323" s="2">
        <f>[1]节奏总纲!BA323</f>
        <v>45.869242601500943</v>
      </c>
      <c r="AP323" s="2">
        <f>[1]节奏总纲!BB323</f>
        <v>47.3696970865753</v>
      </c>
      <c r="AQ323" s="2">
        <f>[1]节奏总纲!BC323</f>
        <v>49.319570178749061</v>
      </c>
      <c r="AR323" s="2">
        <f>[1]节奏总纲!BD323</f>
        <v>52.080986469020011</v>
      </c>
      <c r="AS323" s="2">
        <f>[1]节奏总纲!BE323</f>
        <v>56.787583575493848</v>
      </c>
    </row>
    <row r="324" spans="17:45" x14ac:dyDescent="0.15">
      <c r="Q324" s="2">
        <v>321</v>
      </c>
      <c r="R324" s="2">
        <f>[1]节奏总纲!AD324</f>
        <v>83.301799809098995</v>
      </c>
      <c r="S324" s="2">
        <f>[1]节奏总纲!AE324</f>
        <v>85.416473396744834</v>
      </c>
      <c r="T324" s="2">
        <f>[1]节奏总纲!AF324</f>
        <v>88.410924598964016</v>
      </c>
      <c r="U324" s="2">
        <f>[1]节奏总纲!AG324</f>
        <v>93.447285063253773</v>
      </c>
      <c r="V324" s="2">
        <f>[1]节奏总纲!AH324</f>
        <v>102.3339860362117</v>
      </c>
      <c r="AN324" s="2">
        <v>321</v>
      </c>
      <c r="AO324" s="2">
        <f>[1]节奏总纲!BA324</f>
        <v>45.891559484723047</v>
      </c>
      <c r="AP324" s="2">
        <f>[1]节奏总纲!BB324</f>
        <v>47.390484624898193</v>
      </c>
      <c r="AQ324" s="2">
        <f>[1]节奏总纲!BC324</f>
        <v>49.340229957745592</v>
      </c>
      <c r="AR324" s="2">
        <f>[1]节奏总纲!BD324</f>
        <v>52.100939809816062</v>
      </c>
      <c r="AS324" s="2">
        <f>[1]节奏总纲!BE324</f>
        <v>56.809791324876961</v>
      </c>
    </row>
    <row r="325" spans="17:45" x14ac:dyDescent="0.15">
      <c r="Q325" s="2">
        <v>322</v>
      </c>
      <c r="R325" s="2">
        <f>[1]节奏总纲!AD325</f>
        <v>83.346006411527597</v>
      </c>
      <c r="S325" s="2">
        <f>[1]节奏总纲!AE325</f>
        <v>85.461355813326847</v>
      </c>
      <c r="T325" s="2">
        <f>[1]节奏总纲!AF325</f>
        <v>88.461695649174914</v>
      </c>
      <c r="U325" s="2">
        <f>[1]节奏总纲!AG325</f>
        <v>93.494498109481597</v>
      </c>
      <c r="V325" s="2">
        <f>[1]节奏总纲!AH325</f>
        <v>102.37888427495307</v>
      </c>
      <c r="AN325" s="2">
        <v>322</v>
      </c>
      <c r="AO325" s="2">
        <f>[1]节奏总纲!BA325</f>
        <v>45.91387636794515</v>
      </c>
      <c r="AP325" s="2">
        <f>[1]节奏总纲!BB325</f>
        <v>47.411272163221085</v>
      </c>
      <c r="AQ325" s="2">
        <f>[1]节奏总纲!BC325</f>
        <v>49.360889736742131</v>
      </c>
      <c r="AR325" s="2">
        <f>[1]节奏总纲!BD325</f>
        <v>52.120893150612112</v>
      </c>
      <c r="AS325" s="2">
        <f>[1]节奏总纲!BE325</f>
        <v>56.831999074260068</v>
      </c>
    </row>
    <row r="326" spans="17:45" x14ac:dyDescent="0.15">
      <c r="Q326" s="2">
        <v>323</v>
      </c>
      <c r="R326" s="2">
        <f>[1]节奏总纲!AD326</f>
        <v>83.390213013956213</v>
      </c>
      <c r="S326" s="2">
        <f>[1]节奏总纲!AE326</f>
        <v>85.506238229908845</v>
      </c>
      <c r="T326" s="2">
        <f>[1]节奏总纲!AF326</f>
        <v>88.512466699385826</v>
      </c>
      <c r="U326" s="2">
        <f>[1]节奏总纲!AG326</f>
        <v>93.541711155709422</v>
      </c>
      <c r="V326" s="2">
        <f>[1]节奏总纲!AH326</f>
        <v>102.42378251369445</v>
      </c>
      <c r="AN326" s="2">
        <v>323</v>
      </c>
      <c r="AO326" s="2">
        <f>[1]节奏总纲!BA326</f>
        <v>45.936193251167253</v>
      </c>
      <c r="AP326" s="2">
        <f>[1]节奏总纲!BB326</f>
        <v>47.432059701543984</v>
      </c>
      <c r="AQ326" s="2">
        <f>[1]节奏总纲!BC326</f>
        <v>49.381549515738669</v>
      </c>
      <c r="AR326" s="2">
        <f>[1]节奏总纲!BD326</f>
        <v>52.140846491408155</v>
      </c>
      <c r="AS326" s="2">
        <f>[1]节奏总纲!BE326</f>
        <v>56.854206823643175</v>
      </c>
    </row>
    <row r="327" spans="17:45" x14ac:dyDescent="0.15">
      <c r="Q327" s="2">
        <v>324</v>
      </c>
      <c r="R327" s="2">
        <f>[1]节奏总纲!AD327</f>
        <v>83.434419616384815</v>
      </c>
      <c r="S327" s="2">
        <f>[1]节奏总纲!AE327</f>
        <v>85.551120646490844</v>
      </c>
      <c r="T327" s="2">
        <f>[1]节奏总纲!AF327</f>
        <v>88.563237749596723</v>
      </c>
      <c r="U327" s="2">
        <f>[1]节奏总纲!AG327</f>
        <v>93.588924201937246</v>
      </c>
      <c r="V327" s="2">
        <f>[1]节奏总纲!AH327</f>
        <v>102.46868075243583</v>
      </c>
      <c r="AN327" s="2">
        <v>324</v>
      </c>
      <c r="AO327" s="2">
        <f>[1]节奏总纲!BA327</f>
        <v>45.958510134389357</v>
      </c>
      <c r="AP327" s="2">
        <f>[1]节奏总纲!BB327</f>
        <v>47.452847239866877</v>
      </c>
      <c r="AQ327" s="2">
        <f>[1]节奏总纲!BC327</f>
        <v>49.402209294735208</v>
      </c>
      <c r="AR327" s="2">
        <f>[1]节奏总纲!BD327</f>
        <v>52.160799832204205</v>
      </c>
      <c r="AS327" s="2">
        <f>[1]节奏总纲!BE327</f>
        <v>56.876414573026281</v>
      </c>
    </row>
    <row r="328" spans="17:45" x14ac:dyDescent="0.15">
      <c r="Q328" s="2">
        <v>325</v>
      </c>
      <c r="R328" s="2">
        <f>[1]节奏总纲!AD328</f>
        <v>83.478626218813432</v>
      </c>
      <c r="S328" s="2">
        <f>[1]节奏总纲!AE328</f>
        <v>85.596003063072843</v>
      </c>
      <c r="T328" s="2">
        <f>[1]节奏总纲!AF328</f>
        <v>88.614008799807635</v>
      </c>
      <c r="U328" s="2">
        <f>[1]节奏总纲!AG328</f>
        <v>93.63613724816507</v>
      </c>
      <c r="V328" s="2">
        <f>[1]节奏总纲!AH328</f>
        <v>102.51357899117721</v>
      </c>
      <c r="AN328" s="2">
        <v>325</v>
      </c>
      <c r="AO328" s="2">
        <f>[1]节奏总纲!BA328</f>
        <v>45.98082701761146</v>
      </c>
      <c r="AP328" s="2">
        <f>[1]节奏总纲!BB328</f>
        <v>47.473634778189769</v>
      </c>
      <c r="AQ328" s="2">
        <f>[1]节奏总纲!BC328</f>
        <v>49.422869073731739</v>
      </c>
      <c r="AR328" s="2">
        <f>[1]节奏总纲!BD328</f>
        <v>52.180753173000248</v>
      </c>
      <c r="AS328" s="2">
        <f>[1]节奏总纲!BE328</f>
        <v>56.898622322409395</v>
      </c>
    </row>
    <row r="329" spans="17:45" x14ac:dyDescent="0.15">
      <c r="Q329" s="2">
        <v>326</v>
      </c>
      <c r="R329" s="2">
        <f>[1]节奏总纲!AD329</f>
        <v>83.522832821242034</v>
      </c>
      <c r="S329" s="2">
        <f>[1]节奏总纲!AE329</f>
        <v>85.640885479654855</v>
      </c>
      <c r="T329" s="2">
        <f>[1]节奏总纲!AF329</f>
        <v>88.664779850018547</v>
      </c>
      <c r="U329" s="2">
        <f>[1]节奏总纲!AG329</f>
        <v>93.683350294392895</v>
      </c>
      <c r="V329" s="2">
        <f>[1]节奏总纲!AH329</f>
        <v>102.55847722991859</v>
      </c>
      <c r="AN329" s="2">
        <v>326</v>
      </c>
      <c r="AO329" s="2">
        <f>[1]节奏总纲!BA329</f>
        <v>46.002713830586146</v>
      </c>
      <c r="AP329" s="2">
        <f>[1]节奏总纲!BB329</f>
        <v>47.494422316512662</v>
      </c>
      <c r="AQ329" s="2">
        <f>[1]节奏总纲!BC329</f>
        <v>49.443528852728278</v>
      </c>
      <c r="AR329" s="2">
        <f>[1]节奏总纲!BD329</f>
        <v>52.200706513796298</v>
      </c>
      <c r="AS329" s="2">
        <f>[1]节奏总纲!BE329</f>
        <v>56.920830071792501</v>
      </c>
    </row>
    <row r="330" spans="17:45" x14ac:dyDescent="0.15">
      <c r="Q330" s="2">
        <v>327</v>
      </c>
      <c r="R330" s="2">
        <f>[1]节奏总纲!AD330</f>
        <v>83.56703942367065</v>
      </c>
      <c r="S330" s="2">
        <f>[1]节奏总纲!AE330</f>
        <v>85.685767896236854</v>
      </c>
      <c r="T330" s="2">
        <f>[1]节奏总纲!AF330</f>
        <v>88.715550900229445</v>
      </c>
      <c r="U330" s="2">
        <f>[1]节奏总纲!AG330</f>
        <v>93.730563340620719</v>
      </c>
      <c r="V330" s="2">
        <f>[1]节奏总纲!AH330</f>
        <v>102.60337546865996</v>
      </c>
      <c r="AN330" s="2">
        <v>327</v>
      </c>
      <c r="AO330" s="2">
        <f>[1]节奏总纲!BA330</f>
        <v>46.021977873404879</v>
      </c>
      <c r="AP330" s="2">
        <f>[1]节奏总纲!BB330</f>
        <v>47.515209854835554</v>
      </c>
      <c r="AQ330" s="2">
        <f>[1]节奏总纲!BC330</f>
        <v>49.464188631724817</v>
      </c>
      <c r="AR330" s="2">
        <f>[1]节奏总纲!BD330</f>
        <v>52.220659854592348</v>
      </c>
      <c r="AS330" s="2">
        <f>[1]节奏总纲!BE330</f>
        <v>56.943037821175608</v>
      </c>
    </row>
    <row r="331" spans="17:45" x14ac:dyDescent="0.15">
      <c r="Q331" s="2">
        <v>328</v>
      </c>
      <c r="R331" s="2">
        <f>[1]节奏总纲!AD331</f>
        <v>83.611246026099252</v>
      </c>
      <c r="S331" s="2">
        <f>[1]节奏总纲!AE331</f>
        <v>85.730650312818852</v>
      </c>
      <c r="T331" s="2">
        <f>[1]节奏总纲!AF331</f>
        <v>88.766321950440357</v>
      </c>
      <c r="U331" s="2">
        <f>[1]节奏总纲!AG331</f>
        <v>93.777776386848544</v>
      </c>
      <c r="V331" s="2">
        <f>[1]节奏总纲!AH331</f>
        <v>102.64827370740134</v>
      </c>
      <c r="AN331" s="2">
        <v>328</v>
      </c>
      <c r="AO331" s="2">
        <f>[1]节奏总纲!BA331</f>
        <v>46.041241916223605</v>
      </c>
      <c r="AP331" s="2">
        <f>[1]节奏总纲!BB331</f>
        <v>47.535997393158453</v>
      </c>
      <c r="AQ331" s="2">
        <f>[1]节奏总纲!BC331</f>
        <v>49.484848410721355</v>
      </c>
      <c r="AR331" s="2">
        <f>[1]节奏总纲!BD331</f>
        <v>52.240613195388391</v>
      </c>
      <c r="AS331" s="2">
        <f>[1]节奏总纲!BE331</f>
        <v>56.965245570558714</v>
      </c>
    </row>
    <row r="332" spans="17:45" x14ac:dyDescent="0.15">
      <c r="Q332" s="2">
        <v>329</v>
      </c>
      <c r="R332" s="2">
        <f>[1]节奏总纲!AD332</f>
        <v>83.655452628527868</v>
      </c>
      <c r="S332" s="2">
        <f>[1]节奏总纲!AE332</f>
        <v>85.775532729400851</v>
      </c>
      <c r="T332" s="2">
        <f>[1]节奏总纲!AF332</f>
        <v>88.817093000651269</v>
      </c>
      <c r="U332" s="2">
        <f>[1]节奏总纲!AG332</f>
        <v>93.824989433076368</v>
      </c>
      <c r="V332" s="2">
        <f>[1]节奏总纲!AH332</f>
        <v>102.69317194614273</v>
      </c>
      <c r="AN332" s="2">
        <v>329</v>
      </c>
      <c r="AO332" s="2">
        <f>[1]节奏总纲!BA332</f>
        <v>46.060505959042331</v>
      </c>
      <c r="AP332" s="2">
        <f>[1]节奏总纲!BB332</f>
        <v>47.556784931481346</v>
      </c>
      <c r="AQ332" s="2">
        <f>[1]节奏总纲!BC332</f>
        <v>49.505508189717887</v>
      </c>
      <c r="AR332" s="2">
        <f>[1]节奏总纲!BD332</f>
        <v>52.260566536184442</v>
      </c>
      <c r="AS332" s="2">
        <f>[1]节奏总纲!BE332</f>
        <v>56.987453319941828</v>
      </c>
    </row>
    <row r="333" spans="17:45" x14ac:dyDescent="0.15">
      <c r="Q333" s="2">
        <v>330</v>
      </c>
      <c r="R333" s="2">
        <f>[1]节奏总纲!AD333</f>
        <v>83.69965923095647</v>
      </c>
      <c r="S333" s="2">
        <f>[1]节奏总纲!AE333</f>
        <v>85.820415145982849</v>
      </c>
      <c r="T333" s="2">
        <f>[1]节奏总纲!AF333</f>
        <v>88.867864050862167</v>
      </c>
      <c r="U333" s="2">
        <f>[1]节奏总纲!AG333</f>
        <v>93.872202479304192</v>
      </c>
      <c r="V333" s="2">
        <f>[1]节奏总纲!AH333</f>
        <v>102.73807018488411</v>
      </c>
      <c r="AN333" s="2">
        <v>330</v>
      </c>
      <c r="AO333" s="2">
        <f>[1]节奏总纲!BA333</f>
        <v>46.079770001861057</v>
      </c>
      <c r="AP333" s="2">
        <f>[1]节奏总纲!BB333</f>
        <v>47.577572469804238</v>
      </c>
      <c r="AQ333" s="2">
        <f>[1]节奏总纲!BC333</f>
        <v>49.526167968714425</v>
      </c>
      <c r="AR333" s="2">
        <f>[1]节奏总纲!BD333</f>
        <v>52.280519876980485</v>
      </c>
      <c r="AS333" s="2">
        <f>[1]节奏总纲!BE333</f>
        <v>57.008345591208631</v>
      </c>
    </row>
    <row r="334" spans="17:45" x14ac:dyDescent="0.15">
      <c r="Q334" s="2">
        <v>331</v>
      </c>
      <c r="R334" s="2">
        <f>[1]节奏总纲!AD334</f>
        <v>83.743865833385087</v>
      </c>
      <c r="S334" s="2">
        <f>[1]节奏总纲!AE334</f>
        <v>85.865297562564862</v>
      </c>
      <c r="T334" s="2">
        <f>[1]节奏总纲!AF334</f>
        <v>88.918635101073079</v>
      </c>
      <c r="U334" s="2">
        <f>[1]节奏总纲!AG334</f>
        <v>93.919415525532017</v>
      </c>
      <c r="V334" s="2">
        <f>[1]节奏总纲!AH334</f>
        <v>102.78296842362549</v>
      </c>
      <c r="AN334" s="2">
        <v>331</v>
      </c>
      <c r="AO334" s="2">
        <f>[1]节奏总纲!BA334</f>
        <v>46.099034044679783</v>
      </c>
      <c r="AP334" s="2">
        <f>[1]节奏总纲!BB334</f>
        <v>47.598360008127131</v>
      </c>
      <c r="AQ334" s="2">
        <f>[1]节奏总纲!BC334</f>
        <v>49.546827747710964</v>
      </c>
      <c r="AR334" s="2">
        <f>[1]节奏总纲!BD334</f>
        <v>52.300473217776535</v>
      </c>
      <c r="AS334" s="2">
        <f>[1]节奏总纲!BE334</f>
        <v>57.027529471561998</v>
      </c>
    </row>
    <row r="335" spans="17:45" x14ac:dyDescent="0.15">
      <c r="Q335" s="2">
        <v>332</v>
      </c>
      <c r="R335" s="2">
        <f>[1]节奏总纲!AD335</f>
        <v>83.788072435813689</v>
      </c>
      <c r="S335" s="2">
        <f>[1]节奏总纲!AE335</f>
        <v>85.910179979146861</v>
      </c>
      <c r="T335" s="2">
        <f>[1]节奏总纲!AF335</f>
        <v>88.969406151283977</v>
      </c>
      <c r="U335" s="2">
        <f>[1]节奏总纲!AG335</f>
        <v>93.966628571759841</v>
      </c>
      <c r="V335" s="2">
        <f>[1]节奏总纲!AH335</f>
        <v>102.82786666236686</v>
      </c>
      <c r="AN335" s="2">
        <v>332</v>
      </c>
      <c r="AO335" s="2">
        <f>[1]节奏总纲!BA335</f>
        <v>46.118298087498509</v>
      </c>
      <c r="AP335" s="2">
        <f>[1]节奏总纲!BB335</f>
        <v>47.619147546450023</v>
      </c>
      <c r="AQ335" s="2">
        <f>[1]节奏总纲!BC335</f>
        <v>49.567487526707502</v>
      </c>
      <c r="AR335" s="2">
        <f>[1]节奏总纲!BD335</f>
        <v>52.320426558572585</v>
      </c>
      <c r="AS335" s="2">
        <f>[1]节奏总纲!BE335</f>
        <v>57.046713351915365</v>
      </c>
    </row>
    <row r="336" spans="17:45" x14ac:dyDescent="0.15">
      <c r="Q336" s="2">
        <v>333</v>
      </c>
      <c r="R336" s="2">
        <f>[1]节奏总纲!AD336</f>
        <v>83.832279038242305</v>
      </c>
      <c r="S336" s="2">
        <f>[1]节奏总纲!AE336</f>
        <v>85.955062395728859</v>
      </c>
      <c r="T336" s="2">
        <f>[1]节奏总纲!AF336</f>
        <v>89.018466905731287</v>
      </c>
      <c r="U336" s="2">
        <f>[1]节奏总纲!AG336</f>
        <v>94.012923283729691</v>
      </c>
      <c r="V336" s="2">
        <f>[1]节奏总纲!AH336</f>
        <v>102.87276490110824</v>
      </c>
      <c r="AN336" s="2">
        <v>333</v>
      </c>
      <c r="AO336" s="2">
        <f>[1]节奏总纲!BA336</f>
        <v>46.137562130317242</v>
      </c>
      <c r="AP336" s="2">
        <f>[1]节奏总纲!BB336</f>
        <v>47.639935084772922</v>
      </c>
      <c r="AQ336" s="2">
        <f>[1]节奏总纲!BC336</f>
        <v>49.588147305704041</v>
      </c>
      <c r="AR336" s="2">
        <f>[1]节奏总纲!BD336</f>
        <v>52.340379899368628</v>
      </c>
      <c r="AS336" s="2">
        <f>[1]节奏总纲!BE336</f>
        <v>57.065897232268732</v>
      </c>
    </row>
    <row r="337" spans="17:45" x14ac:dyDescent="0.15">
      <c r="Q337" s="2">
        <v>334</v>
      </c>
      <c r="R337" s="2">
        <f>[1]节奏总纲!AD337</f>
        <v>83.876485640670907</v>
      </c>
      <c r="S337" s="2">
        <f>[1]节奏总纲!AE337</f>
        <v>85.999944812310858</v>
      </c>
      <c r="T337" s="2">
        <f>[1]节奏总纲!AF337</f>
        <v>89.064934410075779</v>
      </c>
      <c r="U337" s="2">
        <f>[1]节奏总纲!AG337</f>
        <v>94.057003939090123</v>
      </c>
      <c r="V337" s="2">
        <f>[1]节奏总纲!AH337</f>
        <v>102.91766313984962</v>
      </c>
      <c r="AN337" s="2">
        <v>334</v>
      </c>
      <c r="AO337" s="2">
        <f>[1]节奏总纲!BA337</f>
        <v>46.156826173135968</v>
      </c>
      <c r="AP337" s="2">
        <f>[1]节奏总纲!BB337</f>
        <v>47.660722623095815</v>
      </c>
      <c r="AQ337" s="2">
        <f>[1]节奏总纲!BC337</f>
        <v>49.608807084700572</v>
      </c>
      <c r="AR337" s="2">
        <f>[1]节奏总纲!BD337</f>
        <v>52.360333240164678</v>
      </c>
      <c r="AS337" s="2">
        <f>[1]节奏总纲!BE337</f>
        <v>57.085081112622099</v>
      </c>
    </row>
    <row r="338" spans="17:45" x14ac:dyDescent="0.15">
      <c r="Q338" s="2">
        <v>335</v>
      </c>
      <c r="R338" s="2">
        <f>[1]节奏总纲!AD338</f>
        <v>83.920692243099523</v>
      </c>
      <c r="S338" s="2">
        <f>[1]节奏总纲!AE338</f>
        <v>86.041129946887025</v>
      </c>
      <c r="T338" s="2">
        <f>[1]节奏总纲!AF338</f>
        <v>89.11140191442027</v>
      </c>
      <c r="U338" s="2">
        <f>[1]节奏总纲!AG338</f>
        <v>94.101084594450555</v>
      </c>
      <c r="V338" s="2">
        <f>[1]节奏总纲!AH338</f>
        <v>102.962561378591</v>
      </c>
      <c r="AN338" s="2">
        <v>335</v>
      </c>
      <c r="AO338" s="2">
        <f>[1]节奏总纲!BA338</f>
        <v>46.176090215954694</v>
      </c>
      <c r="AP338" s="2">
        <f>[1]节奏总纲!BB338</f>
        <v>47.681510161418707</v>
      </c>
      <c r="AQ338" s="2">
        <f>[1]节奏总纲!BC338</f>
        <v>49.629466863697111</v>
      </c>
      <c r="AR338" s="2">
        <f>[1]节奏总纲!BD338</f>
        <v>52.380286580960728</v>
      </c>
      <c r="AS338" s="2">
        <f>[1]节奏总纲!BE338</f>
        <v>57.104264992975466</v>
      </c>
    </row>
    <row r="339" spans="17:45" x14ac:dyDescent="0.15">
      <c r="Q339" s="2">
        <v>336</v>
      </c>
      <c r="R339" s="2">
        <f>[1]节奏总纲!AD339</f>
        <v>83.964898845528126</v>
      </c>
      <c r="S339" s="2">
        <f>[1]节奏总纲!AE339</f>
        <v>86.082310529666103</v>
      </c>
      <c r="T339" s="2">
        <f>[1]节奏总纲!AF339</f>
        <v>89.157869418764761</v>
      </c>
      <c r="U339" s="2">
        <f>[1]节奏总纲!AG339</f>
        <v>94.145165249810972</v>
      </c>
      <c r="V339" s="2">
        <f>[1]节奏总纲!AH339</f>
        <v>103.00673656424885</v>
      </c>
      <c r="AN339" s="2">
        <v>336</v>
      </c>
      <c r="AO339" s="2">
        <f>[1]节奏总纲!BA339</f>
        <v>46.19535425877342</v>
      </c>
      <c r="AP339" s="2">
        <f>[1]节奏总纲!BB339</f>
        <v>47.7022976997416</v>
      </c>
      <c r="AQ339" s="2">
        <f>[1]节奏总纲!BC339</f>
        <v>49.65012664269365</v>
      </c>
      <c r="AR339" s="2">
        <f>[1]节奏总纲!BD339</f>
        <v>52.400239921756771</v>
      </c>
      <c r="AS339" s="2">
        <f>[1]节奏总纲!BE339</f>
        <v>57.123448873328833</v>
      </c>
    </row>
    <row r="340" spans="17:45" x14ac:dyDescent="0.15">
      <c r="Q340" s="2">
        <v>337</v>
      </c>
      <c r="R340" s="2">
        <f>[1]节奏总纲!AD340</f>
        <v>84.008495683346354</v>
      </c>
      <c r="S340" s="2">
        <f>[1]节奏总纲!AE340</f>
        <v>86.12349111244518</v>
      </c>
      <c r="T340" s="2">
        <f>[1]节奏总纲!AF340</f>
        <v>89.204336923109267</v>
      </c>
      <c r="U340" s="2">
        <f>[1]节奏总纲!AG340</f>
        <v>94.189245905171404</v>
      </c>
      <c r="V340" s="2">
        <f>[1]节奏总纲!AH340</f>
        <v>103.04728286259964</v>
      </c>
      <c r="AN340" s="2">
        <v>337</v>
      </c>
      <c r="AO340" s="2">
        <f>[1]节奏总纲!BA340</f>
        <v>46.214618301592147</v>
      </c>
      <c r="AP340" s="2">
        <f>[1]节奏总纲!BB340</f>
        <v>47.723085238064499</v>
      </c>
      <c r="AQ340" s="2">
        <f>[1]节奏总纲!BC340</f>
        <v>49.670786421690188</v>
      </c>
      <c r="AR340" s="2">
        <f>[1]节奏总纲!BD340</f>
        <v>52.420193262552822</v>
      </c>
      <c r="AS340" s="2">
        <f>[1]节奏总纲!BE340</f>
        <v>57.1426327536822</v>
      </c>
    </row>
    <row r="341" spans="17:45" x14ac:dyDescent="0.15">
      <c r="Q341" s="2">
        <v>338</v>
      </c>
      <c r="R341" s="2">
        <f>[1]节奏总纲!AD341</f>
        <v>84.049741901856009</v>
      </c>
      <c r="S341" s="2">
        <f>[1]节奏总纲!AE341</f>
        <v>86.164671695224243</v>
      </c>
      <c r="T341" s="2">
        <f>[1]节奏总纲!AF341</f>
        <v>89.250804427453758</v>
      </c>
      <c r="U341" s="2">
        <f>[1]节奏总纲!AG341</f>
        <v>94.233326560531836</v>
      </c>
      <c r="V341" s="2">
        <f>[1]节奏总纲!AH341</f>
        <v>103.08782916095045</v>
      </c>
      <c r="AN341" s="2">
        <v>338</v>
      </c>
      <c r="AO341" s="2">
        <f>[1]节奏总纲!BA341</f>
        <v>46.23388234441088</v>
      </c>
      <c r="AP341" s="2">
        <f>[1]节奏总纲!BB341</f>
        <v>47.743872776387391</v>
      </c>
      <c r="AQ341" s="2">
        <f>[1]节奏总纲!BC341</f>
        <v>49.69144620068672</v>
      </c>
      <c r="AR341" s="2">
        <f>[1]节奏总纲!BD341</f>
        <v>52.440146603348865</v>
      </c>
      <c r="AS341" s="2">
        <f>[1]节奏总纲!BE341</f>
        <v>57.161816634035567</v>
      </c>
    </row>
    <row r="342" spans="17:45" x14ac:dyDescent="0.15">
      <c r="Q342" s="2">
        <v>339</v>
      </c>
      <c r="R342" s="2">
        <f>[1]节奏总纲!AD342</f>
        <v>84.090988120365651</v>
      </c>
      <c r="S342" s="2">
        <f>[1]节奏总纲!AE342</f>
        <v>86.20585227800332</v>
      </c>
      <c r="T342" s="2">
        <f>[1]节奏总纲!AF342</f>
        <v>89.29727193179825</v>
      </c>
      <c r="U342" s="2">
        <f>[1]节奏总纲!AG342</f>
        <v>94.277407215892268</v>
      </c>
      <c r="V342" s="2">
        <f>[1]节奏总纲!AH342</f>
        <v>103.12837545930124</v>
      </c>
      <c r="AN342" s="2">
        <v>339</v>
      </c>
      <c r="AO342" s="2">
        <f>[1]节奏总纲!BA342</f>
        <v>46.253146387229606</v>
      </c>
      <c r="AP342" s="2">
        <f>[1]节奏总纲!BB342</f>
        <v>47.764660314710284</v>
      </c>
      <c r="AQ342" s="2">
        <f>[1]节奏总纲!BC342</f>
        <v>49.712105979683258</v>
      </c>
      <c r="AR342" s="2">
        <f>[1]节奏总纲!BD342</f>
        <v>52.460099944144915</v>
      </c>
      <c r="AS342" s="2">
        <f>[1]节奏总纲!BE342</f>
        <v>57.181000514388934</v>
      </c>
    </row>
    <row r="343" spans="17:45" x14ac:dyDescent="0.15">
      <c r="Q343" s="2">
        <v>340</v>
      </c>
      <c r="R343" s="2">
        <f>[1]节奏总纲!AD343</f>
        <v>84.132234338875293</v>
      </c>
      <c r="S343" s="2">
        <f>[1]节奏总纲!AE343</f>
        <v>86.247032860782397</v>
      </c>
      <c r="T343" s="2">
        <f>[1]节奏总纲!AF343</f>
        <v>89.343739436142741</v>
      </c>
      <c r="U343" s="2">
        <f>[1]节奏总纲!AG343</f>
        <v>94.3214878712527</v>
      </c>
      <c r="V343" s="2">
        <f>[1]节奏总纲!AH343</f>
        <v>103.16892175765203</v>
      </c>
      <c r="AN343" s="2">
        <v>340</v>
      </c>
      <c r="AO343" s="2">
        <f>[1]节奏总纲!BA343</f>
        <v>46.272410430048332</v>
      </c>
      <c r="AP343" s="2">
        <f>[1]节奏总纲!BB343</f>
        <v>47.785447853033176</v>
      </c>
      <c r="AQ343" s="2">
        <f>[1]节奏总纲!BC343</f>
        <v>49.732765758679797</v>
      </c>
      <c r="AR343" s="2">
        <f>[1]节奏总纲!BD343</f>
        <v>52.480053284940965</v>
      </c>
      <c r="AS343" s="2">
        <f>[1]节奏总纲!BE343</f>
        <v>57.200184394742301</v>
      </c>
    </row>
    <row r="344" spans="17:45" x14ac:dyDescent="0.15">
      <c r="Q344" s="2">
        <v>341</v>
      </c>
      <c r="R344" s="2">
        <f>[1]节奏总纲!AD344</f>
        <v>84.173480557384934</v>
      </c>
      <c r="S344" s="2">
        <f>[1]节奏总纲!AE344</f>
        <v>86.288213443561474</v>
      </c>
      <c r="T344" s="2">
        <f>[1]节奏总纲!AF344</f>
        <v>89.390206940487232</v>
      </c>
      <c r="U344" s="2">
        <f>[1]节奏总纲!AG344</f>
        <v>94.365568526613131</v>
      </c>
      <c r="V344" s="2">
        <f>[1]节奏总纲!AH344</f>
        <v>103.20946805600283</v>
      </c>
      <c r="AN344" s="2">
        <v>341</v>
      </c>
      <c r="AO344" s="2">
        <f>[1]节奏总纲!BA344</f>
        <v>46.291674472867058</v>
      </c>
      <c r="AP344" s="2">
        <f>[1]节奏总纲!BB344</f>
        <v>47.806235391356068</v>
      </c>
      <c r="AQ344" s="2">
        <f>[1]节奏总纲!BC344</f>
        <v>49.753425537676335</v>
      </c>
      <c r="AR344" s="2">
        <f>[1]节奏总纲!BD344</f>
        <v>52.500006625737008</v>
      </c>
      <c r="AS344" s="2">
        <f>[1]节奏总纲!BE344</f>
        <v>57.219368275095675</v>
      </c>
    </row>
    <row r="345" spans="17:45" x14ac:dyDescent="0.15">
      <c r="Q345" s="2">
        <v>342</v>
      </c>
      <c r="R345" s="2">
        <f>[1]节奏总纲!AD345</f>
        <v>84.214726775894576</v>
      </c>
      <c r="S345" s="2">
        <f>[1]节奏总纲!AE345</f>
        <v>86.329394026340537</v>
      </c>
      <c r="T345" s="2">
        <f>[1]节奏总纲!AF345</f>
        <v>89.436674444831723</v>
      </c>
      <c r="U345" s="2">
        <f>[1]节奏总纲!AG345</f>
        <v>94.409649181973549</v>
      </c>
      <c r="V345" s="2">
        <f>[1]节奏总纲!AH345</f>
        <v>103.25001435435362</v>
      </c>
      <c r="AN345" s="2">
        <v>342</v>
      </c>
      <c r="AO345" s="2">
        <f>[1]节奏总纲!BA345</f>
        <v>46.310938515685784</v>
      </c>
      <c r="AP345" s="2">
        <f>[1]节奏总纲!BB345</f>
        <v>47.827022929678968</v>
      </c>
      <c r="AQ345" s="2">
        <f>[1]节奏总纲!BC345</f>
        <v>49.774085316672867</v>
      </c>
      <c r="AR345" s="2">
        <f>[1]节奏总纲!BD345</f>
        <v>52.519959966533058</v>
      </c>
      <c r="AS345" s="2">
        <f>[1]节奏总纲!BE345</f>
        <v>57.238552155449042</v>
      </c>
    </row>
    <row r="346" spans="17:45" x14ac:dyDescent="0.15">
      <c r="Q346" s="2">
        <v>343</v>
      </c>
      <c r="R346" s="2">
        <f>[1]节奏总纲!AD346</f>
        <v>84.255972994404218</v>
      </c>
      <c r="S346" s="2">
        <f>[1]节奏总纲!AE346</f>
        <v>86.370574609119615</v>
      </c>
      <c r="T346" s="2">
        <f>[1]节奏总纲!AF346</f>
        <v>89.483141949176215</v>
      </c>
      <c r="U346" s="2">
        <f>[1]节奏总纲!AG346</f>
        <v>94.453729837333981</v>
      </c>
      <c r="V346" s="2">
        <f>[1]节奏总纲!AH346</f>
        <v>103.29056065270443</v>
      </c>
      <c r="AN346" s="2">
        <v>343</v>
      </c>
      <c r="AO346" s="2">
        <f>[1]节奏总纲!BA346</f>
        <v>46.330202558504517</v>
      </c>
      <c r="AP346" s="2">
        <f>[1]节奏总纲!BB346</f>
        <v>47.84781046800186</v>
      </c>
      <c r="AQ346" s="2">
        <f>[1]节奏总纲!BC346</f>
        <v>49.794745095669406</v>
      </c>
      <c r="AR346" s="2">
        <f>[1]节奏总纲!BD346</f>
        <v>52.539913307329101</v>
      </c>
      <c r="AS346" s="2">
        <f>[1]节奏总纲!BE346</f>
        <v>57.257736035802409</v>
      </c>
    </row>
    <row r="347" spans="17:45" x14ac:dyDescent="0.15">
      <c r="Q347" s="2">
        <v>344</v>
      </c>
      <c r="R347" s="2">
        <f>[1]节奏总纲!AD347</f>
        <v>84.297219212913859</v>
      </c>
      <c r="S347" s="2">
        <f>[1]节奏总纲!AE347</f>
        <v>86.411755191898692</v>
      </c>
      <c r="T347" s="2">
        <f>[1]节奏总纲!AF347</f>
        <v>89.529609453520706</v>
      </c>
      <c r="U347" s="2">
        <f>[1]节奏总纲!AG347</f>
        <v>94.497810492694413</v>
      </c>
      <c r="V347" s="2">
        <f>[1]节奏总纲!AH347</f>
        <v>103.33110695105522</v>
      </c>
      <c r="AN347" s="2">
        <v>344</v>
      </c>
      <c r="AO347" s="2">
        <f>[1]节奏总纲!BA347</f>
        <v>46.349466601323243</v>
      </c>
      <c r="AP347" s="2">
        <f>[1]节奏总纲!BB347</f>
        <v>47.868598006324753</v>
      </c>
      <c r="AQ347" s="2">
        <f>[1]节奏总纲!BC347</f>
        <v>49.815404874665944</v>
      </c>
      <c r="AR347" s="2">
        <f>[1]节奏总纲!BD347</f>
        <v>52.559866648125151</v>
      </c>
      <c r="AS347" s="2">
        <f>[1]节奏总纲!BE347</f>
        <v>57.276919916155776</v>
      </c>
    </row>
    <row r="348" spans="17:45" x14ac:dyDescent="0.15">
      <c r="Q348" s="2">
        <v>345</v>
      </c>
      <c r="R348" s="2">
        <f>[1]节奏总纲!AD348</f>
        <v>84.338465431423501</v>
      </c>
      <c r="S348" s="2">
        <f>[1]节奏总纲!AE348</f>
        <v>86.452935774677769</v>
      </c>
      <c r="T348" s="2">
        <f>[1]节奏总纲!AF348</f>
        <v>89.576076957865197</v>
      </c>
      <c r="U348" s="2">
        <f>[1]节奏总纲!AG348</f>
        <v>94.541891148054845</v>
      </c>
      <c r="V348" s="2">
        <f>[1]节奏总纲!AH348</f>
        <v>103.37165324940601</v>
      </c>
      <c r="AN348" s="2">
        <v>345</v>
      </c>
      <c r="AO348" s="2">
        <f>[1]节奏总纲!BA348</f>
        <v>46.368730644141969</v>
      </c>
      <c r="AP348" s="2">
        <f>[1]节奏总纲!BB348</f>
        <v>47.889385544647645</v>
      </c>
      <c r="AQ348" s="2">
        <f>[1]节奏总纲!BC348</f>
        <v>49.836064653662483</v>
      </c>
      <c r="AR348" s="2">
        <f>[1]节奏总纲!BD348</f>
        <v>52.579819988921201</v>
      </c>
      <c r="AS348" s="2">
        <f>[1]节奏总纲!BE348</f>
        <v>57.296103796509144</v>
      </c>
    </row>
    <row r="349" spans="17:45" x14ac:dyDescent="0.15">
      <c r="Q349" s="2">
        <v>346</v>
      </c>
      <c r="R349" s="2">
        <f>[1]节奏总纲!AD349</f>
        <v>84.379711649933142</v>
      </c>
      <c r="S349" s="2">
        <f>[1]节奏总纲!AE349</f>
        <v>86.494116357456846</v>
      </c>
      <c r="T349" s="2">
        <f>[1]节奏总纲!AF349</f>
        <v>89.622544462209689</v>
      </c>
      <c r="U349" s="2">
        <f>[1]节奏总纲!AG349</f>
        <v>94.585971803415276</v>
      </c>
      <c r="V349" s="2">
        <f>[1]节奏总纲!AH349</f>
        <v>103.41219954775681</v>
      </c>
      <c r="AN349" s="2">
        <v>346</v>
      </c>
      <c r="AO349" s="2">
        <f>[1]节奏总纲!BA349</f>
        <v>46.387994686960695</v>
      </c>
      <c r="AP349" s="2">
        <f>[1]节奏总纲!BB349</f>
        <v>47.910173082970537</v>
      </c>
      <c r="AQ349" s="2">
        <f>[1]节奏总纲!BC349</f>
        <v>49.856724432659014</v>
      </c>
      <c r="AR349" s="2">
        <f>[1]节奏总纲!BD349</f>
        <v>52.599773329717245</v>
      </c>
      <c r="AS349" s="2">
        <f>[1]节奏总纲!BE349</f>
        <v>57.315287676862511</v>
      </c>
    </row>
    <row r="350" spans="17:45" x14ac:dyDescent="0.15">
      <c r="Q350" s="2">
        <v>347</v>
      </c>
      <c r="R350" s="2">
        <f>[1]节奏总纲!AD350</f>
        <v>84.420957868442784</v>
      </c>
      <c r="S350" s="2">
        <f>[1]节奏总纲!AE350</f>
        <v>86.535296940235909</v>
      </c>
      <c r="T350" s="2">
        <f>[1]节奏总纲!AF350</f>
        <v>89.66901196655418</v>
      </c>
      <c r="U350" s="2">
        <f>[1]节奏总纲!AG350</f>
        <v>94.630052458775694</v>
      </c>
      <c r="V350" s="2">
        <f>[1]节奏总纲!AH350</f>
        <v>103.4527458461076</v>
      </c>
      <c r="AN350" s="2">
        <v>347</v>
      </c>
      <c r="AO350" s="2">
        <f>[1]节奏总纲!BA350</f>
        <v>46.407258729779421</v>
      </c>
      <c r="AP350" s="2">
        <f>[1]节奏总纲!BB350</f>
        <v>47.930960621293437</v>
      </c>
      <c r="AQ350" s="2">
        <f>[1]节奏总纲!BC350</f>
        <v>49.877384211655553</v>
      </c>
      <c r="AR350" s="2">
        <f>[1]节奏总纲!BD350</f>
        <v>52.619726670513295</v>
      </c>
      <c r="AS350" s="2">
        <f>[1]节奏总纲!BE350</f>
        <v>57.334471557215878</v>
      </c>
    </row>
    <row r="351" spans="17:45" x14ac:dyDescent="0.15">
      <c r="Q351" s="2">
        <v>348</v>
      </c>
      <c r="R351" s="2">
        <f>[1]节奏总纲!AD351</f>
        <v>84.462204086952426</v>
      </c>
      <c r="S351" s="2">
        <f>[1]节奏总纲!AE351</f>
        <v>86.576477523014987</v>
      </c>
      <c r="T351" s="2">
        <f>[1]节奏总纲!AF351</f>
        <v>89.715479470898671</v>
      </c>
      <c r="U351" s="2">
        <f>[1]节奏总纲!AG351</f>
        <v>94.674133114136126</v>
      </c>
      <c r="V351" s="2">
        <f>[1]节奏总纲!AH351</f>
        <v>103.49329214445841</v>
      </c>
      <c r="AN351" s="2">
        <v>348</v>
      </c>
      <c r="AO351" s="2">
        <f>[1]节奏总纲!BA351</f>
        <v>46.426522772598148</v>
      </c>
      <c r="AP351" s="2">
        <f>[1]节奏总纲!BB351</f>
        <v>47.951748159616329</v>
      </c>
      <c r="AQ351" s="2">
        <f>[1]节奏总纲!BC351</f>
        <v>49.898043990652091</v>
      </c>
      <c r="AR351" s="2">
        <f>[1]节奏总纲!BD351</f>
        <v>52.639680011309345</v>
      </c>
      <c r="AS351" s="2">
        <f>[1]节奏总纲!BE351</f>
        <v>57.353655437569245</v>
      </c>
    </row>
    <row r="352" spans="17:45" x14ac:dyDescent="0.15">
      <c r="Q352" s="2">
        <v>349</v>
      </c>
      <c r="R352" s="2">
        <f>[1]节奏总纲!AD352</f>
        <v>84.503450305462081</v>
      </c>
      <c r="S352" s="2">
        <f>[1]节奏总纲!AE352</f>
        <v>86.617658105794064</v>
      </c>
      <c r="T352" s="2">
        <f>[1]节奏总纲!AF352</f>
        <v>89.761946975243163</v>
      </c>
      <c r="U352" s="2">
        <f>[1]节奏总纲!AG352</f>
        <v>94.718213769496558</v>
      </c>
      <c r="V352" s="2">
        <f>[1]节奏总纲!AH352</f>
        <v>103.5338384428092</v>
      </c>
      <c r="AN352" s="2">
        <v>349</v>
      </c>
      <c r="AO352" s="2">
        <f>[1]节奏总纲!BA352</f>
        <v>46.445786815416881</v>
      </c>
      <c r="AP352" s="2">
        <f>[1]节奏总纲!BB352</f>
        <v>47.972535697939222</v>
      </c>
      <c r="AQ352" s="2">
        <f>[1]节奏总纲!BC352</f>
        <v>49.91870376964863</v>
      </c>
      <c r="AR352" s="2">
        <f>[1]节奏总纲!BD352</f>
        <v>52.659633352105388</v>
      </c>
      <c r="AS352" s="2">
        <f>[1]节奏总纲!BE352</f>
        <v>57.372839317922612</v>
      </c>
    </row>
    <row r="353" spans="17:45" x14ac:dyDescent="0.15">
      <c r="Q353" s="2">
        <v>350</v>
      </c>
      <c r="R353" s="2">
        <f>[1]节奏总纲!AD353</f>
        <v>84.544696523971723</v>
      </c>
      <c r="S353" s="2">
        <f>[1]节奏总纲!AE353</f>
        <v>86.658838688573141</v>
      </c>
      <c r="T353" s="2">
        <f>[1]节奏总纲!AF353</f>
        <v>89.808414479587654</v>
      </c>
      <c r="U353" s="2">
        <f>[1]节奏总纲!AG353</f>
        <v>94.762294424856989</v>
      </c>
      <c r="V353" s="2">
        <f>[1]节奏总纲!AH353</f>
        <v>103.57438474115999</v>
      </c>
      <c r="AN353" s="2">
        <v>350</v>
      </c>
      <c r="AO353" s="2">
        <f>[1]节奏总纲!BA353</f>
        <v>46.465050858235607</v>
      </c>
      <c r="AP353" s="2">
        <f>[1]节奏总纲!BB353</f>
        <v>47.993323236262114</v>
      </c>
      <c r="AQ353" s="2">
        <f>[1]节奏总纲!BC353</f>
        <v>49.939363548645169</v>
      </c>
      <c r="AR353" s="2">
        <f>[1]节奏总纲!BD353</f>
        <v>52.679586692901438</v>
      </c>
      <c r="AS353" s="2">
        <f>[1]节奏总纲!BE353</f>
        <v>57.392023198275979</v>
      </c>
    </row>
    <row r="354" spans="17:45" x14ac:dyDescent="0.15">
      <c r="Q354" s="2">
        <v>351</v>
      </c>
      <c r="R354" s="2">
        <f>[1]节奏总纲!AD354</f>
        <v>84.585942742481365</v>
      </c>
      <c r="S354" s="2">
        <f>[1]节奏总纲!AE354</f>
        <v>86.700019271352204</v>
      </c>
      <c r="T354" s="2">
        <f>[1]节奏总纲!AF354</f>
        <v>89.854881983932145</v>
      </c>
      <c r="U354" s="2">
        <f>[1]节奏总纲!AG354</f>
        <v>94.806375080217421</v>
      </c>
      <c r="V354" s="2">
        <f>[1]节奏总纲!AH354</f>
        <v>103.61493103951079</v>
      </c>
      <c r="AN354" s="2">
        <v>351</v>
      </c>
      <c r="AO354" s="2">
        <f>[1]节奏总纲!BA354</f>
        <v>46.484314901054333</v>
      </c>
      <c r="AP354" s="2">
        <f>[1]节奏总纲!BB354</f>
        <v>48.012182251254622</v>
      </c>
      <c r="AQ354" s="2">
        <f>[1]节奏总纲!BC354</f>
        <v>49.9600233276417</v>
      </c>
      <c r="AR354" s="2">
        <f>[1]节奏总纲!BD354</f>
        <v>52.699540033697481</v>
      </c>
      <c r="AS354" s="2">
        <f>[1]节奏总纲!BE354</f>
        <v>57.411207078629346</v>
      </c>
    </row>
    <row r="355" spans="17:45" x14ac:dyDescent="0.15">
      <c r="Q355" s="2">
        <v>352</v>
      </c>
      <c r="R355" s="2">
        <f>[1]节奏总纲!AD355</f>
        <v>84.627188960991006</v>
      </c>
      <c r="S355" s="2">
        <f>[1]节奏总纲!AE355</f>
        <v>86.741199854131281</v>
      </c>
      <c r="T355" s="2">
        <f>[1]节奏总纲!AF355</f>
        <v>89.901349488276637</v>
      </c>
      <c r="U355" s="2">
        <f>[1]节奏总纲!AG355</f>
        <v>94.850455735577853</v>
      </c>
      <c r="V355" s="2">
        <f>[1]节奏总纲!AH355</f>
        <v>103.65547733786158</v>
      </c>
      <c r="AN355" s="2">
        <v>352</v>
      </c>
      <c r="AO355" s="2">
        <f>[1]节奏总纲!BA355</f>
        <v>46.503578943873059</v>
      </c>
      <c r="AP355" s="2">
        <f>[1]节奏总纲!BB355</f>
        <v>48.030128751164234</v>
      </c>
      <c r="AQ355" s="2">
        <f>[1]节奏总纲!BC355</f>
        <v>49.980683106638239</v>
      </c>
      <c r="AR355" s="2">
        <f>[1]节奏总纲!BD355</f>
        <v>52.719493374493531</v>
      </c>
      <c r="AS355" s="2">
        <f>[1]节奏总纲!BE355</f>
        <v>57.430390958982713</v>
      </c>
    </row>
    <row r="356" spans="17:45" x14ac:dyDescent="0.15">
      <c r="Q356" s="2">
        <v>353</v>
      </c>
      <c r="R356" s="2">
        <f>[1]节奏总纲!AD356</f>
        <v>84.668435179500648</v>
      </c>
      <c r="S356" s="2">
        <f>[1]节奏总纲!AE356</f>
        <v>86.782380436910358</v>
      </c>
      <c r="T356" s="2">
        <f>[1]节奏总纲!AF356</f>
        <v>89.947816992621142</v>
      </c>
      <c r="U356" s="2">
        <f>[1]节奏总纲!AG356</f>
        <v>94.894536390938271</v>
      </c>
      <c r="V356" s="2">
        <f>[1]节奏总纲!AH356</f>
        <v>103.69602363621237</v>
      </c>
      <c r="AN356" s="2">
        <v>353</v>
      </c>
      <c r="AO356" s="2">
        <f>[1]节奏总纲!BA356</f>
        <v>46.522842986691785</v>
      </c>
      <c r="AP356" s="2">
        <f>[1]节奏总纲!BB356</f>
        <v>48.048075251073854</v>
      </c>
      <c r="AQ356" s="2">
        <f>[1]节奏总纲!BC356</f>
        <v>50.00115951426713</v>
      </c>
      <c r="AR356" s="2">
        <f>[1]节奏总纲!BD356</f>
        <v>52.739446715289581</v>
      </c>
      <c r="AS356" s="2">
        <f>[1]节奏总纲!BE356</f>
        <v>57.44957483933608</v>
      </c>
    </row>
    <row r="357" spans="17:45" x14ac:dyDescent="0.15">
      <c r="Q357" s="2">
        <v>354</v>
      </c>
      <c r="R357" s="2">
        <f>[1]节奏总纲!AD357</f>
        <v>84.709681398010289</v>
      </c>
      <c r="S357" s="2">
        <f>[1]节奏总纲!AE357</f>
        <v>86.823561019689436</v>
      </c>
      <c r="T357" s="2">
        <f>[1]节奏总纲!AF357</f>
        <v>89.994284496965633</v>
      </c>
      <c r="U357" s="2">
        <f>[1]节奏总纲!AG357</f>
        <v>94.938617046298702</v>
      </c>
      <c r="V357" s="2">
        <f>[1]节奏总纲!AH357</f>
        <v>103.73656993456318</v>
      </c>
      <c r="AN357" s="2">
        <v>354</v>
      </c>
      <c r="AO357" s="2">
        <f>[1]节奏总纲!BA357</f>
        <v>46.542107029510518</v>
      </c>
      <c r="AP357" s="2">
        <f>[1]节奏总纲!BB357</f>
        <v>48.066021750983474</v>
      </c>
      <c r="AQ357" s="2">
        <f>[1]节奏总纲!BC357</f>
        <v>50.018998195299922</v>
      </c>
      <c r="AR357" s="2">
        <f>[1]节奏总纲!BD357</f>
        <v>52.759400056085624</v>
      </c>
      <c r="AS357" s="2">
        <f>[1]节奏总纲!BE357</f>
        <v>57.468758719689447</v>
      </c>
    </row>
    <row r="358" spans="17:45" x14ac:dyDescent="0.15">
      <c r="Q358" s="2">
        <v>355</v>
      </c>
      <c r="R358" s="2">
        <f>[1]节奏总纲!AD358</f>
        <v>84.750927616519931</v>
      </c>
      <c r="S358" s="2">
        <f>[1]节奏总纲!AE358</f>
        <v>86.864741602468499</v>
      </c>
      <c r="T358" s="2">
        <f>[1]节奏总纲!AF358</f>
        <v>90.036066635925749</v>
      </c>
      <c r="U358" s="2">
        <f>[1]节奏总纲!AG358</f>
        <v>94.982697701659134</v>
      </c>
      <c r="V358" s="2">
        <f>[1]节奏总纲!AH358</f>
        <v>103.77711623291397</v>
      </c>
      <c r="AN358" s="2">
        <v>355</v>
      </c>
      <c r="AO358" s="2">
        <f>[1]节奏总纲!BA358</f>
        <v>46.561371072329244</v>
      </c>
      <c r="AP358" s="2">
        <f>[1]节奏总纲!BB358</f>
        <v>48.083968250893093</v>
      </c>
      <c r="AQ358" s="2">
        <f>[1]节奏总纲!BC358</f>
        <v>50.036836876332707</v>
      </c>
      <c r="AR358" s="2">
        <f>[1]节奏总纲!BD358</f>
        <v>52.779353396881675</v>
      </c>
      <c r="AS358" s="2">
        <f>[1]节奏总纲!BE358</f>
        <v>57.487942600042821</v>
      </c>
    </row>
    <row r="359" spans="17:45" x14ac:dyDescent="0.15">
      <c r="Q359" s="2">
        <v>356</v>
      </c>
      <c r="R359" s="2">
        <f>[1]节奏总纲!AD359</f>
        <v>84.792173835029573</v>
      </c>
      <c r="S359" s="2">
        <f>[1]节奏总纲!AE359</f>
        <v>86.905922185247576</v>
      </c>
      <c r="T359" s="2">
        <f>[1]节奏总纲!AF359</f>
        <v>90.077191648383845</v>
      </c>
      <c r="U359" s="2">
        <f>[1]节奏总纲!AG359</f>
        <v>95.024001308619916</v>
      </c>
      <c r="V359" s="2">
        <f>[1]节奏总纲!AH359</f>
        <v>103.81766253126477</v>
      </c>
      <c r="AN359" s="2">
        <v>356</v>
      </c>
      <c r="AO359" s="2">
        <f>[1]节奏总纲!BA359</f>
        <v>46.58063511514797</v>
      </c>
      <c r="AP359" s="2">
        <f>[1]节奏总纲!BB359</f>
        <v>48.101914750802706</v>
      </c>
      <c r="AQ359" s="2">
        <f>[1]节奏总纲!BC359</f>
        <v>50.054675557365492</v>
      </c>
      <c r="AR359" s="2">
        <f>[1]节奏总纲!BD359</f>
        <v>52.799306737677718</v>
      </c>
      <c r="AS359" s="2">
        <f>[1]节奏总纲!BE359</f>
        <v>57.507126480396188</v>
      </c>
    </row>
    <row r="360" spans="17:45" x14ac:dyDescent="0.15">
      <c r="Q360" s="2">
        <v>357</v>
      </c>
      <c r="R360" s="2">
        <f>[1]节奏总纲!AD360</f>
        <v>84.833420053539214</v>
      </c>
      <c r="S360" s="2">
        <f>[1]节奏总纲!AE360</f>
        <v>86.947102768026653</v>
      </c>
      <c r="T360" s="2">
        <f>[1]节奏总纲!AF360</f>
        <v>90.118316660841927</v>
      </c>
      <c r="U360" s="2">
        <f>[1]节奏总纲!AG360</f>
        <v>95.063510581451752</v>
      </c>
      <c r="V360" s="2">
        <f>[1]节奏总纲!AH360</f>
        <v>103.85820882961556</v>
      </c>
      <c r="AN360" s="2">
        <v>357</v>
      </c>
      <c r="AO360" s="2">
        <f>[1]节奏总纲!BA360</f>
        <v>46.599899157966696</v>
      </c>
      <c r="AP360" s="2">
        <f>[1]节奏总纲!BB360</f>
        <v>48.119861250712326</v>
      </c>
      <c r="AQ360" s="2">
        <f>[1]节奏总纲!BC360</f>
        <v>50.072514238398277</v>
      </c>
      <c r="AR360" s="2">
        <f>[1]节奏总纲!BD360</f>
        <v>52.819260078473768</v>
      </c>
      <c r="AS360" s="2">
        <f>[1]节奏总纲!BE360</f>
        <v>57.526310360749555</v>
      </c>
    </row>
    <row r="361" spans="17:45" x14ac:dyDescent="0.15">
      <c r="Q361" s="2">
        <v>358</v>
      </c>
      <c r="R361" s="2">
        <f>[1]节奏总纲!AD361</f>
        <v>84.874666272048856</v>
      </c>
      <c r="S361" s="2">
        <f>[1]节奏总纲!AE361</f>
        <v>86.98828335080573</v>
      </c>
      <c r="T361" s="2">
        <f>[1]节奏总纲!AF361</f>
        <v>90.159441673300023</v>
      </c>
      <c r="U361" s="2">
        <f>[1]节奏总纲!AG361</f>
        <v>95.103019854283588</v>
      </c>
      <c r="V361" s="2">
        <f>[1]节奏总纲!AH361</f>
        <v>103.89875512796635</v>
      </c>
      <c r="AN361" s="2">
        <v>358</v>
      </c>
      <c r="AO361" s="2">
        <f>[1]节奏总纲!BA361</f>
        <v>46.619163200785422</v>
      </c>
      <c r="AP361" s="2">
        <f>[1]节奏总纲!BB361</f>
        <v>48.137807750621946</v>
      </c>
      <c r="AQ361" s="2">
        <f>[1]节奏总纲!BC361</f>
        <v>50.090352919431069</v>
      </c>
      <c r="AR361" s="2">
        <f>[1]节奏总纲!BD361</f>
        <v>52.839213419269818</v>
      </c>
      <c r="AS361" s="2">
        <f>[1]节奏总纲!BE361</f>
        <v>57.545494241102922</v>
      </c>
    </row>
    <row r="362" spans="17:45" x14ac:dyDescent="0.15">
      <c r="Q362" s="2">
        <v>359</v>
      </c>
      <c r="R362" s="2">
        <f>[1]节奏总纲!AD362</f>
        <v>84.915912490558497</v>
      </c>
      <c r="S362" s="2">
        <f>[1]节奏总纲!AE362</f>
        <v>87.027010646912942</v>
      </c>
      <c r="T362" s="2">
        <f>[1]节奏总纲!AF362</f>
        <v>90.200566685758119</v>
      </c>
      <c r="U362" s="2">
        <f>[1]节奏总纲!AG362</f>
        <v>95.142529127115409</v>
      </c>
      <c r="V362" s="2">
        <f>[1]节奏总纲!AH362</f>
        <v>103.93930142631716</v>
      </c>
      <c r="AN362" s="2">
        <v>359</v>
      </c>
      <c r="AO362" s="2">
        <f>[1]节奏总纲!BA362</f>
        <v>46.638427243604156</v>
      </c>
      <c r="AP362" s="2">
        <f>[1]节奏总纲!BB362</f>
        <v>48.155754250531558</v>
      </c>
      <c r="AQ362" s="2">
        <f>[1]节奏总纲!BC362</f>
        <v>50.108191600463854</v>
      </c>
      <c r="AR362" s="2">
        <f>[1]节奏总纲!BD362</f>
        <v>52.859166760065861</v>
      </c>
      <c r="AS362" s="2">
        <f>[1]节奏总纲!BE362</f>
        <v>57.564678121456289</v>
      </c>
    </row>
    <row r="363" spans="17:45" x14ac:dyDescent="0.15">
      <c r="Q363" s="2">
        <v>360</v>
      </c>
      <c r="R363" s="2">
        <f>[1]节奏总纲!AD363</f>
        <v>84.957158709068153</v>
      </c>
      <c r="S363" s="2">
        <f>[1]节奏总纲!AE363</f>
        <v>87.064762367263285</v>
      </c>
      <c r="T363" s="2">
        <f>[1]节奏总纲!AF363</f>
        <v>90.241691698216215</v>
      </c>
      <c r="U363" s="2">
        <f>[1]节奏总纲!AG363</f>
        <v>95.182038399947245</v>
      </c>
      <c r="V363" s="2">
        <f>[1]节奏总纲!AH363</f>
        <v>103.97984772466795</v>
      </c>
      <c r="AN363" s="2">
        <v>360</v>
      </c>
      <c r="AO363" s="2">
        <f>[1]节奏总纲!BA363</f>
        <v>46.657691286422882</v>
      </c>
      <c r="AP363" s="2">
        <f>[1]节奏总纲!BB363</f>
        <v>48.173700750441178</v>
      </c>
      <c r="AQ363" s="2">
        <f>[1]节奏总纲!BC363</f>
        <v>50.126030281496639</v>
      </c>
      <c r="AR363" s="2">
        <f>[1]节奏总纲!BD363</f>
        <v>52.879120100861911</v>
      </c>
      <c r="AS363" s="2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5E69-F0F4-43D1-AD6F-E6C05ADF5036}">
  <dimension ref="A1:AA16"/>
  <sheetViews>
    <sheetView workbookViewId="0">
      <selection activeCell="O21" sqref="O21"/>
    </sheetView>
  </sheetViews>
  <sheetFormatPr defaultColWidth="6.625" defaultRowHeight="11.25" x14ac:dyDescent="0.2"/>
  <cols>
    <col min="1" max="7" width="6.625" style="4"/>
    <col min="8" max="8" width="6.625" style="5"/>
    <col min="9" max="10" width="6.625" style="4"/>
    <col min="11" max="11" width="9" style="4" bestFit="1" customWidth="1"/>
    <col min="12" max="18" width="6.625" style="4"/>
    <col min="19" max="19" width="9" style="4" bestFit="1" customWidth="1"/>
    <col min="20" max="16384" width="6.625" style="4"/>
  </cols>
  <sheetData>
    <row r="1" spans="1:27" x14ac:dyDescent="0.2">
      <c r="A1" s="6" t="s">
        <v>29</v>
      </c>
    </row>
    <row r="2" spans="1:27" x14ac:dyDescent="0.2">
      <c r="A2" s="6" t="s">
        <v>78</v>
      </c>
    </row>
    <row r="4" spans="1:27" x14ac:dyDescent="0.2">
      <c r="O4" s="4">
        <f>INDEX($K$7:$K$10,MATCH(O$6,$J$7:$J$10,0))</f>
        <v>10</v>
      </c>
      <c r="P4" s="4">
        <f>INDEX($K$7:$K$10,MATCH(P$6,$J$7:$J$10,0))</f>
        <v>30</v>
      </c>
      <c r="Q4" s="4">
        <f>INDEX($K$7:$K$10,MATCH(Q$6,$J$7:$J$10,0))</f>
        <v>90</v>
      </c>
      <c r="R4" s="4">
        <f>INDEX($K$7:$K$10,MATCH(R$6,$J$7:$J$10,0))</f>
        <v>270</v>
      </c>
    </row>
    <row r="5" spans="1:27" x14ac:dyDescent="0.2">
      <c r="O5" s="22" t="s">
        <v>92</v>
      </c>
      <c r="P5" s="22"/>
      <c r="Q5" s="22"/>
      <c r="R5" s="22"/>
      <c r="S5" s="22"/>
      <c r="T5" s="22" t="s">
        <v>91</v>
      </c>
      <c r="U5" s="22"/>
      <c r="V5" s="22"/>
      <c r="W5" s="22"/>
    </row>
    <row r="6" spans="1:27" x14ac:dyDescent="0.2">
      <c r="J6" s="4" t="s">
        <v>67</v>
      </c>
      <c r="K6" s="4" t="s">
        <v>77</v>
      </c>
      <c r="N6" s="4" t="s">
        <v>90</v>
      </c>
      <c r="O6" s="4">
        <v>110</v>
      </c>
      <c r="P6" s="4">
        <v>120</v>
      </c>
      <c r="Q6" s="4">
        <v>130</v>
      </c>
      <c r="R6" s="4">
        <v>140</v>
      </c>
      <c r="S6" s="4" t="s">
        <v>89</v>
      </c>
      <c r="T6" s="4">
        <v>110</v>
      </c>
      <c r="U6" s="4">
        <v>120</v>
      </c>
      <c r="V6" s="4">
        <v>130</v>
      </c>
      <c r="W6" s="4">
        <v>140</v>
      </c>
    </row>
    <row r="7" spans="1:27" x14ac:dyDescent="0.2">
      <c r="J7" s="4">
        <v>110</v>
      </c>
      <c r="K7" s="4">
        <v>10</v>
      </c>
      <c r="N7" s="4" t="s">
        <v>79</v>
      </c>
      <c r="O7" s="4">
        <v>3</v>
      </c>
      <c r="P7" s="4">
        <v>3</v>
      </c>
      <c r="S7" s="4">
        <f t="shared" ref="S7:S16" si="0">SUMPRODUCT(O7:R7,$O$4:$R$4)</f>
        <v>120</v>
      </c>
      <c r="T7" s="4">
        <f>18-SUM($U7:$W7)</f>
        <v>8</v>
      </c>
      <c r="U7" s="4">
        <v>10</v>
      </c>
      <c r="X7" s="4">
        <f>IFERROR(T7/O7,"")</f>
        <v>2.6666666666666665</v>
      </c>
      <c r="Y7" s="4">
        <f t="shared" ref="Y7:AA7" si="1">IFERROR(U7/P7,"")</f>
        <v>3.3333333333333335</v>
      </c>
      <c r="Z7" s="4" t="str">
        <f t="shared" si="1"/>
        <v/>
      </c>
      <c r="AA7" s="4" t="str">
        <f t="shared" si="1"/>
        <v/>
      </c>
    </row>
    <row r="8" spans="1:27" x14ac:dyDescent="0.2">
      <c r="I8" s="4">
        <f>K8/K7</f>
        <v>3</v>
      </c>
      <c r="J8" s="4">
        <v>120</v>
      </c>
      <c r="K8" s="4">
        <v>30</v>
      </c>
      <c r="N8" s="4" t="s">
        <v>80</v>
      </c>
      <c r="P8" s="4">
        <v>6</v>
      </c>
      <c r="S8" s="4">
        <f t="shared" si="0"/>
        <v>180</v>
      </c>
      <c r="T8" s="4">
        <f t="shared" ref="T8:T16" si="2">18-SUM($U8:$W8)</f>
        <v>3</v>
      </c>
      <c r="U8" s="4">
        <v>15</v>
      </c>
      <c r="X8" s="4" t="str">
        <f t="shared" ref="X8:X16" si="3">IFERROR(T8/O8,"")</f>
        <v/>
      </c>
      <c r="Y8" s="4">
        <f t="shared" ref="Y8:Y16" si="4">IFERROR(U8/P8,"")</f>
        <v>2.5</v>
      </c>
      <c r="Z8" s="4" t="str">
        <f t="shared" ref="Z8:Z16" si="5">IFERROR(V8/Q8,"")</f>
        <v/>
      </c>
      <c r="AA8" s="4" t="str">
        <f t="shared" ref="AA8:AA16" si="6">IFERROR(W8/R8,"")</f>
        <v/>
      </c>
    </row>
    <row r="9" spans="1:27" x14ac:dyDescent="0.2">
      <c r="I9" s="4">
        <f t="shared" ref="I9:I10" si="7">K9/K8</f>
        <v>3</v>
      </c>
      <c r="J9" s="4">
        <v>130</v>
      </c>
      <c r="K9" s="4">
        <v>90</v>
      </c>
      <c r="N9" s="4" t="s">
        <v>81</v>
      </c>
      <c r="P9" s="4">
        <v>4</v>
      </c>
      <c r="Q9" s="4">
        <v>2</v>
      </c>
      <c r="S9" s="4">
        <f t="shared" si="0"/>
        <v>300</v>
      </c>
      <c r="T9" s="4">
        <f t="shared" si="2"/>
        <v>3</v>
      </c>
      <c r="U9" s="4">
        <v>13</v>
      </c>
      <c r="V9" s="4">
        <v>2</v>
      </c>
      <c r="X9" s="4" t="str">
        <f t="shared" si="3"/>
        <v/>
      </c>
      <c r="Y9" s="4">
        <f t="shared" si="4"/>
        <v>3.25</v>
      </c>
      <c r="Z9" s="4">
        <f t="shared" si="5"/>
        <v>1</v>
      </c>
      <c r="AA9" s="4" t="str">
        <f t="shared" si="6"/>
        <v/>
      </c>
    </row>
    <row r="10" spans="1:27" x14ac:dyDescent="0.2">
      <c r="I10" s="4">
        <f t="shared" si="7"/>
        <v>3</v>
      </c>
      <c r="J10" s="4">
        <v>140</v>
      </c>
      <c r="K10" s="4">
        <v>270</v>
      </c>
      <c r="N10" s="4" t="s">
        <v>82</v>
      </c>
      <c r="P10" s="4">
        <v>3</v>
      </c>
      <c r="Q10" s="4">
        <v>3</v>
      </c>
      <c r="S10" s="4">
        <f t="shared" si="0"/>
        <v>360</v>
      </c>
      <c r="T10" s="4">
        <f t="shared" si="2"/>
        <v>3</v>
      </c>
      <c r="U10" s="4">
        <v>12</v>
      </c>
      <c r="V10" s="4">
        <v>3</v>
      </c>
      <c r="X10" s="4" t="str">
        <f t="shared" si="3"/>
        <v/>
      </c>
      <c r="Y10" s="4">
        <f t="shared" si="4"/>
        <v>4</v>
      </c>
      <c r="Z10" s="4">
        <f t="shared" si="5"/>
        <v>1</v>
      </c>
      <c r="AA10" s="4" t="str">
        <f t="shared" si="6"/>
        <v/>
      </c>
    </row>
    <row r="11" spans="1:27" x14ac:dyDescent="0.2">
      <c r="N11" s="4" t="s">
        <v>83</v>
      </c>
      <c r="P11" s="4">
        <v>2</v>
      </c>
      <c r="Q11" s="4">
        <v>4</v>
      </c>
      <c r="S11" s="4">
        <f t="shared" si="0"/>
        <v>420</v>
      </c>
      <c r="T11" s="4">
        <f t="shared" si="2"/>
        <v>3</v>
      </c>
      <c r="U11" s="4">
        <v>10</v>
      </c>
      <c r="V11" s="4">
        <v>5</v>
      </c>
      <c r="X11" s="4" t="str">
        <f t="shared" si="3"/>
        <v/>
      </c>
      <c r="Y11" s="4">
        <f t="shared" si="4"/>
        <v>5</v>
      </c>
      <c r="Z11" s="4">
        <f t="shared" si="5"/>
        <v>1.25</v>
      </c>
      <c r="AA11" s="4" t="str">
        <f t="shared" si="6"/>
        <v/>
      </c>
    </row>
    <row r="12" spans="1:27" x14ac:dyDescent="0.2">
      <c r="N12" s="4" t="s">
        <v>84</v>
      </c>
      <c r="P12" s="4">
        <v>1</v>
      </c>
      <c r="Q12" s="4">
        <v>5</v>
      </c>
      <c r="S12" s="4">
        <f t="shared" si="0"/>
        <v>480</v>
      </c>
      <c r="T12" s="4">
        <f t="shared" si="2"/>
        <v>3</v>
      </c>
      <c r="U12" s="4">
        <v>9</v>
      </c>
      <c r="V12" s="4">
        <v>6</v>
      </c>
      <c r="X12" s="4" t="str">
        <f t="shared" si="3"/>
        <v/>
      </c>
      <c r="Y12" s="4">
        <f t="shared" si="4"/>
        <v>9</v>
      </c>
      <c r="Z12" s="4">
        <f t="shared" si="5"/>
        <v>1.2</v>
      </c>
      <c r="AA12" s="4" t="str">
        <f t="shared" si="6"/>
        <v/>
      </c>
    </row>
    <row r="13" spans="1:27" x14ac:dyDescent="0.2">
      <c r="N13" s="4" t="s">
        <v>85</v>
      </c>
      <c r="Q13" s="4">
        <v>6</v>
      </c>
      <c r="S13" s="4">
        <f t="shared" si="0"/>
        <v>540</v>
      </c>
      <c r="T13" s="4">
        <f t="shared" si="2"/>
        <v>3</v>
      </c>
      <c r="U13" s="4">
        <v>7</v>
      </c>
      <c r="V13" s="4">
        <v>8</v>
      </c>
      <c r="X13" s="4" t="str">
        <f t="shared" si="3"/>
        <v/>
      </c>
      <c r="Y13" s="4" t="str">
        <f t="shared" si="4"/>
        <v/>
      </c>
      <c r="Z13" s="4">
        <f t="shared" si="5"/>
        <v>1.3333333333333333</v>
      </c>
      <c r="AA13" s="4" t="str">
        <f t="shared" si="6"/>
        <v/>
      </c>
    </row>
    <row r="14" spans="1:27" x14ac:dyDescent="0.2">
      <c r="N14" s="4" t="s">
        <v>86</v>
      </c>
      <c r="Q14" s="4">
        <v>5</v>
      </c>
      <c r="R14" s="4">
        <v>1</v>
      </c>
      <c r="S14" s="4">
        <f t="shared" si="0"/>
        <v>720</v>
      </c>
      <c r="T14" s="4">
        <f t="shared" si="2"/>
        <v>3</v>
      </c>
      <c r="U14" s="4">
        <v>5</v>
      </c>
      <c r="V14" s="4">
        <v>10</v>
      </c>
      <c r="X14" s="4" t="str">
        <f t="shared" si="3"/>
        <v/>
      </c>
      <c r="Y14" s="4" t="str">
        <f t="shared" si="4"/>
        <v/>
      </c>
      <c r="Z14" s="4">
        <f t="shared" si="5"/>
        <v>2</v>
      </c>
      <c r="AA14" s="4">
        <f t="shared" si="6"/>
        <v>0</v>
      </c>
    </row>
    <row r="15" spans="1:27" x14ac:dyDescent="0.2">
      <c r="N15" s="4" t="s">
        <v>87</v>
      </c>
      <c r="Q15" s="4">
        <v>4</v>
      </c>
      <c r="R15" s="4">
        <v>2</v>
      </c>
      <c r="S15" s="4">
        <f t="shared" si="0"/>
        <v>900</v>
      </c>
      <c r="T15" s="4">
        <f t="shared" si="2"/>
        <v>0</v>
      </c>
      <c r="U15" s="4">
        <v>6</v>
      </c>
      <c r="V15" s="4">
        <v>10</v>
      </c>
      <c r="W15" s="4">
        <v>2</v>
      </c>
      <c r="X15" s="4" t="str">
        <f t="shared" si="3"/>
        <v/>
      </c>
      <c r="Y15" s="4" t="str">
        <f t="shared" si="4"/>
        <v/>
      </c>
      <c r="Z15" s="4">
        <f t="shared" si="5"/>
        <v>2.5</v>
      </c>
      <c r="AA15" s="4">
        <f t="shared" si="6"/>
        <v>1</v>
      </c>
    </row>
    <row r="16" spans="1:27" x14ac:dyDescent="0.2">
      <c r="N16" s="4" t="s">
        <v>88</v>
      </c>
      <c r="Q16" s="4">
        <v>3</v>
      </c>
      <c r="R16" s="4">
        <v>3</v>
      </c>
      <c r="S16" s="4">
        <f t="shared" si="0"/>
        <v>1080</v>
      </c>
      <c r="T16" s="4">
        <f t="shared" si="2"/>
        <v>0</v>
      </c>
      <c r="U16" s="4">
        <v>4</v>
      </c>
      <c r="V16" s="4">
        <v>10</v>
      </c>
      <c r="W16" s="4">
        <v>4</v>
      </c>
      <c r="X16" s="4" t="str">
        <f t="shared" si="3"/>
        <v/>
      </c>
      <c r="Y16" s="4" t="str">
        <f t="shared" si="4"/>
        <v/>
      </c>
      <c r="Z16" s="4">
        <f t="shared" si="5"/>
        <v>3.3333333333333335</v>
      </c>
      <c r="AA16" s="4">
        <f t="shared" si="6"/>
        <v>1.3333333333333333</v>
      </c>
    </row>
  </sheetData>
  <mergeCells count="2">
    <mergeCell ref="T5:W5"/>
    <mergeCell ref="O5:S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CE0FA-A36B-4FB8-9F59-38F0CA3B3666}">
  <dimension ref="A1:AY45"/>
  <sheetViews>
    <sheetView tabSelected="1" topLeftCell="R1" workbookViewId="0">
      <selection activeCell="AM33" sqref="AM33"/>
    </sheetView>
  </sheetViews>
  <sheetFormatPr defaultColWidth="6.625" defaultRowHeight="11.25" x14ac:dyDescent="0.2"/>
  <cols>
    <col min="1" max="8" width="6.625" style="4"/>
    <col min="9" max="9" width="6.625" style="5"/>
    <col min="10" max="12" width="6.625" style="4"/>
    <col min="13" max="13" width="10.5" style="4" bestFit="1" customWidth="1"/>
    <col min="14" max="15" width="6.625" style="4"/>
    <col min="16" max="16" width="9" style="4" bestFit="1" customWidth="1"/>
    <col min="17" max="17" width="12.25" style="4" bestFit="1" customWidth="1"/>
    <col min="18" max="20" width="6.625" style="4"/>
    <col min="21" max="21" width="9" style="4" bestFit="1" customWidth="1"/>
    <col min="22" max="22" width="6.625" style="4"/>
    <col min="23" max="23" width="9" style="4" bestFit="1" customWidth="1"/>
    <col min="24" max="30" width="6.625" style="4"/>
    <col min="31" max="31" width="6.625" style="5"/>
    <col min="32" max="35" width="6.625" style="4"/>
    <col min="36" max="36" width="13.875" style="16" bestFit="1" customWidth="1"/>
    <col min="37" max="37" width="6.625" style="4" customWidth="1"/>
    <col min="38" max="39" width="6.625" style="4"/>
    <col min="40" max="40" width="6.625" style="5"/>
    <col min="41" max="42" width="6.625" style="4"/>
    <col min="43" max="43" width="10.5" style="4" bestFit="1" customWidth="1"/>
    <col min="44" max="45" width="6.625" style="4"/>
    <col min="46" max="46" width="13.875" style="4" bestFit="1" customWidth="1"/>
    <col min="47" max="50" width="6.625" style="4"/>
    <col min="51" max="51" width="8.25" style="4" bestFit="1" customWidth="1"/>
    <col min="52" max="52" width="6.625" style="4" customWidth="1"/>
    <col min="53" max="16384" width="6.625" style="4"/>
  </cols>
  <sheetData>
    <row r="1" spans="1:51" x14ac:dyDescent="0.2">
      <c r="A1" s="6" t="s">
        <v>29</v>
      </c>
      <c r="J1" s="4" t="s">
        <v>32</v>
      </c>
      <c r="AF1" s="4" t="s">
        <v>48</v>
      </c>
      <c r="AO1" s="4" t="s">
        <v>68</v>
      </c>
    </row>
    <row r="2" spans="1:51" x14ac:dyDescent="0.2">
      <c r="A2" s="6" t="s">
        <v>30</v>
      </c>
      <c r="J2" s="9" t="s">
        <v>72</v>
      </c>
      <c r="AO2" s="9" t="s">
        <v>69</v>
      </c>
    </row>
    <row r="3" spans="1:51" x14ac:dyDescent="0.2">
      <c r="A3" s="6" t="s">
        <v>44</v>
      </c>
      <c r="AI3" s="22" t="s">
        <v>98</v>
      </c>
      <c r="AJ3" s="22"/>
    </row>
    <row r="4" spans="1:51" x14ac:dyDescent="0.2">
      <c r="A4" s="6" t="s">
        <v>96</v>
      </c>
      <c r="K4" s="4" t="s">
        <v>32</v>
      </c>
      <c r="L4" s="4" t="s">
        <v>33</v>
      </c>
      <c r="M4" s="4" t="s">
        <v>55</v>
      </c>
      <c r="N4" s="4" t="s">
        <v>52</v>
      </c>
      <c r="O4" s="4" t="s">
        <v>53</v>
      </c>
      <c r="P4" s="4" t="s">
        <v>54</v>
      </c>
      <c r="Q4" s="4" t="s">
        <v>56</v>
      </c>
      <c r="T4" s="4" t="s">
        <v>32</v>
      </c>
      <c r="U4" s="4" t="s">
        <v>57</v>
      </c>
      <c r="V4" s="4" t="s">
        <v>58</v>
      </c>
      <c r="W4" s="4" t="s">
        <v>59</v>
      </c>
      <c r="X4" s="4" t="s">
        <v>58</v>
      </c>
      <c r="Y4" s="4" t="s">
        <v>60</v>
      </c>
      <c r="Z4" s="4" t="s">
        <v>58</v>
      </c>
      <c r="AA4" s="4" t="s">
        <v>27</v>
      </c>
      <c r="AB4" s="4" t="s">
        <v>73</v>
      </c>
      <c r="AG4" s="4" t="s">
        <v>50</v>
      </c>
      <c r="AH4" s="4" t="s">
        <v>49</v>
      </c>
      <c r="AI4" s="4" t="s">
        <v>51</v>
      </c>
      <c r="AJ4" s="16" t="s">
        <v>97</v>
      </c>
      <c r="AQ4" s="4" t="s">
        <v>71</v>
      </c>
      <c r="AR4" s="4" t="s">
        <v>57</v>
      </c>
      <c r="AS4" s="4" t="s">
        <v>58</v>
      </c>
      <c r="AT4" s="4" t="s">
        <v>59</v>
      </c>
      <c r="AU4" s="4" t="s">
        <v>58</v>
      </c>
      <c r="AV4" s="4" t="s">
        <v>60</v>
      </c>
      <c r="AW4" s="4" t="s">
        <v>58</v>
      </c>
      <c r="AX4" s="4" t="s">
        <v>27</v>
      </c>
      <c r="AY4" s="4" t="s">
        <v>76</v>
      </c>
    </row>
    <row r="5" spans="1:51" x14ac:dyDescent="0.2">
      <c r="B5" s="6" t="s">
        <v>46</v>
      </c>
      <c r="D5" s="7">
        <f>2*60/10</f>
        <v>12</v>
      </c>
      <c r="E5" s="4" t="s">
        <v>47</v>
      </c>
      <c r="K5" s="4">
        <v>1</v>
      </c>
      <c r="L5" s="4" t="s">
        <v>34</v>
      </c>
      <c r="M5" s="4">
        <v>0</v>
      </c>
      <c r="N5" s="4">
        <v>10</v>
      </c>
      <c r="O5" s="4">
        <v>0</v>
      </c>
      <c r="P5" s="4">
        <f>IF($K5=1,0,(M5-M4)*$D$5*N5+P4)</f>
        <v>0</v>
      </c>
      <c r="Q5" s="4">
        <v>0</v>
      </c>
      <c r="R5" s="4">
        <f>N5+O5</f>
        <v>10</v>
      </c>
      <c r="T5" s="4">
        <v>1</v>
      </c>
      <c r="U5" s="4" t="s">
        <v>26</v>
      </c>
      <c r="V5" s="4">
        <v>50</v>
      </c>
      <c r="W5" s="4" t="s">
        <v>65</v>
      </c>
      <c r="X5" s="4">
        <v>5</v>
      </c>
      <c r="Y5" s="4" t="s">
        <v>64</v>
      </c>
      <c r="Z5" s="4">
        <v>1</v>
      </c>
      <c r="AA5" s="4">
        <f>IF(U5="",0,INDEX(道具信息!$I:$I,MATCH(U5,道具信息!$D:$D,0))*V5)+
IF(W5="",0,INDEX(道具信息!$I:$I,MATCH(W5,道具信息!$D:$D,0))*X5)+
IF(Y5="",0,INDEX(道具信息!$I:$I,MATCH(Y5,道具信息!$D:$D,0))*Z5)</f>
        <v>110</v>
      </c>
      <c r="AB5" s="4">
        <f>SUM($AA$5:AA5)</f>
        <v>110</v>
      </c>
      <c r="AF5" s="4">
        <f>AH5-AG5+1</f>
        <v>1</v>
      </c>
      <c r="AG5" s="4">
        <v>1</v>
      </c>
      <c r="AH5" s="4">
        <v>1</v>
      </c>
      <c r="AI5" s="4">
        <v>400000</v>
      </c>
      <c r="AJ5" s="16">
        <v>20000</v>
      </c>
      <c r="AP5" s="10" t="s">
        <v>70</v>
      </c>
      <c r="AQ5" s="4">
        <v>2</v>
      </c>
      <c r="AR5" s="4" t="s">
        <v>26</v>
      </c>
      <c r="AS5" s="4">
        <v>100</v>
      </c>
      <c r="AX5" s="4">
        <f>IF(AR5="",0,INDEX(道具信息!$I:$I,MATCH(AR5,道具信息!$D:$D,0))*AS5)+
IF(AT5="",0,INDEX(道具信息!$I:$I,MATCH(AT5,道具信息!$D:$D,0))*AU5)+
IF(AV5="",0,INDEX(道具信息!$I:$I,MATCH(AV5,道具信息!$D:$D,0))*AW5)</f>
        <v>100</v>
      </c>
      <c r="AY5" s="4">
        <f>AX5*AQ5*30</f>
        <v>6000</v>
      </c>
    </row>
    <row r="6" spans="1:51" x14ac:dyDescent="0.2">
      <c r="A6" s="6" t="s">
        <v>31</v>
      </c>
      <c r="J6" s="4">
        <v>0.1</v>
      </c>
      <c r="K6" s="4">
        <v>2</v>
      </c>
      <c r="L6" s="4" t="s">
        <v>35</v>
      </c>
      <c r="M6" s="4">
        <v>0.1</v>
      </c>
      <c r="N6" s="19">
        <v>10</v>
      </c>
      <c r="O6" s="4">
        <v>0</v>
      </c>
      <c r="P6" s="4">
        <f t="shared" ref="P6:P14" si="0">IF($K6=1,0,(M6-M5)*$D$5*N6+P5)</f>
        <v>12.000000000000002</v>
      </c>
      <c r="Q6" s="4">
        <v>10</v>
      </c>
      <c r="R6" s="4">
        <f t="shared" ref="R6:R14" si="1">N6+O6</f>
        <v>10</v>
      </c>
      <c r="S6" s="4">
        <f>Q6/N5</f>
        <v>1</v>
      </c>
      <c r="T6" s="4">
        <v>2</v>
      </c>
      <c r="U6" s="4" t="s">
        <v>26</v>
      </c>
      <c r="V6" s="4">
        <v>100</v>
      </c>
      <c r="W6" s="4" t="s">
        <v>65</v>
      </c>
      <c r="X6" s="4">
        <v>10</v>
      </c>
      <c r="Y6" s="4" t="s">
        <v>64</v>
      </c>
      <c r="Z6" s="4">
        <v>2</v>
      </c>
      <c r="AA6" s="4">
        <f>IF(U6="",0,INDEX(道具信息!$I:$I,MATCH(U6,道具信息!$D:$D,0))*V6)+
IF(W6="",0,INDEX(道具信息!$I:$I,MATCH(W6,道具信息!$D:$D,0))*X6)+
IF(Y6="",0,INDEX(道具信息!$I:$I,MATCH(Y6,道具信息!$D:$D,0))*Z6)</f>
        <v>220</v>
      </c>
      <c r="AB6" s="4">
        <f>SUM($AA$5:AA6)</f>
        <v>330</v>
      </c>
      <c r="AF6" s="4">
        <f t="shared" ref="AF6:AF15" si="2">AH6-AG6+1</f>
        <v>1</v>
      </c>
      <c r="AG6" s="4">
        <f>AH5+1</f>
        <v>2</v>
      </c>
      <c r="AH6" s="4">
        <v>2</v>
      </c>
      <c r="AI6" s="4">
        <v>100000</v>
      </c>
      <c r="AJ6" s="16">
        <v>5000</v>
      </c>
      <c r="AK6" s="4">
        <f>AI5-AI6</f>
        <v>300000</v>
      </c>
    </row>
    <row r="7" spans="1:51" x14ac:dyDescent="0.2">
      <c r="A7" s="6" t="s">
        <v>45</v>
      </c>
      <c r="J7" s="4">
        <v>0.12</v>
      </c>
      <c r="K7" s="4">
        <v>3</v>
      </c>
      <c r="L7" s="4" t="s">
        <v>36</v>
      </c>
      <c r="M7" s="4">
        <f t="shared" ref="M7:M14" si="3">M6+J7</f>
        <v>0.22</v>
      </c>
      <c r="N7" s="19">
        <v>10</v>
      </c>
      <c r="O7" s="4">
        <v>-1</v>
      </c>
      <c r="P7" s="4">
        <f t="shared" si="0"/>
        <v>26.4</v>
      </c>
      <c r="Q7" s="4">
        <v>20</v>
      </c>
      <c r="R7" s="4">
        <f t="shared" si="1"/>
        <v>9</v>
      </c>
      <c r="S7" s="19">
        <f>(Q7-Q6)/N6+S6</f>
        <v>2</v>
      </c>
      <c r="T7" s="4">
        <v>3</v>
      </c>
      <c r="U7" s="4" t="s">
        <v>26</v>
      </c>
      <c r="V7" s="4">
        <v>150</v>
      </c>
      <c r="W7" s="4" t="s">
        <v>65</v>
      </c>
      <c r="X7" s="4">
        <v>20</v>
      </c>
      <c r="Y7" s="12" t="s">
        <v>64</v>
      </c>
      <c r="Z7" s="4">
        <v>3</v>
      </c>
      <c r="AA7" s="4">
        <f>IF(U7="",0,INDEX(道具信息!$I:$I,MATCH(U7,道具信息!$D:$D,0))*V7)+
IF(W7="",0,INDEX(道具信息!$I:$I,MATCH(W7,道具信息!$D:$D,0))*X7)+
IF(Y7="",0,INDEX(道具信息!$I:$I,MATCH(Y7,道具信息!$D:$D,0))*Z7)</f>
        <v>340</v>
      </c>
      <c r="AB7" s="4">
        <f>SUM($AA$5:AA7)</f>
        <v>670</v>
      </c>
      <c r="AF7" s="4">
        <f t="shared" si="2"/>
        <v>1</v>
      </c>
      <c r="AG7" s="4">
        <f t="shared" ref="AG7:AG15" si="4">AH6+1</f>
        <v>3</v>
      </c>
      <c r="AH7" s="4">
        <v>3</v>
      </c>
      <c r="AI7" s="13">
        <v>40000</v>
      </c>
      <c r="AJ7" s="16">
        <v>2000</v>
      </c>
      <c r="AK7" s="4">
        <f t="shared" ref="AK7:AK15" si="5">AI6-AI7</f>
        <v>60000</v>
      </c>
      <c r="AL7" s="12"/>
    </row>
    <row r="8" spans="1:51" x14ac:dyDescent="0.2">
      <c r="A8" s="6" t="s">
        <v>74</v>
      </c>
      <c r="D8" s="11">
        <f>(2500-1500)*0.4*30</f>
        <v>12000</v>
      </c>
      <c r="E8" s="6" t="s">
        <v>75</v>
      </c>
      <c r="J8" s="4">
        <v>0.2</v>
      </c>
      <c r="K8" s="4">
        <v>4</v>
      </c>
      <c r="L8" s="4" t="s">
        <v>37</v>
      </c>
      <c r="M8" s="4">
        <f t="shared" si="3"/>
        <v>0.42000000000000004</v>
      </c>
      <c r="N8" s="19">
        <v>10</v>
      </c>
      <c r="O8" s="4">
        <v>-2</v>
      </c>
      <c r="P8" s="4">
        <f t="shared" si="0"/>
        <v>50.400000000000006</v>
      </c>
      <c r="Q8" s="4">
        <v>50</v>
      </c>
      <c r="R8" s="4">
        <f t="shared" si="1"/>
        <v>8</v>
      </c>
      <c r="S8" s="19">
        <f t="shared" ref="S8:S14" si="6">(Q8-Q7)/N7+S7</f>
        <v>5</v>
      </c>
      <c r="T8" s="4">
        <v>4</v>
      </c>
      <c r="U8" s="4" t="s">
        <v>26</v>
      </c>
      <c r="V8" s="4">
        <v>200</v>
      </c>
      <c r="W8" s="4" t="s">
        <v>62</v>
      </c>
      <c r="X8" s="4">
        <v>10</v>
      </c>
      <c r="Y8" s="12" t="s">
        <v>64</v>
      </c>
      <c r="Z8" s="4">
        <v>5</v>
      </c>
      <c r="AA8" s="4">
        <f>IF(U8="",0,INDEX(道具信息!$I:$I,MATCH(U8,道具信息!$D:$D,0))*V8)+
IF(W8="",0,INDEX(道具信息!$I:$I,MATCH(W8,道具信息!$D:$D,0))*X8)+
IF(Y8="",0,INDEX(道具信息!$I:$I,MATCH(Y8,道具信息!$D:$D,0))*Z8)</f>
        <v>500</v>
      </c>
      <c r="AB8" s="4">
        <f>SUM($AA$5:AA8)</f>
        <v>1170</v>
      </c>
      <c r="AF8" s="4">
        <f t="shared" si="2"/>
        <v>1</v>
      </c>
      <c r="AG8" s="4">
        <f t="shared" si="4"/>
        <v>4</v>
      </c>
      <c r="AH8" s="4">
        <v>4</v>
      </c>
      <c r="AI8" s="13">
        <v>40000</v>
      </c>
      <c r="AJ8" s="16">
        <v>2000</v>
      </c>
      <c r="AK8" s="4">
        <f t="shared" si="5"/>
        <v>0</v>
      </c>
      <c r="AL8" s="12"/>
    </row>
    <row r="9" spans="1:51" x14ac:dyDescent="0.2">
      <c r="J9" s="4">
        <v>0.4</v>
      </c>
      <c r="K9" s="4">
        <v>5</v>
      </c>
      <c r="L9" s="4" t="s">
        <v>38</v>
      </c>
      <c r="M9" s="4">
        <f t="shared" si="3"/>
        <v>0.82000000000000006</v>
      </c>
      <c r="N9" s="19">
        <v>10</v>
      </c>
      <c r="O9" s="4">
        <v>-3</v>
      </c>
      <c r="P9" s="4">
        <f t="shared" si="0"/>
        <v>98.4</v>
      </c>
      <c r="Q9" s="4">
        <v>100</v>
      </c>
      <c r="R9" s="4">
        <f t="shared" si="1"/>
        <v>7</v>
      </c>
      <c r="S9" s="19">
        <f t="shared" si="6"/>
        <v>10</v>
      </c>
      <c r="T9" s="4">
        <v>5</v>
      </c>
      <c r="U9" s="4" t="s">
        <v>26</v>
      </c>
      <c r="V9" s="12">
        <v>250</v>
      </c>
      <c r="W9" s="4" t="s">
        <v>62</v>
      </c>
      <c r="X9" s="4">
        <v>15</v>
      </c>
      <c r="Y9" s="4" t="s">
        <v>28</v>
      </c>
      <c r="Z9" s="4">
        <v>2</v>
      </c>
      <c r="AA9" s="4">
        <f>IF(U9="",0,INDEX(道具信息!$I:$I,MATCH(U9,道具信息!$D:$D,0))*V9)+
IF(W9="",0,INDEX(道具信息!$I:$I,MATCH(W9,道具信息!$D:$D,0))*X9)+
IF(Y9="",0,INDEX(道具信息!$I:$I,MATCH(Y9,道具信息!$D:$D,0))*Z9)</f>
        <v>625</v>
      </c>
      <c r="AB9" s="4">
        <f>SUM($AA$5:AA9)</f>
        <v>1795</v>
      </c>
      <c r="AF9" s="4">
        <f t="shared" si="2"/>
        <v>6</v>
      </c>
      <c r="AG9" s="4">
        <f t="shared" si="4"/>
        <v>5</v>
      </c>
      <c r="AH9" s="4">
        <v>10</v>
      </c>
      <c r="AI9" s="13">
        <v>20000</v>
      </c>
      <c r="AK9" s="4">
        <f t="shared" si="5"/>
        <v>20000</v>
      </c>
      <c r="AL9" s="12"/>
    </row>
    <row r="10" spans="1:51" x14ac:dyDescent="0.2">
      <c r="J10" s="4">
        <v>0.7</v>
      </c>
      <c r="K10" s="4">
        <v>6</v>
      </c>
      <c r="L10" s="4" t="s">
        <v>39</v>
      </c>
      <c r="M10" s="4">
        <f t="shared" si="3"/>
        <v>1.52</v>
      </c>
      <c r="N10" s="19">
        <v>10</v>
      </c>
      <c r="O10" s="4">
        <v>-5</v>
      </c>
      <c r="P10" s="4">
        <f t="shared" si="0"/>
        <v>182.39999999999998</v>
      </c>
      <c r="Q10" s="4">
        <v>200</v>
      </c>
      <c r="R10" s="4">
        <f t="shared" si="1"/>
        <v>5</v>
      </c>
      <c r="S10" s="19">
        <f t="shared" si="6"/>
        <v>20</v>
      </c>
      <c r="T10" s="4">
        <v>6</v>
      </c>
      <c r="U10" s="4" t="s">
        <v>26</v>
      </c>
      <c r="V10" s="12">
        <v>300</v>
      </c>
      <c r="W10" s="4" t="s">
        <v>61</v>
      </c>
      <c r="X10" s="4">
        <v>4</v>
      </c>
      <c r="Y10" s="4" t="s">
        <v>28</v>
      </c>
      <c r="Z10" s="4">
        <v>3</v>
      </c>
      <c r="AA10" s="4">
        <f>IF(U10="",0,INDEX(道具信息!$I:$I,MATCH(U10,道具信息!$D:$D,0))*V10)+
IF(W10="",0,INDEX(道具信息!$I:$I,MATCH(W10,道具信息!$D:$D,0))*X10)+
IF(Y10="",0,INDEX(道具信息!$I:$I,MATCH(Y10,道具信息!$D:$D,0))*Z10)</f>
        <v>790</v>
      </c>
      <c r="AB10" s="4">
        <f>SUM($AA$5:AA10)</f>
        <v>2585</v>
      </c>
      <c r="AF10" s="4">
        <f t="shared" si="2"/>
        <v>5</v>
      </c>
      <c r="AG10" s="4">
        <f t="shared" si="4"/>
        <v>11</v>
      </c>
      <c r="AH10" s="4">
        <v>15</v>
      </c>
      <c r="AI10" s="13">
        <v>10000</v>
      </c>
      <c r="AK10" s="4">
        <f t="shared" si="5"/>
        <v>10000</v>
      </c>
      <c r="AL10" s="12"/>
    </row>
    <row r="11" spans="1:51" x14ac:dyDescent="0.2">
      <c r="J11" s="4">
        <v>1</v>
      </c>
      <c r="K11" s="4">
        <v>7</v>
      </c>
      <c r="L11" s="4" t="s">
        <v>40</v>
      </c>
      <c r="M11" s="4">
        <f t="shared" si="3"/>
        <v>2.52</v>
      </c>
      <c r="N11" s="19">
        <v>10</v>
      </c>
      <c r="O11" s="4">
        <v>-8</v>
      </c>
      <c r="P11" s="4">
        <f t="shared" si="0"/>
        <v>302.39999999999998</v>
      </c>
      <c r="Q11" s="4">
        <v>300</v>
      </c>
      <c r="R11" s="4">
        <f t="shared" si="1"/>
        <v>2</v>
      </c>
      <c r="S11" s="19">
        <f t="shared" si="6"/>
        <v>30</v>
      </c>
      <c r="T11" s="4">
        <v>7</v>
      </c>
      <c r="U11" s="4" t="s">
        <v>26</v>
      </c>
      <c r="V11" s="12">
        <v>400</v>
      </c>
      <c r="W11" s="4" t="s">
        <v>61</v>
      </c>
      <c r="X11" s="4">
        <v>5</v>
      </c>
      <c r="Y11" s="4" t="s">
        <v>28</v>
      </c>
      <c r="Z11" s="4">
        <v>5</v>
      </c>
      <c r="AA11" s="4">
        <f>IF(U11="",0,INDEX(道具信息!$I:$I,MATCH(U11,道具信息!$D:$D,0))*V11)+
IF(W11="",0,INDEX(道具信息!$I:$I,MATCH(W11,道具信息!$D:$D,0))*X11)+
IF(Y11="",0,INDEX(道具信息!$I:$I,MATCH(Y11,道具信息!$D:$D,0))*Z11)</f>
        <v>1200</v>
      </c>
      <c r="AB11" s="4">
        <f>SUM($AA$5:AA11)</f>
        <v>3785</v>
      </c>
      <c r="AF11" s="4">
        <f t="shared" si="2"/>
        <v>10</v>
      </c>
      <c r="AG11" s="4">
        <f t="shared" si="4"/>
        <v>16</v>
      </c>
      <c r="AH11" s="4">
        <v>25</v>
      </c>
      <c r="AI11" s="13">
        <v>5000</v>
      </c>
      <c r="AK11" s="4">
        <f t="shared" si="5"/>
        <v>5000</v>
      </c>
      <c r="AL11" s="12"/>
    </row>
    <row r="12" spans="1:51" x14ac:dyDescent="0.2">
      <c r="J12" s="4">
        <v>1.3</v>
      </c>
      <c r="K12" s="4">
        <v>8</v>
      </c>
      <c r="L12" s="4" t="s">
        <v>41</v>
      </c>
      <c r="M12" s="4">
        <f t="shared" si="3"/>
        <v>3.8200000000000003</v>
      </c>
      <c r="N12" s="19">
        <v>10</v>
      </c>
      <c r="O12" s="4">
        <v>-10</v>
      </c>
      <c r="P12" s="4">
        <f t="shared" si="0"/>
        <v>458.4</v>
      </c>
      <c r="Q12" s="4">
        <v>450</v>
      </c>
      <c r="R12" s="4">
        <f t="shared" si="1"/>
        <v>0</v>
      </c>
      <c r="S12" s="19">
        <f t="shared" si="6"/>
        <v>45</v>
      </c>
      <c r="T12" s="4">
        <v>8</v>
      </c>
      <c r="U12" s="4" t="s">
        <v>26</v>
      </c>
      <c r="V12" s="12">
        <v>500</v>
      </c>
      <c r="W12" s="12" t="s">
        <v>61</v>
      </c>
      <c r="X12" s="4">
        <v>8</v>
      </c>
      <c r="Y12" s="4" t="s">
        <v>66</v>
      </c>
      <c r="Z12" s="4">
        <v>2</v>
      </c>
      <c r="AA12" s="4">
        <f>IF(U12="",0,INDEX(道具信息!$I:$I,MATCH(U12,道具信息!$D:$D,0))*V12)+
IF(W12="",0,INDEX(道具信息!$I:$I,MATCH(W12,道具信息!$D:$D,0))*X12)+
IF(Y12="",0,INDEX(道具信息!$I:$I,MATCH(Y12,道具信息!$D:$D,0))*Z12)</f>
        <v>1480</v>
      </c>
      <c r="AB12" s="4">
        <f>SUM($AA$5:AA12)</f>
        <v>5265</v>
      </c>
      <c r="AF12" s="4">
        <f t="shared" si="2"/>
        <v>15</v>
      </c>
      <c r="AG12" s="4">
        <f t="shared" si="4"/>
        <v>26</v>
      </c>
      <c r="AH12" s="4">
        <v>40</v>
      </c>
      <c r="AI12" s="13">
        <v>3000</v>
      </c>
      <c r="AK12" s="4">
        <f t="shared" si="5"/>
        <v>2000</v>
      </c>
      <c r="AL12" s="12"/>
    </row>
    <row r="13" spans="1:51" x14ac:dyDescent="0.2">
      <c r="J13" s="4">
        <v>1.6</v>
      </c>
      <c r="K13" s="4">
        <v>9</v>
      </c>
      <c r="L13" s="4" t="s">
        <v>42</v>
      </c>
      <c r="M13" s="4">
        <f t="shared" si="3"/>
        <v>5.42</v>
      </c>
      <c r="N13" s="19">
        <v>10</v>
      </c>
      <c r="O13" s="19">
        <v>-10</v>
      </c>
      <c r="P13" s="4">
        <f t="shared" si="0"/>
        <v>650.39999999999986</v>
      </c>
      <c r="Q13" s="4">
        <v>650</v>
      </c>
      <c r="R13" s="4">
        <f t="shared" si="1"/>
        <v>0</v>
      </c>
      <c r="S13" s="19">
        <f t="shared" si="6"/>
        <v>65</v>
      </c>
      <c r="T13" s="4">
        <v>9</v>
      </c>
      <c r="U13" s="4" t="s">
        <v>26</v>
      </c>
      <c r="V13" s="12">
        <v>800</v>
      </c>
      <c r="W13" s="4" t="s">
        <v>63</v>
      </c>
      <c r="X13" s="4">
        <v>3</v>
      </c>
      <c r="Y13" s="4" t="s">
        <v>66</v>
      </c>
      <c r="Z13" s="4">
        <v>3</v>
      </c>
      <c r="AA13" s="4">
        <f>IF(U13="",0,INDEX(道具信息!$I:$I,MATCH(U13,道具信息!$D:$D,0))*V13)+
IF(W13="",0,INDEX(道具信息!$I:$I,MATCH(W13,道具信息!$D:$D,0))*X13)+
IF(Y13="",0,INDEX(道具信息!$I:$I,MATCH(Y13,道具信息!$D:$D,0))*Z13)</f>
        <v>2270</v>
      </c>
      <c r="AB13" s="4">
        <f>SUM($AA$5:AA13)</f>
        <v>7535</v>
      </c>
      <c r="AF13" s="4">
        <f t="shared" si="2"/>
        <v>20</v>
      </c>
      <c r="AG13" s="4">
        <f t="shared" si="4"/>
        <v>41</v>
      </c>
      <c r="AH13" s="4">
        <v>60</v>
      </c>
      <c r="AI13" s="13">
        <v>2000</v>
      </c>
      <c r="AK13" s="4">
        <f t="shared" si="5"/>
        <v>1000</v>
      </c>
      <c r="AL13" s="12"/>
    </row>
    <row r="14" spans="1:51" x14ac:dyDescent="0.2">
      <c r="J14" s="4">
        <v>2</v>
      </c>
      <c r="K14" s="4">
        <v>10</v>
      </c>
      <c r="L14" s="4" t="s">
        <v>43</v>
      </c>
      <c r="M14" s="4">
        <f t="shared" si="3"/>
        <v>7.42</v>
      </c>
      <c r="N14" s="19">
        <v>10</v>
      </c>
      <c r="O14" s="19">
        <v>-10</v>
      </c>
      <c r="P14" s="4">
        <f t="shared" si="0"/>
        <v>890.39999999999986</v>
      </c>
      <c r="Q14" s="4">
        <v>800</v>
      </c>
      <c r="R14" s="4">
        <f t="shared" si="1"/>
        <v>0</v>
      </c>
      <c r="S14" s="19">
        <f t="shared" si="6"/>
        <v>80</v>
      </c>
      <c r="T14" s="4">
        <v>10</v>
      </c>
      <c r="U14" s="4" t="s">
        <v>26</v>
      </c>
      <c r="V14" s="12">
        <v>1000</v>
      </c>
      <c r="W14" s="12" t="s">
        <v>63</v>
      </c>
      <c r="X14" s="4">
        <v>5</v>
      </c>
      <c r="Y14" s="4" t="s">
        <v>66</v>
      </c>
      <c r="Z14" s="4">
        <v>5</v>
      </c>
      <c r="AA14" s="4">
        <f>IF(U14="",0,INDEX(道具信息!$I:$I,MATCH(U14,道具信息!$D:$D,0))*V14)+
IF(W14="",0,INDEX(道具信息!$I:$I,MATCH(W14,道具信息!$D:$D,0))*X14)+
IF(Y14="",0,INDEX(道具信息!$I:$I,MATCH(Y14,道具信息!$D:$D,0))*Z14)</f>
        <v>3450</v>
      </c>
      <c r="AB14" s="4">
        <f>SUM($AA$5:AA14)</f>
        <v>10985</v>
      </c>
      <c r="AF14" s="4">
        <f t="shared" si="2"/>
        <v>40</v>
      </c>
      <c r="AG14" s="4">
        <f t="shared" si="4"/>
        <v>61</v>
      </c>
      <c r="AH14" s="4">
        <v>100</v>
      </c>
      <c r="AI14" s="13">
        <v>1000</v>
      </c>
      <c r="AK14" s="4">
        <f t="shared" si="5"/>
        <v>1000</v>
      </c>
      <c r="AL14" s="12"/>
    </row>
    <row r="15" spans="1:51" x14ac:dyDescent="0.2">
      <c r="AF15" s="4">
        <f t="shared" si="2"/>
        <v>100</v>
      </c>
      <c r="AG15" s="4">
        <f t="shared" si="4"/>
        <v>101</v>
      </c>
      <c r="AH15" s="4">
        <v>200</v>
      </c>
      <c r="AI15" s="13">
        <v>500</v>
      </c>
      <c r="AK15" s="4">
        <f t="shared" si="5"/>
        <v>500</v>
      </c>
      <c r="AL15" s="12"/>
    </row>
    <row r="17" spans="15:38" x14ac:dyDescent="0.2">
      <c r="O17" s="4">
        <v>80</v>
      </c>
    </row>
    <row r="18" spans="15:38" x14ac:dyDescent="0.2">
      <c r="Z18" s="12"/>
      <c r="AG18" s="15" t="s">
        <v>102</v>
      </c>
      <c r="AJ18" s="16">
        <v>24224</v>
      </c>
    </row>
    <row r="19" spans="15:38" x14ac:dyDescent="0.2">
      <c r="U19" s="19"/>
      <c r="X19" s="12"/>
      <c r="Z19" s="12"/>
      <c r="AG19" s="4" t="s">
        <v>93</v>
      </c>
      <c r="AH19" s="4" t="s">
        <v>94</v>
      </c>
      <c r="AI19" s="4" t="s">
        <v>95</v>
      </c>
      <c r="AJ19" s="16" t="s">
        <v>104</v>
      </c>
      <c r="AL19" s="4" t="s">
        <v>103</v>
      </c>
    </row>
    <row r="20" spans="15:38" x14ac:dyDescent="0.2">
      <c r="X20" s="12"/>
      <c r="Z20" s="12"/>
      <c r="AG20" s="4">
        <v>1</v>
      </c>
      <c r="AH20" s="4">
        <v>1</v>
      </c>
      <c r="AI20" s="4">
        <v>5000</v>
      </c>
      <c r="AJ20" s="16">
        <v>90</v>
      </c>
      <c r="AK20" s="16"/>
      <c r="AL20" s="4">
        <f>AI20+AJ20*9165/30</f>
        <v>32495</v>
      </c>
    </row>
    <row r="21" spans="15:38" x14ac:dyDescent="0.2">
      <c r="Q21" s="19"/>
      <c r="R21" s="19"/>
      <c r="X21" s="12"/>
      <c r="Z21" s="12"/>
      <c r="AG21" s="4">
        <v>2</v>
      </c>
      <c r="AH21" s="4">
        <v>2</v>
      </c>
      <c r="AI21" s="4">
        <v>3500</v>
      </c>
      <c r="AJ21" s="20">
        <v>75</v>
      </c>
      <c r="AL21" s="20">
        <f t="shared" ref="AL21:AL30" si="7">AI21+AJ21*9165/30</f>
        <v>26412.5</v>
      </c>
    </row>
    <row r="22" spans="15:38" x14ac:dyDescent="0.2">
      <c r="Q22" s="19"/>
      <c r="R22" s="19"/>
      <c r="X22" s="12"/>
      <c r="Z22" s="12"/>
      <c r="AG22" s="4">
        <v>3</v>
      </c>
      <c r="AH22" s="4">
        <v>3</v>
      </c>
      <c r="AI22" s="4">
        <v>2500</v>
      </c>
      <c r="AJ22" s="20">
        <v>60</v>
      </c>
      <c r="AK22" s="14"/>
      <c r="AL22" s="20">
        <f t="shared" si="7"/>
        <v>20830</v>
      </c>
    </row>
    <row r="23" spans="15:38" x14ac:dyDescent="0.2">
      <c r="Q23" s="19"/>
      <c r="R23" s="19"/>
      <c r="T23" s="19"/>
      <c r="X23" s="12"/>
      <c r="Z23" s="12"/>
      <c r="AG23" s="4">
        <v>4</v>
      </c>
      <c r="AH23" s="4">
        <v>5</v>
      </c>
      <c r="AI23" s="4">
        <v>2000</v>
      </c>
      <c r="AJ23" s="20">
        <v>45</v>
      </c>
      <c r="AK23" s="14"/>
      <c r="AL23" s="20">
        <f t="shared" si="7"/>
        <v>15747.5</v>
      </c>
    </row>
    <row r="24" spans="15:38" x14ac:dyDescent="0.2">
      <c r="Q24" s="19"/>
      <c r="R24" s="19"/>
      <c r="T24" s="19"/>
      <c r="X24" s="12"/>
      <c r="Z24" s="12"/>
      <c r="AG24" s="4">
        <v>6</v>
      </c>
      <c r="AH24" s="4">
        <v>10</v>
      </c>
      <c r="AI24" s="4">
        <v>1600</v>
      </c>
      <c r="AJ24" s="20">
        <v>35</v>
      </c>
      <c r="AK24" s="14"/>
      <c r="AL24" s="20">
        <f t="shared" si="7"/>
        <v>12292.5</v>
      </c>
    </row>
    <row r="25" spans="15:38" x14ac:dyDescent="0.2">
      <c r="Q25" s="19"/>
      <c r="R25" s="19"/>
      <c r="T25" s="19"/>
      <c r="X25" s="12"/>
      <c r="Z25" s="12"/>
      <c r="AG25" s="4">
        <v>11</v>
      </c>
      <c r="AH25" s="4">
        <v>15</v>
      </c>
      <c r="AI25" s="4">
        <v>1200</v>
      </c>
      <c r="AJ25" s="20">
        <v>30</v>
      </c>
      <c r="AK25" s="14"/>
      <c r="AL25" s="20">
        <f t="shared" si="7"/>
        <v>10365</v>
      </c>
    </row>
    <row r="26" spans="15:38" x14ac:dyDescent="0.2">
      <c r="Q26" s="19"/>
      <c r="R26" s="19"/>
      <c r="T26" s="19"/>
      <c r="X26" s="12"/>
      <c r="Z26" s="12"/>
      <c r="AG26" s="4">
        <v>16</v>
      </c>
      <c r="AH26" s="4">
        <v>25</v>
      </c>
      <c r="AI26" s="4">
        <v>1000</v>
      </c>
      <c r="AJ26" s="20">
        <v>25</v>
      </c>
      <c r="AK26" s="14"/>
      <c r="AL26" s="20">
        <f t="shared" si="7"/>
        <v>8637.5</v>
      </c>
    </row>
    <row r="27" spans="15:38" x14ac:dyDescent="0.2">
      <c r="Q27" s="19"/>
      <c r="R27" s="19"/>
      <c r="T27" s="19"/>
      <c r="X27" s="12"/>
      <c r="Z27" s="12"/>
      <c r="AG27" s="4">
        <v>26</v>
      </c>
      <c r="AH27" s="4">
        <v>40</v>
      </c>
      <c r="AI27" s="4">
        <v>800</v>
      </c>
      <c r="AJ27" s="20">
        <v>20</v>
      </c>
      <c r="AK27" s="14"/>
      <c r="AL27" s="20">
        <f t="shared" si="7"/>
        <v>6910</v>
      </c>
    </row>
    <row r="28" spans="15:38" x14ac:dyDescent="0.2">
      <c r="Q28" s="19"/>
      <c r="R28" s="19"/>
      <c r="T28" s="19"/>
      <c r="X28" s="12"/>
      <c r="AG28" s="4">
        <v>41</v>
      </c>
      <c r="AH28" s="20">
        <v>40</v>
      </c>
      <c r="AI28" s="4">
        <v>600</v>
      </c>
      <c r="AJ28" s="20">
        <v>15</v>
      </c>
      <c r="AK28" s="14"/>
      <c r="AL28" s="20">
        <f t="shared" si="7"/>
        <v>5182.5</v>
      </c>
    </row>
    <row r="29" spans="15:38" x14ac:dyDescent="0.2">
      <c r="Q29" s="19"/>
      <c r="R29" s="19"/>
      <c r="T29" s="19"/>
      <c r="X29" s="12"/>
      <c r="AG29" s="4">
        <v>61</v>
      </c>
      <c r="AH29" s="4">
        <v>100</v>
      </c>
      <c r="AI29" s="4">
        <v>500</v>
      </c>
      <c r="AJ29" s="20">
        <v>10</v>
      </c>
      <c r="AK29" s="14"/>
      <c r="AL29" s="20">
        <f t="shared" si="7"/>
        <v>3555</v>
      </c>
    </row>
    <row r="30" spans="15:38" x14ac:dyDescent="0.2">
      <c r="Q30" s="19"/>
      <c r="R30" s="19"/>
      <c r="T30" s="19"/>
      <c r="X30" s="12"/>
      <c r="AG30" s="4">
        <v>101</v>
      </c>
      <c r="AH30" s="4">
        <v>200</v>
      </c>
      <c r="AI30" s="4">
        <v>300</v>
      </c>
      <c r="AJ30" s="20">
        <v>10</v>
      </c>
      <c r="AK30" s="14"/>
      <c r="AL30" s="20">
        <f t="shared" si="7"/>
        <v>3355</v>
      </c>
    </row>
    <row r="31" spans="15:38" x14ac:dyDescent="0.2">
      <c r="Q31" s="19"/>
      <c r="R31" s="19"/>
      <c r="T31" s="19"/>
      <c r="AJ31" s="20"/>
    </row>
    <row r="32" spans="15:38" x14ac:dyDescent="0.2">
      <c r="Q32" s="19"/>
      <c r="R32" s="19"/>
      <c r="T32" s="19"/>
    </row>
    <row r="33" spans="17:51" x14ac:dyDescent="0.2">
      <c r="Q33" s="19"/>
      <c r="R33" s="19"/>
      <c r="T33" s="19"/>
      <c r="AG33" s="15" t="s">
        <v>99</v>
      </c>
      <c r="AH33" s="17"/>
      <c r="AI33" s="17"/>
      <c r="AJ33" s="17"/>
      <c r="AO33" s="9" t="s">
        <v>100</v>
      </c>
    </row>
    <row r="34" spans="17:51" x14ac:dyDescent="0.2">
      <c r="Q34" s="19"/>
      <c r="R34" s="19"/>
      <c r="T34" s="19"/>
      <c r="AG34" s="17" t="s">
        <v>93</v>
      </c>
      <c r="AH34" s="17" t="s">
        <v>94</v>
      </c>
      <c r="AI34" s="17" t="s">
        <v>95</v>
      </c>
      <c r="AJ34" s="17"/>
      <c r="AP34" s="18"/>
      <c r="AQ34" s="18" t="s">
        <v>71</v>
      </c>
      <c r="AR34" s="18" t="s">
        <v>57</v>
      </c>
      <c r="AS34" s="18" t="s">
        <v>58</v>
      </c>
      <c r="AT34" s="18" t="s">
        <v>59</v>
      </c>
      <c r="AU34" s="18" t="s">
        <v>58</v>
      </c>
      <c r="AV34" s="18" t="s">
        <v>60</v>
      </c>
      <c r="AW34" s="18" t="s">
        <v>58</v>
      </c>
      <c r="AX34" s="18" t="s">
        <v>27</v>
      </c>
      <c r="AY34" s="18" t="s">
        <v>76</v>
      </c>
    </row>
    <row r="35" spans="17:51" x14ac:dyDescent="0.2">
      <c r="Q35" s="19"/>
      <c r="R35" s="19"/>
      <c r="T35" s="19"/>
      <c r="AG35" s="17">
        <v>1</v>
      </c>
      <c r="AH35" s="17">
        <v>1</v>
      </c>
      <c r="AI35" s="17">
        <v>100000</v>
      </c>
      <c r="AK35" s="17"/>
      <c r="AP35" s="10" t="s">
        <v>70</v>
      </c>
      <c r="AQ35" s="18">
        <v>3</v>
      </c>
      <c r="AR35" s="18" t="s">
        <v>26</v>
      </c>
      <c r="AS35" s="18">
        <v>50</v>
      </c>
      <c r="AT35" s="18" t="s">
        <v>101</v>
      </c>
      <c r="AU35" s="18">
        <v>1</v>
      </c>
      <c r="AV35" s="18"/>
      <c r="AW35" s="18"/>
      <c r="AX35" s="18">
        <f>IF(AR35="",0,INDEX(道具信息!$I:$I,MATCH(AR35,道具信息!$D:$D,0))*AS35)+
IF(AT35="",0,INDEX(道具信息!$I:$I,MATCH(AT35,道具信息!$D:$D,0))*AU35)+
IF(AV35="",0,INDEX(道具信息!$I:$I,MATCH(AV35,道具信息!$D:$D,0))*AW35)</f>
        <v>56</v>
      </c>
      <c r="AY35" s="18">
        <f>AX35*AQ35*30</f>
        <v>5040</v>
      </c>
    </row>
    <row r="36" spans="17:51" x14ac:dyDescent="0.2">
      <c r="Q36" s="19"/>
      <c r="R36" s="19"/>
      <c r="AG36" s="17">
        <v>2</v>
      </c>
      <c r="AH36" s="17">
        <v>2</v>
      </c>
      <c r="AI36" s="17">
        <v>50000</v>
      </c>
      <c r="AK36" s="17">
        <f t="shared" ref="AK36:AK45" si="8">AI35-AI36</f>
        <v>50000</v>
      </c>
    </row>
    <row r="37" spans="17:51" x14ac:dyDescent="0.2">
      <c r="AG37" s="17">
        <v>3</v>
      </c>
      <c r="AH37" s="17">
        <v>3</v>
      </c>
      <c r="AI37" s="17">
        <v>30000</v>
      </c>
      <c r="AK37" s="17">
        <f t="shared" si="8"/>
        <v>20000</v>
      </c>
    </row>
    <row r="38" spans="17:51" x14ac:dyDescent="0.2">
      <c r="AG38" s="17">
        <v>4</v>
      </c>
      <c r="AH38" s="17">
        <v>5</v>
      </c>
      <c r="AI38" s="17">
        <v>15000</v>
      </c>
      <c r="AK38" s="17">
        <f t="shared" si="8"/>
        <v>15000</v>
      </c>
    </row>
    <row r="39" spans="17:51" x14ac:dyDescent="0.2">
      <c r="AG39" s="17">
        <v>6</v>
      </c>
      <c r="AH39" s="17">
        <v>10</v>
      </c>
      <c r="AI39" s="17">
        <v>8000</v>
      </c>
      <c r="AK39" s="17">
        <f t="shared" si="8"/>
        <v>7000</v>
      </c>
    </row>
    <row r="40" spans="17:51" x14ac:dyDescent="0.2">
      <c r="AG40" s="17">
        <v>11</v>
      </c>
      <c r="AH40" s="17">
        <v>15</v>
      </c>
      <c r="AI40" s="17">
        <v>4000</v>
      </c>
      <c r="AK40" s="17">
        <f t="shared" si="8"/>
        <v>4000</v>
      </c>
    </row>
    <row r="41" spans="17:51" x14ac:dyDescent="0.2">
      <c r="AG41" s="17">
        <v>16</v>
      </c>
      <c r="AH41" s="17">
        <v>25</v>
      </c>
      <c r="AI41" s="17">
        <v>2000</v>
      </c>
      <c r="AK41" s="17">
        <f t="shared" si="8"/>
        <v>2000</v>
      </c>
    </row>
    <row r="42" spans="17:51" x14ac:dyDescent="0.2">
      <c r="AG42" s="17">
        <v>26</v>
      </c>
      <c r="AH42" s="17">
        <v>40</v>
      </c>
      <c r="AI42" s="17">
        <v>1000</v>
      </c>
      <c r="AK42" s="17">
        <f t="shared" si="8"/>
        <v>1000</v>
      </c>
    </row>
    <row r="43" spans="17:51" x14ac:dyDescent="0.2">
      <c r="AG43" s="17">
        <v>41</v>
      </c>
      <c r="AH43" s="17">
        <v>60</v>
      </c>
      <c r="AI43" s="17">
        <v>750</v>
      </c>
      <c r="AK43" s="17">
        <f t="shared" si="8"/>
        <v>250</v>
      </c>
    </row>
    <row r="44" spans="17:51" x14ac:dyDescent="0.2">
      <c r="AG44" s="17">
        <v>61</v>
      </c>
      <c r="AH44" s="17">
        <v>100</v>
      </c>
      <c r="AI44" s="17">
        <v>500</v>
      </c>
      <c r="AK44" s="17">
        <f t="shared" si="8"/>
        <v>250</v>
      </c>
    </row>
    <row r="45" spans="17:51" x14ac:dyDescent="0.2">
      <c r="AG45" s="17">
        <v>101</v>
      </c>
      <c r="AH45" s="17">
        <v>200</v>
      </c>
      <c r="AI45" s="17">
        <v>250</v>
      </c>
      <c r="AK45" s="17">
        <f t="shared" si="8"/>
        <v>250</v>
      </c>
    </row>
  </sheetData>
  <mergeCells count="1">
    <mergeCell ref="AI3:AJ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B6F05-F3DA-47E6-841B-D245B49111CF}">
  <dimension ref="C3:R655"/>
  <sheetViews>
    <sheetView topLeftCell="A60" workbookViewId="0">
      <selection activeCell="B87" sqref="B87"/>
    </sheetView>
  </sheetViews>
  <sheetFormatPr defaultRowHeight="11.25" x14ac:dyDescent="0.2"/>
  <cols>
    <col min="1" max="3" width="9" style="4"/>
    <col min="4" max="4" width="36.375" style="4" bestFit="1" customWidth="1"/>
    <col min="5" max="11" width="9" style="4"/>
    <col min="12" max="12" width="66.75" style="4" customWidth="1"/>
    <col min="13" max="16384" width="9" style="4"/>
  </cols>
  <sheetData>
    <row r="3" spans="3:18" x14ac:dyDescent="0.2">
      <c r="C3" s="8" t="str">
        <f>IF([2]道具信息!C3="","",[2]道具信息!C3)</f>
        <v>sid</v>
      </c>
      <c r="D3" s="8" t="str">
        <f>IF([2]道具信息!D3="","",[2]道具信息!D3)</f>
        <v>名称</v>
      </c>
      <c r="E3" s="8" t="str">
        <f>IF([2]道具信息!E3="","",[2]道具信息!E3)</f>
        <v>价格</v>
      </c>
      <c r="F3" s="8" t="str">
        <f>IF([2]道具信息!F3="","",[2]道具信息!F3)</f>
        <v>调整参数</v>
      </c>
      <c r="G3" s="8" t="str">
        <f>IF([2]道具信息!G3="","",[2]道具信息!G3)</f>
        <v>调整参数</v>
      </c>
      <c r="H3" s="8" t="str">
        <f>IF([2]道具信息!H3="","",[2]道具信息!H3)</f>
        <v>调整参数</v>
      </c>
      <c r="I3" s="8" t="str">
        <f>IF([2]道具信息!I3="","",[2]道具信息!I3)</f>
        <v>实际价格</v>
      </c>
      <c r="J3" s="8" t="str">
        <f>IF([2]道具信息!J3="","",[2]道具信息!J3)</f>
        <v>实际价格</v>
      </c>
      <c r="K3" s="8" t="str">
        <f>IF([2]道具信息!K3="","",[2]道具信息!K3)</f>
        <v>实际价格</v>
      </c>
      <c r="L3" s="8" t="str">
        <f>IF([2]道具信息!L3="","",[2]道具信息!L3)</f>
        <v>描述</v>
      </c>
      <c r="M3" s="8" t="str">
        <f>IF([2]道具信息!M3="","",[2]道具信息!M3)</f>
        <v/>
      </c>
      <c r="N3" s="8" t="str">
        <f>IF([2]道具信息!N3="","",[2]道具信息!N3)</f>
        <v/>
      </c>
      <c r="O3" s="8" t="str">
        <f>IF([2]道具信息!O3="","",[2]道具信息!O3)</f>
        <v/>
      </c>
      <c r="P3" s="8" t="str">
        <f>IF([2]道具信息!P3="","",[2]道具信息!P3)</f>
        <v>buff效果</v>
      </c>
      <c r="Q3" s="8" t="str">
        <f>IF([2]道具信息!Q3="","",[2]道具信息!Q3)</f>
        <v>单位价值（100%加成/天）</v>
      </c>
      <c r="R3" s="8" t="str">
        <f>IF([2]道具信息!R3="","",[2]道具信息!R3)</f>
        <v/>
      </c>
    </row>
    <row r="4" spans="3:18" x14ac:dyDescent="0.2">
      <c r="C4" s="8" t="str">
        <f>IF([2]道具信息!C4="","",[2]道具信息!C4)</f>
        <v/>
      </c>
      <c r="D4" s="8" t="str">
        <f>IF([2]道具信息!D4="","",[2]道具信息!D4)</f>
        <v>橙色指定武将</v>
      </c>
      <c r="E4" s="8">
        <f>IF([2]道具信息!E4="","",[2]道具信息!E4)</f>
        <v>4800</v>
      </c>
      <c r="F4" s="8">
        <f>IF([2]道具信息!F4="","",[2]道具信息!F4)</f>
        <v>1</v>
      </c>
      <c r="G4" s="8">
        <f>IF([2]道具信息!G4="","",[2]道具信息!G4)</f>
        <v>1</v>
      </c>
      <c r="H4" s="8">
        <f>IF([2]道具信息!H4="","",[2]道具信息!H4)</f>
        <v>1</v>
      </c>
      <c r="I4" s="8">
        <f>IF([2]道具信息!I4="","",[2]道具信息!I4)</f>
        <v>4800</v>
      </c>
      <c r="J4" s="8">
        <f>IF([2]道具信息!J4="","",[2]道具信息!J4)</f>
        <v>4800</v>
      </c>
      <c r="K4" s="8">
        <f>IF([2]道具信息!K4="","",[2]道具信息!K4)</f>
        <v>4800</v>
      </c>
      <c r="L4" s="8" t="str">
        <f>IF([2]道具信息!L4="","",[2]道具信息!L4)</f>
        <v>120武将</v>
      </c>
      <c r="M4" s="8" t="str">
        <f>IF([2]道具信息!M4="","",[2]道具信息!M4)</f>
        <v/>
      </c>
      <c r="N4" s="8" t="str">
        <f>IF([2]道具信息!N4="","",[2]道具信息!N4)</f>
        <v/>
      </c>
      <c r="O4" s="8" t="str">
        <f>IF([2]道具信息!O4="","",[2]道具信息!O4)</f>
        <v/>
      </c>
      <c r="P4" s="8" t="str">
        <f>IF([2]道具信息!P4="","",[2]道具信息!P4)</f>
        <v>城建加速/天</v>
      </c>
      <c r="Q4" s="8">
        <f>IF([2]道具信息!Q4="","",[2]道具信息!Q4)</f>
        <v>6552.6677404559396</v>
      </c>
      <c r="R4" s="8" t="str">
        <f>IF([2]道具信息!R4="","",[2]道具信息!R4)</f>
        <v/>
      </c>
    </row>
    <row r="5" spans="3:18" x14ac:dyDescent="0.2">
      <c r="C5" s="8" t="str">
        <f>IF([2]道具信息!C5="","",[2]道具信息!C5)</f>
        <v/>
      </c>
      <c r="D5" s="8" t="str">
        <f>IF([2]道具信息!D5="","",[2]道具信息!D5)</f>
        <v>紫色指定武将</v>
      </c>
      <c r="E5" s="8">
        <f>IF([2]道具信息!E5="","",[2]道具信息!E5)</f>
        <v>540</v>
      </c>
      <c r="F5" s="8">
        <f>IF([2]道具信息!F5="","",[2]道具信息!F5)</f>
        <v>1</v>
      </c>
      <c r="G5" s="8">
        <f>IF([2]道具信息!G5="","",[2]道具信息!G5)</f>
        <v>1</v>
      </c>
      <c r="H5" s="8">
        <f>IF([2]道具信息!H5="","",[2]道具信息!H5)</f>
        <v>1</v>
      </c>
      <c r="I5" s="8">
        <f>IF([2]道具信息!I5="","",[2]道具信息!I5)</f>
        <v>540</v>
      </c>
      <c r="J5" s="8">
        <f>IF([2]道具信息!J5="","",[2]道具信息!J5)</f>
        <v>540</v>
      </c>
      <c r="K5" s="8">
        <f>IF([2]道具信息!K5="","",[2]道具信息!K5)</f>
        <v>540</v>
      </c>
      <c r="L5" s="8" t="str">
        <f>IF([2]道具信息!L5="","",[2]道具信息!L5)</f>
        <v>110武将</v>
      </c>
      <c r="M5" s="8" t="str">
        <f>IF([2]道具信息!M5="","",[2]道具信息!M5)</f>
        <v/>
      </c>
      <c r="N5" s="8" t="str">
        <f>IF([2]道具信息!N5="","",[2]道具信息!N5)</f>
        <v/>
      </c>
      <c r="O5" s="8" t="str">
        <f>IF([2]道具信息!O5="","",[2]道具信息!O5)</f>
        <v/>
      </c>
      <c r="P5" s="8" t="str">
        <f>IF([2]道具信息!P5="","",[2]道具信息!P5)</f>
        <v>招募加速/天</v>
      </c>
      <c r="Q5" s="8">
        <f>IF([2]道具信息!Q5="","",[2]道具信息!Q5)</f>
        <v>1286.2045615471407</v>
      </c>
      <c r="R5" s="8" t="str">
        <f>IF([2]道具信息!R5="","",[2]道具信息!R5)</f>
        <v/>
      </c>
    </row>
    <row r="6" spans="3:18" x14ac:dyDescent="0.2">
      <c r="C6" s="8" t="str">
        <f>IF([2]道具信息!C6="","",[2]道具信息!C6)</f>
        <v/>
      </c>
      <c r="D6" s="8" t="str">
        <f>IF([2]道具信息!D6="","",[2]道具信息!D6)</f>
        <v>125指定武将</v>
      </c>
      <c r="E6" s="8">
        <f>IF([2]道具信息!E6="","",[2]道具信息!E6)</f>
        <v>10800</v>
      </c>
      <c r="F6" s="8">
        <f>IF([2]道具信息!F6="","",[2]道具信息!F6)</f>
        <v>1</v>
      </c>
      <c r="G6" s="8">
        <f>IF([2]道具信息!G6="","",[2]道具信息!G6)</f>
        <v>1</v>
      </c>
      <c r="H6" s="8">
        <f>IF([2]道具信息!H6="","",[2]道具信息!H6)</f>
        <v>1</v>
      </c>
      <c r="I6" s="8">
        <f>IF([2]道具信息!I6="","",[2]道具信息!I6)</f>
        <v>10800</v>
      </c>
      <c r="J6" s="8">
        <f>IF([2]道具信息!J6="","",[2]道具信息!J6)</f>
        <v>10800</v>
      </c>
      <c r="K6" s="8">
        <f>IF([2]道具信息!K6="","",[2]道具信息!K6)</f>
        <v>10800</v>
      </c>
      <c r="L6" s="8" t="str">
        <f>IF([2]道具信息!L6="","",[2]道具信息!L6)</f>
        <v>125武将</v>
      </c>
      <c r="M6" s="8" t="str">
        <f>IF([2]道具信息!M6="","",[2]道具信息!M6)</f>
        <v/>
      </c>
      <c r="N6" s="8" t="str">
        <f>IF([2]道具信息!N6="","",[2]道具信息!N6)</f>
        <v/>
      </c>
      <c r="O6" s="8" t="str">
        <f>IF([2]道具信息!O6="","",[2]道具信息!O6)</f>
        <v/>
      </c>
      <c r="P6" s="8" t="str">
        <f>IF([2]道具信息!P6="","",[2]道具信息!P6)</f>
        <v>治疗加速/天</v>
      </c>
      <c r="Q6" s="8">
        <f>IF([2]道具信息!Q6="","",[2]道具信息!Q6)</f>
        <v>526.54062836196033</v>
      </c>
      <c r="R6" s="8" t="str">
        <f>IF([2]道具信息!R6="","",[2]道具信息!R6)</f>
        <v/>
      </c>
    </row>
    <row r="7" spans="3:18" x14ac:dyDescent="0.2">
      <c r="C7" s="8" t="str">
        <f>IF([2]道具信息!C7="","",[2]道具信息!C7)</f>
        <v/>
      </c>
      <c r="D7" s="8" t="str">
        <f>IF([2]道具信息!D7="","",[2]道具信息!D7)</f>
        <v>橙+指定武将</v>
      </c>
      <c r="E7" s="8">
        <f>IF([2]道具信息!E7="","",[2]道具信息!E7)</f>
        <v>14400</v>
      </c>
      <c r="F7" s="8">
        <f>IF([2]道具信息!F7="","",[2]道具信息!F7)</f>
        <v>1</v>
      </c>
      <c r="G7" s="8">
        <f>IF([2]道具信息!G7="","",[2]道具信息!G7)</f>
        <v>1</v>
      </c>
      <c r="H7" s="8">
        <f>IF([2]道具信息!H7="","",[2]道具信息!H7)</f>
        <v>1</v>
      </c>
      <c r="I7" s="8">
        <f>IF([2]道具信息!I7="","",[2]道具信息!I7)</f>
        <v>14400</v>
      </c>
      <c r="J7" s="8">
        <f>IF([2]道具信息!J7="","",[2]道具信息!J7)</f>
        <v>14400</v>
      </c>
      <c r="K7" s="8">
        <f>IF([2]道具信息!K7="","",[2]道具信息!K7)</f>
        <v>14400</v>
      </c>
      <c r="L7" s="8" t="str">
        <f>IF([2]道具信息!L7="","",[2]道具信息!L7)</f>
        <v>130武将</v>
      </c>
      <c r="M7" s="8" t="str">
        <f>IF([2]道具信息!M7="","",[2]道具信息!M7)</f>
        <v/>
      </c>
      <c r="N7" s="8" t="str">
        <f>IF([2]道具信息!N7="","",[2]道具信息!N7)</f>
        <v/>
      </c>
      <c r="O7" s="8" t="str">
        <f>IF([2]道具信息!O7="","",[2]道具信息!O7)</f>
        <v/>
      </c>
      <c r="P7" s="8" t="str">
        <f>IF([2]道具信息!P7="","",[2]道具信息!P7)</f>
        <v>训练加速/天</v>
      </c>
      <c r="Q7" s="8">
        <f>IF([2]道具信息!Q7="","",[2]道具信息!Q7)</f>
        <v>3154.4832610096737</v>
      </c>
      <c r="R7" s="8" t="str">
        <f>IF([2]道具信息!R7="","",[2]道具信息!R7)</f>
        <v/>
      </c>
    </row>
    <row r="8" spans="3:18" x14ac:dyDescent="0.2">
      <c r="C8" s="8" t="str">
        <f>IF([2]道具信息!C8="","",[2]道具信息!C8)</f>
        <v/>
      </c>
      <c r="D8" s="8" t="str">
        <f>IF([2]道具信息!D8="","",[2]道具信息!D8)</f>
        <v>125指定武将碎片</v>
      </c>
      <c r="E8" s="8">
        <f>IF([2]道具信息!E8="","",[2]道具信息!E8)</f>
        <v>360</v>
      </c>
      <c r="F8" s="8">
        <f>IF([2]道具信息!F8="","",[2]道具信息!F8)</f>
        <v>1</v>
      </c>
      <c r="G8" s="8">
        <f>IF([2]道具信息!G8="","",[2]道具信息!G8)</f>
        <v>1</v>
      </c>
      <c r="H8" s="8">
        <f>IF([2]道具信息!H8="","",[2]道具信息!H8)</f>
        <v>1</v>
      </c>
      <c r="I8" s="8">
        <f>IF([2]道具信息!I8="","",[2]道具信息!I8)</f>
        <v>360</v>
      </c>
      <c r="J8" s="8">
        <f>IF([2]道具信息!J8="","",[2]道具信息!J8)</f>
        <v>360</v>
      </c>
      <c r="K8" s="8">
        <f>IF([2]道具信息!K8="","",[2]道具信息!K8)</f>
        <v>360</v>
      </c>
      <c r="L8" s="8" t="str">
        <f>IF([2]道具信息!L8="","",[2]道具信息!L8)</f>
        <v>125武将碎片</v>
      </c>
      <c r="M8" s="8" t="str">
        <f>IF([2]道具信息!M8="","",[2]道具信息!M8)</f>
        <v/>
      </c>
      <c r="N8" s="8" t="str">
        <f>IF([2]道具信息!N8="","",[2]道具信息!N8)</f>
        <v/>
      </c>
      <c r="O8" s="8" t="str">
        <f>IF([2]道具信息!O8="","",[2]道具信息!O8)</f>
        <v/>
      </c>
      <c r="P8" s="8" t="str">
        <f>IF([2]道具信息!P8="","",[2]道具信息!P8)</f>
        <v/>
      </c>
      <c r="Q8" s="8" t="str">
        <f>IF([2]道具信息!Q8="","",[2]道具信息!Q8)</f>
        <v/>
      </c>
      <c r="R8" s="8" t="str">
        <f>IF([2]道具信息!R8="","",[2]道具信息!R8)</f>
        <v/>
      </c>
    </row>
    <row r="9" spans="3:18" x14ac:dyDescent="0.2">
      <c r="C9" s="8" t="str">
        <f>IF([2]道具信息!C9="","",[2]道具信息!C9)</f>
        <v/>
      </c>
      <c r="D9" s="8" t="str">
        <f>IF([2]道具信息!D9="","",[2]道具信息!D9)</f>
        <v>橙+指定武将碎片</v>
      </c>
      <c r="E9" s="8">
        <f>IF([2]道具信息!E9="","",[2]道具信息!E9)</f>
        <v>480</v>
      </c>
      <c r="F9" s="8">
        <f>IF([2]道具信息!F9="","",[2]道具信息!F9)</f>
        <v>1</v>
      </c>
      <c r="G9" s="8">
        <f>IF([2]道具信息!G9="","",[2]道具信息!G9)</f>
        <v>1</v>
      </c>
      <c r="H9" s="8">
        <f>IF([2]道具信息!H9="","",[2]道具信息!H9)</f>
        <v>1</v>
      </c>
      <c r="I9" s="8">
        <f>IF([2]道具信息!I9="","",[2]道具信息!I9)</f>
        <v>480</v>
      </c>
      <c r="J9" s="8">
        <f>IF([2]道具信息!J9="","",[2]道具信息!J9)</f>
        <v>480</v>
      </c>
      <c r="K9" s="8">
        <f>IF([2]道具信息!K9="","",[2]道具信息!K9)</f>
        <v>480</v>
      </c>
      <c r="L9" s="8" t="str">
        <f>IF([2]道具信息!L9="","",[2]道具信息!L9)</f>
        <v>130武将碎片</v>
      </c>
      <c r="M9" s="8" t="str">
        <f>IF([2]道具信息!M9="","",[2]道具信息!M9)</f>
        <v/>
      </c>
      <c r="N9" s="8" t="str">
        <f>IF([2]道具信息!N9="","",[2]道具信息!N9)</f>
        <v/>
      </c>
      <c r="O9" s="8" t="str">
        <f>IF([2]道具信息!O9="","",[2]道具信息!O9)</f>
        <v/>
      </c>
      <c r="P9" s="8" t="str">
        <f>IF([2]道具信息!P9="","",[2]道具信息!P9)</f>
        <v/>
      </c>
      <c r="Q9" s="8" t="str">
        <f>IF([2]道具信息!Q9="","",[2]道具信息!Q9)</f>
        <v/>
      </c>
      <c r="R9" s="8" t="str">
        <f>IF([2]道具信息!R9="","",[2]道具信息!R9)</f>
        <v/>
      </c>
    </row>
    <row r="10" spans="3:18" x14ac:dyDescent="0.2">
      <c r="C10" s="8" t="str">
        <f>IF([2]道具信息!C10="","",[2]道具信息!C10)</f>
        <v/>
      </c>
      <c r="D10" s="8" t="str">
        <f>IF([2]道具信息!D10="","",[2]道具信息!D10)</f>
        <v>140指定武将</v>
      </c>
      <c r="E10" s="8">
        <f>IF([2]道具信息!E10="","",[2]道具信息!E10)</f>
        <v>43200</v>
      </c>
      <c r="F10" s="8">
        <f>IF([2]道具信息!F10="","",[2]道具信息!F10)</f>
        <v>1</v>
      </c>
      <c r="G10" s="8">
        <f>IF([2]道具信息!G10="","",[2]道具信息!G10)</f>
        <v>1</v>
      </c>
      <c r="H10" s="8">
        <f>IF([2]道具信息!H10="","",[2]道具信息!H10)</f>
        <v>1</v>
      </c>
      <c r="I10" s="8">
        <f>IF([2]道具信息!I10="","",[2]道具信息!I10)</f>
        <v>43200</v>
      </c>
      <c r="J10" s="8">
        <f>IF([2]道具信息!J10="","",[2]道具信息!J10)</f>
        <v>43200</v>
      </c>
      <c r="K10" s="8">
        <f>IF([2]道具信息!K10="","",[2]道具信息!K10)</f>
        <v>43200</v>
      </c>
      <c r="L10" s="8" t="str">
        <f>IF([2]道具信息!L10="","",[2]道具信息!L10)</f>
        <v/>
      </c>
      <c r="M10" s="8" t="str">
        <f>IF([2]道具信息!M10="","",[2]道具信息!M10)</f>
        <v/>
      </c>
      <c r="N10" s="8" t="str">
        <f>IF([2]道具信息!N10="","",[2]道具信息!N10)</f>
        <v/>
      </c>
      <c r="O10" s="8" t="str">
        <f>IF([2]道具信息!O10="","",[2]道具信息!O10)</f>
        <v/>
      </c>
      <c r="P10" s="8" t="str">
        <f>IF([2]道具信息!P10="","",[2]道具信息!P10)</f>
        <v>钻研加速/天</v>
      </c>
      <c r="Q10" s="8">
        <f>IF([2]道具信息!Q10="","",[2]道具信息!Q10)</f>
        <v>3395.1118588375975</v>
      </c>
      <c r="R10" s="8" t="str">
        <f>IF([2]道具信息!R10="","",[2]道具信息!R10)</f>
        <v/>
      </c>
    </row>
    <row r="11" spans="3:18" x14ac:dyDescent="0.2">
      <c r="C11" s="8" t="str">
        <f>IF([2]道具信息!C11="","",[2]道具信息!C11)</f>
        <v/>
      </c>
      <c r="D11" s="8" t="str">
        <f>IF([2]道具信息!D11="","",[2]道具信息!D11)</f>
        <v>140指定武将碎片</v>
      </c>
      <c r="E11" s="8">
        <f>IF([2]道具信息!E11="","",[2]道具信息!E11)</f>
        <v>864</v>
      </c>
      <c r="F11" s="8">
        <f>IF([2]道具信息!F11="","",[2]道具信息!F11)</f>
        <v>1</v>
      </c>
      <c r="G11" s="8">
        <f>IF([2]道具信息!G11="","",[2]道具信息!G11)</f>
        <v>1</v>
      </c>
      <c r="H11" s="8">
        <f>IF([2]道具信息!H11="","",[2]道具信息!H11)</f>
        <v>1</v>
      </c>
      <c r="I11" s="8">
        <f>IF([2]道具信息!I11="","",[2]道具信息!I11)</f>
        <v>864</v>
      </c>
      <c r="J11" s="8">
        <f>IF([2]道具信息!J11="","",[2]道具信息!J11)</f>
        <v>864</v>
      </c>
      <c r="K11" s="8">
        <f>IF([2]道具信息!K11="","",[2]道具信息!K11)</f>
        <v>864</v>
      </c>
      <c r="L11" s="8" t="str">
        <f>IF([2]道具信息!L11="","",[2]道具信息!L11)</f>
        <v/>
      </c>
      <c r="M11" s="8" t="str">
        <f>IF([2]道具信息!M11="","",[2]道具信息!M11)</f>
        <v/>
      </c>
      <c r="N11" s="8" t="str">
        <f>IF([2]道具信息!N11="","",[2]道具信息!N11)</f>
        <v/>
      </c>
      <c r="O11" s="8" t="str">
        <f>IF([2]道具信息!O11="","",[2]道具信息!O11)</f>
        <v/>
      </c>
      <c r="P11" s="8" t="str">
        <f>IF([2]道具信息!P11="","",[2]道具信息!P11)</f>
        <v>木材产出加速/天</v>
      </c>
      <c r="Q11" s="8">
        <f>IF([2]道具信息!Q11="","",[2]道具信息!Q11)</f>
        <v>135.51397311474921</v>
      </c>
      <c r="R11" s="8" t="str">
        <f>IF([2]道具信息!R11="","",[2]道具信息!R11)</f>
        <v/>
      </c>
    </row>
    <row r="12" spans="3:18" x14ac:dyDescent="0.2">
      <c r="C12" s="8" t="str">
        <f>IF([2]道具信息!C12="","",[2]道具信息!C12)</f>
        <v/>
      </c>
      <c r="D12" s="8" t="str">
        <f>IF([2]道具信息!D12="","",[2]道具信息!D12)</f>
        <v>黄金</v>
      </c>
      <c r="E12" s="8">
        <f>IF([2]道具信息!E12="","",[2]道具信息!E12)</f>
        <v>1</v>
      </c>
      <c r="F12" s="8">
        <f>IF([2]道具信息!F12="","",[2]道具信息!F12)</f>
        <v>1</v>
      </c>
      <c r="G12" s="8">
        <f>IF([2]道具信息!G12="","",[2]道具信息!G12)</f>
        <v>1</v>
      </c>
      <c r="H12" s="8">
        <f>IF([2]道具信息!H12="","",[2]道具信息!H12)</f>
        <v>1</v>
      </c>
      <c r="I12" s="8">
        <f>IF([2]道具信息!I12="","",[2]道具信息!I12)</f>
        <v>1</v>
      </c>
      <c r="J12" s="8">
        <f>IF([2]道具信息!J12="","",[2]道具信息!J12)</f>
        <v>1</v>
      </c>
      <c r="K12" s="8">
        <f>IF([2]道具信息!K12="","",[2]道具信息!K12)</f>
        <v>1</v>
      </c>
      <c r="L12" s="8" t="str">
        <f>IF([2]道具信息!L12="","",[2]道具信息!L12)</f>
        <v/>
      </c>
      <c r="M12" s="8" t="str">
        <f>IF([2]道具信息!M12="","",[2]道具信息!M12)</f>
        <v/>
      </c>
      <c r="N12" s="8" t="str">
        <f>IF([2]道具信息!N12="","",[2]道具信息!N12)</f>
        <v/>
      </c>
      <c r="O12" s="8" t="str">
        <f>IF([2]道具信息!O12="","",[2]道具信息!O12)</f>
        <v/>
      </c>
      <c r="P12" s="8" t="str">
        <f>IF([2]道具信息!P12="","",[2]道具信息!P12)</f>
        <v>石料产出加速/天</v>
      </c>
      <c r="Q12" s="8">
        <f>IF([2]道具信息!Q12="","",[2]道具信息!Q12)</f>
        <v>135.51397311474921</v>
      </c>
      <c r="R12" s="8" t="str">
        <f>IF([2]道具信息!R12="","",[2]道具信息!R12)</f>
        <v/>
      </c>
    </row>
    <row r="13" spans="3:18" x14ac:dyDescent="0.2">
      <c r="C13" s="8" t="str">
        <f>IF([2]道具信息!C13="","",[2]道具信息!C13)</f>
        <v/>
      </c>
      <c r="D13" s="8" t="str">
        <f>IF([2]道具信息!D13="","",[2]道具信息!D13)</f>
        <v>粮食</v>
      </c>
      <c r="E13" s="8">
        <f>IF([2]道具信息!E13="","",[2]道具信息!E13)</f>
        <v>1.5532347911031258E-4</v>
      </c>
      <c r="F13" s="8">
        <f>IF([2]道具信息!F13="","",[2]道具信息!F13)</f>
        <v>1</v>
      </c>
      <c r="G13" s="8">
        <f>IF([2]道具信息!G13="","",[2]道具信息!G13)</f>
        <v>1</v>
      </c>
      <c r="H13" s="8">
        <f>IF([2]道具信息!H13="","",[2]道具信息!H13)</f>
        <v>0.5</v>
      </c>
      <c r="I13" s="8">
        <f>IF([2]道具信息!I13="","",[2]道具信息!I13)</f>
        <v>1.5532347911031258E-4</v>
      </c>
      <c r="J13" s="8">
        <f>IF([2]道具信息!J13="","",[2]道具信息!J13)</f>
        <v>1.5532347911031258E-4</v>
      </c>
      <c r="K13" s="8">
        <f>IF([2]道具信息!K13="","",[2]道具信息!K13)</f>
        <v>7.7661739555156292E-5</v>
      </c>
      <c r="L13" s="8" t="str">
        <f>IF([2]道具信息!L13="","",[2]道具信息!L13)</f>
        <v/>
      </c>
      <c r="M13" s="8" t="str">
        <f>IF([2]道具信息!M13="","",[2]道具信息!M13)</f>
        <v/>
      </c>
      <c r="N13" s="8" t="str">
        <f>IF([2]道具信息!N13="","",[2]道具信息!N13)</f>
        <v/>
      </c>
      <c r="O13" s="8" t="str">
        <f>IF([2]道具信息!O13="","",[2]道具信息!O13)</f>
        <v/>
      </c>
      <c r="P13" s="8" t="str">
        <f>IF([2]道具信息!P13="","",[2]道具信息!P13)</f>
        <v>铜矿产出加速/天</v>
      </c>
      <c r="Q13" s="8">
        <f>IF([2]道具信息!Q13="","",[2]道具信息!Q13)</f>
        <v>135.51397311474921</v>
      </c>
      <c r="R13" s="8" t="str">
        <f>IF([2]道具信息!R13="","",[2]道具信息!R13)</f>
        <v/>
      </c>
    </row>
    <row r="14" spans="3:18" x14ac:dyDescent="0.2">
      <c r="C14" s="8" t="str">
        <f>IF([2]道具信息!C14="","",[2]道具信息!C14)</f>
        <v/>
      </c>
      <c r="D14" s="8" t="str">
        <f>IF([2]道具信息!D14="","",[2]道具信息!D14)</f>
        <v>木材</v>
      </c>
      <c r="E14" s="8">
        <f>IF([2]道具信息!E14="","",[2]道具信息!E14)</f>
        <v>1.5532347911031258E-4</v>
      </c>
      <c r="F14" s="8">
        <f>IF([2]道具信息!F14="","",[2]道具信息!F14)</f>
        <v>1</v>
      </c>
      <c r="G14" s="8">
        <f>IF([2]道具信息!G14="","",[2]道具信息!G14)</f>
        <v>1</v>
      </c>
      <c r="H14" s="8">
        <f>IF([2]道具信息!H14="","",[2]道具信息!H14)</f>
        <v>0.5</v>
      </c>
      <c r="I14" s="8">
        <f>IF([2]道具信息!I14="","",[2]道具信息!I14)</f>
        <v>1.5532347911031258E-4</v>
      </c>
      <c r="J14" s="8">
        <f>IF([2]道具信息!J14="","",[2]道具信息!J14)</f>
        <v>1.5532347911031258E-4</v>
      </c>
      <c r="K14" s="8">
        <f>IF([2]道具信息!K14="","",[2]道具信息!K14)</f>
        <v>7.7661739555156292E-5</v>
      </c>
      <c r="L14" s="8" t="str">
        <f>IF([2]道具信息!L14="","",[2]道具信息!L14)</f>
        <v/>
      </c>
      <c r="M14" s="8" t="str">
        <f>IF([2]道具信息!M14="","",[2]道具信息!M14)</f>
        <v/>
      </c>
      <c r="N14" s="8" t="str">
        <f>IF([2]道具信息!N14="","",[2]道具信息!N14)</f>
        <v/>
      </c>
      <c r="O14" s="8" t="str">
        <f>IF([2]道具信息!O14="","",[2]道具信息!O14)</f>
        <v/>
      </c>
      <c r="P14" s="8" t="str">
        <f>IF([2]道具信息!P14="","",[2]道具信息!P14)</f>
        <v>粮食产出加速/天</v>
      </c>
      <c r="Q14" s="8">
        <f>IF([2]道具信息!Q14="","",[2]道具信息!Q14)</f>
        <v>135.51397311474921</v>
      </c>
      <c r="R14" s="8" t="str">
        <f>IF([2]道具信息!R14="","",[2]道具信息!R14)</f>
        <v/>
      </c>
    </row>
    <row r="15" spans="3:18" x14ac:dyDescent="0.2">
      <c r="C15" s="8" t="str">
        <f>IF([2]道具信息!C15="","",[2]道具信息!C15)</f>
        <v/>
      </c>
      <c r="D15" s="8" t="str">
        <f>IF([2]道具信息!D15="","",[2]道具信息!D15)</f>
        <v>石料</v>
      </c>
      <c r="E15" s="8">
        <f>IF([2]道具信息!E15="","",[2]道具信息!E15)</f>
        <v>1.5532347911031258E-4</v>
      </c>
      <c r="F15" s="8">
        <f>IF([2]道具信息!F15="","",[2]道具信息!F15)</f>
        <v>1</v>
      </c>
      <c r="G15" s="8">
        <f>IF([2]道具信息!G15="","",[2]道具信息!G15)</f>
        <v>1</v>
      </c>
      <c r="H15" s="8">
        <f>IF([2]道具信息!H15="","",[2]道具信息!H15)</f>
        <v>0.5</v>
      </c>
      <c r="I15" s="8">
        <f>IF([2]道具信息!I15="","",[2]道具信息!I15)</f>
        <v>1.5532347911031258E-4</v>
      </c>
      <c r="J15" s="8">
        <f>IF([2]道具信息!J15="","",[2]道具信息!J15)</f>
        <v>1.5532347911031258E-4</v>
      </c>
      <c r="K15" s="8">
        <f>IF([2]道具信息!K15="","",[2]道具信息!K15)</f>
        <v>7.7661739555156292E-5</v>
      </c>
      <c r="L15" s="8" t="str">
        <f>IF([2]道具信息!L15="","",[2]道具信息!L15)</f>
        <v/>
      </c>
      <c r="M15" s="8" t="str">
        <f>IF([2]道具信息!M15="","",[2]道具信息!M15)</f>
        <v/>
      </c>
      <c r="N15" s="8" t="str">
        <f>IF([2]道具信息!N15="","",[2]道具信息!N15)</f>
        <v/>
      </c>
      <c r="O15" s="8" t="str">
        <f>IF([2]道具信息!O15="","",[2]道具信息!O15)</f>
        <v/>
      </c>
      <c r="P15" s="8" t="str">
        <f>IF([2]道具信息!P15="","",[2]道具信息!P15)</f>
        <v>铁矿产出加速/天</v>
      </c>
      <c r="Q15" s="8">
        <f>IF([2]道具信息!Q15="","",[2]道具信息!Q15)</f>
        <v>203.27095967212384</v>
      </c>
      <c r="R15" s="8" t="str">
        <f>IF([2]道具信息!R15="","",[2]道具信息!R15)</f>
        <v/>
      </c>
    </row>
    <row r="16" spans="3:18" x14ac:dyDescent="0.2">
      <c r="C16" s="8" t="str">
        <f>IF([2]道具信息!C16="","",[2]道具信息!C16)</f>
        <v/>
      </c>
      <c r="D16" s="8" t="str">
        <f>IF([2]道具信息!D16="","",[2]道具信息!D16)</f>
        <v>铜矿</v>
      </c>
      <c r="E16" s="8">
        <f>IF([2]道具信息!E16="","",[2]道具信息!E16)</f>
        <v>1.5532347911031258E-4</v>
      </c>
      <c r="F16" s="8">
        <f>IF([2]道具信息!F16="","",[2]道具信息!F16)</f>
        <v>1</v>
      </c>
      <c r="G16" s="8">
        <f>IF([2]道具信息!G16="","",[2]道具信息!G16)</f>
        <v>1</v>
      </c>
      <c r="H16" s="8">
        <f>IF([2]道具信息!H16="","",[2]道具信息!H16)</f>
        <v>0.5</v>
      </c>
      <c r="I16" s="8">
        <f>IF([2]道具信息!I16="","",[2]道具信息!I16)</f>
        <v>1.5532347911031258E-4</v>
      </c>
      <c r="J16" s="8">
        <f>IF([2]道具信息!J16="","",[2]道具信息!J16)</f>
        <v>1.5532347911031258E-4</v>
      </c>
      <c r="K16" s="8">
        <f>IF([2]道具信息!K16="","",[2]道具信息!K16)</f>
        <v>7.7661739555156292E-5</v>
      </c>
      <c r="L16" s="8" t="str">
        <f>IF([2]道具信息!L16="","",[2]道具信息!L16)</f>
        <v/>
      </c>
      <c r="M16" s="8" t="str">
        <f>IF([2]道具信息!M16="","",[2]道具信息!M16)</f>
        <v/>
      </c>
      <c r="N16" s="8" t="str">
        <f>IF([2]道具信息!N16="","",[2]道具信息!N16)</f>
        <v/>
      </c>
      <c r="O16" s="8" t="str">
        <f>IF([2]道具信息!O16="","",[2]道具信息!O16)</f>
        <v/>
      </c>
      <c r="P16" s="8" t="str">
        <f>IF([2]道具信息!P16="","",[2]道具信息!P16)</f>
        <v>刀币产出加速/天</v>
      </c>
      <c r="Q16" s="8">
        <f>IF([2]道具信息!Q16="","",[2]道具信息!Q16)</f>
        <v>1054.300188289244</v>
      </c>
      <c r="R16" s="8" t="str">
        <f>IF([2]道具信息!R16="","",[2]道具信息!R16)</f>
        <v/>
      </c>
    </row>
    <row r="17" spans="3:18" x14ac:dyDescent="0.2">
      <c r="C17" s="8" t="str">
        <f>IF([2]道具信息!C17="","",[2]道具信息!C17)</f>
        <v/>
      </c>
      <c r="D17" s="8" t="str">
        <f>IF([2]道具信息!D17="","",[2]道具信息!D17)</f>
        <v>铁矿</v>
      </c>
      <c r="E17" s="8">
        <f>IF([2]道具信息!E17="","",[2]道具信息!E17)</f>
        <v>3.5830057803451569E-4</v>
      </c>
      <c r="F17" s="8">
        <f>IF([2]道具信息!F17="","",[2]道具信息!F17)</f>
        <v>1</v>
      </c>
      <c r="G17" s="8">
        <f>IF([2]道具信息!G17="","",[2]道具信息!G17)</f>
        <v>1</v>
      </c>
      <c r="H17" s="8">
        <f>IF([2]道具信息!H17="","",[2]道具信息!H17)</f>
        <v>0.5</v>
      </c>
      <c r="I17" s="8">
        <f>IF([2]道具信息!I17="","",[2]道具信息!I17)</f>
        <v>3.5830057803451569E-4</v>
      </c>
      <c r="J17" s="8">
        <f>IF([2]道具信息!J17="","",[2]道具信息!J17)</f>
        <v>3.5830057803451569E-4</v>
      </c>
      <c r="K17" s="8">
        <f>IF([2]道具信息!K17="","",[2]道具信息!K17)</f>
        <v>1.7915028901725784E-4</v>
      </c>
      <c r="L17" s="8" t="str">
        <f>IF([2]道具信息!L17="","",[2]道具信息!L17)</f>
        <v/>
      </c>
      <c r="M17" s="8" t="str">
        <f>IF([2]道具信息!M17="","",[2]道具信息!M17)</f>
        <v/>
      </c>
      <c r="N17" s="8" t="str">
        <f>IF([2]道具信息!N17="","",[2]道具信息!N17)</f>
        <v/>
      </c>
      <c r="O17" s="8" t="str">
        <f>IF([2]道具信息!O17="","",[2]道具信息!O17)</f>
        <v/>
      </c>
      <c r="P17" s="8" t="str">
        <f>IF([2]道具信息!P17="","",[2]道具信息!P17)</f>
        <v>木材采集加速/天</v>
      </c>
      <c r="Q17" s="8">
        <f>IF([2]道具信息!Q17="","",[2]道具信息!Q17)</f>
        <v>189.98875225679629</v>
      </c>
      <c r="R17" s="8" t="str">
        <f>IF([2]道具信息!R17="","",[2]道具信息!R17)</f>
        <v/>
      </c>
    </row>
    <row r="18" spans="3:18" x14ac:dyDescent="0.2">
      <c r="C18" s="8" t="str">
        <f>IF([2]道具信息!C18="","",[2]道具信息!C18)</f>
        <v/>
      </c>
      <c r="D18" s="8" t="str">
        <f>IF([2]道具信息!D18="","",[2]道具信息!D18)</f>
        <v>刀币</v>
      </c>
      <c r="E18" s="8">
        <f>IF([2]道具信息!E18="","",[2]道具信息!E18)</f>
        <v>1.5625000000000001E-3</v>
      </c>
      <c r="F18" s="8">
        <f>IF([2]道具信息!F18="","",[2]道具信息!F18)</f>
        <v>1</v>
      </c>
      <c r="G18" s="8">
        <f>IF([2]道具信息!G18="","",[2]道具信息!G18)</f>
        <v>1</v>
      </c>
      <c r="H18" s="8">
        <f>IF([2]道具信息!H18="","",[2]道具信息!H18)</f>
        <v>0.7</v>
      </c>
      <c r="I18" s="8">
        <f>IF([2]道具信息!I18="","",[2]道具信息!I18)</f>
        <v>1.5625000000000001E-3</v>
      </c>
      <c r="J18" s="8">
        <f>IF([2]道具信息!J18="","",[2]道具信息!J18)</f>
        <v>1.5625000000000001E-3</v>
      </c>
      <c r="K18" s="8">
        <f>IF([2]道具信息!K18="","",[2]道具信息!K18)</f>
        <v>1.0937499999999999E-3</v>
      </c>
      <c r="L18" s="8" t="str">
        <f>IF([2]道具信息!L18="","",[2]道具信息!L18)</f>
        <v/>
      </c>
      <c r="M18" s="8" t="str">
        <f>IF([2]道具信息!M18="","",[2]道具信息!M18)</f>
        <v/>
      </c>
      <c r="N18" s="8" t="str">
        <f>IF([2]道具信息!N18="","",[2]道具信息!N18)</f>
        <v/>
      </c>
      <c r="O18" s="8" t="str">
        <f>IF([2]道具信息!O18="","",[2]道具信息!O18)</f>
        <v/>
      </c>
      <c r="P18" s="8" t="str">
        <f>IF([2]道具信息!P18="","",[2]道具信息!P18)</f>
        <v>石料采集加速/天</v>
      </c>
      <c r="Q18" s="8">
        <f>IF([2]道具信息!Q18="","",[2]道具信息!Q18)</f>
        <v>189.98875225679629</v>
      </c>
      <c r="R18" s="8" t="str">
        <f>IF([2]道具信息!R18="","",[2]道具信息!R18)</f>
        <v/>
      </c>
    </row>
    <row r="19" spans="3:18" x14ac:dyDescent="0.2">
      <c r="C19" s="8" t="str">
        <f>IF([2]道具信息!C19="","",[2]道具信息!C19)</f>
        <v/>
      </c>
      <c r="D19" s="8" t="str">
        <f>IF([2]道具信息!D19="","",[2]道具信息!D19)</f>
        <v>玉珏</v>
      </c>
      <c r="E19" s="8">
        <f>IF([2]道具信息!E19="","",[2]道具信息!E19)</f>
        <v>1</v>
      </c>
      <c r="F19" s="8">
        <f>IF([2]道具信息!F19="","",[2]道具信息!F19)</f>
        <v>1</v>
      </c>
      <c r="G19" s="8">
        <f>IF([2]道具信息!G19="","",[2]道具信息!G19)</f>
        <v>1</v>
      </c>
      <c r="H19" s="8">
        <f>IF([2]道具信息!H19="","",[2]道具信息!H19)</f>
        <v>1</v>
      </c>
      <c r="I19" s="8">
        <f>IF([2]道具信息!I19="","",[2]道具信息!I19)</f>
        <v>1</v>
      </c>
      <c r="J19" s="8">
        <f>IF([2]道具信息!J19="","",[2]道具信息!J19)</f>
        <v>1</v>
      </c>
      <c r="K19" s="8">
        <f>IF([2]道具信息!K19="","",[2]道具信息!K19)</f>
        <v>1</v>
      </c>
      <c r="L19" s="8" t="str">
        <f>IF([2]道具信息!L19="","",[2]道具信息!L19)</f>
        <v/>
      </c>
      <c r="M19" s="8" t="str">
        <f>IF([2]道具信息!M19="","",[2]道具信息!M19)</f>
        <v/>
      </c>
      <c r="N19" s="8" t="str">
        <f>IF([2]道具信息!N19="","",[2]道具信息!N19)</f>
        <v/>
      </c>
      <c r="O19" s="8" t="str">
        <f>IF([2]道具信息!O19="","",[2]道具信息!O19)</f>
        <v/>
      </c>
      <c r="P19" s="8" t="str">
        <f>IF([2]道具信息!P19="","",[2]道具信息!P19)</f>
        <v>铜矿采集加速/天</v>
      </c>
      <c r="Q19" s="8">
        <f>IF([2]道具信息!Q19="","",[2]道具信息!Q19)</f>
        <v>189.98875225679629</v>
      </c>
      <c r="R19" s="8" t="str">
        <f>IF([2]道具信息!R19="","",[2]道具信息!R19)</f>
        <v/>
      </c>
    </row>
    <row r="20" spans="3:18" x14ac:dyDescent="0.2">
      <c r="C20" s="8" t="str">
        <f>IF([2]道具信息!C20="","",[2]道具信息!C20)</f>
        <v/>
      </c>
      <c r="D20" s="8" t="str">
        <f>IF([2]道具信息!D20="","",[2]道具信息!D20)</f>
        <v>清剿令</v>
      </c>
      <c r="E20" s="8">
        <f>IF([2]道具信息!E20="","",[2]道具信息!E20)</f>
        <v>75</v>
      </c>
      <c r="F20" s="8">
        <f>IF([2]道具信息!F20="","",[2]道具信息!F20)</f>
        <v>1</v>
      </c>
      <c r="G20" s="8">
        <f>IF([2]道具信息!G20="","",[2]道具信息!G20)</f>
        <v>1</v>
      </c>
      <c r="H20" s="8">
        <f>IF([2]道具信息!H20="","",[2]道具信息!H20)</f>
        <v>1</v>
      </c>
      <c r="I20" s="8">
        <f>IF([2]道具信息!I20="","",[2]道具信息!I20)</f>
        <v>75</v>
      </c>
      <c r="J20" s="8">
        <f>IF([2]道具信息!J20="","",[2]道具信息!J20)</f>
        <v>75</v>
      </c>
      <c r="K20" s="8">
        <f>IF([2]道具信息!K20="","",[2]道具信息!K20)</f>
        <v>75</v>
      </c>
      <c r="L20" s="8" t="str">
        <f>IF([2]道具信息!L20="","",[2]道具信息!L20)</f>
        <v/>
      </c>
      <c r="M20" s="8" t="str">
        <f>IF([2]道具信息!M20="","",[2]道具信息!M20)</f>
        <v/>
      </c>
      <c r="N20" s="8" t="str">
        <f>IF([2]道具信息!N20="","",[2]道具信息!N20)</f>
        <v/>
      </c>
      <c r="O20" s="8" t="str">
        <f>IF([2]道具信息!O20="","",[2]道具信息!O20)</f>
        <v/>
      </c>
      <c r="P20" s="8" t="str">
        <f>IF([2]道具信息!P20="","",[2]道具信息!P20)</f>
        <v>粮食采集加速/天</v>
      </c>
      <c r="Q20" s="8">
        <f>IF([2]道具信息!Q20="","",[2]道具信息!Q20)</f>
        <v>189.98875225679629</v>
      </c>
      <c r="R20" s="8" t="str">
        <f>IF([2]道具信息!R20="","",[2]道具信息!R20)</f>
        <v/>
      </c>
    </row>
    <row r="21" spans="3:18" x14ac:dyDescent="0.2">
      <c r="C21" s="8" t="str">
        <f>IF([2]道具信息!C21="","",[2]道具信息!C21)</f>
        <v/>
      </c>
      <c r="D21" s="8" t="str">
        <f>IF([2]道具信息!D21="","",[2]道具信息!D21)</f>
        <v>军团币</v>
      </c>
      <c r="E21" s="8">
        <f>IF([2]道具信息!E21="","",[2]道具信息!E21)</f>
        <v>0.1</v>
      </c>
      <c r="F21" s="8">
        <f>IF([2]道具信息!F21="","",[2]道具信息!F21)</f>
        <v>1</v>
      </c>
      <c r="G21" s="8">
        <f>IF([2]道具信息!G21="","",[2]道具信息!G21)</f>
        <v>1</v>
      </c>
      <c r="H21" s="8">
        <f>IF([2]道具信息!H21="","",[2]道具信息!H21)</f>
        <v>1</v>
      </c>
      <c r="I21" s="8">
        <f>IF([2]道具信息!I21="","",[2]道具信息!I21)</f>
        <v>0.1</v>
      </c>
      <c r="J21" s="8">
        <f>IF([2]道具信息!J21="","",[2]道具信息!J21)</f>
        <v>0.1</v>
      </c>
      <c r="K21" s="8">
        <f>IF([2]道具信息!K21="","",[2]道具信息!K21)</f>
        <v>0.1</v>
      </c>
      <c r="L21" s="8" t="str">
        <f>IF([2]道具信息!L21="","",[2]道具信息!L21)</f>
        <v/>
      </c>
      <c r="M21" s="8" t="str">
        <f>IF([2]道具信息!M21="","",[2]道具信息!M21)</f>
        <v/>
      </c>
      <c r="N21" s="8" t="str">
        <f>IF([2]道具信息!N21="","",[2]道具信息!N21)</f>
        <v/>
      </c>
      <c r="O21" s="8" t="str">
        <f>IF([2]道具信息!O21="","",[2]道具信息!O21)</f>
        <v/>
      </c>
      <c r="P21" s="8" t="str">
        <f>IF([2]道具信息!P21="","",[2]道具信息!P21)</f>
        <v>铁矿采集加速/天</v>
      </c>
      <c r="Q21" s="8">
        <f>IF([2]道具信息!Q21="","",[2]道具信息!Q21)</f>
        <v>284.98312838519439</v>
      </c>
      <c r="R21" s="8" t="str">
        <f>IF([2]道具信息!R21="","",[2]道具信息!R21)</f>
        <v/>
      </c>
    </row>
    <row r="22" spans="3:18" x14ac:dyDescent="0.2">
      <c r="C22" s="8" t="str">
        <f>IF([2]道具信息!C22="","",[2]道具信息!C22)</f>
        <v/>
      </c>
      <c r="D22" s="8" t="str">
        <f>IF([2]道具信息!D22="","",[2]道具信息!D22)</f>
        <v>黄金点将令</v>
      </c>
      <c r="E22" s="8">
        <f>IF([2]道具信息!E22="","",[2]道具信息!E22)</f>
        <v>240</v>
      </c>
      <c r="F22" s="8">
        <f>IF([2]道具信息!F22="","",[2]道具信息!F22)</f>
        <v>1</v>
      </c>
      <c r="G22" s="8">
        <f>IF([2]道具信息!G22="","",[2]道具信息!G22)</f>
        <v>1</v>
      </c>
      <c r="H22" s="8">
        <f>IF([2]道具信息!H22="","",[2]道具信息!H22)</f>
        <v>1</v>
      </c>
      <c r="I22" s="8">
        <f>IF([2]道具信息!I22="","",[2]道具信息!I22)</f>
        <v>240</v>
      </c>
      <c r="J22" s="8">
        <f>IF([2]道具信息!J22="","",[2]道具信息!J22)</f>
        <v>240</v>
      </c>
      <c r="K22" s="8">
        <f>IF([2]道具信息!K22="","",[2]道具信息!K22)</f>
        <v>240</v>
      </c>
      <c r="L22" s="8" t="str">
        <f>IF([2]道具信息!L22="","",[2]道具信息!L22)</f>
        <v/>
      </c>
      <c r="M22" s="8" t="str">
        <f>IF([2]道具信息!M22="","",[2]道具信息!M22)</f>
        <v/>
      </c>
      <c r="N22" s="8" t="str">
        <f>IF([2]道具信息!N22="","",[2]道具信息!N22)</f>
        <v/>
      </c>
      <c r="O22" s="8" t="str">
        <f>IF([2]道具信息!O22="","",[2]道具信息!O22)</f>
        <v/>
      </c>
      <c r="P22" s="8" t="str">
        <f>IF([2]道具信息!P22="","",[2]道具信息!P22)</f>
        <v/>
      </c>
      <c r="Q22" s="8" t="str">
        <f>IF([2]道具信息!Q22="","",[2]道具信息!Q22)</f>
        <v/>
      </c>
      <c r="R22" s="8" t="str">
        <f>IF([2]道具信息!R22="","",[2]道具信息!R22)</f>
        <v/>
      </c>
    </row>
    <row r="23" spans="3:18" x14ac:dyDescent="0.2">
      <c r="C23" s="8" t="str">
        <f>IF([2]道具信息!C23="","",[2]道具信息!C23)</f>
        <v/>
      </c>
      <c r="D23" s="8" t="str">
        <f>IF([2]道具信息!D23="","",[2]道具信息!D23)</f>
        <v>青铜点将令</v>
      </c>
      <c r="E23" s="8">
        <f>IF([2]道具信息!E23="","",[2]道具信息!E23)</f>
        <v>65</v>
      </c>
      <c r="F23" s="8">
        <f>IF([2]道具信息!F23="","",[2]道具信息!F23)</f>
        <v>1</v>
      </c>
      <c r="G23" s="8">
        <f>IF([2]道具信息!G23="","",[2]道具信息!G23)</f>
        <v>1</v>
      </c>
      <c r="H23" s="8">
        <f>IF([2]道具信息!H23="","",[2]道具信息!H23)</f>
        <v>1</v>
      </c>
      <c r="I23" s="8">
        <f>IF([2]道具信息!I23="","",[2]道具信息!I23)</f>
        <v>65</v>
      </c>
      <c r="J23" s="8">
        <f>IF([2]道具信息!J23="","",[2]道具信息!J23)</f>
        <v>65</v>
      </c>
      <c r="K23" s="8">
        <f>IF([2]道具信息!K23="","",[2]道具信息!K23)</f>
        <v>65</v>
      </c>
      <c r="L23" s="8" t="str">
        <f>IF([2]道具信息!L23="","",[2]道具信息!L23)</f>
        <v/>
      </c>
      <c r="M23" s="8" t="str">
        <f>IF([2]道具信息!M23="","",[2]道具信息!M23)</f>
        <v/>
      </c>
      <c r="N23" s="8" t="str">
        <f>IF([2]道具信息!N23="","",[2]道具信息!N23)</f>
        <v/>
      </c>
      <c r="O23" s="8" t="str">
        <f>IF([2]道具信息!O23="","",[2]道具信息!O23)</f>
        <v/>
      </c>
      <c r="P23" s="8" t="str">
        <f>IF([2]道具信息!P23="","",[2]道具信息!P23)</f>
        <v/>
      </c>
      <c r="Q23" s="8" t="str">
        <f>IF([2]道具信息!Q23="","",[2]道具信息!Q23)</f>
        <v/>
      </c>
      <c r="R23" s="8" t="str">
        <f>IF([2]道具信息!R23="","",[2]道具信息!R23)</f>
        <v/>
      </c>
    </row>
    <row r="24" spans="3:18" x14ac:dyDescent="0.2">
      <c r="C24" s="8" t="str">
        <f>IF([2]道具信息!C24="","",[2]道具信息!C24)</f>
        <v/>
      </c>
      <c r="D24" s="8" t="str">
        <f>IF([2]道具信息!D24="","",[2]道具信息!D24)</f>
        <v>信物*2、武将碎片*10、黄金600三选一（600钻）</v>
      </c>
      <c r="E24" s="8">
        <f>IF([2]道具信息!E24="","",[2]道具信息!E24)</f>
        <v>600</v>
      </c>
      <c r="F24" s="8">
        <f>IF([2]道具信息!F24="","",[2]道具信息!F24)</f>
        <v>1</v>
      </c>
      <c r="G24" s="8">
        <f>IF([2]道具信息!G24="","",[2]道具信息!G24)</f>
        <v>1</v>
      </c>
      <c r="H24" s="8">
        <f>IF([2]道具信息!H24="","",[2]道具信息!H24)</f>
        <v>1</v>
      </c>
      <c r="I24" s="8">
        <f>IF([2]道具信息!I24="","",[2]道具信息!I24)</f>
        <v>600</v>
      </c>
      <c r="J24" s="8">
        <f>IF([2]道具信息!J24="","",[2]道具信息!J24)</f>
        <v>600</v>
      </c>
      <c r="K24" s="8">
        <f>IF([2]道具信息!K24="","",[2]道具信息!K24)</f>
        <v>600</v>
      </c>
      <c r="L24" s="8" t="str">
        <f>IF([2]道具信息!L24="","",[2]道具信息!L24)</f>
        <v/>
      </c>
      <c r="M24" s="8" t="str">
        <f>IF([2]道具信息!M24="","",[2]道具信息!M24)</f>
        <v/>
      </c>
      <c r="N24" s="8" t="str">
        <f>IF([2]道具信息!N24="","",[2]道具信息!N24)</f>
        <v/>
      </c>
      <c r="O24" s="8" t="str">
        <f>IF([2]道具信息!O24="","",[2]道具信息!O24)</f>
        <v/>
      </c>
      <c r="P24" s="8" t="str">
        <f>IF([2]道具信息!P24="","",[2]道具信息!P24)</f>
        <v/>
      </c>
      <c r="Q24" s="8" t="str">
        <f>IF([2]道具信息!Q24="","",[2]道具信息!Q24)</f>
        <v/>
      </c>
      <c r="R24" s="8" t="str">
        <f>IF([2]道具信息!R24="","",[2]道具信息!R24)</f>
        <v/>
      </c>
    </row>
    <row r="25" spans="3:18" x14ac:dyDescent="0.2">
      <c r="C25" s="8" t="str">
        <f>IF([2]道具信息!C25="","",[2]道具信息!C25)</f>
        <v/>
      </c>
      <c r="D25" s="8" t="str">
        <f>IF([2]道具信息!D25="","",[2]道具信息!D25)</f>
        <v>蓝色门客</v>
      </c>
      <c r="E25" s="8">
        <f>IF([2]道具信息!E25="","",[2]道具信息!E25)</f>
        <v>1000</v>
      </c>
      <c r="F25" s="8">
        <f>IF([2]道具信息!F25="","",[2]道具信息!F25)</f>
        <v>1</v>
      </c>
      <c r="G25" s="8">
        <f>IF([2]道具信息!G25="","",[2]道具信息!G25)</f>
        <v>1</v>
      </c>
      <c r="H25" s="8">
        <f>IF([2]道具信息!H25="","",[2]道具信息!H25)</f>
        <v>1</v>
      </c>
      <c r="I25" s="8">
        <f>IF([2]道具信息!I25="","",[2]道具信息!I25)</f>
        <v>1000</v>
      </c>
      <c r="J25" s="8">
        <f>IF([2]道具信息!J25="","",[2]道具信息!J25)</f>
        <v>1000</v>
      </c>
      <c r="K25" s="8">
        <f>IF([2]道具信息!K25="","",[2]道具信息!K25)</f>
        <v>1000</v>
      </c>
      <c r="L25" s="8" t="str">
        <f>IF([2]道具信息!L25="","",[2]道具信息!L25)</f>
        <v/>
      </c>
      <c r="M25" s="8" t="str">
        <f>IF([2]道具信息!M25="","",[2]道具信息!M25)</f>
        <v/>
      </c>
      <c r="N25" s="8" t="str">
        <f>IF([2]道具信息!N25="","",[2]道具信息!N25)</f>
        <v/>
      </c>
      <c r="O25" s="8" t="str">
        <f>IF([2]道具信息!O25="","",[2]道具信息!O25)</f>
        <v/>
      </c>
      <c r="P25" s="8" t="str">
        <f>IF([2]道具信息!P25="","",[2]道具信息!P25)</f>
        <v/>
      </c>
      <c r="Q25" s="8" t="str">
        <f>IF([2]道具信息!Q25="","",[2]道具信息!Q25)</f>
        <v/>
      </c>
      <c r="R25" s="8" t="str">
        <f>IF([2]道具信息!R25="","",[2]道具信息!R25)</f>
        <v/>
      </c>
    </row>
    <row r="26" spans="3:18" x14ac:dyDescent="0.2">
      <c r="C26" s="8" t="str">
        <f>IF([2]道具信息!C26="","",[2]道具信息!C26)</f>
        <v/>
      </c>
      <c r="D26" s="8" t="str">
        <f>IF([2]道具信息!D26="","",[2]道具信息!D26)</f>
        <v>紫色门客</v>
      </c>
      <c r="E26" s="8">
        <f>IF([2]道具信息!E26="","",[2]道具信息!E26)</f>
        <v>3000</v>
      </c>
      <c r="F26" s="8">
        <f>IF([2]道具信息!F26="","",[2]道具信息!F26)</f>
        <v>1</v>
      </c>
      <c r="G26" s="8">
        <f>IF([2]道具信息!G26="","",[2]道具信息!G26)</f>
        <v>1</v>
      </c>
      <c r="H26" s="8">
        <f>IF([2]道具信息!H26="","",[2]道具信息!H26)</f>
        <v>1</v>
      </c>
      <c r="I26" s="8">
        <f>IF([2]道具信息!I26="","",[2]道具信息!I26)</f>
        <v>3000</v>
      </c>
      <c r="J26" s="8">
        <f>IF([2]道具信息!J26="","",[2]道具信息!J26)</f>
        <v>3000</v>
      </c>
      <c r="K26" s="8">
        <f>IF([2]道具信息!K26="","",[2]道具信息!K26)</f>
        <v>3000</v>
      </c>
      <c r="L26" s="8" t="str">
        <f>IF([2]道具信息!L26="","",[2]道具信息!L26)</f>
        <v/>
      </c>
      <c r="M26" s="8" t="str">
        <f>IF([2]道具信息!M26="","",[2]道具信息!M26)</f>
        <v/>
      </c>
      <c r="N26" s="8" t="str">
        <f>IF([2]道具信息!N26="","",[2]道具信息!N26)</f>
        <v/>
      </c>
      <c r="O26" s="8" t="str">
        <f>IF([2]道具信息!O26="","",[2]道具信息!O26)</f>
        <v/>
      </c>
      <c r="P26" s="8" t="str">
        <f>IF([2]道具信息!P26="","",[2]道具信息!P26)</f>
        <v/>
      </c>
      <c r="Q26" s="8" t="str">
        <f>IF([2]道具信息!Q26="","",[2]道具信息!Q26)</f>
        <v/>
      </c>
      <c r="R26" s="8" t="str">
        <f>IF([2]道具信息!R26="","",[2]道具信息!R26)</f>
        <v/>
      </c>
    </row>
    <row r="27" spans="3:18" x14ac:dyDescent="0.2">
      <c r="C27" s="8" t="str">
        <f>IF([2]道具信息!C27="","",[2]道具信息!C27)</f>
        <v/>
      </c>
      <c r="D27" s="8" t="str">
        <f>IF([2]道具信息!D27="","",[2]道具信息!D27)</f>
        <v>橙色门客</v>
      </c>
      <c r="E27" s="8">
        <f>IF([2]道具信息!E27="","",[2]道具信息!E27)</f>
        <v>8000</v>
      </c>
      <c r="F27" s="8">
        <f>IF([2]道具信息!F27="","",[2]道具信息!F27)</f>
        <v>1</v>
      </c>
      <c r="G27" s="8">
        <f>IF([2]道具信息!G27="","",[2]道具信息!G27)</f>
        <v>1</v>
      </c>
      <c r="H27" s="8">
        <f>IF([2]道具信息!H27="","",[2]道具信息!H27)</f>
        <v>1</v>
      </c>
      <c r="I27" s="8">
        <f>IF([2]道具信息!I27="","",[2]道具信息!I27)</f>
        <v>8000</v>
      </c>
      <c r="J27" s="8">
        <f>IF([2]道具信息!J27="","",[2]道具信息!J27)</f>
        <v>8000</v>
      </c>
      <c r="K27" s="8">
        <f>IF([2]道具信息!K27="","",[2]道具信息!K27)</f>
        <v>8000</v>
      </c>
      <c r="L27" s="8" t="str">
        <f>IF([2]道具信息!L27="","",[2]道具信息!L27)</f>
        <v/>
      </c>
      <c r="M27" s="8" t="str">
        <f>IF([2]道具信息!M27="","",[2]道具信息!M27)</f>
        <v/>
      </c>
      <c r="N27" s="8" t="str">
        <f>IF([2]道具信息!N27="","",[2]道具信息!N27)</f>
        <v/>
      </c>
      <c r="O27" s="8" t="str">
        <f>IF([2]道具信息!O27="","",[2]道具信息!O27)</f>
        <v/>
      </c>
      <c r="P27" s="8" t="str">
        <f>IF([2]道具信息!P27="","",[2]道具信息!P27)</f>
        <v/>
      </c>
      <c r="Q27" s="8" t="str">
        <f>IF([2]道具信息!Q27="","",[2]道具信息!Q27)</f>
        <v/>
      </c>
      <c r="R27" s="8" t="str">
        <f>IF([2]道具信息!R27="","",[2]道具信息!R27)</f>
        <v/>
      </c>
    </row>
    <row r="28" spans="3:18" x14ac:dyDescent="0.2">
      <c r="C28" s="8" t="str">
        <f>IF([2]道具信息!C28="","",[2]道具信息!C28)</f>
        <v/>
      </c>
      <c r="D28" s="8" t="str">
        <f>IF([2]道具信息!D28="","",[2]道具信息!D28)</f>
        <v>红色门客</v>
      </c>
      <c r="E28" s="8">
        <f>IF([2]道具信息!E28="","",[2]道具信息!E28)</f>
        <v>20000</v>
      </c>
      <c r="F28" s="8">
        <f>IF([2]道具信息!F28="","",[2]道具信息!F28)</f>
        <v>1</v>
      </c>
      <c r="G28" s="8">
        <f>IF([2]道具信息!G28="","",[2]道具信息!G28)</f>
        <v>1</v>
      </c>
      <c r="H28" s="8">
        <f>IF([2]道具信息!H28="","",[2]道具信息!H28)</f>
        <v>1</v>
      </c>
      <c r="I28" s="8">
        <f>IF([2]道具信息!I28="","",[2]道具信息!I28)</f>
        <v>20000</v>
      </c>
      <c r="J28" s="8">
        <f>IF([2]道具信息!J28="","",[2]道具信息!J28)</f>
        <v>20000</v>
      </c>
      <c r="K28" s="8">
        <f>IF([2]道具信息!K28="","",[2]道具信息!K28)</f>
        <v>20000</v>
      </c>
      <c r="L28" s="8" t="str">
        <f>IF([2]道具信息!L28="","",[2]道具信息!L28)</f>
        <v/>
      </c>
      <c r="M28" s="8" t="str">
        <f>IF([2]道具信息!M28="","",[2]道具信息!M28)</f>
        <v/>
      </c>
      <c r="N28" s="8" t="str">
        <f>IF([2]道具信息!N28="","",[2]道具信息!N28)</f>
        <v/>
      </c>
      <c r="O28" s="8" t="str">
        <f>IF([2]道具信息!O28="","",[2]道具信息!O28)</f>
        <v/>
      </c>
      <c r="P28" s="8" t="str">
        <f>IF([2]道具信息!P28="","",[2]道具信息!P28)</f>
        <v/>
      </c>
      <c r="Q28" s="8" t="str">
        <f>IF([2]道具信息!Q28="","",[2]道具信息!Q28)</f>
        <v/>
      </c>
      <c r="R28" s="8" t="str">
        <f>IF([2]道具信息!R28="","",[2]道具信息!R28)</f>
        <v/>
      </c>
    </row>
    <row r="29" spans="3:18" x14ac:dyDescent="0.2">
      <c r="C29" s="8" t="str">
        <f>IF([2]道具信息!C29="","",[2]道具信息!C29)</f>
        <v/>
      </c>
      <c r="D29" s="8" t="str">
        <f>IF([2]道具信息!D29="","",[2]道具信息!D29)</f>
        <v>神将点将令</v>
      </c>
      <c r="E29" s="8">
        <f>IF([2]道具信息!E29="","",[2]道具信息!E29)</f>
        <v>400</v>
      </c>
      <c r="F29" s="8">
        <f>IF([2]道具信息!F29="","",[2]道具信息!F29)</f>
        <v>1</v>
      </c>
      <c r="G29" s="8">
        <f>IF([2]道具信息!G29="","",[2]道具信息!G29)</f>
        <v>1</v>
      </c>
      <c r="H29" s="8">
        <f>IF([2]道具信息!H29="","",[2]道具信息!H29)</f>
        <v>1</v>
      </c>
      <c r="I29" s="8">
        <f>IF([2]道具信息!I29="","",[2]道具信息!I29)</f>
        <v>400</v>
      </c>
      <c r="J29" s="8">
        <f>IF([2]道具信息!J29="","",[2]道具信息!J29)</f>
        <v>400</v>
      </c>
      <c r="K29" s="8">
        <f>IF([2]道具信息!K29="","",[2]道具信息!K29)</f>
        <v>400</v>
      </c>
      <c r="L29" s="8" t="str">
        <f>IF([2]道具信息!L29="","",[2]道具信息!L29)</f>
        <v/>
      </c>
      <c r="M29" s="8" t="str">
        <f>IF([2]道具信息!M29="","",[2]道具信息!M29)</f>
        <v/>
      </c>
      <c r="N29" s="8" t="str">
        <f>IF([2]道具信息!N29="","",[2]道具信息!N29)</f>
        <v/>
      </c>
      <c r="O29" s="8" t="str">
        <f>IF([2]道具信息!O29="","",[2]道具信息!O29)</f>
        <v/>
      </c>
      <c r="P29" s="8" t="str">
        <f>IF([2]道具信息!P29="","",[2]道具信息!P29)</f>
        <v/>
      </c>
      <c r="Q29" s="8" t="str">
        <f>IF([2]道具信息!Q29="","",[2]道具信息!Q29)</f>
        <v/>
      </c>
      <c r="R29" s="8" t="str">
        <f>IF([2]道具信息!R29="","",[2]道具信息!R29)</f>
        <v/>
      </c>
    </row>
    <row r="30" spans="3:18" x14ac:dyDescent="0.2">
      <c r="C30" s="8" t="str">
        <f>IF([2]道具信息!C30="","",[2]道具信息!C30)</f>
        <v/>
      </c>
      <c r="D30" s="8" t="str">
        <f>IF([2]道具信息!D30="","",[2]道具信息!D30)</f>
        <v>绿色军团馈赠</v>
      </c>
      <c r="E30" s="8">
        <f>IF([2]道具信息!E30="","",[2]道具信息!E30)</f>
        <v>20</v>
      </c>
      <c r="F30" s="8">
        <f>IF([2]道具信息!F30="","",[2]道具信息!F30)</f>
        <v>1</v>
      </c>
      <c r="G30" s="8">
        <f>IF([2]道具信息!G30="","",[2]道具信息!G30)</f>
        <v>1</v>
      </c>
      <c r="H30" s="8">
        <f>IF([2]道具信息!H30="","",[2]道具信息!H30)</f>
        <v>1</v>
      </c>
      <c r="I30" s="8">
        <f>IF([2]道具信息!I30="","",[2]道具信息!I30)</f>
        <v>20</v>
      </c>
      <c r="J30" s="8">
        <f>IF([2]道具信息!J30="","",[2]道具信息!J30)</f>
        <v>20</v>
      </c>
      <c r="K30" s="8">
        <f>IF([2]道具信息!K30="","",[2]道具信息!K30)</f>
        <v>20</v>
      </c>
      <c r="L30" s="8" t="str">
        <f>IF([2]道具信息!L30="","",[2]道具信息!L30)</f>
        <v/>
      </c>
      <c r="M30" s="8" t="str">
        <f>IF([2]道具信息!M30="","",[2]道具信息!M30)</f>
        <v/>
      </c>
      <c r="N30" s="8" t="str">
        <f>IF([2]道具信息!N30="","",[2]道具信息!N30)</f>
        <v/>
      </c>
      <c r="O30" s="8" t="str">
        <f>IF([2]道具信息!O30="","",[2]道具信息!O30)</f>
        <v/>
      </c>
      <c r="P30" s="8" t="str">
        <f>IF([2]道具信息!P30="","",[2]道具信息!P30)</f>
        <v/>
      </c>
      <c r="Q30" s="8" t="str">
        <f>IF([2]道具信息!Q30="","",[2]道具信息!Q30)</f>
        <v/>
      </c>
      <c r="R30" s="8" t="str">
        <f>IF([2]道具信息!R30="","",[2]道具信息!R30)</f>
        <v/>
      </c>
    </row>
    <row r="31" spans="3:18" x14ac:dyDescent="0.2">
      <c r="C31" s="8" t="str">
        <f>IF([2]道具信息!C31="","",[2]道具信息!C31)</f>
        <v/>
      </c>
      <c r="D31" s="8" t="str">
        <f>IF([2]道具信息!D31="","",[2]道具信息!D31)</f>
        <v>蓝色军团馈赠</v>
      </c>
      <c r="E31" s="8">
        <f>IF([2]道具信息!E31="","",[2]道具信息!E31)</f>
        <v>100</v>
      </c>
      <c r="F31" s="8">
        <f>IF([2]道具信息!F31="","",[2]道具信息!F31)</f>
        <v>1</v>
      </c>
      <c r="G31" s="8">
        <f>IF([2]道具信息!G31="","",[2]道具信息!G31)</f>
        <v>1</v>
      </c>
      <c r="H31" s="8">
        <f>IF([2]道具信息!H31="","",[2]道具信息!H31)</f>
        <v>1</v>
      </c>
      <c r="I31" s="8">
        <f>IF([2]道具信息!I31="","",[2]道具信息!I31)</f>
        <v>100</v>
      </c>
      <c r="J31" s="8">
        <f>IF([2]道具信息!J31="","",[2]道具信息!J31)</f>
        <v>100</v>
      </c>
      <c r="K31" s="8">
        <f>IF([2]道具信息!K31="","",[2]道具信息!K31)</f>
        <v>100</v>
      </c>
      <c r="L31" s="8" t="str">
        <f>IF([2]道具信息!L31="","",[2]道具信息!L31)</f>
        <v/>
      </c>
      <c r="M31" s="8" t="str">
        <f>IF([2]道具信息!M31="","",[2]道具信息!M31)</f>
        <v/>
      </c>
      <c r="N31" s="8" t="str">
        <f>IF([2]道具信息!N31="","",[2]道具信息!N31)</f>
        <v/>
      </c>
      <c r="O31" s="8" t="str">
        <f>IF([2]道具信息!O31="","",[2]道具信息!O31)</f>
        <v/>
      </c>
      <c r="P31" s="8" t="str">
        <f>IF([2]道具信息!P31="","",[2]道具信息!P31)</f>
        <v/>
      </c>
      <c r="Q31" s="8" t="str">
        <f>IF([2]道具信息!Q31="","",[2]道具信息!Q31)</f>
        <v/>
      </c>
      <c r="R31" s="8" t="str">
        <f>IF([2]道具信息!R31="","",[2]道具信息!R31)</f>
        <v/>
      </c>
    </row>
    <row r="32" spans="3:18" x14ac:dyDescent="0.2">
      <c r="C32" s="8" t="str">
        <f>IF([2]道具信息!C32="","",[2]道具信息!C32)</f>
        <v/>
      </c>
      <c r="D32" s="8" t="str">
        <f>IF([2]道具信息!D32="","",[2]道具信息!D32)</f>
        <v>紫色军团馈赠</v>
      </c>
      <c r="E32" s="8">
        <f>IF([2]道具信息!E32="","",[2]道具信息!E32)</f>
        <v>500</v>
      </c>
      <c r="F32" s="8">
        <f>IF([2]道具信息!F32="","",[2]道具信息!F32)</f>
        <v>1</v>
      </c>
      <c r="G32" s="8">
        <f>IF([2]道具信息!G32="","",[2]道具信息!G32)</f>
        <v>1</v>
      </c>
      <c r="H32" s="8">
        <f>IF([2]道具信息!H32="","",[2]道具信息!H32)</f>
        <v>1</v>
      </c>
      <c r="I32" s="8">
        <f>IF([2]道具信息!I32="","",[2]道具信息!I32)</f>
        <v>500</v>
      </c>
      <c r="J32" s="8">
        <f>IF([2]道具信息!J32="","",[2]道具信息!J32)</f>
        <v>500</v>
      </c>
      <c r="K32" s="8">
        <f>IF([2]道具信息!K32="","",[2]道具信息!K32)</f>
        <v>500</v>
      </c>
      <c r="L32" s="8" t="str">
        <f>IF([2]道具信息!L32="","",[2]道具信息!L32)</f>
        <v/>
      </c>
      <c r="M32" s="8" t="str">
        <f>IF([2]道具信息!M32="","",[2]道具信息!M32)</f>
        <v/>
      </c>
      <c r="N32" s="8" t="str">
        <f>IF([2]道具信息!N32="","",[2]道具信息!N32)</f>
        <v/>
      </c>
      <c r="O32" s="8" t="str">
        <f>IF([2]道具信息!O32="","",[2]道具信息!O32)</f>
        <v/>
      </c>
      <c r="P32" s="8" t="str">
        <f>IF([2]道具信息!P32="","",[2]道具信息!P32)</f>
        <v/>
      </c>
      <c r="Q32" s="8" t="str">
        <f>IF([2]道具信息!Q32="","",[2]道具信息!Q32)</f>
        <v/>
      </c>
      <c r="R32" s="8" t="str">
        <f>IF([2]道具信息!R32="","",[2]道具信息!R32)</f>
        <v/>
      </c>
    </row>
    <row r="33" spans="3:18" x14ac:dyDescent="0.2">
      <c r="C33" s="8" t="str">
        <f>IF([2]道具信息!C33="","",[2]道具信息!C33)</f>
        <v/>
      </c>
      <c r="D33" s="8" t="str">
        <f>IF([2]道具信息!D33="","",[2]道具信息!D33)</f>
        <v>橙色军团馈赠</v>
      </c>
      <c r="E33" s="8">
        <f>IF([2]道具信息!E33="","",[2]道具信息!E33)</f>
        <v>2000</v>
      </c>
      <c r="F33" s="8">
        <f>IF([2]道具信息!F33="","",[2]道具信息!F33)</f>
        <v>1</v>
      </c>
      <c r="G33" s="8">
        <f>IF([2]道具信息!G33="","",[2]道具信息!G33)</f>
        <v>1</v>
      </c>
      <c r="H33" s="8">
        <f>IF([2]道具信息!H33="","",[2]道具信息!H33)</f>
        <v>1</v>
      </c>
      <c r="I33" s="8">
        <f>IF([2]道具信息!I33="","",[2]道具信息!I33)</f>
        <v>2000</v>
      </c>
      <c r="J33" s="8">
        <f>IF([2]道具信息!J33="","",[2]道具信息!J33)</f>
        <v>2000</v>
      </c>
      <c r="K33" s="8">
        <f>IF([2]道具信息!K33="","",[2]道具信息!K33)</f>
        <v>2000</v>
      </c>
      <c r="L33" s="8" t="str">
        <f>IF([2]道具信息!L33="","",[2]道具信息!L33)</f>
        <v/>
      </c>
      <c r="M33" s="8" t="str">
        <f>IF([2]道具信息!M33="","",[2]道具信息!M33)</f>
        <v/>
      </c>
      <c r="N33" s="8" t="str">
        <f>IF([2]道具信息!N33="","",[2]道具信息!N33)</f>
        <v/>
      </c>
      <c r="O33" s="8" t="str">
        <f>IF([2]道具信息!O33="","",[2]道具信息!O33)</f>
        <v/>
      </c>
      <c r="P33" s="8" t="str">
        <f>IF([2]道具信息!P33="","",[2]道具信息!P33)</f>
        <v/>
      </c>
      <c r="Q33" s="8" t="str">
        <f>IF([2]道具信息!Q33="","",[2]道具信息!Q33)</f>
        <v/>
      </c>
      <c r="R33" s="8" t="str">
        <f>IF([2]道具信息!R33="","",[2]道具信息!R33)</f>
        <v/>
      </c>
    </row>
    <row r="34" spans="3:18" x14ac:dyDescent="0.2">
      <c r="C34" s="8" t="str">
        <f>IF([2]道具信息!C34="","",[2]道具信息!C34)</f>
        <v/>
      </c>
      <c r="D34" s="8" t="str">
        <f>IF([2]道具信息!D34="","",[2]道具信息!D34)</f>
        <v/>
      </c>
      <c r="E34" s="8" t="str">
        <f>IF([2]道具信息!E34="","",[2]道具信息!E34)</f>
        <v/>
      </c>
      <c r="F34" s="8" t="str">
        <f>IF([2]道具信息!F34="","",[2]道具信息!F34)</f>
        <v/>
      </c>
      <c r="G34" s="8" t="str">
        <f>IF([2]道具信息!G34="","",[2]道具信息!G34)</f>
        <v/>
      </c>
      <c r="H34" s="8" t="str">
        <f>IF([2]道具信息!H34="","",[2]道具信息!H34)</f>
        <v/>
      </c>
      <c r="I34" s="8" t="str">
        <f>IF([2]道具信息!I34="","",[2]道具信息!I34)</f>
        <v/>
      </c>
      <c r="J34" s="8" t="str">
        <f>IF([2]道具信息!J34="","",[2]道具信息!J34)</f>
        <v/>
      </c>
      <c r="K34" s="8" t="str">
        <f>IF([2]道具信息!K34="","",[2]道具信息!K34)</f>
        <v/>
      </c>
      <c r="L34" s="8" t="str">
        <f>IF([2]道具信息!L34="","",[2]道具信息!L34)</f>
        <v/>
      </c>
      <c r="M34" s="8" t="str">
        <f>IF([2]道具信息!M34="","",[2]道具信息!M34)</f>
        <v/>
      </c>
      <c r="N34" s="8" t="str">
        <f>IF([2]道具信息!N34="","",[2]道具信息!N34)</f>
        <v/>
      </c>
      <c r="O34" s="8" t="str">
        <f>IF([2]道具信息!O34="","",[2]道具信息!O34)</f>
        <v/>
      </c>
      <c r="P34" s="8" t="str">
        <f>IF([2]道具信息!P34="","",[2]道具信息!P34)</f>
        <v/>
      </c>
      <c r="Q34" s="8" t="str">
        <f>IF([2]道具信息!Q34="","",[2]道具信息!Q34)</f>
        <v/>
      </c>
      <c r="R34" s="8" t="str">
        <f>IF([2]道具信息!R34="","",[2]道具信息!R34)</f>
        <v/>
      </c>
    </row>
    <row r="35" spans="3:18" x14ac:dyDescent="0.2">
      <c r="C35" s="8" t="str">
        <f>IF([2]道具信息!C35="","",[2]道具信息!C35)</f>
        <v/>
      </c>
      <c r="D35" s="8" t="str">
        <f>IF([2]道具信息!D35="","",[2]道具信息!D35)</f>
        <v>文心</v>
      </c>
      <c r="E35" s="8">
        <f>IF([2]道具信息!E35="","",[2]道具信息!E35)</f>
        <v>0.33333333333333331</v>
      </c>
      <c r="F35" s="8">
        <f>IF([2]道具信息!F35="","",[2]道具信息!F35)</f>
        <v>1</v>
      </c>
      <c r="G35" s="8">
        <f>IF([2]道具信息!G35="","",[2]道具信息!G35)</f>
        <v>1</v>
      </c>
      <c r="H35" s="8">
        <f>IF([2]道具信息!H35="","",[2]道具信息!H35)</f>
        <v>1</v>
      </c>
      <c r="I35" s="8">
        <f>IF([2]道具信息!I35="","",[2]道具信息!I35)</f>
        <v>0.33333333333333331</v>
      </c>
      <c r="J35" s="8">
        <f>IF([2]道具信息!J35="","",[2]道具信息!J35)</f>
        <v>0.33333333333333331</v>
      </c>
      <c r="K35" s="8">
        <f>IF([2]道具信息!K35="","",[2]道具信息!K35)</f>
        <v>0.33333333333333331</v>
      </c>
      <c r="L35" s="8" t="str">
        <f>IF([2]道具信息!L35="","",[2]道具信息!L35)</f>
        <v>宝物温养货币</v>
      </c>
      <c r="M35" s="8" t="str">
        <f>IF([2]道具信息!M35="","",[2]道具信息!M35)</f>
        <v/>
      </c>
      <c r="N35" s="8" t="str">
        <f>IF([2]道具信息!N35="","",[2]道具信息!N35)</f>
        <v/>
      </c>
      <c r="O35" s="8" t="str">
        <f>IF([2]道具信息!O35="","",[2]道具信息!O35)</f>
        <v/>
      </c>
      <c r="P35" s="8" t="str">
        <f>IF([2]道具信息!P35="","",[2]道具信息!P35)</f>
        <v/>
      </c>
      <c r="Q35" s="8" t="str">
        <f>IF([2]道具信息!Q35="","",[2]道具信息!Q35)</f>
        <v/>
      </c>
      <c r="R35" s="8" t="str">
        <f>IF([2]道具信息!R35="","",[2]道具信息!R35)</f>
        <v/>
      </c>
    </row>
    <row r="36" spans="3:18" x14ac:dyDescent="0.2">
      <c r="C36" s="8" t="str">
        <f>IF([2]道具信息!C36="","",[2]道具信息!C36)</f>
        <v/>
      </c>
      <c r="D36" s="8" t="str">
        <f>IF([2]道具信息!D36="","",[2]道具信息!D36)</f>
        <v>宝鉴</v>
      </c>
      <c r="E36" s="8">
        <f>IF([2]道具信息!E36="","",[2]道具信息!E36)</f>
        <v>500</v>
      </c>
      <c r="F36" s="8">
        <f>IF([2]道具信息!F36="","",[2]道具信息!F36)</f>
        <v>1</v>
      </c>
      <c r="G36" s="8">
        <f>IF([2]道具信息!G36="","",[2]道具信息!G36)</f>
        <v>1</v>
      </c>
      <c r="H36" s="8">
        <f>IF([2]道具信息!H36="","",[2]道具信息!H36)</f>
        <v>1</v>
      </c>
      <c r="I36" s="8">
        <f>IF([2]道具信息!I36="","",[2]道具信息!I36)</f>
        <v>500</v>
      </c>
      <c r="J36" s="8">
        <f>IF([2]道具信息!J36="","",[2]道具信息!J36)</f>
        <v>500</v>
      </c>
      <c r="K36" s="8">
        <f>IF([2]道具信息!K36="","",[2]道具信息!K36)</f>
        <v>500</v>
      </c>
      <c r="L36" s="8" t="str">
        <f>IF([2]道具信息!L36="","",[2]道具信息!L36)</f>
        <v>鉴赏宝物属性</v>
      </c>
      <c r="M36" s="8" t="str">
        <f>IF([2]道具信息!M36="","",[2]道具信息!M36)</f>
        <v/>
      </c>
      <c r="N36" s="8" t="str">
        <f>IF([2]道具信息!N36="","",[2]道具信息!N36)</f>
        <v/>
      </c>
      <c r="O36" s="8" t="str">
        <f>IF([2]道具信息!O36="","",[2]道具信息!O36)</f>
        <v/>
      </c>
      <c r="P36" s="8" t="str">
        <f>IF([2]道具信息!P36="","",[2]道具信息!P36)</f>
        <v/>
      </c>
      <c r="Q36" s="8" t="str">
        <f>IF([2]道具信息!Q36="","",[2]道具信息!Q36)</f>
        <v/>
      </c>
      <c r="R36" s="8" t="str">
        <f>IF([2]道具信息!R36="","",[2]道具信息!R36)</f>
        <v/>
      </c>
    </row>
    <row r="37" spans="3:18" x14ac:dyDescent="0.2">
      <c r="C37" s="8" t="str">
        <f>IF([2]道具信息!C37="","",[2]道具信息!C37)</f>
        <v/>
      </c>
      <c r="D37" s="8" t="str">
        <f>IF([2]道具信息!D37="","",[2]道具信息!D37)</f>
        <v>密藏之匙</v>
      </c>
      <c r="E37" s="8">
        <f>IF([2]道具信息!E37="","",[2]道具信息!E37)</f>
        <v>330</v>
      </c>
      <c r="F37" s="8">
        <f>IF([2]道具信息!F37="","",[2]道具信息!F37)</f>
        <v>1</v>
      </c>
      <c r="G37" s="8">
        <f>IF([2]道具信息!G37="","",[2]道具信息!G37)</f>
        <v>1</v>
      </c>
      <c r="H37" s="8">
        <f>IF([2]道具信息!H37="","",[2]道具信息!H37)</f>
        <v>1</v>
      </c>
      <c r="I37" s="8">
        <f>IF([2]道具信息!I37="","",[2]道具信息!I37)</f>
        <v>330</v>
      </c>
      <c r="J37" s="8">
        <f>IF([2]道具信息!J37="","",[2]道具信息!J37)</f>
        <v>330</v>
      </c>
      <c r="K37" s="8">
        <f>IF([2]道具信息!K37="","",[2]道具信息!K37)</f>
        <v>330</v>
      </c>
      <c r="L37" s="8" t="str">
        <f>IF([2]道具信息!L37="","",[2]道具信息!L37)</f>
        <v>宝物抽奖道具</v>
      </c>
      <c r="M37" s="8" t="str">
        <f>IF([2]道具信息!M37="","",[2]道具信息!M37)</f>
        <v/>
      </c>
      <c r="N37" s="8" t="str">
        <f>IF([2]道具信息!N37="","",[2]道具信息!N37)</f>
        <v/>
      </c>
      <c r="O37" s="8" t="str">
        <f>IF([2]道具信息!O37="","",[2]道具信息!O37)</f>
        <v/>
      </c>
      <c r="P37" s="8" t="str">
        <f>IF([2]道具信息!P37="","",[2]道具信息!P37)</f>
        <v/>
      </c>
      <c r="Q37" s="8" t="str">
        <f>IF([2]道具信息!Q37="","",[2]道具信息!Q37)</f>
        <v/>
      </c>
      <c r="R37" s="8" t="str">
        <f>IF([2]道具信息!R37="","",[2]道具信息!R37)</f>
        <v/>
      </c>
    </row>
    <row r="38" spans="3:18" x14ac:dyDescent="0.2">
      <c r="C38" s="8" t="str">
        <f>IF([2]道具信息!C38="","",[2]道具信息!C38)</f>
        <v/>
      </c>
      <c r="D38" s="8" t="str">
        <f>IF([2]道具信息!D38="","",[2]道具信息!D38)</f>
        <v>宝物精华</v>
      </c>
      <c r="E38" s="8">
        <f>IF([2]道具信息!E38="","",[2]道具信息!E38)</f>
        <v>100</v>
      </c>
      <c r="F38" s="8">
        <f>IF([2]道具信息!F38="","",[2]道具信息!F38)</f>
        <v>1</v>
      </c>
      <c r="G38" s="8">
        <f>IF([2]道具信息!G38="","",[2]道具信息!G38)</f>
        <v>1</v>
      </c>
      <c r="H38" s="8">
        <f>IF([2]道具信息!H38="","",[2]道具信息!H38)</f>
        <v>1</v>
      </c>
      <c r="I38" s="8">
        <f>IF([2]道具信息!I38="","",[2]道具信息!I38)</f>
        <v>100</v>
      </c>
      <c r="J38" s="8">
        <f>IF([2]道具信息!J38="","",[2]道具信息!J38)</f>
        <v>100</v>
      </c>
      <c r="K38" s="8">
        <f>IF([2]道具信息!K38="","",[2]道具信息!K38)</f>
        <v>100</v>
      </c>
      <c r="L38" s="8" t="str">
        <f>IF([2]道具信息!L38="","",[2]道具信息!L38)</f>
        <v>宝物升星消耗货币</v>
      </c>
      <c r="M38" s="8" t="str">
        <f>IF([2]道具信息!M38="","",[2]道具信息!M38)</f>
        <v/>
      </c>
      <c r="N38" s="8" t="str">
        <f>IF([2]道具信息!N38="","",[2]道具信息!N38)</f>
        <v/>
      </c>
      <c r="O38" s="8" t="str">
        <f>IF([2]道具信息!O38="","",[2]道具信息!O38)</f>
        <v/>
      </c>
      <c r="P38" s="8" t="str">
        <f>IF([2]道具信息!P38="","",[2]道具信息!P38)</f>
        <v/>
      </c>
      <c r="Q38" s="8" t="str">
        <f>IF([2]道具信息!Q38="","",[2]道具信息!Q38)</f>
        <v/>
      </c>
      <c r="R38" s="8" t="str">
        <f>IF([2]道具信息!R38="","",[2]道具信息!R38)</f>
        <v/>
      </c>
    </row>
    <row r="39" spans="3:18" x14ac:dyDescent="0.2">
      <c r="C39" s="8" t="str">
        <f>IF([2]道具信息!C39="","",[2]道具信息!C39)</f>
        <v/>
      </c>
      <c r="D39" s="8" t="str">
        <f>IF([2]道具信息!D39="","",[2]道具信息!D39)</f>
        <v>指定蓝色宝物</v>
      </c>
      <c r="E39" s="8">
        <f>IF([2]道具信息!E39="","",[2]道具信息!E39)</f>
        <v>100</v>
      </c>
      <c r="F39" s="8">
        <f>IF([2]道具信息!F39="","",[2]道具信息!F39)</f>
        <v>2.5</v>
      </c>
      <c r="G39" s="8">
        <f>IF([2]道具信息!G39="","",[2]道具信息!G39)</f>
        <v>1</v>
      </c>
      <c r="H39" s="8">
        <f>IF([2]道具信息!H39="","",[2]道具信息!H39)</f>
        <v>1</v>
      </c>
      <c r="I39" s="8">
        <f>IF([2]道具信息!I39="","",[2]道具信息!I39)</f>
        <v>250</v>
      </c>
      <c r="J39" s="8">
        <f>IF([2]道具信息!J39="","",[2]道具信息!J39)</f>
        <v>100</v>
      </c>
      <c r="K39" s="8">
        <f>IF([2]道具信息!K39="","",[2]道具信息!K39)</f>
        <v>100</v>
      </c>
      <c r="L39" s="8" t="str">
        <f>IF([2]道具信息!L39="","",[2]道具信息!L39)</f>
        <v/>
      </c>
      <c r="M39" s="8" t="str">
        <f>IF([2]道具信息!M39="","",[2]道具信息!M39)</f>
        <v/>
      </c>
      <c r="N39" s="8" t="str">
        <f>IF([2]道具信息!N39="","",[2]道具信息!N39)</f>
        <v/>
      </c>
      <c r="O39" s="8" t="str">
        <f>IF([2]道具信息!O39="","",[2]道具信息!O39)</f>
        <v/>
      </c>
      <c r="P39" s="8" t="str">
        <f>IF([2]道具信息!P39="","",[2]道具信息!P39)</f>
        <v/>
      </c>
      <c r="Q39" s="8" t="str">
        <f>IF([2]道具信息!Q39="","",[2]道具信息!Q39)</f>
        <v/>
      </c>
      <c r="R39" s="8" t="str">
        <f>IF([2]道具信息!R39="","",[2]道具信息!R39)</f>
        <v/>
      </c>
    </row>
    <row r="40" spans="3:18" x14ac:dyDescent="0.2">
      <c r="C40" s="8" t="str">
        <f>IF([2]道具信息!C40="","",[2]道具信息!C40)</f>
        <v/>
      </c>
      <c r="D40" s="8" t="str">
        <f>IF([2]道具信息!D40="","",[2]道具信息!D40)</f>
        <v>指定紫色宝物</v>
      </c>
      <c r="E40" s="8">
        <f>IF([2]道具信息!E40="","",[2]道具信息!E40)</f>
        <v>500</v>
      </c>
      <c r="F40" s="8">
        <f>IF([2]道具信息!F40="","",[2]道具信息!F40)</f>
        <v>2.5</v>
      </c>
      <c r="G40" s="8">
        <f>IF([2]道具信息!G40="","",[2]道具信息!G40)</f>
        <v>1</v>
      </c>
      <c r="H40" s="8">
        <f>IF([2]道具信息!H40="","",[2]道具信息!H40)</f>
        <v>1</v>
      </c>
      <c r="I40" s="8">
        <f>IF([2]道具信息!I40="","",[2]道具信息!I40)</f>
        <v>1250</v>
      </c>
      <c r="J40" s="8">
        <f>IF([2]道具信息!J40="","",[2]道具信息!J40)</f>
        <v>500</v>
      </c>
      <c r="K40" s="8">
        <f>IF([2]道具信息!K40="","",[2]道具信息!K40)</f>
        <v>500</v>
      </c>
      <c r="L40" s="8" t="str">
        <f>IF([2]道具信息!L40="","",[2]道具信息!L40)</f>
        <v/>
      </c>
      <c r="M40" s="8" t="str">
        <f>IF([2]道具信息!M40="","",[2]道具信息!M40)</f>
        <v/>
      </c>
      <c r="N40" s="8" t="str">
        <f>IF([2]道具信息!N40="","",[2]道具信息!N40)</f>
        <v/>
      </c>
      <c r="O40" s="8" t="str">
        <f>IF([2]道具信息!O40="","",[2]道具信息!O40)</f>
        <v/>
      </c>
      <c r="P40" s="8" t="str">
        <f>IF([2]道具信息!P40="","",[2]道具信息!P40)</f>
        <v/>
      </c>
      <c r="Q40" s="8" t="str">
        <f>IF([2]道具信息!Q40="","",[2]道具信息!Q40)</f>
        <v/>
      </c>
      <c r="R40" s="8" t="str">
        <f>IF([2]道具信息!R40="","",[2]道具信息!R40)</f>
        <v/>
      </c>
    </row>
    <row r="41" spans="3:18" x14ac:dyDescent="0.2">
      <c r="C41" s="8" t="str">
        <f>IF([2]道具信息!C41="","",[2]道具信息!C41)</f>
        <v/>
      </c>
      <c r="D41" s="8" t="str">
        <f>IF([2]道具信息!D41="","",[2]道具信息!D41)</f>
        <v>指定橙色宝物</v>
      </c>
      <c r="E41" s="8">
        <f>IF([2]道具信息!E41="","",[2]道具信息!E41)</f>
        <v>4000</v>
      </c>
      <c r="F41" s="8">
        <f>IF([2]道具信息!F41="","",[2]道具信息!F41)</f>
        <v>2.5</v>
      </c>
      <c r="G41" s="8">
        <f>IF([2]道具信息!G41="","",[2]道具信息!G41)</f>
        <v>1</v>
      </c>
      <c r="H41" s="8">
        <f>IF([2]道具信息!H41="","",[2]道具信息!H41)</f>
        <v>1</v>
      </c>
      <c r="I41" s="8">
        <f>IF([2]道具信息!I41="","",[2]道具信息!I41)</f>
        <v>10000</v>
      </c>
      <c r="J41" s="8">
        <f>IF([2]道具信息!J41="","",[2]道具信息!J41)</f>
        <v>4000</v>
      </c>
      <c r="K41" s="8">
        <f>IF([2]道具信息!K41="","",[2]道具信息!K41)</f>
        <v>4000</v>
      </c>
      <c r="L41" s="8" t="str">
        <f>IF([2]道具信息!L41="","",[2]道具信息!L41)</f>
        <v/>
      </c>
      <c r="M41" s="8" t="str">
        <f>IF([2]道具信息!M41="","",[2]道具信息!M41)</f>
        <v/>
      </c>
      <c r="N41" s="8" t="str">
        <f>IF([2]道具信息!N41="","",[2]道具信息!N41)</f>
        <v/>
      </c>
      <c r="O41" s="8" t="str">
        <f>IF([2]道具信息!O41="","",[2]道具信息!O41)</f>
        <v/>
      </c>
      <c r="P41" s="8" t="str">
        <f>IF([2]道具信息!P41="","",[2]道具信息!P41)</f>
        <v/>
      </c>
      <c r="Q41" s="8" t="str">
        <f>IF([2]道具信息!Q41="","",[2]道具信息!Q41)</f>
        <v/>
      </c>
      <c r="R41" s="8" t="str">
        <f>IF([2]道具信息!R41="","",[2]道具信息!R41)</f>
        <v/>
      </c>
    </row>
    <row r="42" spans="3:18" x14ac:dyDescent="0.2">
      <c r="C42" s="8" t="str">
        <f>IF([2]道具信息!C42="","",[2]道具信息!C42)</f>
        <v/>
      </c>
      <c r="D42" s="8" t="str">
        <f>IF([2]道具信息!D42="","",[2]道具信息!D42)</f>
        <v>指定橙+宝物</v>
      </c>
      <c r="E42" s="8">
        <f>IF([2]道具信息!E42="","",[2]道具信息!E42)</f>
        <v>20000</v>
      </c>
      <c r="F42" s="8">
        <f>IF([2]道具信息!F42="","",[2]道具信息!F42)</f>
        <v>2.5</v>
      </c>
      <c r="G42" s="8">
        <f>IF([2]道具信息!G42="","",[2]道具信息!G42)</f>
        <v>1</v>
      </c>
      <c r="H42" s="8">
        <f>IF([2]道具信息!H42="","",[2]道具信息!H42)</f>
        <v>1</v>
      </c>
      <c r="I42" s="8">
        <f>IF([2]道具信息!I42="","",[2]道具信息!I42)</f>
        <v>50000</v>
      </c>
      <c r="J42" s="8">
        <f>IF([2]道具信息!J42="","",[2]道具信息!J42)</f>
        <v>20000</v>
      </c>
      <c r="K42" s="8">
        <f>IF([2]道具信息!K42="","",[2]道具信息!K42)</f>
        <v>20000</v>
      </c>
      <c r="L42" s="8" t="str">
        <f>IF([2]道具信息!L42="","",[2]道具信息!L42)</f>
        <v/>
      </c>
      <c r="M42" s="8" t="str">
        <f>IF([2]道具信息!M42="","",[2]道具信息!M42)</f>
        <v/>
      </c>
      <c r="N42" s="8" t="str">
        <f>IF([2]道具信息!N42="","",[2]道具信息!N42)</f>
        <v/>
      </c>
      <c r="O42" s="8" t="str">
        <f>IF([2]道具信息!O42="","",[2]道具信息!O42)</f>
        <v/>
      </c>
      <c r="P42" s="8" t="str">
        <f>IF([2]道具信息!P42="","",[2]道具信息!P42)</f>
        <v/>
      </c>
      <c r="Q42" s="8" t="str">
        <f>IF([2]道具信息!Q42="","",[2]道具信息!Q42)</f>
        <v/>
      </c>
      <c r="R42" s="8" t="str">
        <f>IF([2]道具信息!R42="","",[2]道具信息!R42)</f>
        <v/>
      </c>
    </row>
    <row r="43" spans="3:18" x14ac:dyDescent="0.2">
      <c r="C43" s="8" t="str">
        <f>IF([2]道具信息!C43="","",[2]道具信息!C43)</f>
        <v/>
      </c>
      <c r="D43" s="8" t="str">
        <f>IF([2]道具信息!D43="","",[2]道具信息!D43)</f>
        <v>指定红色宝物</v>
      </c>
      <c r="E43" s="8">
        <f>IF([2]道具信息!E43="","",[2]道具信息!E43)</f>
        <v>60000</v>
      </c>
      <c r="F43" s="8">
        <f>IF([2]道具信息!F43="","",[2]道具信息!F43)</f>
        <v>2.5</v>
      </c>
      <c r="G43" s="8">
        <f>IF([2]道具信息!G43="","",[2]道具信息!G43)</f>
        <v>1</v>
      </c>
      <c r="H43" s="8">
        <f>IF([2]道具信息!H43="","",[2]道具信息!H43)</f>
        <v>1</v>
      </c>
      <c r="I43" s="8">
        <f>IF([2]道具信息!I43="","",[2]道具信息!I43)</f>
        <v>150000</v>
      </c>
      <c r="J43" s="8">
        <f>IF([2]道具信息!J43="","",[2]道具信息!J43)</f>
        <v>60000</v>
      </c>
      <c r="K43" s="8">
        <f>IF([2]道具信息!K43="","",[2]道具信息!K43)</f>
        <v>60000</v>
      </c>
      <c r="L43" s="8" t="str">
        <f>IF([2]道具信息!L43="","",[2]道具信息!L43)</f>
        <v/>
      </c>
      <c r="M43" s="8" t="str">
        <f>IF([2]道具信息!M43="","",[2]道具信息!M43)</f>
        <v/>
      </c>
      <c r="N43" s="8" t="str">
        <f>IF([2]道具信息!N43="","",[2]道具信息!N43)</f>
        <v/>
      </c>
      <c r="O43" s="8" t="str">
        <f>IF([2]道具信息!O43="","",[2]道具信息!O43)</f>
        <v/>
      </c>
      <c r="P43" s="8" t="str">
        <f>IF([2]道具信息!P43="","",[2]道具信息!P43)</f>
        <v/>
      </c>
      <c r="Q43" s="8" t="str">
        <f>IF([2]道具信息!Q43="","",[2]道具信息!Q43)</f>
        <v/>
      </c>
      <c r="R43" s="8" t="str">
        <f>IF([2]道具信息!R43="","",[2]道具信息!R43)</f>
        <v/>
      </c>
    </row>
    <row r="44" spans="3:18" x14ac:dyDescent="0.2">
      <c r="C44" s="8" t="str">
        <f>IF([2]道具信息!C44="","",[2]道具信息!C44)</f>
        <v/>
      </c>
      <c r="D44" s="8" t="str">
        <f>IF([2]道具信息!D44="","",[2]道具信息!D44)</f>
        <v>指定橙色宝物碎片</v>
      </c>
      <c r="E44" s="8">
        <f>IF([2]道具信息!E44="","",[2]道具信息!E44)</f>
        <v>133.33333333333334</v>
      </c>
      <c r="F44" s="8">
        <f>IF([2]道具信息!F44="","",[2]道具信息!F44)</f>
        <v>2.5</v>
      </c>
      <c r="G44" s="8">
        <f>IF([2]道具信息!G44="","",[2]道具信息!G44)</f>
        <v>1</v>
      </c>
      <c r="H44" s="8">
        <f>IF([2]道具信息!H44="","",[2]道具信息!H44)</f>
        <v>1</v>
      </c>
      <c r="I44" s="8">
        <f>IF([2]道具信息!I44="","",[2]道具信息!I44)</f>
        <v>333.33333333333337</v>
      </c>
      <c r="J44" s="8">
        <f>IF([2]道具信息!J44="","",[2]道具信息!J44)</f>
        <v>133.33333333333334</v>
      </c>
      <c r="K44" s="8">
        <f>IF([2]道具信息!K44="","",[2]道具信息!K44)</f>
        <v>133.33333333333334</v>
      </c>
      <c r="L44" s="8" t="str">
        <f>IF([2]道具信息!L44="","",[2]道具信息!L44)</f>
        <v/>
      </c>
      <c r="M44" s="8" t="str">
        <f>IF([2]道具信息!M44="","",[2]道具信息!M44)</f>
        <v/>
      </c>
      <c r="N44" s="8" t="str">
        <f>IF([2]道具信息!N44="","",[2]道具信息!N44)</f>
        <v/>
      </c>
      <c r="O44" s="8" t="str">
        <f>IF([2]道具信息!O44="","",[2]道具信息!O44)</f>
        <v/>
      </c>
      <c r="P44" s="8" t="str">
        <f>IF([2]道具信息!P44="","",[2]道具信息!P44)</f>
        <v/>
      </c>
      <c r="Q44" s="8" t="str">
        <f>IF([2]道具信息!Q44="","",[2]道具信息!Q44)</f>
        <v/>
      </c>
      <c r="R44" s="8" t="str">
        <f>IF([2]道具信息!R44="","",[2]道具信息!R44)</f>
        <v/>
      </c>
    </row>
    <row r="45" spans="3:18" x14ac:dyDescent="0.2">
      <c r="C45" s="8" t="str">
        <f>IF([2]道具信息!C45="","",[2]道具信息!C45)</f>
        <v/>
      </c>
      <c r="D45" s="8" t="str">
        <f>IF([2]道具信息!D45="","",[2]道具信息!D45)</f>
        <v>指定橙+宝物碎片</v>
      </c>
      <c r="E45" s="8">
        <f>IF([2]道具信息!E45="","",[2]道具信息!E45)</f>
        <v>666.66666666666663</v>
      </c>
      <c r="F45" s="8">
        <f>IF([2]道具信息!F45="","",[2]道具信息!F45)</f>
        <v>2.5</v>
      </c>
      <c r="G45" s="8">
        <f>IF([2]道具信息!G45="","",[2]道具信息!G45)</f>
        <v>1</v>
      </c>
      <c r="H45" s="8">
        <f>IF([2]道具信息!H45="","",[2]道具信息!H45)</f>
        <v>1</v>
      </c>
      <c r="I45" s="8">
        <f>IF([2]道具信息!I45="","",[2]道具信息!I45)</f>
        <v>1666.6666666666665</v>
      </c>
      <c r="J45" s="8">
        <f>IF([2]道具信息!J45="","",[2]道具信息!J45)</f>
        <v>666.66666666666663</v>
      </c>
      <c r="K45" s="8">
        <f>IF([2]道具信息!K45="","",[2]道具信息!K45)</f>
        <v>666.66666666666663</v>
      </c>
      <c r="L45" s="8" t="str">
        <f>IF([2]道具信息!L45="","",[2]道具信息!L45)</f>
        <v/>
      </c>
      <c r="M45" s="8" t="str">
        <f>IF([2]道具信息!M45="","",[2]道具信息!M45)</f>
        <v/>
      </c>
      <c r="N45" s="8" t="str">
        <f>IF([2]道具信息!N45="","",[2]道具信息!N45)</f>
        <v/>
      </c>
      <c r="O45" s="8" t="str">
        <f>IF([2]道具信息!O45="","",[2]道具信息!O45)</f>
        <v/>
      </c>
      <c r="P45" s="8" t="str">
        <f>IF([2]道具信息!P45="","",[2]道具信息!P45)</f>
        <v/>
      </c>
      <c r="Q45" s="8" t="str">
        <f>IF([2]道具信息!Q45="","",[2]道具信息!Q45)</f>
        <v/>
      </c>
      <c r="R45" s="8" t="str">
        <f>IF([2]道具信息!R45="","",[2]道具信息!R45)</f>
        <v/>
      </c>
    </row>
    <row r="46" spans="3:18" x14ac:dyDescent="0.2">
      <c r="C46" s="8" t="str">
        <f>IF([2]道具信息!C46="","",[2]道具信息!C46)</f>
        <v/>
      </c>
      <c r="D46" s="8" t="str">
        <f>IF([2]道具信息!D46="","",[2]道具信息!D46)</f>
        <v>指定红色宝物碎片</v>
      </c>
      <c r="E46" s="8">
        <f>IF([2]道具信息!E46="","",[2]道具信息!E46)</f>
        <v>1200</v>
      </c>
      <c r="F46" s="8">
        <f>IF([2]道具信息!F46="","",[2]道具信息!F46)</f>
        <v>2.5</v>
      </c>
      <c r="G46" s="8">
        <f>IF([2]道具信息!G46="","",[2]道具信息!G46)</f>
        <v>1</v>
      </c>
      <c r="H46" s="8">
        <f>IF([2]道具信息!H46="","",[2]道具信息!H46)</f>
        <v>1</v>
      </c>
      <c r="I46" s="8">
        <f>IF([2]道具信息!I46="","",[2]道具信息!I46)</f>
        <v>3000</v>
      </c>
      <c r="J46" s="8">
        <f>IF([2]道具信息!J46="","",[2]道具信息!J46)</f>
        <v>1200</v>
      </c>
      <c r="K46" s="8">
        <f>IF([2]道具信息!K46="","",[2]道具信息!K46)</f>
        <v>1200</v>
      </c>
      <c r="L46" s="8" t="str">
        <f>IF([2]道具信息!L46="","",[2]道具信息!L46)</f>
        <v/>
      </c>
      <c r="M46" s="8" t="str">
        <f>IF([2]道具信息!M46="","",[2]道具信息!M46)</f>
        <v/>
      </c>
      <c r="N46" s="8" t="str">
        <f>IF([2]道具信息!N46="","",[2]道具信息!N46)</f>
        <v/>
      </c>
      <c r="O46" s="8" t="str">
        <f>IF([2]道具信息!O46="","",[2]道具信息!O46)</f>
        <v/>
      </c>
      <c r="P46" s="8" t="str">
        <f>IF([2]道具信息!P46="","",[2]道具信息!P46)</f>
        <v/>
      </c>
      <c r="Q46" s="8" t="str">
        <f>IF([2]道具信息!Q46="","",[2]道具信息!Q46)</f>
        <v/>
      </c>
      <c r="R46" s="8" t="str">
        <f>IF([2]道具信息!R46="","",[2]道具信息!R46)</f>
        <v/>
      </c>
    </row>
    <row r="47" spans="3:18" x14ac:dyDescent="0.2">
      <c r="C47" s="8" t="str">
        <f>IF([2]道具信息!C47="","",[2]道具信息!C47)</f>
        <v/>
      </c>
      <c r="D47" s="8" t="str">
        <f>IF([2]道具信息!D47="","",[2]道具信息!D47)</f>
        <v>随机蓝色宝物</v>
      </c>
      <c r="E47" s="8">
        <f>IF([2]道具信息!E47="","",[2]道具信息!E47)</f>
        <v>100</v>
      </c>
      <c r="F47" s="8">
        <f>IF([2]道具信息!F47="","",[2]道具信息!F47)</f>
        <v>2.5</v>
      </c>
      <c r="G47" s="8">
        <f>IF([2]道具信息!G47="","",[2]道具信息!G47)</f>
        <v>1</v>
      </c>
      <c r="H47" s="8">
        <f>IF([2]道具信息!H47="","",[2]道具信息!H47)</f>
        <v>1</v>
      </c>
      <c r="I47" s="8">
        <f>IF([2]道具信息!I47="","",[2]道具信息!I47)</f>
        <v>250</v>
      </c>
      <c r="J47" s="8">
        <f>IF([2]道具信息!J47="","",[2]道具信息!J47)</f>
        <v>100</v>
      </c>
      <c r="K47" s="8">
        <f>IF([2]道具信息!K47="","",[2]道具信息!K47)</f>
        <v>100</v>
      </c>
      <c r="L47" s="8" t="str">
        <f>IF([2]道具信息!L47="","",[2]道具信息!L47)</f>
        <v/>
      </c>
      <c r="M47" s="8" t="str">
        <f>IF([2]道具信息!M47="","",[2]道具信息!M47)</f>
        <v/>
      </c>
      <c r="N47" s="8" t="str">
        <f>IF([2]道具信息!N47="","",[2]道具信息!N47)</f>
        <v/>
      </c>
      <c r="O47" s="8" t="str">
        <f>IF([2]道具信息!O47="","",[2]道具信息!O47)</f>
        <v/>
      </c>
      <c r="P47" s="8" t="str">
        <f>IF([2]道具信息!P47="","",[2]道具信息!P47)</f>
        <v/>
      </c>
      <c r="Q47" s="8" t="str">
        <f>IF([2]道具信息!Q47="","",[2]道具信息!Q47)</f>
        <v/>
      </c>
      <c r="R47" s="8" t="str">
        <f>IF([2]道具信息!R47="","",[2]道具信息!R47)</f>
        <v/>
      </c>
    </row>
    <row r="48" spans="3:18" x14ac:dyDescent="0.2">
      <c r="C48" s="8" t="str">
        <f>IF([2]道具信息!C48="","",[2]道具信息!C48)</f>
        <v/>
      </c>
      <c r="D48" s="8" t="str">
        <f>IF([2]道具信息!D48="","",[2]道具信息!D48)</f>
        <v>随机紫色宝物</v>
      </c>
      <c r="E48" s="8">
        <f>IF([2]道具信息!E48="","",[2]道具信息!E48)</f>
        <v>500</v>
      </c>
      <c r="F48" s="8">
        <f>IF([2]道具信息!F48="","",[2]道具信息!F48)</f>
        <v>2.5</v>
      </c>
      <c r="G48" s="8">
        <f>IF([2]道具信息!G48="","",[2]道具信息!G48)</f>
        <v>1</v>
      </c>
      <c r="H48" s="8">
        <f>IF([2]道具信息!H48="","",[2]道具信息!H48)</f>
        <v>1</v>
      </c>
      <c r="I48" s="8">
        <f>IF([2]道具信息!I48="","",[2]道具信息!I48)</f>
        <v>1250</v>
      </c>
      <c r="J48" s="8">
        <f>IF([2]道具信息!J48="","",[2]道具信息!J48)</f>
        <v>500</v>
      </c>
      <c r="K48" s="8">
        <f>IF([2]道具信息!K48="","",[2]道具信息!K48)</f>
        <v>500</v>
      </c>
      <c r="L48" s="8" t="str">
        <f>IF([2]道具信息!L48="","",[2]道具信息!L48)</f>
        <v/>
      </c>
      <c r="M48" s="8" t="str">
        <f>IF([2]道具信息!M48="","",[2]道具信息!M48)</f>
        <v/>
      </c>
      <c r="N48" s="8" t="str">
        <f>IF([2]道具信息!N48="","",[2]道具信息!N48)</f>
        <v/>
      </c>
      <c r="O48" s="8" t="str">
        <f>IF([2]道具信息!O48="","",[2]道具信息!O48)</f>
        <v/>
      </c>
      <c r="P48" s="8" t="str">
        <f>IF([2]道具信息!P48="","",[2]道具信息!P48)</f>
        <v/>
      </c>
      <c r="Q48" s="8" t="str">
        <f>IF([2]道具信息!Q48="","",[2]道具信息!Q48)</f>
        <v/>
      </c>
      <c r="R48" s="8" t="str">
        <f>IF([2]道具信息!R48="","",[2]道具信息!R48)</f>
        <v/>
      </c>
    </row>
    <row r="49" spans="3:18" x14ac:dyDescent="0.2">
      <c r="C49" s="8" t="str">
        <f>IF([2]道具信息!C49="","",[2]道具信息!C49)</f>
        <v/>
      </c>
      <c r="D49" s="8" t="str">
        <f>IF([2]道具信息!D49="","",[2]道具信息!D49)</f>
        <v>随机橙色宝物</v>
      </c>
      <c r="E49" s="8">
        <f>IF([2]道具信息!E49="","",[2]道具信息!E49)</f>
        <v>2500</v>
      </c>
      <c r="F49" s="8">
        <f>IF([2]道具信息!F49="","",[2]道具信息!F49)</f>
        <v>2.5</v>
      </c>
      <c r="G49" s="8">
        <f>IF([2]道具信息!G49="","",[2]道具信息!G49)</f>
        <v>1</v>
      </c>
      <c r="H49" s="8">
        <f>IF([2]道具信息!H49="","",[2]道具信息!H49)</f>
        <v>1</v>
      </c>
      <c r="I49" s="8">
        <f>IF([2]道具信息!I49="","",[2]道具信息!I49)</f>
        <v>6250</v>
      </c>
      <c r="J49" s="8">
        <f>IF([2]道具信息!J49="","",[2]道具信息!J49)</f>
        <v>2500</v>
      </c>
      <c r="K49" s="8">
        <f>IF([2]道具信息!K49="","",[2]道具信息!K49)</f>
        <v>2500</v>
      </c>
      <c r="L49" s="8" t="str">
        <f>IF([2]道具信息!L49="","",[2]道具信息!L49)</f>
        <v/>
      </c>
      <c r="M49" s="8" t="str">
        <f>IF([2]道具信息!M49="","",[2]道具信息!M49)</f>
        <v/>
      </c>
      <c r="N49" s="8" t="str">
        <f>IF([2]道具信息!N49="","",[2]道具信息!N49)</f>
        <v/>
      </c>
      <c r="O49" s="8" t="str">
        <f>IF([2]道具信息!O49="","",[2]道具信息!O49)</f>
        <v/>
      </c>
      <c r="P49" s="8" t="str">
        <f>IF([2]道具信息!P49="","",[2]道具信息!P49)</f>
        <v/>
      </c>
      <c r="Q49" s="8" t="str">
        <f>IF([2]道具信息!Q49="","",[2]道具信息!Q49)</f>
        <v/>
      </c>
      <c r="R49" s="8" t="str">
        <f>IF([2]道具信息!R49="","",[2]道具信息!R49)</f>
        <v/>
      </c>
    </row>
    <row r="50" spans="3:18" x14ac:dyDescent="0.2">
      <c r="C50" s="8" t="str">
        <f>IF([2]道具信息!C50="","",[2]道具信息!C50)</f>
        <v/>
      </c>
      <c r="D50" s="8" t="str">
        <f>IF([2]道具信息!D50="","",[2]道具信息!D50)</f>
        <v>随机橙+宝物</v>
      </c>
      <c r="E50" s="8">
        <f>IF([2]道具信息!E50="","",[2]道具信息!E50)</f>
        <v>10000</v>
      </c>
      <c r="F50" s="8">
        <f>IF([2]道具信息!F50="","",[2]道具信息!F50)</f>
        <v>2.5</v>
      </c>
      <c r="G50" s="8">
        <f>IF([2]道具信息!G50="","",[2]道具信息!G50)</f>
        <v>1</v>
      </c>
      <c r="H50" s="8">
        <f>IF([2]道具信息!H50="","",[2]道具信息!H50)</f>
        <v>1</v>
      </c>
      <c r="I50" s="8">
        <f>IF([2]道具信息!I50="","",[2]道具信息!I50)</f>
        <v>25000</v>
      </c>
      <c r="J50" s="8">
        <f>IF([2]道具信息!J50="","",[2]道具信息!J50)</f>
        <v>10000</v>
      </c>
      <c r="K50" s="8">
        <f>IF([2]道具信息!K50="","",[2]道具信息!K50)</f>
        <v>10000</v>
      </c>
      <c r="L50" s="8" t="str">
        <f>IF([2]道具信息!L50="","",[2]道具信息!L50)</f>
        <v/>
      </c>
      <c r="M50" s="8" t="str">
        <f>IF([2]道具信息!M50="","",[2]道具信息!M50)</f>
        <v/>
      </c>
      <c r="N50" s="8" t="str">
        <f>IF([2]道具信息!N50="","",[2]道具信息!N50)</f>
        <v/>
      </c>
      <c r="O50" s="8" t="str">
        <f>IF([2]道具信息!O50="","",[2]道具信息!O50)</f>
        <v/>
      </c>
      <c r="P50" s="8" t="str">
        <f>IF([2]道具信息!P50="","",[2]道具信息!P50)</f>
        <v/>
      </c>
      <c r="Q50" s="8" t="str">
        <f>IF([2]道具信息!Q50="","",[2]道具信息!Q50)</f>
        <v/>
      </c>
      <c r="R50" s="8" t="str">
        <f>IF([2]道具信息!R50="","",[2]道具信息!R50)</f>
        <v/>
      </c>
    </row>
    <row r="51" spans="3:18" x14ac:dyDescent="0.2">
      <c r="C51" s="8" t="str">
        <f>IF([2]道具信息!C51="","",[2]道具信息!C51)</f>
        <v/>
      </c>
      <c r="D51" s="8" t="str">
        <f>IF([2]道具信息!D51="","",[2]道具信息!D51)</f>
        <v>随机紫色宝物碎片</v>
      </c>
      <c r="E51" s="8">
        <f>IF([2]道具信息!E51="","",[2]道具信息!E51)</f>
        <v>16.666666666666668</v>
      </c>
      <c r="F51" s="8">
        <f>IF([2]道具信息!F51="","",[2]道具信息!F51)</f>
        <v>2.5</v>
      </c>
      <c r="G51" s="8">
        <f>IF([2]道具信息!G51="","",[2]道具信息!G51)</f>
        <v>1</v>
      </c>
      <c r="H51" s="8">
        <f>IF([2]道具信息!H51="","",[2]道具信息!H51)</f>
        <v>1</v>
      </c>
      <c r="I51" s="8">
        <f>IF([2]道具信息!I51="","",[2]道具信息!I51)</f>
        <v>41.666666666666671</v>
      </c>
      <c r="J51" s="8">
        <f>IF([2]道具信息!J51="","",[2]道具信息!J51)</f>
        <v>16.666666666666668</v>
      </c>
      <c r="K51" s="8">
        <f>IF([2]道具信息!K51="","",[2]道具信息!K51)</f>
        <v>16.666666666666668</v>
      </c>
      <c r="L51" s="8" t="str">
        <f>IF([2]道具信息!L51="","",[2]道具信息!L51)</f>
        <v>配置成了30合1，所以价值为随机紫色宝物/30</v>
      </c>
      <c r="M51" s="8" t="str">
        <f>IF([2]道具信息!M51="","",[2]道具信息!M51)</f>
        <v/>
      </c>
      <c r="N51" s="8" t="str">
        <f>IF([2]道具信息!N51="","",[2]道具信息!N51)</f>
        <v/>
      </c>
      <c r="O51" s="8" t="str">
        <f>IF([2]道具信息!O51="","",[2]道具信息!O51)</f>
        <v/>
      </c>
      <c r="P51" s="8" t="str">
        <f>IF([2]道具信息!P51="","",[2]道具信息!P51)</f>
        <v/>
      </c>
      <c r="Q51" s="8" t="str">
        <f>IF([2]道具信息!Q51="","",[2]道具信息!Q51)</f>
        <v/>
      </c>
      <c r="R51" s="8" t="str">
        <f>IF([2]道具信息!R51="","",[2]道具信息!R51)</f>
        <v/>
      </c>
    </row>
    <row r="52" spans="3:18" x14ac:dyDescent="0.2">
      <c r="C52" s="8" t="str">
        <f>IF([2]道具信息!C52="","",[2]道具信息!C52)</f>
        <v/>
      </c>
      <c r="D52" s="8" t="str">
        <f>IF([2]道具信息!D52="","",[2]道具信息!D52)</f>
        <v>随机橙色宝物碎片</v>
      </c>
      <c r="E52" s="8">
        <f>IF([2]道具信息!E52="","",[2]道具信息!E52)</f>
        <v>83.333333333333329</v>
      </c>
      <c r="F52" s="8">
        <f>IF([2]道具信息!F52="","",[2]道具信息!F52)</f>
        <v>2.5</v>
      </c>
      <c r="G52" s="8">
        <f>IF([2]道具信息!G52="","",[2]道具信息!G52)</f>
        <v>1</v>
      </c>
      <c r="H52" s="8">
        <f>IF([2]道具信息!H52="","",[2]道具信息!H52)</f>
        <v>1</v>
      </c>
      <c r="I52" s="8">
        <f>IF([2]道具信息!I52="","",[2]道具信息!I52)</f>
        <v>208.33333333333331</v>
      </c>
      <c r="J52" s="8">
        <f>IF([2]道具信息!J52="","",[2]道具信息!J52)</f>
        <v>83.333333333333329</v>
      </c>
      <c r="K52" s="8">
        <f>IF([2]道具信息!K52="","",[2]道具信息!K52)</f>
        <v>83.333333333333329</v>
      </c>
      <c r="L52" s="8" t="str">
        <f>IF([2]道具信息!L52="","",[2]道具信息!L52)</f>
        <v/>
      </c>
      <c r="M52" s="8" t="str">
        <f>IF([2]道具信息!M52="","",[2]道具信息!M52)</f>
        <v/>
      </c>
      <c r="N52" s="8" t="str">
        <f>IF([2]道具信息!N52="","",[2]道具信息!N52)</f>
        <v/>
      </c>
      <c r="O52" s="8" t="str">
        <f>IF([2]道具信息!O52="","",[2]道具信息!O52)</f>
        <v/>
      </c>
      <c r="P52" s="8" t="str">
        <f>IF([2]道具信息!P52="","",[2]道具信息!P52)</f>
        <v/>
      </c>
      <c r="Q52" s="8" t="str">
        <f>IF([2]道具信息!Q52="","",[2]道具信息!Q52)</f>
        <v/>
      </c>
      <c r="R52" s="8" t="str">
        <f>IF([2]道具信息!R52="","",[2]道具信息!R52)</f>
        <v/>
      </c>
    </row>
    <row r="53" spans="3:18" x14ac:dyDescent="0.2">
      <c r="C53" s="8" t="str">
        <f>IF([2]道具信息!C53="","",[2]道具信息!C53)</f>
        <v/>
      </c>
      <c r="D53" s="8" t="str">
        <f>IF([2]道具信息!D53="","",[2]道具信息!D53)</f>
        <v>随机橙+宝物碎片</v>
      </c>
      <c r="E53" s="8">
        <f>IF([2]道具信息!E53="","",[2]道具信息!E53)</f>
        <v>333.33333333333331</v>
      </c>
      <c r="F53" s="8">
        <f>IF([2]道具信息!F53="","",[2]道具信息!F53)</f>
        <v>2.5</v>
      </c>
      <c r="G53" s="8">
        <f>IF([2]道具信息!G53="","",[2]道具信息!G53)</f>
        <v>1</v>
      </c>
      <c r="H53" s="8">
        <f>IF([2]道具信息!H53="","",[2]道具信息!H53)</f>
        <v>1</v>
      </c>
      <c r="I53" s="8">
        <f>IF([2]道具信息!I53="","",[2]道具信息!I53)</f>
        <v>833.33333333333326</v>
      </c>
      <c r="J53" s="8">
        <f>IF([2]道具信息!J53="","",[2]道具信息!J53)</f>
        <v>333.33333333333331</v>
      </c>
      <c r="K53" s="8">
        <f>IF([2]道具信息!K53="","",[2]道具信息!K53)</f>
        <v>333.33333333333331</v>
      </c>
      <c r="L53" s="8" t="str">
        <f>IF([2]道具信息!L53="","",[2]道具信息!L53)</f>
        <v/>
      </c>
      <c r="M53" s="8" t="str">
        <f>IF([2]道具信息!M53="","",[2]道具信息!M53)</f>
        <v/>
      </c>
      <c r="N53" s="8" t="str">
        <f>IF([2]道具信息!N53="","",[2]道具信息!N53)</f>
        <v/>
      </c>
      <c r="O53" s="8" t="str">
        <f>IF([2]道具信息!O53="","",[2]道具信息!O53)</f>
        <v/>
      </c>
      <c r="P53" s="8" t="str">
        <f>IF([2]道具信息!P53="","",[2]道具信息!P53)</f>
        <v/>
      </c>
      <c r="Q53" s="8" t="str">
        <f>IF([2]道具信息!Q53="","",[2]道具信息!Q53)</f>
        <v/>
      </c>
      <c r="R53" s="8" t="str">
        <f>IF([2]道具信息!R53="","",[2]道具信息!R53)</f>
        <v/>
      </c>
    </row>
    <row r="54" spans="3:18" x14ac:dyDescent="0.2">
      <c r="C54" s="8" t="str">
        <f>IF([2]道具信息!C54="","",[2]道具信息!C54)</f>
        <v/>
      </c>
      <c r="D54" s="8" t="str">
        <f>IF([2]道具信息!D54="","",[2]道具信息!D54)</f>
        <v/>
      </c>
      <c r="E54" s="8" t="str">
        <f>IF([2]道具信息!E54="","",[2]道具信息!E54)</f>
        <v/>
      </c>
      <c r="F54" s="8" t="str">
        <f>IF([2]道具信息!F54="","",[2]道具信息!F54)</f>
        <v/>
      </c>
      <c r="G54" s="8" t="str">
        <f>IF([2]道具信息!G54="","",[2]道具信息!G54)</f>
        <v/>
      </c>
      <c r="H54" s="8" t="str">
        <f>IF([2]道具信息!H54="","",[2]道具信息!H54)</f>
        <v/>
      </c>
      <c r="I54" s="8" t="str">
        <f>IF([2]道具信息!I54="","",[2]道具信息!I54)</f>
        <v/>
      </c>
      <c r="J54" s="8" t="str">
        <f>IF([2]道具信息!J54="","",[2]道具信息!J54)</f>
        <v/>
      </c>
      <c r="K54" s="8" t="str">
        <f>IF([2]道具信息!K54="","",[2]道具信息!K54)</f>
        <v/>
      </c>
      <c r="L54" s="8" t="str">
        <f>IF([2]道具信息!L54="","",[2]道具信息!L54)</f>
        <v/>
      </c>
      <c r="M54" s="8" t="str">
        <f>IF([2]道具信息!M54="","",[2]道具信息!M54)</f>
        <v/>
      </c>
      <c r="N54" s="8" t="str">
        <f>IF([2]道具信息!N54="","",[2]道具信息!N54)</f>
        <v/>
      </c>
      <c r="O54" s="8" t="str">
        <f>IF([2]道具信息!O54="","",[2]道具信息!O54)</f>
        <v/>
      </c>
      <c r="P54" s="8" t="str">
        <f>IF([2]道具信息!P54="","",[2]道具信息!P54)</f>
        <v/>
      </c>
      <c r="Q54" s="8" t="str">
        <f>IF([2]道具信息!Q54="","",[2]道具信息!Q54)</f>
        <v/>
      </c>
      <c r="R54" s="8" t="str">
        <f>IF([2]道具信息!R54="","",[2]道具信息!R54)</f>
        <v/>
      </c>
    </row>
    <row r="55" spans="3:18" x14ac:dyDescent="0.2">
      <c r="C55" s="8" t="str">
        <f>IF([2]道具信息!C55="","",[2]道具信息!C55)</f>
        <v/>
      </c>
      <c r="D55" s="8" t="str">
        <f>IF([2]道具信息!D55="","",[2]道具信息!D55)</f>
        <v>紫色藏宝图</v>
      </c>
      <c r="E55" s="8">
        <f>IF([2]道具信息!E55="","",[2]道具信息!E55)</f>
        <v>137.5</v>
      </c>
      <c r="F55" s="8">
        <f>IF([2]道具信息!F55="","",[2]道具信息!F55)</f>
        <v>1</v>
      </c>
      <c r="G55" s="8">
        <f>IF([2]道具信息!G55="","",[2]道具信息!G55)</f>
        <v>1</v>
      </c>
      <c r="H55" s="8">
        <f>IF([2]道具信息!H55="","",[2]道具信息!H55)</f>
        <v>1</v>
      </c>
      <c r="I55" s="8">
        <f>IF([2]道具信息!I55="","",[2]道具信息!I55)</f>
        <v>137.5</v>
      </c>
      <c r="J55" s="8">
        <f>IF([2]道具信息!J55="","",[2]道具信息!J55)</f>
        <v>137.5</v>
      </c>
      <c r="K55" s="8">
        <f>IF([2]道具信息!K55="","",[2]道具信息!K55)</f>
        <v>137.5</v>
      </c>
      <c r="L55" s="8" t="str">
        <f>IF([2]道具信息!L55="","",[2]道具信息!L55)</f>
        <v/>
      </c>
      <c r="M55" s="8" t="str">
        <f>IF([2]道具信息!M55="","",[2]道具信息!M55)</f>
        <v/>
      </c>
      <c r="N55" s="8" t="str">
        <f>IF([2]道具信息!N55="","",[2]道具信息!N55)</f>
        <v/>
      </c>
      <c r="O55" s="8" t="str">
        <f>IF([2]道具信息!O55="","",[2]道具信息!O55)</f>
        <v/>
      </c>
      <c r="P55" s="8" t="str">
        <f>IF([2]道具信息!P55="","",[2]道具信息!P55)</f>
        <v/>
      </c>
      <c r="Q55" s="8" t="str">
        <f>IF([2]道具信息!Q55="","",[2]道具信息!Q55)</f>
        <v/>
      </c>
      <c r="R55" s="8" t="str">
        <f>IF([2]道具信息!R55="","",[2]道具信息!R55)</f>
        <v/>
      </c>
    </row>
    <row r="56" spans="3:18" x14ac:dyDescent="0.2">
      <c r="C56" s="8" t="str">
        <f>IF([2]道具信息!C56="","",[2]道具信息!C56)</f>
        <v/>
      </c>
      <c r="D56" s="8" t="str">
        <f>IF([2]道具信息!D56="","",[2]道具信息!D56)</f>
        <v>紫色藏宝图碎片</v>
      </c>
      <c r="E56" s="8">
        <f>IF([2]道具信息!E56="","",[2]道具信息!E56)</f>
        <v>13.75</v>
      </c>
      <c r="F56" s="8">
        <f>IF([2]道具信息!F56="","",[2]道具信息!F56)</f>
        <v>1</v>
      </c>
      <c r="G56" s="8">
        <f>IF([2]道具信息!G56="","",[2]道具信息!G56)</f>
        <v>1</v>
      </c>
      <c r="H56" s="8">
        <f>IF([2]道具信息!H56="","",[2]道具信息!H56)</f>
        <v>1</v>
      </c>
      <c r="I56" s="8">
        <f>IF([2]道具信息!I56="","",[2]道具信息!I56)</f>
        <v>13.75</v>
      </c>
      <c r="J56" s="8">
        <f>IF([2]道具信息!J56="","",[2]道具信息!J56)</f>
        <v>13.75</v>
      </c>
      <c r="K56" s="8">
        <f>IF([2]道具信息!K56="","",[2]道具信息!K56)</f>
        <v>13.75</v>
      </c>
      <c r="L56" s="8" t="str">
        <f>IF([2]道具信息!L56="","",[2]道具信息!L56)</f>
        <v/>
      </c>
      <c r="M56" s="8" t="str">
        <f>IF([2]道具信息!M56="","",[2]道具信息!M56)</f>
        <v/>
      </c>
      <c r="N56" s="8" t="str">
        <f>IF([2]道具信息!N56="","",[2]道具信息!N56)</f>
        <v/>
      </c>
      <c r="O56" s="8" t="str">
        <f>IF([2]道具信息!O56="","",[2]道具信息!O56)</f>
        <v/>
      </c>
      <c r="P56" s="8" t="str">
        <f>IF([2]道具信息!P56="","",[2]道具信息!P56)</f>
        <v/>
      </c>
      <c r="Q56" s="8" t="str">
        <f>IF([2]道具信息!Q56="","",[2]道具信息!Q56)</f>
        <v/>
      </c>
      <c r="R56" s="8" t="str">
        <f>IF([2]道具信息!R56="","",[2]道具信息!R56)</f>
        <v/>
      </c>
    </row>
    <row r="57" spans="3:18" x14ac:dyDescent="0.2">
      <c r="C57" s="8" t="str">
        <f>IF([2]道具信息!C57="","",[2]道具信息!C57)</f>
        <v/>
      </c>
      <c r="D57" s="8" t="str">
        <f>IF([2]道具信息!D57="","",[2]道具信息!D57)</f>
        <v>橙色藏宝图</v>
      </c>
      <c r="E57" s="8">
        <f>IF([2]道具信息!E57="","",[2]道具信息!E57)</f>
        <v>300</v>
      </c>
      <c r="F57" s="8">
        <f>IF([2]道具信息!F57="","",[2]道具信息!F57)</f>
        <v>1</v>
      </c>
      <c r="G57" s="8">
        <f>IF([2]道具信息!G57="","",[2]道具信息!G57)</f>
        <v>1</v>
      </c>
      <c r="H57" s="8">
        <f>IF([2]道具信息!H57="","",[2]道具信息!H57)</f>
        <v>1</v>
      </c>
      <c r="I57" s="8">
        <f>IF([2]道具信息!I57="","",[2]道具信息!I57)</f>
        <v>300</v>
      </c>
      <c r="J57" s="8">
        <f>IF([2]道具信息!J57="","",[2]道具信息!J57)</f>
        <v>300</v>
      </c>
      <c r="K57" s="8">
        <f>IF([2]道具信息!K57="","",[2]道具信息!K57)</f>
        <v>300</v>
      </c>
      <c r="L57" s="8" t="str">
        <f>IF([2]道具信息!L57="","",[2]道具信息!L57)</f>
        <v/>
      </c>
      <c r="M57" s="8" t="str">
        <f>IF([2]道具信息!M57="","",[2]道具信息!M57)</f>
        <v/>
      </c>
      <c r="N57" s="8" t="str">
        <f>IF([2]道具信息!N57="","",[2]道具信息!N57)</f>
        <v/>
      </c>
      <c r="O57" s="8" t="str">
        <f>IF([2]道具信息!O57="","",[2]道具信息!O57)</f>
        <v/>
      </c>
      <c r="P57" s="8" t="str">
        <f>IF([2]道具信息!P57="","",[2]道具信息!P57)</f>
        <v/>
      </c>
      <c r="Q57" s="8" t="str">
        <f>IF([2]道具信息!Q57="","",[2]道具信息!Q57)</f>
        <v/>
      </c>
      <c r="R57" s="8" t="str">
        <f>IF([2]道具信息!R57="","",[2]道具信息!R57)</f>
        <v/>
      </c>
    </row>
    <row r="58" spans="3:18" x14ac:dyDescent="0.2">
      <c r="C58" s="8" t="str">
        <f>IF([2]道具信息!C58="","",[2]道具信息!C58)</f>
        <v/>
      </c>
      <c r="D58" s="8" t="str">
        <f>IF([2]道具信息!D58="","",[2]道具信息!D58)</f>
        <v>橙色藏宝图碎片</v>
      </c>
      <c r="E58" s="8">
        <f>IF([2]道具信息!E58="","",[2]道具信息!E58)</f>
        <v>10</v>
      </c>
      <c r="F58" s="8">
        <f>IF([2]道具信息!F58="","",[2]道具信息!F58)</f>
        <v>1</v>
      </c>
      <c r="G58" s="8">
        <f>IF([2]道具信息!G58="","",[2]道具信息!G58)</f>
        <v>1</v>
      </c>
      <c r="H58" s="8">
        <f>IF([2]道具信息!H58="","",[2]道具信息!H58)</f>
        <v>1</v>
      </c>
      <c r="I58" s="8">
        <f>IF([2]道具信息!I58="","",[2]道具信息!I58)</f>
        <v>10</v>
      </c>
      <c r="J58" s="8">
        <f>IF([2]道具信息!J58="","",[2]道具信息!J58)</f>
        <v>10</v>
      </c>
      <c r="K58" s="8">
        <f>IF([2]道具信息!K58="","",[2]道具信息!K58)</f>
        <v>10</v>
      </c>
      <c r="L58" s="8" t="str">
        <f>IF([2]道具信息!L58="","",[2]道具信息!L58)</f>
        <v/>
      </c>
      <c r="M58" s="8" t="str">
        <f>IF([2]道具信息!M58="","",[2]道具信息!M58)</f>
        <v/>
      </c>
      <c r="N58" s="8" t="str">
        <f>IF([2]道具信息!N58="","",[2]道具信息!N58)</f>
        <v/>
      </c>
      <c r="O58" s="8" t="str">
        <f>IF([2]道具信息!O58="","",[2]道具信息!O58)</f>
        <v/>
      </c>
      <c r="P58" s="8" t="str">
        <f>IF([2]道具信息!P58="","",[2]道具信息!P58)</f>
        <v/>
      </c>
      <c r="Q58" s="8" t="str">
        <f>IF([2]道具信息!Q58="","",[2]道具信息!Q58)</f>
        <v/>
      </c>
      <c r="R58" s="8" t="str">
        <f>IF([2]道具信息!R58="","",[2]道具信息!R58)</f>
        <v/>
      </c>
    </row>
    <row r="59" spans="3:18" x14ac:dyDescent="0.2">
      <c r="C59" s="8" t="str">
        <f>IF([2]道具信息!C59="","",[2]道具信息!C59)</f>
        <v/>
      </c>
      <c r="D59" s="8" t="str">
        <f>IF([2]道具信息!D59="","",[2]道具信息!D59)</f>
        <v/>
      </c>
      <c r="E59" s="8" t="str">
        <f>IF([2]道具信息!E59="","",[2]道具信息!E59)</f>
        <v/>
      </c>
      <c r="F59" s="8" t="str">
        <f>IF([2]道具信息!F59="","",[2]道具信息!F59)</f>
        <v/>
      </c>
      <c r="G59" s="8" t="str">
        <f>IF([2]道具信息!G59="","",[2]道具信息!G59)</f>
        <v/>
      </c>
      <c r="H59" s="8" t="str">
        <f>IF([2]道具信息!H59="","",[2]道具信息!H59)</f>
        <v/>
      </c>
      <c r="I59" s="8" t="str">
        <f>IF([2]道具信息!I59="","",[2]道具信息!I59)</f>
        <v/>
      </c>
      <c r="J59" s="8" t="str">
        <f>IF([2]道具信息!J59="","",[2]道具信息!J59)</f>
        <v/>
      </c>
      <c r="K59" s="8" t="str">
        <f>IF([2]道具信息!K59="","",[2]道具信息!K59)</f>
        <v/>
      </c>
      <c r="L59" s="8" t="str">
        <f>IF([2]道具信息!L59="","",[2]道具信息!L59)</f>
        <v/>
      </c>
      <c r="M59" s="8" t="str">
        <f>IF([2]道具信息!M59="","",[2]道具信息!M59)</f>
        <v/>
      </c>
      <c r="N59" s="8" t="str">
        <f>IF([2]道具信息!N59="","",[2]道具信息!N59)</f>
        <v/>
      </c>
      <c r="O59" s="8" t="str">
        <f>IF([2]道具信息!O59="","",[2]道具信息!O59)</f>
        <v/>
      </c>
      <c r="P59" s="8" t="str">
        <f>IF([2]道具信息!P59="","",[2]道具信息!P59)</f>
        <v/>
      </c>
      <c r="Q59" s="8" t="str">
        <f>IF([2]道具信息!Q59="","",[2]道具信息!Q59)</f>
        <v/>
      </c>
      <c r="R59" s="8" t="str">
        <f>IF([2]道具信息!R59="","",[2]道具信息!R59)</f>
        <v/>
      </c>
    </row>
    <row r="60" spans="3:18" x14ac:dyDescent="0.2">
      <c r="C60" s="8" t="str">
        <f>IF([2]道具信息!C60="","",[2]道具信息!C60)</f>
        <v/>
      </c>
      <c r="D60" s="8" t="str">
        <f>IF([2]道具信息!D60="","",[2]道具信息!D60)</f>
        <v>紫色皮肤</v>
      </c>
      <c r="E60" s="8">
        <f>IF([2]道具信息!E60="","",[2]道具信息!E60)</f>
        <v>6000</v>
      </c>
      <c r="F60" s="8">
        <f>IF([2]道具信息!F60="","",[2]道具信息!F60)</f>
        <v>1</v>
      </c>
      <c r="G60" s="8">
        <f>IF([2]道具信息!G60="","",[2]道具信息!G60)</f>
        <v>1</v>
      </c>
      <c r="H60" s="8">
        <f>IF([2]道具信息!H60="","",[2]道具信息!H60)</f>
        <v>1</v>
      </c>
      <c r="I60" s="8">
        <f>IF([2]道具信息!I60="","",[2]道具信息!I60)</f>
        <v>6000</v>
      </c>
      <c r="J60" s="8">
        <f>IF([2]道具信息!J60="","",[2]道具信息!J60)</f>
        <v>6000</v>
      </c>
      <c r="K60" s="8">
        <f>IF([2]道具信息!K60="","",[2]道具信息!K60)</f>
        <v>6000</v>
      </c>
      <c r="L60" s="8" t="str">
        <f>IF([2]道具信息!L60="","",[2]道具信息!L60)</f>
        <v/>
      </c>
      <c r="M60" s="8" t="str">
        <f>IF([2]道具信息!M60="","",[2]道具信息!M60)</f>
        <v/>
      </c>
      <c r="N60" s="8" t="str">
        <f>IF([2]道具信息!N60="","",[2]道具信息!N60)</f>
        <v/>
      </c>
      <c r="O60" s="8" t="str">
        <f>IF([2]道具信息!O60="","",[2]道具信息!O60)</f>
        <v/>
      </c>
      <c r="P60" s="8" t="str">
        <f>IF([2]道具信息!P60="","",[2]道具信息!P60)</f>
        <v/>
      </c>
      <c r="Q60" s="8" t="str">
        <f>IF([2]道具信息!Q60="","",[2]道具信息!Q60)</f>
        <v/>
      </c>
      <c r="R60" s="8" t="str">
        <f>IF([2]道具信息!R60="","",[2]道具信息!R60)</f>
        <v/>
      </c>
    </row>
    <row r="61" spans="3:18" x14ac:dyDescent="0.2">
      <c r="C61" s="8" t="str">
        <f>IF([2]道具信息!C61="","",[2]道具信息!C61)</f>
        <v/>
      </c>
      <c r="D61" s="8" t="str">
        <f>IF([2]道具信息!D61="","",[2]道具信息!D61)</f>
        <v>橙色皮肤</v>
      </c>
      <c r="E61" s="8">
        <f>IF([2]道具信息!E61="","",[2]道具信息!E61)</f>
        <v>16000</v>
      </c>
      <c r="F61" s="8">
        <f>IF([2]道具信息!F61="","",[2]道具信息!F61)</f>
        <v>1</v>
      </c>
      <c r="G61" s="8">
        <f>IF([2]道具信息!G61="","",[2]道具信息!G61)</f>
        <v>1</v>
      </c>
      <c r="H61" s="8">
        <f>IF([2]道具信息!H61="","",[2]道具信息!H61)</f>
        <v>1</v>
      </c>
      <c r="I61" s="8">
        <f>IF([2]道具信息!I61="","",[2]道具信息!I61)</f>
        <v>16000</v>
      </c>
      <c r="J61" s="8">
        <f>IF([2]道具信息!J61="","",[2]道具信息!J61)</f>
        <v>16000</v>
      </c>
      <c r="K61" s="8">
        <f>IF([2]道具信息!K61="","",[2]道具信息!K61)</f>
        <v>16000</v>
      </c>
      <c r="L61" s="8" t="str">
        <f>IF([2]道具信息!L61="","",[2]道具信息!L61)</f>
        <v/>
      </c>
      <c r="M61" s="8" t="str">
        <f>IF([2]道具信息!M61="","",[2]道具信息!M61)</f>
        <v/>
      </c>
      <c r="N61" s="8" t="str">
        <f>IF([2]道具信息!N61="","",[2]道具信息!N61)</f>
        <v/>
      </c>
      <c r="O61" s="8" t="str">
        <f>IF([2]道具信息!O61="","",[2]道具信息!O61)</f>
        <v/>
      </c>
      <c r="P61" s="8" t="str">
        <f>IF([2]道具信息!P61="","",[2]道具信息!P61)</f>
        <v/>
      </c>
      <c r="Q61" s="8" t="str">
        <f>IF([2]道具信息!Q61="","",[2]道具信息!Q61)</f>
        <v/>
      </c>
      <c r="R61" s="8" t="str">
        <f>IF([2]道具信息!R61="","",[2]道具信息!R61)</f>
        <v/>
      </c>
    </row>
    <row r="62" spans="3:18" x14ac:dyDescent="0.2">
      <c r="C62" s="8" t="str">
        <f>IF([2]道具信息!C62="","",[2]道具信息!C62)</f>
        <v/>
      </c>
      <c r="D62" s="8" t="str">
        <f>IF([2]道具信息!D62="","",[2]道具信息!D62)</f>
        <v>红色皮肤</v>
      </c>
      <c r="E62" s="8">
        <f>IF([2]道具信息!E62="","",[2]道具信息!E62)</f>
        <v>150000</v>
      </c>
      <c r="F62" s="8">
        <f>IF([2]道具信息!F62="","",[2]道具信息!F62)</f>
        <v>2</v>
      </c>
      <c r="G62" s="8">
        <f>IF([2]道具信息!G62="","",[2]道具信息!G62)</f>
        <v>2</v>
      </c>
      <c r="H62" s="8">
        <f>IF([2]道具信息!H62="","",[2]道具信息!H62)</f>
        <v>2</v>
      </c>
      <c r="I62" s="8">
        <f>IF([2]道具信息!I62="","",[2]道具信息!I62)</f>
        <v>300000</v>
      </c>
      <c r="J62" s="8">
        <f>IF([2]道具信息!J62="","",[2]道具信息!J62)</f>
        <v>300000</v>
      </c>
      <c r="K62" s="8">
        <f>IF([2]道具信息!K62="","",[2]道具信息!K62)</f>
        <v>300000</v>
      </c>
      <c r="L62" s="8" t="str">
        <f>IF([2]道具信息!L62="","",[2]道具信息!L62)</f>
        <v/>
      </c>
      <c r="M62" s="8" t="str">
        <f>IF([2]道具信息!M62="","",[2]道具信息!M62)</f>
        <v/>
      </c>
      <c r="N62" s="8" t="str">
        <f>IF([2]道具信息!N62="","",[2]道具信息!N62)</f>
        <v/>
      </c>
      <c r="O62" s="8" t="str">
        <f>IF([2]道具信息!O62="","",[2]道具信息!O62)</f>
        <v/>
      </c>
      <c r="P62" s="8" t="str">
        <f>IF([2]道具信息!P62="","",[2]道具信息!P62)</f>
        <v/>
      </c>
      <c r="Q62" s="8" t="str">
        <f>IF([2]道具信息!Q62="","",[2]道具信息!Q62)</f>
        <v/>
      </c>
      <c r="R62" s="8" t="str">
        <f>IF([2]道具信息!R62="","",[2]道具信息!R62)</f>
        <v/>
      </c>
    </row>
    <row r="63" spans="3:18" x14ac:dyDescent="0.2">
      <c r="C63" s="8" t="str">
        <f>IF([2]道具信息!C63="","",[2]道具信息!C63)</f>
        <v/>
      </c>
      <c r="D63" s="8" t="str">
        <f>IF([2]道具信息!D63="","",[2]道具信息!D63)</f>
        <v>橙色皮肤碎片</v>
      </c>
      <c r="E63" s="8">
        <f>IF([2]道具信息!E63="","",[2]道具信息!E63)</f>
        <v>533.33333333333337</v>
      </c>
      <c r="F63" s="8">
        <f>IF([2]道具信息!F63="","",[2]道具信息!F63)</f>
        <v>1</v>
      </c>
      <c r="G63" s="8">
        <f>IF([2]道具信息!G63="","",[2]道具信息!G63)</f>
        <v>1</v>
      </c>
      <c r="H63" s="8">
        <f>IF([2]道具信息!H63="","",[2]道具信息!H63)</f>
        <v>1</v>
      </c>
      <c r="I63" s="8">
        <f>IF([2]道具信息!I63="","",[2]道具信息!I63)</f>
        <v>533.33333333333337</v>
      </c>
      <c r="J63" s="8">
        <f>IF([2]道具信息!J63="","",[2]道具信息!J63)</f>
        <v>533.33333333333337</v>
      </c>
      <c r="K63" s="8">
        <f>IF([2]道具信息!K63="","",[2]道具信息!K63)</f>
        <v>533.33333333333337</v>
      </c>
      <c r="L63" s="8" t="str">
        <f>IF([2]道具信息!L63="","",[2]道具信息!L63)</f>
        <v/>
      </c>
      <c r="M63" s="8" t="str">
        <f>IF([2]道具信息!M63="","",[2]道具信息!M63)</f>
        <v/>
      </c>
      <c r="N63" s="8" t="str">
        <f>IF([2]道具信息!N63="","",[2]道具信息!N63)</f>
        <v/>
      </c>
      <c r="O63" s="8" t="str">
        <f>IF([2]道具信息!O63="","",[2]道具信息!O63)</f>
        <v/>
      </c>
      <c r="P63" s="8" t="str">
        <f>IF([2]道具信息!P63="","",[2]道具信息!P63)</f>
        <v/>
      </c>
      <c r="Q63" s="8" t="str">
        <f>IF([2]道具信息!Q63="","",[2]道具信息!Q63)</f>
        <v/>
      </c>
      <c r="R63" s="8" t="str">
        <f>IF([2]道具信息!R63="","",[2]道具信息!R63)</f>
        <v/>
      </c>
    </row>
    <row r="64" spans="3:18" x14ac:dyDescent="0.2">
      <c r="C64" s="8" t="str">
        <f>IF([2]道具信息!C64="","",[2]道具信息!C64)</f>
        <v/>
      </c>
      <c r="D64" s="8" t="str">
        <f>IF([2]道具信息!D64="","",[2]道具信息!D64)</f>
        <v>红色皮肤碎片</v>
      </c>
      <c r="E64" s="8">
        <f>IF([2]道具信息!E64="","",[2]道具信息!E64)</f>
        <v>3000</v>
      </c>
      <c r="F64" s="8">
        <f>IF([2]道具信息!F64="","",[2]道具信息!F64)</f>
        <v>2</v>
      </c>
      <c r="G64" s="8">
        <f>IF([2]道具信息!G64="","",[2]道具信息!G64)</f>
        <v>2</v>
      </c>
      <c r="H64" s="8">
        <f>IF([2]道具信息!H64="","",[2]道具信息!H64)</f>
        <v>2</v>
      </c>
      <c r="I64" s="8">
        <f>IF([2]道具信息!I64="","",[2]道具信息!I64)</f>
        <v>6000</v>
      </c>
      <c r="J64" s="8">
        <f>IF([2]道具信息!J64="","",[2]道具信息!J64)</f>
        <v>6000</v>
      </c>
      <c r="K64" s="8">
        <f>IF([2]道具信息!K64="","",[2]道具信息!K64)</f>
        <v>6000</v>
      </c>
      <c r="L64" s="8" t="str">
        <f>IF([2]道具信息!L64="","",[2]道具信息!L64)</f>
        <v/>
      </c>
      <c r="M64" s="8" t="str">
        <f>IF([2]道具信息!M64="","",[2]道具信息!M64)</f>
        <v/>
      </c>
      <c r="N64" s="8" t="str">
        <f>IF([2]道具信息!N64="","",[2]道具信息!N64)</f>
        <v/>
      </c>
      <c r="O64" s="8" t="str">
        <f>IF([2]道具信息!O64="","",[2]道具信息!O64)</f>
        <v/>
      </c>
      <c r="P64" s="8" t="str">
        <f>IF([2]道具信息!P64="","",[2]道具信息!P64)</f>
        <v/>
      </c>
      <c r="Q64" s="8" t="str">
        <f>IF([2]道具信息!Q64="","",[2]道具信息!Q64)</f>
        <v/>
      </c>
      <c r="R64" s="8" t="str">
        <f>IF([2]道具信息!R64="","",[2]道具信息!R64)</f>
        <v/>
      </c>
    </row>
    <row r="65" spans="3:18" x14ac:dyDescent="0.2">
      <c r="C65" s="8" t="str">
        <f>IF([2]道具信息!C65="","",[2]道具信息!C65)</f>
        <v/>
      </c>
      <c r="D65" s="8" t="str">
        <f>IF([2]道具信息!D65="","",[2]道具信息!D65)</f>
        <v>7天限时橙色皮肤</v>
      </c>
      <c r="E65" s="8">
        <f>IF([2]道具信息!E65="","",[2]道具信息!E65)</f>
        <v>16000</v>
      </c>
      <c r="F65" s="8">
        <f>IF([2]道具信息!F65="","",[2]道具信息!F65)</f>
        <v>0.2</v>
      </c>
      <c r="G65" s="8">
        <f>IF([2]道具信息!G65="","",[2]道具信息!G65)</f>
        <v>0.2</v>
      </c>
      <c r="H65" s="8">
        <f>IF([2]道具信息!H65="","",[2]道具信息!H65)</f>
        <v>0.2</v>
      </c>
      <c r="I65" s="8">
        <f>IF([2]道具信息!I65="","",[2]道具信息!I65)</f>
        <v>3200</v>
      </c>
      <c r="J65" s="8">
        <f>IF([2]道具信息!J65="","",[2]道具信息!J65)</f>
        <v>3200</v>
      </c>
      <c r="K65" s="8">
        <f>IF([2]道具信息!K65="","",[2]道具信息!K65)</f>
        <v>3200</v>
      </c>
      <c r="L65" s="8" t="str">
        <f>IF([2]道具信息!L65="","",[2]道具信息!L65)</f>
        <v>7天</v>
      </c>
      <c r="M65" s="8" t="str">
        <f>IF([2]道具信息!M65="","",[2]道具信息!M65)</f>
        <v/>
      </c>
      <c r="N65" s="8" t="str">
        <f>IF([2]道具信息!N65="","",[2]道具信息!N65)</f>
        <v/>
      </c>
      <c r="O65" s="8" t="str">
        <f>IF([2]道具信息!O65="","",[2]道具信息!O65)</f>
        <v/>
      </c>
      <c r="P65" s="8" t="str">
        <f>IF([2]道具信息!P65="","",[2]道具信息!P65)</f>
        <v/>
      </c>
      <c r="Q65" s="8" t="str">
        <f>IF([2]道具信息!Q65="","",[2]道具信息!Q65)</f>
        <v/>
      </c>
      <c r="R65" s="8" t="str">
        <f>IF([2]道具信息!R65="","",[2]道具信息!R65)</f>
        <v/>
      </c>
    </row>
    <row r="66" spans="3:18" x14ac:dyDescent="0.2">
      <c r="C66" s="8" t="str">
        <f>IF([2]道具信息!C66="","",[2]道具信息!C66)</f>
        <v/>
      </c>
      <c r="D66" s="8" t="str">
        <f>IF([2]道具信息!D66="","",[2]道具信息!D66)</f>
        <v>30天限时橙色皮肤</v>
      </c>
      <c r="E66" s="8">
        <f>IF([2]道具信息!E66="","",[2]道具信息!E66)</f>
        <v>16000</v>
      </c>
      <c r="F66" s="8">
        <f>IF([2]道具信息!F66="","",[2]道具信息!F66)</f>
        <v>0.5</v>
      </c>
      <c r="G66" s="8">
        <f>IF([2]道具信息!G66="","",[2]道具信息!G66)</f>
        <v>0.5</v>
      </c>
      <c r="H66" s="8">
        <f>IF([2]道具信息!H66="","",[2]道具信息!H66)</f>
        <v>0.5</v>
      </c>
      <c r="I66" s="8">
        <f>IF([2]道具信息!I66="","",[2]道具信息!I66)</f>
        <v>8000</v>
      </c>
      <c r="J66" s="8">
        <f>IF([2]道具信息!J66="","",[2]道具信息!J66)</f>
        <v>8000</v>
      </c>
      <c r="K66" s="8">
        <f>IF([2]道具信息!K66="","",[2]道具信息!K66)</f>
        <v>8000</v>
      </c>
      <c r="L66" s="8" t="str">
        <f>IF([2]道具信息!L66="","",[2]道具信息!L66)</f>
        <v>30天</v>
      </c>
      <c r="M66" s="8" t="str">
        <f>IF([2]道具信息!M66="","",[2]道具信息!M66)</f>
        <v/>
      </c>
      <c r="N66" s="8" t="str">
        <f>IF([2]道具信息!N66="","",[2]道具信息!N66)</f>
        <v/>
      </c>
      <c r="O66" s="8" t="str">
        <f>IF([2]道具信息!O66="","",[2]道具信息!O66)</f>
        <v/>
      </c>
      <c r="P66" s="8" t="str">
        <f>IF([2]道具信息!P66="","",[2]道具信息!P66)</f>
        <v/>
      </c>
      <c r="Q66" s="8" t="str">
        <f>IF([2]道具信息!Q66="","",[2]道具信息!Q66)</f>
        <v/>
      </c>
      <c r="R66" s="8" t="str">
        <f>IF([2]道具信息!R66="","",[2]道具信息!R66)</f>
        <v/>
      </c>
    </row>
    <row r="67" spans="3:18" x14ac:dyDescent="0.2">
      <c r="C67" s="8" t="str">
        <f>IF([2]道具信息!C67="","",[2]道具信息!C67)</f>
        <v/>
      </c>
      <c r="D67" s="8" t="str">
        <f>IF([2]道具信息!D67="","",[2]道具信息!D67)</f>
        <v>紫色外显</v>
      </c>
      <c r="E67" s="8">
        <f>IF([2]道具信息!E67="","",[2]道具信息!E67)</f>
        <v>6000</v>
      </c>
      <c r="F67" s="8">
        <f>IF([2]道具信息!F67="","",[2]道具信息!F67)</f>
        <v>0.75</v>
      </c>
      <c r="G67" s="8">
        <f>IF([2]道具信息!G67="","",[2]道具信息!G67)</f>
        <v>0.75</v>
      </c>
      <c r="H67" s="8">
        <f>IF([2]道具信息!H67="","",[2]道具信息!H67)</f>
        <v>0.1</v>
      </c>
      <c r="I67" s="8">
        <f>IF([2]道具信息!I67="","",[2]道具信息!I67)</f>
        <v>4500</v>
      </c>
      <c r="J67" s="8">
        <f>IF([2]道具信息!J67="","",[2]道具信息!J67)</f>
        <v>4500</v>
      </c>
      <c r="K67" s="8">
        <f>IF([2]道具信息!K67="","",[2]道具信息!K67)</f>
        <v>600</v>
      </c>
      <c r="L67" s="8" t="str">
        <f>IF([2]道具信息!L67="","",[2]道具信息!L67)</f>
        <v/>
      </c>
      <c r="M67" s="8" t="str">
        <f>IF([2]道具信息!M67="","",[2]道具信息!M67)</f>
        <v/>
      </c>
      <c r="N67" s="8" t="str">
        <f>IF([2]道具信息!N67="","",[2]道具信息!N67)</f>
        <v/>
      </c>
      <c r="O67" s="8" t="str">
        <f>IF([2]道具信息!O67="","",[2]道具信息!O67)</f>
        <v/>
      </c>
      <c r="P67" s="8" t="str">
        <f>IF([2]道具信息!P67="","",[2]道具信息!P67)</f>
        <v/>
      </c>
      <c r="Q67" s="8" t="str">
        <f>IF([2]道具信息!Q67="","",[2]道具信息!Q67)</f>
        <v/>
      </c>
      <c r="R67" s="8" t="str">
        <f>IF([2]道具信息!R67="","",[2]道具信息!R67)</f>
        <v/>
      </c>
    </row>
    <row r="68" spans="3:18" x14ac:dyDescent="0.2">
      <c r="C68" s="8" t="str">
        <f>IF([2]道具信息!C68="","",[2]道具信息!C68)</f>
        <v/>
      </c>
      <c r="D68" s="8" t="str">
        <f>IF([2]道具信息!D68="","",[2]道具信息!D68)</f>
        <v>橙色外显</v>
      </c>
      <c r="E68" s="8">
        <f>IF([2]道具信息!E68="","",[2]道具信息!E68)</f>
        <v>16000</v>
      </c>
      <c r="F68" s="8">
        <f>IF([2]道具信息!F68="","",[2]道具信息!F68)</f>
        <v>0.75</v>
      </c>
      <c r="G68" s="8">
        <f>IF([2]道具信息!G68="","",[2]道具信息!G68)</f>
        <v>0.75</v>
      </c>
      <c r="H68" s="8">
        <f>IF([2]道具信息!H68="","",[2]道具信息!H68)</f>
        <v>0.1</v>
      </c>
      <c r="I68" s="8">
        <f>IF([2]道具信息!I68="","",[2]道具信息!I68)</f>
        <v>12000</v>
      </c>
      <c r="J68" s="8">
        <f>IF([2]道具信息!J68="","",[2]道具信息!J68)</f>
        <v>12000</v>
      </c>
      <c r="K68" s="8">
        <f>IF([2]道具信息!K68="","",[2]道具信息!K68)</f>
        <v>1600</v>
      </c>
      <c r="L68" s="8" t="str">
        <f>IF([2]道具信息!L68="","",[2]道具信息!L68)</f>
        <v/>
      </c>
      <c r="M68" s="8" t="str">
        <f>IF([2]道具信息!M68="","",[2]道具信息!M68)</f>
        <v/>
      </c>
      <c r="N68" s="8" t="str">
        <f>IF([2]道具信息!N68="","",[2]道具信息!N68)</f>
        <v/>
      </c>
      <c r="O68" s="8" t="str">
        <f>IF([2]道具信息!O68="","",[2]道具信息!O68)</f>
        <v/>
      </c>
      <c r="P68" s="8" t="str">
        <f>IF([2]道具信息!P68="","",[2]道具信息!P68)</f>
        <v/>
      </c>
      <c r="Q68" s="8" t="str">
        <f>IF([2]道具信息!Q68="","",[2]道具信息!Q68)</f>
        <v/>
      </c>
      <c r="R68" s="8" t="str">
        <f>IF([2]道具信息!R68="","",[2]道具信息!R68)</f>
        <v/>
      </c>
    </row>
    <row r="69" spans="3:18" x14ac:dyDescent="0.2">
      <c r="C69" s="8" t="str">
        <f>IF([2]道具信息!C69="","",[2]道具信息!C69)</f>
        <v/>
      </c>
      <c r="D69" s="8" t="str">
        <f>IF([2]道具信息!D69="","",[2]道具信息!D69)</f>
        <v>红色外显</v>
      </c>
      <c r="E69" s="8">
        <f>IF([2]道具信息!E69="","",[2]道具信息!E69)</f>
        <v>150000</v>
      </c>
      <c r="F69" s="8">
        <f>IF([2]道具信息!F69="","",[2]道具信息!F69)</f>
        <v>1.5</v>
      </c>
      <c r="G69" s="8">
        <f>IF([2]道具信息!G69="","",[2]道具信息!G69)</f>
        <v>1.5</v>
      </c>
      <c r="H69" s="8">
        <f>IF([2]道具信息!H69="","",[2]道具信息!H69)</f>
        <v>0.2</v>
      </c>
      <c r="I69" s="8">
        <f>IF([2]道具信息!I69="","",[2]道具信息!I69)</f>
        <v>225000</v>
      </c>
      <c r="J69" s="8">
        <f>IF([2]道具信息!J69="","",[2]道具信息!J69)</f>
        <v>225000</v>
      </c>
      <c r="K69" s="8">
        <f>IF([2]道具信息!K69="","",[2]道具信息!K69)</f>
        <v>30000</v>
      </c>
      <c r="L69" s="8" t="str">
        <f>IF([2]道具信息!L69="","",[2]道具信息!L69)</f>
        <v/>
      </c>
      <c r="M69" s="8" t="str">
        <f>IF([2]道具信息!M69="","",[2]道具信息!M69)</f>
        <v/>
      </c>
      <c r="N69" s="8" t="str">
        <f>IF([2]道具信息!N69="","",[2]道具信息!N69)</f>
        <v/>
      </c>
      <c r="O69" s="8" t="str">
        <f>IF([2]道具信息!O69="","",[2]道具信息!O69)</f>
        <v/>
      </c>
      <c r="P69" s="8" t="str">
        <f>IF([2]道具信息!P69="","",[2]道具信息!P69)</f>
        <v/>
      </c>
      <c r="Q69" s="8" t="str">
        <f>IF([2]道具信息!Q69="","",[2]道具信息!Q69)</f>
        <v/>
      </c>
      <c r="R69" s="8" t="str">
        <f>IF([2]道具信息!R69="","",[2]道具信息!R69)</f>
        <v/>
      </c>
    </row>
    <row r="70" spans="3:18" x14ac:dyDescent="0.2">
      <c r="C70" s="8" t="str">
        <f>IF([2]道具信息!C70="","",[2]道具信息!C70)</f>
        <v/>
      </c>
      <c r="D70" s="8" t="str">
        <f>IF([2]道具信息!D70="","",[2]道具信息!D70)</f>
        <v>7天限时橙色外显</v>
      </c>
      <c r="E70" s="8">
        <f>IF([2]道具信息!E70="","",[2]道具信息!E70)</f>
        <v>16000</v>
      </c>
      <c r="F70" s="8">
        <f>IF([2]道具信息!F70="","",[2]道具信息!F70)</f>
        <v>0.15000000000000002</v>
      </c>
      <c r="G70" s="8">
        <f>IF([2]道具信息!G70="","",[2]道具信息!G70)</f>
        <v>0.15000000000000002</v>
      </c>
      <c r="H70" s="8">
        <f>IF([2]道具信息!H70="","",[2]道具信息!H70)</f>
        <v>0.02</v>
      </c>
      <c r="I70" s="8">
        <f>IF([2]道具信息!I70="","",[2]道具信息!I70)</f>
        <v>2400.0000000000005</v>
      </c>
      <c r="J70" s="8">
        <f>IF([2]道具信息!J70="","",[2]道具信息!J70)</f>
        <v>2400.0000000000005</v>
      </c>
      <c r="K70" s="8">
        <f>IF([2]道具信息!K70="","",[2]道具信息!K70)</f>
        <v>320</v>
      </c>
      <c r="L70" s="8" t="str">
        <f>IF([2]道具信息!L70="","",[2]道具信息!L70)</f>
        <v>7天</v>
      </c>
      <c r="M70" s="8" t="str">
        <f>IF([2]道具信息!M70="","",[2]道具信息!M70)</f>
        <v/>
      </c>
      <c r="N70" s="8" t="str">
        <f>IF([2]道具信息!N70="","",[2]道具信息!N70)</f>
        <v/>
      </c>
      <c r="O70" s="8" t="str">
        <f>IF([2]道具信息!O70="","",[2]道具信息!O70)</f>
        <v/>
      </c>
      <c r="P70" s="8" t="str">
        <f>IF([2]道具信息!P70="","",[2]道具信息!P70)</f>
        <v/>
      </c>
      <c r="Q70" s="8" t="str">
        <f>IF([2]道具信息!Q70="","",[2]道具信息!Q70)</f>
        <v/>
      </c>
      <c r="R70" s="8" t="str">
        <f>IF([2]道具信息!R70="","",[2]道具信息!R70)</f>
        <v/>
      </c>
    </row>
    <row r="71" spans="3:18" x14ac:dyDescent="0.2">
      <c r="C71" s="8" t="str">
        <f>IF([2]道具信息!C71="","",[2]道具信息!C71)</f>
        <v/>
      </c>
      <c r="D71" s="8" t="str">
        <f>IF([2]道具信息!D71="","",[2]道具信息!D71)</f>
        <v>30天限时橙色外显</v>
      </c>
      <c r="E71" s="8">
        <f>IF([2]道具信息!E71="","",[2]道具信息!E71)</f>
        <v>16000</v>
      </c>
      <c r="F71" s="8">
        <f>IF([2]道具信息!F71="","",[2]道具信息!F71)</f>
        <v>0.375</v>
      </c>
      <c r="G71" s="8">
        <f>IF([2]道具信息!G71="","",[2]道具信息!G71)</f>
        <v>0.375</v>
      </c>
      <c r="H71" s="8">
        <f>IF([2]道具信息!H71="","",[2]道具信息!H71)</f>
        <v>0.05</v>
      </c>
      <c r="I71" s="8">
        <f>IF([2]道具信息!I71="","",[2]道具信息!I71)</f>
        <v>6000</v>
      </c>
      <c r="J71" s="8">
        <f>IF([2]道具信息!J71="","",[2]道具信息!J71)</f>
        <v>6000</v>
      </c>
      <c r="K71" s="8">
        <f>IF([2]道具信息!K71="","",[2]道具信息!K71)</f>
        <v>800</v>
      </c>
      <c r="L71" s="8" t="str">
        <f>IF([2]道具信息!L71="","",[2]道具信息!L71)</f>
        <v>30天</v>
      </c>
      <c r="M71" s="8" t="str">
        <f>IF([2]道具信息!M71="","",[2]道具信息!M71)</f>
        <v/>
      </c>
      <c r="N71" s="8" t="str">
        <f>IF([2]道具信息!N71="","",[2]道具信息!N71)</f>
        <v/>
      </c>
      <c r="O71" s="8" t="str">
        <f>IF([2]道具信息!O71="","",[2]道具信息!O71)</f>
        <v/>
      </c>
      <c r="P71" s="8" t="str">
        <f>IF([2]道具信息!P71="","",[2]道具信息!P71)</f>
        <v/>
      </c>
      <c r="Q71" s="8" t="str">
        <f>IF([2]道具信息!Q71="","",[2]道具信息!Q71)</f>
        <v/>
      </c>
      <c r="R71" s="8" t="str">
        <f>IF([2]道具信息!R71="","",[2]道具信息!R71)</f>
        <v/>
      </c>
    </row>
    <row r="72" spans="3:18" x14ac:dyDescent="0.2">
      <c r="C72" s="8" t="str">
        <f>IF([2]道具信息!C72="","",[2]道具信息!C72)</f>
        <v/>
      </c>
      <c r="D72" s="8" t="str">
        <f>IF([2]道具信息!D72="","",[2]道具信息!D72)</f>
        <v/>
      </c>
      <c r="E72" s="8" t="str">
        <f>IF([2]道具信息!E72="","",[2]道具信息!E72)</f>
        <v/>
      </c>
      <c r="F72" s="8" t="str">
        <f>IF([2]道具信息!F72="","",[2]道具信息!F72)</f>
        <v/>
      </c>
      <c r="G72" s="8" t="str">
        <f>IF([2]道具信息!G72="","",[2]道具信息!G72)</f>
        <v/>
      </c>
      <c r="H72" s="8" t="str">
        <f>IF([2]道具信息!H72="","",[2]道具信息!H72)</f>
        <v/>
      </c>
      <c r="I72" s="8" t="str">
        <f>IF([2]道具信息!I72="","",[2]道具信息!I72)</f>
        <v/>
      </c>
      <c r="J72" s="8" t="str">
        <f>IF([2]道具信息!J72="","",[2]道具信息!J72)</f>
        <v/>
      </c>
      <c r="K72" s="8" t="str">
        <f>IF([2]道具信息!K72="","",[2]道具信息!K72)</f>
        <v/>
      </c>
      <c r="L72" s="8" t="str">
        <f>IF([2]道具信息!L72="","",[2]道具信息!L72)</f>
        <v/>
      </c>
      <c r="M72" s="8" t="str">
        <f>IF([2]道具信息!M72="","",[2]道具信息!M72)</f>
        <v/>
      </c>
      <c r="N72" s="8" t="str">
        <f>IF([2]道具信息!N72="","",[2]道具信息!N72)</f>
        <v/>
      </c>
      <c r="O72" s="8" t="str">
        <f>IF([2]道具信息!O72="","",[2]道具信息!O72)</f>
        <v/>
      </c>
      <c r="P72" s="8" t="str">
        <f>IF([2]道具信息!P72="","",[2]道具信息!P72)</f>
        <v/>
      </c>
      <c r="Q72" s="8" t="str">
        <f>IF([2]道具信息!Q72="","",[2]道具信息!Q72)</f>
        <v/>
      </c>
      <c r="R72" s="8" t="str">
        <f>IF([2]道具信息!R72="","",[2]道具信息!R72)</f>
        <v/>
      </c>
    </row>
    <row r="73" spans="3:18" x14ac:dyDescent="0.2">
      <c r="C73" s="8" t="str">
        <f>IF([2]道具信息!C73="","",[2]道具信息!C73)</f>
        <v/>
      </c>
      <c r="D73" s="8" t="str">
        <f>IF([2]道具信息!D73="","",[2]道具信息!D73)</f>
        <v/>
      </c>
      <c r="E73" s="8" t="str">
        <f>IF([2]道具信息!E73="","",[2]道具信息!E73)</f>
        <v/>
      </c>
      <c r="F73" s="8" t="str">
        <f>IF([2]道具信息!F73="","",[2]道具信息!F73)</f>
        <v/>
      </c>
      <c r="G73" s="8" t="str">
        <f>IF([2]道具信息!G73="","",[2]道具信息!G73)</f>
        <v/>
      </c>
      <c r="H73" s="8" t="str">
        <f>IF([2]道具信息!H73="","",[2]道具信息!H73)</f>
        <v/>
      </c>
      <c r="I73" s="8" t="str">
        <f>IF([2]道具信息!I73="","",[2]道具信息!I73)</f>
        <v/>
      </c>
      <c r="J73" s="8" t="str">
        <f>IF([2]道具信息!J73="","",[2]道具信息!J73)</f>
        <v/>
      </c>
      <c r="K73" s="8" t="str">
        <f>IF([2]道具信息!K73="","",[2]道具信息!K73)</f>
        <v/>
      </c>
      <c r="L73" s="8" t="str">
        <f>IF([2]道具信息!L73="","",[2]道具信息!L73)</f>
        <v/>
      </c>
      <c r="M73" s="8" t="str">
        <f>IF([2]道具信息!M73="","",[2]道具信息!M73)</f>
        <v/>
      </c>
      <c r="N73" s="8" t="str">
        <f>IF([2]道具信息!N73="","",[2]道具信息!N73)</f>
        <v/>
      </c>
      <c r="O73" s="8" t="str">
        <f>IF([2]道具信息!O73="","",[2]道具信息!O73)</f>
        <v/>
      </c>
      <c r="P73" s="8" t="str">
        <f>IF([2]道具信息!P73="","",[2]道具信息!P73)</f>
        <v/>
      </c>
      <c r="Q73" s="8" t="str">
        <f>IF([2]道具信息!Q73="","",[2]道具信息!Q73)</f>
        <v/>
      </c>
      <c r="R73" s="8" t="str">
        <f>IF([2]道具信息!R73="","",[2]道具信息!R73)</f>
        <v/>
      </c>
    </row>
    <row r="74" spans="3:18" x14ac:dyDescent="0.2">
      <c r="C74" s="8" t="str">
        <f>IF([2]道具信息!C74="","",[2]道具信息!C74)</f>
        <v/>
      </c>
      <c r="D74" s="8" t="str">
        <f>IF([2]道具信息!D74="","",[2]道具信息!D74)</f>
        <v/>
      </c>
      <c r="E74" s="8" t="str">
        <f>IF([2]道具信息!E74="","",[2]道具信息!E74)</f>
        <v/>
      </c>
      <c r="F74" s="8" t="str">
        <f>IF([2]道具信息!F74="","",[2]道具信息!F74)</f>
        <v/>
      </c>
      <c r="G74" s="8" t="str">
        <f>IF([2]道具信息!G74="","",[2]道具信息!G74)</f>
        <v/>
      </c>
      <c r="H74" s="8" t="str">
        <f>IF([2]道具信息!H74="","",[2]道具信息!H74)</f>
        <v/>
      </c>
      <c r="I74" s="8" t="str">
        <f>IF([2]道具信息!I74="","",[2]道具信息!I74)</f>
        <v/>
      </c>
      <c r="J74" s="8" t="str">
        <f>IF([2]道具信息!J74="","",[2]道具信息!J74)</f>
        <v/>
      </c>
      <c r="K74" s="8" t="str">
        <f>IF([2]道具信息!K74="","",[2]道具信息!K74)</f>
        <v/>
      </c>
      <c r="L74" s="8" t="str">
        <f>IF([2]道具信息!L74="","",[2]道具信息!L74)</f>
        <v/>
      </c>
      <c r="M74" s="8" t="str">
        <f>IF([2]道具信息!M74="","",[2]道具信息!M74)</f>
        <v/>
      </c>
      <c r="N74" s="8" t="str">
        <f>IF([2]道具信息!N74="","",[2]道具信息!N74)</f>
        <v/>
      </c>
      <c r="O74" s="8" t="str">
        <f>IF([2]道具信息!O74="","",[2]道具信息!O74)</f>
        <v/>
      </c>
      <c r="P74" s="8" t="str">
        <f>IF([2]道具信息!P74="","",[2]道具信息!P74)</f>
        <v/>
      </c>
      <c r="Q74" s="8" t="str">
        <f>IF([2]道具信息!Q74="","",[2]道具信息!Q74)</f>
        <v/>
      </c>
      <c r="R74" s="8" t="str">
        <f>IF([2]道具信息!R74="","",[2]道具信息!R74)</f>
        <v/>
      </c>
    </row>
    <row r="75" spans="3:18" x14ac:dyDescent="0.2">
      <c r="C75" s="8" t="str">
        <f>IF([2]道具信息!C75="","",[2]道具信息!C75)</f>
        <v/>
      </c>
      <c r="D75" s="8" t="str">
        <f>IF([2]道具信息!D75="","",[2]道具信息!D75)</f>
        <v>将军印</v>
      </c>
      <c r="E75" s="8">
        <f>IF([2]道具信息!E75="","",[2]道具信息!E75)</f>
        <v>1000</v>
      </c>
      <c r="F75" s="8">
        <f>IF([2]道具信息!F75="","",[2]道具信息!F75)</f>
        <v>1</v>
      </c>
      <c r="G75" s="8">
        <f>IF([2]道具信息!G75="","",[2]道具信息!G75)</f>
        <v>1</v>
      </c>
      <c r="H75" s="8">
        <f>IF([2]道具信息!H75="","",[2]道具信息!H75)</f>
        <v>1</v>
      </c>
      <c r="I75" s="8">
        <f>IF([2]道具信息!I75="","",[2]道具信息!I75)</f>
        <v>1000</v>
      </c>
      <c r="J75" s="8">
        <f>IF([2]道具信息!J75="","",[2]道具信息!J75)</f>
        <v>1000</v>
      </c>
      <c r="K75" s="8">
        <f>IF([2]道具信息!K75="","",[2]道具信息!K75)</f>
        <v>1000</v>
      </c>
      <c r="L75" s="8" t="str">
        <f>IF([2]道具信息!L75="","",[2]道具信息!L75)</f>
        <v/>
      </c>
      <c r="M75" s="8" t="str">
        <f>IF([2]道具信息!M75="","",[2]道具信息!M75)</f>
        <v/>
      </c>
      <c r="N75" s="8" t="str">
        <f>IF([2]道具信息!N75="","",[2]道具信息!N75)</f>
        <v/>
      </c>
      <c r="O75" s="8" t="str">
        <f>IF([2]道具信息!O75="","",[2]道具信息!O75)</f>
        <v/>
      </c>
      <c r="P75" s="8" t="str">
        <f>IF([2]道具信息!P75="","",[2]道具信息!P75)</f>
        <v/>
      </c>
      <c r="Q75" s="8" t="str">
        <f>IF([2]道具信息!Q75="","",[2]道具信息!Q75)</f>
        <v/>
      </c>
      <c r="R75" s="8" t="str">
        <f>IF([2]道具信息!R75="","",[2]道具信息!R75)</f>
        <v/>
      </c>
    </row>
    <row r="76" spans="3:18" x14ac:dyDescent="0.2">
      <c r="C76" s="8" t="str">
        <f>IF([2]道具信息!C76="","",[2]道具信息!C76)</f>
        <v/>
      </c>
      <c r="D76" s="8" t="str">
        <f>IF([2]道具信息!D76="","",[2]道具信息!D76)</f>
        <v>上将印</v>
      </c>
      <c r="E76" s="8">
        <f>IF([2]道具信息!E76="","",[2]道具信息!E76)</f>
        <v>2000</v>
      </c>
      <c r="F76" s="8">
        <f>IF([2]道具信息!F76="","",[2]道具信息!F76)</f>
        <v>1</v>
      </c>
      <c r="G76" s="8">
        <f>IF([2]道具信息!G76="","",[2]道具信息!G76)</f>
        <v>1</v>
      </c>
      <c r="H76" s="8">
        <f>IF([2]道具信息!H76="","",[2]道具信息!H76)</f>
        <v>1</v>
      </c>
      <c r="I76" s="8">
        <f>IF([2]道具信息!I76="","",[2]道具信息!I76)</f>
        <v>2000</v>
      </c>
      <c r="J76" s="8">
        <f>IF([2]道具信息!J76="","",[2]道具信息!J76)</f>
        <v>2000</v>
      </c>
      <c r="K76" s="8">
        <f>IF([2]道具信息!K76="","",[2]道具信息!K76)</f>
        <v>2000</v>
      </c>
      <c r="L76" s="8" t="str">
        <f>IF([2]道具信息!L76="","",[2]道具信息!L76)</f>
        <v/>
      </c>
      <c r="M76" s="8" t="str">
        <f>IF([2]道具信息!M76="","",[2]道具信息!M76)</f>
        <v/>
      </c>
      <c r="N76" s="8" t="str">
        <f>IF([2]道具信息!N76="","",[2]道具信息!N76)</f>
        <v/>
      </c>
      <c r="O76" s="8" t="str">
        <f>IF([2]道具信息!O76="","",[2]道具信息!O76)</f>
        <v/>
      </c>
      <c r="P76" s="8" t="str">
        <f>IF([2]道具信息!P76="","",[2]道具信息!P76)</f>
        <v/>
      </c>
      <c r="Q76" s="8" t="str">
        <f>IF([2]道具信息!Q76="","",[2]道具信息!Q76)</f>
        <v/>
      </c>
      <c r="R76" s="8" t="str">
        <f>IF([2]道具信息!R76="","",[2]道具信息!R76)</f>
        <v/>
      </c>
    </row>
    <row r="77" spans="3:18" x14ac:dyDescent="0.2">
      <c r="C77" s="8" t="str">
        <f>IF([2]道具信息!C77="","",[2]道具信息!C77)</f>
        <v/>
      </c>
      <c r="D77" s="8" t="str">
        <f>IF([2]道具信息!D77="","",[2]道具信息!D77)</f>
        <v>统帅印</v>
      </c>
      <c r="E77" s="8">
        <f>IF([2]道具信息!E77="","",[2]道具信息!E77)</f>
        <v>8000</v>
      </c>
      <c r="F77" s="8">
        <f>IF([2]道具信息!F77="","",[2]道具信息!F77)</f>
        <v>1</v>
      </c>
      <c r="G77" s="8">
        <f>IF([2]道具信息!G77="","",[2]道具信息!G77)</f>
        <v>1</v>
      </c>
      <c r="H77" s="8">
        <f>IF([2]道具信息!H77="","",[2]道具信息!H77)</f>
        <v>1</v>
      </c>
      <c r="I77" s="8">
        <f>IF([2]道具信息!I77="","",[2]道具信息!I77)</f>
        <v>8000</v>
      </c>
      <c r="J77" s="8">
        <f>IF([2]道具信息!J77="","",[2]道具信息!J77)</f>
        <v>8000</v>
      </c>
      <c r="K77" s="8">
        <f>IF([2]道具信息!K77="","",[2]道具信息!K77)</f>
        <v>8000</v>
      </c>
      <c r="L77" s="8" t="str">
        <f>IF([2]道具信息!L77="","",[2]道具信息!L77)</f>
        <v/>
      </c>
      <c r="M77" s="8" t="str">
        <f>IF([2]道具信息!M77="","",[2]道具信息!M77)</f>
        <v/>
      </c>
      <c r="N77" s="8" t="str">
        <f>IF([2]道具信息!N77="","",[2]道具信息!N77)</f>
        <v/>
      </c>
      <c r="O77" s="8" t="str">
        <f>IF([2]道具信息!O77="","",[2]道具信息!O77)</f>
        <v/>
      </c>
      <c r="P77" s="8" t="str">
        <f>IF([2]道具信息!P77="","",[2]道具信息!P77)</f>
        <v/>
      </c>
      <c r="Q77" s="8" t="str">
        <f>IF([2]道具信息!Q77="","",[2]道具信息!Q77)</f>
        <v/>
      </c>
      <c r="R77" s="8" t="str">
        <f>IF([2]道具信息!R77="","",[2]道具信息!R77)</f>
        <v/>
      </c>
    </row>
    <row r="78" spans="3:18" x14ac:dyDescent="0.2">
      <c r="C78" s="8" t="str">
        <f>IF([2]道具信息!C78="","",[2]道具信息!C78)</f>
        <v/>
      </c>
      <c r="D78" s="8" t="str">
        <f>IF([2]道具信息!D78="","",[2]道具信息!D78)</f>
        <v>将军印碎片</v>
      </c>
      <c r="E78" s="8">
        <f>IF([2]道具信息!E78="","",[2]道具信息!E78)</f>
        <v>33.333333333333336</v>
      </c>
      <c r="F78" s="8">
        <f>IF([2]道具信息!F78="","",[2]道具信息!F78)</f>
        <v>1</v>
      </c>
      <c r="G78" s="8">
        <f>IF([2]道具信息!G78="","",[2]道具信息!G78)</f>
        <v>1</v>
      </c>
      <c r="H78" s="8">
        <f>IF([2]道具信息!H78="","",[2]道具信息!H78)</f>
        <v>1</v>
      </c>
      <c r="I78" s="8">
        <f>IF([2]道具信息!I78="","",[2]道具信息!I78)</f>
        <v>33.333333333333336</v>
      </c>
      <c r="J78" s="8">
        <f>IF([2]道具信息!J78="","",[2]道具信息!J78)</f>
        <v>33.333333333333336</v>
      </c>
      <c r="K78" s="8">
        <f>IF([2]道具信息!K78="","",[2]道具信息!K78)</f>
        <v>33.333333333333336</v>
      </c>
      <c r="L78" s="8" t="str">
        <f>IF([2]道具信息!L78="","",[2]道具信息!L78)</f>
        <v>凑齐30个碎片可以合成1个将军印，可用于解锁武将的第四个特性</v>
      </c>
      <c r="M78" s="8" t="str">
        <f>IF([2]道具信息!M78="","",[2]道具信息!M78)</f>
        <v/>
      </c>
      <c r="N78" s="8" t="str">
        <f>IF([2]道具信息!N78="","",[2]道具信息!N78)</f>
        <v/>
      </c>
      <c r="O78" s="8" t="str">
        <f>IF([2]道具信息!O78="","",[2]道具信息!O78)</f>
        <v/>
      </c>
      <c r="P78" s="8" t="str">
        <f>IF([2]道具信息!P78="","",[2]道具信息!P78)</f>
        <v/>
      </c>
      <c r="Q78" s="8" t="str">
        <f>IF([2]道具信息!Q78="","",[2]道具信息!Q78)</f>
        <v/>
      </c>
      <c r="R78" s="8" t="str">
        <f>IF([2]道具信息!R78="","",[2]道具信息!R78)</f>
        <v/>
      </c>
    </row>
    <row r="79" spans="3:18" x14ac:dyDescent="0.2">
      <c r="C79" s="8" t="str">
        <f>IF([2]道具信息!C79="","",[2]道具信息!C79)</f>
        <v/>
      </c>
      <c r="D79" s="8" t="str">
        <f>IF([2]道具信息!D79="","",[2]道具信息!D79)</f>
        <v>上将印碎片</v>
      </c>
      <c r="E79" s="8">
        <f>IF([2]道具信息!E79="","",[2]道具信息!E79)</f>
        <v>66.666666666666671</v>
      </c>
      <c r="F79" s="8">
        <f>IF([2]道具信息!F79="","",[2]道具信息!F79)</f>
        <v>1</v>
      </c>
      <c r="G79" s="8">
        <f>IF([2]道具信息!G79="","",[2]道具信息!G79)</f>
        <v>1</v>
      </c>
      <c r="H79" s="8">
        <f>IF([2]道具信息!H79="","",[2]道具信息!H79)</f>
        <v>1</v>
      </c>
      <c r="I79" s="8">
        <f>IF([2]道具信息!I79="","",[2]道具信息!I79)</f>
        <v>66.666666666666671</v>
      </c>
      <c r="J79" s="8">
        <f>IF([2]道具信息!J79="","",[2]道具信息!J79)</f>
        <v>66.666666666666671</v>
      </c>
      <c r="K79" s="8">
        <f>IF([2]道具信息!K79="","",[2]道具信息!K79)</f>
        <v>66.666666666666671</v>
      </c>
      <c r="L79" s="8" t="str">
        <f>IF([2]道具信息!L79="","",[2]道具信息!L79)</f>
        <v>凑齐30个碎片可以合成1个上将印，可用于升级武将的第四个特性</v>
      </c>
      <c r="M79" s="8" t="str">
        <f>IF([2]道具信息!M79="","",[2]道具信息!M79)</f>
        <v/>
      </c>
      <c r="N79" s="8" t="str">
        <f>IF([2]道具信息!N79="","",[2]道具信息!N79)</f>
        <v/>
      </c>
      <c r="O79" s="8" t="str">
        <f>IF([2]道具信息!O79="","",[2]道具信息!O79)</f>
        <v/>
      </c>
      <c r="P79" s="8" t="str">
        <f>IF([2]道具信息!P79="","",[2]道具信息!P79)</f>
        <v/>
      </c>
      <c r="Q79" s="8" t="str">
        <f>IF([2]道具信息!Q79="","",[2]道具信息!Q79)</f>
        <v/>
      </c>
      <c r="R79" s="8" t="str">
        <f>IF([2]道具信息!R79="","",[2]道具信息!R79)</f>
        <v/>
      </c>
    </row>
    <row r="80" spans="3:18" x14ac:dyDescent="0.2">
      <c r="C80" s="8" t="str">
        <f>IF([2]道具信息!C80="","",[2]道具信息!C80)</f>
        <v/>
      </c>
      <c r="D80" s="8" t="str">
        <f>IF([2]道具信息!D80="","",[2]道具信息!D80)</f>
        <v>统帅印碎片</v>
      </c>
      <c r="E80" s="8">
        <f>IF([2]道具信息!E80="","",[2]道具信息!E80)</f>
        <v>266.66666666666669</v>
      </c>
      <c r="F80" s="8">
        <f>IF([2]道具信息!F80="","",[2]道具信息!F80)</f>
        <v>1</v>
      </c>
      <c r="G80" s="8">
        <f>IF([2]道具信息!G80="","",[2]道具信息!G80)</f>
        <v>1</v>
      </c>
      <c r="H80" s="8">
        <f>IF([2]道具信息!H80="","",[2]道具信息!H80)</f>
        <v>1</v>
      </c>
      <c r="I80" s="8">
        <f>IF([2]道具信息!I80="","",[2]道具信息!I80)</f>
        <v>266.66666666666669</v>
      </c>
      <c r="J80" s="8">
        <f>IF([2]道具信息!J80="","",[2]道具信息!J80)</f>
        <v>266.66666666666669</v>
      </c>
      <c r="K80" s="8">
        <f>IF([2]道具信息!K80="","",[2]道具信息!K80)</f>
        <v>266.66666666666669</v>
      </c>
      <c r="L80" s="8" t="str">
        <f>IF([2]道具信息!L80="","",[2]道具信息!L80)</f>
        <v>凑齐30个碎片可以合成1个统帅印，可用于升级武将的第四个特性</v>
      </c>
      <c r="M80" s="8" t="str">
        <f>IF([2]道具信息!M80="","",[2]道具信息!M80)</f>
        <v/>
      </c>
      <c r="N80" s="8" t="str">
        <f>IF([2]道具信息!N80="","",[2]道具信息!N80)</f>
        <v/>
      </c>
      <c r="O80" s="8" t="str">
        <f>IF([2]道具信息!O80="","",[2]道具信息!O80)</f>
        <v/>
      </c>
      <c r="P80" s="8" t="str">
        <f>IF([2]道具信息!P80="","",[2]道具信息!P80)</f>
        <v/>
      </c>
      <c r="Q80" s="8" t="str">
        <f>IF([2]道具信息!Q80="","",[2]道具信息!Q80)</f>
        <v/>
      </c>
      <c r="R80" s="8" t="str">
        <f>IF([2]道具信息!R80="","",[2]道具信息!R80)</f>
        <v/>
      </c>
    </row>
    <row r="81" spans="3:18" x14ac:dyDescent="0.2">
      <c r="C81" s="8" t="str">
        <f>IF([2]道具信息!C81="","",[2]道具信息!C81)</f>
        <v/>
      </c>
      <c r="D81" s="8" t="str">
        <f>IF([2]道具信息!D81="","",[2]道具信息!D81)</f>
        <v/>
      </c>
      <c r="E81" s="8" t="str">
        <f>IF([2]道具信息!E81="","",[2]道具信息!E81)</f>
        <v/>
      </c>
      <c r="F81" s="8" t="str">
        <f>IF([2]道具信息!F81="","",[2]道具信息!F81)</f>
        <v/>
      </c>
      <c r="G81" s="8" t="str">
        <f>IF([2]道具信息!G81="","",[2]道具信息!G81)</f>
        <v/>
      </c>
      <c r="H81" s="8" t="str">
        <f>IF([2]道具信息!H81="","",[2]道具信息!H81)</f>
        <v/>
      </c>
      <c r="I81" s="8" t="str">
        <f>IF([2]道具信息!I81="","",[2]道具信息!I81)</f>
        <v/>
      </c>
      <c r="J81" s="8" t="str">
        <f>IF([2]道具信息!J81="","",[2]道具信息!J81)</f>
        <v/>
      </c>
      <c r="K81" s="8" t="str">
        <f>IF([2]道具信息!K81="","",[2]道具信息!K81)</f>
        <v/>
      </c>
      <c r="L81" s="8" t="str">
        <f>IF([2]道具信息!L81="","",[2]道具信息!L81)</f>
        <v/>
      </c>
      <c r="M81" s="8" t="str">
        <f>IF([2]道具信息!M81="","",[2]道具信息!M81)</f>
        <v/>
      </c>
      <c r="N81" s="8" t="str">
        <f>IF([2]道具信息!N81="","",[2]道具信息!N81)</f>
        <v/>
      </c>
      <c r="O81" s="8" t="str">
        <f>IF([2]道具信息!O81="","",[2]道具信息!O81)</f>
        <v/>
      </c>
      <c r="P81" s="8" t="str">
        <f>IF([2]道具信息!P81="","",[2]道具信息!P81)</f>
        <v/>
      </c>
      <c r="Q81" s="8" t="str">
        <f>IF([2]道具信息!Q81="","",[2]道具信息!Q81)</f>
        <v/>
      </c>
      <c r="R81" s="8" t="str">
        <f>IF([2]道具信息!R81="","",[2]道具信息!R81)</f>
        <v/>
      </c>
    </row>
    <row r="82" spans="3:18" x14ac:dyDescent="0.2">
      <c r="C82" s="8" t="str">
        <f>IF([2]道具信息!C82="","",[2]道具信息!C82)</f>
        <v/>
      </c>
      <c r="D82" s="8" t="str">
        <f>IF([2]道具信息!D82="","",[2]道具信息!D82)</f>
        <v>高级免战牌</v>
      </c>
      <c r="E82" s="8">
        <f>IF([2]道具信息!E82="","",[2]道具信息!E82)</f>
        <v>400</v>
      </c>
      <c r="F82" s="8">
        <f>IF([2]道具信息!F82="","",[2]道具信息!F82)</f>
        <v>1</v>
      </c>
      <c r="G82" s="8">
        <f>IF([2]道具信息!G82="","",[2]道具信息!G82)</f>
        <v>1</v>
      </c>
      <c r="H82" s="8">
        <f>IF([2]道具信息!H82="","",[2]道具信息!H82)</f>
        <v>1</v>
      </c>
      <c r="I82" s="8">
        <f>IF([2]道具信息!I82="","",[2]道具信息!I82)</f>
        <v>400</v>
      </c>
      <c r="J82" s="8">
        <f>IF([2]道具信息!J82="","",[2]道具信息!J82)</f>
        <v>400</v>
      </c>
      <c r="K82" s="8">
        <f>IF([2]道具信息!K82="","",[2]道具信息!K82)</f>
        <v>400</v>
      </c>
      <c r="L82" s="8" t="str">
        <f>IF([2]道具信息!L82="","",[2]道具信息!L82)</f>
        <v/>
      </c>
      <c r="M82" s="8" t="str">
        <f>IF([2]道具信息!M82="","",[2]道具信息!M82)</f>
        <v/>
      </c>
      <c r="N82" s="8" t="str">
        <f>IF([2]道具信息!N82="","",[2]道具信息!N82)</f>
        <v/>
      </c>
      <c r="O82" s="8" t="str">
        <f>IF([2]道具信息!O82="","",[2]道具信息!O82)</f>
        <v/>
      </c>
      <c r="P82" s="8" t="str">
        <f>IF([2]道具信息!P82="","",[2]道具信息!P82)</f>
        <v/>
      </c>
      <c r="Q82" s="8" t="str">
        <f>IF([2]道具信息!Q82="","",[2]道具信息!Q82)</f>
        <v/>
      </c>
      <c r="R82" s="8" t="str">
        <f>IF([2]道具信息!R82="","",[2]道具信息!R82)</f>
        <v/>
      </c>
    </row>
    <row r="83" spans="3:18" x14ac:dyDescent="0.2">
      <c r="C83" s="8" t="str">
        <f>IF([2]道具信息!C83="","",[2]道具信息!C83)</f>
        <v/>
      </c>
      <c r="D83" s="8" t="str">
        <f>IF([2]道具信息!D83="","",[2]道具信息!D83)</f>
        <v>特级免战牌</v>
      </c>
      <c r="E83" s="8">
        <f>IF([2]道具信息!E83="","",[2]道具信息!E83)</f>
        <v>1500</v>
      </c>
      <c r="F83" s="8">
        <f>IF([2]道具信息!F83="","",[2]道具信息!F83)</f>
        <v>1</v>
      </c>
      <c r="G83" s="8">
        <f>IF([2]道具信息!G83="","",[2]道具信息!G83)</f>
        <v>1</v>
      </c>
      <c r="H83" s="8">
        <f>IF([2]道具信息!H83="","",[2]道具信息!H83)</f>
        <v>1</v>
      </c>
      <c r="I83" s="8">
        <f>IF([2]道具信息!I83="","",[2]道具信息!I83)</f>
        <v>1500</v>
      </c>
      <c r="J83" s="8">
        <f>IF([2]道具信息!J83="","",[2]道具信息!J83)</f>
        <v>1500</v>
      </c>
      <c r="K83" s="8">
        <f>IF([2]道具信息!K83="","",[2]道具信息!K83)</f>
        <v>1500</v>
      </c>
      <c r="L83" s="8" t="str">
        <f>IF([2]道具信息!L83="","",[2]道具信息!L83)</f>
        <v/>
      </c>
      <c r="M83" s="8" t="str">
        <f>IF([2]道具信息!M83="","",[2]道具信息!M83)</f>
        <v/>
      </c>
      <c r="N83" s="8" t="str">
        <f>IF([2]道具信息!N83="","",[2]道具信息!N83)</f>
        <v/>
      </c>
      <c r="O83" s="8" t="str">
        <f>IF([2]道具信息!O83="","",[2]道具信息!O83)</f>
        <v/>
      </c>
      <c r="P83" s="8" t="str">
        <f>IF([2]道具信息!P83="","",[2]道具信息!P83)</f>
        <v/>
      </c>
      <c r="Q83" s="8" t="str">
        <f>IF([2]道具信息!Q83="","",[2]道具信息!Q83)</f>
        <v/>
      </c>
      <c r="R83" s="8" t="str">
        <f>IF([2]道具信息!R83="","",[2]道具信息!R83)</f>
        <v/>
      </c>
    </row>
    <row r="84" spans="3:18" x14ac:dyDescent="0.2">
      <c r="C84" s="8" t="str">
        <f>IF([2]道具信息!C84="","",[2]道具信息!C84)</f>
        <v/>
      </c>
      <c r="D84" s="8" t="str">
        <f>IF([2]道具信息!D84="","",[2]道具信息!D84)</f>
        <v/>
      </c>
      <c r="E84" s="8" t="str">
        <f>IF([2]道具信息!E84="","",[2]道具信息!E84)</f>
        <v/>
      </c>
      <c r="F84" s="8" t="str">
        <f>IF([2]道具信息!F84="","",[2]道具信息!F84)</f>
        <v/>
      </c>
      <c r="G84" s="8" t="str">
        <f>IF([2]道具信息!G84="","",[2]道具信息!G84)</f>
        <v/>
      </c>
      <c r="H84" s="8" t="str">
        <f>IF([2]道具信息!H84="","",[2]道具信息!H84)</f>
        <v/>
      </c>
      <c r="I84" s="8" t="str">
        <f>IF([2]道具信息!I84="","",[2]道具信息!I84)</f>
        <v/>
      </c>
      <c r="J84" s="8" t="str">
        <f>IF([2]道具信息!J84="","",[2]道具信息!J84)</f>
        <v/>
      </c>
      <c r="K84" s="8" t="str">
        <f>IF([2]道具信息!K84="","",[2]道具信息!K84)</f>
        <v/>
      </c>
      <c r="L84" s="8" t="str">
        <f>IF([2]道具信息!L84="","",[2]道具信息!L84)</f>
        <v/>
      </c>
      <c r="M84" s="8" t="str">
        <f>IF([2]道具信息!M84="","",[2]道具信息!M84)</f>
        <v/>
      </c>
      <c r="N84" s="8" t="str">
        <f>IF([2]道具信息!N84="","",[2]道具信息!N84)</f>
        <v/>
      </c>
      <c r="O84" s="8" t="str">
        <f>IF([2]道具信息!O84="","",[2]道具信息!O84)</f>
        <v/>
      </c>
      <c r="P84" s="8" t="str">
        <f>IF([2]道具信息!P84="","",[2]道具信息!P84)</f>
        <v/>
      </c>
      <c r="Q84" s="8" t="str">
        <f>IF([2]道具信息!Q84="","",[2]道具信息!Q84)</f>
        <v/>
      </c>
      <c r="R84" s="8" t="str">
        <f>IF([2]道具信息!R84="","",[2]道具信息!R84)</f>
        <v/>
      </c>
    </row>
    <row r="85" spans="3:18" x14ac:dyDescent="0.2">
      <c r="C85" s="8" t="str">
        <f>IF([2]道具信息!C85="","",[2]道具信息!C85)</f>
        <v/>
      </c>
      <c r="D85" s="8" t="str">
        <f>IF([2]道具信息!D85="","",[2]道具信息!D85)</f>
        <v>指定or任选紫色兵法碎片</v>
      </c>
      <c r="E85" s="8">
        <f>IF([2]道具信息!E85="","",[2]道具信息!E85)</f>
        <v>75</v>
      </c>
      <c r="F85" s="8">
        <f>IF([2]道具信息!F85="","",[2]道具信息!F85)</f>
        <v>1</v>
      </c>
      <c r="G85" s="8">
        <f>IF([2]道具信息!G85="","",[2]道具信息!G85)</f>
        <v>1</v>
      </c>
      <c r="H85" s="8">
        <f>IF([2]道具信息!H85="","",[2]道具信息!H85)</f>
        <v>1</v>
      </c>
      <c r="I85" s="8">
        <f>IF([2]道具信息!I85="","",[2]道具信息!I85)</f>
        <v>75</v>
      </c>
      <c r="J85" s="8">
        <f>IF([2]道具信息!J85="","",[2]道具信息!J85)</f>
        <v>75</v>
      </c>
      <c r="K85" s="8">
        <f>IF([2]道具信息!K85="","",[2]道具信息!K85)</f>
        <v>75</v>
      </c>
      <c r="L85" s="8" t="str">
        <f>IF([2]道具信息!L85="","",[2]道具信息!L85)</f>
        <v/>
      </c>
      <c r="M85" s="8" t="str">
        <f>IF([2]道具信息!M85="","",[2]道具信息!M85)</f>
        <v/>
      </c>
      <c r="N85" s="8" t="str">
        <f>IF([2]道具信息!N85="","",[2]道具信息!N85)</f>
        <v/>
      </c>
      <c r="O85" s="8" t="str">
        <f>IF([2]道具信息!O85="","",[2]道具信息!O85)</f>
        <v/>
      </c>
      <c r="P85" s="8" t="str">
        <f>IF([2]道具信息!P85="","",[2]道具信息!P85)</f>
        <v/>
      </c>
      <c r="Q85" s="8" t="str">
        <f>IF([2]道具信息!Q85="","",[2]道具信息!Q85)</f>
        <v/>
      </c>
      <c r="R85" s="8" t="str">
        <f>IF([2]道具信息!R85="","",[2]道具信息!R85)</f>
        <v/>
      </c>
    </row>
    <row r="86" spans="3:18" x14ac:dyDescent="0.2">
      <c r="C86" s="8" t="str">
        <f>IF([2]道具信息!C86="","",[2]道具信息!C86)</f>
        <v/>
      </c>
      <c r="D86" s="8" t="str">
        <f>IF([2]道具信息!D86="","",[2]道具信息!D86)</f>
        <v>指定or任选橙色兵法碎片</v>
      </c>
      <c r="E86" s="8">
        <f>IF([2]道具信息!E86="","",[2]道具信息!E86)</f>
        <v>111.66666666666667</v>
      </c>
      <c r="F86" s="8">
        <f>IF([2]道具信息!F86="","",[2]道具信息!F86)</f>
        <v>1</v>
      </c>
      <c r="G86" s="8">
        <f>IF([2]道具信息!G86="","",[2]道具信息!G86)</f>
        <v>1</v>
      </c>
      <c r="H86" s="8">
        <f>IF([2]道具信息!H86="","",[2]道具信息!H86)</f>
        <v>1</v>
      </c>
      <c r="I86" s="8">
        <f>IF([2]道具信息!I86="","",[2]道具信息!I86)</f>
        <v>111.66666666666667</v>
      </c>
      <c r="J86" s="8">
        <f>IF([2]道具信息!J86="","",[2]道具信息!J86)</f>
        <v>111.66666666666667</v>
      </c>
      <c r="K86" s="8">
        <f>IF([2]道具信息!K86="","",[2]道具信息!K86)</f>
        <v>111.66666666666667</v>
      </c>
      <c r="L86" s="8" t="str">
        <f>IF([2]道具信息!L86="","",[2]道具信息!L86)</f>
        <v/>
      </c>
      <c r="M86" s="8" t="str">
        <f>IF([2]道具信息!M86="","",[2]道具信息!M86)</f>
        <v/>
      </c>
      <c r="N86" s="8" t="str">
        <f>IF([2]道具信息!N86="","",[2]道具信息!N86)</f>
        <v/>
      </c>
      <c r="O86" s="8" t="str">
        <f>IF([2]道具信息!O86="","",[2]道具信息!O86)</f>
        <v/>
      </c>
      <c r="P86" s="8" t="str">
        <f>IF([2]道具信息!P86="","",[2]道具信息!P86)</f>
        <v/>
      </c>
      <c r="Q86" s="8" t="str">
        <f>IF([2]道具信息!Q86="","",[2]道具信息!Q86)</f>
        <v/>
      </c>
      <c r="R86" s="8" t="str">
        <f>IF([2]道具信息!R86="","",[2]道具信息!R86)</f>
        <v/>
      </c>
    </row>
    <row r="87" spans="3:18" x14ac:dyDescent="0.2">
      <c r="C87" s="8" t="str">
        <f>IF([2]道具信息!C87="","",[2]道具信息!C87)</f>
        <v/>
      </c>
      <c r="D87" s="8" t="str">
        <f>IF([2]道具信息!D87="","",[2]道具信息!D87)</f>
        <v>指定or任选红色兵法碎片</v>
      </c>
      <c r="E87" s="8">
        <f>IF([2]道具信息!E87="","",[2]道具信息!E87)</f>
        <v>305.5</v>
      </c>
      <c r="F87" s="8">
        <f>IF([2]道具信息!F87="","",[2]道具信息!F87)</f>
        <v>1</v>
      </c>
      <c r="G87" s="8">
        <f>IF([2]道具信息!G87="","",[2]道具信息!G87)</f>
        <v>1</v>
      </c>
      <c r="H87" s="8">
        <f>IF([2]道具信息!H87="","",[2]道具信息!H87)</f>
        <v>1</v>
      </c>
      <c r="I87" s="8">
        <f>IF([2]道具信息!I87="","",[2]道具信息!I87)</f>
        <v>305.5</v>
      </c>
      <c r="J87" s="8">
        <f>IF([2]道具信息!J87="","",[2]道具信息!J87)</f>
        <v>305.5</v>
      </c>
      <c r="K87" s="8">
        <f>IF([2]道具信息!K87="","",[2]道具信息!K87)</f>
        <v>305.5</v>
      </c>
      <c r="L87" s="8" t="str">
        <f>IF([2]道具信息!L87="","",[2]道具信息!L87)</f>
        <v/>
      </c>
      <c r="M87" s="8" t="str">
        <f>IF([2]道具信息!M87="","",[2]道具信息!M87)</f>
        <v/>
      </c>
      <c r="N87" s="8" t="str">
        <f>IF([2]道具信息!N87="","",[2]道具信息!N87)</f>
        <v/>
      </c>
      <c r="O87" s="8" t="str">
        <f>IF([2]道具信息!O87="","",[2]道具信息!O87)</f>
        <v/>
      </c>
      <c r="P87" s="8" t="str">
        <f>IF([2]道具信息!P87="","",[2]道具信息!P87)</f>
        <v/>
      </c>
      <c r="Q87" s="8" t="str">
        <f>IF([2]道具信息!Q87="","",[2]道具信息!Q87)</f>
        <v/>
      </c>
      <c r="R87" s="8" t="str">
        <f>IF([2]道具信息!R87="","",[2]道具信息!R87)</f>
        <v/>
      </c>
    </row>
    <row r="88" spans="3:18" x14ac:dyDescent="0.2">
      <c r="C88" s="8" t="str">
        <f>IF([2]道具信息!C88="","",[2]道具信息!C88)</f>
        <v/>
      </c>
      <c r="D88" s="8" t="str">
        <f>IF([2]道具信息!D88="","",[2]道具信息!D88)</f>
        <v>随机紫色兵法碎片</v>
      </c>
      <c r="E88" s="8">
        <f>IF([2]道具信息!E88="","",[2]道具信息!E88)</f>
        <v>50</v>
      </c>
      <c r="F88" s="8">
        <f>IF([2]道具信息!F88="","",[2]道具信息!F88)</f>
        <v>1</v>
      </c>
      <c r="G88" s="8">
        <f>IF([2]道具信息!G88="","",[2]道具信息!G88)</f>
        <v>1</v>
      </c>
      <c r="H88" s="8">
        <f>IF([2]道具信息!H88="","",[2]道具信息!H88)</f>
        <v>1</v>
      </c>
      <c r="I88" s="8">
        <f>IF([2]道具信息!I88="","",[2]道具信息!I88)</f>
        <v>50</v>
      </c>
      <c r="J88" s="8">
        <f>IF([2]道具信息!J88="","",[2]道具信息!J88)</f>
        <v>50</v>
      </c>
      <c r="K88" s="8">
        <f>IF([2]道具信息!K88="","",[2]道具信息!K88)</f>
        <v>50</v>
      </c>
      <c r="L88" s="8" t="str">
        <f>IF([2]道具信息!L88="","",[2]道具信息!L88)</f>
        <v/>
      </c>
      <c r="M88" s="8" t="str">
        <f>IF([2]道具信息!M88="","",[2]道具信息!M88)</f>
        <v/>
      </c>
      <c r="N88" s="8" t="str">
        <f>IF([2]道具信息!N88="","",[2]道具信息!N88)</f>
        <v/>
      </c>
      <c r="O88" s="8" t="str">
        <f>IF([2]道具信息!O88="","",[2]道具信息!O88)</f>
        <v/>
      </c>
      <c r="P88" s="8" t="str">
        <f>IF([2]道具信息!P88="","",[2]道具信息!P88)</f>
        <v/>
      </c>
      <c r="Q88" s="8" t="str">
        <f>IF([2]道具信息!Q88="","",[2]道具信息!Q88)</f>
        <v/>
      </c>
      <c r="R88" s="8" t="str">
        <f>IF([2]道具信息!R88="","",[2]道具信息!R88)</f>
        <v/>
      </c>
    </row>
    <row r="89" spans="3:18" x14ac:dyDescent="0.2">
      <c r="C89" s="8" t="str">
        <f>IF([2]道具信息!C89="","",[2]道具信息!C89)</f>
        <v/>
      </c>
      <c r="D89" s="8" t="str">
        <f>IF([2]道具信息!D89="","",[2]道具信息!D89)</f>
        <v>随机橙色兵法碎片</v>
      </c>
      <c r="E89" s="8">
        <f>IF([2]道具信息!E89="","",[2]道具信息!E89)</f>
        <v>56</v>
      </c>
      <c r="F89" s="8">
        <f>IF([2]道具信息!F89="","",[2]道具信息!F89)</f>
        <v>1</v>
      </c>
      <c r="G89" s="8">
        <f>IF([2]道具信息!G89="","",[2]道具信息!G89)</f>
        <v>1</v>
      </c>
      <c r="H89" s="8">
        <f>IF([2]道具信息!H89="","",[2]道具信息!H89)</f>
        <v>1</v>
      </c>
      <c r="I89" s="8">
        <f>IF([2]道具信息!I89="","",[2]道具信息!I89)</f>
        <v>56</v>
      </c>
      <c r="J89" s="8">
        <f>IF([2]道具信息!J89="","",[2]道具信息!J89)</f>
        <v>56</v>
      </c>
      <c r="K89" s="8">
        <f>IF([2]道具信息!K89="","",[2]道具信息!K89)</f>
        <v>56</v>
      </c>
      <c r="L89" s="8" t="str">
        <f>IF([2]道具信息!L89="","",[2]道具信息!L89)</f>
        <v/>
      </c>
      <c r="M89" s="8" t="str">
        <f>IF([2]道具信息!M89="","",[2]道具信息!M89)</f>
        <v/>
      </c>
      <c r="N89" s="8" t="str">
        <f>IF([2]道具信息!N89="","",[2]道具信息!N89)</f>
        <v/>
      </c>
      <c r="O89" s="8" t="str">
        <f>IF([2]道具信息!O89="","",[2]道具信息!O89)</f>
        <v/>
      </c>
      <c r="P89" s="8" t="str">
        <f>IF([2]道具信息!P89="","",[2]道具信息!P89)</f>
        <v/>
      </c>
      <c r="Q89" s="8" t="str">
        <f>IF([2]道具信息!Q89="","",[2]道具信息!Q89)</f>
        <v/>
      </c>
      <c r="R89" s="8" t="str">
        <f>IF([2]道具信息!R89="","",[2]道具信息!R89)</f>
        <v/>
      </c>
    </row>
    <row r="90" spans="3:18" x14ac:dyDescent="0.2">
      <c r="C90" s="8" t="str">
        <f>IF([2]道具信息!C90="","",[2]道具信息!C90)</f>
        <v/>
      </c>
      <c r="D90" s="8" t="str">
        <f>IF([2]道具信息!D90="","",[2]道具信息!D90)</f>
        <v>随机极兵法碎片</v>
      </c>
      <c r="E90" s="8">
        <f>IF([2]道具信息!E90="","",[2]道具信息!E90)</f>
        <v>305.5</v>
      </c>
      <c r="F90" s="8">
        <f>IF([2]道具信息!F90="","",[2]道具信息!F90)</f>
        <v>1</v>
      </c>
      <c r="G90" s="8">
        <f>IF([2]道具信息!G90="","",[2]道具信息!G90)</f>
        <v>1</v>
      </c>
      <c r="H90" s="8">
        <f>IF([2]道具信息!H90="","",[2]道具信息!H90)</f>
        <v>1</v>
      </c>
      <c r="I90" s="8">
        <f>IF([2]道具信息!I90="","",[2]道具信息!I90)</f>
        <v>305.5</v>
      </c>
      <c r="J90" s="8">
        <f>IF([2]道具信息!J90="","",[2]道具信息!J90)</f>
        <v>305.5</v>
      </c>
      <c r="K90" s="8">
        <f>IF([2]道具信息!K90="","",[2]道具信息!K90)</f>
        <v>305.5</v>
      </c>
      <c r="L90" s="8" t="str">
        <f>IF([2]道具信息!L90="","",[2]道具信息!L90)</f>
        <v/>
      </c>
      <c r="M90" s="8" t="str">
        <f>IF([2]道具信息!M90="","",[2]道具信息!M90)</f>
        <v/>
      </c>
      <c r="N90" s="8" t="str">
        <f>IF([2]道具信息!N90="","",[2]道具信息!N90)</f>
        <v/>
      </c>
      <c r="O90" s="8" t="str">
        <f>IF([2]道具信息!O90="","",[2]道具信息!O90)</f>
        <v/>
      </c>
      <c r="P90" s="8" t="str">
        <f>IF([2]道具信息!P90="","",[2]道具信息!P90)</f>
        <v/>
      </c>
      <c r="Q90" s="8" t="str">
        <f>IF([2]道具信息!Q90="","",[2]道具信息!Q90)</f>
        <v/>
      </c>
      <c r="R90" s="8" t="str">
        <f>IF([2]道具信息!R90="","",[2]道具信息!R90)</f>
        <v/>
      </c>
    </row>
    <row r="91" spans="3:18" x14ac:dyDescent="0.2">
      <c r="C91" s="8" t="str">
        <f>IF([2]道具信息!C91="","",[2]道具信息!C91)</f>
        <v/>
      </c>
      <c r="D91" s="8" t="str">
        <f>IF([2]道具信息!D91="","",[2]道具信息!D91)</f>
        <v>红色装备自选碎片</v>
      </c>
      <c r="E91" s="8">
        <f>IF([2]道具信息!E91="","",[2]道具信息!E91)</f>
        <v>144</v>
      </c>
      <c r="F91" s="8">
        <f>IF([2]道具信息!F91="","",[2]道具信息!F91)</f>
        <v>1</v>
      </c>
      <c r="G91" s="8">
        <f>IF([2]道具信息!G91="","",[2]道具信息!G91)</f>
        <v>1</v>
      </c>
      <c r="H91" s="8">
        <f>IF([2]道具信息!H91="","",[2]道具信息!H91)</f>
        <v>1</v>
      </c>
      <c r="I91" s="8">
        <f>IF([2]道具信息!I91="","",[2]道具信息!I91)</f>
        <v>144</v>
      </c>
      <c r="J91" s="8">
        <f>IF([2]道具信息!J91="","",[2]道具信息!J91)</f>
        <v>144</v>
      </c>
      <c r="K91" s="8">
        <f>IF([2]道具信息!K91="","",[2]道具信息!K91)</f>
        <v>144</v>
      </c>
      <c r="L91" s="8" t="str">
        <f>IF([2]道具信息!L91="","",[2]道具信息!L91)</f>
        <v/>
      </c>
      <c r="M91" s="8" t="str">
        <f>IF([2]道具信息!M91="","",[2]道具信息!M91)</f>
        <v/>
      </c>
      <c r="N91" s="8" t="str">
        <f>IF([2]道具信息!N91="","",[2]道具信息!N91)</f>
        <v/>
      </c>
      <c r="O91" s="8" t="str">
        <f>IF([2]道具信息!O91="","",[2]道具信息!O91)</f>
        <v/>
      </c>
      <c r="P91" s="8" t="str">
        <f>IF([2]道具信息!P91="","",[2]道具信息!P91)</f>
        <v/>
      </c>
      <c r="Q91" s="8" t="str">
        <f>IF([2]道具信息!Q91="","",[2]道具信息!Q91)</f>
        <v/>
      </c>
      <c r="R91" s="8" t="str">
        <f>IF([2]道具信息!R91="","",[2]道具信息!R91)</f>
        <v/>
      </c>
    </row>
    <row r="92" spans="3:18" x14ac:dyDescent="0.2">
      <c r="C92" s="8" t="str">
        <f>IF([2]道具信息!C92="","",[2]道具信息!C92)</f>
        <v/>
      </c>
      <c r="D92" s="8" t="str">
        <f>IF([2]道具信息!D92="","",[2]道具信息!D92)</f>
        <v>红+装备自选碎片</v>
      </c>
      <c r="E92" s="8">
        <f>IF([2]道具信息!E92="","",[2]道具信息!E92)</f>
        <v>288</v>
      </c>
      <c r="F92" s="8">
        <f>IF([2]道具信息!F92="","",[2]道具信息!F92)</f>
        <v>1.56</v>
      </c>
      <c r="G92" s="8">
        <f>IF([2]道具信息!G92="","",[2]道具信息!G92)</f>
        <v>1.56</v>
      </c>
      <c r="H92" s="8">
        <f>IF([2]道具信息!H92="","",[2]道具信息!H92)</f>
        <v>1.56</v>
      </c>
      <c r="I92" s="8">
        <f>IF([2]道具信息!I92="","",[2]道具信息!I92)</f>
        <v>449.28000000000003</v>
      </c>
      <c r="J92" s="8">
        <f>IF([2]道具信息!J92="","",[2]道具信息!J92)</f>
        <v>449.28000000000003</v>
      </c>
      <c r="K92" s="8">
        <f>IF([2]道具信息!K92="","",[2]道具信息!K92)</f>
        <v>449.28000000000003</v>
      </c>
      <c r="L92" s="8" t="str">
        <f>IF([2]道具信息!L92="","",[2]道具信息!L92)</f>
        <v/>
      </c>
      <c r="M92" s="8" t="str">
        <f>IF([2]道具信息!M92="","",[2]道具信息!M92)</f>
        <v/>
      </c>
      <c r="N92" s="8" t="str">
        <f>IF([2]道具信息!N92="","",[2]道具信息!N92)</f>
        <v/>
      </c>
      <c r="O92" s="8" t="str">
        <f>IF([2]道具信息!O92="","",[2]道具信息!O92)</f>
        <v/>
      </c>
      <c r="P92" s="8" t="str">
        <f>IF([2]道具信息!P92="","",[2]道具信息!P92)</f>
        <v/>
      </c>
      <c r="Q92" s="8" t="str">
        <f>IF([2]道具信息!Q92="","",[2]道具信息!Q92)</f>
        <v/>
      </c>
      <c r="R92" s="8" t="str">
        <f>IF([2]道具信息!R92="","",[2]道具信息!R92)</f>
        <v/>
      </c>
    </row>
    <row r="93" spans="3:18" x14ac:dyDescent="0.2">
      <c r="C93" s="8" t="str">
        <f>IF([2]道具信息!C93="","",[2]道具信息!C93)</f>
        <v/>
      </c>
      <c r="D93" s="8" t="str">
        <f>IF([2]道具信息!D93="","",[2]道具信息!D93)</f>
        <v/>
      </c>
      <c r="E93" s="8" t="str">
        <f>IF([2]道具信息!E93="","",[2]道具信息!E93)</f>
        <v/>
      </c>
      <c r="F93" s="8" t="str">
        <f>IF([2]道具信息!F93="","",[2]道具信息!F93)</f>
        <v/>
      </c>
      <c r="G93" s="8" t="str">
        <f>IF([2]道具信息!G93="","",[2]道具信息!G93)</f>
        <v/>
      </c>
      <c r="H93" s="8" t="str">
        <f>IF([2]道具信息!H93="","",[2]道具信息!H93)</f>
        <v/>
      </c>
      <c r="I93" s="8" t="str">
        <f>IF([2]道具信息!I93="","",[2]道具信息!I93)</f>
        <v/>
      </c>
      <c r="J93" s="8" t="str">
        <f>IF([2]道具信息!J93="","",[2]道具信息!J93)</f>
        <v/>
      </c>
      <c r="K93" s="8" t="str">
        <f>IF([2]道具信息!K93="","",[2]道具信息!K93)</f>
        <v/>
      </c>
      <c r="L93" s="8" t="str">
        <f>IF([2]道具信息!L93="","",[2]道具信息!L93)</f>
        <v/>
      </c>
      <c r="M93" s="8" t="str">
        <f>IF([2]道具信息!M93="","",[2]道具信息!M93)</f>
        <v/>
      </c>
      <c r="N93" s="8" t="str">
        <f>IF([2]道具信息!N93="","",[2]道具信息!N93)</f>
        <v/>
      </c>
      <c r="O93" s="8" t="str">
        <f>IF([2]道具信息!O93="","",[2]道具信息!O93)</f>
        <v/>
      </c>
      <c r="P93" s="8" t="str">
        <f>IF([2]道具信息!P93="","",[2]道具信息!P93)</f>
        <v/>
      </c>
      <c r="Q93" s="8" t="str">
        <f>IF([2]道具信息!Q93="","",[2]道具信息!Q93)</f>
        <v/>
      </c>
      <c r="R93" s="8" t="str">
        <f>IF([2]道具信息!R93="","",[2]道具信息!R93)</f>
        <v/>
      </c>
    </row>
    <row r="94" spans="3:18" x14ac:dyDescent="0.2">
      <c r="C94" s="8" t="str">
        <f>IF([2]道具信息!C94="","",[2]道具信息!C94)</f>
        <v/>
      </c>
      <c r="D94" s="8" t="str">
        <f>IF([2]道具信息!D94="","",[2]道具信息!D94)</f>
        <v>随机蓝色阵法</v>
      </c>
      <c r="E94" s="8">
        <f>IF([2]道具信息!E94="","",[2]道具信息!E94)</f>
        <v>100</v>
      </c>
      <c r="F94" s="8">
        <f>IF([2]道具信息!F94="","",[2]道具信息!F94)</f>
        <v>1</v>
      </c>
      <c r="G94" s="8">
        <f>IF([2]道具信息!G94="","",[2]道具信息!G94)</f>
        <v>1</v>
      </c>
      <c r="H94" s="8">
        <f>IF([2]道具信息!H94="","",[2]道具信息!H94)</f>
        <v>1</v>
      </c>
      <c r="I94" s="8">
        <f>IF([2]道具信息!I94="","",[2]道具信息!I94)</f>
        <v>100</v>
      </c>
      <c r="J94" s="8">
        <f>IF([2]道具信息!J94="","",[2]道具信息!J94)</f>
        <v>100</v>
      </c>
      <c r="K94" s="8">
        <f>IF([2]道具信息!K94="","",[2]道具信息!K94)</f>
        <v>100</v>
      </c>
      <c r="L94" s="8" t="str">
        <f>IF([2]道具信息!L94="","",[2]道具信息!L94)</f>
        <v/>
      </c>
      <c r="M94" s="8" t="str">
        <f>IF([2]道具信息!M94="","",[2]道具信息!M94)</f>
        <v/>
      </c>
      <c r="N94" s="8" t="str">
        <f>IF([2]道具信息!N94="","",[2]道具信息!N94)</f>
        <v/>
      </c>
      <c r="O94" s="8" t="str">
        <f>IF([2]道具信息!O94="","",[2]道具信息!O94)</f>
        <v/>
      </c>
      <c r="P94" s="8" t="str">
        <f>IF([2]道具信息!P94="","",[2]道具信息!P94)</f>
        <v/>
      </c>
      <c r="Q94" s="8" t="str">
        <f>IF([2]道具信息!Q94="","",[2]道具信息!Q94)</f>
        <v/>
      </c>
      <c r="R94" s="8" t="str">
        <f>IF([2]道具信息!R94="","",[2]道具信息!R94)</f>
        <v/>
      </c>
    </row>
    <row r="95" spans="3:18" x14ac:dyDescent="0.2">
      <c r="C95" s="8" t="str">
        <f>IF([2]道具信息!C95="","",[2]道具信息!C95)</f>
        <v/>
      </c>
      <c r="D95" s="8" t="str">
        <f>IF([2]道具信息!D95="","",[2]道具信息!D95)</f>
        <v>随机紫色阵法</v>
      </c>
      <c r="E95" s="8">
        <f>IF([2]道具信息!E95="","",[2]道具信息!E95)</f>
        <v>1000</v>
      </c>
      <c r="F95" s="8">
        <f>IF([2]道具信息!F95="","",[2]道具信息!F95)</f>
        <v>1</v>
      </c>
      <c r="G95" s="8">
        <f>IF([2]道具信息!G95="","",[2]道具信息!G95)</f>
        <v>0.75</v>
      </c>
      <c r="H95" s="8">
        <f>IF([2]道具信息!H95="","",[2]道具信息!H95)</f>
        <v>0.5</v>
      </c>
      <c r="I95" s="8">
        <f>IF([2]道具信息!I95="","",[2]道具信息!I95)</f>
        <v>1000</v>
      </c>
      <c r="J95" s="8">
        <f>IF([2]道具信息!J95="","",[2]道具信息!J95)</f>
        <v>750</v>
      </c>
      <c r="K95" s="8">
        <f>IF([2]道具信息!K95="","",[2]道具信息!K95)</f>
        <v>500</v>
      </c>
      <c r="L95" s="8" t="str">
        <f>IF([2]道具信息!L95="","",[2]道具信息!L95)</f>
        <v/>
      </c>
      <c r="M95" s="8" t="str">
        <f>IF([2]道具信息!M95="","",[2]道具信息!M95)</f>
        <v/>
      </c>
      <c r="N95" s="8" t="str">
        <f>IF([2]道具信息!N95="","",[2]道具信息!N95)</f>
        <v/>
      </c>
      <c r="O95" s="8" t="str">
        <f>IF([2]道具信息!O95="","",[2]道具信息!O95)</f>
        <v/>
      </c>
      <c r="P95" s="8" t="str">
        <f>IF([2]道具信息!P95="","",[2]道具信息!P95)</f>
        <v/>
      </c>
      <c r="Q95" s="8" t="str">
        <f>IF([2]道具信息!Q95="","",[2]道具信息!Q95)</f>
        <v/>
      </c>
      <c r="R95" s="8" t="str">
        <f>IF([2]道具信息!R95="","",[2]道具信息!R95)</f>
        <v/>
      </c>
    </row>
    <row r="96" spans="3:18" x14ac:dyDescent="0.2">
      <c r="C96" s="8" t="str">
        <f>IF([2]道具信息!C96="","",[2]道具信息!C96)</f>
        <v/>
      </c>
      <c r="D96" s="8" t="str">
        <f>IF([2]道具信息!D96="","",[2]道具信息!D96)</f>
        <v>随机橙色阵法</v>
      </c>
      <c r="E96" s="8">
        <f>IF([2]道具信息!E96="","",[2]道具信息!E96)</f>
        <v>5000</v>
      </c>
      <c r="F96" s="8">
        <f>IF([2]道具信息!F96="","",[2]道具信息!F96)</f>
        <v>1</v>
      </c>
      <c r="G96" s="8">
        <f>IF([2]道具信息!G96="","",[2]道具信息!G96)</f>
        <v>0.8</v>
      </c>
      <c r="H96" s="8">
        <f>IF([2]道具信息!H96="","",[2]道具信息!H96)</f>
        <v>0.5</v>
      </c>
      <c r="I96" s="8">
        <f>IF([2]道具信息!I96="","",[2]道具信息!I96)</f>
        <v>5000</v>
      </c>
      <c r="J96" s="8">
        <f>IF([2]道具信息!J96="","",[2]道具信息!J96)</f>
        <v>4000</v>
      </c>
      <c r="K96" s="8">
        <f>IF([2]道具信息!K96="","",[2]道具信息!K96)</f>
        <v>2500</v>
      </c>
      <c r="L96" s="8" t="str">
        <f>IF([2]道具信息!L96="","",[2]道具信息!L96)</f>
        <v/>
      </c>
      <c r="M96" s="8" t="str">
        <f>IF([2]道具信息!M96="","",[2]道具信息!M96)</f>
        <v/>
      </c>
      <c r="N96" s="8" t="str">
        <f>IF([2]道具信息!N96="","",[2]道具信息!N96)</f>
        <v/>
      </c>
      <c r="O96" s="8" t="str">
        <f>IF([2]道具信息!O96="","",[2]道具信息!O96)</f>
        <v/>
      </c>
      <c r="P96" s="8" t="str">
        <f>IF([2]道具信息!P96="","",[2]道具信息!P96)</f>
        <v/>
      </c>
      <c r="Q96" s="8" t="str">
        <f>IF([2]道具信息!Q96="","",[2]道具信息!Q96)</f>
        <v/>
      </c>
      <c r="R96" s="8" t="str">
        <f>IF([2]道具信息!R96="","",[2]道具信息!R96)</f>
        <v/>
      </c>
    </row>
    <row r="97" spans="3:18" x14ac:dyDescent="0.2">
      <c r="C97" s="8" t="str">
        <f>IF([2]道具信息!C97="","",[2]道具信息!C97)</f>
        <v/>
      </c>
      <c r="D97" s="8" t="str">
        <f>IF([2]道具信息!D97="","",[2]道具信息!D97)</f>
        <v>随机红色阵法</v>
      </c>
      <c r="E97" s="8">
        <f>IF([2]道具信息!E97="","",[2]道具信息!E97)</f>
        <v>25000</v>
      </c>
      <c r="F97" s="8">
        <f>IF([2]道具信息!F97="","",[2]道具信息!F97)</f>
        <v>2</v>
      </c>
      <c r="G97" s="8">
        <f>IF([2]道具信息!G97="","",[2]道具信息!G97)</f>
        <v>1.5</v>
      </c>
      <c r="H97" s="8">
        <f>IF([2]道具信息!H97="","",[2]道具信息!H97)</f>
        <v>1</v>
      </c>
      <c r="I97" s="8">
        <f>IF([2]道具信息!I97="","",[2]道具信息!I97)</f>
        <v>50000</v>
      </c>
      <c r="J97" s="8">
        <f>IF([2]道具信息!J97="","",[2]道具信息!J97)</f>
        <v>37500</v>
      </c>
      <c r="K97" s="8">
        <f>IF([2]道具信息!K97="","",[2]道具信息!K97)</f>
        <v>25000</v>
      </c>
      <c r="L97" s="8" t="str">
        <f>IF([2]道具信息!L97="","",[2]道具信息!L97)</f>
        <v/>
      </c>
      <c r="M97" s="8" t="str">
        <f>IF([2]道具信息!M97="","",[2]道具信息!M97)</f>
        <v/>
      </c>
      <c r="N97" s="8" t="str">
        <f>IF([2]道具信息!N97="","",[2]道具信息!N97)</f>
        <v/>
      </c>
      <c r="O97" s="8" t="str">
        <f>IF([2]道具信息!O97="","",[2]道具信息!O97)</f>
        <v/>
      </c>
      <c r="P97" s="8" t="str">
        <f>IF([2]道具信息!P97="","",[2]道具信息!P97)</f>
        <v/>
      </c>
      <c r="Q97" s="8" t="str">
        <f>IF([2]道具信息!Q97="","",[2]道具信息!Q97)</f>
        <v/>
      </c>
      <c r="R97" s="8" t="str">
        <f>IF([2]道具信息!R97="","",[2]道具信息!R97)</f>
        <v/>
      </c>
    </row>
    <row r="98" spans="3:18" x14ac:dyDescent="0.2">
      <c r="C98" s="8" t="str">
        <f>IF([2]道具信息!C98="","",[2]道具信息!C98)</f>
        <v/>
      </c>
      <c r="D98" s="8" t="str">
        <f>IF([2]道具信息!D98="","",[2]道具信息!D98)</f>
        <v/>
      </c>
      <c r="E98" s="8" t="str">
        <f>IF([2]道具信息!E98="","",[2]道具信息!E98)</f>
        <v/>
      </c>
      <c r="F98" s="8">
        <f>IF([2]道具信息!F98="","",[2]道具信息!F98)</f>
        <v>1</v>
      </c>
      <c r="G98" s="8">
        <f>IF([2]道具信息!G98="","",[2]道具信息!G98)</f>
        <v>1</v>
      </c>
      <c r="H98" s="8">
        <f>IF([2]道具信息!H98="","",[2]道具信息!H98)</f>
        <v>1</v>
      </c>
      <c r="I98" s="8" t="str">
        <f>IF([2]道具信息!I98="","",[2]道具信息!I98)</f>
        <v/>
      </c>
      <c r="J98" s="8" t="str">
        <f>IF([2]道具信息!J98="","",[2]道具信息!J98)</f>
        <v/>
      </c>
      <c r="K98" s="8" t="str">
        <f>IF([2]道具信息!K98="","",[2]道具信息!K98)</f>
        <v/>
      </c>
      <c r="L98" s="8" t="str">
        <f>IF([2]道具信息!L98="","",[2]道具信息!L98)</f>
        <v/>
      </c>
      <c r="M98" s="8" t="str">
        <f>IF([2]道具信息!M98="","",[2]道具信息!M98)</f>
        <v/>
      </c>
      <c r="N98" s="8" t="str">
        <f>IF([2]道具信息!N98="","",[2]道具信息!N98)</f>
        <v/>
      </c>
      <c r="O98" s="8" t="str">
        <f>IF([2]道具信息!O98="","",[2]道具信息!O98)</f>
        <v/>
      </c>
      <c r="P98" s="8" t="str">
        <f>IF([2]道具信息!P98="","",[2]道具信息!P98)</f>
        <v/>
      </c>
      <c r="Q98" s="8" t="str">
        <f>IF([2]道具信息!Q98="","",[2]道具信息!Q98)</f>
        <v/>
      </c>
      <c r="R98" s="8" t="str">
        <f>IF([2]道具信息!R98="","",[2]道具信息!R98)</f>
        <v/>
      </c>
    </row>
    <row r="99" spans="3:18" x14ac:dyDescent="0.2">
      <c r="C99" s="8" t="str">
        <f>IF([2]道具信息!C99="","",[2]道具信息!C99)</f>
        <v/>
      </c>
      <c r="D99" s="8" t="str">
        <f>IF([2]道具信息!D99="","",[2]道具信息!D99)</f>
        <v>随机紫色阵法碎片</v>
      </c>
      <c r="E99" s="8">
        <f>IF([2]道具信息!E99="","",[2]道具信息!E99)</f>
        <v>100</v>
      </c>
      <c r="F99" s="8">
        <f>IF([2]道具信息!F99="","",[2]道具信息!F99)</f>
        <v>1</v>
      </c>
      <c r="G99" s="8">
        <f>IF([2]道具信息!G99="","",[2]道具信息!G99)</f>
        <v>0.75</v>
      </c>
      <c r="H99" s="8">
        <f>IF([2]道具信息!H99="","",[2]道具信息!H99)</f>
        <v>0.5</v>
      </c>
      <c r="I99" s="8">
        <f>IF([2]道具信息!I99="","",[2]道具信息!I99)</f>
        <v>100</v>
      </c>
      <c r="J99" s="8">
        <f>IF([2]道具信息!J99="","",[2]道具信息!J99)</f>
        <v>75</v>
      </c>
      <c r="K99" s="8">
        <f>IF([2]道具信息!K99="","",[2]道具信息!K99)</f>
        <v>50</v>
      </c>
      <c r="L99" s="8" t="str">
        <f>IF([2]道具信息!L99="","",[2]道具信息!L99)</f>
        <v/>
      </c>
      <c r="M99" s="8" t="str">
        <f>IF([2]道具信息!M99="","",[2]道具信息!M99)</f>
        <v/>
      </c>
      <c r="N99" s="8" t="str">
        <f>IF([2]道具信息!N99="","",[2]道具信息!N99)</f>
        <v/>
      </c>
      <c r="O99" s="8" t="str">
        <f>IF([2]道具信息!O99="","",[2]道具信息!O99)</f>
        <v/>
      </c>
      <c r="P99" s="8" t="str">
        <f>IF([2]道具信息!P99="","",[2]道具信息!P99)</f>
        <v/>
      </c>
      <c r="Q99" s="8" t="str">
        <f>IF([2]道具信息!Q99="","",[2]道具信息!Q99)</f>
        <v/>
      </c>
      <c r="R99" s="8" t="str">
        <f>IF([2]道具信息!R99="","",[2]道具信息!R99)</f>
        <v/>
      </c>
    </row>
    <row r="100" spans="3:18" x14ac:dyDescent="0.2">
      <c r="C100" s="8" t="str">
        <f>IF([2]道具信息!C100="","",[2]道具信息!C100)</f>
        <v/>
      </c>
      <c r="D100" s="8" t="str">
        <f>IF([2]道具信息!D100="","",[2]道具信息!D100)</f>
        <v>随机橙色阵法碎片</v>
      </c>
      <c r="E100" s="8">
        <f>IF([2]道具信息!E100="","",[2]道具信息!E100)</f>
        <v>166.66666666666666</v>
      </c>
      <c r="F100" s="8">
        <f>IF([2]道具信息!F100="","",[2]道具信息!F100)</f>
        <v>1</v>
      </c>
      <c r="G100" s="8">
        <f>IF([2]道具信息!G100="","",[2]道具信息!G100)</f>
        <v>0.8</v>
      </c>
      <c r="H100" s="8">
        <f>IF([2]道具信息!H100="","",[2]道具信息!H100)</f>
        <v>0.5</v>
      </c>
      <c r="I100" s="8">
        <f>IF([2]道具信息!I100="","",[2]道具信息!I100)</f>
        <v>166.66666666666666</v>
      </c>
      <c r="J100" s="8">
        <f>IF([2]道具信息!J100="","",[2]道具信息!J100)</f>
        <v>133.33333333333334</v>
      </c>
      <c r="K100" s="8">
        <f>IF([2]道具信息!K100="","",[2]道具信息!K100)</f>
        <v>83.333333333333329</v>
      </c>
      <c r="L100" s="8" t="str">
        <f>IF([2]道具信息!L100="","",[2]道具信息!L100)</f>
        <v/>
      </c>
      <c r="M100" s="8" t="str">
        <f>IF([2]道具信息!M100="","",[2]道具信息!M100)</f>
        <v/>
      </c>
      <c r="N100" s="8" t="str">
        <f>IF([2]道具信息!N100="","",[2]道具信息!N100)</f>
        <v/>
      </c>
      <c r="O100" s="8" t="str">
        <f>IF([2]道具信息!O100="","",[2]道具信息!O100)</f>
        <v/>
      </c>
      <c r="P100" s="8" t="str">
        <f>IF([2]道具信息!P100="","",[2]道具信息!P100)</f>
        <v/>
      </c>
      <c r="Q100" s="8" t="str">
        <f>IF([2]道具信息!Q100="","",[2]道具信息!Q100)</f>
        <v/>
      </c>
      <c r="R100" s="8" t="str">
        <f>IF([2]道具信息!R100="","",[2]道具信息!R100)</f>
        <v/>
      </c>
    </row>
    <row r="101" spans="3:18" x14ac:dyDescent="0.2">
      <c r="C101" s="8" t="str">
        <f>IF([2]道具信息!C101="","",[2]道具信息!C101)</f>
        <v/>
      </c>
      <c r="D101" s="8" t="str">
        <f>IF([2]道具信息!D101="","",[2]道具信息!D101)</f>
        <v>随机红色阵法碎片</v>
      </c>
      <c r="E101" s="8">
        <f>IF([2]道具信息!E101="","",[2]道具信息!E101)</f>
        <v>500</v>
      </c>
      <c r="F101" s="8">
        <f>IF([2]道具信息!F101="","",[2]道具信息!F101)</f>
        <v>2</v>
      </c>
      <c r="G101" s="8">
        <f>IF([2]道具信息!G101="","",[2]道具信息!G101)</f>
        <v>1.5</v>
      </c>
      <c r="H101" s="8">
        <f>IF([2]道具信息!H101="","",[2]道具信息!H101)</f>
        <v>1</v>
      </c>
      <c r="I101" s="8">
        <f>IF([2]道具信息!I101="","",[2]道具信息!I101)</f>
        <v>1000</v>
      </c>
      <c r="J101" s="8">
        <f>IF([2]道具信息!J101="","",[2]道具信息!J101)</f>
        <v>750</v>
      </c>
      <c r="K101" s="8">
        <f>IF([2]道具信息!K101="","",[2]道具信息!K101)</f>
        <v>500</v>
      </c>
      <c r="L101" s="8" t="str">
        <f>IF([2]道具信息!L101="","",[2]道具信息!L101)</f>
        <v/>
      </c>
      <c r="M101" s="8" t="str">
        <f>IF([2]道具信息!M101="","",[2]道具信息!M101)</f>
        <v/>
      </c>
      <c r="N101" s="8" t="str">
        <f>IF([2]道具信息!N101="","",[2]道具信息!N101)</f>
        <v/>
      </c>
      <c r="O101" s="8" t="str">
        <f>IF([2]道具信息!O101="","",[2]道具信息!O101)</f>
        <v/>
      </c>
      <c r="P101" s="8" t="str">
        <f>IF([2]道具信息!P101="","",[2]道具信息!P101)</f>
        <v/>
      </c>
      <c r="Q101" s="8" t="str">
        <f>IF([2]道具信息!Q101="","",[2]道具信息!Q101)</f>
        <v/>
      </c>
      <c r="R101" s="8" t="str">
        <f>IF([2]道具信息!R101="","",[2]道具信息!R101)</f>
        <v/>
      </c>
    </row>
    <row r="102" spans="3:18" x14ac:dyDescent="0.2">
      <c r="C102" s="8" t="str">
        <f>IF([2]道具信息!C102="","",[2]道具信息!C102)</f>
        <v/>
      </c>
      <c r="D102" s="8" t="str">
        <f>IF([2]道具信息!D102="","",[2]道具信息!D102)</f>
        <v/>
      </c>
      <c r="E102" s="8" t="str">
        <f>IF([2]道具信息!E102="","",[2]道具信息!E102)</f>
        <v/>
      </c>
      <c r="F102" s="8">
        <f>IF([2]道具信息!F102="","",[2]道具信息!F102)</f>
        <v>1</v>
      </c>
      <c r="G102" s="8">
        <f>IF([2]道具信息!G102="","",[2]道具信息!G102)</f>
        <v>1</v>
      </c>
      <c r="H102" s="8">
        <f>IF([2]道具信息!H102="","",[2]道具信息!H102)</f>
        <v>1</v>
      </c>
      <c r="I102" s="8" t="str">
        <f>IF([2]道具信息!I102="","",[2]道具信息!I102)</f>
        <v/>
      </c>
      <c r="J102" s="8" t="str">
        <f>IF([2]道具信息!J102="","",[2]道具信息!J102)</f>
        <v/>
      </c>
      <c r="K102" s="8" t="str">
        <f>IF([2]道具信息!K102="","",[2]道具信息!K102)</f>
        <v/>
      </c>
      <c r="L102" s="8" t="str">
        <f>IF([2]道具信息!L102="","",[2]道具信息!L102)</f>
        <v/>
      </c>
      <c r="M102" s="8" t="str">
        <f>IF([2]道具信息!M102="","",[2]道具信息!M102)</f>
        <v/>
      </c>
      <c r="N102" s="8" t="str">
        <f>IF([2]道具信息!N102="","",[2]道具信息!N102)</f>
        <v/>
      </c>
      <c r="O102" s="8" t="str">
        <f>IF([2]道具信息!O102="","",[2]道具信息!O102)</f>
        <v/>
      </c>
      <c r="P102" s="8" t="str">
        <f>IF([2]道具信息!P102="","",[2]道具信息!P102)</f>
        <v/>
      </c>
      <c r="Q102" s="8" t="str">
        <f>IF([2]道具信息!Q102="","",[2]道具信息!Q102)</f>
        <v/>
      </c>
      <c r="R102" s="8" t="str">
        <f>IF([2]道具信息!R102="","",[2]道具信息!R102)</f>
        <v/>
      </c>
    </row>
    <row r="103" spans="3:18" x14ac:dyDescent="0.2">
      <c r="C103" s="8" t="str">
        <f>IF([2]道具信息!C103="","",[2]道具信息!C103)</f>
        <v/>
      </c>
      <c r="D103" s="8" t="str">
        <f>IF([2]道具信息!D103="","",[2]道具信息!D103)</f>
        <v>指定蓝色阵法</v>
      </c>
      <c r="E103" s="8">
        <f>IF([2]道具信息!E103="","",[2]道具信息!E103)</f>
        <v>100</v>
      </c>
      <c r="F103" s="8">
        <f>IF([2]道具信息!F103="","",[2]道具信息!F103)</f>
        <v>1</v>
      </c>
      <c r="G103" s="8">
        <f>IF([2]道具信息!G103="","",[2]道具信息!G103)</f>
        <v>1</v>
      </c>
      <c r="H103" s="8">
        <f>IF([2]道具信息!H103="","",[2]道具信息!H103)</f>
        <v>1</v>
      </c>
      <c r="I103" s="8">
        <f>IF([2]道具信息!I103="","",[2]道具信息!I103)</f>
        <v>100</v>
      </c>
      <c r="J103" s="8">
        <f>IF([2]道具信息!J103="","",[2]道具信息!J103)</f>
        <v>100</v>
      </c>
      <c r="K103" s="8">
        <f>IF([2]道具信息!K103="","",[2]道具信息!K103)</f>
        <v>100</v>
      </c>
      <c r="L103" s="8" t="str">
        <f>IF([2]道具信息!L103="","",[2]道具信息!L103)</f>
        <v/>
      </c>
      <c r="M103" s="8" t="str">
        <f>IF([2]道具信息!M103="","",[2]道具信息!M103)</f>
        <v/>
      </c>
      <c r="N103" s="8" t="str">
        <f>IF([2]道具信息!N103="","",[2]道具信息!N103)</f>
        <v/>
      </c>
      <c r="O103" s="8" t="str">
        <f>IF([2]道具信息!O103="","",[2]道具信息!O103)</f>
        <v/>
      </c>
      <c r="P103" s="8" t="str">
        <f>IF([2]道具信息!P103="","",[2]道具信息!P103)</f>
        <v/>
      </c>
      <c r="Q103" s="8" t="str">
        <f>IF([2]道具信息!Q103="","",[2]道具信息!Q103)</f>
        <v/>
      </c>
      <c r="R103" s="8" t="str">
        <f>IF([2]道具信息!R103="","",[2]道具信息!R103)</f>
        <v/>
      </c>
    </row>
    <row r="104" spans="3:18" x14ac:dyDescent="0.2">
      <c r="C104" s="8" t="str">
        <f>IF([2]道具信息!C104="","",[2]道具信息!C104)</f>
        <v/>
      </c>
      <c r="D104" s="8" t="str">
        <f>IF([2]道具信息!D104="","",[2]道具信息!D104)</f>
        <v>指定紫色阵法</v>
      </c>
      <c r="E104" s="8">
        <f>IF([2]道具信息!E104="","",[2]道具信息!E104)</f>
        <v>1000</v>
      </c>
      <c r="F104" s="8">
        <f>IF([2]道具信息!F104="","",[2]道具信息!F104)</f>
        <v>1.5</v>
      </c>
      <c r="G104" s="8">
        <f>IF([2]道具信息!G104="","",[2]道具信息!G104)</f>
        <v>1</v>
      </c>
      <c r="H104" s="8">
        <f>IF([2]道具信息!H104="","",[2]道具信息!H104)</f>
        <v>1</v>
      </c>
      <c r="I104" s="8">
        <f>IF([2]道具信息!I104="","",[2]道具信息!I104)</f>
        <v>1500</v>
      </c>
      <c r="J104" s="8">
        <f>IF([2]道具信息!J104="","",[2]道具信息!J104)</f>
        <v>1000</v>
      </c>
      <c r="K104" s="8">
        <f>IF([2]道具信息!K104="","",[2]道具信息!K104)</f>
        <v>1000</v>
      </c>
      <c r="L104" s="8" t="str">
        <f>IF([2]道具信息!L104="","",[2]道具信息!L104)</f>
        <v/>
      </c>
      <c r="M104" s="8" t="str">
        <f>IF([2]道具信息!M104="","",[2]道具信息!M104)</f>
        <v/>
      </c>
      <c r="N104" s="8" t="str">
        <f>IF([2]道具信息!N104="","",[2]道具信息!N104)</f>
        <v/>
      </c>
      <c r="O104" s="8" t="str">
        <f>IF([2]道具信息!O104="","",[2]道具信息!O104)</f>
        <v/>
      </c>
      <c r="P104" s="8" t="str">
        <f>IF([2]道具信息!P104="","",[2]道具信息!P104)</f>
        <v/>
      </c>
      <c r="Q104" s="8" t="str">
        <f>IF([2]道具信息!Q104="","",[2]道具信息!Q104)</f>
        <v/>
      </c>
      <c r="R104" s="8" t="str">
        <f>IF([2]道具信息!R104="","",[2]道具信息!R104)</f>
        <v/>
      </c>
    </row>
    <row r="105" spans="3:18" x14ac:dyDescent="0.2">
      <c r="C105" s="8" t="str">
        <f>IF([2]道具信息!C105="","",[2]道具信息!C105)</f>
        <v/>
      </c>
      <c r="D105" s="8" t="str">
        <f>IF([2]道具信息!D105="","",[2]道具信息!D105)</f>
        <v>指定橙色阵法</v>
      </c>
      <c r="E105" s="8">
        <f>IF([2]道具信息!E105="","",[2]道具信息!E105)</f>
        <v>5000</v>
      </c>
      <c r="F105" s="8">
        <f>IF([2]道具信息!F105="","",[2]道具信息!F105)</f>
        <v>2</v>
      </c>
      <c r="G105" s="8">
        <f>IF([2]道具信息!G105="","",[2]道具信息!G105)</f>
        <v>1.5</v>
      </c>
      <c r="H105" s="8">
        <f>IF([2]道具信息!H105="","",[2]道具信息!H105)</f>
        <v>1</v>
      </c>
      <c r="I105" s="8">
        <f>IF([2]道具信息!I105="","",[2]道具信息!I105)</f>
        <v>10000</v>
      </c>
      <c r="J105" s="8">
        <f>IF([2]道具信息!J105="","",[2]道具信息!J105)</f>
        <v>7500</v>
      </c>
      <c r="K105" s="8">
        <f>IF([2]道具信息!K105="","",[2]道具信息!K105)</f>
        <v>5000</v>
      </c>
      <c r="L105" s="8" t="str">
        <f>IF([2]道具信息!L105="","",[2]道具信息!L105)</f>
        <v/>
      </c>
      <c r="M105" s="8" t="str">
        <f>IF([2]道具信息!M105="","",[2]道具信息!M105)</f>
        <v/>
      </c>
      <c r="N105" s="8" t="str">
        <f>IF([2]道具信息!N105="","",[2]道具信息!N105)</f>
        <v/>
      </c>
      <c r="O105" s="8" t="str">
        <f>IF([2]道具信息!O105="","",[2]道具信息!O105)</f>
        <v/>
      </c>
      <c r="P105" s="8" t="str">
        <f>IF([2]道具信息!P105="","",[2]道具信息!P105)</f>
        <v/>
      </c>
      <c r="Q105" s="8" t="str">
        <f>IF([2]道具信息!Q105="","",[2]道具信息!Q105)</f>
        <v/>
      </c>
      <c r="R105" s="8" t="str">
        <f>IF([2]道具信息!R105="","",[2]道具信息!R105)</f>
        <v/>
      </c>
    </row>
    <row r="106" spans="3:18" x14ac:dyDescent="0.2">
      <c r="C106" s="8" t="str">
        <f>IF([2]道具信息!C106="","",[2]道具信息!C106)</f>
        <v/>
      </c>
      <c r="D106" s="8" t="str">
        <f>IF([2]道具信息!D106="","",[2]道具信息!D106)</f>
        <v>指定红色阵法</v>
      </c>
      <c r="E106" s="8">
        <f>IF([2]道具信息!E106="","",[2]道具信息!E106)</f>
        <v>25000</v>
      </c>
      <c r="F106" s="8">
        <f>IF([2]道具信息!F106="","",[2]道具信息!F106)</f>
        <v>2</v>
      </c>
      <c r="G106" s="8">
        <f>IF([2]道具信息!G106="","",[2]道具信息!G106)</f>
        <v>1.5</v>
      </c>
      <c r="H106" s="8">
        <f>IF([2]道具信息!H106="","",[2]道具信息!H106)</f>
        <v>1</v>
      </c>
      <c r="I106" s="8">
        <f>IF([2]道具信息!I106="","",[2]道具信息!I106)</f>
        <v>50000</v>
      </c>
      <c r="J106" s="8">
        <f>IF([2]道具信息!J106="","",[2]道具信息!J106)</f>
        <v>37500</v>
      </c>
      <c r="K106" s="8">
        <f>IF([2]道具信息!K106="","",[2]道具信息!K106)</f>
        <v>25000</v>
      </c>
      <c r="L106" s="8" t="str">
        <f>IF([2]道具信息!L106="","",[2]道具信息!L106)</f>
        <v/>
      </c>
      <c r="M106" s="8" t="str">
        <f>IF([2]道具信息!M106="","",[2]道具信息!M106)</f>
        <v/>
      </c>
      <c r="N106" s="8" t="str">
        <f>IF([2]道具信息!N106="","",[2]道具信息!N106)</f>
        <v/>
      </c>
      <c r="O106" s="8" t="str">
        <f>IF([2]道具信息!O106="","",[2]道具信息!O106)</f>
        <v/>
      </c>
      <c r="P106" s="8" t="str">
        <f>IF([2]道具信息!P106="","",[2]道具信息!P106)</f>
        <v/>
      </c>
      <c r="Q106" s="8" t="str">
        <f>IF([2]道具信息!Q106="","",[2]道具信息!Q106)</f>
        <v/>
      </c>
      <c r="R106" s="8" t="str">
        <f>IF([2]道具信息!R106="","",[2]道具信息!R106)</f>
        <v/>
      </c>
    </row>
    <row r="107" spans="3:18" x14ac:dyDescent="0.2">
      <c r="C107" s="8" t="str">
        <f>IF([2]道具信息!C107="","",[2]道具信息!C107)</f>
        <v/>
      </c>
      <c r="D107" s="8" t="str">
        <f>IF([2]道具信息!D107="","",[2]道具信息!D107)</f>
        <v/>
      </c>
      <c r="E107" s="8" t="str">
        <f>IF([2]道具信息!E107="","",[2]道具信息!E107)</f>
        <v/>
      </c>
      <c r="F107" s="8">
        <f>IF([2]道具信息!F107="","",[2]道具信息!F107)</f>
        <v>1</v>
      </c>
      <c r="G107" s="8">
        <f>IF([2]道具信息!G107="","",[2]道具信息!G107)</f>
        <v>1</v>
      </c>
      <c r="H107" s="8">
        <f>IF([2]道具信息!H107="","",[2]道具信息!H107)</f>
        <v>1</v>
      </c>
      <c r="I107" s="8" t="str">
        <f>IF([2]道具信息!I107="","",[2]道具信息!I107)</f>
        <v/>
      </c>
      <c r="J107" s="8" t="str">
        <f>IF([2]道具信息!J107="","",[2]道具信息!J107)</f>
        <v/>
      </c>
      <c r="K107" s="8" t="str">
        <f>IF([2]道具信息!K107="","",[2]道具信息!K107)</f>
        <v/>
      </c>
      <c r="L107" s="8" t="str">
        <f>IF([2]道具信息!L107="","",[2]道具信息!L107)</f>
        <v/>
      </c>
      <c r="M107" s="8" t="str">
        <f>IF([2]道具信息!M107="","",[2]道具信息!M107)</f>
        <v/>
      </c>
      <c r="N107" s="8" t="str">
        <f>IF([2]道具信息!N107="","",[2]道具信息!N107)</f>
        <v/>
      </c>
      <c r="O107" s="8" t="str">
        <f>IF([2]道具信息!O107="","",[2]道具信息!O107)</f>
        <v/>
      </c>
      <c r="P107" s="8" t="str">
        <f>IF([2]道具信息!P107="","",[2]道具信息!P107)</f>
        <v/>
      </c>
      <c r="Q107" s="8" t="str">
        <f>IF([2]道具信息!Q107="","",[2]道具信息!Q107)</f>
        <v/>
      </c>
      <c r="R107" s="8" t="str">
        <f>IF([2]道具信息!R107="","",[2]道具信息!R107)</f>
        <v/>
      </c>
    </row>
    <row r="108" spans="3:18" x14ac:dyDescent="0.2">
      <c r="C108" s="8" t="str">
        <f>IF([2]道具信息!C108="","",[2]道具信息!C108)</f>
        <v/>
      </c>
      <c r="D108" s="8" t="str">
        <f>IF([2]道具信息!D108="","",[2]道具信息!D108)</f>
        <v>指定紫色阵法碎片</v>
      </c>
      <c r="E108" s="8">
        <f>IF([2]道具信息!E108="","",[2]道具信息!E108)</f>
        <v>100</v>
      </c>
      <c r="F108" s="8">
        <f>IF([2]道具信息!F108="","",[2]道具信息!F108)</f>
        <v>1.5</v>
      </c>
      <c r="G108" s="8">
        <f>IF([2]道具信息!G108="","",[2]道具信息!G108)</f>
        <v>1</v>
      </c>
      <c r="H108" s="8">
        <f>IF([2]道具信息!H108="","",[2]道具信息!H108)</f>
        <v>1</v>
      </c>
      <c r="I108" s="8">
        <f>IF([2]道具信息!I108="","",[2]道具信息!I108)</f>
        <v>150</v>
      </c>
      <c r="J108" s="8">
        <f>IF([2]道具信息!J108="","",[2]道具信息!J108)</f>
        <v>100</v>
      </c>
      <c r="K108" s="8">
        <f>IF([2]道具信息!K108="","",[2]道具信息!K108)</f>
        <v>100</v>
      </c>
      <c r="L108" s="8" t="str">
        <f>IF([2]道具信息!L108="","",[2]道具信息!L108)</f>
        <v/>
      </c>
      <c r="M108" s="8" t="str">
        <f>IF([2]道具信息!M108="","",[2]道具信息!M108)</f>
        <v/>
      </c>
      <c r="N108" s="8" t="str">
        <f>IF([2]道具信息!N108="","",[2]道具信息!N108)</f>
        <v/>
      </c>
      <c r="O108" s="8" t="str">
        <f>IF([2]道具信息!O108="","",[2]道具信息!O108)</f>
        <v/>
      </c>
      <c r="P108" s="8" t="str">
        <f>IF([2]道具信息!P108="","",[2]道具信息!P108)</f>
        <v/>
      </c>
      <c r="Q108" s="8" t="str">
        <f>IF([2]道具信息!Q108="","",[2]道具信息!Q108)</f>
        <v/>
      </c>
      <c r="R108" s="8" t="str">
        <f>IF([2]道具信息!R108="","",[2]道具信息!R108)</f>
        <v/>
      </c>
    </row>
    <row r="109" spans="3:18" x14ac:dyDescent="0.2">
      <c r="C109" s="8" t="str">
        <f>IF([2]道具信息!C109="","",[2]道具信息!C109)</f>
        <v/>
      </c>
      <c r="D109" s="8" t="str">
        <f>IF([2]道具信息!D109="","",[2]道具信息!D109)</f>
        <v>指定橙色阵法碎片</v>
      </c>
      <c r="E109" s="8">
        <f>IF([2]道具信息!E109="","",[2]道具信息!E109)</f>
        <v>166.66666666666666</v>
      </c>
      <c r="F109" s="8">
        <f>IF([2]道具信息!F109="","",[2]道具信息!F109)</f>
        <v>2</v>
      </c>
      <c r="G109" s="8">
        <f>IF([2]道具信息!G109="","",[2]道具信息!G109)</f>
        <v>1.5</v>
      </c>
      <c r="H109" s="8">
        <f>IF([2]道具信息!H109="","",[2]道具信息!H109)</f>
        <v>1</v>
      </c>
      <c r="I109" s="8">
        <f>IF([2]道具信息!I109="","",[2]道具信息!I109)</f>
        <v>333.33333333333331</v>
      </c>
      <c r="J109" s="8">
        <f>IF([2]道具信息!J109="","",[2]道具信息!J109)</f>
        <v>250</v>
      </c>
      <c r="K109" s="8">
        <f>IF([2]道具信息!K109="","",[2]道具信息!K109)</f>
        <v>166.66666666666666</v>
      </c>
      <c r="L109" s="8" t="str">
        <f>IF([2]道具信息!L109="","",[2]道具信息!L109)</f>
        <v/>
      </c>
      <c r="M109" s="8" t="str">
        <f>IF([2]道具信息!M109="","",[2]道具信息!M109)</f>
        <v/>
      </c>
      <c r="N109" s="8" t="str">
        <f>IF([2]道具信息!N109="","",[2]道具信息!N109)</f>
        <v/>
      </c>
      <c r="O109" s="8" t="str">
        <f>IF([2]道具信息!O109="","",[2]道具信息!O109)</f>
        <v/>
      </c>
      <c r="P109" s="8" t="str">
        <f>IF([2]道具信息!P109="","",[2]道具信息!P109)</f>
        <v/>
      </c>
      <c r="Q109" s="8" t="str">
        <f>IF([2]道具信息!Q109="","",[2]道具信息!Q109)</f>
        <v/>
      </c>
      <c r="R109" s="8" t="str">
        <f>IF([2]道具信息!R109="","",[2]道具信息!R109)</f>
        <v/>
      </c>
    </row>
    <row r="110" spans="3:18" x14ac:dyDescent="0.2">
      <c r="C110" s="8" t="str">
        <f>IF([2]道具信息!C110="","",[2]道具信息!C110)</f>
        <v/>
      </c>
      <c r="D110" s="8" t="str">
        <f>IF([2]道具信息!D110="","",[2]道具信息!D110)</f>
        <v>指定红色阵法碎片</v>
      </c>
      <c r="E110" s="8">
        <f>IF([2]道具信息!E110="","",[2]道具信息!E110)</f>
        <v>500</v>
      </c>
      <c r="F110" s="8">
        <f>IF([2]道具信息!F110="","",[2]道具信息!F110)</f>
        <v>2</v>
      </c>
      <c r="G110" s="8">
        <f>IF([2]道具信息!G110="","",[2]道具信息!G110)</f>
        <v>1.5</v>
      </c>
      <c r="H110" s="8">
        <f>IF([2]道具信息!H110="","",[2]道具信息!H110)</f>
        <v>1</v>
      </c>
      <c r="I110" s="8">
        <f>IF([2]道具信息!I110="","",[2]道具信息!I110)</f>
        <v>1000</v>
      </c>
      <c r="J110" s="8">
        <f>IF([2]道具信息!J110="","",[2]道具信息!J110)</f>
        <v>750</v>
      </c>
      <c r="K110" s="8">
        <f>IF([2]道具信息!K110="","",[2]道具信息!K110)</f>
        <v>500</v>
      </c>
      <c r="L110" s="8" t="str">
        <f>IF([2]道具信息!L110="","",[2]道具信息!L110)</f>
        <v/>
      </c>
      <c r="M110" s="8" t="str">
        <f>IF([2]道具信息!M110="","",[2]道具信息!M110)</f>
        <v/>
      </c>
      <c r="N110" s="8" t="str">
        <f>IF([2]道具信息!N110="","",[2]道具信息!N110)</f>
        <v/>
      </c>
      <c r="O110" s="8" t="str">
        <f>IF([2]道具信息!O110="","",[2]道具信息!O110)</f>
        <v/>
      </c>
      <c r="P110" s="8" t="str">
        <f>IF([2]道具信息!P110="","",[2]道具信息!P110)</f>
        <v/>
      </c>
      <c r="Q110" s="8" t="str">
        <f>IF([2]道具信息!Q110="","",[2]道具信息!Q110)</f>
        <v/>
      </c>
      <c r="R110" s="8" t="str">
        <f>IF([2]道具信息!R110="","",[2]道具信息!R110)</f>
        <v/>
      </c>
    </row>
    <row r="111" spans="3:18" x14ac:dyDescent="0.2">
      <c r="C111" s="8" t="str">
        <f>IF([2]道具信息!C111="","",[2]道具信息!C111)</f>
        <v/>
      </c>
      <c r="D111" s="8" t="str">
        <f>IF([2]道具信息!D111="","",[2]道具信息!D111)</f>
        <v/>
      </c>
      <c r="E111" s="8" t="str">
        <f>IF([2]道具信息!E111="","",[2]道具信息!E111)</f>
        <v/>
      </c>
      <c r="F111" s="8">
        <f>IF([2]道具信息!F111="","",[2]道具信息!F111)</f>
        <v>1</v>
      </c>
      <c r="G111" s="8">
        <f>IF([2]道具信息!G111="","",[2]道具信息!G111)</f>
        <v>1</v>
      </c>
      <c r="H111" s="8">
        <f>IF([2]道具信息!H111="","",[2]道具信息!H111)</f>
        <v>1</v>
      </c>
      <c r="I111" s="8" t="str">
        <f>IF([2]道具信息!I111="","",[2]道具信息!I111)</f>
        <v/>
      </c>
      <c r="J111" s="8" t="str">
        <f>IF([2]道具信息!J111="","",[2]道具信息!J111)</f>
        <v/>
      </c>
      <c r="K111" s="8" t="str">
        <f>IF([2]道具信息!K111="","",[2]道具信息!K111)</f>
        <v/>
      </c>
      <c r="L111" s="8" t="str">
        <f>IF([2]道具信息!L111="","",[2]道具信息!L111)</f>
        <v/>
      </c>
      <c r="M111" s="8" t="str">
        <f>IF([2]道具信息!M111="","",[2]道具信息!M111)</f>
        <v/>
      </c>
      <c r="N111" s="8" t="str">
        <f>IF([2]道具信息!N111="","",[2]道具信息!N111)</f>
        <v/>
      </c>
      <c r="O111" s="8" t="str">
        <f>IF([2]道具信息!O111="","",[2]道具信息!O111)</f>
        <v/>
      </c>
      <c r="P111" s="8" t="str">
        <f>IF([2]道具信息!P111="","",[2]道具信息!P111)</f>
        <v/>
      </c>
      <c r="Q111" s="8" t="str">
        <f>IF([2]道具信息!Q111="","",[2]道具信息!Q111)</f>
        <v/>
      </c>
      <c r="R111" s="8" t="str">
        <f>IF([2]道具信息!R111="","",[2]道具信息!R111)</f>
        <v/>
      </c>
    </row>
    <row r="112" spans="3:18" x14ac:dyDescent="0.2">
      <c r="C112" s="8" t="str">
        <f>IF([2]道具信息!C112="","",[2]道具信息!C112)</f>
        <v/>
      </c>
      <c r="D112" s="8" t="str">
        <f>IF([2]道具信息!D112="","",[2]道具信息!D112)</f>
        <v>阵意</v>
      </c>
      <c r="E112" s="8">
        <f>IF([2]道具信息!E112="","",[2]道具信息!E112)</f>
        <v>100</v>
      </c>
      <c r="F112" s="8">
        <f>IF([2]道具信息!F112="","",[2]道具信息!F112)</f>
        <v>1</v>
      </c>
      <c r="G112" s="8">
        <f>IF([2]道具信息!G112="","",[2]道具信息!G112)</f>
        <v>1</v>
      </c>
      <c r="H112" s="8">
        <f>IF([2]道具信息!H112="","",[2]道具信息!H112)</f>
        <v>1</v>
      </c>
      <c r="I112" s="8">
        <f>IF([2]道具信息!I112="","",[2]道具信息!I112)</f>
        <v>100</v>
      </c>
      <c r="J112" s="8">
        <f>IF([2]道具信息!J112="","",[2]道具信息!J112)</f>
        <v>100</v>
      </c>
      <c r="K112" s="8">
        <f>IF([2]道具信息!K112="","",[2]道具信息!K112)</f>
        <v>100</v>
      </c>
      <c r="L112" s="8" t="str">
        <f>IF([2]道具信息!L112="","",[2]道具信息!L112)</f>
        <v/>
      </c>
      <c r="M112" s="8" t="str">
        <f>IF([2]道具信息!M112="","",[2]道具信息!M112)</f>
        <v/>
      </c>
      <c r="N112" s="8" t="str">
        <f>IF([2]道具信息!N112="","",[2]道具信息!N112)</f>
        <v/>
      </c>
      <c r="O112" s="8" t="str">
        <f>IF([2]道具信息!O112="","",[2]道具信息!O112)</f>
        <v/>
      </c>
      <c r="P112" s="8" t="str">
        <f>IF([2]道具信息!P112="","",[2]道具信息!P112)</f>
        <v/>
      </c>
      <c r="Q112" s="8" t="str">
        <f>IF([2]道具信息!Q112="","",[2]道具信息!Q112)</f>
        <v/>
      </c>
      <c r="R112" s="8" t="str">
        <f>IF([2]道具信息!R112="","",[2]道具信息!R112)</f>
        <v/>
      </c>
    </row>
    <row r="113" spans="3:18" x14ac:dyDescent="0.2">
      <c r="C113" s="8" t="str">
        <f>IF([2]道具信息!C113="","",[2]道具信息!C113)</f>
        <v/>
      </c>
      <c r="D113" s="8" t="str">
        <f>IF([2]道具信息!D113="","",[2]道具信息!D113)</f>
        <v>阵法心得</v>
      </c>
      <c r="E113" s="8">
        <f>IF([2]道具信息!E113="","",[2]道具信息!E113)</f>
        <v>100</v>
      </c>
      <c r="F113" s="8">
        <f>IF([2]道具信息!F113="","",[2]道具信息!F113)</f>
        <v>1</v>
      </c>
      <c r="G113" s="8">
        <f>IF([2]道具信息!G113="","",[2]道具信息!G113)</f>
        <v>1</v>
      </c>
      <c r="H113" s="8">
        <f>IF([2]道具信息!H113="","",[2]道具信息!H113)</f>
        <v>1</v>
      </c>
      <c r="I113" s="8">
        <f>IF([2]道具信息!I113="","",[2]道具信息!I113)</f>
        <v>100</v>
      </c>
      <c r="J113" s="8">
        <f>IF([2]道具信息!J113="","",[2]道具信息!J113)</f>
        <v>100</v>
      </c>
      <c r="K113" s="8">
        <f>IF([2]道具信息!K113="","",[2]道具信息!K113)</f>
        <v>100</v>
      </c>
      <c r="L113" s="8" t="str">
        <f>IF([2]道具信息!L113="","",[2]道具信息!L113)</f>
        <v/>
      </c>
      <c r="M113" s="8" t="str">
        <f>IF([2]道具信息!M113="","",[2]道具信息!M113)</f>
        <v/>
      </c>
      <c r="N113" s="8" t="str">
        <f>IF([2]道具信息!N113="","",[2]道具信息!N113)</f>
        <v/>
      </c>
      <c r="O113" s="8" t="str">
        <f>IF([2]道具信息!O113="","",[2]道具信息!O113)</f>
        <v/>
      </c>
      <c r="P113" s="8" t="str">
        <f>IF([2]道具信息!P113="","",[2]道具信息!P113)</f>
        <v/>
      </c>
      <c r="Q113" s="8" t="str">
        <f>IF([2]道具信息!Q113="","",[2]道具信息!Q113)</f>
        <v/>
      </c>
      <c r="R113" s="8" t="str">
        <f>IF([2]道具信息!R113="","",[2]道具信息!R113)</f>
        <v/>
      </c>
    </row>
    <row r="114" spans="3:18" x14ac:dyDescent="0.2">
      <c r="C114" s="8" t="str">
        <f>IF([2]道具信息!C114="","",[2]道具信息!C114)</f>
        <v/>
      </c>
      <c r="D114" s="8" t="str">
        <f>IF([2]道具信息!D114="","",[2]道具信息!D114)</f>
        <v>1级阵旗</v>
      </c>
      <c r="E114" s="8">
        <f>IF([2]道具信息!E114="","",[2]道具信息!E114)</f>
        <v>11</v>
      </c>
      <c r="F114" s="8">
        <f>IF([2]道具信息!F114="","",[2]道具信息!F114)</f>
        <v>1</v>
      </c>
      <c r="G114" s="8">
        <f>IF([2]道具信息!G114="","",[2]道具信息!G114)</f>
        <v>1</v>
      </c>
      <c r="H114" s="8">
        <f>IF([2]道具信息!H114="","",[2]道具信息!H114)</f>
        <v>1</v>
      </c>
      <c r="I114" s="8">
        <f>IF([2]道具信息!I114="","",[2]道具信息!I114)</f>
        <v>11</v>
      </c>
      <c r="J114" s="8">
        <f>IF([2]道具信息!J114="","",[2]道具信息!J114)</f>
        <v>11</v>
      </c>
      <c r="K114" s="8">
        <f>IF([2]道具信息!K114="","",[2]道具信息!K114)</f>
        <v>11</v>
      </c>
      <c r="L114" s="8" t="str">
        <f>IF([2]道具信息!L114="","",[2]道具信息!L114)</f>
        <v/>
      </c>
      <c r="M114" s="8" t="str">
        <f>IF([2]道具信息!M114="","",[2]道具信息!M114)</f>
        <v/>
      </c>
      <c r="N114" s="8" t="str">
        <f>IF([2]道具信息!N114="","",[2]道具信息!N114)</f>
        <v/>
      </c>
      <c r="O114" s="8" t="str">
        <f>IF([2]道具信息!O114="","",[2]道具信息!O114)</f>
        <v/>
      </c>
      <c r="P114" s="8" t="str">
        <f>IF([2]道具信息!P114="","",[2]道具信息!P114)</f>
        <v/>
      </c>
      <c r="Q114" s="8" t="str">
        <f>IF([2]道具信息!Q114="","",[2]道具信息!Q114)</f>
        <v/>
      </c>
      <c r="R114" s="8" t="str">
        <f>IF([2]道具信息!R114="","",[2]道具信息!R114)</f>
        <v/>
      </c>
    </row>
    <row r="115" spans="3:18" x14ac:dyDescent="0.2">
      <c r="C115" s="8" t="str">
        <f>IF([2]道具信息!C115="","",[2]道具信息!C115)</f>
        <v/>
      </c>
      <c r="D115" s="8" t="str">
        <f>IF([2]道具信息!D115="","",[2]道具信息!D115)</f>
        <v>2级阵旗</v>
      </c>
      <c r="E115" s="8">
        <f>IF([2]道具信息!E115="","",[2]道具信息!E115)</f>
        <v>143</v>
      </c>
      <c r="F115" s="8">
        <f>IF([2]道具信息!F115="","",[2]道具信息!F115)</f>
        <v>1</v>
      </c>
      <c r="G115" s="8">
        <f>IF([2]道具信息!G115="","",[2]道具信息!G115)</f>
        <v>1</v>
      </c>
      <c r="H115" s="8">
        <f>IF([2]道具信息!H115="","",[2]道具信息!H115)</f>
        <v>1</v>
      </c>
      <c r="I115" s="8">
        <f>IF([2]道具信息!I115="","",[2]道具信息!I115)</f>
        <v>143</v>
      </c>
      <c r="J115" s="8">
        <f>IF([2]道具信息!J115="","",[2]道具信息!J115)</f>
        <v>143</v>
      </c>
      <c r="K115" s="8">
        <f>IF([2]道具信息!K115="","",[2]道具信息!K115)</f>
        <v>143</v>
      </c>
      <c r="L115" s="8" t="str">
        <f>IF([2]道具信息!L115="","",[2]道具信息!L115)</f>
        <v/>
      </c>
      <c r="M115" s="8" t="str">
        <f>IF([2]道具信息!M115="","",[2]道具信息!M115)</f>
        <v/>
      </c>
      <c r="N115" s="8" t="str">
        <f>IF([2]道具信息!N115="","",[2]道具信息!N115)</f>
        <v/>
      </c>
      <c r="O115" s="8" t="str">
        <f>IF([2]道具信息!O115="","",[2]道具信息!O115)</f>
        <v/>
      </c>
      <c r="P115" s="8" t="str">
        <f>IF([2]道具信息!P115="","",[2]道具信息!P115)</f>
        <v/>
      </c>
      <c r="Q115" s="8" t="str">
        <f>IF([2]道具信息!Q115="","",[2]道具信息!Q115)</f>
        <v/>
      </c>
      <c r="R115" s="8" t="str">
        <f>IF([2]道具信息!R115="","",[2]道具信息!R115)</f>
        <v/>
      </c>
    </row>
    <row r="116" spans="3:18" x14ac:dyDescent="0.2">
      <c r="C116" s="8" t="str">
        <f>IF([2]道具信息!C116="","",[2]道具信息!C116)</f>
        <v/>
      </c>
      <c r="D116" s="8" t="str">
        <f>IF([2]道具信息!D116="","",[2]道具信息!D116)</f>
        <v>3级阵旗</v>
      </c>
      <c r="E116" s="8">
        <f>IF([2]道具信息!E116="","",[2]道具信息!E116)</f>
        <v>935</v>
      </c>
      <c r="F116" s="8">
        <f>IF([2]道具信息!F116="","",[2]道具信息!F116)</f>
        <v>1</v>
      </c>
      <c r="G116" s="8">
        <f>IF([2]道具信息!G116="","",[2]道具信息!G116)</f>
        <v>1</v>
      </c>
      <c r="H116" s="8">
        <f>IF([2]道具信息!H116="","",[2]道具信息!H116)</f>
        <v>1</v>
      </c>
      <c r="I116" s="8">
        <f>IF([2]道具信息!I116="","",[2]道具信息!I116)</f>
        <v>935</v>
      </c>
      <c r="J116" s="8">
        <f>IF([2]道具信息!J116="","",[2]道具信息!J116)</f>
        <v>935</v>
      </c>
      <c r="K116" s="8">
        <f>IF([2]道具信息!K116="","",[2]道具信息!K116)</f>
        <v>935</v>
      </c>
      <c r="L116" s="8" t="str">
        <f>IF([2]道具信息!L116="","",[2]道具信息!L116)</f>
        <v/>
      </c>
      <c r="M116" s="8" t="str">
        <f>IF([2]道具信息!M116="","",[2]道具信息!M116)</f>
        <v/>
      </c>
      <c r="N116" s="8" t="str">
        <f>IF([2]道具信息!N116="","",[2]道具信息!N116)</f>
        <v/>
      </c>
      <c r="O116" s="8" t="str">
        <f>IF([2]道具信息!O116="","",[2]道具信息!O116)</f>
        <v/>
      </c>
      <c r="P116" s="8" t="str">
        <f>IF([2]道具信息!P116="","",[2]道具信息!P116)</f>
        <v/>
      </c>
      <c r="Q116" s="8" t="str">
        <f>IF([2]道具信息!Q116="","",[2]道具信息!Q116)</f>
        <v/>
      </c>
      <c r="R116" s="8" t="str">
        <f>IF([2]道具信息!R116="","",[2]道具信息!R116)</f>
        <v/>
      </c>
    </row>
    <row r="117" spans="3:18" x14ac:dyDescent="0.2">
      <c r="C117" s="8" t="str">
        <f>IF([2]道具信息!C117="","",[2]道具信息!C117)</f>
        <v/>
      </c>
      <c r="D117" s="8" t="str">
        <f>IF([2]道具信息!D117="","",[2]道具信息!D117)</f>
        <v>4级阵旗</v>
      </c>
      <c r="E117" s="8">
        <f>IF([2]道具信息!E117="","",[2]道具信息!E117)</f>
        <v>4895</v>
      </c>
      <c r="F117" s="8">
        <f>IF([2]道具信息!F117="","",[2]道具信息!F117)</f>
        <v>1</v>
      </c>
      <c r="G117" s="8">
        <f>IF([2]道具信息!G117="","",[2]道具信息!G117)</f>
        <v>1</v>
      </c>
      <c r="H117" s="8">
        <f>IF([2]道具信息!H117="","",[2]道具信息!H117)</f>
        <v>1</v>
      </c>
      <c r="I117" s="8">
        <f>IF([2]道具信息!I117="","",[2]道具信息!I117)</f>
        <v>4895</v>
      </c>
      <c r="J117" s="8">
        <f>IF([2]道具信息!J117="","",[2]道具信息!J117)</f>
        <v>4895</v>
      </c>
      <c r="K117" s="8">
        <f>IF([2]道具信息!K117="","",[2]道具信息!K117)</f>
        <v>4895</v>
      </c>
      <c r="L117" s="8" t="str">
        <f>IF([2]道具信息!L117="","",[2]道具信息!L117)</f>
        <v/>
      </c>
      <c r="M117" s="8" t="str">
        <f>IF([2]道具信息!M117="","",[2]道具信息!M117)</f>
        <v/>
      </c>
      <c r="N117" s="8" t="str">
        <f>IF([2]道具信息!N117="","",[2]道具信息!N117)</f>
        <v/>
      </c>
      <c r="O117" s="8" t="str">
        <f>IF([2]道具信息!O117="","",[2]道具信息!O117)</f>
        <v/>
      </c>
      <c r="P117" s="8" t="str">
        <f>IF([2]道具信息!P117="","",[2]道具信息!P117)</f>
        <v/>
      </c>
      <c r="Q117" s="8" t="str">
        <f>IF([2]道具信息!Q117="","",[2]道具信息!Q117)</f>
        <v/>
      </c>
      <c r="R117" s="8" t="str">
        <f>IF([2]道具信息!R117="","",[2]道具信息!R117)</f>
        <v/>
      </c>
    </row>
    <row r="118" spans="3:18" x14ac:dyDescent="0.2">
      <c r="C118" s="8" t="str">
        <f>IF([2]道具信息!C118="","",[2]道具信息!C118)</f>
        <v/>
      </c>
      <c r="D118" s="8" t="str">
        <f>IF([2]道具信息!D118="","",[2]道具信息!D118)</f>
        <v>5级阵旗</v>
      </c>
      <c r="E118" s="8">
        <f>IF([2]道具信息!E118="","",[2]道具信息!E118)</f>
        <v>22495</v>
      </c>
      <c r="F118" s="8">
        <f>IF([2]道具信息!F118="","",[2]道具信息!F118)</f>
        <v>1</v>
      </c>
      <c r="G118" s="8">
        <f>IF([2]道具信息!G118="","",[2]道具信息!G118)</f>
        <v>1</v>
      </c>
      <c r="H118" s="8">
        <f>IF([2]道具信息!H118="","",[2]道具信息!H118)</f>
        <v>1</v>
      </c>
      <c r="I118" s="8">
        <f>IF([2]道具信息!I118="","",[2]道具信息!I118)</f>
        <v>22495</v>
      </c>
      <c r="J118" s="8">
        <f>IF([2]道具信息!J118="","",[2]道具信息!J118)</f>
        <v>22495</v>
      </c>
      <c r="K118" s="8">
        <f>IF([2]道具信息!K118="","",[2]道具信息!K118)</f>
        <v>22495</v>
      </c>
      <c r="L118" s="8" t="str">
        <f>IF([2]道具信息!L118="","",[2]道具信息!L118)</f>
        <v/>
      </c>
      <c r="M118" s="8" t="str">
        <f>IF([2]道具信息!M118="","",[2]道具信息!M118)</f>
        <v/>
      </c>
      <c r="N118" s="8" t="str">
        <f>IF([2]道具信息!N118="","",[2]道具信息!N118)</f>
        <v/>
      </c>
      <c r="O118" s="8" t="str">
        <f>IF([2]道具信息!O118="","",[2]道具信息!O118)</f>
        <v/>
      </c>
      <c r="P118" s="8" t="str">
        <f>IF([2]道具信息!P118="","",[2]道具信息!P118)</f>
        <v/>
      </c>
      <c r="Q118" s="8" t="str">
        <f>IF([2]道具信息!Q118="","",[2]道具信息!Q118)</f>
        <v/>
      </c>
      <c r="R118" s="8" t="str">
        <f>IF([2]道具信息!R118="","",[2]道具信息!R118)</f>
        <v/>
      </c>
    </row>
    <row r="119" spans="3:18" x14ac:dyDescent="0.2">
      <c r="C119" s="8" t="str">
        <f>IF([2]道具信息!C119="","",[2]道具信息!C119)</f>
        <v/>
      </c>
      <c r="D119" s="8" t="str">
        <f>IF([2]道具信息!D119="","",[2]道具信息!D119)</f>
        <v>6级阵旗</v>
      </c>
      <c r="E119" s="8">
        <f>IF([2]道具信息!E119="","",[2]道具信息!E119)</f>
        <v>57695</v>
      </c>
      <c r="F119" s="8">
        <f>IF([2]道具信息!F119="","",[2]道具信息!F119)</f>
        <v>1</v>
      </c>
      <c r="G119" s="8">
        <f>IF([2]道具信息!G119="","",[2]道具信息!G119)</f>
        <v>1</v>
      </c>
      <c r="H119" s="8">
        <f>IF([2]道具信息!H119="","",[2]道具信息!H119)</f>
        <v>1</v>
      </c>
      <c r="I119" s="8">
        <f>IF([2]道具信息!I119="","",[2]道具信息!I119)</f>
        <v>57695</v>
      </c>
      <c r="J119" s="8">
        <f>IF([2]道具信息!J119="","",[2]道具信息!J119)</f>
        <v>57695</v>
      </c>
      <c r="K119" s="8">
        <f>IF([2]道具信息!K119="","",[2]道具信息!K119)</f>
        <v>57695</v>
      </c>
      <c r="L119" s="8" t="str">
        <f>IF([2]道具信息!L119="","",[2]道具信息!L119)</f>
        <v/>
      </c>
      <c r="M119" s="8" t="str">
        <f>IF([2]道具信息!M119="","",[2]道具信息!M119)</f>
        <v/>
      </c>
      <c r="N119" s="8" t="str">
        <f>IF([2]道具信息!N119="","",[2]道具信息!N119)</f>
        <v/>
      </c>
      <c r="O119" s="8" t="str">
        <f>IF([2]道具信息!O119="","",[2]道具信息!O119)</f>
        <v/>
      </c>
      <c r="P119" s="8" t="str">
        <f>IF([2]道具信息!P119="","",[2]道具信息!P119)</f>
        <v/>
      </c>
      <c r="Q119" s="8" t="str">
        <f>IF([2]道具信息!Q119="","",[2]道具信息!Q119)</f>
        <v/>
      </c>
      <c r="R119" s="8" t="str">
        <f>IF([2]道具信息!R119="","",[2]道具信息!R119)</f>
        <v/>
      </c>
    </row>
    <row r="120" spans="3:18" x14ac:dyDescent="0.2">
      <c r="C120" s="8" t="str">
        <f>IF([2]道具信息!C120="","",[2]道具信息!C120)</f>
        <v/>
      </c>
      <c r="D120" s="8" t="str">
        <f>IF([2]道具信息!D120="","",[2]道具信息!D120)</f>
        <v>7级阵旗</v>
      </c>
      <c r="E120" s="8">
        <f>IF([2]道具信息!E120="","",[2]道具信息!E120)</f>
        <v>114895</v>
      </c>
      <c r="F120" s="8">
        <f>IF([2]道具信息!F120="","",[2]道具信息!F120)</f>
        <v>1</v>
      </c>
      <c r="G120" s="8">
        <f>IF([2]道具信息!G120="","",[2]道具信息!G120)</f>
        <v>1</v>
      </c>
      <c r="H120" s="8">
        <f>IF([2]道具信息!H120="","",[2]道具信息!H120)</f>
        <v>1</v>
      </c>
      <c r="I120" s="8">
        <f>IF([2]道具信息!I120="","",[2]道具信息!I120)</f>
        <v>114895</v>
      </c>
      <c r="J120" s="8">
        <f>IF([2]道具信息!J120="","",[2]道具信息!J120)</f>
        <v>114895</v>
      </c>
      <c r="K120" s="8">
        <f>IF([2]道具信息!K120="","",[2]道具信息!K120)</f>
        <v>114895</v>
      </c>
      <c r="L120" s="8" t="str">
        <f>IF([2]道具信息!L120="","",[2]道具信息!L120)</f>
        <v/>
      </c>
      <c r="M120" s="8" t="str">
        <f>IF([2]道具信息!M120="","",[2]道具信息!M120)</f>
        <v/>
      </c>
      <c r="N120" s="8" t="str">
        <f>IF([2]道具信息!N120="","",[2]道具信息!N120)</f>
        <v/>
      </c>
      <c r="O120" s="8" t="str">
        <f>IF([2]道具信息!O120="","",[2]道具信息!O120)</f>
        <v/>
      </c>
      <c r="P120" s="8" t="str">
        <f>IF([2]道具信息!P120="","",[2]道具信息!P120)</f>
        <v/>
      </c>
      <c r="Q120" s="8" t="str">
        <f>IF([2]道具信息!Q120="","",[2]道具信息!Q120)</f>
        <v/>
      </c>
      <c r="R120" s="8" t="str">
        <f>IF([2]道具信息!R120="","",[2]道具信息!R120)</f>
        <v/>
      </c>
    </row>
    <row r="121" spans="3:18" x14ac:dyDescent="0.2">
      <c r="C121" s="8" t="str">
        <f>IF([2]道具信息!C121="","",[2]道具信息!C121)</f>
        <v/>
      </c>
      <c r="D121" s="8" t="str">
        <f>IF([2]道具信息!D121="","",[2]道具信息!D121)</f>
        <v>8级阵旗</v>
      </c>
      <c r="E121" s="8">
        <f>IF([2]道具信息!E121="","",[2]道具信息!E121)</f>
        <v>200695</v>
      </c>
      <c r="F121" s="8">
        <f>IF([2]道具信息!F121="","",[2]道具信息!F121)</f>
        <v>1</v>
      </c>
      <c r="G121" s="8">
        <f>IF([2]道具信息!G121="","",[2]道具信息!G121)</f>
        <v>1</v>
      </c>
      <c r="H121" s="8">
        <f>IF([2]道具信息!H121="","",[2]道具信息!H121)</f>
        <v>1</v>
      </c>
      <c r="I121" s="8">
        <f>IF([2]道具信息!I121="","",[2]道具信息!I121)</f>
        <v>200695</v>
      </c>
      <c r="J121" s="8">
        <f>IF([2]道具信息!J121="","",[2]道具信息!J121)</f>
        <v>200695</v>
      </c>
      <c r="K121" s="8">
        <f>IF([2]道具信息!K121="","",[2]道具信息!K121)</f>
        <v>200695</v>
      </c>
      <c r="L121" s="8" t="str">
        <f>IF([2]道具信息!L121="","",[2]道具信息!L121)</f>
        <v/>
      </c>
      <c r="M121" s="8" t="str">
        <f>IF([2]道具信息!M121="","",[2]道具信息!M121)</f>
        <v/>
      </c>
      <c r="N121" s="8" t="str">
        <f>IF([2]道具信息!N121="","",[2]道具信息!N121)</f>
        <v/>
      </c>
      <c r="O121" s="8" t="str">
        <f>IF([2]道具信息!O121="","",[2]道具信息!O121)</f>
        <v/>
      </c>
      <c r="P121" s="8" t="str">
        <f>IF([2]道具信息!P121="","",[2]道具信息!P121)</f>
        <v/>
      </c>
      <c r="Q121" s="8" t="str">
        <f>IF([2]道具信息!Q121="","",[2]道具信息!Q121)</f>
        <v/>
      </c>
      <c r="R121" s="8" t="str">
        <f>IF([2]道具信息!R121="","",[2]道具信息!R121)</f>
        <v/>
      </c>
    </row>
    <row r="122" spans="3:18" x14ac:dyDescent="0.2">
      <c r="C122" s="8" t="str">
        <f>IF([2]道具信息!C122="","",[2]道具信息!C122)</f>
        <v/>
      </c>
      <c r="D122" s="8" t="str">
        <f>IF([2]道具信息!D122="","",[2]道具信息!D122)</f>
        <v>9级阵旗</v>
      </c>
      <c r="E122" s="8">
        <f>IF([2]道具信息!E122="","",[2]道具信息!E122)</f>
        <v>321695</v>
      </c>
      <c r="F122" s="8">
        <f>IF([2]道具信息!F122="","",[2]道具信息!F122)</f>
        <v>1</v>
      </c>
      <c r="G122" s="8">
        <f>IF([2]道具信息!G122="","",[2]道具信息!G122)</f>
        <v>1</v>
      </c>
      <c r="H122" s="8">
        <f>IF([2]道具信息!H122="","",[2]道具信息!H122)</f>
        <v>1</v>
      </c>
      <c r="I122" s="8">
        <f>IF([2]道具信息!I122="","",[2]道具信息!I122)</f>
        <v>321695</v>
      </c>
      <c r="J122" s="8">
        <f>IF([2]道具信息!J122="","",[2]道具信息!J122)</f>
        <v>321695</v>
      </c>
      <c r="K122" s="8">
        <f>IF([2]道具信息!K122="","",[2]道具信息!K122)</f>
        <v>321695</v>
      </c>
      <c r="L122" s="8" t="str">
        <f>IF([2]道具信息!L122="","",[2]道具信息!L122)</f>
        <v/>
      </c>
      <c r="M122" s="8" t="str">
        <f>IF([2]道具信息!M122="","",[2]道具信息!M122)</f>
        <v/>
      </c>
      <c r="N122" s="8" t="str">
        <f>IF([2]道具信息!N122="","",[2]道具信息!N122)</f>
        <v/>
      </c>
      <c r="O122" s="8" t="str">
        <f>IF([2]道具信息!O122="","",[2]道具信息!O122)</f>
        <v/>
      </c>
      <c r="P122" s="8" t="str">
        <f>IF([2]道具信息!P122="","",[2]道具信息!P122)</f>
        <v/>
      </c>
      <c r="Q122" s="8" t="str">
        <f>IF([2]道具信息!Q122="","",[2]道具信息!Q122)</f>
        <v/>
      </c>
      <c r="R122" s="8" t="str">
        <f>IF([2]道具信息!R122="","",[2]道具信息!R122)</f>
        <v/>
      </c>
    </row>
    <row r="123" spans="3:18" x14ac:dyDescent="0.2">
      <c r="C123" s="8" t="str">
        <f>IF([2]道具信息!C123="","",[2]道具信息!C123)</f>
        <v/>
      </c>
      <c r="D123" s="8" t="str">
        <f>IF([2]道具信息!D123="","",[2]道具信息!D123)</f>
        <v/>
      </c>
      <c r="E123" s="8" t="str">
        <f>IF([2]道具信息!E123="","",[2]道具信息!E123)</f>
        <v/>
      </c>
      <c r="F123" s="8" t="str">
        <f>IF([2]道具信息!F123="","",[2]道具信息!F123)</f>
        <v/>
      </c>
      <c r="G123" s="8" t="str">
        <f>IF([2]道具信息!G123="","",[2]道具信息!G123)</f>
        <v/>
      </c>
      <c r="H123" s="8" t="str">
        <f>IF([2]道具信息!H123="","",[2]道具信息!H123)</f>
        <v/>
      </c>
      <c r="I123" s="8" t="str">
        <f>IF([2]道具信息!I123="","",[2]道具信息!I123)</f>
        <v/>
      </c>
      <c r="J123" s="8" t="str">
        <f>IF([2]道具信息!J123="","",[2]道具信息!J123)</f>
        <v/>
      </c>
      <c r="K123" s="8" t="str">
        <f>IF([2]道具信息!K123="","",[2]道具信息!K123)</f>
        <v/>
      </c>
      <c r="L123" s="8" t="str">
        <f>IF([2]道具信息!L123="","",[2]道具信息!L123)</f>
        <v/>
      </c>
      <c r="M123" s="8" t="str">
        <f>IF([2]道具信息!M123="","",[2]道具信息!M123)</f>
        <v/>
      </c>
      <c r="N123" s="8" t="str">
        <f>IF([2]道具信息!N123="","",[2]道具信息!N123)</f>
        <v/>
      </c>
      <c r="O123" s="8" t="str">
        <f>IF([2]道具信息!O123="","",[2]道具信息!O123)</f>
        <v/>
      </c>
      <c r="P123" s="8" t="str">
        <f>IF([2]道具信息!P123="","",[2]道具信息!P123)</f>
        <v/>
      </c>
      <c r="Q123" s="8" t="str">
        <f>IF([2]道具信息!Q123="","",[2]道具信息!Q123)</f>
        <v/>
      </c>
      <c r="R123" s="8" t="str">
        <f>IF([2]道具信息!R123="","",[2]道具信息!R123)</f>
        <v/>
      </c>
    </row>
    <row r="124" spans="3:18" x14ac:dyDescent="0.2">
      <c r="C124" s="8" t="str">
        <f>IF([2]道具信息!C124="","",[2]道具信息!C124)</f>
        <v/>
      </c>
      <c r="D124" s="8" t="str">
        <f>IF([2]道具信息!D124="","",[2]道具信息!D124)</f>
        <v/>
      </c>
      <c r="E124" s="8" t="str">
        <f>IF([2]道具信息!E124="","",[2]道具信息!E124)</f>
        <v/>
      </c>
      <c r="F124" s="8" t="str">
        <f>IF([2]道具信息!F124="","",[2]道具信息!F124)</f>
        <v/>
      </c>
      <c r="G124" s="8" t="str">
        <f>IF([2]道具信息!G124="","",[2]道具信息!G124)</f>
        <v/>
      </c>
      <c r="H124" s="8" t="str">
        <f>IF([2]道具信息!H124="","",[2]道具信息!H124)</f>
        <v/>
      </c>
      <c r="I124" s="8" t="str">
        <f>IF([2]道具信息!I124="","",[2]道具信息!I124)</f>
        <v/>
      </c>
      <c r="J124" s="8" t="str">
        <f>IF([2]道具信息!J124="","",[2]道具信息!J124)</f>
        <v/>
      </c>
      <c r="K124" s="8" t="str">
        <f>IF([2]道具信息!K124="","",[2]道具信息!K124)</f>
        <v/>
      </c>
      <c r="L124" s="8" t="str">
        <f>IF([2]道具信息!L124="","",[2]道具信息!L124)</f>
        <v/>
      </c>
      <c r="M124" s="8" t="str">
        <f>IF([2]道具信息!M124="","",[2]道具信息!M124)</f>
        <v/>
      </c>
      <c r="N124" s="8" t="str">
        <f>IF([2]道具信息!N124="","",[2]道具信息!N124)</f>
        <v/>
      </c>
      <c r="O124" s="8" t="str">
        <f>IF([2]道具信息!O124="","",[2]道具信息!O124)</f>
        <v/>
      </c>
      <c r="P124" s="8" t="str">
        <f>IF([2]道具信息!P124="","",[2]道具信息!P124)</f>
        <v/>
      </c>
      <c r="Q124" s="8" t="str">
        <f>IF([2]道具信息!Q124="","",[2]道具信息!Q124)</f>
        <v/>
      </c>
      <c r="R124" s="8" t="str">
        <f>IF([2]道具信息!R124="","",[2]道具信息!R124)</f>
        <v/>
      </c>
    </row>
    <row r="125" spans="3:18" x14ac:dyDescent="0.2">
      <c r="C125" s="8" t="str">
        <f>IF([2]道具信息!C125="","",[2]道具信息!C125)</f>
        <v/>
      </c>
      <c r="D125" s="8" t="str">
        <f>IF([2]道具信息!D125="","",[2]道具信息!D125)</f>
        <v>普通随机图纸</v>
      </c>
      <c r="E125" s="8">
        <f>IF([2]道具信息!E125="","",[2]道具信息!E125)</f>
        <v>50</v>
      </c>
      <c r="F125" s="8">
        <f>IF([2]道具信息!F125="","",[2]道具信息!F125)</f>
        <v>1</v>
      </c>
      <c r="G125" s="8">
        <f>IF([2]道具信息!G125="","",[2]道具信息!G125)</f>
        <v>0.2</v>
      </c>
      <c r="H125" s="8">
        <f>IF([2]道具信息!H125="","",[2]道具信息!H125)</f>
        <v>0.2</v>
      </c>
      <c r="I125" s="8">
        <f>IF([2]道具信息!I125="","",[2]道具信息!I125)</f>
        <v>50</v>
      </c>
      <c r="J125" s="8">
        <f>IF([2]道具信息!J125="","",[2]道具信息!J125)</f>
        <v>10</v>
      </c>
      <c r="K125" s="8">
        <f>IF([2]道具信息!K125="","",[2]道具信息!K125)</f>
        <v>10</v>
      </c>
      <c r="L125" s="8" t="str">
        <f>IF([2]道具信息!L125="","",[2]道具信息!L125)</f>
        <v/>
      </c>
      <c r="M125" s="8" t="str">
        <f>IF([2]道具信息!M125="","",[2]道具信息!M125)</f>
        <v/>
      </c>
      <c r="N125" s="8" t="str">
        <f>IF([2]道具信息!N125="","",[2]道具信息!N125)</f>
        <v/>
      </c>
      <c r="O125" s="8" t="str">
        <f>IF([2]道具信息!O125="","",[2]道具信息!O125)</f>
        <v/>
      </c>
      <c r="P125" s="8" t="str">
        <f>IF([2]道具信息!P125="","",[2]道具信息!P125)</f>
        <v/>
      </c>
      <c r="Q125" s="8" t="str">
        <f>IF([2]道具信息!Q125="","",[2]道具信息!Q125)</f>
        <v/>
      </c>
      <c r="R125" s="8" t="str">
        <f>IF([2]道具信息!R125="","",[2]道具信息!R125)</f>
        <v/>
      </c>
    </row>
    <row r="126" spans="3:18" x14ac:dyDescent="0.2">
      <c r="C126" s="8" t="str">
        <f>IF([2]道具信息!C126="","",[2]道具信息!C126)</f>
        <v/>
      </c>
      <c r="D126" s="8" t="str">
        <f>IF([2]道具信息!D126="","",[2]道具信息!D126)</f>
        <v>精良随机图纸</v>
      </c>
      <c r="E126" s="8">
        <f>IF([2]道具信息!E126="","",[2]道具信息!E126)</f>
        <v>190</v>
      </c>
      <c r="F126" s="8">
        <f>IF([2]道具信息!F126="","",[2]道具信息!F126)</f>
        <v>1</v>
      </c>
      <c r="G126" s="8">
        <f>IF([2]道具信息!G126="","",[2]道具信息!G126)</f>
        <v>0.2</v>
      </c>
      <c r="H126" s="8">
        <f>IF([2]道具信息!H126="","",[2]道具信息!H126)</f>
        <v>0.2</v>
      </c>
      <c r="I126" s="8">
        <f>IF([2]道具信息!I126="","",[2]道具信息!I126)</f>
        <v>190</v>
      </c>
      <c r="J126" s="8">
        <f>IF([2]道具信息!J126="","",[2]道具信息!J126)</f>
        <v>38</v>
      </c>
      <c r="K126" s="8">
        <f>IF([2]道具信息!K126="","",[2]道具信息!K126)</f>
        <v>38</v>
      </c>
      <c r="L126" s="8" t="str">
        <f>IF([2]道具信息!L126="","",[2]道具信息!L126)</f>
        <v/>
      </c>
      <c r="M126" s="8" t="str">
        <f>IF([2]道具信息!M126="","",[2]道具信息!M126)</f>
        <v/>
      </c>
      <c r="N126" s="8" t="str">
        <f>IF([2]道具信息!N126="","",[2]道具信息!N126)</f>
        <v/>
      </c>
      <c r="O126" s="8" t="str">
        <f>IF([2]道具信息!O126="","",[2]道具信息!O126)</f>
        <v/>
      </c>
      <c r="P126" s="8" t="str">
        <f>IF([2]道具信息!P126="","",[2]道具信息!P126)</f>
        <v/>
      </c>
      <c r="Q126" s="8" t="str">
        <f>IF([2]道具信息!Q126="","",[2]道具信息!Q126)</f>
        <v/>
      </c>
      <c r="R126" s="8" t="str">
        <f>IF([2]道具信息!R126="","",[2]道具信息!R126)</f>
        <v/>
      </c>
    </row>
    <row r="127" spans="3:18" x14ac:dyDescent="0.2">
      <c r="C127" s="8" t="str">
        <f>IF([2]道具信息!C127="","",[2]道具信息!C127)</f>
        <v/>
      </c>
      <c r="D127" s="8" t="str">
        <f>IF([2]道具信息!D127="","",[2]道具信息!D127)</f>
        <v>优质随机图纸</v>
      </c>
      <c r="E127" s="8">
        <f>IF([2]道具信息!E127="","",[2]道具信息!E127)</f>
        <v>675</v>
      </c>
      <c r="F127" s="8">
        <f>IF([2]道具信息!F127="","",[2]道具信息!F127)</f>
        <v>1</v>
      </c>
      <c r="G127" s="8">
        <f>IF([2]道具信息!G127="","",[2]道具信息!G127)</f>
        <v>1</v>
      </c>
      <c r="H127" s="8">
        <f>IF([2]道具信息!H127="","",[2]道具信息!H127)</f>
        <v>0.18518518518518517</v>
      </c>
      <c r="I127" s="8">
        <f>IF([2]道具信息!I127="","",[2]道具信息!I127)</f>
        <v>675</v>
      </c>
      <c r="J127" s="8">
        <f>IF([2]道具信息!J127="","",[2]道具信息!J127)</f>
        <v>675</v>
      </c>
      <c r="K127" s="8">
        <f>IF([2]道具信息!K127="","",[2]道具信息!K127)</f>
        <v>125</v>
      </c>
      <c r="L127" s="8" t="str">
        <f>IF([2]道具信息!L127="","",[2]道具信息!L127)</f>
        <v/>
      </c>
      <c r="M127" s="8" t="str">
        <f>IF([2]道具信息!M127="","",[2]道具信息!M127)</f>
        <v/>
      </c>
      <c r="N127" s="8" t="str">
        <f>IF([2]道具信息!N127="","",[2]道具信息!N127)</f>
        <v/>
      </c>
      <c r="O127" s="8" t="str">
        <f>IF([2]道具信息!O127="","",[2]道具信息!O127)</f>
        <v/>
      </c>
      <c r="P127" s="8" t="str">
        <f>IF([2]道具信息!P127="","",[2]道具信息!P127)</f>
        <v/>
      </c>
      <c r="Q127" s="8" t="str">
        <f>IF([2]道具信息!Q127="","",[2]道具信息!Q127)</f>
        <v/>
      </c>
      <c r="R127" s="8" t="str">
        <f>IF([2]道具信息!R127="","",[2]道具信息!R127)</f>
        <v/>
      </c>
    </row>
    <row r="128" spans="3:18" x14ac:dyDescent="0.2">
      <c r="C128" s="8" t="str">
        <f>IF([2]道具信息!C128="","",[2]道具信息!C128)</f>
        <v/>
      </c>
      <c r="D128" s="8" t="str">
        <f>IF([2]道具信息!D128="","",[2]道具信息!D128)</f>
        <v>珍稀随机图纸</v>
      </c>
      <c r="E128" s="8">
        <f>IF([2]道具信息!E128="","",[2]道具信息!E128)</f>
        <v>975</v>
      </c>
      <c r="F128" s="8">
        <f>IF([2]道具信息!F128="","",[2]道具信息!F128)</f>
        <v>1</v>
      </c>
      <c r="G128" s="8">
        <f>IF([2]道具信息!G128="","",[2]道具信息!G128)</f>
        <v>1</v>
      </c>
      <c r="H128" s="8">
        <f>IF([2]道具信息!H128="","",[2]道具信息!H128)</f>
        <v>1</v>
      </c>
      <c r="I128" s="8">
        <f>IF([2]道具信息!I128="","",[2]道具信息!I128)</f>
        <v>975</v>
      </c>
      <c r="J128" s="8">
        <f>IF([2]道具信息!J128="","",[2]道具信息!J128)</f>
        <v>975</v>
      </c>
      <c r="K128" s="8">
        <f>IF([2]道具信息!K128="","",[2]道具信息!K128)</f>
        <v>975</v>
      </c>
      <c r="L128" s="8" t="str">
        <f>IF([2]道具信息!L128="","",[2]道具信息!L128)</f>
        <v/>
      </c>
      <c r="M128" s="8" t="str">
        <f>IF([2]道具信息!M128="","",[2]道具信息!M128)</f>
        <v/>
      </c>
      <c r="N128" s="8" t="str">
        <f>IF([2]道具信息!N128="","",[2]道具信息!N128)</f>
        <v/>
      </c>
      <c r="O128" s="8" t="str">
        <f>IF([2]道具信息!O128="","",[2]道具信息!O128)</f>
        <v/>
      </c>
      <c r="P128" s="8" t="str">
        <f>IF([2]道具信息!P128="","",[2]道具信息!P128)</f>
        <v/>
      </c>
      <c r="Q128" s="8" t="str">
        <f>IF([2]道具信息!Q128="","",[2]道具信息!Q128)</f>
        <v/>
      </c>
      <c r="R128" s="8" t="str">
        <f>IF([2]道具信息!R128="","",[2]道具信息!R128)</f>
        <v/>
      </c>
    </row>
    <row r="129" spans="3:18" x14ac:dyDescent="0.2">
      <c r="C129" s="8" t="str">
        <f>IF([2]道具信息!C129="","",[2]道具信息!C129)</f>
        <v/>
      </c>
      <c r="D129" s="8" t="str">
        <f>IF([2]道具信息!D129="","",[2]道具信息!D129)</f>
        <v>传世随机图纸</v>
      </c>
      <c r="E129" s="8">
        <f>IF([2]道具信息!E129="","",[2]道具信息!E129)</f>
        <v>2800</v>
      </c>
      <c r="F129" s="8">
        <f>IF([2]道具信息!F129="","",[2]道具信息!F129)</f>
        <v>1</v>
      </c>
      <c r="G129" s="8">
        <f>IF([2]道具信息!G129="","",[2]道具信息!G129)</f>
        <v>1</v>
      </c>
      <c r="H129" s="8">
        <f>IF([2]道具信息!H129="","",[2]道具信息!H129)</f>
        <v>1</v>
      </c>
      <c r="I129" s="8">
        <f>IF([2]道具信息!I129="","",[2]道具信息!I129)</f>
        <v>2800</v>
      </c>
      <c r="J129" s="8">
        <f>IF([2]道具信息!J129="","",[2]道具信息!J129)</f>
        <v>2800</v>
      </c>
      <c r="K129" s="8">
        <f>IF([2]道具信息!K129="","",[2]道具信息!K129)</f>
        <v>2800</v>
      </c>
      <c r="L129" s="8" t="str">
        <f>IF([2]道具信息!L129="","",[2]道具信息!L129)</f>
        <v/>
      </c>
      <c r="M129" s="8" t="str">
        <f>IF([2]道具信息!M129="","",[2]道具信息!M129)</f>
        <v/>
      </c>
      <c r="N129" s="8" t="str">
        <f>IF([2]道具信息!N129="","",[2]道具信息!N129)</f>
        <v/>
      </c>
      <c r="O129" s="8" t="str">
        <f>IF([2]道具信息!O129="","",[2]道具信息!O129)</f>
        <v/>
      </c>
      <c r="P129" s="8" t="str">
        <f>IF([2]道具信息!P129="","",[2]道具信息!P129)</f>
        <v/>
      </c>
      <c r="Q129" s="8" t="str">
        <f>IF([2]道具信息!Q129="","",[2]道具信息!Q129)</f>
        <v/>
      </c>
      <c r="R129" s="8" t="str">
        <f>IF([2]道具信息!R129="","",[2]道具信息!R129)</f>
        <v/>
      </c>
    </row>
    <row r="130" spans="3:18" x14ac:dyDescent="0.2">
      <c r="C130" s="8" t="str">
        <f>IF([2]道具信息!C130="","",[2]道具信息!C130)</f>
        <v/>
      </c>
      <c r="D130" s="8" t="str">
        <f>IF([2]道具信息!D130="","",[2]道具信息!D130)</f>
        <v>传奇随机图纸</v>
      </c>
      <c r="E130" s="8">
        <f>IF([2]道具信息!E130="","",[2]道具信息!E130)</f>
        <v>4000</v>
      </c>
      <c r="F130" s="8">
        <f>IF([2]道具信息!F130="","",[2]道具信息!F130)</f>
        <v>1</v>
      </c>
      <c r="G130" s="8">
        <f>IF([2]道具信息!G130="","",[2]道具信息!G130)</f>
        <v>1</v>
      </c>
      <c r="H130" s="8">
        <f>IF([2]道具信息!H130="","",[2]道具信息!H130)</f>
        <v>1</v>
      </c>
      <c r="I130" s="8">
        <f>IF([2]道具信息!I130="","",[2]道具信息!I130)</f>
        <v>4000</v>
      </c>
      <c r="J130" s="8">
        <f>IF([2]道具信息!J130="","",[2]道具信息!J130)</f>
        <v>4000</v>
      </c>
      <c r="K130" s="8">
        <f>IF([2]道具信息!K130="","",[2]道具信息!K130)</f>
        <v>4000</v>
      </c>
      <c r="L130" s="8" t="str">
        <f>IF([2]道具信息!L130="","",[2]道具信息!L130)</f>
        <v/>
      </c>
      <c r="M130" s="8" t="str">
        <f>IF([2]道具信息!M130="","",[2]道具信息!M130)</f>
        <v/>
      </c>
      <c r="N130" s="8" t="str">
        <f>IF([2]道具信息!N130="","",[2]道具信息!N130)</f>
        <v/>
      </c>
      <c r="O130" s="8" t="str">
        <f>IF([2]道具信息!O130="","",[2]道具信息!O130)</f>
        <v/>
      </c>
      <c r="P130" s="8" t="str">
        <f>IF([2]道具信息!P130="","",[2]道具信息!P130)</f>
        <v/>
      </c>
      <c r="Q130" s="8" t="str">
        <f>IF([2]道具信息!Q130="","",[2]道具信息!Q130)</f>
        <v/>
      </c>
      <c r="R130" s="8" t="str">
        <f>IF([2]道具信息!R130="","",[2]道具信息!R130)</f>
        <v/>
      </c>
    </row>
    <row r="131" spans="3:18" x14ac:dyDescent="0.2">
      <c r="C131" s="8" t="str">
        <f>IF([2]道具信息!C131="","",[2]道具信息!C131)</f>
        <v/>
      </c>
      <c r="D131" s="8" t="str">
        <f>IF([2]道具信息!D131="","",[2]道具信息!D131)</f>
        <v>普通装备图纸</v>
      </c>
      <c r="E131" s="8">
        <f>IF([2]道具信息!E131="","",[2]道具信息!E131)</f>
        <v>50</v>
      </c>
      <c r="F131" s="8">
        <f>IF([2]道具信息!F131="","",[2]道具信息!F131)</f>
        <v>1</v>
      </c>
      <c r="G131" s="8">
        <f>IF([2]道具信息!G131="","",[2]道具信息!G131)</f>
        <v>0.2</v>
      </c>
      <c r="H131" s="8">
        <f>IF([2]道具信息!H131="","",[2]道具信息!H131)</f>
        <v>0.2</v>
      </c>
      <c r="I131" s="8">
        <f>IF([2]道具信息!I131="","",[2]道具信息!I131)</f>
        <v>50</v>
      </c>
      <c r="J131" s="8">
        <f>IF([2]道具信息!J131="","",[2]道具信息!J131)</f>
        <v>10</v>
      </c>
      <c r="K131" s="8">
        <f>IF([2]道具信息!K131="","",[2]道具信息!K131)</f>
        <v>10</v>
      </c>
      <c r="L131" s="8" t="str">
        <f>IF([2]道具信息!L131="","",[2]道具信息!L131)</f>
        <v/>
      </c>
      <c r="M131" s="8" t="str">
        <f>IF([2]道具信息!M131="","",[2]道具信息!M131)</f>
        <v/>
      </c>
      <c r="N131" s="8" t="str">
        <f>IF([2]道具信息!N131="","",[2]道具信息!N131)</f>
        <v/>
      </c>
      <c r="O131" s="8" t="str">
        <f>IF([2]道具信息!O131="","",[2]道具信息!O131)</f>
        <v/>
      </c>
      <c r="P131" s="8" t="str">
        <f>IF([2]道具信息!P131="","",[2]道具信息!P131)</f>
        <v/>
      </c>
      <c r="Q131" s="8" t="str">
        <f>IF([2]道具信息!Q131="","",[2]道具信息!Q131)</f>
        <v/>
      </c>
      <c r="R131" s="8" t="str">
        <f>IF([2]道具信息!R131="","",[2]道具信息!R131)</f>
        <v/>
      </c>
    </row>
    <row r="132" spans="3:18" x14ac:dyDescent="0.2">
      <c r="C132" s="8" t="str">
        <f>IF([2]道具信息!C132="","",[2]道具信息!C132)</f>
        <v/>
      </c>
      <c r="D132" s="8" t="str">
        <f>IF([2]道具信息!D132="","",[2]道具信息!D132)</f>
        <v>精良装备图纸</v>
      </c>
      <c r="E132" s="8">
        <f>IF([2]道具信息!E132="","",[2]道具信息!E132)</f>
        <v>310</v>
      </c>
      <c r="F132" s="8">
        <f>IF([2]道具信息!F132="","",[2]道具信息!F132)</f>
        <v>1</v>
      </c>
      <c r="G132" s="8">
        <f>IF([2]道具信息!G132="","",[2]道具信息!G132)</f>
        <v>0.2</v>
      </c>
      <c r="H132" s="8">
        <f>IF([2]道具信息!H132="","",[2]道具信息!H132)</f>
        <v>0.2</v>
      </c>
      <c r="I132" s="8">
        <f>IF([2]道具信息!I132="","",[2]道具信息!I132)</f>
        <v>310</v>
      </c>
      <c r="J132" s="8">
        <f>IF([2]道具信息!J132="","",[2]道具信息!J132)</f>
        <v>62</v>
      </c>
      <c r="K132" s="8">
        <f>IF([2]道具信息!K132="","",[2]道具信息!K132)</f>
        <v>62</v>
      </c>
      <c r="L132" s="8" t="str">
        <f>IF([2]道具信息!L132="","",[2]道具信息!L132)</f>
        <v/>
      </c>
      <c r="M132" s="8" t="str">
        <f>IF([2]道具信息!M132="","",[2]道具信息!M132)</f>
        <v/>
      </c>
      <c r="N132" s="8" t="str">
        <f>IF([2]道具信息!N132="","",[2]道具信息!N132)</f>
        <v/>
      </c>
      <c r="O132" s="8" t="str">
        <f>IF([2]道具信息!O132="","",[2]道具信息!O132)</f>
        <v/>
      </c>
      <c r="P132" s="8" t="str">
        <f>IF([2]道具信息!P132="","",[2]道具信息!P132)</f>
        <v/>
      </c>
      <c r="Q132" s="8" t="str">
        <f>IF([2]道具信息!Q132="","",[2]道具信息!Q132)</f>
        <v/>
      </c>
      <c r="R132" s="8" t="str">
        <f>IF([2]道具信息!R132="","",[2]道具信息!R132)</f>
        <v/>
      </c>
    </row>
    <row r="133" spans="3:18" x14ac:dyDescent="0.2">
      <c r="C133" s="8" t="str">
        <f>IF([2]道具信息!C133="","",[2]道具信息!C133)</f>
        <v/>
      </c>
      <c r="D133" s="8" t="str">
        <f>IF([2]道具信息!D133="","",[2]道具信息!D133)</f>
        <v>优质装备图纸</v>
      </c>
      <c r="E133" s="8">
        <f>IF([2]道具信息!E133="","",[2]道具信息!E133)</f>
        <v>1525</v>
      </c>
      <c r="F133" s="8">
        <f>IF([2]道具信息!F133="","",[2]道具信息!F133)</f>
        <v>1</v>
      </c>
      <c r="G133" s="8">
        <f>IF([2]道具信息!G133="","",[2]道具信息!G133)</f>
        <v>1</v>
      </c>
      <c r="H133" s="8">
        <f>IF([2]道具信息!H133="","",[2]道具信息!H133)</f>
        <v>0.18032786885245902</v>
      </c>
      <c r="I133" s="8">
        <f>IF([2]道具信息!I133="","",[2]道具信息!I133)</f>
        <v>1525</v>
      </c>
      <c r="J133" s="8">
        <f>IF([2]道具信息!J133="","",[2]道具信息!J133)</f>
        <v>1525</v>
      </c>
      <c r="K133" s="8">
        <f>IF([2]道具信息!K133="","",[2]道具信息!K133)</f>
        <v>275</v>
      </c>
      <c r="L133" s="8" t="str">
        <f>IF([2]道具信息!L133="","",[2]道具信息!L133)</f>
        <v/>
      </c>
      <c r="M133" s="8" t="str">
        <f>IF([2]道具信息!M133="","",[2]道具信息!M133)</f>
        <v/>
      </c>
      <c r="N133" s="8" t="str">
        <f>IF([2]道具信息!N133="","",[2]道具信息!N133)</f>
        <v/>
      </c>
      <c r="O133" s="8" t="str">
        <f>IF([2]道具信息!O133="","",[2]道具信息!O133)</f>
        <v/>
      </c>
      <c r="P133" s="8" t="str">
        <f>IF([2]道具信息!P133="","",[2]道具信息!P133)</f>
        <v/>
      </c>
      <c r="Q133" s="8" t="str">
        <f>IF([2]道具信息!Q133="","",[2]道具信息!Q133)</f>
        <v/>
      </c>
      <c r="R133" s="8" t="str">
        <f>IF([2]道具信息!R133="","",[2]道具信息!R133)</f>
        <v/>
      </c>
    </row>
    <row r="134" spans="3:18" x14ac:dyDescent="0.2">
      <c r="C134" s="8" t="str">
        <f>IF([2]道具信息!C134="","",[2]道具信息!C134)</f>
        <v/>
      </c>
      <c r="D134" s="8" t="str">
        <f>IF([2]道具信息!D134="","",[2]道具信息!D134)</f>
        <v>珍稀装备图纸</v>
      </c>
      <c r="E134" s="8">
        <f>IF([2]道具信息!E134="","",[2]道具信息!E134)</f>
        <v>2325</v>
      </c>
      <c r="F134" s="8">
        <f>IF([2]道具信息!F134="","",[2]道具信息!F134)</f>
        <v>1</v>
      </c>
      <c r="G134" s="8">
        <f>IF([2]道具信息!G134="","",[2]道具信息!G134)</f>
        <v>1</v>
      </c>
      <c r="H134" s="8">
        <f>IF([2]道具信息!H134="","",[2]道具信息!H134)</f>
        <v>1</v>
      </c>
      <c r="I134" s="8">
        <f>IF([2]道具信息!I134="","",[2]道具信息!I134)</f>
        <v>2325</v>
      </c>
      <c r="J134" s="8">
        <f>IF([2]道具信息!J134="","",[2]道具信息!J134)</f>
        <v>2325</v>
      </c>
      <c r="K134" s="8">
        <f>IF([2]道具信息!K134="","",[2]道具信息!K134)</f>
        <v>2325</v>
      </c>
      <c r="L134" s="8" t="str">
        <f>IF([2]道具信息!L134="","",[2]道具信息!L134)</f>
        <v/>
      </c>
      <c r="M134" s="8" t="str">
        <f>IF([2]道具信息!M134="","",[2]道具信息!M134)</f>
        <v/>
      </c>
      <c r="N134" s="8" t="str">
        <f>IF([2]道具信息!N134="","",[2]道具信息!N134)</f>
        <v/>
      </c>
      <c r="O134" s="8" t="str">
        <f>IF([2]道具信息!O134="","",[2]道具信息!O134)</f>
        <v/>
      </c>
      <c r="P134" s="8" t="str">
        <f>IF([2]道具信息!P134="","",[2]道具信息!P134)</f>
        <v/>
      </c>
      <c r="Q134" s="8" t="str">
        <f>IF([2]道具信息!Q134="","",[2]道具信息!Q134)</f>
        <v/>
      </c>
      <c r="R134" s="8" t="str">
        <f>IF([2]道具信息!R134="","",[2]道具信息!R134)</f>
        <v/>
      </c>
    </row>
    <row r="135" spans="3:18" x14ac:dyDescent="0.2">
      <c r="C135" s="8" t="str">
        <f>IF([2]道具信息!C135="","",[2]道具信息!C135)</f>
        <v/>
      </c>
      <c r="D135" s="8" t="str">
        <f>IF([2]道具信息!D135="","",[2]道具信息!D135)</f>
        <v>传世装备图纸</v>
      </c>
      <c r="E135" s="8">
        <f>IF([2]道具信息!E135="","",[2]道具信息!E135)</f>
        <v>5600</v>
      </c>
      <c r="F135" s="8">
        <f>IF([2]道具信息!F135="","",[2]道具信息!F135)</f>
        <v>1</v>
      </c>
      <c r="G135" s="8">
        <f>IF([2]道具信息!G135="","",[2]道具信息!G135)</f>
        <v>1</v>
      </c>
      <c r="H135" s="8">
        <f>IF([2]道具信息!H135="","",[2]道具信息!H135)</f>
        <v>1</v>
      </c>
      <c r="I135" s="8">
        <f>IF([2]道具信息!I135="","",[2]道具信息!I135)</f>
        <v>5600</v>
      </c>
      <c r="J135" s="8">
        <f>IF([2]道具信息!J135="","",[2]道具信息!J135)</f>
        <v>5600</v>
      </c>
      <c r="K135" s="8">
        <f>IF([2]道具信息!K135="","",[2]道具信息!K135)</f>
        <v>5600</v>
      </c>
      <c r="L135" s="8" t="str">
        <f>IF([2]道具信息!L135="","",[2]道具信息!L135)</f>
        <v/>
      </c>
      <c r="M135" s="8" t="str">
        <f>IF([2]道具信息!M135="","",[2]道具信息!M135)</f>
        <v/>
      </c>
      <c r="N135" s="8" t="str">
        <f>IF([2]道具信息!N135="","",[2]道具信息!N135)</f>
        <v/>
      </c>
      <c r="O135" s="8" t="str">
        <f>IF([2]道具信息!O135="","",[2]道具信息!O135)</f>
        <v/>
      </c>
      <c r="P135" s="8" t="str">
        <f>IF([2]道具信息!P135="","",[2]道具信息!P135)</f>
        <v/>
      </c>
      <c r="Q135" s="8" t="str">
        <f>IF([2]道具信息!Q135="","",[2]道具信息!Q135)</f>
        <v/>
      </c>
      <c r="R135" s="8" t="str">
        <f>IF([2]道具信息!R135="","",[2]道具信息!R135)</f>
        <v/>
      </c>
    </row>
    <row r="136" spans="3:18" x14ac:dyDescent="0.2">
      <c r="C136" s="8" t="str">
        <f>IF([2]道具信息!C136="","",[2]道具信息!C136)</f>
        <v/>
      </c>
      <c r="D136" s="8" t="str">
        <f>IF([2]道具信息!D136="","",[2]道具信息!D136)</f>
        <v>传奇装备图纸</v>
      </c>
      <c r="E136" s="8">
        <f>IF([2]道具信息!E136="","",[2]道具信息!E136)</f>
        <v>10400</v>
      </c>
      <c r="F136" s="8">
        <f>IF([2]道具信息!F136="","",[2]道具信息!F136)</f>
        <v>1</v>
      </c>
      <c r="G136" s="8">
        <f>IF([2]道具信息!G136="","",[2]道具信息!G136)</f>
        <v>1</v>
      </c>
      <c r="H136" s="8">
        <f>IF([2]道具信息!H136="","",[2]道具信息!H136)</f>
        <v>1</v>
      </c>
      <c r="I136" s="8">
        <f>IF([2]道具信息!I136="","",[2]道具信息!I136)</f>
        <v>10400</v>
      </c>
      <c r="J136" s="8">
        <f>IF([2]道具信息!J136="","",[2]道具信息!J136)</f>
        <v>10400</v>
      </c>
      <c r="K136" s="8">
        <f>IF([2]道具信息!K136="","",[2]道具信息!K136)</f>
        <v>10400</v>
      </c>
      <c r="L136" s="8" t="str">
        <f>IF([2]道具信息!L136="","",[2]道具信息!L136)</f>
        <v/>
      </c>
      <c r="M136" s="8" t="str">
        <f>IF([2]道具信息!M136="","",[2]道具信息!M136)</f>
        <v/>
      </c>
      <c r="N136" s="8" t="str">
        <f>IF([2]道具信息!N136="","",[2]道具信息!N136)</f>
        <v/>
      </c>
      <c r="O136" s="8" t="str">
        <f>IF([2]道具信息!O136="","",[2]道具信息!O136)</f>
        <v/>
      </c>
      <c r="P136" s="8" t="str">
        <f>IF([2]道具信息!P136="","",[2]道具信息!P136)</f>
        <v/>
      </c>
      <c r="Q136" s="8" t="str">
        <f>IF([2]道具信息!Q136="","",[2]道具信息!Q136)</f>
        <v/>
      </c>
      <c r="R136" s="8" t="str">
        <f>IF([2]道具信息!R136="","",[2]道具信息!R136)</f>
        <v/>
      </c>
    </row>
    <row r="137" spans="3:18" x14ac:dyDescent="0.2">
      <c r="C137" s="8" t="str">
        <f>IF([2]道具信息!C137="","",[2]道具信息!C137)</f>
        <v/>
      </c>
      <c r="D137" s="8" t="str">
        <f>IF([2]道具信息!D137="","",[2]道具信息!D137)</f>
        <v/>
      </c>
      <c r="E137" s="8" t="str">
        <f>IF([2]道具信息!E137="","",[2]道具信息!E137)</f>
        <v/>
      </c>
      <c r="F137" s="8" t="str">
        <f>IF([2]道具信息!F137="","",[2]道具信息!F137)</f>
        <v/>
      </c>
      <c r="G137" s="8" t="str">
        <f>IF([2]道具信息!G137="","",[2]道具信息!G137)</f>
        <v/>
      </c>
      <c r="H137" s="8" t="str">
        <f>IF([2]道具信息!H137="","",[2]道具信息!H137)</f>
        <v/>
      </c>
      <c r="I137" s="8" t="str">
        <f>IF([2]道具信息!I137="","",[2]道具信息!I137)</f>
        <v/>
      </c>
      <c r="J137" s="8" t="str">
        <f>IF([2]道具信息!J137="","",[2]道具信息!J137)</f>
        <v/>
      </c>
      <c r="K137" s="8" t="str">
        <f>IF([2]道具信息!K137="","",[2]道具信息!K137)</f>
        <v/>
      </c>
      <c r="L137" s="8" t="str">
        <f>IF([2]道具信息!L137="","",[2]道具信息!L137)</f>
        <v/>
      </c>
      <c r="M137" s="8" t="str">
        <f>IF([2]道具信息!M137="","",[2]道具信息!M137)</f>
        <v/>
      </c>
      <c r="N137" s="8" t="str">
        <f>IF([2]道具信息!N137="","",[2]道具信息!N137)</f>
        <v/>
      </c>
      <c r="O137" s="8" t="str">
        <f>IF([2]道具信息!O137="","",[2]道具信息!O137)</f>
        <v/>
      </c>
      <c r="P137" s="8" t="str">
        <f>IF([2]道具信息!P137="","",[2]道具信息!P137)</f>
        <v/>
      </c>
      <c r="Q137" s="8" t="str">
        <f>IF([2]道具信息!Q137="","",[2]道具信息!Q137)</f>
        <v/>
      </c>
      <c r="R137" s="8" t="str">
        <f>IF([2]道具信息!R137="","",[2]道具信息!R137)</f>
        <v/>
      </c>
    </row>
    <row r="138" spans="3:18" x14ac:dyDescent="0.2">
      <c r="C138" s="8" t="str">
        <f>IF([2]道具信息!C138="","",[2]道具信息!C138)</f>
        <v/>
      </c>
      <c r="D138" s="8" t="str">
        <f>IF([2]道具信息!D138="","",[2]道具信息!D138)</f>
        <v>残破磨石</v>
      </c>
      <c r="E138" s="8">
        <f>IF([2]道具信息!E138="","",[2]道具信息!E138)</f>
        <v>10</v>
      </c>
      <c r="F138" s="8">
        <f>IF([2]道具信息!F138="","",[2]道具信息!F138)</f>
        <v>1</v>
      </c>
      <c r="G138" s="8">
        <f>IF([2]道具信息!G138="","",[2]道具信息!G138)</f>
        <v>1</v>
      </c>
      <c r="H138" s="8">
        <f>IF([2]道具信息!H138="","",[2]道具信息!H138)</f>
        <v>1</v>
      </c>
      <c r="I138" s="8">
        <f>IF([2]道具信息!I138="","",[2]道具信息!I138)</f>
        <v>10</v>
      </c>
      <c r="J138" s="8">
        <f>IF([2]道具信息!J138="","",[2]道具信息!J138)</f>
        <v>10</v>
      </c>
      <c r="K138" s="8">
        <f>IF([2]道具信息!K138="","",[2]道具信息!K138)</f>
        <v>10</v>
      </c>
      <c r="L138" s="8" t="str">
        <f>IF([2]道具信息!L138="","",[2]道具信息!L138)</f>
        <v/>
      </c>
      <c r="M138" s="8" t="str">
        <f>IF([2]道具信息!M138="","",[2]道具信息!M138)</f>
        <v/>
      </c>
      <c r="N138" s="8" t="str">
        <f>IF([2]道具信息!N138="","",[2]道具信息!N138)</f>
        <v/>
      </c>
      <c r="O138" s="8" t="str">
        <f>IF([2]道具信息!O138="","",[2]道具信息!O138)</f>
        <v/>
      </c>
      <c r="P138" s="8" t="str">
        <f>IF([2]道具信息!P138="","",[2]道具信息!P138)</f>
        <v/>
      </c>
      <c r="Q138" s="8" t="str">
        <f>IF([2]道具信息!Q138="","",[2]道具信息!Q138)</f>
        <v/>
      </c>
      <c r="R138" s="8" t="str">
        <f>IF([2]道具信息!R138="","",[2]道具信息!R138)</f>
        <v/>
      </c>
    </row>
    <row r="139" spans="3:18" x14ac:dyDescent="0.2">
      <c r="C139" s="8" t="str">
        <f>IF([2]道具信息!C139="","",[2]道具信息!C139)</f>
        <v/>
      </c>
      <c r="D139" s="8" t="str">
        <f>IF([2]道具信息!D139="","",[2]道具信息!D139)</f>
        <v>普通磨石</v>
      </c>
      <c r="E139" s="8">
        <f>IF([2]道具信息!E139="","",[2]道具信息!E139)</f>
        <v>50</v>
      </c>
      <c r="F139" s="8">
        <f>IF([2]道具信息!F139="","",[2]道具信息!F139)</f>
        <v>1</v>
      </c>
      <c r="G139" s="8">
        <f>IF([2]道具信息!G139="","",[2]道具信息!G139)</f>
        <v>1</v>
      </c>
      <c r="H139" s="8">
        <f>IF([2]道具信息!H139="","",[2]道具信息!H139)</f>
        <v>1</v>
      </c>
      <c r="I139" s="8">
        <f>IF([2]道具信息!I139="","",[2]道具信息!I139)</f>
        <v>50</v>
      </c>
      <c r="J139" s="8">
        <f>IF([2]道具信息!J139="","",[2]道具信息!J139)</f>
        <v>50</v>
      </c>
      <c r="K139" s="8">
        <f>IF([2]道具信息!K139="","",[2]道具信息!K139)</f>
        <v>50</v>
      </c>
      <c r="L139" s="8" t="str">
        <f>IF([2]道具信息!L139="","",[2]道具信息!L139)</f>
        <v/>
      </c>
      <c r="M139" s="8" t="str">
        <f>IF([2]道具信息!M139="","",[2]道具信息!M139)</f>
        <v/>
      </c>
      <c r="N139" s="8" t="str">
        <f>IF([2]道具信息!N139="","",[2]道具信息!N139)</f>
        <v/>
      </c>
      <c r="O139" s="8" t="str">
        <f>IF([2]道具信息!O139="","",[2]道具信息!O139)</f>
        <v/>
      </c>
      <c r="P139" s="8" t="str">
        <f>IF([2]道具信息!P139="","",[2]道具信息!P139)</f>
        <v/>
      </c>
      <c r="Q139" s="8" t="str">
        <f>IF([2]道具信息!Q139="","",[2]道具信息!Q139)</f>
        <v/>
      </c>
      <c r="R139" s="8" t="str">
        <f>IF([2]道具信息!R139="","",[2]道具信息!R139)</f>
        <v/>
      </c>
    </row>
    <row r="140" spans="3:18" x14ac:dyDescent="0.2">
      <c r="C140" s="8" t="str">
        <f>IF([2]道具信息!C140="","",[2]道具信息!C140)</f>
        <v/>
      </c>
      <c r="D140" s="8" t="str">
        <f>IF([2]道具信息!D140="","",[2]道具信息!D140)</f>
        <v>精良磨石</v>
      </c>
      <c r="E140" s="8">
        <f>IF([2]道具信息!E140="","",[2]道具信息!E140)</f>
        <v>100</v>
      </c>
      <c r="F140" s="8">
        <f>IF([2]道具信息!F140="","",[2]道具信息!F140)</f>
        <v>1</v>
      </c>
      <c r="G140" s="8">
        <f>IF([2]道具信息!G140="","",[2]道具信息!G140)</f>
        <v>1</v>
      </c>
      <c r="H140" s="8">
        <f>IF([2]道具信息!H140="","",[2]道具信息!H140)</f>
        <v>1</v>
      </c>
      <c r="I140" s="8">
        <f>IF([2]道具信息!I140="","",[2]道具信息!I140)</f>
        <v>100</v>
      </c>
      <c r="J140" s="8">
        <f>IF([2]道具信息!J140="","",[2]道具信息!J140)</f>
        <v>100</v>
      </c>
      <c r="K140" s="8">
        <f>IF([2]道具信息!K140="","",[2]道具信息!K140)</f>
        <v>100</v>
      </c>
      <c r="L140" s="8" t="str">
        <f>IF([2]道具信息!L140="","",[2]道具信息!L140)</f>
        <v/>
      </c>
      <c r="M140" s="8" t="str">
        <f>IF([2]道具信息!M140="","",[2]道具信息!M140)</f>
        <v/>
      </c>
      <c r="N140" s="8" t="str">
        <f>IF([2]道具信息!N140="","",[2]道具信息!N140)</f>
        <v/>
      </c>
      <c r="O140" s="8" t="str">
        <f>IF([2]道具信息!O140="","",[2]道具信息!O140)</f>
        <v/>
      </c>
      <c r="P140" s="8" t="str">
        <f>IF([2]道具信息!P140="","",[2]道具信息!P140)</f>
        <v/>
      </c>
      <c r="Q140" s="8" t="str">
        <f>IF([2]道具信息!Q140="","",[2]道具信息!Q140)</f>
        <v/>
      </c>
      <c r="R140" s="8" t="str">
        <f>IF([2]道具信息!R140="","",[2]道具信息!R140)</f>
        <v/>
      </c>
    </row>
    <row r="141" spans="3:18" x14ac:dyDescent="0.2">
      <c r="C141" s="8" t="str">
        <f>IF([2]道具信息!C141="","",[2]道具信息!C141)</f>
        <v/>
      </c>
      <c r="D141" s="8" t="str">
        <f>IF([2]道具信息!D141="","",[2]道具信息!D141)</f>
        <v>优质磨石</v>
      </c>
      <c r="E141" s="8">
        <f>IF([2]道具信息!E141="","",[2]道具信息!E141)</f>
        <v>200</v>
      </c>
      <c r="F141" s="8">
        <f>IF([2]道具信息!F141="","",[2]道具信息!F141)</f>
        <v>1</v>
      </c>
      <c r="G141" s="8">
        <f>IF([2]道具信息!G141="","",[2]道具信息!G141)</f>
        <v>1</v>
      </c>
      <c r="H141" s="8">
        <f>IF([2]道具信息!H141="","",[2]道具信息!H141)</f>
        <v>1</v>
      </c>
      <c r="I141" s="8">
        <f>IF([2]道具信息!I141="","",[2]道具信息!I141)</f>
        <v>200</v>
      </c>
      <c r="J141" s="8">
        <f>IF([2]道具信息!J141="","",[2]道具信息!J141)</f>
        <v>200</v>
      </c>
      <c r="K141" s="8">
        <f>IF([2]道具信息!K141="","",[2]道具信息!K141)</f>
        <v>200</v>
      </c>
      <c r="L141" s="8" t="str">
        <f>IF([2]道具信息!L141="","",[2]道具信息!L141)</f>
        <v/>
      </c>
      <c r="M141" s="8" t="str">
        <f>IF([2]道具信息!M141="","",[2]道具信息!M141)</f>
        <v/>
      </c>
      <c r="N141" s="8" t="str">
        <f>IF([2]道具信息!N141="","",[2]道具信息!N141)</f>
        <v/>
      </c>
      <c r="O141" s="8" t="str">
        <f>IF([2]道具信息!O141="","",[2]道具信息!O141)</f>
        <v/>
      </c>
      <c r="P141" s="8" t="str">
        <f>IF([2]道具信息!P141="","",[2]道具信息!P141)</f>
        <v/>
      </c>
      <c r="Q141" s="8" t="str">
        <f>IF([2]道具信息!Q141="","",[2]道具信息!Q141)</f>
        <v/>
      </c>
      <c r="R141" s="8" t="str">
        <f>IF([2]道具信息!R141="","",[2]道具信息!R141)</f>
        <v/>
      </c>
    </row>
    <row r="142" spans="3:18" x14ac:dyDescent="0.2">
      <c r="C142" s="8" t="str">
        <f>IF([2]道具信息!C142="","",[2]道具信息!C142)</f>
        <v/>
      </c>
      <c r="D142" s="8" t="str">
        <f>IF([2]道具信息!D142="","",[2]道具信息!D142)</f>
        <v>传世磨石</v>
      </c>
      <c r="E142" s="8">
        <f>IF([2]道具信息!E142="","",[2]道具信息!E142)</f>
        <v>400</v>
      </c>
      <c r="F142" s="8">
        <f>IF([2]道具信息!F142="","",[2]道具信息!F142)</f>
        <v>1</v>
      </c>
      <c r="G142" s="8">
        <f>IF([2]道具信息!G142="","",[2]道具信息!G142)</f>
        <v>1</v>
      </c>
      <c r="H142" s="8">
        <f>IF([2]道具信息!H142="","",[2]道具信息!H142)</f>
        <v>1</v>
      </c>
      <c r="I142" s="8">
        <f>IF([2]道具信息!I142="","",[2]道具信息!I142)</f>
        <v>400</v>
      </c>
      <c r="J142" s="8">
        <f>IF([2]道具信息!J142="","",[2]道具信息!J142)</f>
        <v>400</v>
      </c>
      <c r="K142" s="8">
        <f>IF([2]道具信息!K142="","",[2]道具信息!K142)</f>
        <v>400</v>
      </c>
      <c r="L142" s="8" t="str">
        <f>IF([2]道具信息!L142="","",[2]道具信息!L142)</f>
        <v/>
      </c>
      <c r="M142" s="8" t="str">
        <f>IF([2]道具信息!M142="","",[2]道具信息!M142)</f>
        <v/>
      </c>
      <c r="N142" s="8" t="str">
        <f>IF([2]道具信息!N142="","",[2]道具信息!N142)</f>
        <v/>
      </c>
      <c r="O142" s="8" t="str">
        <f>IF([2]道具信息!O142="","",[2]道具信息!O142)</f>
        <v/>
      </c>
      <c r="P142" s="8" t="str">
        <f>IF([2]道具信息!P142="","",[2]道具信息!P142)</f>
        <v/>
      </c>
      <c r="Q142" s="8" t="str">
        <f>IF([2]道具信息!Q142="","",[2]道具信息!Q142)</f>
        <v/>
      </c>
      <c r="R142" s="8" t="str">
        <f>IF([2]道具信息!R142="","",[2]道具信息!R142)</f>
        <v/>
      </c>
    </row>
    <row r="143" spans="3:18" x14ac:dyDescent="0.2">
      <c r="C143" s="8" t="str">
        <f>IF([2]道具信息!C143="","",[2]道具信息!C143)</f>
        <v/>
      </c>
      <c r="D143" s="8" t="str">
        <f>IF([2]道具信息!D143="","",[2]道具信息!D143)</f>
        <v/>
      </c>
      <c r="E143" s="8" t="str">
        <f>IF([2]道具信息!E143="","",[2]道具信息!E143)</f>
        <v/>
      </c>
      <c r="F143" s="8" t="str">
        <f>IF([2]道具信息!F143="","",[2]道具信息!F143)</f>
        <v/>
      </c>
      <c r="G143" s="8" t="str">
        <f>IF([2]道具信息!G143="","",[2]道具信息!G143)</f>
        <v/>
      </c>
      <c r="H143" s="8" t="str">
        <f>IF([2]道具信息!H143="","",[2]道具信息!H143)</f>
        <v/>
      </c>
      <c r="I143" s="8" t="str">
        <f>IF([2]道具信息!I143="","",[2]道具信息!I143)</f>
        <v/>
      </c>
      <c r="J143" s="8" t="str">
        <f>IF([2]道具信息!J143="","",[2]道具信息!J143)</f>
        <v/>
      </c>
      <c r="K143" s="8" t="str">
        <f>IF([2]道具信息!K143="","",[2]道具信息!K143)</f>
        <v/>
      </c>
      <c r="L143" s="8" t="str">
        <f>IF([2]道具信息!L143="","",[2]道具信息!L143)</f>
        <v/>
      </c>
      <c r="M143" s="8" t="str">
        <f>IF([2]道具信息!M143="","",[2]道具信息!M143)</f>
        <v/>
      </c>
      <c r="N143" s="8" t="str">
        <f>IF([2]道具信息!N143="","",[2]道具信息!N143)</f>
        <v/>
      </c>
      <c r="O143" s="8" t="str">
        <f>IF([2]道具信息!O143="","",[2]道具信息!O143)</f>
        <v/>
      </c>
      <c r="P143" s="8" t="str">
        <f>IF([2]道具信息!P143="","",[2]道具信息!P143)</f>
        <v/>
      </c>
      <c r="Q143" s="8" t="str">
        <f>IF([2]道具信息!Q143="","",[2]道具信息!Q143)</f>
        <v/>
      </c>
      <c r="R143" s="8" t="str">
        <f>IF([2]道具信息!R143="","",[2]道具信息!R143)</f>
        <v/>
      </c>
    </row>
    <row r="144" spans="3:18" x14ac:dyDescent="0.2">
      <c r="C144" s="8" t="str">
        <f>IF([2]道具信息!C144="","",[2]道具信息!C144)</f>
        <v/>
      </c>
      <c r="D144" s="8" t="str">
        <f>IF([2]道具信息!D144="","",[2]道具信息!D144)</f>
        <v>普通兵装材料</v>
      </c>
      <c r="E144" s="8">
        <f>IF([2]道具信息!E144="","",[2]道具信息!E144)</f>
        <v>10</v>
      </c>
      <c r="F144" s="8">
        <f>IF([2]道具信息!F144="","",[2]道具信息!F144)</f>
        <v>1</v>
      </c>
      <c r="G144" s="8">
        <f>IF([2]道具信息!G144="","",[2]道具信息!G144)</f>
        <v>0.2</v>
      </c>
      <c r="H144" s="8">
        <f>IF([2]道具信息!H144="","",[2]道具信息!H144)</f>
        <v>0.2</v>
      </c>
      <c r="I144" s="8">
        <f>IF([2]道具信息!I144="","",[2]道具信息!I144)</f>
        <v>10</v>
      </c>
      <c r="J144" s="8">
        <f>IF([2]道具信息!J144="","",[2]道具信息!J144)</f>
        <v>2</v>
      </c>
      <c r="K144" s="8">
        <f>IF([2]道具信息!K144="","",[2]道具信息!K144)</f>
        <v>2</v>
      </c>
      <c r="L144" s="8" t="str">
        <f>IF([2]道具信息!L144="","",[2]道具信息!L144)</f>
        <v/>
      </c>
      <c r="M144" s="8" t="str">
        <f>IF([2]道具信息!M144="","",[2]道具信息!M144)</f>
        <v/>
      </c>
      <c r="N144" s="8" t="str">
        <f>IF([2]道具信息!N144="","",[2]道具信息!N144)</f>
        <v/>
      </c>
      <c r="O144" s="8" t="str">
        <f>IF([2]道具信息!O144="","",[2]道具信息!O144)</f>
        <v/>
      </c>
      <c r="P144" s="8" t="str">
        <f>IF([2]道具信息!P144="","",[2]道具信息!P144)</f>
        <v/>
      </c>
      <c r="Q144" s="8" t="str">
        <f>IF([2]道具信息!Q144="","",[2]道具信息!Q144)</f>
        <v/>
      </c>
      <c r="R144" s="8" t="str">
        <f>IF([2]道具信息!R144="","",[2]道具信息!R144)</f>
        <v/>
      </c>
    </row>
    <row r="145" spans="3:18" x14ac:dyDescent="0.2">
      <c r="C145" s="8" t="str">
        <f>IF([2]道具信息!C145="","",[2]道具信息!C145)</f>
        <v/>
      </c>
      <c r="D145" s="8" t="str">
        <f>IF([2]道具信息!D145="","",[2]道具信息!D145)</f>
        <v>精良兵装材料</v>
      </c>
      <c r="E145" s="8">
        <f>IF([2]道具信息!E145="","",[2]道具信息!E145)</f>
        <v>19</v>
      </c>
      <c r="F145" s="8">
        <f>IF([2]道具信息!F145="","",[2]道具信息!F145)</f>
        <v>1</v>
      </c>
      <c r="G145" s="8">
        <f>IF([2]道具信息!G145="","",[2]道具信息!G145)</f>
        <v>0.19999999999999998</v>
      </c>
      <c r="H145" s="8">
        <f>IF([2]道具信息!H145="","",[2]道具信息!H145)</f>
        <v>0.19999999999999998</v>
      </c>
      <c r="I145" s="8">
        <f>IF([2]道具信息!I145="","",[2]道具信息!I145)</f>
        <v>19</v>
      </c>
      <c r="J145" s="8">
        <f>IF([2]道具信息!J145="","",[2]道具信息!J145)</f>
        <v>3.8</v>
      </c>
      <c r="K145" s="8">
        <f>IF([2]道具信息!K145="","",[2]道具信息!K145)</f>
        <v>3.8</v>
      </c>
      <c r="L145" s="8" t="str">
        <f>IF([2]道具信息!L145="","",[2]道具信息!L145)</f>
        <v/>
      </c>
      <c r="M145" s="8" t="str">
        <f>IF([2]道具信息!M145="","",[2]道具信息!M145)</f>
        <v/>
      </c>
      <c r="N145" s="8" t="str">
        <f>IF([2]道具信息!N145="","",[2]道具信息!N145)</f>
        <v/>
      </c>
      <c r="O145" s="8" t="str">
        <f>IF([2]道具信息!O145="","",[2]道具信息!O145)</f>
        <v/>
      </c>
      <c r="P145" s="8" t="str">
        <f>IF([2]道具信息!P145="","",[2]道具信息!P145)</f>
        <v/>
      </c>
      <c r="Q145" s="8" t="str">
        <f>IF([2]道具信息!Q145="","",[2]道具信息!Q145)</f>
        <v/>
      </c>
      <c r="R145" s="8" t="str">
        <f>IF([2]道具信息!R145="","",[2]道具信息!R145)</f>
        <v/>
      </c>
    </row>
    <row r="146" spans="3:18" x14ac:dyDescent="0.2">
      <c r="C146" s="8" t="str">
        <f>IF([2]道具信息!C146="","",[2]道具信息!C146)</f>
        <v/>
      </c>
      <c r="D146" s="8" t="str">
        <f>IF([2]道具信息!D146="","",[2]道具信息!D146)</f>
        <v>优质兵装材料</v>
      </c>
      <c r="E146" s="8">
        <f>IF([2]道具信息!E146="","",[2]道具信息!E146)</f>
        <v>22.5</v>
      </c>
      <c r="F146" s="8">
        <f>IF([2]道具信息!F146="","",[2]道具信息!F146)</f>
        <v>1</v>
      </c>
      <c r="G146" s="8">
        <f>IF([2]道具信息!G146="","",[2]道具信息!G146)</f>
        <v>1</v>
      </c>
      <c r="H146" s="8">
        <f>IF([2]道具信息!H146="","",[2]道具信息!H146)</f>
        <v>0.18533333333333332</v>
      </c>
      <c r="I146" s="8">
        <f>IF([2]道具信息!I146="","",[2]道具信息!I146)</f>
        <v>22.5</v>
      </c>
      <c r="J146" s="8">
        <f>IF([2]道具信息!J146="","",[2]道具信息!J146)</f>
        <v>22.5</v>
      </c>
      <c r="K146" s="8">
        <f>IF([2]道具信息!K146="","",[2]道具信息!K146)</f>
        <v>4.17</v>
      </c>
      <c r="L146" s="8" t="str">
        <f>IF([2]道具信息!L146="","",[2]道具信息!L146)</f>
        <v/>
      </c>
      <c r="M146" s="8" t="str">
        <f>IF([2]道具信息!M146="","",[2]道具信息!M146)</f>
        <v/>
      </c>
      <c r="N146" s="8" t="str">
        <f>IF([2]道具信息!N146="","",[2]道具信息!N146)</f>
        <v/>
      </c>
      <c r="O146" s="8" t="str">
        <f>IF([2]道具信息!O146="","",[2]道具信息!O146)</f>
        <v/>
      </c>
      <c r="P146" s="8" t="str">
        <f>IF([2]道具信息!P146="","",[2]道具信息!P146)</f>
        <v/>
      </c>
      <c r="Q146" s="8" t="str">
        <f>IF([2]道具信息!Q146="","",[2]道具信息!Q146)</f>
        <v/>
      </c>
      <c r="R146" s="8" t="str">
        <f>IF([2]道具信息!R146="","",[2]道具信息!R146)</f>
        <v/>
      </c>
    </row>
    <row r="147" spans="3:18" x14ac:dyDescent="0.2">
      <c r="C147" s="8" t="str">
        <f>IF([2]道具信息!C147="","",[2]道具信息!C147)</f>
        <v/>
      </c>
      <c r="D147" s="8" t="str">
        <f>IF([2]道具信息!D147="","",[2]道具信息!D147)</f>
        <v>传世兵装材料</v>
      </c>
      <c r="E147" s="8">
        <f>IF([2]道具信息!E147="","",[2]道具信息!E147)</f>
        <v>56</v>
      </c>
      <c r="F147" s="8">
        <f>IF([2]道具信息!F147="","",[2]道具信息!F147)</f>
        <v>1</v>
      </c>
      <c r="G147" s="8">
        <f>IF([2]道具信息!G147="","",[2]道具信息!G147)</f>
        <v>1</v>
      </c>
      <c r="H147" s="8">
        <f>IF([2]道具信息!H147="","",[2]道具信息!H147)</f>
        <v>1</v>
      </c>
      <c r="I147" s="8">
        <f>IF([2]道具信息!I147="","",[2]道具信息!I147)</f>
        <v>56</v>
      </c>
      <c r="J147" s="8">
        <f>IF([2]道具信息!J147="","",[2]道具信息!J147)</f>
        <v>56</v>
      </c>
      <c r="K147" s="8">
        <f>IF([2]道具信息!K147="","",[2]道具信息!K147)</f>
        <v>56</v>
      </c>
      <c r="L147" s="8" t="str">
        <f>IF([2]道具信息!L147="","",[2]道具信息!L147)</f>
        <v/>
      </c>
      <c r="M147" s="8" t="str">
        <f>IF([2]道具信息!M147="","",[2]道具信息!M147)</f>
        <v/>
      </c>
      <c r="N147" s="8" t="str">
        <f>IF([2]道具信息!N147="","",[2]道具信息!N147)</f>
        <v/>
      </c>
      <c r="O147" s="8" t="str">
        <f>IF([2]道具信息!O147="","",[2]道具信息!O147)</f>
        <v/>
      </c>
      <c r="P147" s="8" t="str">
        <f>IF([2]道具信息!P147="","",[2]道具信息!P147)</f>
        <v/>
      </c>
      <c r="Q147" s="8" t="str">
        <f>IF([2]道具信息!Q147="","",[2]道具信息!Q147)</f>
        <v/>
      </c>
      <c r="R147" s="8" t="str">
        <f>IF([2]道具信息!R147="","",[2]道具信息!R147)</f>
        <v/>
      </c>
    </row>
    <row r="148" spans="3:18" x14ac:dyDescent="0.2">
      <c r="C148" s="8" t="str">
        <f>IF([2]道具信息!C148="","",[2]道具信息!C148)</f>
        <v/>
      </c>
      <c r="D148" s="8" t="str">
        <f>IF([2]道具信息!D148="","",[2]道具信息!D148)</f>
        <v/>
      </c>
      <c r="E148" s="8" t="str">
        <f>IF([2]道具信息!E148="","",[2]道具信息!E148)</f>
        <v/>
      </c>
      <c r="F148" s="8" t="str">
        <f>IF([2]道具信息!F148="","",[2]道具信息!F148)</f>
        <v/>
      </c>
      <c r="G148" s="8" t="str">
        <f>IF([2]道具信息!G148="","",[2]道具信息!G148)</f>
        <v/>
      </c>
      <c r="H148" s="8" t="str">
        <f>IF([2]道具信息!H148="","",[2]道具信息!H148)</f>
        <v/>
      </c>
      <c r="I148" s="8" t="str">
        <f>IF([2]道具信息!I148="","",[2]道具信息!I148)</f>
        <v/>
      </c>
      <c r="J148" s="8" t="str">
        <f>IF([2]道具信息!J148="","",[2]道具信息!J148)</f>
        <v/>
      </c>
      <c r="K148" s="8" t="str">
        <f>IF([2]道具信息!K148="","",[2]道具信息!K148)</f>
        <v/>
      </c>
      <c r="L148" s="8" t="str">
        <f>IF([2]道具信息!L148="","",[2]道具信息!L148)</f>
        <v/>
      </c>
      <c r="M148" s="8" t="str">
        <f>IF([2]道具信息!M148="","",[2]道具信息!M148)</f>
        <v/>
      </c>
      <c r="N148" s="8" t="str">
        <f>IF([2]道具信息!N148="","",[2]道具信息!N148)</f>
        <v/>
      </c>
      <c r="O148" s="8" t="str">
        <f>IF([2]道具信息!O148="","",[2]道具信息!O148)</f>
        <v/>
      </c>
      <c r="P148" s="8" t="str">
        <f>IF([2]道具信息!P148="","",[2]道具信息!P148)</f>
        <v/>
      </c>
      <c r="Q148" s="8" t="str">
        <f>IF([2]道具信息!Q148="","",[2]道具信息!Q148)</f>
        <v/>
      </c>
      <c r="R148" s="8" t="str">
        <f>IF([2]道具信息!R148="","",[2]道具信息!R148)</f>
        <v/>
      </c>
    </row>
    <row r="149" spans="3:18" x14ac:dyDescent="0.2">
      <c r="C149" s="8" t="str">
        <f>IF([2]道具信息!C149="","",[2]道具信息!C149)</f>
        <v/>
      </c>
      <c r="D149" s="8" t="str">
        <f>IF([2]道具信息!D149="","",[2]道具信息!D149)</f>
        <v>普通兵装</v>
      </c>
      <c r="E149" s="8">
        <f>IF([2]道具信息!E149="","",[2]道具信息!E149)</f>
        <v>100</v>
      </c>
      <c r="F149" s="8">
        <f>IF([2]道具信息!F149="","",[2]道具信息!F149)</f>
        <v>1</v>
      </c>
      <c r="G149" s="8">
        <f>IF([2]道具信息!G149="","",[2]道具信息!G149)</f>
        <v>0.2</v>
      </c>
      <c r="H149" s="8">
        <f>IF([2]道具信息!H149="","",[2]道具信息!H149)</f>
        <v>0.2</v>
      </c>
      <c r="I149" s="8">
        <f>IF([2]道具信息!I149="","",[2]道具信息!I149)</f>
        <v>100</v>
      </c>
      <c r="J149" s="8">
        <f>IF([2]道具信息!J149="","",[2]道具信息!J149)</f>
        <v>20</v>
      </c>
      <c r="K149" s="8">
        <f>IF([2]道具信息!K149="","",[2]道具信息!K149)</f>
        <v>20</v>
      </c>
      <c r="L149" s="8" t="str">
        <f>IF([2]道具信息!L149="","",[2]道具信息!L149)</f>
        <v/>
      </c>
      <c r="M149" s="8" t="str">
        <f>IF([2]道具信息!M149="","",[2]道具信息!M149)</f>
        <v/>
      </c>
      <c r="N149" s="8" t="str">
        <f>IF([2]道具信息!N149="","",[2]道具信息!N149)</f>
        <v/>
      </c>
      <c r="O149" s="8" t="str">
        <f>IF([2]道具信息!O149="","",[2]道具信息!O149)</f>
        <v/>
      </c>
      <c r="P149" s="8" t="str">
        <f>IF([2]道具信息!P149="","",[2]道具信息!P149)</f>
        <v/>
      </c>
      <c r="Q149" s="8" t="str">
        <f>IF([2]道具信息!Q149="","",[2]道具信息!Q149)</f>
        <v/>
      </c>
      <c r="R149" s="8" t="str">
        <f>IF([2]道具信息!R149="","",[2]道具信息!R149)</f>
        <v/>
      </c>
    </row>
    <row r="150" spans="3:18" x14ac:dyDescent="0.2">
      <c r="C150" s="8" t="str">
        <f>IF([2]道具信息!C150="","",[2]道具信息!C150)</f>
        <v/>
      </c>
      <c r="D150" s="8" t="str">
        <f>IF([2]道具信息!D150="","",[2]道具信息!D150)</f>
        <v>精良兵装</v>
      </c>
      <c r="E150" s="8">
        <f>IF([2]道具信息!E150="","",[2]道具信息!E150)</f>
        <v>500</v>
      </c>
      <c r="F150" s="8">
        <f>IF([2]道具信息!F150="","",[2]道具信息!F150)</f>
        <v>1</v>
      </c>
      <c r="G150" s="8">
        <f>IF([2]道具信息!G150="","",[2]道具信息!G150)</f>
        <v>0.2</v>
      </c>
      <c r="H150" s="8">
        <f>IF([2]道具信息!H150="","",[2]道具信息!H150)</f>
        <v>0.2</v>
      </c>
      <c r="I150" s="8">
        <f>IF([2]道具信息!I150="","",[2]道具信息!I150)</f>
        <v>500</v>
      </c>
      <c r="J150" s="8">
        <f>IF([2]道具信息!J150="","",[2]道具信息!J150)</f>
        <v>100</v>
      </c>
      <c r="K150" s="8">
        <f>IF([2]道具信息!K150="","",[2]道具信息!K150)</f>
        <v>100</v>
      </c>
      <c r="L150" s="8" t="str">
        <f>IF([2]道具信息!L150="","",[2]道具信息!L150)</f>
        <v/>
      </c>
      <c r="M150" s="8" t="str">
        <f>IF([2]道具信息!M150="","",[2]道具信息!M150)</f>
        <v/>
      </c>
      <c r="N150" s="8" t="str">
        <f>IF([2]道具信息!N150="","",[2]道具信息!N150)</f>
        <v/>
      </c>
      <c r="O150" s="8" t="str">
        <f>IF([2]道具信息!O150="","",[2]道具信息!O150)</f>
        <v/>
      </c>
      <c r="P150" s="8" t="str">
        <f>IF([2]道具信息!P150="","",[2]道具信息!P150)</f>
        <v/>
      </c>
      <c r="Q150" s="8" t="str">
        <f>IF([2]道具信息!Q150="","",[2]道具信息!Q150)</f>
        <v/>
      </c>
      <c r="R150" s="8" t="str">
        <f>IF([2]道具信息!R150="","",[2]道具信息!R150)</f>
        <v/>
      </c>
    </row>
    <row r="151" spans="3:18" x14ac:dyDescent="0.2">
      <c r="C151" s="8" t="str">
        <f>IF([2]道具信息!C151="","",[2]道具信息!C151)</f>
        <v/>
      </c>
      <c r="D151" s="8" t="str">
        <f>IF([2]道具信息!D151="","",[2]道具信息!D151)</f>
        <v>优质兵装</v>
      </c>
      <c r="E151" s="8">
        <f>IF([2]道具信息!E151="","",[2]道具信息!E151)</f>
        <v>2000</v>
      </c>
      <c r="F151" s="8">
        <f>IF([2]道具信息!F151="","",[2]道具信息!F151)</f>
        <v>1</v>
      </c>
      <c r="G151" s="8">
        <f>IF([2]道具信息!G151="","",[2]道具信息!G151)</f>
        <v>1</v>
      </c>
      <c r="H151" s="8">
        <f>IF([2]道具信息!H151="","",[2]道具信息!H151)</f>
        <v>0.2</v>
      </c>
      <c r="I151" s="8">
        <f>IF([2]道具信息!I151="","",[2]道具信息!I151)</f>
        <v>2000</v>
      </c>
      <c r="J151" s="8">
        <f>IF([2]道具信息!J151="","",[2]道具信息!J151)</f>
        <v>2000</v>
      </c>
      <c r="K151" s="8">
        <f>IF([2]道具信息!K151="","",[2]道具信息!K151)</f>
        <v>400</v>
      </c>
      <c r="L151" s="8" t="str">
        <f>IF([2]道具信息!L151="","",[2]道具信息!L151)</f>
        <v/>
      </c>
      <c r="M151" s="8" t="str">
        <f>IF([2]道具信息!M151="","",[2]道具信息!M151)</f>
        <v/>
      </c>
      <c r="N151" s="8" t="str">
        <f>IF([2]道具信息!N151="","",[2]道具信息!N151)</f>
        <v/>
      </c>
      <c r="O151" s="8" t="str">
        <f>IF([2]道具信息!O151="","",[2]道具信息!O151)</f>
        <v/>
      </c>
      <c r="P151" s="8" t="str">
        <f>IF([2]道具信息!P151="","",[2]道具信息!P151)</f>
        <v/>
      </c>
      <c r="Q151" s="8" t="str">
        <f>IF([2]道具信息!Q151="","",[2]道具信息!Q151)</f>
        <v/>
      </c>
      <c r="R151" s="8" t="str">
        <f>IF([2]道具信息!R151="","",[2]道具信息!R151)</f>
        <v/>
      </c>
    </row>
    <row r="152" spans="3:18" x14ac:dyDescent="0.2">
      <c r="C152" s="8" t="str">
        <f>IF([2]道具信息!C152="","",[2]道具信息!C152)</f>
        <v/>
      </c>
      <c r="D152" s="8" t="str">
        <f>IF([2]道具信息!D152="","",[2]道具信息!D152)</f>
        <v>传奇优质兵装</v>
      </c>
      <c r="E152" s="8">
        <f>IF([2]道具信息!E152="","",[2]道具信息!E152)</f>
        <v>4000</v>
      </c>
      <c r="F152" s="8">
        <f>IF([2]道具信息!F152="","",[2]道具信息!F152)</f>
        <v>1</v>
      </c>
      <c r="G152" s="8">
        <f>IF([2]道具信息!G152="","",[2]道具信息!G152)</f>
        <v>1</v>
      </c>
      <c r="H152" s="8">
        <f>IF([2]道具信息!H152="","",[2]道具信息!H152)</f>
        <v>1</v>
      </c>
      <c r="I152" s="8">
        <f>IF([2]道具信息!I152="","",[2]道具信息!I152)</f>
        <v>4000</v>
      </c>
      <c r="J152" s="8">
        <f>IF([2]道具信息!J152="","",[2]道具信息!J152)</f>
        <v>4000</v>
      </c>
      <c r="K152" s="8">
        <f>IF([2]道具信息!K152="","",[2]道具信息!K152)</f>
        <v>4000</v>
      </c>
      <c r="L152" s="8" t="str">
        <f>IF([2]道具信息!L152="","",[2]道具信息!L152)</f>
        <v/>
      </c>
      <c r="M152" s="8" t="str">
        <f>IF([2]道具信息!M152="","",[2]道具信息!M152)</f>
        <v/>
      </c>
      <c r="N152" s="8" t="str">
        <f>IF([2]道具信息!N152="","",[2]道具信息!N152)</f>
        <v/>
      </c>
      <c r="O152" s="8" t="str">
        <f>IF([2]道具信息!O152="","",[2]道具信息!O152)</f>
        <v/>
      </c>
      <c r="P152" s="8" t="str">
        <f>IF([2]道具信息!P152="","",[2]道具信息!P152)</f>
        <v/>
      </c>
      <c r="Q152" s="8" t="str">
        <f>IF([2]道具信息!Q152="","",[2]道具信息!Q152)</f>
        <v/>
      </c>
      <c r="R152" s="8" t="str">
        <f>IF([2]道具信息!R152="","",[2]道具信息!R152)</f>
        <v/>
      </c>
    </row>
    <row r="153" spans="3:18" x14ac:dyDescent="0.2">
      <c r="C153" s="8" t="str">
        <f>IF([2]道具信息!C153="","",[2]道具信息!C153)</f>
        <v/>
      </c>
      <c r="D153" s="8" t="str">
        <f>IF([2]道具信息!D153="","",[2]道具信息!D153)</f>
        <v>传世兵装</v>
      </c>
      <c r="E153" s="8">
        <f>IF([2]道具信息!E153="","",[2]道具信息!E153)</f>
        <v>6000</v>
      </c>
      <c r="F153" s="8">
        <f>IF([2]道具信息!F153="","",[2]道具信息!F153)</f>
        <v>1</v>
      </c>
      <c r="G153" s="8">
        <f>IF([2]道具信息!G153="","",[2]道具信息!G153)</f>
        <v>1</v>
      </c>
      <c r="H153" s="8">
        <f>IF([2]道具信息!H153="","",[2]道具信息!H153)</f>
        <v>1</v>
      </c>
      <c r="I153" s="8">
        <f>IF([2]道具信息!I153="","",[2]道具信息!I153)</f>
        <v>6000</v>
      </c>
      <c r="J153" s="8">
        <f>IF([2]道具信息!J153="","",[2]道具信息!J153)</f>
        <v>6000</v>
      </c>
      <c r="K153" s="8">
        <f>IF([2]道具信息!K153="","",[2]道具信息!K153)</f>
        <v>6000</v>
      </c>
      <c r="L153" s="8" t="str">
        <f>IF([2]道具信息!L153="","",[2]道具信息!L153)</f>
        <v/>
      </c>
      <c r="M153" s="8" t="str">
        <f>IF([2]道具信息!M153="","",[2]道具信息!M153)</f>
        <v/>
      </c>
      <c r="N153" s="8" t="str">
        <f>IF([2]道具信息!N153="","",[2]道具信息!N153)</f>
        <v/>
      </c>
      <c r="O153" s="8" t="str">
        <f>IF([2]道具信息!O153="","",[2]道具信息!O153)</f>
        <v/>
      </c>
      <c r="P153" s="8" t="str">
        <f>IF([2]道具信息!P153="","",[2]道具信息!P153)</f>
        <v/>
      </c>
      <c r="Q153" s="8" t="str">
        <f>IF([2]道具信息!Q153="","",[2]道具信息!Q153)</f>
        <v/>
      </c>
      <c r="R153" s="8" t="str">
        <f>IF([2]道具信息!R153="","",[2]道具信息!R153)</f>
        <v/>
      </c>
    </row>
    <row r="154" spans="3:18" x14ac:dyDescent="0.2">
      <c r="C154" s="8" t="str">
        <f>IF([2]道具信息!C154="","",[2]道具信息!C154)</f>
        <v/>
      </c>
      <c r="D154" s="8" t="str">
        <f>IF([2]道具信息!D154="","",[2]道具信息!D154)</f>
        <v>传奇传世兵装</v>
      </c>
      <c r="E154" s="8">
        <f>IF([2]道具信息!E154="","",[2]道具信息!E154)</f>
        <v>30000</v>
      </c>
      <c r="F154" s="8">
        <f>IF([2]道具信息!F154="","",[2]道具信息!F154)</f>
        <v>1</v>
      </c>
      <c r="G154" s="8">
        <f>IF([2]道具信息!G154="","",[2]道具信息!G154)</f>
        <v>1</v>
      </c>
      <c r="H154" s="8">
        <f>IF([2]道具信息!H154="","",[2]道具信息!H154)</f>
        <v>1</v>
      </c>
      <c r="I154" s="8">
        <f>IF([2]道具信息!I154="","",[2]道具信息!I154)</f>
        <v>30000</v>
      </c>
      <c r="J154" s="8">
        <f>IF([2]道具信息!J154="","",[2]道具信息!J154)</f>
        <v>30000</v>
      </c>
      <c r="K154" s="8">
        <f>IF([2]道具信息!K154="","",[2]道具信息!K154)</f>
        <v>30000</v>
      </c>
      <c r="L154" s="8" t="str">
        <f>IF([2]道具信息!L154="","",[2]道具信息!L154)</f>
        <v/>
      </c>
      <c r="M154" s="8" t="str">
        <f>IF([2]道具信息!M154="","",[2]道具信息!M154)</f>
        <v/>
      </c>
      <c r="N154" s="8" t="str">
        <f>IF([2]道具信息!N154="","",[2]道具信息!N154)</f>
        <v/>
      </c>
      <c r="O154" s="8" t="str">
        <f>IF([2]道具信息!O154="","",[2]道具信息!O154)</f>
        <v/>
      </c>
      <c r="P154" s="8" t="str">
        <f>IF([2]道具信息!P154="","",[2]道具信息!P154)</f>
        <v/>
      </c>
      <c r="Q154" s="8" t="str">
        <f>IF([2]道具信息!Q154="","",[2]道具信息!Q154)</f>
        <v/>
      </c>
      <c r="R154" s="8" t="str">
        <f>IF([2]道具信息!R154="","",[2]道具信息!R154)</f>
        <v/>
      </c>
    </row>
    <row r="155" spans="3:18" x14ac:dyDescent="0.2">
      <c r="C155" s="8" t="str">
        <f>IF([2]道具信息!C155="","",[2]道具信息!C155)</f>
        <v/>
      </c>
      <c r="D155" s="8" t="str">
        <f>IF([2]道具信息!D155="","",[2]道具信息!D155)</f>
        <v>优质兵装自选碎片</v>
      </c>
      <c r="E155" s="8">
        <f>IF([2]道具信息!E155="","",[2]道具信息!E155)</f>
        <v>66.666666666666671</v>
      </c>
      <c r="F155" s="8">
        <f>IF([2]道具信息!F155="","",[2]道具信息!F155)</f>
        <v>1</v>
      </c>
      <c r="G155" s="8">
        <f>IF([2]道具信息!G155="","",[2]道具信息!G155)</f>
        <v>1</v>
      </c>
      <c r="H155" s="8">
        <f>IF([2]道具信息!H155="","",[2]道具信息!H155)</f>
        <v>0.2</v>
      </c>
      <c r="I155" s="8">
        <f>IF([2]道具信息!I155="","",[2]道具信息!I155)</f>
        <v>66.666666666666671</v>
      </c>
      <c r="J155" s="8">
        <f>IF([2]道具信息!J155="","",[2]道具信息!J155)</f>
        <v>66.666666666666671</v>
      </c>
      <c r="K155" s="8">
        <f>IF([2]道具信息!K155="","",[2]道具信息!K155)</f>
        <v>13.333333333333336</v>
      </c>
      <c r="L155" s="8" t="str">
        <f>IF([2]道具信息!L155="","",[2]道具信息!L155)</f>
        <v/>
      </c>
      <c r="M155" s="8" t="str">
        <f>IF([2]道具信息!M155="","",[2]道具信息!M155)</f>
        <v/>
      </c>
      <c r="N155" s="8" t="str">
        <f>IF([2]道具信息!N155="","",[2]道具信息!N155)</f>
        <v/>
      </c>
      <c r="O155" s="8" t="str">
        <f>IF([2]道具信息!O155="","",[2]道具信息!O155)</f>
        <v/>
      </c>
      <c r="P155" s="8" t="str">
        <f>IF([2]道具信息!P155="","",[2]道具信息!P155)</f>
        <v/>
      </c>
      <c r="Q155" s="8" t="str">
        <f>IF([2]道具信息!Q155="","",[2]道具信息!Q155)</f>
        <v/>
      </c>
      <c r="R155" s="8" t="str">
        <f>IF([2]道具信息!R155="","",[2]道具信息!R155)</f>
        <v/>
      </c>
    </row>
    <row r="156" spans="3:18" x14ac:dyDescent="0.2">
      <c r="C156" s="8" t="str">
        <f>IF([2]道具信息!C156="","",[2]道具信息!C156)</f>
        <v/>
      </c>
      <c r="D156" s="8" t="str">
        <f>IF([2]道具信息!D156="","",[2]道具信息!D156)</f>
        <v>珍稀兵装自选碎片</v>
      </c>
      <c r="E156" s="8">
        <f>IF([2]道具信息!E156="","",[2]道具信息!E156)</f>
        <v>133.33333333333334</v>
      </c>
      <c r="F156" s="8">
        <f>IF([2]道具信息!F156="","",[2]道具信息!F156)</f>
        <v>1</v>
      </c>
      <c r="G156" s="8">
        <f>IF([2]道具信息!G156="","",[2]道具信息!G156)</f>
        <v>1</v>
      </c>
      <c r="H156" s="8">
        <f>IF([2]道具信息!H156="","",[2]道具信息!H156)</f>
        <v>1</v>
      </c>
      <c r="I156" s="8">
        <f>IF([2]道具信息!I156="","",[2]道具信息!I156)</f>
        <v>133.33333333333334</v>
      </c>
      <c r="J156" s="8">
        <f>IF([2]道具信息!J156="","",[2]道具信息!J156)</f>
        <v>133.33333333333334</v>
      </c>
      <c r="K156" s="8">
        <f>IF([2]道具信息!K156="","",[2]道具信息!K156)</f>
        <v>133.33333333333334</v>
      </c>
      <c r="L156" s="8" t="str">
        <f>IF([2]道具信息!L156="","",[2]道具信息!L156)</f>
        <v/>
      </c>
      <c r="M156" s="8" t="str">
        <f>IF([2]道具信息!M156="","",[2]道具信息!M156)</f>
        <v/>
      </c>
      <c r="N156" s="8" t="str">
        <f>IF([2]道具信息!N156="","",[2]道具信息!N156)</f>
        <v/>
      </c>
      <c r="O156" s="8" t="str">
        <f>IF([2]道具信息!O156="","",[2]道具信息!O156)</f>
        <v/>
      </c>
      <c r="P156" s="8" t="str">
        <f>IF([2]道具信息!P156="","",[2]道具信息!P156)</f>
        <v/>
      </c>
      <c r="Q156" s="8" t="str">
        <f>IF([2]道具信息!Q156="","",[2]道具信息!Q156)</f>
        <v/>
      </c>
      <c r="R156" s="8" t="str">
        <f>IF([2]道具信息!R156="","",[2]道具信息!R156)</f>
        <v/>
      </c>
    </row>
    <row r="157" spans="3:18" x14ac:dyDescent="0.2">
      <c r="C157" s="8" t="str">
        <f>IF([2]道具信息!C157="","",[2]道具信息!C157)</f>
        <v/>
      </c>
      <c r="D157" s="8" t="str">
        <f>IF([2]道具信息!D157="","",[2]道具信息!D157)</f>
        <v>传世兵装自选碎片</v>
      </c>
      <c r="E157" s="8">
        <f>IF([2]道具信息!E157="","",[2]道具信息!E157)</f>
        <v>120</v>
      </c>
      <c r="F157" s="8">
        <f>IF([2]道具信息!F157="","",[2]道具信息!F157)</f>
        <v>1</v>
      </c>
      <c r="G157" s="8">
        <f>IF([2]道具信息!G157="","",[2]道具信息!G157)</f>
        <v>1</v>
      </c>
      <c r="H157" s="8">
        <f>IF([2]道具信息!H157="","",[2]道具信息!H157)</f>
        <v>1</v>
      </c>
      <c r="I157" s="8">
        <f>IF([2]道具信息!I157="","",[2]道具信息!I157)</f>
        <v>120</v>
      </c>
      <c r="J157" s="8">
        <f>IF([2]道具信息!J157="","",[2]道具信息!J157)</f>
        <v>120</v>
      </c>
      <c r="K157" s="8">
        <f>IF([2]道具信息!K157="","",[2]道具信息!K157)</f>
        <v>120</v>
      </c>
      <c r="L157" s="8" t="str">
        <f>IF([2]道具信息!L157="","",[2]道具信息!L157)</f>
        <v/>
      </c>
      <c r="M157" s="8" t="str">
        <f>IF([2]道具信息!M157="","",[2]道具信息!M157)</f>
        <v/>
      </c>
      <c r="N157" s="8" t="str">
        <f>IF([2]道具信息!N157="","",[2]道具信息!N157)</f>
        <v/>
      </c>
      <c r="O157" s="8" t="str">
        <f>IF([2]道具信息!O157="","",[2]道具信息!O157)</f>
        <v/>
      </c>
      <c r="P157" s="8" t="str">
        <f>IF([2]道具信息!P157="","",[2]道具信息!P157)</f>
        <v/>
      </c>
      <c r="Q157" s="8" t="str">
        <f>IF([2]道具信息!Q157="","",[2]道具信息!Q157)</f>
        <v/>
      </c>
      <c r="R157" s="8" t="str">
        <f>IF([2]道具信息!R157="","",[2]道具信息!R157)</f>
        <v/>
      </c>
    </row>
    <row r="158" spans="3:18" x14ac:dyDescent="0.2">
      <c r="C158" s="8" t="str">
        <f>IF([2]道具信息!C158="","",[2]道具信息!C158)</f>
        <v/>
      </c>
      <c r="D158" s="8" t="str">
        <f>IF([2]道具信息!D158="","",[2]道具信息!D158)</f>
        <v>传奇兵装自选碎片</v>
      </c>
      <c r="E158" s="8">
        <f>IF([2]道具信息!E158="","",[2]道具信息!E158)</f>
        <v>600</v>
      </c>
      <c r="F158" s="8">
        <f>IF([2]道具信息!F158="","",[2]道具信息!F158)</f>
        <v>1</v>
      </c>
      <c r="G158" s="8">
        <f>IF([2]道具信息!G158="","",[2]道具信息!G158)</f>
        <v>1</v>
      </c>
      <c r="H158" s="8">
        <f>IF([2]道具信息!H158="","",[2]道具信息!H158)</f>
        <v>1</v>
      </c>
      <c r="I158" s="8">
        <f>IF([2]道具信息!I158="","",[2]道具信息!I158)</f>
        <v>600</v>
      </c>
      <c r="J158" s="8">
        <f>IF([2]道具信息!J158="","",[2]道具信息!J158)</f>
        <v>600</v>
      </c>
      <c r="K158" s="8">
        <f>IF([2]道具信息!K158="","",[2]道具信息!K158)</f>
        <v>600</v>
      </c>
      <c r="L158" s="8" t="str">
        <f>IF([2]道具信息!L158="","",[2]道具信息!L158)</f>
        <v/>
      </c>
      <c r="M158" s="8" t="str">
        <f>IF([2]道具信息!M158="","",[2]道具信息!M158)</f>
        <v/>
      </c>
      <c r="N158" s="8" t="str">
        <f>IF([2]道具信息!N158="","",[2]道具信息!N158)</f>
        <v/>
      </c>
      <c r="O158" s="8" t="str">
        <f>IF([2]道具信息!O158="","",[2]道具信息!O158)</f>
        <v/>
      </c>
      <c r="P158" s="8" t="str">
        <f>IF([2]道具信息!P158="","",[2]道具信息!P158)</f>
        <v/>
      </c>
      <c r="Q158" s="8" t="str">
        <f>IF([2]道具信息!Q158="","",[2]道具信息!Q158)</f>
        <v/>
      </c>
      <c r="R158" s="8" t="str">
        <f>IF([2]道具信息!R158="","",[2]道具信息!R158)</f>
        <v/>
      </c>
    </row>
    <row r="159" spans="3:18" x14ac:dyDescent="0.2">
      <c r="C159" s="8" t="str">
        <f>IF([2]道具信息!C159="","",[2]道具信息!C159)</f>
        <v/>
      </c>
      <c r="D159" s="8" t="str">
        <f>IF([2]道具信息!D159="","",[2]道具信息!D159)</f>
        <v/>
      </c>
      <c r="E159" s="8" t="str">
        <f>IF([2]道具信息!E159="","",[2]道具信息!E159)</f>
        <v/>
      </c>
      <c r="F159" s="8" t="str">
        <f>IF([2]道具信息!F159="","",[2]道具信息!F159)</f>
        <v/>
      </c>
      <c r="G159" s="8" t="str">
        <f>IF([2]道具信息!G159="","",[2]道具信息!G159)</f>
        <v/>
      </c>
      <c r="H159" s="8" t="str">
        <f>IF([2]道具信息!H159="","",[2]道具信息!H159)</f>
        <v/>
      </c>
      <c r="I159" s="8" t="str">
        <f>IF([2]道具信息!I159="","",[2]道具信息!I159)</f>
        <v/>
      </c>
      <c r="J159" s="8" t="str">
        <f>IF([2]道具信息!J159="","",[2]道具信息!J159)</f>
        <v/>
      </c>
      <c r="K159" s="8" t="str">
        <f>IF([2]道具信息!K159="","",[2]道具信息!K159)</f>
        <v/>
      </c>
      <c r="L159" s="8" t="str">
        <f>IF([2]道具信息!L159="","",[2]道具信息!L159)</f>
        <v/>
      </c>
      <c r="M159" s="8" t="str">
        <f>IF([2]道具信息!M159="","",[2]道具信息!M159)</f>
        <v/>
      </c>
      <c r="N159" s="8" t="str">
        <f>IF([2]道具信息!N159="","",[2]道具信息!N159)</f>
        <v/>
      </c>
      <c r="O159" s="8" t="str">
        <f>IF([2]道具信息!O159="","",[2]道具信息!O159)</f>
        <v/>
      </c>
      <c r="P159" s="8" t="str">
        <f>IF([2]道具信息!P159="","",[2]道具信息!P159)</f>
        <v/>
      </c>
      <c r="Q159" s="8" t="str">
        <f>IF([2]道具信息!Q159="","",[2]道具信息!Q159)</f>
        <v/>
      </c>
      <c r="R159" s="8" t="str">
        <f>IF([2]道具信息!R159="","",[2]道具信息!R159)</f>
        <v/>
      </c>
    </row>
    <row r="160" spans="3:18" x14ac:dyDescent="0.2">
      <c r="C160" s="8" t="str">
        <f>IF([2]道具信息!C160="","",[2]道具信息!C160)</f>
        <v/>
      </c>
      <c r="D160" s="8" t="str">
        <f>IF([2]道具信息!D160="","",[2]道具信息!D160)</f>
        <v>随机紫色藏品</v>
      </c>
      <c r="E160" s="8">
        <f>IF([2]道具信息!E160="","",[2]道具信息!E160)</f>
        <v>300</v>
      </c>
      <c r="F160" s="8">
        <f>IF([2]道具信息!F160="","",[2]道具信息!F160)</f>
        <v>1</v>
      </c>
      <c r="G160" s="8">
        <f>IF([2]道具信息!G160="","",[2]道具信息!G160)</f>
        <v>1</v>
      </c>
      <c r="H160" s="8">
        <f>IF([2]道具信息!H160="","",[2]道具信息!H160)</f>
        <v>1</v>
      </c>
      <c r="I160" s="8">
        <f>IF([2]道具信息!I160="","",[2]道具信息!I160)</f>
        <v>300</v>
      </c>
      <c r="J160" s="8">
        <f>IF([2]道具信息!J160="","",[2]道具信息!J160)</f>
        <v>300</v>
      </c>
      <c r="K160" s="8">
        <f>IF([2]道具信息!K160="","",[2]道具信息!K160)</f>
        <v>300</v>
      </c>
      <c r="L160" s="8" t="str">
        <f>IF([2]道具信息!L160="","",[2]道具信息!L160)</f>
        <v/>
      </c>
      <c r="M160" s="8" t="str">
        <f>IF([2]道具信息!M160="","",[2]道具信息!M160)</f>
        <v/>
      </c>
      <c r="N160" s="8" t="str">
        <f>IF([2]道具信息!N160="","",[2]道具信息!N160)</f>
        <v/>
      </c>
      <c r="O160" s="8" t="str">
        <f>IF([2]道具信息!O160="","",[2]道具信息!O160)</f>
        <v/>
      </c>
      <c r="P160" s="8" t="str">
        <f>IF([2]道具信息!P160="","",[2]道具信息!P160)</f>
        <v/>
      </c>
      <c r="Q160" s="8" t="str">
        <f>IF([2]道具信息!Q160="","",[2]道具信息!Q160)</f>
        <v/>
      </c>
      <c r="R160" s="8" t="str">
        <f>IF([2]道具信息!R160="","",[2]道具信息!R160)</f>
        <v/>
      </c>
    </row>
    <row r="161" spans="3:18" x14ac:dyDescent="0.2">
      <c r="C161" s="8" t="str">
        <f>IF([2]道具信息!C161="","",[2]道具信息!C161)</f>
        <v/>
      </c>
      <c r="D161" s="8" t="str">
        <f>IF([2]道具信息!D161="","",[2]道具信息!D161)</f>
        <v>随机橙色藏品</v>
      </c>
      <c r="E161" s="8">
        <f>IF([2]道具信息!E161="","",[2]道具信息!E161)</f>
        <v>1000</v>
      </c>
      <c r="F161" s="8">
        <f>IF([2]道具信息!F161="","",[2]道具信息!F161)</f>
        <v>1</v>
      </c>
      <c r="G161" s="8">
        <f>IF([2]道具信息!G161="","",[2]道具信息!G161)</f>
        <v>1</v>
      </c>
      <c r="H161" s="8">
        <f>IF([2]道具信息!H161="","",[2]道具信息!H161)</f>
        <v>1</v>
      </c>
      <c r="I161" s="8">
        <f>IF([2]道具信息!I161="","",[2]道具信息!I161)</f>
        <v>1000</v>
      </c>
      <c r="J161" s="8">
        <f>IF([2]道具信息!J161="","",[2]道具信息!J161)</f>
        <v>1000</v>
      </c>
      <c r="K161" s="8">
        <f>IF([2]道具信息!K161="","",[2]道具信息!K161)</f>
        <v>1000</v>
      </c>
      <c r="L161" s="8" t="str">
        <f>IF([2]道具信息!L161="","",[2]道具信息!L161)</f>
        <v/>
      </c>
      <c r="M161" s="8" t="str">
        <f>IF([2]道具信息!M161="","",[2]道具信息!M161)</f>
        <v/>
      </c>
      <c r="N161" s="8" t="str">
        <f>IF([2]道具信息!N161="","",[2]道具信息!N161)</f>
        <v/>
      </c>
      <c r="O161" s="8" t="str">
        <f>IF([2]道具信息!O161="","",[2]道具信息!O161)</f>
        <v/>
      </c>
      <c r="P161" s="8" t="str">
        <f>IF([2]道具信息!P161="","",[2]道具信息!P161)</f>
        <v/>
      </c>
      <c r="Q161" s="8" t="str">
        <f>IF([2]道具信息!Q161="","",[2]道具信息!Q161)</f>
        <v/>
      </c>
      <c r="R161" s="8" t="str">
        <f>IF([2]道具信息!R161="","",[2]道具信息!R161)</f>
        <v/>
      </c>
    </row>
    <row r="162" spans="3:18" x14ac:dyDescent="0.2">
      <c r="C162" s="8" t="str">
        <f>IF([2]道具信息!C162="","",[2]道具信息!C162)</f>
        <v/>
      </c>
      <c r="D162" s="8" t="str">
        <f>IF([2]道具信息!D162="","",[2]道具信息!D162)</f>
        <v>随机红色藏品</v>
      </c>
      <c r="E162" s="8">
        <f>IF([2]道具信息!E162="","",[2]道具信息!E162)</f>
        <v>5000</v>
      </c>
      <c r="F162" s="8">
        <f>IF([2]道具信息!F162="","",[2]道具信息!F162)</f>
        <v>1</v>
      </c>
      <c r="G162" s="8">
        <f>IF([2]道具信息!G162="","",[2]道具信息!G162)</f>
        <v>1</v>
      </c>
      <c r="H162" s="8">
        <f>IF([2]道具信息!H162="","",[2]道具信息!H162)</f>
        <v>1</v>
      </c>
      <c r="I162" s="8">
        <f>IF([2]道具信息!I162="","",[2]道具信息!I162)</f>
        <v>5000</v>
      </c>
      <c r="J162" s="8">
        <f>IF([2]道具信息!J162="","",[2]道具信息!J162)</f>
        <v>5000</v>
      </c>
      <c r="K162" s="8">
        <f>IF([2]道具信息!K162="","",[2]道具信息!K162)</f>
        <v>5000</v>
      </c>
      <c r="L162" s="8" t="str">
        <f>IF([2]道具信息!L162="","",[2]道具信息!L162)</f>
        <v/>
      </c>
      <c r="M162" s="8" t="str">
        <f>IF([2]道具信息!M162="","",[2]道具信息!M162)</f>
        <v/>
      </c>
      <c r="N162" s="8" t="str">
        <f>IF([2]道具信息!N162="","",[2]道具信息!N162)</f>
        <v/>
      </c>
      <c r="O162" s="8" t="str">
        <f>IF([2]道具信息!O162="","",[2]道具信息!O162)</f>
        <v/>
      </c>
      <c r="P162" s="8" t="str">
        <f>IF([2]道具信息!P162="","",[2]道具信息!P162)</f>
        <v/>
      </c>
      <c r="Q162" s="8" t="str">
        <f>IF([2]道具信息!Q162="","",[2]道具信息!Q162)</f>
        <v/>
      </c>
      <c r="R162" s="8" t="str">
        <f>IF([2]道具信息!R162="","",[2]道具信息!R162)</f>
        <v/>
      </c>
    </row>
    <row r="163" spans="3:18" x14ac:dyDescent="0.2">
      <c r="C163" s="8" t="str">
        <f>IF([2]道具信息!C163="","",[2]道具信息!C163)</f>
        <v/>
      </c>
      <c r="D163" s="8" t="str">
        <f>IF([2]道具信息!D163="","",[2]道具信息!D163)</f>
        <v>指定紫色藏品</v>
      </c>
      <c r="E163" s="8">
        <f>IF([2]道具信息!E163="","",[2]道具信息!E163)</f>
        <v>1331</v>
      </c>
      <c r="F163" s="8">
        <f>IF([2]道具信息!F163="","",[2]道具信息!F163)</f>
        <v>1</v>
      </c>
      <c r="G163" s="8">
        <f>IF([2]道具信息!G163="","",[2]道具信息!G163)</f>
        <v>1</v>
      </c>
      <c r="H163" s="8">
        <f>IF([2]道具信息!H163="","",[2]道具信息!H163)</f>
        <v>1</v>
      </c>
      <c r="I163" s="8">
        <f>IF([2]道具信息!I163="","",[2]道具信息!I163)</f>
        <v>1331</v>
      </c>
      <c r="J163" s="8">
        <f>IF([2]道具信息!J163="","",[2]道具信息!J163)</f>
        <v>1331</v>
      </c>
      <c r="K163" s="8">
        <f>IF([2]道具信息!K163="","",[2]道具信息!K163)</f>
        <v>1331</v>
      </c>
      <c r="L163" s="8" t="str">
        <f>IF([2]道具信息!L163="","",[2]道具信息!L163)</f>
        <v/>
      </c>
      <c r="M163" s="8" t="str">
        <f>IF([2]道具信息!M163="","",[2]道具信息!M163)</f>
        <v/>
      </c>
      <c r="N163" s="8" t="str">
        <f>IF([2]道具信息!N163="","",[2]道具信息!N163)</f>
        <v/>
      </c>
      <c r="O163" s="8" t="str">
        <f>IF([2]道具信息!O163="","",[2]道具信息!O163)</f>
        <v/>
      </c>
      <c r="P163" s="8" t="str">
        <f>IF([2]道具信息!P163="","",[2]道具信息!P163)</f>
        <v/>
      </c>
      <c r="Q163" s="8" t="str">
        <f>IF([2]道具信息!Q163="","",[2]道具信息!Q163)</f>
        <v/>
      </c>
      <c r="R163" s="8" t="str">
        <f>IF([2]道具信息!R163="","",[2]道具信息!R163)</f>
        <v/>
      </c>
    </row>
    <row r="164" spans="3:18" x14ac:dyDescent="0.2">
      <c r="C164" s="8" t="str">
        <f>IF([2]道具信息!C164="","",[2]道具信息!C164)</f>
        <v/>
      </c>
      <c r="D164" s="8" t="str">
        <f>IF([2]道具信息!D164="","",[2]道具信息!D164)</f>
        <v>指定橙色藏品</v>
      </c>
      <c r="E164" s="8">
        <f>IF([2]道具信息!E164="","",[2]道具信息!E164)</f>
        <v>13971</v>
      </c>
      <c r="F164" s="8">
        <f>IF([2]道具信息!F164="","",[2]道具信息!F164)</f>
        <v>1</v>
      </c>
      <c r="G164" s="8">
        <f>IF([2]道具信息!G164="","",[2]道具信息!G164)</f>
        <v>1</v>
      </c>
      <c r="H164" s="8">
        <f>IF([2]道具信息!H164="","",[2]道具信息!H164)</f>
        <v>1</v>
      </c>
      <c r="I164" s="8">
        <f>IF([2]道具信息!I164="","",[2]道具信息!I164)</f>
        <v>13971</v>
      </c>
      <c r="J164" s="8">
        <f>IF([2]道具信息!J164="","",[2]道具信息!J164)</f>
        <v>13971</v>
      </c>
      <c r="K164" s="8">
        <f>IF([2]道具信息!K164="","",[2]道具信息!K164)</f>
        <v>13971</v>
      </c>
      <c r="L164" s="8" t="str">
        <f>IF([2]道具信息!L164="","",[2]道具信息!L164)</f>
        <v/>
      </c>
      <c r="M164" s="8" t="str">
        <f>IF([2]道具信息!M164="","",[2]道具信息!M164)</f>
        <v/>
      </c>
      <c r="N164" s="8" t="str">
        <f>IF([2]道具信息!N164="","",[2]道具信息!N164)</f>
        <v/>
      </c>
      <c r="O164" s="8" t="str">
        <f>IF([2]道具信息!O164="","",[2]道具信息!O164)</f>
        <v/>
      </c>
      <c r="P164" s="8" t="str">
        <f>IF([2]道具信息!P164="","",[2]道具信息!P164)</f>
        <v/>
      </c>
      <c r="Q164" s="8" t="str">
        <f>IF([2]道具信息!Q164="","",[2]道具信息!Q164)</f>
        <v/>
      </c>
      <c r="R164" s="8" t="str">
        <f>IF([2]道具信息!R164="","",[2]道具信息!R164)</f>
        <v/>
      </c>
    </row>
    <row r="165" spans="3:18" x14ac:dyDescent="0.2">
      <c r="C165" s="8" t="str">
        <f>IF([2]道具信息!C165="","",[2]道具信息!C165)</f>
        <v/>
      </c>
      <c r="D165" s="8" t="str">
        <f>IF([2]道具信息!D165="","",[2]道具信息!D165)</f>
        <v>指定红色藏品</v>
      </c>
      <c r="E165" s="8">
        <f>IF([2]道具信息!E165="","",[2]道具信息!E165)</f>
        <v>238993</v>
      </c>
      <c r="F165" s="8">
        <f>IF([2]道具信息!F165="","",[2]道具信息!F165)</f>
        <v>1</v>
      </c>
      <c r="G165" s="8">
        <f>IF([2]道具信息!G165="","",[2]道具信息!G165)</f>
        <v>1</v>
      </c>
      <c r="H165" s="8">
        <f>IF([2]道具信息!H165="","",[2]道具信息!H165)</f>
        <v>1</v>
      </c>
      <c r="I165" s="8">
        <f>IF([2]道具信息!I165="","",[2]道具信息!I165)</f>
        <v>238993</v>
      </c>
      <c r="J165" s="8">
        <f>IF([2]道具信息!J165="","",[2]道具信息!J165)</f>
        <v>238993</v>
      </c>
      <c r="K165" s="8">
        <f>IF([2]道具信息!K165="","",[2]道具信息!K165)</f>
        <v>238993</v>
      </c>
      <c r="L165" s="8" t="str">
        <f>IF([2]道具信息!L165="","",[2]道具信息!L165)</f>
        <v/>
      </c>
      <c r="M165" s="8" t="str">
        <f>IF([2]道具信息!M165="","",[2]道具信息!M165)</f>
        <v/>
      </c>
      <c r="N165" s="8" t="str">
        <f>IF([2]道具信息!N165="","",[2]道具信息!N165)</f>
        <v/>
      </c>
      <c r="O165" s="8" t="str">
        <f>IF([2]道具信息!O165="","",[2]道具信息!O165)</f>
        <v/>
      </c>
      <c r="P165" s="8" t="str">
        <f>IF([2]道具信息!P165="","",[2]道具信息!P165)</f>
        <v/>
      </c>
      <c r="Q165" s="8" t="str">
        <f>IF([2]道具信息!Q165="","",[2]道具信息!Q165)</f>
        <v/>
      </c>
      <c r="R165" s="8" t="str">
        <f>IF([2]道具信息!R165="","",[2]道具信息!R165)</f>
        <v/>
      </c>
    </row>
    <row r="166" spans="3:18" x14ac:dyDescent="0.2">
      <c r="C166" s="8" t="str">
        <f>IF([2]道具信息!C166="","",[2]道具信息!C166)</f>
        <v/>
      </c>
      <c r="D166" s="8" t="str">
        <f>IF([2]道具信息!D166="","",[2]道具信息!D166)</f>
        <v>藏品币</v>
      </c>
      <c r="E166" s="8">
        <f>IF([2]道具信息!E166="","",[2]道具信息!E166)</f>
        <v>1</v>
      </c>
      <c r="F166" s="8">
        <f>IF([2]道具信息!F166="","",[2]道具信息!F166)</f>
        <v>1</v>
      </c>
      <c r="G166" s="8">
        <f>IF([2]道具信息!G166="","",[2]道具信息!G166)</f>
        <v>1</v>
      </c>
      <c r="H166" s="8">
        <f>IF([2]道具信息!H166="","",[2]道具信息!H166)</f>
        <v>1</v>
      </c>
      <c r="I166" s="8">
        <f>IF([2]道具信息!I166="","",[2]道具信息!I166)</f>
        <v>1</v>
      </c>
      <c r="J166" s="8">
        <f>IF([2]道具信息!J166="","",[2]道具信息!J166)</f>
        <v>1</v>
      </c>
      <c r="K166" s="8">
        <f>IF([2]道具信息!K166="","",[2]道具信息!K166)</f>
        <v>1</v>
      </c>
      <c r="L166" s="8" t="str">
        <f>IF([2]道具信息!L166="","",[2]道具信息!L166)</f>
        <v/>
      </c>
      <c r="M166" s="8" t="str">
        <f>IF([2]道具信息!M166="","",[2]道具信息!M166)</f>
        <v/>
      </c>
      <c r="N166" s="8" t="str">
        <f>IF([2]道具信息!N166="","",[2]道具信息!N166)</f>
        <v/>
      </c>
      <c r="O166" s="8" t="str">
        <f>IF([2]道具信息!O166="","",[2]道具信息!O166)</f>
        <v/>
      </c>
      <c r="P166" s="8" t="str">
        <f>IF([2]道具信息!P166="","",[2]道具信息!P166)</f>
        <v/>
      </c>
      <c r="Q166" s="8" t="str">
        <f>IF([2]道具信息!Q166="","",[2]道具信息!Q166)</f>
        <v/>
      </c>
      <c r="R166" s="8" t="str">
        <f>IF([2]道具信息!R166="","",[2]道具信息!R166)</f>
        <v/>
      </c>
    </row>
    <row r="167" spans="3:18" x14ac:dyDescent="0.2">
      <c r="C167" s="8" t="str">
        <f>IF([2]道具信息!C167="","",[2]道具信息!C167)</f>
        <v/>
      </c>
      <c r="D167" s="8" t="str">
        <f>IF([2]道具信息!D167="","",[2]道具信息!D167)</f>
        <v/>
      </c>
      <c r="E167" s="8" t="str">
        <f>IF([2]道具信息!E167="","",[2]道具信息!E167)</f>
        <v/>
      </c>
      <c r="F167" s="8" t="str">
        <f>IF([2]道具信息!F167="","",[2]道具信息!F167)</f>
        <v/>
      </c>
      <c r="G167" s="8" t="str">
        <f>IF([2]道具信息!G167="","",[2]道具信息!G167)</f>
        <v/>
      </c>
      <c r="H167" s="8" t="str">
        <f>IF([2]道具信息!H167="","",[2]道具信息!H167)</f>
        <v/>
      </c>
      <c r="I167" s="8" t="str">
        <f>IF([2]道具信息!I167="","",[2]道具信息!I167)</f>
        <v/>
      </c>
      <c r="J167" s="8" t="str">
        <f>IF([2]道具信息!J167="","",[2]道具信息!J167)</f>
        <v/>
      </c>
      <c r="K167" s="8" t="str">
        <f>IF([2]道具信息!K167="","",[2]道具信息!K167)</f>
        <v/>
      </c>
      <c r="L167" s="8" t="str">
        <f>IF([2]道具信息!L167="","",[2]道具信息!L167)</f>
        <v/>
      </c>
      <c r="M167" s="8" t="str">
        <f>IF([2]道具信息!M167="","",[2]道具信息!M167)</f>
        <v/>
      </c>
      <c r="N167" s="8" t="str">
        <f>IF([2]道具信息!N167="","",[2]道具信息!N167)</f>
        <v/>
      </c>
      <c r="O167" s="8" t="str">
        <f>IF([2]道具信息!O167="","",[2]道具信息!O167)</f>
        <v/>
      </c>
      <c r="P167" s="8" t="str">
        <f>IF([2]道具信息!P167="","",[2]道具信息!P167)</f>
        <v/>
      </c>
      <c r="Q167" s="8" t="str">
        <f>IF([2]道具信息!Q167="","",[2]道具信息!Q167)</f>
        <v/>
      </c>
      <c r="R167" s="8" t="str">
        <f>IF([2]道具信息!R167="","",[2]道具信息!R167)</f>
        <v/>
      </c>
    </row>
    <row r="168" spans="3:18" x14ac:dyDescent="0.2">
      <c r="C168" s="8" t="str">
        <f>IF([2]道具信息!C168="","",[2]道具信息!C168)</f>
        <v/>
      </c>
      <c r="D168" s="8" t="str">
        <f>IF([2]道具信息!D168="","",[2]道具信息!D168)</f>
        <v>门客经验</v>
      </c>
      <c r="E168" s="8">
        <f>IF([2]道具信息!E168="","",[2]道具信息!E168)</f>
        <v>3</v>
      </c>
      <c r="F168" s="8">
        <f>IF([2]道具信息!F168="","",[2]道具信息!F168)</f>
        <v>1</v>
      </c>
      <c r="G168" s="8">
        <f>IF([2]道具信息!G168="","",[2]道具信息!G168)</f>
        <v>1</v>
      </c>
      <c r="H168" s="8">
        <f>IF([2]道具信息!H168="","",[2]道具信息!H168)</f>
        <v>1</v>
      </c>
      <c r="I168" s="8">
        <f>IF([2]道具信息!I168="","",[2]道具信息!I168)</f>
        <v>3</v>
      </c>
      <c r="J168" s="8">
        <f>IF([2]道具信息!J168="","",[2]道具信息!J168)</f>
        <v>3</v>
      </c>
      <c r="K168" s="8">
        <f>IF([2]道具信息!K168="","",[2]道具信息!K168)</f>
        <v>3</v>
      </c>
      <c r="L168" s="8" t="str">
        <f>IF([2]道具信息!L168="","",[2]道具信息!L168)</f>
        <v/>
      </c>
      <c r="M168" s="8" t="str">
        <f>IF([2]道具信息!M168="","",[2]道具信息!M168)</f>
        <v/>
      </c>
      <c r="N168" s="8" t="str">
        <f>IF([2]道具信息!N168="","",[2]道具信息!N168)</f>
        <v/>
      </c>
      <c r="O168" s="8" t="str">
        <f>IF([2]道具信息!O168="","",[2]道具信息!O168)</f>
        <v/>
      </c>
      <c r="P168" s="8" t="str">
        <f>IF([2]道具信息!P168="","",[2]道具信息!P168)</f>
        <v/>
      </c>
      <c r="Q168" s="8" t="str">
        <f>IF([2]道具信息!Q168="","",[2]道具信息!Q168)</f>
        <v/>
      </c>
      <c r="R168" s="8" t="str">
        <f>IF([2]道具信息!R168="","",[2]道具信息!R168)</f>
        <v/>
      </c>
    </row>
    <row r="169" spans="3:18" x14ac:dyDescent="0.2">
      <c r="C169" s="8" t="str">
        <f>IF([2]道具信息!C169="","",[2]道具信息!C169)</f>
        <v/>
      </c>
      <c r="D169" s="8" t="str">
        <f>IF([2]道具信息!D169="","",[2]道具信息!D169)</f>
        <v>阅历-懵懂</v>
      </c>
      <c r="E169" s="8">
        <f>IF([2]道具信息!E169="","",[2]道具信息!E169)</f>
        <v>3</v>
      </c>
      <c r="F169" s="8">
        <f>IF([2]道具信息!F169="","",[2]道具信息!F169)</f>
        <v>1</v>
      </c>
      <c r="G169" s="8">
        <f>IF([2]道具信息!G169="","",[2]道具信息!G169)</f>
        <v>1</v>
      </c>
      <c r="H169" s="8">
        <f>IF([2]道具信息!H169="","",[2]道具信息!H169)</f>
        <v>1</v>
      </c>
      <c r="I169" s="8">
        <f>IF([2]道具信息!I169="","",[2]道具信息!I169)</f>
        <v>3</v>
      </c>
      <c r="J169" s="8">
        <f>IF([2]道具信息!J169="","",[2]道具信息!J169)</f>
        <v>3</v>
      </c>
      <c r="K169" s="8">
        <f>IF([2]道具信息!K169="","",[2]道具信息!K169)</f>
        <v>3</v>
      </c>
      <c r="L169" s="8" t="str">
        <f>IF([2]道具信息!L169="","",[2]道具信息!L169)</f>
        <v/>
      </c>
      <c r="M169" s="8" t="str">
        <f>IF([2]道具信息!M169="","",[2]道具信息!M169)</f>
        <v/>
      </c>
      <c r="N169" s="8" t="str">
        <f>IF([2]道具信息!N169="","",[2]道具信息!N169)</f>
        <v/>
      </c>
      <c r="O169" s="8" t="str">
        <f>IF([2]道具信息!O169="","",[2]道具信息!O169)</f>
        <v/>
      </c>
      <c r="P169" s="8" t="str">
        <f>IF([2]道具信息!P169="","",[2]道具信息!P169)</f>
        <v/>
      </c>
      <c r="Q169" s="8" t="str">
        <f>IF([2]道具信息!Q169="","",[2]道具信息!Q169)</f>
        <v/>
      </c>
      <c r="R169" s="8" t="str">
        <f>IF([2]道具信息!R169="","",[2]道具信息!R169)</f>
        <v/>
      </c>
    </row>
    <row r="170" spans="3:18" x14ac:dyDescent="0.2">
      <c r="C170" s="8" t="str">
        <f>IF([2]道具信息!C170="","",[2]道具信息!C170)</f>
        <v/>
      </c>
      <c r="D170" s="8" t="str">
        <f>IF([2]道具信息!D170="","",[2]道具信息!D170)</f>
        <v>阅历-机敏</v>
      </c>
      <c r="E170" s="8">
        <f>IF([2]道具信息!E170="","",[2]道具信息!E170)</f>
        <v>30</v>
      </c>
      <c r="F170" s="8">
        <f>IF([2]道具信息!F170="","",[2]道具信息!F170)</f>
        <v>1</v>
      </c>
      <c r="G170" s="8">
        <f>IF([2]道具信息!G170="","",[2]道具信息!G170)</f>
        <v>1</v>
      </c>
      <c r="H170" s="8">
        <f>IF([2]道具信息!H170="","",[2]道具信息!H170)</f>
        <v>1</v>
      </c>
      <c r="I170" s="8">
        <f>IF([2]道具信息!I170="","",[2]道具信息!I170)</f>
        <v>30</v>
      </c>
      <c r="J170" s="8">
        <f>IF([2]道具信息!J170="","",[2]道具信息!J170)</f>
        <v>30</v>
      </c>
      <c r="K170" s="8">
        <f>IF([2]道具信息!K170="","",[2]道具信息!K170)</f>
        <v>30</v>
      </c>
      <c r="L170" s="8" t="str">
        <f>IF([2]道具信息!L170="","",[2]道具信息!L170)</f>
        <v/>
      </c>
      <c r="M170" s="8" t="str">
        <f>IF([2]道具信息!M170="","",[2]道具信息!M170)</f>
        <v/>
      </c>
      <c r="N170" s="8" t="str">
        <f>IF([2]道具信息!N170="","",[2]道具信息!N170)</f>
        <v/>
      </c>
      <c r="O170" s="8" t="str">
        <f>IF([2]道具信息!O170="","",[2]道具信息!O170)</f>
        <v/>
      </c>
      <c r="P170" s="8" t="str">
        <f>IF([2]道具信息!P170="","",[2]道具信息!P170)</f>
        <v/>
      </c>
      <c r="Q170" s="8" t="str">
        <f>IF([2]道具信息!Q170="","",[2]道具信息!Q170)</f>
        <v/>
      </c>
      <c r="R170" s="8" t="str">
        <f>IF([2]道具信息!R170="","",[2]道具信息!R170)</f>
        <v/>
      </c>
    </row>
    <row r="171" spans="3:18" x14ac:dyDescent="0.2">
      <c r="C171" s="8" t="str">
        <f>IF([2]道具信息!C171="","",[2]道具信息!C171)</f>
        <v/>
      </c>
      <c r="D171" s="8" t="str">
        <f>IF([2]道具信息!D171="","",[2]道具信息!D171)</f>
        <v>阅历-入世</v>
      </c>
      <c r="E171" s="8">
        <f>IF([2]道具信息!E171="","",[2]道具信息!E171)</f>
        <v>150</v>
      </c>
      <c r="F171" s="8">
        <f>IF([2]道具信息!F171="","",[2]道具信息!F171)</f>
        <v>1</v>
      </c>
      <c r="G171" s="8">
        <f>IF([2]道具信息!G171="","",[2]道具信息!G171)</f>
        <v>1</v>
      </c>
      <c r="H171" s="8">
        <f>IF([2]道具信息!H171="","",[2]道具信息!H171)</f>
        <v>1</v>
      </c>
      <c r="I171" s="8">
        <f>IF([2]道具信息!I171="","",[2]道具信息!I171)</f>
        <v>150</v>
      </c>
      <c r="J171" s="8">
        <f>IF([2]道具信息!J171="","",[2]道具信息!J171)</f>
        <v>150</v>
      </c>
      <c r="K171" s="8">
        <f>IF([2]道具信息!K171="","",[2]道具信息!K171)</f>
        <v>150</v>
      </c>
      <c r="L171" s="8" t="str">
        <f>IF([2]道具信息!L171="","",[2]道具信息!L171)</f>
        <v/>
      </c>
      <c r="M171" s="8" t="str">
        <f>IF([2]道具信息!M171="","",[2]道具信息!M171)</f>
        <v/>
      </c>
      <c r="N171" s="8" t="str">
        <f>IF([2]道具信息!N171="","",[2]道具信息!N171)</f>
        <v/>
      </c>
      <c r="O171" s="8" t="str">
        <f>IF([2]道具信息!O171="","",[2]道具信息!O171)</f>
        <v/>
      </c>
      <c r="P171" s="8" t="str">
        <f>IF([2]道具信息!P171="","",[2]道具信息!P171)</f>
        <v/>
      </c>
      <c r="Q171" s="8" t="str">
        <f>IF([2]道具信息!Q171="","",[2]道具信息!Q171)</f>
        <v/>
      </c>
      <c r="R171" s="8" t="str">
        <f>IF([2]道具信息!R171="","",[2]道具信息!R171)</f>
        <v/>
      </c>
    </row>
    <row r="172" spans="3:18" x14ac:dyDescent="0.2">
      <c r="C172" s="8" t="str">
        <f>IF([2]道具信息!C172="","",[2]道具信息!C172)</f>
        <v/>
      </c>
      <c r="D172" s="8" t="str">
        <f>IF([2]道具信息!D172="","",[2]道具信息!D172)</f>
        <v>阅历-闻达</v>
      </c>
      <c r="E172" s="8">
        <f>IF([2]道具信息!E172="","",[2]道具信息!E172)</f>
        <v>300</v>
      </c>
      <c r="F172" s="8">
        <f>IF([2]道具信息!F172="","",[2]道具信息!F172)</f>
        <v>1</v>
      </c>
      <c r="G172" s="8">
        <f>IF([2]道具信息!G172="","",[2]道具信息!G172)</f>
        <v>1</v>
      </c>
      <c r="H172" s="8">
        <f>IF([2]道具信息!H172="","",[2]道具信息!H172)</f>
        <v>1</v>
      </c>
      <c r="I172" s="8">
        <f>IF([2]道具信息!I172="","",[2]道具信息!I172)</f>
        <v>300</v>
      </c>
      <c r="J172" s="8">
        <f>IF([2]道具信息!J172="","",[2]道具信息!J172)</f>
        <v>300</v>
      </c>
      <c r="K172" s="8">
        <f>IF([2]道具信息!K172="","",[2]道具信息!K172)</f>
        <v>300</v>
      </c>
      <c r="L172" s="8" t="str">
        <f>IF([2]道具信息!L172="","",[2]道具信息!L172)</f>
        <v/>
      </c>
      <c r="M172" s="8" t="str">
        <f>IF([2]道具信息!M172="","",[2]道具信息!M172)</f>
        <v/>
      </c>
      <c r="N172" s="8" t="str">
        <f>IF([2]道具信息!N172="","",[2]道具信息!N172)</f>
        <v/>
      </c>
      <c r="O172" s="8" t="str">
        <f>IF([2]道具信息!O172="","",[2]道具信息!O172)</f>
        <v/>
      </c>
      <c r="P172" s="8" t="str">
        <f>IF([2]道具信息!P172="","",[2]道具信息!P172)</f>
        <v/>
      </c>
      <c r="Q172" s="8" t="str">
        <f>IF([2]道具信息!Q172="","",[2]道具信息!Q172)</f>
        <v/>
      </c>
      <c r="R172" s="8" t="str">
        <f>IF([2]道具信息!R172="","",[2]道具信息!R172)</f>
        <v/>
      </c>
    </row>
    <row r="173" spans="3:18" x14ac:dyDescent="0.2">
      <c r="C173" s="8" t="str">
        <f>IF([2]道具信息!C173="","",[2]道具信息!C173)</f>
        <v/>
      </c>
      <c r="D173" s="8" t="str">
        <f>IF([2]道具信息!D173="","",[2]道具信息!D173)</f>
        <v>阅历-出世</v>
      </c>
      <c r="E173" s="8">
        <f>IF([2]道具信息!E173="","",[2]道具信息!E173)</f>
        <v>3000</v>
      </c>
      <c r="F173" s="8">
        <f>IF([2]道具信息!F173="","",[2]道具信息!F173)</f>
        <v>1</v>
      </c>
      <c r="G173" s="8">
        <f>IF([2]道具信息!G173="","",[2]道具信息!G173)</f>
        <v>1</v>
      </c>
      <c r="H173" s="8">
        <f>IF([2]道具信息!H173="","",[2]道具信息!H173)</f>
        <v>1</v>
      </c>
      <c r="I173" s="8">
        <f>IF([2]道具信息!I173="","",[2]道具信息!I173)</f>
        <v>3000</v>
      </c>
      <c r="J173" s="8">
        <f>IF([2]道具信息!J173="","",[2]道具信息!J173)</f>
        <v>3000</v>
      </c>
      <c r="K173" s="8">
        <f>IF([2]道具信息!K173="","",[2]道具信息!K173)</f>
        <v>3000</v>
      </c>
      <c r="L173" s="8" t="str">
        <f>IF([2]道具信息!L173="","",[2]道具信息!L173)</f>
        <v/>
      </c>
      <c r="M173" s="8" t="str">
        <f>IF([2]道具信息!M173="","",[2]道具信息!M173)</f>
        <v/>
      </c>
      <c r="N173" s="8" t="str">
        <f>IF([2]道具信息!N173="","",[2]道具信息!N173)</f>
        <v/>
      </c>
      <c r="O173" s="8" t="str">
        <f>IF([2]道具信息!O173="","",[2]道具信息!O173)</f>
        <v/>
      </c>
      <c r="P173" s="8" t="str">
        <f>IF([2]道具信息!P173="","",[2]道具信息!P173)</f>
        <v/>
      </c>
      <c r="Q173" s="8" t="str">
        <f>IF([2]道具信息!Q173="","",[2]道具信息!Q173)</f>
        <v/>
      </c>
      <c r="R173" s="8" t="str">
        <f>IF([2]道具信息!R173="","",[2]道具信息!R173)</f>
        <v/>
      </c>
    </row>
    <row r="174" spans="3:18" x14ac:dyDescent="0.2">
      <c r="C174" s="8" t="str">
        <f>IF([2]道具信息!C174="","",[2]道具信息!C174)</f>
        <v/>
      </c>
      <c r="D174" s="8" t="str">
        <f>IF([2]道具信息!D174="","",[2]道具信息!D174)</f>
        <v/>
      </c>
      <c r="E174" s="8" t="str">
        <f>IF([2]道具信息!E174="","",[2]道具信息!E174)</f>
        <v/>
      </c>
      <c r="F174" s="8" t="str">
        <f>IF([2]道具信息!F174="","",[2]道具信息!F174)</f>
        <v/>
      </c>
      <c r="G174" s="8" t="str">
        <f>IF([2]道具信息!G174="","",[2]道具信息!G174)</f>
        <v/>
      </c>
      <c r="H174" s="8" t="str">
        <f>IF([2]道具信息!H174="","",[2]道具信息!H174)</f>
        <v/>
      </c>
      <c r="I174" s="8" t="str">
        <f>IF([2]道具信息!I174="","",[2]道具信息!I174)</f>
        <v/>
      </c>
      <c r="J174" s="8" t="str">
        <f>IF([2]道具信息!J174="","",[2]道具信息!J174)</f>
        <v/>
      </c>
      <c r="K174" s="8" t="str">
        <f>IF([2]道具信息!K174="","",[2]道具信息!K174)</f>
        <v/>
      </c>
      <c r="L174" s="8" t="str">
        <f>IF([2]道具信息!L174="","",[2]道具信息!L174)</f>
        <v/>
      </c>
      <c r="M174" s="8" t="str">
        <f>IF([2]道具信息!M174="","",[2]道具信息!M174)</f>
        <v/>
      </c>
      <c r="N174" s="8" t="str">
        <f>IF([2]道具信息!N174="","",[2]道具信息!N174)</f>
        <v/>
      </c>
      <c r="O174" s="8" t="str">
        <f>IF([2]道具信息!O174="","",[2]道具信息!O174)</f>
        <v/>
      </c>
      <c r="P174" s="8" t="str">
        <f>IF([2]道具信息!P174="","",[2]道具信息!P174)</f>
        <v/>
      </c>
      <c r="Q174" s="8" t="str">
        <f>IF([2]道具信息!Q174="","",[2]道具信息!Q174)</f>
        <v/>
      </c>
      <c r="R174" s="8" t="str">
        <f>IF([2]道具信息!R174="","",[2]道具信息!R174)</f>
        <v/>
      </c>
    </row>
    <row r="175" spans="3:18" x14ac:dyDescent="0.2">
      <c r="C175" s="8" t="str">
        <f>IF([2]道具信息!C175="","",[2]道具信息!C175)</f>
        <v/>
      </c>
      <c r="D175" s="8" t="str">
        <f>IF([2]道具信息!D175="","",[2]道具信息!D175)</f>
        <v>随机橙色门客碎片</v>
      </c>
      <c r="E175" s="8">
        <f>IF([2]道具信息!E175="","",[2]道具信息!E175)</f>
        <v>266.66666666666669</v>
      </c>
      <c r="F175" s="8">
        <f>IF([2]道具信息!F175="","",[2]道具信息!F175)</f>
        <v>1</v>
      </c>
      <c r="G175" s="8">
        <f>IF([2]道具信息!G175="","",[2]道具信息!G175)</f>
        <v>1</v>
      </c>
      <c r="H175" s="8">
        <f>IF([2]道具信息!H175="","",[2]道具信息!H175)</f>
        <v>1</v>
      </c>
      <c r="I175" s="8">
        <f>IF([2]道具信息!I175="","",[2]道具信息!I175)</f>
        <v>266.66666666666669</v>
      </c>
      <c r="J175" s="8">
        <f>IF([2]道具信息!J175="","",[2]道具信息!J175)</f>
        <v>266.66666666666669</v>
      </c>
      <c r="K175" s="8">
        <f>IF([2]道具信息!K175="","",[2]道具信息!K175)</f>
        <v>266.66666666666669</v>
      </c>
      <c r="L175" s="8" t="str">
        <f>IF([2]道具信息!L175="","",[2]道具信息!L175)</f>
        <v/>
      </c>
      <c r="M175" s="8" t="str">
        <f>IF([2]道具信息!M175="","",[2]道具信息!M175)</f>
        <v/>
      </c>
      <c r="N175" s="8" t="str">
        <f>IF([2]道具信息!N175="","",[2]道具信息!N175)</f>
        <v/>
      </c>
      <c r="O175" s="8" t="str">
        <f>IF([2]道具信息!O175="","",[2]道具信息!O175)</f>
        <v/>
      </c>
      <c r="P175" s="8" t="str">
        <f>IF([2]道具信息!P175="","",[2]道具信息!P175)</f>
        <v/>
      </c>
      <c r="Q175" s="8" t="str">
        <f>IF([2]道具信息!Q175="","",[2]道具信息!Q175)</f>
        <v/>
      </c>
      <c r="R175" s="8" t="str">
        <f>IF([2]道具信息!R175="","",[2]道具信息!R175)</f>
        <v/>
      </c>
    </row>
    <row r="176" spans="3:18" x14ac:dyDescent="0.2">
      <c r="C176" s="8" t="str">
        <f>IF([2]道具信息!C176="","",[2]道具信息!C176)</f>
        <v/>
      </c>
      <c r="D176" s="8" t="str">
        <f>IF([2]道具信息!D176="","",[2]道具信息!D176)</f>
        <v>随机红色门客碎片</v>
      </c>
      <c r="E176" s="8">
        <f>IF([2]道具信息!E176="","",[2]道具信息!E176)</f>
        <v>400</v>
      </c>
      <c r="F176" s="8">
        <f>IF([2]道具信息!F176="","",[2]道具信息!F176)</f>
        <v>1</v>
      </c>
      <c r="G176" s="8">
        <f>IF([2]道具信息!G176="","",[2]道具信息!G176)</f>
        <v>1</v>
      </c>
      <c r="H176" s="8">
        <f>IF([2]道具信息!H176="","",[2]道具信息!H176)</f>
        <v>1</v>
      </c>
      <c r="I176" s="8">
        <f>IF([2]道具信息!I176="","",[2]道具信息!I176)</f>
        <v>400</v>
      </c>
      <c r="J176" s="8">
        <f>IF([2]道具信息!J176="","",[2]道具信息!J176)</f>
        <v>400</v>
      </c>
      <c r="K176" s="8">
        <f>IF([2]道具信息!K176="","",[2]道具信息!K176)</f>
        <v>400</v>
      </c>
      <c r="L176" s="8" t="str">
        <f>IF([2]道具信息!L176="","",[2]道具信息!L176)</f>
        <v/>
      </c>
      <c r="M176" s="8" t="str">
        <f>IF([2]道具信息!M176="","",[2]道具信息!M176)</f>
        <v/>
      </c>
      <c r="N176" s="8" t="str">
        <f>IF([2]道具信息!N176="","",[2]道具信息!N176)</f>
        <v/>
      </c>
      <c r="O176" s="8" t="str">
        <f>IF([2]道具信息!O176="","",[2]道具信息!O176)</f>
        <v/>
      </c>
      <c r="P176" s="8" t="str">
        <f>IF([2]道具信息!P176="","",[2]道具信息!P176)</f>
        <v/>
      </c>
      <c r="Q176" s="8" t="str">
        <f>IF([2]道具信息!Q176="","",[2]道具信息!Q176)</f>
        <v/>
      </c>
      <c r="R176" s="8" t="str">
        <f>IF([2]道具信息!R176="","",[2]道具信息!R176)</f>
        <v/>
      </c>
    </row>
    <row r="177" spans="3:18" x14ac:dyDescent="0.2">
      <c r="C177" s="8" t="str">
        <f>IF([2]道具信息!C177="","",[2]道具信息!C177)</f>
        <v/>
      </c>
      <c r="D177" s="8" t="str">
        <f>IF([2]道具信息!D177="","",[2]道具信息!D177)</f>
        <v/>
      </c>
      <c r="E177" s="8" t="str">
        <f>IF([2]道具信息!E177="","",[2]道具信息!E177)</f>
        <v/>
      </c>
      <c r="F177" s="8" t="str">
        <f>IF([2]道具信息!F177="","",[2]道具信息!F177)</f>
        <v/>
      </c>
      <c r="G177" s="8" t="str">
        <f>IF([2]道具信息!G177="","",[2]道具信息!G177)</f>
        <v/>
      </c>
      <c r="H177" s="8" t="str">
        <f>IF([2]道具信息!H177="","",[2]道具信息!H177)</f>
        <v/>
      </c>
      <c r="I177" s="8" t="str">
        <f>IF([2]道具信息!I177="","",[2]道具信息!I177)</f>
        <v/>
      </c>
      <c r="J177" s="8" t="str">
        <f>IF([2]道具信息!J177="","",[2]道具信息!J177)</f>
        <v/>
      </c>
      <c r="K177" s="8" t="str">
        <f>IF([2]道具信息!K177="","",[2]道具信息!K177)</f>
        <v/>
      </c>
      <c r="L177" s="8" t="str">
        <f>IF([2]道具信息!L177="","",[2]道具信息!L177)</f>
        <v/>
      </c>
      <c r="M177" s="8" t="str">
        <f>IF([2]道具信息!M177="","",[2]道具信息!M177)</f>
        <v/>
      </c>
      <c r="N177" s="8" t="str">
        <f>IF([2]道具信息!N177="","",[2]道具信息!N177)</f>
        <v/>
      </c>
      <c r="O177" s="8" t="str">
        <f>IF([2]道具信息!O177="","",[2]道具信息!O177)</f>
        <v/>
      </c>
      <c r="P177" s="8" t="str">
        <f>IF([2]道具信息!P177="","",[2]道具信息!P177)</f>
        <v/>
      </c>
      <c r="Q177" s="8" t="str">
        <f>IF([2]道具信息!Q177="","",[2]道具信息!Q177)</f>
        <v/>
      </c>
      <c r="R177" s="8" t="str">
        <f>IF([2]道具信息!R177="","",[2]道具信息!R177)</f>
        <v/>
      </c>
    </row>
    <row r="178" spans="3:18" x14ac:dyDescent="0.2">
      <c r="C178" s="8" t="str">
        <f>IF([2]道具信息!C178="","",[2]道具信息!C178)</f>
        <v/>
      </c>
      <c r="D178" s="8" t="str">
        <f>IF([2]道具信息!D178="","",[2]道具信息!D178)</f>
        <v>育马券</v>
      </c>
      <c r="E178" s="8">
        <f>IF([2]道具信息!E178="","",[2]道具信息!E178)</f>
        <v>1</v>
      </c>
      <c r="F178" s="8">
        <f>IF([2]道具信息!F178="","",[2]道具信息!F178)</f>
        <v>1</v>
      </c>
      <c r="G178" s="8">
        <f>IF([2]道具信息!G178="","",[2]道具信息!G178)</f>
        <v>1</v>
      </c>
      <c r="H178" s="8">
        <f>IF([2]道具信息!H178="","",[2]道具信息!H178)</f>
        <v>1</v>
      </c>
      <c r="I178" s="8">
        <f>IF([2]道具信息!I178="","",[2]道具信息!I178)</f>
        <v>1</v>
      </c>
      <c r="J178" s="8">
        <f>IF([2]道具信息!J178="","",[2]道具信息!J178)</f>
        <v>1</v>
      </c>
      <c r="K178" s="8">
        <f>IF([2]道具信息!K178="","",[2]道具信息!K178)</f>
        <v>1</v>
      </c>
      <c r="L178" s="8" t="str">
        <f>IF([2]道具信息!L178="","",[2]道具信息!L178)</f>
        <v/>
      </c>
      <c r="M178" s="8" t="str">
        <f>IF([2]道具信息!M178="","",[2]道具信息!M178)</f>
        <v/>
      </c>
      <c r="N178" s="8" t="str">
        <f>IF([2]道具信息!N178="","",[2]道具信息!N178)</f>
        <v/>
      </c>
      <c r="O178" s="8" t="str">
        <f>IF([2]道具信息!O178="","",[2]道具信息!O178)</f>
        <v/>
      </c>
      <c r="P178" s="8" t="str">
        <f>IF([2]道具信息!P178="","",[2]道具信息!P178)</f>
        <v/>
      </c>
      <c r="Q178" s="8" t="str">
        <f>IF([2]道具信息!Q178="","",[2]道具信息!Q178)</f>
        <v/>
      </c>
      <c r="R178" s="8" t="str">
        <f>IF([2]道具信息!R178="","",[2]道具信息!R178)</f>
        <v/>
      </c>
    </row>
    <row r="179" spans="3:18" x14ac:dyDescent="0.2">
      <c r="C179" s="8" t="str">
        <f>IF([2]道具信息!C179="","",[2]道具信息!C179)</f>
        <v/>
      </c>
      <c r="D179" s="8" t="str">
        <f>IF([2]道具信息!D179="","",[2]道具信息!D179)</f>
        <v>荣誉马徽</v>
      </c>
      <c r="E179" s="8">
        <f>IF([2]道具信息!E179="","",[2]道具信息!E179)</f>
        <v>10</v>
      </c>
      <c r="F179" s="8">
        <f>IF([2]道具信息!F179="","",[2]道具信息!F179)</f>
        <v>1</v>
      </c>
      <c r="G179" s="8">
        <f>IF([2]道具信息!G179="","",[2]道具信息!G179)</f>
        <v>1</v>
      </c>
      <c r="H179" s="8">
        <f>IF([2]道具信息!H179="","",[2]道具信息!H179)</f>
        <v>1</v>
      </c>
      <c r="I179" s="8">
        <f>IF([2]道具信息!I179="","",[2]道具信息!I179)</f>
        <v>10</v>
      </c>
      <c r="J179" s="8">
        <f>IF([2]道具信息!J179="","",[2]道具信息!J179)</f>
        <v>10</v>
      </c>
      <c r="K179" s="8">
        <f>IF([2]道具信息!K179="","",[2]道具信息!K179)</f>
        <v>10</v>
      </c>
      <c r="L179" s="8" t="str">
        <f>IF([2]道具信息!L179="","",[2]道具信息!L179)</f>
        <v/>
      </c>
      <c r="M179" s="8" t="str">
        <f>IF([2]道具信息!M179="","",[2]道具信息!M179)</f>
        <v/>
      </c>
      <c r="N179" s="8" t="str">
        <f>IF([2]道具信息!N179="","",[2]道具信息!N179)</f>
        <v/>
      </c>
      <c r="O179" s="8" t="str">
        <f>IF([2]道具信息!O179="","",[2]道具信息!O179)</f>
        <v/>
      </c>
      <c r="P179" s="8" t="str">
        <f>IF([2]道具信息!P179="","",[2]道具信息!P179)</f>
        <v/>
      </c>
      <c r="Q179" s="8" t="str">
        <f>IF([2]道具信息!Q179="","",[2]道具信息!Q179)</f>
        <v/>
      </c>
      <c r="R179" s="8" t="str">
        <f>IF([2]道具信息!R179="","",[2]道具信息!R179)</f>
        <v/>
      </c>
    </row>
    <row r="180" spans="3:18" x14ac:dyDescent="0.2">
      <c r="C180" s="8" t="str">
        <f>IF([2]道具信息!C180="","",[2]道具信息!C180)</f>
        <v/>
      </c>
      <c r="D180" s="8" t="str">
        <f>IF([2]道具信息!D180="","",[2]道具信息!D180)</f>
        <v>绿色马匹</v>
      </c>
      <c r="E180" s="8">
        <f>IF([2]道具信息!E180="","",[2]道具信息!E180)</f>
        <v>50</v>
      </c>
      <c r="F180" s="8">
        <f>IF([2]道具信息!F180="","",[2]道具信息!F180)</f>
        <v>1</v>
      </c>
      <c r="G180" s="8">
        <f>IF([2]道具信息!G180="","",[2]道具信息!G180)</f>
        <v>1</v>
      </c>
      <c r="H180" s="8">
        <f>IF([2]道具信息!H180="","",[2]道具信息!H180)</f>
        <v>1</v>
      </c>
      <c r="I180" s="8">
        <f>IF([2]道具信息!I180="","",[2]道具信息!I180)</f>
        <v>50</v>
      </c>
      <c r="J180" s="8">
        <f>IF([2]道具信息!J180="","",[2]道具信息!J180)</f>
        <v>50</v>
      </c>
      <c r="K180" s="8">
        <f>IF([2]道具信息!K180="","",[2]道具信息!K180)</f>
        <v>50</v>
      </c>
      <c r="L180" s="8" t="str">
        <f>IF([2]道具信息!L180="","",[2]道具信息!L180)</f>
        <v/>
      </c>
      <c r="M180" s="8" t="str">
        <f>IF([2]道具信息!M180="","",[2]道具信息!M180)</f>
        <v/>
      </c>
      <c r="N180" s="8" t="str">
        <f>IF([2]道具信息!N180="","",[2]道具信息!N180)</f>
        <v/>
      </c>
      <c r="O180" s="8" t="str">
        <f>IF([2]道具信息!O180="","",[2]道具信息!O180)</f>
        <v/>
      </c>
      <c r="P180" s="8" t="str">
        <f>IF([2]道具信息!P180="","",[2]道具信息!P180)</f>
        <v/>
      </c>
      <c r="Q180" s="8" t="str">
        <f>IF([2]道具信息!Q180="","",[2]道具信息!Q180)</f>
        <v/>
      </c>
      <c r="R180" s="8" t="str">
        <f>IF([2]道具信息!R180="","",[2]道具信息!R180)</f>
        <v/>
      </c>
    </row>
    <row r="181" spans="3:18" x14ac:dyDescent="0.2">
      <c r="C181" s="8" t="str">
        <f>IF([2]道具信息!C181="","",[2]道具信息!C181)</f>
        <v/>
      </c>
      <c r="D181" s="8" t="str">
        <f>IF([2]道具信息!D181="","",[2]道具信息!D181)</f>
        <v>蓝色马匹</v>
      </c>
      <c r="E181" s="8">
        <f>IF([2]道具信息!E181="","",[2]道具信息!E181)</f>
        <v>150</v>
      </c>
      <c r="F181" s="8">
        <f>IF([2]道具信息!F181="","",[2]道具信息!F181)</f>
        <v>1</v>
      </c>
      <c r="G181" s="8">
        <f>IF([2]道具信息!G181="","",[2]道具信息!G181)</f>
        <v>1</v>
      </c>
      <c r="H181" s="8">
        <f>IF([2]道具信息!H181="","",[2]道具信息!H181)</f>
        <v>1</v>
      </c>
      <c r="I181" s="8">
        <f>IF([2]道具信息!I181="","",[2]道具信息!I181)</f>
        <v>150</v>
      </c>
      <c r="J181" s="8">
        <f>IF([2]道具信息!J181="","",[2]道具信息!J181)</f>
        <v>150</v>
      </c>
      <c r="K181" s="8">
        <f>IF([2]道具信息!K181="","",[2]道具信息!K181)</f>
        <v>150</v>
      </c>
      <c r="L181" s="8" t="str">
        <f>IF([2]道具信息!L181="","",[2]道具信息!L181)</f>
        <v/>
      </c>
      <c r="M181" s="8" t="str">
        <f>IF([2]道具信息!M181="","",[2]道具信息!M181)</f>
        <v/>
      </c>
      <c r="N181" s="8" t="str">
        <f>IF([2]道具信息!N181="","",[2]道具信息!N181)</f>
        <v/>
      </c>
      <c r="O181" s="8" t="str">
        <f>IF([2]道具信息!O181="","",[2]道具信息!O181)</f>
        <v/>
      </c>
      <c r="P181" s="8" t="str">
        <f>IF([2]道具信息!P181="","",[2]道具信息!P181)</f>
        <v/>
      </c>
      <c r="Q181" s="8" t="str">
        <f>IF([2]道具信息!Q181="","",[2]道具信息!Q181)</f>
        <v/>
      </c>
      <c r="R181" s="8" t="str">
        <f>IF([2]道具信息!R181="","",[2]道具信息!R181)</f>
        <v/>
      </c>
    </row>
    <row r="182" spans="3:18" x14ac:dyDescent="0.2">
      <c r="C182" s="8" t="str">
        <f>IF([2]道具信息!C182="","",[2]道具信息!C182)</f>
        <v/>
      </c>
      <c r="D182" s="8" t="str">
        <f>IF([2]道具信息!D182="","",[2]道具信息!D182)</f>
        <v>紫色马匹</v>
      </c>
      <c r="E182" s="8">
        <f>IF([2]道具信息!E182="","",[2]道具信息!E182)</f>
        <v>500</v>
      </c>
      <c r="F182" s="8">
        <f>IF([2]道具信息!F182="","",[2]道具信息!F182)</f>
        <v>1</v>
      </c>
      <c r="G182" s="8">
        <f>IF([2]道具信息!G182="","",[2]道具信息!G182)</f>
        <v>1</v>
      </c>
      <c r="H182" s="8">
        <f>IF([2]道具信息!H182="","",[2]道具信息!H182)</f>
        <v>1</v>
      </c>
      <c r="I182" s="8">
        <f>IF([2]道具信息!I182="","",[2]道具信息!I182)</f>
        <v>500</v>
      </c>
      <c r="J182" s="8">
        <f>IF([2]道具信息!J182="","",[2]道具信息!J182)</f>
        <v>500</v>
      </c>
      <c r="K182" s="8">
        <f>IF([2]道具信息!K182="","",[2]道具信息!K182)</f>
        <v>500</v>
      </c>
      <c r="L182" s="8" t="str">
        <f>IF([2]道具信息!L182="","",[2]道具信息!L182)</f>
        <v/>
      </c>
      <c r="M182" s="8" t="str">
        <f>IF([2]道具信息!M182="","",[2]道具信息!M182)</f>
        <v/>
      </c>
      <c r="N182" s="8" t="str">
        <f>IF([2]道具信息!N182="","",[2]道具信息!N182)</f>
        <v/>
      </c>
      <c r="O182" s="8" t="str">
        <f>IF([2]道具信息!O182="","",[2]道具信息!O182)</f>
        <v/>
      </c>
      <c r="P182" s="8" t="str">
        <f>IF([2]道具信息!P182="","",[2]道具信息!P182)</f>
        <v/>
      </c>
      <c r="Q182" s="8" t="str">
        <f>IF([2]道具信息!Q182="","",[2]道具信息!Q182)</f>
        <v/>
      </c>
      <c r="R182" s="8" t="str">
        <f>IF([2]道具信息!R182="","",[2]道具信息!R182)</f>
        <v/>
      </c>
    </row>
    <row r="183" spans="3:18" x14ac:dyDescent="0.2">
      <c r="C183" s="8" t="str">
        <f>IF([2]道具信息!C183="","",[2]道具信息!C183)</f>
        <v/>
      </c>
      <c r="D183" s="8" t="str">
        <f>IF([2]道具信息!D183="","",[2]道具信息!D183)</f>
        <v>橙色马匹</v>
      </c>
      <c r="E183" s="8">
        <f>IF([2]道具信息!E183="","",[2]道具信息!E183)</f>
        <v>2000</v>
      </c>
      <c r="F183" s="8">
        <f>IF([2]道具信息!F183="","",[2]道具信息!F183)</f>
        <v>1</v>
      </c>
      <c r="G183" s="8">
        <f>IF([2]道具信息!G183="","",[2]道具信息!G183)</f>
        <v>1</v>
      </c>
      <c r="H183" s="8">
        <f>IF([2]道具信息!H183="","",[2]道具信息!H183)</f>
        <v>1</v>
      </c>
      <c r="I183" s="8">
        <f>IF([2]道具信息!I183="","",[2]道具信息!I183)</f>
        <v>2000</v>
      </c>
      <c r="J183" s="8">
        <f>IF([2]道具信息!J183="","",[2]道具信息!J183)</f>
        <v>2000</v>
      </c>
      <c r="K183" s="8">
        <f>IF([2]道具信息!K183="","",[2]道具信息!K183)</f>
        <v>2000</v>
      </c>
      <c r="L183" s="8" t="str">
        <f>IF([2]道具信息!L183="","",[2]道具信息!L183)</f>
        <v/>
      </c>
      <c r="M183" s="8" t="str">
        <f>IF([2]道具信息!M183="","",[2]道具信息!M183)</f>
        <v/>
      </c>
      <c r="N183" s="8" t="str">
        <f>IF([2]道具信息!N183="","",[2]道具信息!N183)</f>
        <v/>
      </c>
      <c r="O183" s="8" t="str">
        <f>IF([2]道具信息!O183="","",[2]道具信息!O183)</f>
        <v/>
      </c>
      <c r="P183" s="8" t="str">
        <f>IF([2]道具信息!P183="","",[2]道具信息!P183)</f>
        <v/>
      </c>
      <c r="Q183" s="8" t="str">
        <f>IF([2]道具信息!Q183="","",[2]道具信息!Q183)</f>
        <v/>
      </c>
      <c r="R183" s="8" t="str">
        <f>IF([2]道具信息!R183="","",[2]道具信息!R183)</f>
        <v/>
      </c>
    </row>
    <row r="184" spans="3:18" x14ac:dyDescent="0.2">
      <c r="C184" s="8" t="str">
        <f>IF([2]道具信息!C184="","",[2]道具信息!C184)</f>
        <v/>
      </c>
      <c r="D184" s="8" t="str">
        <f>IF([2]道具信息!D184="","",[2]道具信息!D184)</f>
        <v>红色马匹</v>
      </c>
      <c r="E184" s="8">
        <f>IF([2]道具信息!E184="","",[2]道具信息!E184)</f>
        <v>8000</v>
      </c>
      <c r="F184" s="8">
        <f>IF([2]道具信息!F184="","",[2]道具信息!F184)</f>
        <v>1</v>
      </c>
      <c r="G184" s="8">
        <f>IF([2]道具信息!G184="","",[2]道具信息!G184)</f>
        <v>1</v>
      </c>
      <c r="H184" s="8">
        <f>IF([2]道具信息!H184="","",[2]道具信息!H184)</f>
        <v>1</v>
      </c>
      <c r="I184" s="8">
        <f>IF([2]道具信息!I184="","",[2]道具信息!I184)</f>
        <v>8000</v>
      </c>
      <c r="J184" s="8">
        <f>IF([2]道具信息!J184="","",[2]道具信息!J184)</f>
        <v>8000</v>
      </c>
      <c r="K184" s="8">
        <f>IF([2]道具信息!K184="","",[2]道具信息!K184)</f>
        <v>8000</v>
      </c>
      <c r="L184" s="8" t="str">
        <f>IF([2]道具信息!L184="","",[2]道具信息!L184)</f>
        <v/>
      </c>
      <c r="M184" s="8" t="str">
        <f>IF([2]道具信息!M184="","",[2]道具信息!M184)</f>
        <v/>
      </c>
      <c r="N184" s="8" t="str">
        <f>IF([2]道具信息!N184="","",[2]道具信息!N184)</f>
        <v/>
      </c>
      <c r="O184" s="8" t="str">
        <f>IF([2]道具信息!O184="","",[2]道具信息!O184)</f>
        <v/>
      </c>
      <c r="P184" s="8" t="str">
        <f>IF([2]道具信息!P184="","",[2]道具信息!P184)</f>
        <v/>
      </c>
      <c r="Q184" s="8" t="str">
        <f>IF([2]道具信息!Q184="","",[2]道具信息!Q184)</f>
        <v/>
      </c>
      <c r="R184" s="8" t="str">
        <f>IF([2]道具信息!R184="","",[2]道具信息!R184)</f>
        <v/>
      </c>
    </row>
    <row r="185" spans="3:18" x14ac:dyDescent="0.2">
      <c r="C185" s="8" t="str">
        <f>IF([2]道具信息!C185="","",[2]道具信息!C185)</f>
        <v/>
      </c>
      <c r="D185" s="8" t="str">
        <f>IF([2]道具信息!D185="","",[2]道具信息!D185)</f>
        <v>紫色马匹碎片</v>
      </c>
      <c r="E185" s="8">
        <f>IF([2]道具信息!E185="","",[2]道具信息!E185)</f>
        <v>50</v>
      </c>
      <c r="F185" s="8">
        <f>IF([2]道具信息!F185="","",[2]道具信息!F185)</f>
        <v>1</v>
      </c>
      <c r="G185" s="8">
        <f>IF([2]道具信息!G185="","",[2]道具信息!G185)</f>
        <v>1</v>
      </c>
      <c r="H185" s="8">
        <f>IF([2]道具信息!H185="","",[2]道具信息!H185)</f>
        <v>1</v>
      </c>
      <c r="I185" s="8">
        <f>IF([2]道具信息!I185="","",[2]道具信息!I185)</f>
        <v>50</v>
      </c>
      <c r="J185" s="8">
        <f>IF([2]道具信息!J185="","",[2]道具信息!J185)</f>
        <v>50</v>
      </c>
      <c r="K185" s="8">
        <f>IF([2]道具信息!K185="","",[2]道具信息!K185)</f>
        <v>50</v>
      </c>
      <c r="L185" s="8" t="str">
        <f>IF([2]道具信息!L185="","",[2]道具信息!L185)</f>
        <v/>
      </c>
      <c r="M185" s="8" t="str">
        <f>IF([2]道具信息!M185="","",[2]道具信息!M185)</f>
        <v/>
      </c>
      <c r="N185" s="8" t="str">
        <f>IF([2]道具信息!N185="","",[2]道具信息!N185)</f>
        <v/>
      </c>
      <c r="O185" s="8" t="str">
        <f>IF([2]道具信息!O185="","",[2]道具信息!O185)</f>
        <v/>
      </c>
      <c r="P185" s="8" t="str">
        <f>IF([2]道具信息!P185="","",[2]道具信息!P185)</f>
        <v/>
      </c>
      <c r="Q185" s="8" t="str">
        <f>IF([2]道具信息!Q185="","",[2]道具信息!Q185)</f>
        <v/>
      </c>
      <c r="R185" s="8" t="str">
        <f>IF([2]道具信息!R185="","",[2]道具信息!R185)</f>
        <v/>
      </c>
    </row>
    <row r="186" spans="3:18" x14ac:dyDescent="0.2">
      <c r="C186" s="8" t="str">
        <f>IF([2]道具信息!C186="","",[2]道具信息!C186)</f>
        <v/>
      </c>
      <c r="D186" s="8" t="str">
        <f>IF([2]道具信息!D186="","",[2]道具信息!D186)</f>
        <v>橙色马匹碎片</v>
      </c>
      <c r="E186" s="8">
        <f>IF([2]道具信息!E186="","",[2]道具信息!E186)</f>
        <v>66.666666666666671</v>
      </c>
      <c r="F186" s="8">
        <f>IF([2]道具信息!F186="","",[2]道具信息!F186)</f>
        <v>1</v>
      </c>
      <c r="G186" s="8">
        <f>IF([2]道具信息!G186="","",[2]道具信息!G186)</f>
        <v>1</v>
      </c>
      <c r="H186" s="8">
        <f>IF([2]道具信息!H186="","",[2]道具信息!H186)</f>
        <v>1</v>
      </c>
      <c r="I186" s="8">
        <f>IF([2]道具信息!I186="","",[2]道具信息!I186)</f>
        <v>66.666666666666671</v>
      </c>
      <c r="J186" s="8">
        <f>IF([2]道具信息!J186="","",[2]道具信息!J186)</f>
        <v>66.666666666666671</v>
      </c>
      <c r="K186" s="8">
        <f>IF([2]道具信息!K186="","",[2]道具信息!K186)</f>
        <v>66.666666666666671</v>
      </c>
      <c r="L186" s="8" t="str">
        <f>IF([2]道具信息!L186="","",[2]道具信息!L186)</f>
        <v/>
      </c>
      <c r="M186" s="8" t="str">
        <f>IF([2]道具信息!M186="","",[2]道具信息!M186)</f>
        <v/>
      </c>
      <c r="N186" s="8" t="str">
        <f>IF([2]道具信息!N186="","",[2]道具信息!N186)</f>
        <v/>
      </c>
      <c r="O186" s="8" t="str">
        <f>IF([2]道具信息!O186="","",[2]道具信息!O186)</f>
        <v/>
      </c>
      <c r="P186" s="8" t="str">
        <f>IF([2]道具信息!P186="","",[2]道具信息!P186)</f>
        <v/>
      </c>
      <c r="Q186" s="8" t="str">
        <f>IF([2]道具信息!Q186="","",[2]道具信息!Q186)</f>
        <v/>
      </c>
      <c r="R186" s="8" t="str">
        <f>IF([2]道具信息!R186="","",[2]道具信息!R186)</f>
        <v/>
      </c>
    </row>
    <row r="187" spans="3:18" x14ac:dyDescent="0.2">
      <c r="C187" s="8" t="str">
        <f>IF([2]道具信息!C187="","",[2]道具信息!C187)</f>
        <v/>
      </c>
      <c r="D187" s="8" t="str">
        <f>IF([2]道具信息!D187="","",[2]道具信息!D187)</f>
        <v>红色马匹碎片</v>
      </c>
      <c r="E187" s="8">
        <f>IF([2]道具信息!E187="","",[2]道具信息!E187)</f>
        <v>160</v>
      </c>
      <c r="F187" s="8">
        <f>IF([2]道具信息!F187="","",[2]道具信息!F187)</f>
        <v>1</v>
      </c>
      <c r="G187" s="8">
        <f>IF([2]道具信息!G187="","",[2]道具信息!G187)</f>
        <v>1</v>
      </c>
      <c r="H187" s="8">
        <f>IF([2]道具信息!H187="","",[2]道具信息!H187)</f>
        <v>1</v>
      </c>
      <c r="I187" s="8">
        <f>IF([2]道具信息!I187="","",[2]道具信息!I187)</f>
        <v>160</v>
      </c>
      <c r="J187" s="8">
        <f>IF([2]道具信息!J187="","",[2]道具信息!J187)</f>
        <v>160</v>
      </c>
      <c r="K187" s="8">
        <f>IF([2]道具信息!K187="","",[2]道具信息!K187)</f>
        <v>160</v>
      </c>
      <c r="L187" s="8" t="str">
        <f>IF([2]道具信息!L187="","",[2]道具信息!L187)</f>
        <v/>
      </c>
      <c r="M187" s="8" t="str">
        <f>IF([2]道具信息!M187="","",[2]道具信息!M187)</f>
        <v/>
      </c>
      <c r="N187" s="8" t="str">
        <f>IF([2]道具信息!N187="","",[2]道具信息!N187)</f>
        <v/>
      </c>
      <c r="O187" s="8" t="str">
        <f>IF([2]道具信息!O187="","",[2]道具信息!O187)</f>
        <v/>
      </c>
      <c r="P187" s="8" t="str">
        <f>IF([2]道具信息!P187="","",[2]道具信息!P187)</f>
        <v/>
      </c>
      <c r="Q187" s="8" t="str">
        <f>IF([2]道具信息!Q187="","",[2]道具信息!Q187)</f>
        <v/>
      </c>
      <c r="R187" s="8" t="str">
        <f>IF([2]道具信息!R187="","",[2]道具信息!R187)</f>
        <v/>
      </c>
    </row>
    <row r="188" spans="3:18" x14ac:dyDescent="0.2">
      <c r="C188" s="8" t="str">
        <f>IF([2]道具信息!C188="","",[2]道具信息!C188)</f>
        <v/>
      </c>
      <c r="D188" s="8" t="str">
        <f>IF([2]道具信息!D188="","",[2]道具信息!D188)</f>
        <v/>
      </c>
      <c r="E188" s="8" t="str">
        <f>IF([2]道具信息!E188="","",[2]道具信息!E188)</f>
        <v/>
      </c>
      <c r="F188" s="8" t="str">
        <f>IF([2]道具信息!F188="","",[2]道具信息!F188)</f>
        <v/>
      </c>
      <c r="G188" s="8" t="str">
        <f>IF([2]道具信息!G188="","",[2]道具信息!G188)</f>
        <v/>
      </c>
      <c r="H188" s="8" t="str">
        <f>IF([2]道具信息!H188="","",[2]道具信息!H188)</f>
        <v/>
      </c>
      <c r="I188" s="8" t="str">
        <f>IF([2]道具信息!I188="","",[2]道具信息!I188)</f>
        <v/>
      </c>
      <c r="J188" s="8" t="str">
        <f>IF([2]道具信息!J188="","",[2]道具信息!J188)</f>
        <v/>
      </c>
      <c r="K188" s="8" t="str">
        <f>IF([2]道具信息!K188="","",[2]道具信息!K188)</f>
        <v/>
      </c>
      <c r="L188" s="8" t="str">
        <f>IF([2]道具信息!L188="","",[2]道具信息!L188)</f>
        <v/>
      </c>
      <c r="M188" s="8" t="str">
        <f>IF([2]道具信息!M188="","",[2]道具信息!M188)</f>
        <v/>
      </c>
      <c r="N188" s="8" t="str">
        <f>IF([2]道具信息!N188="","",[2]道具信息!N188)</f>
        <v/>
      </c>
      <c r="O188" s="8" t="str">
        <f>IF([2]道具信息!O188="","",[2]道具信息!O188)</f>
        <v/>
      </c>
      <c r="P188" s="8" t="str">
        <f>IF([2]道具信息!P188="","",[2]道具信息!P188)</f>
        <v/>
      </c>
      <c r="Q188" s="8" t="str">
        <f>IF([2]道具信息!Q188="","",[2]道具信息!Q188)</f>
        <v/>
      </c>
      <c r="R188" s="8" t="str">
        <f>IF([2]道具信息!R188="","",[2]道具信息!R188)</f>
        <v/>
      </c>
    </row>
    <row r="189" spans="3:18" x14ac:dyDescent="0.2">
      <c r="C189" s="8" t="str">
        <f>IF([2]道具信息!C189="","",[2]道具信息!C189)</f>
        <v/>
      </c>
      <c r="D189" s="8" t="str">
        <f>IF([2]道具信息!D189="","",[2]道具信息!D189)</f>
        <v>140指定天赋点</v>
      </c>
      <c r="E189" s="8">
        <f>IF([2]道具信息!E189="","",[2]道具信息!E189)</f>
        <v>4320</v>
      </c>
      <c r="F189" s="8">
        <f>IF([2]道具信息!F189="","",[2]道具信息!F189)</f>
        <v>1</v>
      </c>
      <c r="G189" s="8">
        <f>IF([2]道具信息!G189="","",[2]道具信息!G189)</f>
        <v>1</v>
      </c>
      <c r="H189" s="8">
        <f>IF([2]道具信息!H189="","",[2]道具信息!H189)</f>
        <v>1</v>
      </c>
      <c r="I189" s="8">
        <f>IF([2]道具信息!I189="","",[2]道具信息!I189)</f>
        <v>4320</v>
      </c>
      <c r="J189" s="8">
        <f>IF([2]道具信息!J189="","",[2]道具信息!J189)</f>
        <v>4320</v>
      </c>
      <c r="K189" s="8">
        <f>IF([2]道具信息!K189="","",[2]道具信息!K189)</f>
        <v>4320</v>
      </c>
      <c r="L189" s="8" t="str">
        <f>IF([2]道具信息!L189="","",[2]道具信息!L189)</f>
        <v/>
      </c>
      <c r="M189" s="8" t="str">
        <f>IF([2]道具信息!M189="","",[2]道具信息!M189)</f>
        <v/>
      </c>
      <c r="N189" s="8" t="str">
        <f>IF([2]道具信息!N189="","",[2]道具信息!N189)</f>
        <v/>
      </c>
      <c r="O189" s="8" t="str">
        <f>IF([2]道具信息!O189="","",[2]道具信息!O189)</f>
        <v/>
      </c>
      <c r="P189" s="8" t="str">
        <f>IF([2]道具信息!P189="","",[2]道具信息!P189)</f>
        <v/>
      </c>
      <c r="Q189" s="8" t="str">
        <f>IF([2]道具信息!Q189="","",[2]道具信息!Q189)</f>
        <v/>
      </c>
      <c r="R189" s="8" t="str">
        <f>IF([2]道具信息!R189="","",[2]道具信息!R189)</f>
        <v/>
      </c>
    </row>
    <row r="190" spans="3:18" x14ac:dyDescent="0.2">
      <c r="C190" s="8" t="str">
        <f>IF([2]道具信息!C190="","",[2]道具信息!C190)</f>
        <v/>
      </c>
      <c r="D190" s="8" t="str">
        <f>IF([2]道具信息!D190="","",[2]道具信息!D190)</f>
        <v/>
      </c>
      <c r="E190" s="8" t="str">
        <f>IF([2]道具信息!E190="","",[2]道具信息!E190)</f>
        <v/>
      </c>
      <c r="F190" s="8" t="str">
        <f>IF([2]道具信息!F190="","",[2]道具信息!F190)</f>
        <v/>
      </c>
      <c r="G190" s="8" t="str">
        <f>IF([2]道具信息!G190="","",[2]道具信息!G190)</f>
        <v/>
      </c>
      <c r="H190" s="8" t="str">
        <f>IF([2]道具信息!H190="","",[2]道具信息!H190)</f>
        <v/>
      </c>
      <c r="I190" s="8" t="str">
        <f>IF([2]道具信息!I190="","",[2]道具信息!I190)</f>
        <v/>
      </c>
      <c r="J190" s="8" t="str">
        <f>IF([2]道具信息!J190="","",[2]道具信息!J190)</f>
        <v/>
      </c>
      <c r="K190" s="8" t="str">
        <f>IF([2]道具信息!K190="","",[2]道具信息!K190)</f>
        <v/>
      </c>
      <c r="L190" s="8" t="str">
        <f>IF([2]道具信息!L190="","",[2]道具信息!L190)</f>
        <v/>
      </c>
      <c r="M190" s="8" t="str">
        <f>IF([2]道具信息!M190="","",[2]道具信息!M190)</f>
        <v/>
      </c>
      <c r="N190" s="8" t="str">
        <f>IF([2]道具信息!N190="","",[2]道具信息!N190)</f>
        <v/>
      </c>
      <c r="O190" s="8" t="str">
        <f>IF([2]道具信息!O190="","",[2]道具信息!O190)</f>
        <v/>
      </c>
      <c r="P190" s="8" t="str">
        <f>IF([2]道具信息!P190="","",[2]道具信息!P190)</f>
        <v/>
      </c>
      <c r="Q190" s="8" t="str">
        <f>IF([2]道具信息!Q190="","",[2]道具信息!Q190)</f>
        <v/>
      </c>
      <c r="R190" s="8" t="str">
        <f>IF([2]道具信息!R190="","",[2]道具信息!R190)</f>
        <v/>
      </c>
    </row>
    <row r="191" spans="3:18" x14ac:dyDescent="0.2">
      <c r="C191" s="8" t="str">
        <f>IF([2]道具信息!C191="","",[2]道具信息!C191)</f>
        <v/>
      </c>
      <c r="D191" s="8" t="str">
        <f>IF([2]道具信息!D191="","",[2]道具信息!D191)</f>
        <v>1级随机宝石</v>
      </c>
      <c r="E191" s="8">
        <f>IF([2]道具信息!E191="","",[2]道具信息!E191)</f>
        <v>1</v>
      </c>
      <c r="F191" s="8">
        <f>IF([2]道具信息!F191="","",[2]道具信息!F191)</f>
        <v>1</v>
      </c>
      <c r="G191" s="8">
        <f>IF([2]道具信息!G191="","",[2]道具信息!G191)</f>
        <v>1</v>
      </c>
      <c r="H191" s="8">
        <f>IF([2]道具信息!H191="","",[2]道具信息!H191)</f>
        <v>1</v>
      </c>
      <c r="I191" s="8">
        <f>IF([2]道具信息!I191="","",[2]道具信息!I191)</f>
        <v>1</v>
      </c>
      <c r="J191" s="8">
        <f>IF([2]道具信息!J191="","",[2]道具信息!J191)</f>
        <v>1</v>
      </c>
      <c r="K191" s="8">
        <f>IF([2]道具信息!K191="","",[2]道具信息!K191)</f>
        <v>1</v>
      </c>
      <c r="L191" s="8" t="str">
        <f>IF([2]道具信息!L191="","",[2]道具信息!L191)</f>
        <v/>
      </c>
      <c r="M191" s="8" t="str">
        <f>IF([2]道具信息!M191="","",[2]道具信息!M191)</f>
        <v/>
      </c>
      <c r="N191" s="8" t="str">
        <f>IF([2]道具信息!N191="","",[2]道具信息!N191)</f>
        <v/>
      </c>
      <c r="O191" s="8" t="str">
        <f>IF([2]道具信息!O191="","",[2]道具信息!O191)</f>
        <v/>
      </c>
      <c r="P191" s="8" t="str">
        <f>IF([2]道具信息!P191="","",[2]道具信息!P191)</f>
        <v/>
      </c>
      <c r="Q191" s="8" t="str">
        <f>IF([2]道具信息!Q191="","",[2]道具信息!Q191)</f>
        <v/>
      </c>
      <c r="R191" s="8" t="str">
        <f>IF([2]道具信息!R191="","",[2]道具信息!R191)</f>
        <v/>
      </c>
    </row>
    <row r="192" spans="3:18" x14ac:dyDescent="0.2">
      <c r="C192" s="8" t="str">
        <f>IF([2]道具信息!C192="","",[2]道具信息!C192)</f>
        <v/>
      </c>
      <c r="D192" s="8" t="str">
        <f>IF([2]道具信息!D192="","",[2]道具信息!D192)</f>
        <v>2级随机宝石</v>
      </c>
      <c r="E192" s="8">
        <f>IF([2]道具信息!E192="","",[2]道具信息!E192)</f>
        <v>6</v>
      </c>
      <c r="F192" s="8">
        <f>IF([2]道具信息!F192="","",[2]道具信息!F192)</f>
        <v>1</v>
      </c>
      <c r="G192" s="8">
        <f>IF([2]道具信息!G192="","",[2]道具信息!G192)</f>
        <v>1</v>
      </c>
      <c r="H192" s="8">
        <f>IF([2]道具信息!H192="","",[2]道具信息!H192)</f>
        <v>1</v>
      </c>
      <c r="I192" s="8">
        <f>IF([2]道具信息!I192="","",[2]道具信息!I192)</f>
        <v>6</v>
      </c>
      <c r="J192" s="8">
        <f>IF([2]道具信息!J192="","",[2]道具信息!J192)</f>
        <v>6</v>
      </c>
      <c r="K192" s="8">
        <f>IF([2]道具信息!K192="","",[2]道具信息!K192)</f>
        <v>6</v>
      </c>
      <c r="L192" s="8" t="str">
        <f>IF([2]道具信息!L192="","",[2]道具信息!L192)</f>
        <v/>
      </c>
      <c r="M192" s="8" t="str">
        <f>IF([2]道具信息!M192="","",[2]道具信息!M192)</f>
        <v/>
      </c>
      <c r="N192" s="8" t="str">
        <f>IF([2]道具信息!N192="","",[2]道具信息!N192)</f>
        <v/>
      </c>
      <c r="O192" s="8" t="str">
        <f>IF([2]道具信息!O192="","",[2]道具信息!O192)</f>
        <v/>
      </c>
      <c r="P192" s="8" t="str">
        <f>IF([2]道具信息!P192="","",[2]道具信息!P192)</f>
        <v/>
      </c>
      <c r="Q192" s="8" t="str">
        <f>IF([2]道具信息!Q192="","",[2]道具信息!Q192)</f>
        <v/>
      </c>
      <c r="R192" s="8" t="str">
        <f>IF([2]道具信息!R192="","",[2]道具信息!R192)</f>
        <v/>
      </c>
    </row>
    <row r="193" spans="3:18" x14ac:dyDescent="0.2">
      <c r="C193" s="8" t="str">
        <f>IF([2]道具信息!C193="","",[2]道具信息!C193)</f>
        <v/>
      </c>
      <c r="D193" s="8" t="str">
        <f>IF([2]道具信息!D193="","",[2]道具信息!D193)</f>
        <v>3级随机宝石</v>
      </c>
      <c r="E193" s="8">
        <f>IF([2]道具信息!E193="","",[2]道具信息!E193)</f>
        <v>27</v>
      </c>
      <c r="F193" s="8">
        <f>IF([2]道具信息!F193="","",[2]道具信息!F193)</f>
        <v>1</v>
      </c>
      <c r="G193" s="8">
        <f>IF([2]道具信息!G193="","",[2]道具信息!G193)</f>
        <v>1</v>
      </c>
      <c r="H193" s="8">
        <f>IF([2]道具信息!H193="","",[2]道具信息!H193)</f>
        <v>1</v>
      </c>
      <c r="I193" s="8">
        <f>IF([2]道具信息!I193="","",[2]道具信息!I193)</f>
        <v>27</v>
      </c>
      <c r="J193" s="8">
        <f>IF([2]道具信息!J193="","",[2]道具信息!J193)</f>
        <v>27</v>
      </c>
      <c r="K193" s="8">
        <f>IF([2]道具信息!K193="","",[2]道具信息!K193)</f>
        <v>27</v>
      </c>
      <c r="L193" s="8" t="str">
        <f>IF([2]道具信息!L193="","",[2]道具信息!L193)</f>
        <v/>
      </c>
      <c r="M193" s="8" t="str">
        <f>IF([2]道具信息!M193="","",[2]道具信息!M193)</f>
        <v/>
      </c>
      <c r="N193" s="8" t="str">
        <f>IF([2]道具信息!N193="","",[2]道具信息!N193)</f>
        <v/>
      </c>
      <c r="O193" s="8" t="str">
        <f>IF([2]道具信息!O193="","",[2]道具信息!O193)</f>
        <v/>
      </c>
      <c r="P193" s="8" t="str">
        <f>IF([2]道具信息!P193="","",[2]道具信息!P193)</f>
        <v/>
      </c>
      <c r="Q193" s="8" t="str">
        <f>IF([2]道具信息!Q193="","",[2]道具信息!Q193)</f>
        <v/>
      </c>
      <c r="R193" s="8" t="str">
        <f>IF([2]道具信息!R193="","",[2]道具信息!R193)</f>
        <v/>
      </c>
    </row>
    <row r="194" spans="3:18" x14ac:dyDescent="0.2">
      <c r="C194" s="8" t="str">
        <f>IF([2]道具信息!C194="","",[2]道具信息!C194)</f>
        <v/>
      </c>
      <c r="D194" s="8" t="str">
        <f>IF([2]道具信息!D194="","",[2]道具信息!D194)</f>
        <v>4级随机宝石</v>
      </c>
      <c r="E194" s="8">
        <f>IF([2]道具信息!E194="","",[2]道具信息!E194)</f>
        <v>100</v>
      </c>
      <c r="F194" s="8">
        <f>IF([2]道具信息!F194="","",[2]道具信息!F194)</f>
        <v>1</v>
      </c>
      <c r="G194" s="8">
        <f>IF([2]道具信息!G194="","",[2]道具信息!G194)</f>
        <v>1</v>
      </c>
      <c r="H194" s="8">
        <f>IF([2]道具信息!H194="","",[2]道具信息!H194)</f>
        <v>1</v>
      </c>
      <c r="I194" s="8">
        <f>IF([2]道具信息!I194="","",[2]道具信息!I194)</f>
        <v>100</v>
      </c>
      <c r="J194" s="8">
        <f>IF([2]道具信息!J194="","",[2]道具信息!J194)</f>
        <v>100</v>
      </c>
      <c r="K194" s="8">
        <f>IF([2]道具信息!K194="","",[2]道具信息!K194)</f>
        <v>100</v>
      </c>
      <c r="L194" s="8" t="str">
        <f>IF([2]道具信息!L194="","",[2]道具信息!L194)</f>
        <v/>
      </c>
      <c r="M194" s="8" t="str">
        <f>IF([2]道具信息!M194="","",[2]道具信息!M194)</f>
        <v/>
      </c>
      <c r="N194" s="8" t="str">
        <f>IF([2]道具信息!N194="","",[2]道具信息!N194)</f>
        <v/>
      </c>
      <c r="O194" s="8" t="str">
        <f>IF([2]道具信息!O194="","",[2]道具信息!O194)</f>
        <v/>
      </c>
      <c r="P194" s="8" t="str">
        <f>IF([2]道具信息!P194="","",[2]道具信息!P194)</f>
        <v/>
      </c>
      <c r="Q194" s="8" t="str">
        <f>IF([2]道具信息!Q194="","",[2]道具信息!Q194)</f>
        <v/>
      </c>
      <c r="R194" s="8" t="str">
        <f>IF([2]道具信息!R194="","",[2]道具信息!R194)</f>
        <v/>
      </c>
    </row>
    <row r="195" spans="3:18" x14ac:dyDescent="0.2">
      <c r="C195" s="8" t="str">
        <f>IF([2]道具信息!C195="","",[2]道具信息!C195)</f>
        <v/>
      </c>
      <c r="D195" s="8" t="str">
        <f>IF([2]道具信息!D195="","",[2]道具信息!D195)</f>
        <v>5级随机宝石</v>
      </c>
      <c r="E195" s="8">
        <f>IF([2]道具信息!E195="","",[2]道具信息!E195)</f>
        <v>400</v>
      </c>
      <c r="F195" s="8">
        <f>IF([2]道具信息!F195="","",[2]道具信息!F195)</f>
        <v>1</v>
      </c>
      <c r="G195" s="8">
        <f>IF([2]道具信息!G195="","",[2]道具信息!G195)</f>
        <v>1</v>
      </c>
      <c r="H195" s="8">
        <f>IF([2]道具信息!H195="","",[2]道具信息!H195)</f>
        <v>1</v>
      </c>
      <c r="I195" s="8">
        <f>IF([2]道具信息!I195="","",[2]道具信息!I195)</f>
        <v>400</v>
      </c>
      <c r="J195" s="8">
        <f>IF([2]道具信息!J195="","",[2]道具信息!J195)</f>
        <v>400</v>
      </c>
      <c r="K195" s="8">
        <f>IF([2]道具信息!K195="","",[2]道具信息!K195)</f>
        <v>400</v>
      </c>
      <c r="L195" s="8" t="str">
        <f>IF([2]道具信息!L195="","",[2]道具信息!L195)</f>
        <v/>
      </c>
      <c r="M195" s="8" t="str">
        <f>IF([2]道具信息!M195="","",[2]道具信息!M195)</f>
        <v/>
      </c>
      <c r="N195" s="8" t="str">
        <f>IF([2]道具信息!N195="","",[2]道具信息!N195)</f>
        <v/>
      </c>
      <c r="O195" s="8" t="str">
        <f>IF([2]道具信息!O195="","",[2]道具信息!O195)</f>
        <v/>
      </c>
      <c r="P195" s="8" t="str">
        <f>IF([2]道具信息!P195="","",[2]道具信息!P195)</f>
        <v/>
      </c>
      <c r="Q195" s="8" t="str">
        <f>IF([2]道具信息!Q195="","",[2]道具信息!Q195)</f>
        <v/>
      </c>
      <c r="R195" s="8" t="str">
        <f>IF([2]道具信息!R195="","",[2]道具信息!R195)</f>
        <v/>
      </c>
    </row>
    <row r="196" spans="3:18" x14ac:dyDescent="0.2">
      <c r="C196" s="8" t="str">
        <f>IF([2]道具信息!C196="","",[2]道具信息!C196)</f>
        <v/>
      </c>
      <c r="D196" s="8" t="str">
        <f>IF([2]道具信息!D196="","",[2]道具信息!D196)</f>
        <v>6级随机宝石</v>
      </c>
      <c r="E196" s="8">
        <f>IF([2]道具信息!E196="","",[2]道具信息!E196)</f>
        <v>1500</v>
      </c>
      <c r="F196" s="8">
        <f>IF([2]道具信息!F196="","",[2]道具信息!F196)</f>
        <v>1</v>
      </c>
      <c r="G196" s="8">
        <f>IF([2]道具信息!G196="","",[2]道具信息!G196)</f>
        <v>1</v>
      </c>
      <c r="H196" s="8">
        <f>IF([2]道具信息!H196="","",[2]道具信息!H196)</f>
        <v>1</v>
      </c>
      <c r="I196" s="8">
        <f>IF([2]道具信息!I196="","",[2]道具信息!I196)</f>
        <v>1500</v>
      </c>
      <c r="J196" s="8">
        <f>IF([2]道具信息!J196="","",[2]道具信息!J196)</f>
        <v>1500</v>
      </c>
      <c r="K196" s="8">
        <f>IF([2]道具信息!K196="","",[2]道具信息!K196)</f>
        <v>1500</v>
      </c>
      <c r="L196" s="8" t="str">
        <f>IF([2]道具信息!L196="","",[2]道具信息!L196)</f>
        <v/>
      </c>
      <c r="M196" s="8" t="str">
        <f>IF([2]道具信息!M196="","",[2]道具信息!M196)</f>
        <v/>
      </c>
      <c r="N196" s="8" t="str">
        <f>IF([2]道具信息!N196="","",[2]道具信息!N196)</f>
        <v/>
      </c>
      <c r="O196" s="8" t="str">
        <f>IF([2]道具信息!O196="","",[2]道具信息!O196)</f>
        <v/>
      </c>
      <c r="P196" s="8" t="str">
        <f>IF([2]道具信息!P196="","",[2]道具信息!P196)</f>
        <v/>
      </c>
      <c r="Q196" s="8" t="str">
        <f>IF([2]道具信息!Q196="","",[2]道具信息!Q196)</f>
        <v/>
      </c>
      <c r="R196" s="8" t="str">
        <f>IF([2]道具信息!R196="","",[2]道具信息!R196)</f>
        <v/>
      </c>
    </row>
    <row r="197" spans="3:18" x14ac:dyDescent="0.2">
      <c r="C197" s="8" t="str">
        <f>IF([2]道具信息!C197="","",[2]道具信息!C197)</f>
        <v/>
      </c>
      <c r="D197" s="8" t="str">
        <f>IF([2]道具信息!D197="","",[2]道具信息!D197)</f>
        <v>7级随机宝石</v>
      </c>
      <c r="E197" s="8">
        <f>IF([2]道具信息!E197="","",[2]道具信息!E197)</f>
        <v>5000</v>
      </c>
      <c r="F197" s="8">
        <f>IF([2]道具信息!F197="","",[2]道具信息!F197)</f>
        <v>1</v>
      </c>
      <c r="G197" s="8">
        <f>IF([2]道具信息!G197="","",[2]道具信息!G197)</f>
        <v>1</v>
      </c>
      <c r="H197" s="8">
        <f>IF([2]道具信息!H197="","",[2]道具信息!H197)</f>
        <v>1</v>
      </c>
      <c r="I197" s="8">
        <f>IF([2]道具信息!I197="","",[2]道具信息!I197)</f>
        <v>5000</v>
      </c>
      <c r="J197" s="8">
        <f>IF([2]道具信息!J197="","",[2]道具信息!J197)</f>
        <v>5000</v>
      </c>
      <c r="K197" s="8">
        <f>IF([2]道具信息!K197="","",[2]道具信息!K197)</f>
        <v>5000</v>
      </c>
      <c r="L197" s="8" t="str">
        <f>IF([2]道具信息!L197="","",[2]道具信息!L197)</f>
        <v/>
      </c>
      <c r="M197" s="8" t="str">
        <f>IF([2]道具信息!M197="","",[2]道具信息!M197)</f>
        <v/>
      </c>
      <c r="N197" s="8" t="str">
        <f>IF([2]道具信息!N197="","",[2]道具信息!N197)</f>
        <v/>
      </c>
      <c r="O197" s="8" t="str">
        <f>IF([2]道具信息!O197="","",[2]道具信息!O197)</f>
        <v/>
      </c>
      <c r="P197" s="8" t="str">
        <f>IF([2]道具信息!P197="","",[2]道具信息!P197)</f>
        <v/>
      </c>
      <c r="Q197" s="8" t="str">
        <f>IF([2]道具信息!Q197="","",[2]道具信息!Q197)</f>
        <v/>
      </c>
      <c r="R197" s="8" t="str">
        <f>IF([2]道具信息!R197="","",[2]道具信息!R197)</f>
        <v/>
      </c>
    </row>
    <row r="198" spans="3:18" x14ac:dyDescent="0.2">
      <c r="C198" s="8" t="str">
        <f>IF([2]道具信息!C198="","",[2]道具信息!C198)</f>
        <v/>
      </c>
      <c r="D198" s="8" t="str">
        <f>IF([2]道具信息!D198="","",[2]道具信息!D198)</f>
        <v>8级随机宝石</v>
      </c>
      <c r="E198" s="8">
        <f>IF([2]道具信息!E198="","",[2]道具信息!E198)</f>
        <v>18000</v>
      </c>
      <c r="F198" s="8">
        <f>IF([2]道具信息!F198="","",[2]道具信息!F198)</f>
        <v>1</v>
      </c>
      <c r="G198" s="8">
        <f>IF([2]道具信息!G198="","",[2]道具信息!G198)</f>
        <v>1</v>
      </c>
      <c r="H198" s="8">
        <f>IF([2]道具信息!H198="","",[2]道具信息!H198)</f>
        <v>1</v>
      </c>
      <c r="I198" s="8">
        <f>IF([2]道具信息!I198="","",[2]道具信息!I198)</f>
        <v>18000</v>
      </c>
      <c r="J198" s="8">
        <f>IF([2]道具信息!J198="","",[2]道具信息!J198)</f>
        <v>18000</v>
      </c>
      <c r="K198" s="8">
        <f>IF([2]道具信息!K198="","",[2]道具信息!K198)</f>
        <v>18000</v>
      </c>
      <c r="L198" s="8" t="str">
        <f>IF([2]道具信息!L198="","",[2]道具信息!L198)</f>
        <v/>
      </c>
      <c r="M198" s="8" t="str">
        <f>IF([2]道具信息!M198="","",[2]道具信息!M198)</f>
        <v/>
      </c>
      <c r="N198" s="8" t="str">
        <f>IF([2]道具信息!N198="","",[2]道具信息!N198)</f>
        <v/>
      </c>
      <c r="O198" s="8" t="str">
        <f>IF([2]道具信息!O198="","",[2]道具信息!O198)</f>
        <v/>
      </c>
      <c r="P198" s="8" t="str">
        <f>IF([2]道具信息!P198="","",[2]道具信息!P198)</f>
        <v/>
      </c>
      <c r="Q198" s="8" t="str">
        <f>IF([2]道具信息!Q198="","",[2]道具信息!Q198)</f>
        <v/>
      </c>
      <c r="R198" s="8" t="str">
        <f>IF([2]道具信息!R198="","",[2]道具信息!R198)</f>
        <v/>
      </c>
    </row>
    <row r="199" spans="3:18" x14ac:dyDescent="0.2">
      <c r="C199" s="8" t="str">
        <f>IF([2]道具信息!C199="","",[2]道具信息!C199)</f>
        <v/>
      </c>
      <c r="D199" s="8" t="str">
        <f>IF([2]道具信息!D199="","",[2]道具信息!D199)</f>
        <v>9级随机宝石</v>
      </c>
      <c r="E199" s="8">
        <f>IF([2]道具信息!E199="","",[2]道具信息!E199)</f>
        <v>60000</v>
      </c>
      <c r="F199" s="8">
        <f>IF([2]道具信息!F199="","",[2]道具信息!F199)</f>
        <v>1</v>
      </c>
      <c r="G199" s="8">
        <f>IF([2]道具信息!G199="","",[2]道具信息!G199)</f>
        <v>1</v>
      </c>
      <c r="H199" s="8">
        <f>IF([2]道具信息!H199="","",[2]道具信息!H199)</f>
        <v>1</v>
      </c>
      <c r="I199" s="8">
        <f>IF([2]道具信息!I199="","",[2]道具信息!I199)</f>
        <v>60000</v>
      </c>
      <c r="J199" s="8">
        <f>IF([2]道具信息!J199="","",[2]道具信息!J199)</f>
        <v>60000</v>
      </c>
      <c r="K199" s="8">
        <f>IF([2]道具信息!K199="","",[2]道具信息!K199)</f>
        <v>60000</v>
      </c>
      <c r="L199" s="8" t="str">
        <f>IF([2]道具信息!L199="","",[2]道具信息!L199)</f>
        <v/>
      </c>
      <c r="M199" s="8" t="str">
        <f>IF([2]道具信息!M199="","",[2]道具信息!M199)</f>
        <v/>
      </c>
      <c r="N199" s="8" t="str">
        <f>IF([2]道具信息!N199="","",[2]道具信息!N199)</f>
        <v/>
      </c>
      <c r="O199" s="8" t="str">
        <f>IF([2]道具信息!O199="","",[2]道具信息!O199)</f>
        <v/>
      </c>
      <c r="P199" s="8" t="str">
        <f>IF([2]道具信息!P199="","",[2]道具信息!P199)</f>
        <v/>
      </c>
      <c r="Q199" s="8" t="str">
        <f>IF([2]道具信息!Q199="","",[2]道具信息!Q199)</f>
        <v/>
      </c>
      <c r="R199" s="8" t="str">
        <f>IF([2]道具信息!R199="","",[2]道具信息!R199)</f>
        <v/>
      </c>
    </row>
    <row r="200" spans="3:18" x14ac:dyDescent="0.2">
      <c r="C200" s="8" t="str">
        <f>IF([2]道具信息!C200="","",[2]道具信息!C200)</f>
        <v/>
      </c>
      <c r="D200" s="8" t="str">
        <f>IF([2]道具信息!D200="","",[2]道具信息!D200)</f>
        <v>10级随机宝石</v>
      </c>
      <c r="E200" s="8">
        <f>IF([2]道具信息!E200="","",[2]道具信息!E200)</f>
        <v>180000</v>
      </c>
      <c r="F200" s="8">
        <f>IF([2]道具信息!F200="","",[2]道具信息!F200)</f>
        <v>1</v>
      </c>
      <c r="G200" s="8">
        <f>IF([2]道具信息!G200="","",[2]道具信息!G200)</f>
        <v>1</v>
      </c>
      <c r="H200" s="8">
        <f>IF([2]道具信息!H200="","",[2]道具信息!H200)</f>
        <v>1</v>
      </c>
      <c r="I200" s="8">
        <f>IF([2]道具信息!I200="","",[2]道具信息!I200)</f>
        <v>180000</v>
      </c>
      <c r="J200" s="8">
        <f>IF([2]道具信息!J200="","",[2]道具信息!J200)</f>
        <v>180000</v>
      </c>
      <c r="K200" s="8">
        <f>IF([2]道具信息!K200="","",[2]道具信息!K200)</f>
        <v>180000</v>
      </c>
      <c r="L200" s="8" t="str">
        <f>IF([2]道具信息!L200="","",[2]道具信息!L200)</f>
        <v/>
      </c>
      <c r="M200" s="8" t="str">
        <f>IF([2]道具信息!M200="","",[2]道具信息!M200)</f>
        <v/>
      </c>
      <c r="N200" s="8" t="str">
        <f>IF([2]道具信息!N200="","",[2]道具信息!N200)</f>
        <v/>
      </c>
      <c r="O200" s="8" t="str">
        <f>IF([2]道具信息!O200="","",[2]道具信息!O200)</f>
        <v/>
      </c>
      <c r="P200" s="8" t="str">
        <f>IF([2]道具信息!P200="","",[2]道具信息!P200)</f>
        <v/>
      </c>
      <c r="Q200" s="8" t="str">
        <f>IF([2]道具信息!Q200="","",[2]道具信息!Q200)</f>
        <v/>
      </c>
      <c r="R200" s="8" t="str">
        <f>IF([2]道具信息!R200="","",[2]道具信息!R200)</f>
        <v/>
      </c>
    </row>
    <row r="201" spans="3:18" x14ac:dyDescent="0.2">
      <c r="C201" s="8" t="str">
        <f>IF([2]道具信息!C201="","",[2]道具信息!C201)</f>
        <v/>
      </c>
      <c r="D201" s="8" t="str">
        <f>IF([2]道具信息!D201="","",[2]道具信息!D201)</f>
        <v>11级随机宝石</v>
      </c>
      <c r="E201" s="8">
        <f>IF([2]道具信息!E201="","",[2]道具信息!E201)</f>
        <v>540000</v>
      </c>
      <c r="F201" s="8">
        <f>IF([2]道具信息!F201="","",[2]道具信息!F201)</f>
        <v>1</v>
      </c>
      <c r="G201" s="8">
        <f>IF([2]道具信息!G201="","",[2]道具信息!G201)</f>
        <v>1</v>
      </c>
      <c r="H201" s="8">
        <f>IF([2]道具信息!H201="","",[2]道具信息!H201)</f>
        <v>1</v>
      </c>
      <c r="I201" s="8">
        <f>IF([2]道具信息!I201="","",[2]道具信息!I201)</f>
        <v>540000</v>
      </c>
      <c r="J201" s="8">
        <f>IF([2]道具信息!J201="","",[2]道具信息!J201)</f>
        <v>540000</v>
      </c>
      <c r="K201" s="8">
        <f>IF([2]道具信息!K201="","",[2]道具信息!K201)</f>
        <v>540000</v>
      </c>
      <c r="L201" s="8" t="str">
        <f>IF([2]道具信息!L201="","",[2]道具信息!L201)</f>
        <v/>
      </c>
      <c r="M201" s="8" t="str">
        <f>IF([2]道具信息!M201="","",[2]道具信息!M201)</f>
        <v/>
      </c>
      <c r="N201" s="8" t="str">
        <f>IF([2]道具信息!N201="","",[2]道具信息!N201)</f>
        <v/>
      </c>
      <c r="O201" s="8" t="str">
        <f>IF([2]道具信息!O201="","",[2]道具信息!O201)</f>
        <v/>
      </c>
      <c r="P201" s="8" t="str">
        <f>IF([2]道具信息!P201="","",[2]道具信息!P201)</f>
        <v/>
      </c>
      <c r="Q201" s="8" t="str">
        <f>IF([2]道具信息!Q201="","",[2]道具信息!Q201)</f>
        <v/>
      </c>
      <c r="R201" s="8" t="str">
        <f>IF([2]道具信息!R201="","",[2]道具信息!R201)</f>
        <v/>
      </c>
    </row>
    <row r="202" spans="3:18" x14ac:dyDescent="0.2">
      <c r="C202" s="8" t="str">
        <f>IF([2]道具信息!C202="","",[2]道具信息!C202)</f>
        <v/>
      </c>
      <c r="D202" s="8" t="str">
        <f>IF([2]道具信息!D202="","",[2]道具信息!D202)</f>
        <v>12级随机宝石</v>
      </c>
      <c r="E202" s="8">
        <f>IF([2]道具信息!E202="","",[2]道具信息!E202)</f>
        <v>1620000</v>
      </c>
      <c r="F202" s="8">
        <f>IF([2]道具信息!F202="","",[2]道具信息!F202)</f>
        <v>1</v>
      </c>
      <c r="G202" s="8">
        <f>IF([2]道具信息!G202="","",[2]道具信息!G202)</f>
        <v>1</v>
      </c>
      <c r="H202" s="8">
        <f>IF([2]道具信息!H202="","",[2]道具信息!H202)</f>
        <v>1</v>
      </c>
      <c r="I202" s="8">
        <f>IF([2]道具信息!I202="","",[2]道具信息!I202)</f>
        <v>1620000</v>
      </c>
      <c r="J202" s="8">
        <f>IF([2]道具信息!J202="","",[2]道具信息!J202)</f>
        <v>1620000</v>
      </c>
      <c r="K202" s="8">
        <f>IF([2]道具信息!K202="","",[2]道具信息!K202)</f>
        <v>1620000</v>
      </c>
      <c r="L202" s="8" t="str">
        <f>IF([2]道具信息!L202="","",[2]道具信息!L202)</f>
        <v/>
      </c>
      <c r="M202" s="8" t="str">
        <f>IF([2]道具信息!M202="","",[2]道具信息!M202)</f>
        <v/>
      </c>
      <c r="N202" s="8" t="str">
        <f>IF([2]道具信息!N202="","",[2]道具信息!N202)</f>
        <v/>
      </c>
      <c r="O202" s="8" t="str">
        <f>IF([2]道具信息!O202="","",[2]道具信息!O202)</f>
        <v/>
      </c>
      <c r="P202" s="8" t="str">
        <f>IF([2]道具信息!P202="","",[2]道具信息!P202)</f>
        <v/>
      </c>
      <c r="Q202" s="8" t="str">
        <f>IF([2]道具信息!Q202="","",[2]道具信息!Q202)</f>
        <v/>
      </c>
      <c r="R202" s="8" t="str">
        <f>IF([2]道具信息!R202="","",[2]道具信息!R202)</f>
        <v/>
      </c>
    </row>
    <row r="203" spans="3:18" x14ac:dyDescent="0.2">
      <c r="C203" s="8" t="str">
        <f>IF([2]道具信息!C203="","",[2]道具信息!C203)</f>
        <v/>
      </c>
      <c r="D203" s="8" t="str">
        <f>IF([2]道具信息!D203="","",[2]道具信息!D203)</f>
        <v>13级随机宝石</v>
      </c>
      <c r="E203" s="8">
        <f>IF([2]道具信息!E203="","",[2]道具信息!E203)</f>
        <v>4860000</v>
      </c>
      <c r="F203" s="8">
        <f>IF([2]道具信息!F203="","",[2]道具信息!F203)</f>
        <v>1</v>
      </c>
      <c r="G203" s="8">
        <f>IF([2]道具信息!G203="","",[2]道具信息!G203)</f>
        <v>1</v>
      </c>
      <c r="H203" s="8">
        <f>IF([2]道具信息!H203="","",[2]道具信息!H203)</f>
        <v>1</v>
      </c>
      <c r="I203" s="8">
        <f>IF([2]道具信息!I203="","",[2]道具信息!I203)</f>
        <v>4860000</v>
      </c>
      <c r="J203" s="8">
        <f>IF([2]道具信息!J203="","",[2]道具信息!J203)</f>
        <v>4860000</v>
      </c>
      <c r="K203" s="8">
        <f>IF([2]道具信息!K203="","",[2]道具信息!K203)</f>
        <v>4860000</v>
      </c>
      <c r="L203" s="8" t="str">
        <f>IF([2]道具信息!L203="","",[2]道具信息!L203)</f>
        <v/>
      </c>
      <c r="M203" s="8" t="str">
        <f>IF([2]道具信息!M203="","",[2]道具信息!M203)</f>
        <v/>
      </c>
      <c r="N203" s="8" t="str">
        <f>IF([2]道具信息!N203="","",[2]道具信息!N203)</f>
        <v/>
      </c>
      <c r="O203" s="8" t="str">
        <f>IF([2]道具信息!O203="","",[2]道具信息!O203)</f>
        <v/>
      </c>
      <c r="P203" s="8" t="str">
        <f>IF([2]道具信息!P203="","",[2]道具信息!P203)</f>
        <v/>
      </c>
      <c r="Q203" s="8" t="str">
        <f>IF([2]道具信息!Q203="","",[2]道具信息!Q203)</f>
        <v/>
      </c>
      <c r="R203" s="8" t="str">
        <f>IF([2]道具信息!R203="","",[2]道具信息!R203)</f>
        <v/>
      </c>
    </row>
    <row r="204" spans="3:18" x14ac:dyDescent="0.2">
      <c r="C204" s="8" t="str">
        <f>IF([2]道具信息!C204="","",[2]道具信息!C204)</f>
        <v/>
      </c>
      <c r="D204" s="8" t="str">
        <f>IF([2]道具信息!D204="","",[2]道具信息!D204)</f>
        <v>14级随机宝石</v>
      </c>
      <c r="E204" s="8">
        <f>IF([2]道具信息!E204="","",[2]道具信息!E204)</f>
        <v>14580000</v>
      </c>
      <c r="F204" s="8">
        <f>IF([2]道具信息!F204="","",[2]道具信息!F204)</f>
        <v>1</v>
      </c>
      <c r="G204" s="8">
        <f>IF([2]道具信息!G204="","",[2]道具信息!G204)</f>
        <v>1</v>
      </c>
      <c r="H204" s="8">
        <f>IF([2]道具信息!H204="","",[2]道具信息!H204)</f>
        <v>1</v>
      </c>
      <c r="I204" s="8">
        <f>IF([2]道具信息!I204="","",[2]道具信息!I204)</f>
        <v>14580000</v>
      </c>
      <c r="J204" s="8">
        <f>IF([2]道具信息!J204="","",[2]道具信息!J204)</f>
        <v>14580000</v>
      </c>
      <c r="K204" s="8">
        <f>IF([2]道具信息!K204="","",[2]道具信息!K204)</f>
        <v>14580000</v>
      </c>
      <c r="L204" s="8" t="str">
        <f>IF([2]道具信息!L204="","",[2]道具信息!L204)</f>
        <v/>
      </c>
      <c r="M204" s="8" t="str">
        <f>IF([2]道具信息!M204="","",[2]道具信息!M204)</f>
        <v/>
      </c>
      <c r="N204" s="8" t="str">
        <f>IF([2]道具信息!N204="","",[2]道具信息!N204)</f>
        <v/>
      </c>
      <c r="O204" s="8" t="str">
        <f>IF([2]道具信息!O204="","",[2]道具信息!O204)</f>
        <v/>
      </c>
      <c r="P204" s="8" t="str">
        <f>IF([2]道具信息!P204="","",[2]道具信息!P204)</f>
        <v/>
      </c>
      <c r="Q204" s="8" t="str">
        <f>IF([2]道具信息!Q204="","",[2]道具信息!Q204)</f>
        <v/>
      </c>
      <c r="R204" s="8" t="str">
        <f>IF([2]道具信息!R204="","",[2]道具信息!R204)</f>
        <v/>
      </c>
    </row>
    <row r="205" spans="3:18" x14ac:dyDescent="0.2">
      <c r="C205" s="8" t="str">
        <f>IF([2]道具信息!C205="","",[2]道具信息!C205)</f>
        <v/>
      </c>
      <c r="D205" s="8" t="str">
        <f>IF([2]道具信息!D205="","",[2]道具信息!D205)</f>
        <v>15级随机宝石</v>
      </c>
      <c r="E205" s="8">
        <f>IF([2]道具信息!E205="","",[2]道具信息!E205)</f>
        <v>43740000</v>
      </c>
      <c r="F205" s="8">
        <f>IF([2]道具信息!F205="","",[2]道具信息!F205)</f>
        <v>1</v>
      </c>
      <c r="G205" s="8">
        <f>IF([2]道具信息!G205="","",[2]道具信息!G205)</f>
        <v>1</v>
      </c>
      <c r="H205" s="8">
        <f>IF([2]道具信息!H205="","",[2]道具信息!H205)</f>
        <v>1</v>
      </c>
      <c r="I205" s="8">
        <f>IF([2]道具信息!I205="","",[2]道具信息!I205)</f>
        <v>43740000</v>
      </c>
      <c r="J205" s="8">
        <f>IF([2]道具信息!J205="","",[2]道具信息!J205)</f>
        <v>43740000</v>
      </c>
      <c r="K205" s="8">
        <f>IF([2]道具信息!K205="","",[2]道具信息!K205)</f>
        <v>43740000</v>
      </c>
      <c r="L205" s="8" t="str">
        <f>IF([2]道具信息!L205="","",[2]道具信息!L205)</f>
        <v/>
      </c>
      <c r="M205" s="8" t="str">
        <f>IF([2]道具信息!M205="","",[2]道具信息!M205)</f>
        <v/>
      </c>
      <c r="N205" s="8" t="str">
        <f>IF([2]道具信息!N205="","",[2]道具信息!N205)</f>
        <v/>
      </c>
      <c r="O205" s="8" t="str">
        <f>IF([2]道具信息!O205="","",[2]道具信息!O205)</f>
        <v/>
      </c>
      <c r="P205" s="8" t="str">
        <f>IF([2]道具信息!P205="","",[2]道具信息!P205)</f>
        <v/>
      </c>
      <c r="Q205" s="8" t="str">
        <f>IF([2]道具信息!Q205="","",[2]道具信息!Q205)</f>
        <v/>
      </c>
      <c r="R205" s="8" t="str">
        <f>IF([2]道具信息!R205="","",[2]道具信息!R205)</f>
        <v/>
      </c>
    </row>
    <row r="206" spans="3:18" x14ac:dyDescent="0.2">
      <c r="C206" s="8" t="str">
        <f>IF([2]道具信息!C206="","",[2]道具信息!C206)</f>
        <v/>
      </c>
      <c r="D206" s="8" t="str">
        <f>IF([2]道具信息!D206="","",[2]道具信息!D206)</f>
        <v/>
      </c>
      <c r="E206" s="8" t="str">
        <f>IF([2]道具信息!E206="","",[2]道具信息!E206)</f>
        <v/>
      </c>
      <c r="F206" s="8" t="str">
        <f>IF([2]道具信息!F206="","",[2]道具信息!F206)</f>
        <v/>
      </c>
      <c r="G206" s="8" t="str">
        <f>IF([2]道具信息!G206="","",[2]道具信息!G206)</f>
        <v/>
      </c>
      <c r="H206" s="8" t="str">
        <f>IF([2]道具信息!H206="","",[2]道具信息!H206)</f>
        <v/>
      </c>
      <c r="I206" s="8" t="str">
        <f>IF([2]道具信息!I206="","",[2]道具信息!I206)</f>
        <v/>
      </c>
      <c r="J206" s="8" t="str">
        <f>IF([2]道具信息!J206="","",[2]道具信息!J206)</f>
        <v/>
      </c>
      <c r="K206" s="8" t="str">
        <f>IF([2]道具信息!K206="","",[2]道具信息!K206)</f>
        <v/>
      </c>
      <c r="L206" s="8" t="str">
        <f>IF([2]道具信息!L206="","",[2]道具信息!L206)</f>
        <v/>
      </c>
      <c r="M206" s="8" t="str">
        <f>IF([2]道具信息!M206="","",[2]道具信息!M206)</f>
        <v/>
      </c>
      <c r="N206" s="8" t="str">
        <f>IF([2]道具信息!N206="","",[2]道具信息!N206)</f>
        <v/>
      </c>
      <c r="O206" s="8" t="str">
        <f>IF([2]道具信息!O206="","",[2]道具信息!O206)</f>
        <v/>
      </c>
      <c r="P206" s="8" t="str">
        <f>IF([2]道具信息!P206="","",[2]道具信息!P206)</f>
        <v/>
      </c>
      <c r="Q206" s="8" t="str">
        <f>IF([2]道具信息!Q206="","",[2]道具信息!Q206)</f>
        <v/>
      </c>
      <c r="R206" s="8" t="str">
        <f>IF([2]道具信息!R206="","",[2]道具信息!R206)</f>
        <v/>
      </c>
    </row>
    <row r="207" spans="3:18" x14ac:dyDescent="0.2">
      <c r="C207" s="8" t="str">
        <f>IF([2]道具信息!C207="","",[2]道具信息!C207)</f>
        <v/>
      </c>
      <c r="D207" s="8" t="str">
        <f>IF([2]道具信息!D207="","",[2]道具信息!D207)</f>
        <v>血石</v>
      </c>
      <c r="E207" s="8">
        <f>IF([2]道具信息!E207="","",[2]道具信息!E207)</f>
        <v>0.5</v>
      </c>
      <c r="F207" s="8">
        <f>IF([2]道具信息!F207="","",[2]道具信息!F207)</f>
        <v>1</v>
      </c>
      <c r="G207" s="8">
        <f>IF([2]道具信息!G207="","",[2]道具信息!G207)</f>
        <v>1</v>
      </c>
      <c r="H207" s="8">
        <f>IF([2]道具信息!H207="","",[2]道具信息!H207)</f>
        <v>1</v>
      </c>
      <c r="I207" s="8">
        <f>IF([2]道具信息!I207="","",[2]道具信息!I207)</f>
        <v>0.5</v>
      </c>
      <c r="J207" s="8">
        <f>IF([2]道具信息!J207="","",[2]道具信息!J207)</f>
        <v>0.5</v>
      </c>
      <c r="K207" s="8">
        <f>IF([2]道具信息!K207="","",[2]道具信息!K207)</f>
        <v>0.5</v>
      </c>
      <c r="L207" s="8" t="str">
        <f>IF([2]道具信息!L207="","",[2]道具信息!L207)</f>
        <v/>
      </c>
      <c r="M207" s="8" t="str">
        <f>IF([2]道具信息!M207="","",[2]道具信息!M207)</f>
        <v/>
      </c>
      <c r="N207" s="8" t="str">
        <f>IF([2]道具信息!N207="","",[2]道具信息!N207)</f>
        <v/>
      </c>
      <c r="O207" s="8" t="str">
        <f>IF([2]道具信息!O207="","",[2]道具信息!O207)</f>
        <v/>
      </c>
      <c r="P207" s="8" t="str">
        <f>IF([2]道具信息!P207="","",[2]道具信息!P207)</f>
        <v/>
      </c>
      <c r="Q207" s="8" t="str">
        <f>IF([2]道具信息!Q207="","",[2]道具信息!Q207)</f>
        <v/>
      </c>
      <c r="R207" s="8" t="str">
        <f>IF([2]道具信息!R207="","",[2]道具信息!R207)</f>
        <v/>
      </c>
    </row>
    <row r="208" spans="3:18" x14ac:dyDescent="0.2">
      <c r="C208" s="8" t="str">
        <f>IF([2]道具信息!C208="","",[2]道具信息!C208)</f>
        <v/>
      </c>
      <c r="D208" s="8" t="str">
        <f>IF([2]道具信息!D208="","",[2]道具信息!D208)</f>
        <v>血晶</v>
      </c>
      <c r="E208" s="8">
        <f>IF([2]道具信息!E208="","",[2]道具信息!E208)</f>
        <v>10</v>
      </c>
      <c r="F208" s="8">
        <f>IF([2]道具信息!F208="","",[2]道具信息!F208)</f>
        <v>1</v>
      </c>
      <c r="G208" s="8">
        <f>IF([2]道具信息!G208="","",[2]道具信息!G208)</f>
        <v>1</v>
      </c>
      <c r="H208" s="8">
        <f>IF([2]道具信息!H208="","",[2]道具信息!H208)</f>
        <v>1</v>
      </c>
      <c r="I208" s="8">
        <f>IF([2]道具信息!I208="","",[2]道具信息!I208)</f>
        <v>10</v>
      </c>
      <c r="J208" s="8">
        <f>IF([2]道具信息!J208="","",[2]道具信息!J208)</f>
        <v>10</v>
      </c>
      <c r="K208" s="8">
        <f>IF([2]道具信息!K208="","",[2]道具信息!K208)</f>
        <v>10</v>
      </c>
      <c r="L208" s="8" t="str">
        <f>IF([2]道具信息!L208="","",[2]道具信息!L208)</f>
        <v/>
      </c>
      <c r="M208" s="8" t="str">
        <f>IF([2]道具信息!M208="","",[2]道具信息!M208)</f>
        <v/>
      </c>
      <c r="N208" s="8" t="str">
        <f>IF([2]道具信息!N208="","",[2]道具信息!N208)</f>
        <v/>
      </c>
      <c r="O208" s="8" t="str">
        <f>IF([2]道具信息!O208="","",[2]道具信息!O208)</f>
        <v/>
      </c>
      <c r="P208" s="8" t="str">
        <f>IF([2]道具信息!P208="","",[2]道具信息!P208)</f>
        <v/>
      </c>
      <c r="Q208" s="8" t="str">
        <f>IF([2]道具信息!Q208="","",[2]道具信息!Q208)</f>
        <v/>
      </c>
      <c r="R208" s="8" t="str">
        <f>IF([2]道具信息!R208="","",[2]道具信息!R208)</f>
        <v/>
      </c>
    </row>
    <row r="209" spans="3:18" x14ac:dyDescent="0.2">
      <c r="C209" s="8" t="str">
        <f>IF([2]道具信息!C209="","",[2]道具信息!C209)</f>
        <v/>
      </c>
      <c r="D209" s="8" t="str">
        <f>IF([2]道具信息!D209="","",[2]道具信息!D209)</f>
        <v/>
      </c>
      <c r="E209" s="8" t="str">
        <f>IF([2]道具信息!E209="","",[2]道具信息!E209)</f>
        <v/>
      </c>
      <c r="F209" s="8" t="str">
        <f>IF([2]道具信息!F209="","",[2]道具信息!F209)</f>
        <v/>
      </c>
      <c r="G209" s="8" t="str">
        <f>IF([2]道具信息!G209="","",[2]道具信息!G209)</f>
        <v/>
      </c>
      <c r="H209" s="8" t="str">
        <f>IF([2]道具信息!H209="","",[2]道具信息!H209)</f>
        <v/>
      </c>
      <c r="I209" s="8" t="str">
        <f>IF([2]道具信息!I209="","",[2]道具信息!I209)</f>
        <v/>
      </c>
      <c r="J209" s="8" t="str">
        <f>IF([2]道具信息!J209="","",[2]道具信息!J209)</f>
        <v/>
      </c>
      <c r="K209" s="8" t="str">
        <f>IF([2]道具信息!K209="","",[2]道具信息!K209)</f>
        <v/>
      </c>
      <c r="L209" s="8" t="str">
        <f>IF([2]道具信息!L209="","",[2]道具信息!L209)</f>
        <v/>
      </c>
      <c r="M209" s="8" t="str">
        <f>IF([2]道具信息!M209="","",[2]道具信息!M209)</f>
        <v/>
      </c>
      <c r="N209" s="8" t="str">
        <f>IF([2]道具信息!N209="","",[2]道具信息!N209)</f>
        <v/>
      </c>
      <c r="O209" s="8" t="str">
        <f>IF([2]道具信息!O209="","",[2]道具信息!O209)</f>
        <v/>
      </c>
      <c r="P209" s="8" t="str">
        <f>IF([2]道具信息!P209="","",[2]道具信息!P209)</f>
        <v/>
      </c>
      <c r="Q209" s="8" t="str">
        <f>IF([2]道具信息!Q209="","",[2]道具信息!Q209)</f>
        <v/>
      </c>
      <c r="R209" s="8" t="str">
        <f>IF([2]道具信息!R209="","",[2]道具信息!R209)</f>
        <v/>
      </c>
    </row>
    <row r="210" spans="3:18" x14ac:dyDescent="0.2">
      <c r="C210" s="8" t="str">
        <f>IF([2]道具信息!C210="","",[2]道具信息!C210)</f>
        <v/>
      </c>
      <c r="D210" s="8" t="str">
        <f>IF([2]道具信息!D210="","",[2]道具信息!D210)</f>
        <v>蓝色提纯券</v>
      </c>
      <c r="E210" s="8">
        <f>IF([2]道具信息!E210="","",[2]道具信息!E210)</f>
        <v>100</v>
      </c>
      <c r="F210" s="8">
        <f>IF([2]道具信息!F210="","",[2]道具信息!F210)</f>
        <v>1</v>
      </c>
      <c r="G210" s="8">
        <f>IF([2]道具信息!G210="","",[2]道具信息!G210)</f>
        <v>1</v>
      </c>
      <c r="H210" s="8">
        <f>IF([2]道具信息!H210="","",[2]道具信息!H210)</f>
        <v>1</v>
      </c>
      <c r="I210" s="8">
        <f>IF([2]道具信息!I210="","",[2]道具信息!I210)</f>
        <v>100</v>
      </c>
      <c r="J210" s="8">
        <f>IF([2]道具信息!J210="","",[2]道具信息!J210)</f>
        <v>100</v>
      </c>
      <c r="K210" s="8">
        <f>IF([2]道具信息!K210="","",[2]道具信息!K210)</f>
        <v>100</v>
      </c>
      <c r="L210" s="8" t="str">
        <f>IF([2]道具信息!L210="","",[2]道具信息!L210)</f>
        <v/>
      </c>
      <c r="M210" s="8" t="str">
        <f>IF([2]道具信息!M210="","",[2]道具信息!M210)</f>
        <v/>
      </c>
      <c r="N210" s="8" t="str">
        <f>IF([2]道具信息!N210="","",[2]道具信息!N210)</f>
        <v/>
      </c>
      <c r="O210" s="8" t="str">
        <f>IF([2]道具信息!O210="","",[2]道具信息!O210)</f>
        <v/>
      </c>
      <c r="P210" s="8" t="str">
        <f>IF([2]道具信息!P210="","",[2]道具信息!P210)</f>
        <v/>
      </c>
      <c r="Q210" s="8" t="str">
        <f>IF([2]道具信息!Q210="","",[2]道具信息!Q210)</f>
        <v/>
      </c>
      <c r="R210" s="8" t="str">
        <f>IF([2]道具信息!R210="","",[2]道具信息!R210)</f>
        <v/>
      </c>
    </row>
    <row r="211" spans="3:18" x14ac:dyDescent="0.2">
      <c r="C211" s="8" t="str">
        <f>IF([2]道具信息!C211="","",[2]道具信息!C211)</f>
        <v/>
      </c>
      <c r="D211" s="8" t="str">
        <f>IF([2]道具信息!D211="","",[2]道具信息!D211)</f>
        <v>紫色提纯券</v>
      </c>
      <c r="E211" s="8">
        <f>IF([2]道具信息!E211="","",[2]道具信息!E211)</f>
        <v>600</v>
      </c>
      <c r="F211" s="8">
        <f>IF([2]道具信息!F211="","",[2]道具信息!F211)</f>
        <v>1</v>
      </c>
      <c r="G211" s="8">
        <f>IF([2]道具信息!G211="","",[2]道具信息!G211)</f>
        <v>1</v>
      </c>
      <c r="H211" s="8">
        <f>IF([2]道具信息!H211="","",[2]道具信息!H211)</f>
        <v>1</v>
      </c>
      <c r="I211" s="8">
        <f>IF([2]道具信息!I211="","",[2]道具信息!I211)</f>
        <v>600</v>
      </c>
      <c r="J211" s="8">
        <f>IF([2]道具信息!J211="","",[2]道具信息!J211)</f>
        <v>600</v>
      </c>
      <c r="K211" s="8">
        <f>IF([2]道具信息!K211="","",[2]道具信息!K211)</f>
        <v>600</v>
      </c>
      <c r="L211" s="8" t="str">
        <f>IF([2]道具信息!L211="","",[2]道具信息!L211)</f>
        <v/>
      </c>
      <c r="M211" s="8" t="str">
        <f>IF([2]道具信息!M211="","",[2]道具信息!M211)</f>
        <v/>
      </c>
      <c r="N211" s="8" t="str">
        <f>IF([2]道具信息!N211="","",[2]道具信息!N211)</f>
        <v/>
      </c>
      <c r="O211" s="8" t="str">
        <f>IF([2]道具信息!O211="","",[2]道具信息!O211)</f>
        <v/>
      </c>
      <c r="P211" s="8" t="str">
        <f>IF([2]道具信息!P211="","",[2]道具信息!P211)</f>
        <v/>
      </c>
      <c r="Q211" s="8" t="str">
        <f>IF([2]道具信息!Q211="","",[2]道具信息!Q211)</f>
        <v/>
      </c>
      <c r="R211" s="8" t="str">
        <f>IF([2]道具信息!R211="","",[2]道具信息!R211)</f>
        <v/>
      </c>
    </row>
    <row r="212" spans="3:18" x14ac:dyDescent="0.2">
      <c r="C212" s="8" t="str">
        <f>IF([2]道具信息!C212="","",[2]道具信息!C212)</f>
        <v/>
      </c>
      <c r="D212" s="8" t="str">
        <f>IF([2]道具信息!D212="","",[2]道具信息!D212)</f>
        <v>橙色提纯券</v>
      </c>
      <c r="E212" s="8">
        <f>IF([2]道具信息!E212="","",[2]道具信息!E212)</f>
        <v>4000</v>
      </c>
      <c r="F212" s="8">
        <f>IF([2]道具信息!F212="","",[2]道具信息!F212)</f>
        <v>1</v>
      </c>
      <c r="G212" s="8">
        <f>IF([2]道具信息!G212="","",[2]道具信息!G212)</f>
        <v>1</v>
      </c>
      <c r="H212" s="8">
        <f>IF([2]道具信息!H212="","",[2]道具信息!H212)</f>
        <v>1</v>
      </c>
      <c r="I212" s="8">
        <f>IF([2]道具信息!I212="","",[2]道具信息!I212)</f>
        <v>4000</v>
      </c>
      <c r="J212" s="8">
        <f>IF([2]道具信息!J212="","",[2]道具信息!J212)</f>
        <v>4000</v>
      </c>
      <c r="K212" s="8">
        <f>IF([2]道具信息!K212="","",[2]道具信息!K212)</f>
        <v>4000</v>
      </c>
      <c r="L212" s="8" t="str">
        <f>IF([2]道具信息!L212="","",[2]道具信息!L212)</f>
        <v/>
      </c>
      <c r="M212" s="8" t="str">
        <f>IF([2]道具信息!M212="","",[2]道具信息!M212)</f>
        <v/>
      </c>
      <c r="N212" s="8" t="str">
        <f>IF([2]道具信息!N212="","",[2]道具信息!N212)</f>
        <v/>
      </c>
      <c r="O212" s="8" t="str">
        <f>IF([2]道具信息!O212="","",[2]道具信息!O212)</f>
        <v/>
      </c>
      <c r="P212" s="8" t="str">
        <f>IF([2]道具信息!P212="","",[2]道具信息!P212)</f>
        <v/>
      </c>
      <c r="Q212" s="8" t="str">
        <f>IF([2]道具信息!Q212="","",[2]道具信息!Q212)</f>
        <v/>
      </c>
      <c r="R212" s="8" t="str">
        <f>IF([2]道具信息!R212="","",[2]道具信息!R212)</f>
        <v/>
      </c>
    </row>
    <row r="213" spans="3:18" x14ac:dyDescent="0.2">
      <c r="C213" s="8" t="str">
        <f>IF([2]道具信息!C213="","",[2]道具信息!C213)</f>
        <v/>
      </c>
      <c r="D213" s="8" t="str">
        <f>IF([2]道具信息!D213="","",[2]道具信息!D213)</f>
        <v/>
      </c>
      <c r="E213" s="8" t="str">
        <f>IF([2]道具信息!E213="","",[2]道具信息!E213)</f>
        <v/>
      </c>
      <c r="F213" s="8" t="str">
        <f>IF([2]道具信息!F213="","",[2]道具信息!F213)</f>
        <v/>
      </c>
      <c r="G213" s="8" t="str">
        <f>IF([2]道具信息!G213="","",[2]道具信息!G213)</f>
        <v/>
      </c>
      <c r="H213" s="8" t="str">
        <f>IF([2]道具信息!H213="","",[2]道具信息!H213)</f>
        <v/>
      </c>
      <c r="I213" s="8" t="str">
        <f>IF([2]道具信息!I213="","",[2]道具信息!I213)</f>
        <v/>
      </c>
      <c r="J213" s="8" t="str">
        <f>IF([2]道具信息!J213="","",[2]道具信息!J213)</f>
        <v/>
      </c>
      <c r="K213" s="8" t="str">
        <f>IF([2]道具信息!K213="","",[2]道具信息!K213)</f>
        <v/>
      </c>
      <c r="L213" s="8" t="str">
        <f>IF([2]道具信息!L213="","",[2]道具信息!L213)</f>
        <v/>
      </c>
      <c r="M213" s="8" t="str">
        <f>IF([2]道具信息!M213="","",[2]道具信息!M213)</f>
        <v/>
      </c>
      <c r="N213" s="8" t="str">
        <f>IF([2]道具信息!N213="","",[2]道具信息!N213)</f>
        <v/>
      </c>
      <c r="O213" s="8" t="str">
        <f>IF([2]道具信息!O213="","",[2]道具信息!O213)</f>
        <v/>
      </c>
      <c r="P213" s="8" t="str">
        <f>IF([2]道具信息!P213="","",[2]道具信息!P213)</f>
        <v/>
      </c>
      <c r="Q213" s="8" t="str">
        <f>IF([2]道具信息!Q213="","",[2]道具信息!Q213)</f>
        <v/>
      </c>
      <c r="R213" s="8" t="str">
        <f>IF([2]道具信息!R213="","",[2]道具信息!R213)</f>
        <v/>
      </c>
    </row>
    <row r="214" spans="3:18" x14ac:dyDescent="0.2">
      <c r="C214" s="8" t="str">
        <f>IF([2]道具信息!C214="","",[2]道具信息!C214)</f>
        <v/>
      </c>
      <c r="D214" s="8" t="str">
        <f>IF([2]道具信息!D214="","",[2]道具信息!D214)</f>
        <v/>
      </c>
      <c r="E214" s="8" t="str">
        <f>IF([2]道具信息!E214="","",[2]道具信息!E214)</f>
        <v/>
      </c>
      <c r="F214" s="8" t="str">
        <f>IF([2]道具信息!F214="","",[2]道具信息!F214)</f>
        <v/>
      </c>
      <c r="G214" s="8" t="str">
        <f>IF([2]道具信息!G214="","",[2]道具信息!G214)</f>
        <v/>
      </c>
      <c r="H214" s="8" t="str">
        <f>IF([2]道具信息!H214="","",[2]道具信息!H214)</f>
        <v/>
      </c>
      <c r="I214" s="8" t="str">
        <f>IF([2]道具信息!I214="","",[2]道具信息!I214)</f>
        <v/>
      </c>
      <c r="J214" s="8" t="str">
        <f>IF([2]道具信息!J214="","",[2]道具信息!J214)</f>
        <v/>
      </c>
      <c r="K214" s="8" t="str">
        <f>IF([2]道具信息!K214="","",[2]道具信息!K214)</f>
        <v/>
      </c>
      <c r="L214" s="8" t="str">
        <f>IF([2]道具信息!L214="","",[2]道具信息!L214)</f>
        <v/>
      </c>
      <c r="M214" s="8" t="str">
        <f>IF([2]道具信息!M214="","",[2]道具信息!M214)</f>
        <v/>
      </c>
      <c r="N214" s="8" t="str">
        <f>IF([2]道具信息!N214="","",[2]道具信息!N214)</f>
        <v/>
      </c>
      <c r="O214" s="8" t="str">
        <f>IF([2]道具信息!O214="","",[2]道具信息!O214)</f>
        <v/>
      </c>
      <c r="P214" s="8" t="str">
        <f>IF([2]道具信息!P214="","",[2]道具信息!P214)</f>
        <v/>
      </c>
      <c r="Q214" s="8" t="str">
        <f>IF([2]道具信息!Q214="","",[2]道具信息!Q214)</f>
        <v/>
      </c>
      <c r="R214" s="8" t="str">
        <f>IF([2]道具信息!R214="","",[2]道具信息!R214)</f>
        <v/>
      </c>
    </row>
    <row r="215" spans="3:18" x14ac:dyDescent="0.2">
      <c r="C215" s="8" t="str">
        <f>IF([2]道具信息!C215="","",[2]道具信息!C215)</f>
        <v/>
      </c>
      <c r="D215" s="8" t="str">
        <f>IF([2]道具信息!D215="","",[2]道具信息!D215)</f>
        <v/>
      </c>
      <c r="E215" s="8" t="str">
        <f>IF([2]道具信息!E215="","",[2]道具信息!E215)</f>
        <v/>
      </c>
      <c r="F215" s="8" t="str">
        <f>IF([2]道具信息!F215="","",[2]道具信息!F215)</f>
        <v/>
      </c>
      <c r="G215" s="8" t="str">
        <f>IF([2]道具信息!G215="","",[2]道具信息!G215)</f>
        <v/>
      </c>
      <c r="H215" s="8" t="str">
        <f>IF([2]道具信息!H215="","",[2]道具信息!H215)</f>
        <v/>
      </c>
      <c r="I215" s="8" t="str">
        <f>IF([2]道具信息!I215="","",[2]道具信息!I215)</f>
        <v/>
      </c>
      <c r="J215" s="8" t="str">
        <f>IF([2]道具信息!J215="","",[2]道具信息!J215)</f>
        <v/>
      </c>
      <c r="K215" s="8" t="str">
        <f>IF([2]道具信息!K215="","",[2]道具信息!K215)</f>
        <v/>
      </c>
      <c r="L215" s="8" t="str">
        <f>IF([2]道具信息!L215="","",[2]道具信息!L215)</f>
        <v/>
      </c>
      <c r="M215" s="8" t="str">
        <f>IF([2]道具信息!M215="","",[2]道具信息!M215)</f>
        <v/>
      </c>
      <c r="N215" s="8" t="str">
        <f>IF([2]道具信息!N215="","",[2]道具信息!N215)</f>
        <v/>
      </c>
      <c r="O215" s="8" t="str">
        <f>IF([2]道具信息!O215="","",[2]道具信息!O215)</f>
        <v/>
      </c>
      <c r="P215" s="8" t="str">
        <f>IF([2]道具信息!P215="","",[2]道具信息!P215)</f>
        <v/>
      </c>
      <c r="Q215" s="8" t="str">
        <f>IF([2]道具信息!Q215="","",[2]道具信息!Q215)</f>
        <v/>
      </c>
      <c r="R215" s="8" t="str">
        <f>IF([2]道具信息!R215="","",[2]道具信息!R215)</f>
        <v/>
      </c>
    </row>
    <row r="216" spans="3:18" x14ac:dyDescent="0.2">
      <c r="C216" s="8" t="str">
        <f>IF([2]道具信息!C216="","",[2]道具信息!C216)</f>
        <v/>
      </c>
      <c r="D216" s="8" t="str">
        <f>IF([2]道具信息!D216="","",[2]道具信息!D216)</f>
        <v/>
      </c>
      <c r="E216" s="8" t="str">
        <f>IF([2]道具信息!E216="","",[2]道具信息!E216)</f>
        <v/>
      </c>
      <c r="F216" s="8" t="str">
        <f>IF([2]道具信息!F216="","",[2]道具信息!F216)</f>
        <v/>
      </c>
      <c r="G216" s="8" t="str">
        <f>IF([2]道具信息!G216="","",[2]道具信息!G216)</f>
        <v/>
      </c>
      <c r="H216" s="8" t="str">
        <f>IF([2]道具信息!H216="","",[2]道具信息!H216)</f>
        <v/>
      </c>
      <c r="I216" s="8" t="str">
        <f>IF([2]道具信息!I216="","",[2]道具信息!I216)</f>
        <v/>
      </c>
      <c r="J216" s="8" t="str">
        <f>IF([2]道具信息!J216="","",[2]道具信息!J216)</f>
        <v/>
      </c>
      <c r="K216" s="8" t="str">
        <f>IF([2]道具信息!K216="","",[2]道具信息!K216)</f>
        <v/>
      </c>
      <c r="L216" s="8" t="str">
        <f>IF([2]道具信息!L216="","",[2]道具信息!L216)</f>
        <v/>
      </c>
      <c r="M216" s="8" t="str">
        <f>IF([2]道具信息!M216="","",[2]道具信息!M216)</f>
        <v/>
      </c>
      <c r="N216" s="8" t="str">
        <f>IF([2]道具信息!N216="","",[2]道具信息!N216)</f>
        <v/>
      </c>
      <c r="O216" s="8" t="str">
        <f>IF([2]道具信息!O216="","",[2]道具信息!O216)</f>
        <v/>
      </c>
      <c r="P216" s="8" t="str">
        <f>IF([2]道具信息!P216="","",[2]道具信息!P216)</f>
        <v/>
      </c>
      <c r="Q216" s="8" t="str">
        <f>IF([2]道具信息!Q216="","",[2]道具信息!Q216)</f>
        <v/>
      </c>
      <c r="R216" s="8" t="str">
        <f>IF([2]道具信息!R216="","",[2]道具信息!R216)</f>
        <v/>
      </c>
    </row>
    <row r="217" spans="3:18" x14ac:dyDescent="0.2">
      <c r="C217" s="8" t="str">
        <f>IF([2]道具信息!C217="","",[2]道具信息!C217)</f>
        <v/>
      </c>
      <c r="D217" s="8" t="str">
        <f>IF([2]道具信息!D217="","",[2]道具信息!D217)</f>
        <v/>
      </c>
      <c r="E217" s="8" t="str">
        <f>IF([2]道具信息!E217="","",[2]道具信息!E217)</f>
        <v/>
      </c>
      <c r="F217" s="8" t="str">
        <f>IF([2]道具信息!F217="","",[2]道具信息!F217)</f>
        <v/>
      </c>
      <c r="G217" s="8" t="str">
        <f>IF([2]道具信息!G217="","",[2]道具信息!G217)</f>
        <v/>
      </c>
      <c r="H217" s="8" t="str">
        <f>IF([2]道具信息!H217="","",[2]道具信息!H217)</f>
        <v/>
      </c>
      <c r="I217" s="8" t="str">
        <f>IF([2]道具信息!I217="","",[2]道具信息!I217)</f>
        <v/>
      </c>
      <c r="J217" s="8" t="str">
        <f>IF([2]道具信息!J217="","",[2]道具信息!J217)</f>
        <v/>
      </c>
      <c r="K217" s="8" t="str">
        <f>IF([2]道具信息!K217="","",[2]道具信息!K217)</f>
        <v/>
      </c>
      <c r="L217" s="8" t="str">
        <f>IF([2]道具信息!L217="","",[2]道具信息!L217)</f>
        <v/>
      </c>
      <c r="M217" s="8" t="str">
        <f>IF([2]道具信息!M217="","",[2]道具信息!M217)</f>
        <v/>
      </c>
      <c r="N217" s="8" t="str">
        <f>IF([2]道具信息!N217="","",[2]道具信息!N217)</f>
        <v/>
      </c>
      <c r="O217" s="8" t="str">
        <f>IF([2]道具信息!O217="","",[2]道具信息!O217)</f>
        <v/>
      </c>
      <c r="P217" s="8" t="str">
        <f>IF([2]道具信息!P217="","",[2]道具信息!P217)</f>
        <v/>
      </c>
      <c r="Q217" s="8" t="str">
        <f>IF([2]道具信息!Q217="","",[2]道具信息!Q217)</f>
        <v/>
      </c>
      <c r="R217" s="8" t="str">
        <f>IF([2]道具信息!R217="","",[2]道具信息!R217)</f>
        <v/>
      </c>
    </row>
    <row r="218" spans="3:18" x14ac:dyDescent="0.2">
      <c r="C218" s="8" t="str">
        <f>IF([2]道具信息!C218="","",[2]道具信息!C218)</f>
        <v/>
      </c>
      <c r="D218" s="8" t="str">
        <f>IF([2]道具信息!D218="","",[2]道具信息!D218)</f>
        <v/>
      </c>
      <c r="E218" s="8" t="str">
        <f>IF([2]道具信息!E218="","",[2]道具信息!E218)</f>
        <v/>
      </c>
      <c r="F218" s="8" t="str">
        <f>IF([2]道具信息!F218="","",[2]道具信息!F218)</f>
        <v/>
      </c>
      <c r="G218" s="8" t="str">
        <f>IF([2]道具信息!G218="","",[2]道具信息!G218)</f>
        <v/>
      </c>
      <c r="H218" s="8" t="str">
        <f>IF([2]道具信息!H218="","",[2]道具信息!H218)</f>
        <v/>
      </c>
      <c r="I218" s="8" t="str">
        <f>IF([2]道具信息!I218="","",[2]道具信息!I218)</f>
        <v/>
      </c>
      <c r="J218" s="8" t="str">
        <f>IF([2]道具信息!J218="","",[2]道具信息!J218)</f>
        <v/>
      </c>
      <c r="K218" s="8" t="str">
        <f>IF([2]道具信息!K218="","",[2]道具信息!K218)</f>
        <v/>
      </c>
      <c r="L218" s="8" t="str">
        <f>IF([2]道具信息!L218="","",[2]道具信息!L218)</f>
        <v/>
      </c>
      <c r="M218" s="8" t="str">
        <f>IF([2]道具信息!M218="","",[2]道具信息!M218)</f>
        <v/>
      </c>
      <c r="N218" s="8" t="str">
        <f>IF([2]道具信息!N218="","",[2]道具信息!N218)</f>
        <v/>
      </c>
      <c r="O218" s="8" t="str">
        <f>IF([2]道具信息!O218="","",[2]道具信息!O218)</f>
        <v/>
      </c>
      <c r="P218" s="8" t="str">
        <f>IF([2]道具信息!P218="","",[2]道具信息!P218)</f>
        <v/>
      </c>
      <c r="Q218" s="8" t="str">
        <f>IF([2]道具信息!Q218="","",[2]道具信息!Q218)</f>
        <v/>
      </c>
      <c r="R218" s="8" t="str">
        <f>IF([2]道具信息!R218="","",[2]道具信息!R218)</f>
        <v/>
      </c>
    </row>
    <row r="219" spans="3:18" x14ac:dyDescent="0.2">
      <c r="C219" s="8" t="str">
        <f>IF([2]道具信息!C219="","",[2]道具信息!C219)</f>
        <v/>
      </c>
      <c r="D219" s="8" t="str">
        <f>IF([2]道具信息!D219="","",[2]道具信息!D219)</f>
        <v/>
      </c>
      <c r="E219" s="8" t="str">
        <f>IF([2]道具信息!E219="","",[2]道具信息!E219)</f>
        <v/>
      </c>
      <c r="F219" s="8" t="str">
        <f>IF([2]道具信息!F219="","",[2]道具信息!F219)</f>
        <v/>
      </c>
      <c r="G219" s="8" t="str">
        <f>IF([2]道具信息!G219="","",[2]道具信息!G219)</f>
        <v/>
      </c>
      <c r="H219" s="8" t="str">
        <f>IF([2]道具信息!H219="","",[2]道具信息!H219)</f>
        <v/>
      </c>
      <c r="I219" s="8" t="str">
        <f>IF([2]道具信息!I219="","",[2]道具信息!I219)</f>
        <v/>
      </c>
      <c r="J219" s="8" t="str">
        <f>IF([2]道具信息!J219="","",[2]道具信息!J219)</f>
        <v/>
      </c>
      <c r="K219" s="8" t="str">
        <f>IF([2]道具信息!K219="","",[2]道具信息!K219)</f>
        <v/>
      </c>
      <c r="L219" s="8" t="str">
        <f>IF([2]道具信息!L219="","",[2]道具信息!L219)</f>
        <v/>
      </c>
      <c r="M219" s="8" t="str">
        <f>IF([2]道具信息!M219="","",[2]道具信息!M219)</f>
        <v/>
      </c>
      <c r="N219" s="8" t="str">
        <f>IF([2]道具信息!N219="","",[2]道具信息!N219)</f>
        <v/>
      </c>
      <c r="O219" s="8" t="str">
        <f>IF([2]道具信息!O219="","",[2]道具信息!O219)</f>
        <v/>
      </c>
      <c r="P219" s="8" t="str">
        <f>IF([2]道具信息!P219="","",[2]道具信息!P219)</f>
        <v/>
      </c>
      <c r="Q219" s="8" t="str">
        <f>IF([2]道具信息!Q219="","",[2]道具信息!Q219)</f>
        <v/>
      </c>
      <c r="R219" s="8" t="str">
        <f>IF([2]道具信息!R219="","",[2]道具信息!R219)</f>
        <v/>
      </c>
    </row>
    <row r="220" spans="3:18" x14ac:dyDescent="0.2">
      <c r="C220" s="8" t="str">
        <f>IF([2]道具信息!C220="","",[2]道具信息!C220)</f>
        <v/>
      </c>
      <c r="D220" s="8" t="str">
        <f>IF([2]道具信息!D220="","",[2]道具信息!D220)</f>
        <v/>
      </c>
      <c r="E220" s="8" t="str">
        <f>IF([2]道具信息!E220="","",[2]道具信息!E220)</f>
        <v/>
      </c>
      <c r="F220" s="8" t="str">
        <f>IF([2]道具信息!F220="","",[2]道具信息!F220)</f>
        <v/>
      </c>
      <c r="G220" s="8" t="str">
        <f>IF([2]道具信息!G220="","",[2]道具信息!G220)</f>
        <v/>
      </c>
      <c r="H220" s="8" t="str">
        <f>IF([2]道具信息!H220="","",[2]道具信息!H220)</f>
        <v/>
      </c>
      <c r="I220" s="8" t="str">
        <f>IF([2]道具信息!I220="","",[2]道具信息!I220)</f>
        <v/>
      </c>
      <c r="J220" s="8" t="str">
        <f>IF([2]道具信息!J220="","",[2]道具信息!J220)</f>
        <v/>
      </c>
      <c r="K220" s="8" t="str">
        <f>IF([2]道具信息!K220="","",[2]道具信息!K220)</f>
        <v/>
      </c>
      <c r="L220" s="8" t="str">
        <f>IF([2]道具信息!L220="","",[2]道具信息!L220)</f>
        <v/>
      </c>
      <c r="M220" s="8" t="str">
        <f>IF([2]道具信息!M220="","",[2]道具信息!M220)</f>
        <v/>
      </c>
      <c r="N220" s="8" t="str">
        <f>IF([2]道具信息!N220="","",[2]道具信息!N220)</f>
        <v/>
      </c>
      <c r="O220" s="8" t="str">
        <f>IF([2]道具信息!O220="","",[2]道具信息!O220)</f>
        <v/>
      </c>
      <c r="P220" s="8" t="str">
        <f>IF([2]道具信息!P220="","",[2]道具信息!P220)</f>
        <v/>
      </c>
      <c r="Q220" s="8" t="str">
        <f>IF([2]道具信息!Q220="","",[2]道具信息!Q220)</f>
        <v/>
      </c>
      <c r="R220" s="8" t="str">
        <f>IF([2]道具信息!R220="","",[2]道具信息!R220)</f>
        <v/>
      </c>
    </row>
    <row r="221" spans="3:18" x14ac:dyDescent="0.2">
      <c r="C221" s="8">
        <f>IF([2]道具信息!C221="","",[2]道具信息!C221)</f>
        <v>21001</v>
      </c>
      <c r="D221" s="8" t="str">
        <f>IF([2]道具信息!D221="","",[2]道具信息!D221)</f>
        <v>一担粮食</v>
      </c>
      <c r="E221" s="8">
        <f>IF([2]道具信息!E221="","",[2]道具信息!E221)</f>
        <v>6</v>
      </c>
      <c r="F221" s="8">
        <f>IF([2]道具信息!F221="","",[2]道具信息!F221)</f>
        <v>1</v>
      </c>
      <c r="G221" s="8">
        <f>IF([2]道具信息!G221="","",[2]道具信息!G221)</f>
        <v>1</v>
      </c>
      <c r="H221" s="8">
        <f>IF([2]道具信息!H221="","",[2]道具信息!H221)</f>
        <v>0.3</v>
      </c>
      <c r="I221" s="8">
        <f>IF([2]道具信息!I221="","",[2]道具信息!I221)</f>
        <v>6</v>
      </c>
      <c r="J221" s="8">
        <f>IF([2]道具信息!J221="","",[2]道具信息!J221)</f>
        <v>6</v>
      </c>
      <c r="K221" s="8">
        <f>IF([2]道具信息!K221="","",[2]道具信息!K221)</f>
        <v>1.7999999999999998</v>
      </c>
      <c r="L221" s="8" t="str">
        <f>IF([2]道具信息!L221="","",[2]道具信息!L221)</f>
        <v>使用后获得10000安全粮食</v>
      </c>
      <c r="M221" s="8" t="str">
        <f>IF([2]道具信息!M221="","",[2]道具信息!M221)</f>
        <v/>
      </c>
      <c r="N221" s="8" t="str">
        <f>IF([2]道具信息!N221="","",[2]道具信息!N221)</f>
        <v/>
      </c>
      <c r="O221" s="8" t="str">
        <f>IF([2]道具信息!O221="","",[2]道具信息!O221)</f>
        <v/>
      </c>
      <c r="P221" s="8" t="str">
        <f>IF([2]道具信息!P221="","",[2]道具信息!P221)</f>
        <v/>
      </c>
      <c r="Q221" s="8" t="str">
        <f>IF([2]道具信息!Q221="","",[2]道具信息!Q221)</f>
        <v/>
      </c>
      <c r="R221" s="8" t="str">
        <f>IF([2]道具信息!R221="","",[2]道具信息!R221)</f>
        <v/>
      </c>
    </row>
    <row r="222" spans="3:18" x14ac:dyDescent="0.2">
      <c r="C222" s="8">
        <f>IF([2]道具信息!C222="","",[2]道具信息!C222)</f>
        <v>21002</v>
      </c>
      <c r="D222" s="8" t="str">
        <f>IF([2]道具信息!D222="","",[2]道具信息!D222)</f>
        <v>一堆粮食</v>
      </c>
      <c r="E222" s="8">
        <f>IF([2]道具信息!E222="","",[2]道具信息!E222)</f>
        <v>20</v>
      </c>
      <c r="F222" s="8">
        <f>IF([2]道具信息!F222="","",[2]道具信息!F222)</f>
        <v>1</v>
      </c>
      <c r="G222" s="8">
        <f>IF([2]道具信息!G222="","",[2]道具信息!G222)</f>
        <v>1</v>
      </c>
      <c r="H222" s="8">
        <f>IF([2]道具信息!H222="","",[2]道具信息!H222)</f>
        <v>0.3</v>
      </c>
      <c r="I222" s="8">
        <f>IF([2]道具信息!I222="","",[2]道具信息!I222)</f>
        <v>20</v>
      </c>
      <c r="J222" s="8">
        <f>IF([2]道具信息!J222="","",[2]道具信息!J222)</f>
        <v>20</v>
      </c>
      <c r="K222" s="8">
        <f>IF([2]道具信息!K222="","",[2]道具信息!K222)</f>
        <v>6</v>
      </c>
      <c r="L222" s="8" t="str">
        <f>IF([2]道具信息!L222="","",[2]道具信息!L222)</f>
        <v>使用后获得50000安全粮食</v>
      </c>
      <c r="M222" s="8" t="str">
        <f>IF([2]道具信息!M222="","",[2]道具信息!M222)</f>
        <v/>
      </c>
      <c r="N222" s="8" t="str">
        <f>IF([2]道具信息!N222="","",[2]道具信息!N222)</f>
        <v/>
      </c>
      <c r="O222" s="8" t="str">
        <f>IF([2]道具信息!O222="","",[2]道具信息!O222)</f>
        <v/>
      </c>
      <c r="P222" s="8" t="str">
        <f>IF([2]道具信息!P222="","",[2]道具信息!P222)</f>
        <v/>
      </c>
      <c r="Q222" s="8" t="str">
        <f>IF([2]道具信息!Q222="","",[2]道具信息!Q222)</f>
        <v/>
      </c>
      <c r="R222" s="8" t="str">
        <f>IF([2]道具信息!R222="","",[2]道具信息!R222)</f>
        <v/>
      </c>
    </row>
    <row r="223" spans="3:18" x14ac:dyDescent="0.2">
      <c r="C223" s="8">
        <f>IF([2]道具信息!C223="","",[2]道具信息!C223)</f>
        <v>21003</v>
      </c>
      <c r="D223" s="8" t="str">
        <f>IF([2]道具信息!D223="","",[2]道具信息!D223)</f>
        <v>一箱粮食</v>
      </c>
      <c r="E223" s="8">
        <f>IF([2]道具信息!E223="","",[2]道具信息!E223)</f>
        <v>45</v>
      </c>
      <c r="F223" s="8">
        <f>IF([2]道具信息!F223="","",[2]道具信息!F223)</f>
        <v>1.333</v>
      </c>
      <c r="G223" s="8">
        <f>IF([2]道具信息!G223="","",[2]道具信息!G223)</f>
        <v>1</v>
      </c>
      <c r="H223" s="8">
        <f>IF([2]道具信息!H223="","",[2]道具信息!H223)</f>
        <v>0.3</v>
      </c>
      <c r="I223" s="8">
        <f>IF([2]道具信息!I223="","",[2]道具信息!I223)</f>
        <v>59.984999999999999</v>
      </c>
      <c r="J223" s="8">
        <f>IF([2]道具信息!J223="","",[2]道具信息!J223)</f>
        <v>45</v>
      </c>
      <c r="K223" s="8">
        <f>IF([2]道具信息!K223="","",[2]道具信息!K223)</f>
        <v>13.5</v>
      </c>
      <c r="L223" s="8" t="str">
        <f>IF([2]道具信息!L223="","",[2]道具信息!L223)</f>
        <v>使用后获得150000安全粮食</v>
      </c>
      <c r="M223" s="8" t="str">
        <f>IF([2]道具信息!M223="","",[2]道具信息!M223)</f>
        <v/>
      </c>
      <c r="N223" s="8" t="str">
        <f>IF([2]道具信息!N223="","",[2]道具信息!N223)</f>
        <v/>
      </c>
      <c r="O223" s="8" t="str">
        <f>IF([2]道具信息!O223="","",[2]道具信息!O223)</f>
        <v/>
      </c>
      <c r="P223" s="8" t="str">
        <f>IF([2]道具信息!P223="","",[2]道具信息!P223)</f>
        <v/>
      </c>
      <c r="Q223" s="8" t="str">
        <f>IF([2]道具信息!Q223="","",[2]道具信息!Q223)</f>
        <v/>
      </c>
      <c r="R223" s="8" t="str">
        <f>IF([2]道具信息!R223="","",[2]道具信息!R223)</f>
        <v/>
      </c>
    </row>
    <row r="224" spans="3:18" x14ac:dyDescent="0.2">
      <c r="C224" s="8">
        <f>IF([2]道具信息!C224="","",[2]道具信息!C224)</f>
        <v>21004</v>
      </c>
      <c r="D224" s="8" t="str">
        <f>IF([2]道具信息!D224="","",[2]道具信息!D224)</f>
        <v>一车粮食</v>
      </c>
      <c r="E224" s="8">
        <f>IF([2]道具信息!E224="","",[2]道具信息!E224)</f>
        <v>100</v>
      </c>
      <c r="F224" s="8">
        <f>IF([2]道具信息!F224="","",[2]道具信息!F224)</f>
        <v>2</v>
      </c>
      <c r="G224" s="8">
        <f>IF([2]道具信息!G224="","",[2]道具信息!G224)</f>
        <v>1</v>
      </c>
      <c r="H224" s="8">
        <f>IF([2]道具信息!H224="","",[2]道具信息!H224)</f>
        <v>0.3</v>
      </c>
      <c r="I224" s="8">
        <f>IF([2]道具信息!I224="","",[2]道具信息!I224)</f>
        <v>200</v>
      </c>
      <c r="J224" s="8">
        <f>IF([2]道具信息!J224="","",[2]道具信息!J224)</f>
        <v>100</v>
      </c>
      <c r="K224" s="8">
        <f>IF([2]道具信息!K224="","",[2]道具信息!K224)</f>
        <v>30</v>
      </c>
      <c r="L224" s="8" t="str">
        <f>IF([2]道具信息!L224="","",[2]道具信息!L224)</f>
        <v>使用后获得500000安全粮食</v>
      </c>
      <c r="M224" s="8" t="str">
        <f>IF([2]道具信息!M224="","",[2]道具信息!M224)</f>
        <v/>
      </c>
      <c r="N224" s="8" t="str">
        <f>IF([2]道具信息!N224="","",[2]道具信息!N224)</f>
        <v/>
      </c>
      <c r="O224" s="8" t="str">
        <f>IF([2]道具信息!O224="","",[2]道具信息!O224)</f>
        <v/>
      </c>
      <c r="P224" s="8" t="str">
        <f>IF([2]道具信息!P224="","",[2]道具信息!P224)</f>
        <v/>
      </c>
      <c r="Q224" s="8" t="str">
        <f>IF([2]道具信息!Q224="","",[2]道具信息!Q224)</f>
        <v/>
      </c>
      <c r="R224" s="8" t="str">
        <f>IF([2]道具信息!R224="","",[2]道具信息!R224)</f>
        <v/>
      </c>
    </row>
    <row r="225" spans="3:18" x14ac:dyDescent="0.2">
      <c r="C225" s="8">
        <f>IF([2]道具信息!C225="","",[2]道具信息!C225)</f>
        <v>21005</v>
      </c>
      <c r="D225" s="8" t="str">
        <f>IF([2]道具信息!D225="","",[2]道具信息!D225)</f>
        <v>一担木材</v>
      </c>
      <c r="E225" s="8">
        <f>IF([2]道具信息!E225="","",[2]道具信息!E225)</f>
        <v>6</v>
      </c>
      <c r="F225" s="8">
        <f>IF([2]道具信息!F225="","",[2]道具信息!F225)</f>
        <v>1</v>
      </c>
      <c r="G225" s="8">
        <f>IF([2]道具信息!G225="","",[2]道具信息!G225)</f>
        <v>1</v>
      </c>
      <c r="H225" s="8">
        <f>IF([2]道具信息!H225="","",[2]道具信息!H225)</f>
        <v>0.3</v>
      </c>
      <c r="I225" s="8">
        <f>IF([2]道具信息!I225="","",[2]道具信息!I225)</f>
        <v>6</v>
      </c>
      <c r="J225" s="8">
        <f>IF([2]道具信息!J225="","",[2]道具信息!J225)</f>
        <v>6</v>
      </c>
      <c r="K225" s="8">
        <f>IF([2]道具信息!K225="","",[2]道具信息!K225)</f>
        <v>1.7999999999999998</v>
      </c>
      <c r="L225" s="8" t="str">
        <f>IF([2]道具信息!L225="","",[2]道具信息!L225)</f>
        <v>使用后获得10000安全木材</v>
      </c>
      <c r="M225" s="8" t="str">
        <f>IF([2]道具信息!M225="","",[2]道具信息!M225)</f>
        <v/>
      </c>
      <c r="N225" s="8" t="str">
        <f>IF([2]道具信息!N225="","",[2]道具信息!N225)</f>
        <v/>
      </c>
      <c r="O225" s="8" t="str">
        <f>IF([2]道具信息!O225="","",[2]道具信息!O225)</f>
        <v/>
      </c>
      <c r="P225" s="8" t="str">
        <f>IF([2]道具信息!P225="","",[2]道具信息!P225)</f>
        <v/>
      </c>
      <c r="Q225" s="8" t="str">
        <f>IF([2]道具信息!Q225="","",[2]道具信息!Q225)</f>
        <v/>
      </c>
      <c r="R225" s="8" t="str">
        <f>IF([2]道具信息!R225="","",[2]道具信息!R225)</f>
        <v/>
      </c>
    </row>
    <row r="226" spans="3:18" x14ac:dyDescent="0.2">
      <c r="C226" s="8">
        <f>IF([2]道具信息!C226="","",[2]道具信息!C226)</f>
        <v>21006</v>
      </c>
      <c r="D226" s="8" t="str">
        <f>IF([2]道具信息!D226="","",[2]道具信息!D226)</f>
        <v>一堆木材</v>
      </c>
      <c r="E226" s="8">
        <f>IF([2]道具信息!E226="","",[2]道具信息!E226)</f>
        <v>20</v>
      </c>
      <c r="F226" s="8">
        <f>IF([2]道具信息!F226="","",[2]道具信息!F226)</f>
        <v>1</v>
      </c>
      <c r="G226" s="8">
        <f>IF([2]道具信息!G226="","",[2]道具信息!G226)</f>
        <v>1</v>
      </c>
      <c r="H226" s="8">
        <f>IF([2]道具信息!H226="","",[2]道具信息!H226)</f>
        <v>0.3</v>
      </c>
      <c r="I226" s="8">
        <f>IF([2]道具信息!I226="","",[2]道具信息!I226)</f>
        <v>20</v>
      </c>
      <c r="J226" s="8">
        <f>IF([2]道具信息!J226="","",[2]道具信息!J226)</f>
        <v>20</v>
      </c>
      <c r="K226" s="8">
        <f>IF([2]道具信息!K226="","",[2]道具信息!K226)</f>
        <v>6</v>
      </c>
      <c r="L226" s="8" t="str">
        <f>IF([2]道具信息!L226="","",[2]道具信息!L226)</f>
        <v>使用后获得50000安全木材</v>
      </c>
      <c r="M226" s="8" t="str">
        <f>IF([2]道具信息!M226="","",[2]道具信息!M226)</f>
        <v/>
      </c>
      <c r="N226" s="8" t="str">
        <f>IF([2]道具信息!N226="","",[2]道具信息!N226)</f>
        <v/>
      </c>
      <c r="O226" s="8" t="str">
        <f>IF([2]道具信息!O226="","",[2]道具信息!O226)</f>
        <v/>
      </c>
      <c r="P226" s="8" t="str">
        <f>IF([2]道具信息!P226="","",[2]道具信息!P226)</f>
        <v/>
      </c>
      <c r="Q226" s="8" t="str">
        <f>IF([2]道具信息!Q226="","",[2]道具信息!Q226)</f>
        <v/>
      </c>
      <c r="R226" s="8" t="str">
        <f>IF([2]道具信息!R226="","",[2]道具信息!R226)</f>
        <v/>
      </c>
    </row>
    <row r="227" spans="3:18" x14ac:dyDescent="0.2">
      <c r="C227" s="8">
        <f>IF([2]道具信息!C227="","",[2]道具信息!C227)</f>
        <v>21007</v>
      </c>
      <c r="D227" s="8" t="str">
        <f>IF([2]道具信息!D227="","",[2]道具信息!D227)</f>
        <v>一箱木材</v>
      </c>
      <c r="E227" s="8">
        <f>IF([2]道具信息!E227="","",[2]道具信息!E227)</f>
        <v>45</v>
      </c>
      <c r="F227" s="8">
        <f>IF([2]道具信息!F227="","",[2]道具信息!F227)</f>
        <v>1.333</v>
      </c>
      <c r="G227" s="8">
        <f>IF([2]道具信息!G227="","",[2]道具信息!G227)</f>
        <v>1</v>
      </c>
      <c r="H227" s="8">
        <f>IF([2]道具信息!H227="","",[2]道具信息!H227)</f>
        <v>0.3</v>
      </c>
      <c r="I227" s="8">
        <f>IF([2]道具信息!I227="","",[2]道具信息!I227)</f>
        <v>59.984999999999999</v>
      </c>
      <c r="J227" s="8">
        <f>IF([2]道具信息!J227="","",[2]道具信息!J227)</f>
        <v>45</v>
      </c>
      <c r="K227" s="8">
        <f>IF([2]道具信息!K227="","",[2]道具信息!K227)</f>
        <v>13.5</v>
      </c>
      <c r="L227" s="8" t="str">
        <f>IF([2]道具信息!L227="","",[2]道具信息!L227)</f>
        <v>使用后获得150000安全木材</v>
      </c>
      <c r="M227" s="8" t="str">
        <f>IF([2]道具信息!M227="","",[2]道具信息!M227)</f>
        <v/>
      </c>
      <c r="N227" s="8" t="str">
        <f>IF([2]道具信息!N227="","",[2]道具信息!N227)</f>
        <v/>
      </c>
      <c r="O227" s="8" t="str">
        <f>IF([2]道具信息!O227="","",[2]道具信息!O227)</f>
        <v/>
      </c>
      <c r="P227" s="8" t="str">
        <f>IF([2]道具信息!P227="","",[2]道具信息!P227)</f>
        <v/>
      </c>
      <c r="Q227" s="8" t="str">
        <f>IF([2]道具信息!Q227="","",[2]道具信息!Q227)</f>
        <v/>
      </c>
      <c r="R227" s="8" t="str">
        <f>IF([2]道具信息!R227="","",[2]道具信息!R227)</f>
        <v/>
      </c>
    </row>
    <row r="228" spans="3:18" x14ac:dyDescent="0.2">
      <c r="C228" s="8">
        <f>IF([2]道具信息!C228="","",[2]道具信息!C228)</f>
        <v>21008</v>
      </c>
      <c r="D228" s="8" t="str">
        <f>IF([2]道具信息!D228="","",[2]道具信息!D228)</f>
        <v>一车木材</v>
      </c>
      <c r="E228" s="8">
        <f>IF([2]道具信息!E228="","",[2]道具信息!E228)</f>
        <v>100</v>
      </c>
      <c r="F228" s="8">
        <f>IF([2]道具信息!F228="","",[2]道具信息!F228)</f>
        <v>2</v>
      </c>
      <c r="G228" s="8">
        <f>IF([2]道具信息!G228="","",[2]道具信息!G228)</f>
        <v>1</v>
      </c>
      <c r="H228" s="8">
        <f>IF([2]道具信息!H228="","",[2]道具信息!H228)</f>
        <v>0.3</v>
      </c>
      <c r="I228" s="8">
        <f>IF([2]道具信息!I228="","",[2]道具信息!I228)</f>
        <v>200</v>
      </c>
      <c r="J228" s="8">
        <f>IF([2]道具信息!J228="","",[2]道具信息!J228)</f>
        <v>100</v>
      </c>
      <c r="K228" s="8">
        <f>IF([2]道具信息!K228="","",[2]道具信息!K228)</f>
        <v>30</v>
      </c>
      <c r="L228" s="8" t="str">
        <f>IF([2]道具信息!L228="","",[2]道具信息!L228)</f>
        <v>使用后获得500000安全木材</v>
      </c>
      <c r="M228" s="8" t="str">
        <f>IF([2]道具信息!M228="","",[2]道具信息!M228)</f>
        <v/>
      </c>
      <c r="N228" s="8" t="str">
        <f>IF([2]道具信息!N228="","",[2]道具信息!N228)</f>
        <v/>
      </c>
      <c r="O228" s="8" t="str">
        <f>IF([2]道具信息!O228="","",[2]道具信息!O228)</f>
        <v/>
      </c>
      <c r="P228" s="8" t="str">
        <f>IF([2]道具信息!P228="","",[2]道具信息!P228)</f>
        <v/>
      </c>
      <c r="Q228" s="8" t="str">
        <f>IF([2]道具信息!Q228="","",[2]道具信息!Q228)</f>
        <v/>
      </c>
      <c r="R228" s="8" t="str">
        <f>IF([2]道具信息!R228="","",[2]道具信息!R228)</f>
        <v/>
      </c>
    </row>
    <row r="229" spans="3:18" x14ac:dyDescent="0.2">
      <c r="C229" s="8">
        <f>IF([2]道具信息!C229="","",[2]道具信息!C229)</f>
        <v>21009</v>
      </c>
      <c r="D229" s="8" t="str">
        <f>IF([2]道具信息!D229="","",[2]道具信息!D229)</f>
        <v>一担石料</v>
      </c>
      <c r="E229" s="8">
        <f>IF([2]道具信息!E229="","",[2]道具信息!E229)</f>
        <v>6</v>
      </c>
      <c r="F229" s="8">
        <f>IF([2]道具信息!F229="","",[2]道具信息!F229)</f>
        <v>1</v>
      </c>
      <c r="G229" s="8">
        <f>IF([2]道具信息!G229="","",[2]道具信息!G229)</f>
        <v>1</v>
      </c>
      <c r="H229" s="8">
        <f>IF([2]道具信息!H229="","",[2]道具信息!H229)</f>
        <v>0.3</v>
      </c>
      <c r="I229" s="8">
        <f>IF([2]道具信息!I229="","",[2]道具信息!I229)</f>
        <v>6</v>
      </c>
      <c r="J229" s="8">
        <f>IF([2]道具信息!J229="","",[2]道具信息!J229)</f>
        <v>6</v>
      </c>
      <c r="K229" s="8">
        <f>IF([2]道具信息!K229="","",[2]道具信息!K229)</f>
        <v>1.7999999999999998</v>
      </c>
      <c r="L229" s="8" t="str">
        <f>IF([2]道具信息!L229="","",[2]道具信息!L229)</f>
        <v>使用后获得10000安全石料</v>
      </c>
      <c r="M229" s="8" t="str">
        <f>IF([2]道具信息!M229="","",[2]道具信息!M229)</f>
        <v/>
      </c>
      <c r="N229" s="8" t="str">
        <f>IF([2]道具信息!N229="","",[2]道具信息!N229)</f>
        <v/>
      </c>
      <c r="O229" s="8" t="str">
        <f>IF([2]道具信息!O229="","",[2]道具信息!O229)</f>
        <v/>
      </c>
      <c r="P229" s="8" t="str">
        <f>IF([2]道具信息!P229="","",[2]道具信息!P229)</f>
        <v/>
      </c>
      <c r="Q229" s="8" t="str">
        <f>IF([2]道具信息!Q229="","",[2]道具信息!Q229)</f>
        <v/>
      </c>
      <c r="R229" s="8" t="str">
        <f>IF([2]道具信息!R229="","",[2]道具信息!R229)</f>
        <v/>
      </c>
    </row>
    <row r="230" spans="3:18" x14ac:dyDescent="0.2">
      <c r="C230" s="8">
        <f>IF([2]道具信息!C230="","",[2]道具信息!C230)</f>
        <v>21010</v>
      </c>
      <c r="D230" s="8" t="str">
        <f>IF([2]道具信息!D230="","",[2]道具信息!D230)</f>
        <v>一堆石料</v>
      </c>
      <c r="E230" s="8">
        <f>IF([2]道具信息!E230="","",[2]道具信息!E230)</f>
        <v>20</v>
      </c>
      <c r="F230" s="8">
        <f>IF([2]道具信息!F230="","",[2]道具信息!F230)</f>
        <v>1</v>
      </c>
      <c r="G230" s="8">
        <f>IF([2]道具信息!G230="","",[2]道具信息!G230)</f>
        <v>1</v>
      </c>
      <c r="H230" s="8">
        <f>IF([2]道具信息!H230="","",[2]道具信息!H230)</f>
        <v>0.3</v>
      </c>
      <c r="I230" s="8">
        <f>IF([2]道具信息!I230="","",[2]道具信息!I230)</f>
        <v>20</v>
      </c>
      <c r="J230" s="8">
        <f>IF([2]道具信息!J230="","",[2]道具信息!J230)</f>
        <v>20</v>
      </c>
      <c r="K230" s="8">
        <f>IF([2]道具信息!K230="","",[2]道具信息!K230)</f>
        <v>6</v>
      </c>
      <c r="L230" s="8" t="str">
        <f>IF([2]道具信息!L230="","",[2]道具信息!L230)</f>
        <v>使用后获得50000安全石料</v>
      </c>
      <c r="M230" s="8" t="str">
        <f>IF([2]道具信息!M230="","",[2]道具信息!M230)</f>
        <v/>
      </c>
      <c r="N230" s="8" t="str">
        <f>IF([2]道具信息!N230="","",[2]道具信息!N230)</f>
        <v/>
      </c>
      <c r="O230" s="8" t="str">
        <f>IF([2]道具信息!O230="","",[2]道具信息!O230)</f>
        <v/>
      </c>
      <c r="P230" s="8" t="str">
        <f>IF([2]道具信息!P230="","",[2]道具信息!P230)</f>
        <v/>
      </c>
      <c r="Q230" s="8" t="str">
        <f>IF([2]道具信息!Q230="","",[2]道具信息!Q230)</f>
        <v/>
      </c>
      <c r="R230" s="8" t="str">
        <f>IF([2]道具信息!R230="","",[2]道具信息!R230)</f>
        <v/>
      </c>
    </row>
    <row r="231" spans="3:18" x14ac:dyDescent="0.2">
      <c r="C231" s="8">
        <f>IF([2]道具信息!C231="","",[2]道具信息!C231)</f>
        <v>21011</v>
      </c>
      <c r="D231" s="8" t="str">
        <f>IF([2]道具信息!D231="","",[2]道具信息!D231)</f>
        <v>一箱石料</v>
      </c>
      <c r="E231" s="8">
        <f>IF([2]道具信息!E231="","",[2]道具信息!E231)</f>
        <v>45</v>
      </c>
      <c r="F231" s="8">
        <f>IF([2]道具信息!F231="","",[2]道具信息!F231)</f>
        <v>1.333</v>
      </c>
      <c r="G231" s="8">
        <f>IF([2]道具信息!G231="","",[2]道具信息!G231)</f>
        <v>1</v>
      </c>
      <c r="H231" s="8">
        <f>IF([2]道具信息!H231="","",[2]道具信息!H231)</f>
        <v>0.3</v>
      </c>
      <c r="I231" s="8">
        <f>IF([2]道具信息!I231="","",[2]道具信息!I231)</f>
        <v>59.984999999999999</v>
      </c>
      <c r="J231" s="8">
        <f>IF([2]道具信息!J231="","",[2]道具信息!J231)</f>
        <v>45</v>
      </c>
      <c r="K231" s="8">
        <f>IF([2]道具信息!K231="","",[2]道具信息!K231)</f>
        <v>13.5</v>
      </c>
      <c r="L231" s="8" t="str">
        <f>IF([2]道具信息!L231="","",[2]道具信息!L231)</f>
        <v>使用后获得150000安全石料</v>
      </c>
      <c r="M231" s="8" t="str">
        <f>IF([2]道具信息!M231="","",[2]道具信息!M231)</f>
        <v/>
      </c>
      <c r="N231" s="8" t="str">
        <f>IF([2]道具信息!N231="","",[2]道具信息!N231)</f>
        <v/>
      </c>
      <c r="O231" s="8" t="str">
        <f>IF([2]道具信息!O231="","",[2]道具信息!O231)</f>
        <v/>
      </c>
      <c r="P231" s="8" t="str">
        <f>IF([2]道具信息!P231="","",[2]道具信息!P231)</f>
        <v/>
      </c>
      <c r="Q231" s="8" t="str">
        <f>IF([2]道具信息!Q231="","",[2]道具信息!Q231)</f>
        <v/>
      </c>
      <c r="R231" s="8" t="str">
        <f>IF([2]道具信息!R231="","",[2]道具信息!R231)</f>
        <v/>
      </c>
    </row>
    <row r="232" spans="3:18" x14ac:dyDescent="0.2">
      <c r="C232" s="8">
        <f>IF([2]道具信息!C232="","",[2]道具信息!C232)</f>
        <v>21012</v>
      </c>
      <c r="D232" s="8" t="str">
        <f>IF([2]道具信息!D232="","",[2]道具信息!D232)</f>
        <v>一车石料</v>
      </c>
      <c r="E232" s="8">
        <f>IF([2]道具信息!E232="","",[2]道具信息!E232)</f>
        <v>100</v>
      </c>
      <c r="F232" s="8">
        <f>IF([2]道具信息!F232="","",[2]道具信息!F232)</f>
        <v>2</v>
      </c>
      <c r="G232" s="8">
        <f>IF([2]道具信息!G232="","",[2]道具信息!G232)</f>
        <v>1</v>
      </c>
      <c r="H232" s="8">
        <f>IF([2]道具信息!H232="","",[2]道具信息!H232)</f>
        <v>0.3</v>
      </c>
      <c r="I232" s="8">
        <f>IF([2]道具信息!I232="","",[2]道具信息!I232)</f>
        <v>200</v>
      </c>
      <c r="J232" s="8">
        <f>IF([2]道具信息!J232="","",[2]道具信息!J232)</f>
        <v>100</v>
      </c>
      <c r="K232" s="8">
        <f>IF([2]道具信息!K232="","",[2]道具信息!K232)</f>
        <v>30</v>
      </c>
      <c r="L232" s="8" t="str">
        <f>IF([2]道具信息!L232="","",[2]道具信息!L232)</f>
        <v>使用后获得500000安全石料</v>
      </c>
      <c r="M232" s="8" t="str">
        <f>IF([2]道具信息!M232="","",[2]道具信息!M232)</f>
        <v/>
      </c>
      <c r="N232" s="8" t="str">
        <f>IF([2]道具信息!N232="","",[2]道具信息!N232)</f>
        <v/>
      </c>
      <c r="O232" s="8" t="str">
        <f>IF([2]道具信息!O232="","",[2]道具信息!O232)</f>
        <v/>
      </c>
      <c r="P232" s="8" t="str">
        <f>IF([2]道具信息!P232="","",[2]道具信息!P232)</f>
        <v/>
      </c>
      <c r="Q232" s="8" t="str">
        <f>IF([2]道具信息!Q232="","",[2]道具信息!Q232)</f>
        <v/>
      </c>
      <c r="R232" s="8" t="str">
        <f>IF([2]道具信息!R232="","",[2]道具信息!R232)</f>
        <v/>
      </c>
    </row>
    <row r="233" spans="3:18" x14ac:dyDescent="0.2">
      <c r="C233" s="8">
        <f>IF([2]道具信息!C233="","",[2]道具信息!C233)</f>
        <v>21013</v>
      </c>
      <c r="D233" s="8" t="str">
        <f>IF([2]道具信息!D233="","",[2]道具信息!D233)</f>
        <v>一担铁矿</v>
      </c>
      <c r="E233" s="8">
        <f>IF([2]道具信息!E233="","",[2]道具信息!E233)</f>
        <v>12</v>
      </c>
      <c r="F233" s="8">
        <f>IF([2]道具信息!F233="","",[2]道具信息!F233)</f>
        <v>1</v>
      </c>
      <c r="G233" s="8">
        <f>IF([2]道具信息!G233="","",[2]道具信息!G233)</f>
        <v>1</v>
      </c>
      <c r="H233" s="8">
        <f>IF([2]道具信息!H233="","",[2]道具信息!H233)</f>
        <v>0.3</v>
      </c>
      <c r="I233" s="8">
        <f>IF([2]道具信息!I233="","",[2]道具信息!I233)</f>
        <v>12</v>
      </c>
      <c r="J233" s="8">
        <f>IF([2]道具信息!J233="","",[2]道具信息!J233)</f>
        <v>12</v>
      </c>
      <c r="K233" s="8">
        <f>IF([2]道具信息!K233="","",[2]道具信息!K233)</f>
        <v>3.5999999999999996</v>
      </c>
      <c r="L233" s="8" t="str">
        <f>IF([2]道具信息!L233="","",[2]道具信息!L233)</f>
        <v>使用后获得10000安全铁矿</v>
      </c>
      <c r="M233" s="8" t="str">
        <f>IF([2]道具信息!M233="","",[2]道具信息!M233)</f>
        <v/>
      </c>
      <c r="N233" s="8" t="str">
        <f>IF([2]道具信息!N233="","",[2]道具信息!N233)</f>
        <v/>
      </c>
      <c r="O233" s="8" t="str">
        <f>IF([2]道具信息!O233="","",[2]道具信息!O233)</f>
        <v/>
      </c>
      <c r="P233" s="8" t="str">
        <f>IF([2]道具信息!P233="","",[2]道具信息!P233)</f>
        <v/>
      </c>
      <c r="Q233" s="8" t="str">
        <f>IF([2]道具信息!Q233="","",[2]道具信息!Q233)</f>
        <v/>
      </c>
      <c r="R233" s="8" t="str">
        <f>IF([2]道具信息!R233="","",[2]道具信息!R233)</f>
        <v/>
      </c>
    </row>
    <row r="234" spans="3:18" x14ac:dyDescent="0.2">
      <c r="C234" s="8">
        <f>IF([2]道具信息!C234="","",[2]道具信息!C234)</f>
        <v>21014</v>
      </c>
      <c r="D234" s="8" t="str">
        <f>IF([2]道具信息!D234="","",[2]道具信息!D234)</f>
        <v>一堆铁矿</v>
      </c>
      <c r="E234" s="8">
        <f>IF([2]道具信息!E234="","",[2]道具信息!E234)</f>
        <v>40</v>
      </c>
      <c r="F234" s="8">
        <f>IF([2]道具信息!F234="","",[2]道具信息!F234)</f>
        <v>1</v>
      </c>
      <c r="G234" s="8">
        <f>IF([2]道具信息!G234="","",[2]道具信息!G234)</f>
        <v>1</v>
      </c>
      <c r="H234" s="8">
        <f>IF([2]道具信息!H234="","",[2]道具信息!H234)</f>
        <v>0.3</v>
      </c>
      <c r="I234" s="8">
        <f>IF([2]道具信息!I234="","",[2]道具信息!I234)</f>
        <v>40</v>
      </c>
      <c r="J234" s="8">
        <f>IF([2]道具信息!J234="","",[2]道具信息!J234)</f>
        <v>40</v>
      </c>
      <c r="K234" s="8">
        <f>IF([2]道具信息!K234="","",[2]道具信息!K234)</f>
        <v>12</v>
      </c>
      <c r="L234" s="8" t="str">
        <f>IF([2]道具信息!L234="","",[2]道具信息!L234)</f>
        <v>使用后获得50000安全铁矿</v>
      </c>
      <c r="M234" s="8" t="str">
        <f>IF([2]道具信息!M234="","",[2]道具信息!M234)</f>
        <v/>
      </c>
      <c r="N234" s="8" t="str">
        <f>IF([2]道具信息!N234="","",[2]道具信息!N234)</f>
        <v/>
      </c>
      <c r="O234" s="8" t="str">
        <f>IF([2]道具信息!O234="","",[2]道具信息!O234)</f>
        <v/>
      </c>
      <c r="P234" s="8" t="str">
        <f>IF([2]道具信息!P234="","",[2]道具信息!P234)</f>
        <v/>
      </c>
      <c r="Q234" s="8" t="str">
        <f>IF([2]道具信息!Q234="","",[2]道具信息!Q234)</f>
        <v/>
      </c>
      <c r="R234" s="8" t="str">
        <f>IF([2]道具信息!R234="","",[2]道具信息!R234)</f>
        <v/>
      </c>
    </row>
    <row r="235" spans="3:18" x14ac:dyDescent="0.2">
      <c r="C235" s="8">
        <f>IF([2]道具信息!C235="","",[2]道具信息!C235)</f>
        <v>21015</v>
      </c>
      <c r="D235" s="8" t="str">
        <f>IF([2]道具信息!D235="","",[2]道具信息!D235)</f>
        <v>一箱铁矿</v>
      </c>
      <c r="E235" s="8">
        <f>IF([2]道具信息!E235="","",[2]道具信息!E235)</f>
        <v>90</v>
      </c>
      <c r="F235" s="8">
        <f>IF([2]道具信息!F235="","",[2]道具信息!F235)</f>
        <v>1.333</v>
      </c>
      <c r="G235" s="8">
        <f>IF([2]道具信息!G235="","",[2]道具信息!G235)</f>
        <v>1</v>
      </c>
      <c r="H235" s="8">
        <f>IF([2]道具信息!H235="","",[2]道具信息!H235)</f>
        <v>0.3</v>
      </c>
      <c r="I235" s="8">
        <f>IF([2]道具信息!I235="","",[2]道具信息!I235)</f>
        <v>119.97</v>
      </c>
      <c r="J235" s="8">
        <f>IF([2]道具信息!J235="","",[2]道具信息!J235)</f>
        <v>90</v>
      </c>
      <c r="K235" s="8">
        <f>IF([2]道具信息!K235="","",[2]道具信息!K235)</f>
        <v>27</v>
      </c>
      <c r="L235" s="8" t="str">
        <f>IF([2]道具信息!L235="","",[2]道具信息!L235)</f>
        <v>使用后获得150000安全铁矿</v>
      </c>
      <c r="M235" s="8" t="str">
        <f>IF([2]道具信息!M235="","",[2]道具信息!M235)</f>
        <v/>
      </c>
      <c r="N235" s="8" t="str">
        <f>IF([2]道具信息!N235="","",[2]道具信息!N235)</f>
        <v/>
      </c>
      <c r="O235" s="8" t="str">
        <f>IF([2]道具信息!O235="","",[2]道具信息!O235)</f>
        <v/>
      </c>
      <c r="P235" s="8" t="str">
        <f>IF([2]道具信息!P235="","",[2]道具信息!P235)</f>
        <v/>
      </c>
      <c r="Q235" s="8" t="str">
        <f>IF([2]道具信息!Q235="","",[2]道具信息!Q235)</f>
        <v/>
      </c>
      <c r="R235" s="8" t="str">
        <f>IF([2]道具信息!R235="","",[2]道具信息!R235)</f>
        <v/>
      </c>
    </row>
    <row r="236" spans="3:18" x14ac:dyDescent="0.2">
      <c r="C236" s="8">
        <f>IF([2]道具信息!C236="","",[2]道具信息!C236)</f>
        <v>21016</v>
      </c>
      <c r="D236" s="8" t="str">
        <f>IF([2]道具信息!D236="","",[2]道具信息!D236)</f>
        <v>一车铁矿</v>
      </c>
      <c r="E236" s="8">
        <f>IF([2]道具信息!E236="","",[2]道具信息!E236)</f>
        <v>200</v>
      </c>
      <c r="F236" s="8">
        <f>IF([2]道具信息!F236="","",[2]道具信息!F236)</f>
        <v>2</v>
      </c>
      <c r="G236" s="8">
        <f>IF([2]道具信息!G236="","",[2]道具信息!G236)</f>
        <v>1</v>
      </c>
      <c r="H236" s="8">
        <f>IF([2]道具信息!H236="","",[2]道具信息!H236)</f>
        <v>0.3</v>
      </c>
      <c r="I236" s="8">
        <f>IF([2]道具信息!I236="","",[2]道具信息!I236)</f>
        <v>400</v>
      </c>
      <c r="J236" s="8">
        <f>IF([2]道具信息!J236="","",[2]道具信息!J236)</f>
        <v>200</v>
      </c>
      <c r="K236" s="8">
        <f>IF([2]道具信息!K236="","",[2]道具信息!K236)</f>
        <v>60</v>
      </c>
      <c r="L236" s="8" t="str">
        <f>IF([2]道具信息!L236="","",[2]道具信息!L236)</f>
        <v>使用后获得500000安全铁矿</v>
      </c>
      <c r="M236" s="8" t="str">
        <f>IF([2]道具信息!M236="","",[2]道具信息!M236)</f>
        <v/>
      </c>
      <c r="N236" s="8" t="str">
        <f>IF([2]道具信息!N236="","",[2]道具信息!N236)</f>
        <v/>
      </c>
      <c r="O236" s="8" t="str">
        <f>IF([2]道具信息!O236="","",[2]道具信息!O236)</f>
        <v/>
      </c>
      <c r="P236" s="8" t="str">
        <f>IF([2]道具信息!P236="","",[2]道具信息!P236)</f>
        <v/>
      </c>
      <c r="Q236" s="8" t="str">
        <f>IF([2]道具信息!Q236="","",[2]道具信息!Q236)</f>
        <v/>
      </c>
      <c r="R236" s="8" t="str">
        <f>IF([2]道具信息!R236="","",[2]道具信息!R236)</f>
        <v/>
      </c>
    </row>
    <row r="237" spans="3:18" x14ac:dyDescent="0.2">
      <c r="C237" s="8">
        <f>IF([2]道具信息!C237="","",[2]道具信息!C237)</f>
        <v>21017</v>
      </c>
      <c r="D237" s="8" t="str">
        <f>IF([2]道具信息!D237="","",[2]道具信息!D237)</f>
        <v>一担铜矿</v>
      </c>
      <c r="E237" s="8">
        <f>IF([2]道具信息!E237="","",[2]道具信息!E237)</f>
        <v>6</v>
      </c>
      <c r="F237" s="8">
        <f>IF([2]道具信息!F237="","",[2]道具信息!F237)</f>
        <v>1</v>
      </c>
      <c r="G237" s="8">
        <f>IF([2]道具信息!G237="","",[2]道具信息!G237)</f>
        <v>1</v>
      </c>
      <c r="H237" s="8">
        <f>IF([2]道具信息!H237="","",[2]道具信息!H237)</f>
        <v>0.3</v>
      </c>
      <c r="I237" s="8">
        <f>IF([2]道具信息!I237="","",[2]道具信息!I237)</f>
        <v>6</v>
      </c>
      <c r="J237" s="8">
        <f>IF([2]道具信息!J237="","",[2]道具信息!J237)</f>
        <v>6</v>
      </c>
      <c r="K237" s="8">
        <f>IF([2]道具信息!K237="","",[2]道具信息!K237)</f>
        <v>1.7999999999999998</v>
      </c>
      <c r="L237" s="8" t="str">
        <f>IF([2]道具信息!L237="","",[2]道具信息!L237)</f>
        <v>使用后获得10000安全铜矿</v>
      </c>
      <c r="M237" s="8" t="str">
        <f>IF([2]道具信息!M237="","",[2]道具信息!M237)</f>
        <v/>
      </c>
      <c r="N237" s="8" t="str">
        <f>IF([2]道具信息!N237="","",[2]道具信息!N237)</f>
        <v/>
      </c>
      <c r="O237" s="8" t="str">
        <f>IF([2]道具信息!O237="","",[2]道具信息!O237)</f>
        <v/>
      </c>
      <c r="P237" s="8" t="str">
        <f>IF([2]道具信息!P237="","",[2]道具信息!P237)</f>
        <v/>
      </c>
      <c r="Q237" s="8" t="str">
        <f>IF([2]道具信息!Q237="","",[2]道具信息!Q237)</f>
        <v/>
      </c>
      <c r="R237" s="8" t="str">
        <f>IF([2]道具信息!R237="","",[2]道具信息!R237)</f>
        <v/>
      </c>
    </row>
    <row r="238" spans="3:18" x14ac:dyDescent="0.2">
      <c r="C238" s="8">
        <f>IF([2]道具信息!C238="","",[2]道具信息!C238)</f>
        <v>21018</v>
      </c>
      <c r="D238" s="8" t="str">
        <f>IF([2]道具信息!D238="","",[2]道具信息!D238)</f>
        <v>一堆铜矿</v>
      </c>
      <c r="E238" s="8">
        <f>IF([2]道具信息!E238="","",[2]道具信息!E238)</f>
        <v>20</v>
      </c>
      <c r="F238" s="8">
        <f>IF([2]道具信息!F238="","",[2]道具信息!F238)</f>
        <v>1</v>
      </c>
      <c r="G238" s="8">
        <f>IF([2]道具信息!G238="","",[2]道具信息!G238)</f>
        <v>1</v>
      </c>
      <c r="H238" s="8">
        <f>IF([2]道具信息!H238="","",[2]道具信息!H238)</f>
        <v>0.3</v>
      </c>
      <c r="I238" s="8">
        <f>IF([2]道具信息!I238="","",[2]道具信息!I238)</f>
        <v>20</v>
      </c>
      <c r="J238" s="8">
        <f>IF([2]道具信息!J238="","",[2]道具信息!J238)</f>
        <v>20</v>
      </c>
      <c r="K238" s="8">
        <f>IF([2]道具信息!K238="","",[2]道具信息!K238)</f>
        <v>6</v>
      </c>
      <c r="L238" s="8" t="str">
        <f>IF([2]道具信息!L238="","",[2]道具信息!L238)</f>
        <v>使用后获得50000安全铜矿</v>
      </c>
      <c r="M238" s="8" t="str">
        <f>IF([2]道具信息!M238="","",[2]道具信息!M238)</f>
        <v/>
      </c>
      <c r="N238" s="8" t="str">
        <f>IF([2]道具信息!N238="","",[2]道具信息!N238)</f>
        <v/>
      </c>
      <c r="O238" s="8" t="str">
        <f>IF([2]道具信息!O238="","",[2]道具信息!O238)</f>
        <v/>
      </c>
      <c r="P238" s="8" t="str">
        <f>IF([2]道具信息!P238="","",[2]道具信息!P238)</f>
        <v/>
      </c>
      <c r="Q238" s="8" t="str">
        <f>IF([2]道具信息!Q238="","",[2]道具信息!Q238)</f>
        <v/>
      </c>
      <c r="R238" s="8" t="str">
        <f>IF([2]道具信息!R238="","",[2]道具信息!R238)</f>
        <v/>
      </c>
    </row>
    <row r="239" spans="3:18" x14ac:dyDescent="0.2">
      <c r="C239" s="8">
        <f>IF([2]道具信息!C239="","",[2]道具信息!C239)</f>
        <v>21019</v>
      </c>
      <c r="D239" s="8" t="str">
        <f>IF([2]道具信息!D239="","",[2]道具信息!D239)</f>
        <v>一箱铜矿</v>
      </c>
      <c r="E239" s="8">
        <f>IF([2]道具信息!E239="","",[2]道具信息!E239)</f>
        <v>45</v>
      </c>
      <c r="F239" s="8">
        <f>IF([2]道具信息!F239="","",[2]道具信息!F239)</f>
        <v>1.333</v>
      </c>
      <c r="G239" s="8">
        <f>IF([2]道具信息!G239="","",[2]道具信息!G239)</f>
        <v>1</v>
      </c>
      <c r="H239" s="8">
        <f>IF([2]道具信息!H239="","",[2]道具信息!H239)</f>
        <v>0.3</v>
      </c>
      <c r="I239" s="8">
        <f>IF([2]道具信息!I239="","",[2]道具信息!I239)</f>
        <v>59.984999999999999</v>
      </c>
      <c r="J239" s="8">
        <f>IF([2]道具信息!J239="","",[2]道具信息!J239)</f>
        <v>45</v>
      </c>
      <c r="K239" s="8">
        <f>IF([2]道具信息!K239="","",[2]道具信息!K239)</f>
        <v>13.5</v>
      </c>
      <c r="L239" s="8" t="str">
        <f>IF([2]道具信息!L239="","",[2]道具信息!L239)</f>
        <v>使用后获得150000安全铜矿</v>
      </c>
      <c r="M239" s="8" t="str">
        <f>IF([2]道具信息!M239="","",[2]道具信息!M239)</f>
        <v/>
      </c>
      <c r="N239" s="8" t="str">
        <f>IF([2]道具信息!N239="","",[2]道具信息!N239)</f>
        <v/>
      </c>
      <c r="O239" s="8" t="str">
        <f>IF([2]道具信息!O239="","",[2]道具信息!O239)</f>
        <v/>
      </c>
      <c r="P239" s="8" t="str">
        <f>IF([2]道具信息!P239="","",[2]道具信息!P239)</f>
        <v/>
      </c>
      <c r="Q239" s="8" t="str">
        <f>IF([2]道具信息!Q239="","",[2]道具信息!Q239)</f>
        <v/>
      </c>
      <c r="R239" s="8" t="str">
        <f>IF([2]道具信息!R239="","",[2]道具信息!R239)</f>
        <v/>
      </c>
    </row>
    <row r="240" spans="3:18" x14ac:dyDescent="0.2">
      <c r="C240" s="8">
        <f>IF([2]道具信息!C240="","",[2]道具信息!C240)</f>
        <v>21020</v>
      </c>
      <c r="D240" s="8" t="str">
        <f>IF([2]道具信息!D240="","",[2]道具信息!D240)</f>
        <v>一车铜矿</v>
      </c>
      <c r="E240" s="8">
        <f>IF([2]道具信息!E240="","",[2]道具信息!E240)</f>
        <v>100</v>
      </c>
      <c r="F240" s="8">
        <f>IF([2]道具信息!F240="","",[2]道具信息!F240)</f>
        <v>2</v>
      </c>
      <c r="G240" s="8">
        <f>IF([2]道具信息!G240="","",[2]道具信息!G240)</f>
        <v>1</v>
      </c>
      <c r="H240" s="8">
        <f>IF([2]道具信息!H240="","",[2]道具信息!H240)</f>
        <v>0.3</v>
      </c>
      <c r="I240" s="8">
        <f>IF([2]道具信息!I240="","",[2]道具信息!I240)</f>
        <v>200</v>
      </c>
      <c r="J240" s="8">
        <f>IF([2]道具信息!J240="","",[2]道具信息!J240)</f>
        <v>100</v>
      </c>
      <c r="K240" s="8">
        <f>IF([2]道具信息!K240="","",[2]道具信息!K240)</f>
        <v>30</v>
      </c>
      <c r="L240" s="8" t="str">
        <f>IF([2]道具信息!L240="","",[2]道具信息!L240)</f>
        <v>使用后获得500000安全铜矿</v>
      </c>
      <c r="M240" s="8" t="str">
        <f>IF([2]道具信息!M240="","",[2]道具信息!M240)</f>
        <v/>
      </c>
      <c r="N240" s="8" t="str">
        <f>IF([2]道具信息!N240="","",[2]道具信息!N240)</f>
        <v/>
      </c>
      <c r="O240" s="8" t="str">
        <f>IF([2]道具信息!O240="","",[2]道具信息!O240)</f>
        <v/>
      </c>
      <c r="P240" s="8" t="str">
        <f>IF([2]道具信息!P240="","",[2]道具信息!P240)</f>
        <v/>
      </c>
      <c r="Q240" s="8" t="str">
        <f>IF([2]道具信息!Q240="","",[2]道具信息!Q240)</f>
        <v/>
      </c>
      <c r="R240" s="8" t="str">
        <f>IF([2]道具信息!R240="","",[2]道具信息!R240)</f>
        <v/>
      </c>
    </row>
    <row r="241" spans="3:18" x14ac:dyDescent="0.2">
      <c r="C241" s="8">
        <f>IF([2]道具信息!C241="","",[2]道具信息!C241)</f>
        <v>21021</v>
      </c>
      <c r="D241" s="8" t="str">
        <f>IF([2]道具信息!D241="","",[2]道具信息!D241)</f>
        <v>一吊刀币</v>
      </c>
      <c r="E241" s="8">
        <f>IF([2]道具信息!E241="","",[2]道具信息!E241)</f>
        <v>50</v>
      </c>
      <c r="F241" s="8">
        <f>IF([2]道具信息!F241="","",[2]道具信息!F241)</f>
        <v>1</v>
      </c>
      <c r="G241" s="8">
        <f>IF([2]道具信息!G241="","",[2]道具信息!G241)</f>
        <v>1</v>
      </c>
      <c r="H241" s="8">
        <f>IF([2]道具信息!H241="","",[2]道具信息!H241)</f>
        <v>0.5</v>
      </c>
      <c r="I241" s="8">
        <f>IF([2]道具信息!I241="","",[2]道具信息!I241)</f>
        <v>50</v>
      </c>
      <c r="J241" s="8">
        <f>IF([2]道具信息!J241="","",[2]道具信息!J241)</f>
        <v>50</v>
      </c>
      <c r="K241" s="8">
        <f>IF([2]道具信息!K241="","",[2]道具信息!K241)</f>
        <v>25</v>
      </c>
      <c r="L241" s="8" t="str">
        <f>IF([2]道具信息!L241="","",[2]道具信息!L241)</f>
        <v>使用后获得10000刀币</v>
      </c>
      <c r="M241" s="8" t="str">
        <f>IF([2]道具信息!M241="","",[2]道具信息!M241)</f>
        <v/>
      </c>
      <c r="N241" s="8" t="str">
        <f>IF([2]道具信息!N241="","",[2]道具信息!N241)</f>
        <v/>
      </c>
      <c r="O241" s="8" t="str">
        <f>IF([2]道具信息!O241="","",[2]道具信息!O241)</f>
        <v/>
      </c>
      <c r="P241" s="8" t="str">
        <f>IF([2]道具信息!P241="","",[2]道具信息!P241)</f>
        <v/>
      </c>
      <c r="Q241" s="8" t="str">
        <f>IF([2]道具信息!Q241="","",[2]道具信息!Q241)</f>
        <v/>
      </c>
      <c r="R241" s="8" t="str">
        <f>IF([2]道具信息!R241="","",[2]道具信息!R241)</f>
        <v/>
      </c>
    </row>
    <row r="242" spans="3:18" x14ac:dyDescent="0.2">
      <c r="C242" s="8">
        <f>IF([2]道具信息!C242="","",[2]道具信息!C242)</f>
        <v>21022</v>
      </c>
      <c r="D242" s="8" t="str">
        <f>IF([2]道具信息!D242="","",[2]道具信息!D242)</f>
        <v>一贯刀币</v>
      </c>
      <c r="E242" s="8">
        <f>IF([2]道具信息!E242="","",[2]道具信息!E242)</f>
        <v>150</v>
      </c>
      <c r="F242" s="8">
        <f>IF([2]道具信息!F242="","",[2]道具信息!F242)</f>
        <v>1</v>
      </c>
      <c r="G242" s="8">
        <f>IF([2]道具信息!G242="","",[2]道具信息!G242)</f>
        <v>1</v>
      </c>
      <c r="H242" s="8">
        <f>IF([2]道具信息!H242="","",[2]道具信息!H242)</f>
        <v>0.5</v>
      </c>
      <c r="I242" s="8">
        <f>IF([2]道具信息!I242="","",[2]道具信息!I242)</f>
        <v>150</v>
      </c>
      <c r="J242" s="8">
        <f>IF([2]道具信息!J242="","",[2]道具信息!J242)</f>
        <v>150</v>
      </c>
      <c r="K242" s="8">
        <f>IF([2]道具信息!K242="","",[2]道具信息!K242)</f>
        <v>75</v>
      </c>
      <c r="L242" s="8" t="str">
        <f>IF([2]道具信息!L242="","",[2]道具信息!L242)</f>
        <v>使用后获得50000刀币</v>
      </c>
      <c r="M242" s="8" t="str">
        <f>IF([2]道具信息!M242="","",[2]道具信息!M242)</f>
        <v/>
      </c>
      <c r="N242" s="8" t="str">
        <f>IF([2]道具信息!N242="","",[2]道具信息!N242)</f>
        <v/>
      </c>
      <c r="O242" s="8" t="str">
        <f>IF([2]道具信息!O242="","",[2]道具信息!O242)</f>
        <v/>
      </c>
      <c r="P242" s="8" t="str">
        <f>IF([2]道具信息!P242="","",[2]道具信息!P242)</f>
        <v/>
      </c>
      <c r="Q242" s="8" t="str">
        <f>IF([2]道具信息!Q242="","",[2]道具信息!Q242)</f>
        <v/>
      </c>
      <c r="R242" s="8" t="str">
        <f>IF([2]道具信息!R242="","",[2]道具信息!R242)</f>
        <v/>
      </c>
    </row>
    <row r="243" spans="3:18" x14ac:dyDescent="0.2">
      <c r="C243" s="8">
        <f>IF([2]道具信息!C243="","",[2]道具信息!C243)</f>
        <v>21023</v>
      </c>
      <c r="D243" s="8" t="str">
        <f>IF([2]道具信息!D243="","",[2]道具信息!D243)</f>
        <v>一袋刀币</v>
      </c>
      <c r="E243" s="8">
        <f>IF([2]道具信息!E243="","",[2]道具信息!E243)</f>
        <v>300</v>
      </c>
      <c r="F243" s="8">
        <f>IF([2]道具信息!F243="","",[2]道具信息!F243)</f>
        <v>1.5</v>
      </c>
      <c r="G243" s="8">
        <f>IF([2]道具信息!G243="","",[2]道具信息!G243)</f>
        <v>1</v>
      </c>
      <c r="H243" s="8">
        <f>IF([2]道具信息!H243="","",[2]道具信息!H243)</f>
        <v>0.5</v>
      </c>
      <c r="I243" s="8">
        <f>IF([2]道具信息!I243="","",[2]道具信息!I243)</f>
        <v>450</v>
      </c>
      <c r="J243" s="8">
        <f>IF([2]道具信息!J243="","",[2]道具信息!J243)</f>
        <v>300</v>
      </c>
      <c r="K243" s="8">
        <f>IF([2]道具信息!K243="","",[2]道具信息!K243)</f>
        <v>150</v>
      </c>
      <c r="L243" s="8" t="str">
        <f>IF([2]道具信息!L243="","",[2]道具信息!L243)</f>
        <v>使用后获得150000刀币</v>
      </c>
      <c r="M243" s="8" t="str">
        <f>IF([2]道具信息!M243="","",[2]道具信息!M243)</f>
        <v/>
      </c>
      <c r="N243" s="8" t="str">
        <f>IF([2]道具信息!N243="","",[2]道具信息!N243)</f>
        <v/>
      </c>
      <c r="O243" s="8" t="str">
        <f>IF([2]道具信息!O243="","",[2]道具信息!O243)</f>
        <v/>
      </c>
      <c r="P243" s="8" t="str">
        <f>IF([2]道具信息!P243="","",[2]道具信息!P243)</f>
        <v/>
      </c>
      <c r="Q243" s="8" t="str">
        <f>IF([2]道具信息!Q243="","",[2]道具信息!Q243)</f>
        <v/>
      </c>
      <c r="R243" s="8" t="str">
        <f>IF([2]道具信息!R243="","",[2]道具信息!R243)</f>
        <v/>
      </c>
    </row>
    <row r="244" spans="3:18" x14ac:dyDescent="0.2">
      <c r="C244" s="8" t="str">
        <f>IF([2]道具信息!C244="","",[2]道具信息!C244)</f>
        <v/>
      </c>
      <c r="D244" s="8" t="str">
        <f>IF([2]道具信息!D244="","",[2]道具信息!D244)</f>
        <v>一箱刀币</v>
      </c>
      <c r="E244" s="8">
        <f>IF([2]道具信息!E244="","",[2]道具信息!E244)</f>
        <v>800</v>
      </c>
      <c r="F244" s="8">
        <f>IF([2]道具信息!F244="","",[2]道具信息!F244)</f>
        <v>1.875</v>
      </c>
      <c r="G244" s="8">
        <f>IF([2]道具信息!G244="","",[2]道具信息!G244)</f>
        <v>1</v>
      </c>
      <c r="H244" s="8">
        <f>IF([2]道具信息!H244="","",[2]道具信息!H244)</f>
        <v>0.5</v>
      </c>
      <c r="I244" s="8">
        <f>IF([2]道具信息!I244="","",[2]道具信息!I244)</f>
        <v>1500</v>
      </c>
      <c r="J244" s="8">
        <f>IF([2]道具信息!J244="","",[2]道具信息!J244)</f>
        <v>800</v>
      </c>
      <c r="K244" s="8">
        <f>IF([2]道具信息!K244="","",[2]道具信息!K244)</f>
        <v>400</v>
      </c>
      <c r="L244" s="8" t="str">
        <f>IF([2]道具信息!L244="","",[2]道具信息!L244)</f>
        <v>使用后获得500000刀币</v>
      </c>
      <c r="M244" s="8" t="str">
        <f>IF([2]道具信息!M244="","",[2]道具信息!M244)</f>
        <v/>
      </c>
      <c r="N244" s="8" t="str">
        <f>IF([2]道具信息!N244="","",[2]道具信息!N244)</f>
        <v/>
      </c>
      <c r="O244" s="8" t="str">
        <f>IF([2]道具信息!O244="","",[2]道具信息!O244)</f>
        <v/>
      </c>
      <c r="P244" s="8" t="str">
        <f>IF([2]道具信息!P244="","",[2]道具信息!P244)</f>
        <v/>
      </c>
      <c r="Q244" s="8" t="str">
        <f>IF([2]道具信息!Q244="","",[2]道具信息!Q244)</f>
        <v/>
      </c>
      <c r="R244" s="8" t="str">
        <f>IF([2]道具信息!R244="","",[2]道具信息!R244)</f>
        <v/>
      </c>
    </row>
    <row r="245" spans="3:18" x14ac:dyDescent="0.2">
      <c r="C245" s="8">
        <f>IF([2]道具信息!C245="","",[2]道具信息!C245)</f>
        <v>21024</v>
      </c>
      <c r="D245" s="8" t="str">
        <f>IF([2]道具信息!D245="","",[2]道具信息!D245)</f>
        <v>普通资源自选宝箱</v>
      </c>
      <c r="E245" s="8">
        <f>IF([2]道具信息!E245="","",[2]道具信息!E245)</f>
        <v>6</v>
      </c>
      <c r="F245" s="8">
        <f>IF([2]道具信息!F245="","",[2]道具信息!F245)</f>
        <v>1</v>
      </c>
      <c r="G245" s="8">
        <f>IF([2]道具信息!G245="","",[2]道具信息!G245)</f>
        <v>1</v>
      </c>
      <c r="H245" s="8">
        <f>IF([2]道具信息!H245="","",[2]道具信息!H245)</f>
        <v>0.3</v>
      </c>
      <c r="I245" s="8">
        <f>IF([2]道具信息!I245="","",[2]道具信息!I245)</f>
        <v>6</v>
      </c>
      <c r="J245" s="8">
        <f>IF([2]道具信息!J245="","",[2]道具信息!J245)</f>
        <v>6</v>
      </c>
      <c r="K245" s="8">
        <f>IF([2]道具信息!K245="","",[2]道具信息!K245)</f>
        <v>1.7999999999999998</v>
      </c>
      <c r="L245" s="8" t="str">
        <f>IF([2]道具信息!L245="","",[2]道具信息!L245)</f>
        <v>使用后可选择获得10000资源(可选择资源类型：粮食、木材、石料和铜矿)</v>
      </c>
      <c r="M245" s="8" t="str">
        <f>IF([2]道具信息!M245="","",[2]道具信息!M245)</f>
        <v/>
      </c>
      <c r="N245" s="8" t="str">
        <f>IF([2]道具信息!N245="","",[2]道具信息!N245)</f>
        <v/>
      </c>
      <c r="O245" s="8" t="str">
        <f>IF([2]道具信息!O245="","",[2]道具信息!O245)</f>
        <v/>
      </c>
      <c r="P245" s="8" t="str">
        <f>IF([2]道具信息!P245="","",[2]道具信息!P245)</f>
        <v/>
      </c>
      <c r="Q245" s="8" t="str">
        <f>IF([2]道具信息!Q245="","",[2]道具信息!Q245)</f>
        <v/>
      </c>
      <c r="R245" s="8" t="str">
        <f>IF([2]道具信息!R245="","",[2]道具信息!R245)</f>
        <v/>
      </c>
    </row>
    <row r="246" spans="3:18" x14ac:dyDescent="0.2">
      <c r="C246" s="8">
        <f>IF([2]道具信息!C246="","",[2]道具信息!C246)</f>
        <v>21025</v>
      </c>
      <c r="D246" s="8" t="str">
        <f>IF([2]道具信息!D246="","",[2]道具信息!D246)</f>
        <v>初级资源自选宝箱</v>
      </c>
      <c r="E246" s="8">
        <f>IF([2]道具信息!E246="","",[2]道具信息!E246)</f>
        <v>20</v>
      </c>
      <c r="F246" s="8">
        <f>IF([2]道具信息!F246="","",[2]道具信息!F246)</f>
        <v>1</v>
      </c>
      <c r="G246" s="8">
        <f>IF([2]道具信息!G246="","",[2]道具信息!G246)</f>
        <v>1</v>
      </c>
      <c r="H246" s="8">
        <f>IF([2]道具信息!H246="","",[2]道具信息!H246)</f>
        <v>0.3</v>
      </c>
      <c r="I246" s="8">
        <f>IF([2]道具信息!I246="","",[2]道具信息!I246)</f>
        <v>20</v>
      </c>
      <c r="J246" s="8">
        <f>IF([2]道具信息!J246="","",[2]道具信息!J246)</f>
        <v>20</v>
      </c>
      <c r="K246" s="8">
        <f>IF([2]道具信息!K246="","",[2]道具信息!K246)</f>
        <v>6</v>
      </c>
      <c r="L246" s="8" t="str">
        <f>IF([2]道具信息!L246="","",[2]道具信息!L246)</f>
        <v>使用后可选择获得50000资源(可选择资源类型：粮食、木材、石料和铜矿)</v>
      </c>
      <c r="M246" s="8" t="str">
        <f>IF([2]道具信息!M246="","",[2]道具信息!M246)</f>
        <v/>
      </c>
      <c r="N246" s="8" t="str">
        <f>IF([2]道具信息!N246="","",[2]道具信息!N246)</f>
        <v/>
      </c>
      <c r="O246" s="8" t="str">
        <f>IF([2]道具信息!O246="","",[2]道具信息!O246)</f>
        <v/>
      </c>
      <c r="P246" s="8" t="str">
        <f>IF([2]道具信息!P246="","",[2]道具信息!P246)</f>
        <v/>
      </c>
      <c r="Q246" s="8" t="str">
        <f>IF([2]道具信息!Q246="","",[2]道具信息!Q246)</f>
        <v/>
      </c>
      <c r="R246" s="8" t="str">
        <f>IF([2]道具信息!R246="","",[2]道具信息!R246)</f>
        <v/>
      </c>
    </row>
    <row r="247" spans="3:18" x14ac:dyDescent="0.2">
      <c r="C247" s="8">
        <f>IF([2]道具信息!C247="","",[2]道具信息!C247)</f>
        <v>21026</v>
      </c>
      <c r="D247" s="8" t="str">
        <f>IF([2]道具信息!D247="","",[2]道具信息!D247)</f>
        <v>中级资源自选宝箱</v>
      </c>
      <c r="E247" s="8">
        <f>IF([2]道具信息!E247="","",[2]道具信息!E247)</f>
        <v>45</v>
      </c>
      <c r="F247" s="8">
        <f>IF([2]道具信息!F247="","",[2]道具信息!F247)</f>
        <v>1.333</v>
      </c>
      <c r="G247" s="8">
        <f>IF([2]道具信息!G247="","",[2]道具信息!G247)</f>
        <v>1</v>
      </c>
      <c r="H247" s="8">
        <f>IF([2]道具信息!H247="","",[2]道具信息!H247)</f>
        <v>0.3</v>
      </c>
      <c r="I247" s="8">
        <f>IF([2]道具信息!I247="","",[2]道具信息!I247)</f>
        <v>59.984999999999999</v>
      </c>
      <c r="J247" s="8">
        <f>IF([2]道具信息!J247="","",[2]道具信息!J247)</f>
        <v>45</v>
      </c>
      <c r="K247" s="8">
        <f>IF([2]道具信息!K247="","",[2]道具信息!K247)</f>
        <v>13.5</v>
      </c>
      <c r="L247" s="8" t="str">
        <f>IF([2]道具信息!L247="","",[2]道具信息!L247)</f>
        <v>使用后可选择获得150000资源(可选择资源类型：粮食、木材、石料和铜矿)</v>
      </c>
      <c r="M247" s="8" t="str">
        <f>IF([2]道具信息!M247="","",[2]道具信息!M247)</f>
        <v/>
      </c>
      <c r="N247" s="8" t="str">
        <f>IF([2]道具信息!N247="","",[2]道具信息!N247)</f>
        <v/>
      </c>
      <c r="O247" s="8" t="str">
        <f>IF([2]道具信息!O247="","",[2]道具信息!O247)</f>
        <v/>
      </c>
      <c r="P247" s="8" t="str">
        <f>IF([2]道具信息!P247="","",[2]道具信息!P247)</f>
        <v/>
      </c>
      <c r="Q247" s="8" t="str">
        <f>IF([2]道具信息!Q247="","",[2]道具信息!Q247)</f>
        <v/>
      </c>
      <c r="R247" s="8" t="str">
        <f>IF([2]道具信息!R247="","",[2]道具信息!R247)</f>
        <v/>
      </c>
    </row>
    <row r="248" spans="3:18" x14ac:dyDescent="0.2">
      <c r="C248" s="8">
        <f>IF([2]道具信息!C248="","",[2]道具信息!C248)</f>
        <v>21027</v>
      </c>
      <c r="D248" s="8" t="str">
        <f>IF([2]道具信息!D248="","",[2]道具信息!D248)</f>
        <v>高级资源自选宝箱</v>
      </c>
      <c r="E248" s="8">
        <f>IF([2]道具信息!E248="","",[2]道具信息!E248)</f>
        <v>100</v>
      </c>
      <c r="F248" s="8">
        <f>IF([2]道具信息!F248="","",[2]道具信息!F248)</f>
        <v>2</v>
      </c>
      <c r="G248" s="8">
        <f>IF([2]道具信息!G248="","",[2]道具信息!G248)</f>
        <v>1</v>
      </c>
      <c r="H248" s="8">
        <f>IF([2]道具信息!H248="","",[2]道具信息!H248)</f>
        <v>0.3</v>
      </c>
      <c r="I248" s="8">
        <f>IF([2]道具信息!I248="","",[2]道具信息!I248)</f>
        <v>200</v>
      </c>
      <c r="J248" s="8">
        <f>IF([2]道具信息!J248="","",[2]道具信息!J248)</f>
        <v>100</v>
      </c>
      <c r="K248" s="8">
        <f>IF([2]道具信息!K248="","",[2]道具信息!K248)</f>
        <v>30</v>
      </c>
      <c r="L248" s="8" t="str">
        <f>IF([2]道具信息!L248="","",[2]道具信息!L248)</f>
        <v>使用后可选择获得500000资源(可选择资源类型：粮食、木材、石料和铜矿)</v>
      </c>
      <c r="M248" s="8" t="str">
        <f>IF([2]道具信息!M248="","",[2]道具信息!M248)</f>
        <v/>
      </c>
      <c r="N248" s="8" t="str">
        <f>IF([2]道具信息!N248="","",[2]道具信息!N248)</f>
        <v/>
      </c>
      <c r="O248" s="8" t="str">
        <f>IF([2]道具信息!O248="","",[2]道具信息!O248)</f>
        <v/>
      </c>
      <c r="P248" s="8" t="str">
        <f>IF([2]道具信息!P248="","",[2]道具信息!P248)</f>
        <v/>
      </c>
      <c r="Q248" s="8" t="str">
        <f>IF([2]道具信息!Q248="","",[2]道具信息!Q248)</f>
        <v/>
      </c>
      <c r="R248" s="8" t="str">
        <f>IF([2]道具信息!R248="","",[2]道具信息!R248)</f>
        <v/>
      </c>
    </row>
    <row r="249" spans="3:18" x14ac:dyDescent="0.2">
      <c r="C249" s="8">
        <f>IF([2]道具信息!C249="","",[2]道具信息!C249)</f>
        <v>21031</v>
      </c>
      <c r="D249" s="8" t="str">
        <f>IF([2]道具信息!D249="","",[2]道具信息!D249)</f>
        <v>普通资源宝箱</v>
      </c>
      <c r="E249" s="8">
        <f>IF([2]道具信息!E249="","",[2]道具信息!E249)</f>
        <v>30</v>
      </c>
      <c r="F249" s="8">
        <f>IF([2]道具信息!F249="","",[2]道具信息!F249)</f>
        <v>1</v>
      </c>
      <c r="G249" s="8">
        <f>IF([2]道具信息!G249="","",[2]道具信息!G249)</f>
        <v>1</v>
      </c>
      <c r="H249" s="8">
        <f>IF([2]道具信息!H249="","",[2]道具信息!H249)</f>
        <v>0.3</v>
      </c>
      <c r="I249" s="8">
        <f>IF([2]道具信息!I249="","",[2]道具信息!I249)</f>
        <v>30</v>
      </c>
      <c r="J249" s="8">
        <f>IF([2]道具信息!J249="","",[2]道具信息!J249)</f>
        <v>30</v>
      </c>
      <c r="K249" s="8">
        <f>IF([2]道具信息!K249="","",[2]道具信息!K249)</f>
        <v>9</v>
      </c>
      <c r="L249" s="8" t="str">
        <f>IF([2]道具信息!L249="","",[2]道具信息!L249)</f>
        <v>使用后直接获得10000粮食、木材、石料和铜矿</v>
      </c>
      <c r="M249" s="8" t="str">
        <f>IF([2]道具信息!M249="","",[2]道具信息!M249)</f>
        <v/>
      </c>
      <c r="N249" s="8" t="str">
        <f>IF([2]道具信息!N249="","",[2]道具信息!N249)</f>
        <v/>
      </c>
      <c r="O249" s="8" t="str">
        <f>IF([2]道具信息!O249="","",[2]道具信息!O249)</f>
        <v/>
      </c>
      <c r="P249" s="8" t="str">
        <f>IF([2]道具信息!P249="","",[2]道具信息!P249)</f>
        <v/>
      </c>
      <c r="Q249" s="8" t="str">
        <f>IF([2]道具信息!Q249="","",[2]道具信息!Q249)</f>
        <v/>
      </c>
      <c r="R249" s="8" t="str">
        <f>IF([2]道具信息!R249="","",[2]道具信息!R249)</f>
        <v/>
      </c>
    </row>
    <row r="250" spans="3:18" x14ac:dyDescent="0.2">
      <c r="C250" s="8">
        <f>IF([2]道具信息!C250="","",[2]道具信息!C250)</f>
        <v>21032</v>
      </c>
      <c r="D250" s="8" t="str">
        <f>IF([2]道具信息!D250="","",[2]道具信息!D250)</f>
        <v>初级资源宝箱</v>
      </c>
      <c r="E250" s="8">
        <f>IF([2]道具信息!E250="","",[2]道具信息!E250)</f>
        <v>80</v>
      </c>
      <c r="F250" s="8">
        <f>IF([2]道具信息!F250="","",[2]道具信息!F250)</f>
        <v>1</v>
      </c>
      <c r="G250" s="8">
        <f>IF([2]道具信息!G250="","",[2]道具信息!G250)</f>
        <v>1</v>
      </c>
      <c r="H250" s="8">
        <f>IF([2]道具信息!H250="","",[2]道具信息!H250)</f>
        <v>0.3</v>
      </c>
      <c r="I250" s="8">
        <f>IF([2]道具信息!I250="","",[2]道具信息!I250)</f>
        <v>80</v>
      </c>
      <c r="J250" s="8">
        <f>IF([2]道具信息!J250="","",[2]道具信息!J250)</f>
        <v>80</v>
      </c>
      <c r="K250" s="8">
        <f>IF([2]道具信息!K250="","",[2]道具信息!K250)</f>
        <v>24</v>
      </c>
      <c r="L250" s="8" t="str">
        <f>IF([2]道具信息!L250="","",[2]道具信息!L250)</f>
        <v>使用后直接获得50000粮食、木材、石料和铜矿</v>
      </c>
      <c r="M250" s="8" t="str">
        <f>IF([2]道具信息!M250="","",[2]道具信息!M250)</f>
        <v/>
      </c>
      <c r="N250" s="8" t="str">
        <f>IF([2]道具信息!N250="","",[2]道具信息!N250)</f>
        <v/>
      </c>
      <c r="O250" s="8" t="str">
        <f>IF([2]道具信息!O250="","",[2]道具信息!O250)</f>
        <v/>
      </c>
      <c r="P250" s="8" t="str">
        <f>IF([2]道具信息!P250="","",[2]道具信息!P250)</f>
        <v/>
      </c>
      <c r="Q250" s="8" t="str">
        <f>IF([2]道具信息!Q250="","",[2]道具信息!Q250)</f>
        <v/>
      </c>
      <c r="R250" s="8" t="str">
        <f>IF([2]道具信息!R250="","",[2]道具信息!R250)</f>
        <v/>
      </c>
    </row>
    <row r="251" spans="3:18" x14ac:dyDescent="0.2">
      <c r="C251" s="8">
        <f>IF([2]道具信息!C251="","",[2]道具信息!C251)</f>
        <v>21033</v>
      </c>
      <c r="D251" s="8" t="str">
        <f>IF([2]道具信息!D251="","",[2]道具信息!D251)</f>
        <v>中级资源宝箱</v>
      </c>
      <c r="E251" s="8">
        <f>IF([2]道具信息!E251="","",[2]道具信息!E251)</f>
        <v>180</v>
      </c>
      <c r="F251" s="8">
        <f>IF([2]道具信息!F251="","",[2]道具信息!F251)</f>
        <v>1.333</v>
      </c>
      <c r="G251" s="8">
        <f>IF([2]道具信息!G251="","",[2]道具信息!G251)</f>
        <v>1</v>
      </c>
      <c r="H251" s="8">
        <f>IF([2]道具信息!H251="","",[2]道具信息!H251)</f>
        <v>0.3</v>
      </c>
      <c r="I251" s="8">
        <f>IF([2]道具信息!I251="","",[2]道具信息!I251)</f>
        <v>239.94</v>
      </c>
      <c r="J251" s="8">
        <f>IF([2]道具信息!J251="","",[2]道具信息!J251)</f>
        <v>180</v>
      </c>
      <c r="K251" s="8">
        <f>IF([2]道具信息!K251="","",[2]道具信息!K251)</f>
        <v>54</v>
      </c>
      <c r="L251" s="8" t="str">
        <f>IF([2]道具信息!L251="","",[2]道具信息!L251)</f>
        <v>使用后直接获得150000粮食、木材、石料和铜矿</v>
      </c>
      <c r="M251" s="8" t="str">
        <f>IF([2]道具信息!M251="","",[2]道具信息!M251)</f>
        <v/>
      </c>
      <c r="N251" s="8" t="str">
        <f>IF([2]道具信息!N251="","",[2]道具信息!N251)</f>
        <v/>
      </c>
      <c r="O251" s="8" t="str">
        <f>IF([2]道具信息!O251="","",[2]道具信息!O251)</f>
        <v/>
      </c>
      <c r="P251" s="8" t="str">
        <f>IF([2]道具信息!P251="","",[2]道具信息!P251)</f>
        <v/>
      </c>
      <c r="Q251" s="8" t="str">
        <f>IF([2]道具信息!Q251="","",[2]道具信息!Q251)</f>
        <v/>
      </c>
      <c r="R251" s="8" t="str">
        <f>IF([2]道具信息!R251="","",[2]道具信息!R251)</f>
        <v/>
      </c>
    </row>
    <row r="252" spans="3:18" x14ac:dyDescent="0.2">
      <c r="C252" s="8">
        <f>IF([2]道具信息!C252="","",[2]道具信息!C252)</f>
        <v>21034</v>
      </c>
      <c r="D252" s="8" t="str">
        <f>IF([2]道具信息!D252="","",[2]道具信息!D252)</f>
        <v>高级资源宝箱</v>
      </c>
      <c r="E252" s="8">
        <f>IF([2]道具信息!E252="","",[2]道具信息!E252)</f>
        <v>400</v>
      </c>
      <c r="F252" s="8">
        <f>IF([2]道具信息!F252="","",[2]道具信息!F252)</f>
        <v>2</v>
      </c>
      <c r="G252" s="8">
        <f>IF([2]道具信息!G252="","",[2]道具信息!G252)</f>
        <v>1</v>
      </c>
      <c r="H252" s="8">
        <f>IF([2]道具信息!H252="","",[2]道具信息!H252)</f>
        <v>0.3</v>
      </c>
      <c r="I252" s="8">
        <f>IF([2]道具信息!I252="","",[2]道具信息!I252)</f>
        <v>800</v>
      </c>
      <c r="J252" s="8">
        <f>IF([2]道具信息!J252="","",[2]道具信息!J252)</f>
        <v>400</v>
      </c>
      <c r="K252" s="8">
        <f>IF([2]道具信息!K252="","",[2]道具信息!K252)</f>
        <v>120</v>
      </c>
      <c r="L252" s="8" t="str">
        <f>IF([2]道具信息!L252="","",[2]道具信息!L252)</f>
        <v>使用后直接获得500000粮食、木材、石料和铜矿</v>
      </c>
      <c r="M252" s="8" t="str">
        <f>IF([2]道具信息!M252="","",[2]道具信息!M252)</f>
        <v/>
      </c>
      <c r="N252" s="8" t="str">
        <f>IF([2]道具信息!N252="","",[2]道具信息!N252)</f>
        <v/>
      </c>
      <c r="O252" s="8" t="str">
        <f>IF([2]道具信息!O252="","",[2]道具信息!O252)</f>
        <v/>
      </c>
      <c r="P252" s="8" t="str">
        <f>IF([2]道具信息!P252="","",[2]道具信息!P252)</f>
        <v/>
      </c>
      <c r="Q252" s="8" t="str">
        <f>IF([2]道具信息!Q252="","",[2]道具信息!Q252)</f>
        <v/>
      </c>
      <c r="R252" s="8" t="str">
        <f>IF([2]道具信息!R252="","",[2]道具信息!R252)</f>
        <v/>
      </c>
    </row>
    <row r="253" spans="3:18" x14ac:dyDescent="0.2">
      <c r="C253" s="8" t="str">
        <f>IF([2]道具信息!C253="","",[2]道具信息!C253)</f>
        <v/>
      </c>
      <c r="D253" s="8" t="str">
        <f>IF([2]道具信息!D253="","",[2]道具信息!D253)</f>
        <v/>
      </c>
      <c r="E253" s="8" t="str">
        <f>IF([2]道具信息!E253="","",[2]道具信息!E253)</f>
        <v/>
      </c>
      <c r="F253" s="8" t="str">
        <f>IF([2]道具信息!F253="","",[2]道具信息!F253)</f>
        <v/>
      </c>
      <c r="G253" s="8" t="str">
        <f>IF([2]道具信息!G253="","",[2]道具信息!G253)</f>
        <v/>
      </c>
      <c r="H253" s="8" t="str">
        <f>IF([2]道具信息!H253="","",[2]道具信息!H253)</f>
        <v/>
      </c>
      <c r="I253" s="8" t="str">
        <f>IF([2]道具信息!I253="","",[2]道具信息!I253)</f>
        <v/>
      </c>
      <c r="J253" s="8" t="str">
        <f>IF([2]道具信息!J253="","",[2]道具信息!J253)</f>
        <v/>
      </c>
      <c r="K253" s="8" t="str">
        <f>IF([2]道具信息!K253="","",[2]道具信息!K253)</f>
        <v/>
      </c>
      <c r="L253" s="8" t="str">
        <f>IF([2]道具信息!L253="","",[2]道具信息!L253)</f>
        <v/>
      </c>
      <c r="M253" s="8" t="str">
        <f>IF([2]道具信息!M253="","",[2]道具信息!M253)</f>
        <v/>
      </c>
      <c r="N253" s="8" t="str">
        <f>IF([2]道具信息!N253="","",[2]道具信息!N253)</f>
        <v/>
      </c>
      <c r="O253" s="8" t="str">
        <f>IF([2]道具信息!O253="","",[2]道具信息!O253)</f>
        <v/>
      </c>
      <c r="P253" s="8" t="str">
        <f>IF([2]道具信息!P253="","",[2]道具信息!P253)</f>
        <v/>
      </c>
      <c r="Q253" s="8" t="str">
        <f>IF([2]道具信息!Q253="","",[2]道具信息!Q253)</f>
        <v/>
      </c>
      <c r="R253" s="8" t="str">
        <f>IF([2]道具信息!R253="","",[2]道具信息!R253)</f>
        <v/>
      </c>
    </row>
    <row r="254" spans="3:18" x14ac:dyDescent="0.2">
      <c r="C254" s="8">
        <f>IF([2]道具信息!C254="","",[2]道具信息!C254)</f>
        <v>21061</v>
      </c>
      <c r="D254" s="8" t="str">
        <f>IF([2]道具信息!D254="","",[2]道具信息!D254)</f>
        <v>初级经验书</v>
      </c>
      <c r="E254" s="8">
        <f>IF([2]道具信息!E254="","",[2]道具信息!E254)</f>
        <v>2</v>
      </c>
      <c r="F254" s="8">
        <f>IF([2]道具信息!F254="","",[2]道具信息!F254)</f>
        <v>1</v>
      </c>
      <c r="G254" s="8">
        <f>IF([2]道具信息!G254="","",[2]道具信息!G254)</f>
        <v>1</v>
      </c>
      <c r="H254" s="8">
        <f>IF([2]道具信息!H254="","",[2]道具信息!H254)</f>
        <v>1</v>
      </c>
      <c r="I254" s="8">
        <f>IF([2]道具信息!I254="","",[2]道具信息!I254)</f>
        <v>2</v>
      </c>
      <c r="J254" s="8">
        <f>IF([2]道具信息!J254="","",[2]道具信息!J254)</f>
        <v>2</v>
      </c>
      <c r="K254" s="8">
        <f>IF([2]道具信息!K254="","",[2]道具信息!K254)</f>
        <v>2</v>
      </c>
      <c r="L254" s="8" t="str">
        <f>IF([2]道具信息!L254="","",[2]道具信息!L254)</f>
        <v>武将使用后获得200经验</v>
      </c>
      <c r="M254" s="8" t="str">
        <f>IF([2]道具信息!M254="","",[2]道具信息!M254)</f>
        <v/>
      </c>
      <c r="N254" s="8" t="str">
        <f>IF([2]道具信息!N254="","",[2]道具信息!N254)</f>
        <v/>
      </c>
      <c r="O254" s="8" t="str">
        <f>IF([2]道具信息!O254="","",[2]道具信息!O254)</f>
        <v/>
      </c>
      <c r="P254" s="8" t="str">
        <f>IF([2]道具信息!P254="","",[2]道具信息!P254)</f>
        <v/>
      </c>
      <c r="Q254" s="8" t="str">
        <f>IF([2]道具信息!Q254="","",[2]道具信息!Q254)</f>
        <v/>
      </c>
      <c r="R254" s="8" t="str">
        <f>IF([2]道具信息!R254="","",[2]道具信息!R254)</f>
        <v/>
      </c>
    </row>
    <row r="255" spans="3:18" x14ac:dyDescent="0.2">
      <c r="C255" s="8">
        <f>IF([2]道具信息!C255="","",[2]道具信息!C255)</f>
        <v>21062</v>
      </c>
      <c r="D255" s="8" t="str">
        <f>IF([2]道具信息!D255="","",[2]道具信息!D255)</f>
        <v>中级经验书</v>
      </c>
      <c r="E255" s="8">
        <f>IF([2]道具信息!E255="","",[2]道具信息!E255)</f>
        <v>5</v>
      </c>
      <c r="F255" s="8">
        <f>IF([2]道具信息!F255="","",[2]道具信息!F255)</f>
        <v>1</v>
      </c>
      <c r="G255" s="8">
        <f>IF([2]道具信息!G255="","",[2]道具信息!G255)</f>
        <v>1</v>
      </c>
      <c r="H255" s="8">
        <f>IF([2]道具信息!H255="","",[2]道具信息!H255)</f>
        <v>1</v>
      </c>
      <c r="I255" s="8">
        <f>IF([2]道具信息!I255="","",[2]道具信息!I255)</f>
        <v>5</v>
      </c>
      <c r="J255" s="8">
        <f>IF([2]道具信息!J255="","",[2]道具信息!J255)</f>
        <v>5</v>
      </c>
      <c r="K255" s="8">
        <f>IF([2]道具信息!K255="","",[2]道具信息!K255)</f>
        <v>5</v>
      </c>
      <c r="L255" s="8" t="str">
        <f>IF([2]道具信息!L255="","",[2]道具信息!L255)</f>
        <v>武将使用后获得1000经验</v>
      </c>
      <c r="M255" s="8" t="str">
        <f>IF([2]道具信息!M255="","",[2]道具信息!M255)</f>
        <v/>
      </c>
      <c r="N255" s="8" t="str">
        <f>IF([2]道具信息!N255="","",[2]道具信息!N255)</f>
        <v/>
      </c>
      <c r="O255" s="8" t="str">
        <f>IF([2]道具信息!O255="","",[2]道具信息!O255)</f>
        <v/>
      </c>
      <c r="P255" s="8" t="str">
        <f>IF([2]道具信息!P255="","",[2]道具信息!P255)</f>
        <v/>
      </c>
      <c r="Q255" s="8" t="str">
        <f>IF([2]道具信息!Q255="","",[2]道具信息!Q255)</f>
        <v/>
      </c>
      <c r="R255" s="8" t="str">
        <f>IF([2]道具信息!R255="","",[2]道具信息!R255)</f>
        <v/>
      </c>
    </row>
    <row r="256" spans="3:18" x14ac:dyDescent="0.2">
      <c r="C256" s="8">
        <f>IF([2]道具信息!C256="","",[2]道具信息!C256)</f>
        <v>21063</v>
      </c>
      <c r="D256" s="8" t="str">
        <f>IF([2]道具信息!D256="","",[2]道具信息!D256)</f>
        <v>高级经验书</v>
      </c>
      <c r="E256" s="8">
        <f>IF([2]道具信息!E256="","",[2]道具信息!E256)</f>
        <v>10</v>
      </c>
      <c r="F256" s="8">
        <f>IF([2]道具信息!F256="","",[2]道具信息!F256)</f>
        <v>1</v>
      </c>
      <c r="G256" s="8">
        <f>IF([2]道具信息!G256="","",[2]道具信息!G256)</f>
        <v>1</v>
      </c>
      <c r="H256" s="8">
        <f>IF([2]道具信息!H256="","",[2]道具信息!H256)</f>
        <v>1</v>
      </c>
      <c r="I256" s="8">
        <f>IF([2]道具信息!I256="","",[2]道具信息!I256)</f>
        <v>10</v>
      </c>
      <c r="J256" s="8">
        <f>IF([2]道具信息!J256="","",[2]道具信息!J256)</f>
        <v>10</v>
      </c>
      <c r="K256" s="8">
        <f>IF([2]道具信息!K256="","",[2]道具信息!K256)</f>
        <v>10</v>
      </c>
      <c r="L256" s="8" t="str">
        <f>IF([2]道具信息!L256="","",[2]道具信息!L256)</f>
        <v>武将使用后获得5000经验</v>
      </c>
      <c r="M256" s="8" t="str">
        <f>IF([2]道具信息!M256="","",[2]道具信息!M256)</f>
        <v/>
      </c>
      <c r="N256" s="8" t="str">
        <f>IF([2]道具信息!N256="","",[2]道具信息!N256)</f>
        <v/>
      </c>
      <c r="O256" s="8" t="str">
        <f>IF([2]道具信息!O256="","",[2]道具信息!O256)</f>
        <v/>
      </c>
      <c r="P256" s="8" t="str">
        <f>IF([2]道具信息!P256="","",[2]道具信息!P256)</f>
        <v/>
      </c>
      <c r="Q256" s="8" t="str">
        <f>IF([2]道具信息!Q256="","",[2]道具信息!Q256)</f>
        <v/>
      </c>
      <c r="R256" s="8" t="str">
        <f>IF([2]道具信息!R256="","",[2]道具信息!R256)</f>
        <v/>
      </c>
    </row>
    <row r="257" spans="3:18" x14ac:dyDescent="0.2">
      <c r="C257" s="8">
        <f>IF([2]道具信息!C257="","",[2]道具信息!C257)</f>
        <v>21064</v>
      </c>
      <c r="D257" s="8" t="str">
        <f>IF([2]道具信息!D257="","",[2]道具信息!D257)</f>
        <v>特级经验书</v>
      </c>
      <c r="E257" s="8">
        <f>IF([2]道具信息!E257="","",[2]道具信息!E257)</f>
        <v>20</v>
      </c>
      <c r="F257" s="8">
        <f>IF([2]道具信息!F257="","",[2]道具信息!F257)</f>
        <v>2</v>
      </c>
      <c r="G257" s="8">
        <f>IF([2]道具信息!G257="","",[2]道具信息!G257)</f>
        <v>1</v>
      </c>
      <c r="H257" s="8">
        <f>IF([2]道具信息!H257="","",[2]道具信息!H257)</f>
        <v>1</v>
      </c>
      <c r="I257" s="8">
        <f>IF([2]道具信息!I257="","",[2]道具信息!I257)</f>
        <v>40</v>
      </c>
      <c r="J257" s="8">
        <f>IF([2]道具信息!J257="","",[2]道具信息!J257)</f>
        <v>20</v>
      </c>
      <c r="K257" s="8">
        <f>IF([2]道具信息!K257="","",[2]道具信息!K257)</f>
        <v>20</v>
      </c>
      <c r="L257" s="8" t="str">
        <f>IF([2]道具信息!L257="","",[2]道具信息!L257)</f>
        <v>武将使用后获得20000经验</v>
      </c>
      <c r="M257" s="8" t="str">
        <f>IF([2]道具信息!M257="","",[2]道具信息!M257)</f>
        <v/>
      </c>
      <c r="N257" s="8" t="str">
        <f>IF([2]道具信息!N257="","",[2]道具信息!N257)</f>
        <v/>
      </c>
      <c r="O257" s="8" t="str">
        <f>IF([2]道具信息!O257="","",[2]道具信息!O257)</f>
        <v/>
      </c>
      <c r="P257" s="8" t="str">
        <f>IF([2]道具信息!P257="","",[2]道具信息!P257)</f>
        <v/>
      </c>
      <c r="Q257" s="8" t="str">
        <f>IF([2]道具信息!Q257="","",[2]道具信息!Q257)</f>
        <v/>
      </c>
      <c r="R257" s="8" t="str">
        <f>IF([2]道具信息!R257="","",[2]道具信息!R257)</f>
        <v/>
      </c>
    </row>
    <row r="258" spans="3:18" x14ac:dyDescent="0.2">
      <c r="C258" s="8">
        <f>IF([2]道具信息!C258="","",[2]道具信息!C258)</f>
        <v>21065</v>
      </c>
      <c r="D258" s="8" t="str">
        <f>IF([2]道具信息!D258="","",[2]道具信息!D258)</f>
        <v>超级经验书</v>
      </c>
      <c r="E258" s="8">
        <f>IF([2]道具信息!E258="","",[2]道具信息!E258)</f>
        <v>40</v>
      </c>
      <c r="F258" s="8">
        <f>IF([2]道具信息!F258="","",[2]道具信息!F258)</f>
        <v>5</v>
      </c>
      <c r="G258" s="8">
        <f>IF([2]道具信息!G258="","",[2]道具信息!G258)</f>
        <v>1</v>
      </c>
      <c r="H258" s="8">
        <f>IF([2]道具信息!H258="","",[2]道具信息!H258)</f>
        <v>1</v>
      </c>
      <c r="I258" s="8">
        <f>IF([2]道具信息!I258="","",[2]道具信息!I258)</f>
        <v>200</v>
      </c>
      <c r="J258" s="8">
        <f>IF([2]道具信息!J258="","",[2]道具信息!J258)</f>
        <v>40</v>
      </c>
      <c r="K258" s="8">
        <f>IF([2]道具信息!K258="","",[2]道具信息!K258)</f>
        <v>40</v>
      </c>
      <c r="L258" s="8" t="str">
        <f>IF([2]道具信息!L258="","",[2]道具信息!L258)</f>
        <v>武将使用后获得100000经验</v>
      </c>
      <c r="M258" s="8" t="str">
        <f>IF([2]道具信息!M258="","",[2]道具信息!M258)</f>
        <v/>
      </c>
      <c r="N258" s="8" t="str">
        <f>IF([2]道具信息!N258="","",[2]道具信息!N258)</f>
        <v/>
      </c>
      <c r="O258" s="8" t="str">
        <f>IF([2]道具信息!O258="","",[2]道具信息!O258)</f>
        <v/>
      </c>
      <c r="P258" s="8" t="str">
        <f>IF([2]道具信息!P258="","",[2]道具信息!P258)</f>
        <v/>
      </c>
      <c r="Q258" s="8" t="str">
        <f>IF([2]道具信息!Q258="","",[2]道具信息!Q258)</f>
        <v/>
      </c>
      <c r="R258" s="8" t="str">
        <f>IF([2]道具信息!R258="","",[2]道具信息!R258)</f>
        <v/>
      </c>
    </row>
    <row r="259" spans="3:18" x14ac:dyDescent="0.2">
      <c r="C259" s="8" t="str">
        <f>IF([2]道具信息!C259="","",[2]道具信息!C259)</f>
        <v/>
      </c>
      <c r="D259" s="8" t="str">
        <f>IF([2]道具信息!D259="","",[2]道具信息!D259)</f>
        <v/>
      </c>
      <c r="E259" s="8" t="str">
        <f>IF([2]道具信息!E259="","",[2]道具信息!E259)</f>
        <v/>
      </c>
      <c r="F259" s="8" t="str">
        <f>IF([2]道具信息!F259="","",[2]道具信息!F259)</f>
        <v/>
      </c>
      <c r="G259" s="8" t="str">
        <f>IF([2]道具信息!G259="","",[2]道具信息!G259)</f>
        <v/>
      </c>
      <c r="H259" s="8" t="str">
        <f>IF([2]道具信息!H259="","",[2]道具信息!H259)</f>
        <v/>
      </c>
      <c r="I259" s="8" t="str">
        <f>IF([2]道具信息!I259="","",[2]道具信息!I259)</f>
        <v/>
      </c>
      <c r="J259" s="8" t="str">
        <f>IF([2]道具信息!J259="","",[2]道具信息!J259)</f>
        <v/>
      </c>
      <c r="K259" s="8" t="str">
        <f>IF([2]道具信息!K259="","",[2]道具信息!K259)</f>
        <v/>
      </c>
      <c r="L259" s="8" t="str">
        <f>IF([2]道具信息!L259="","",[2]道具信息!L259)</f>
        <v/>
      </c>
      <c r="M259" s="8" t="str">
        <f>IF([2]道具信息!M259="","",[2]道具信息!M259)</f>
        <v/>
      </c>
      <c r="N259" s="8" t="str">
        <f>IF([2]道具信息!N259="","",[2]道具信息!N259)</f>
        <v/>
      </c>
      <c r="O259" s="8" t="str">
        <f>IF([2]道具信息!O259="","",[2]道具信息!O259)</f>
        <v/>
      </c>
      <c r="P259" s="8" t="str">
        <f>IF([2]道具信息!P259="","",[2]道具信息!P259)</f>
        <v/>
      </c>
      <c r="Q259" s="8" t="str">
        <f>IF([2]道具信息!Q259="","",[2]道具信息!Q259)</f>
        <v/>
      </c>
      <c r="R259" s="8" t="str">
        <f>IF([2]道具信息!R259="","",[2]道具信息!R259)</f>
        <v/>
      </c>
    </row>
    <row r="260" spans="3:18" x14ac:dyDescent="0.2">
      <c r="C260" s="8">
        <f>IF([2]道具信息!C260="","",[2]道具信息!C260)</f>
        <v>21073</v>
      </c>
      <c r="D260" s="8" t="str">
        <f>IF([2]道具信息!D260="","",[2]道具信息!D260)</f>
        <v>1个行军令</v>
      </c>
      <c r="E260" s="8">
        <f>IF([2]道具信息!E260="","",[2]道具信息!E260)</f>
        <v>75</v>
      </c>
      <c r="F260" s="8">
        <f>IF([2]道具信息!F260="","",[2]道具信息!F260)</f>
        <v>1</v>
      </c>
      <c r="G260" s="8">
        <f>IF([2]道具信息!G260="","",[2]道具信息!G260)</f>
        <v>1</v>
      </c>
      <c r="H260" s="8">
        <f>IF([2]道具信息!H260="","",[2]道具信息!H260)</f>
        <v>1</v>
      </c>
      <c r="I260" s="8">
        <f>IF([2]道具信息!I260="","",[2]道具信息!I260)</f>
        <v>75</v>
      </c>
      <c r="J260" s="8">
        <f>IF([2]道具信息!J260="","",[2]道具信息!J260)</f>
        <v>75</v>
      </c>
      <c r="K260" s="8">
        <f>IF([2]道具信息!K260="","",[2]道具信息!K260)</f>
        <v>75</v>
      </c>
      <c r="L260" s="8" t="str">
        <f>IF([2]道具信息!L260="","",[2]道具信息!L260)</f>
        <v>使用后获得1个行军令</v>
      </c>
      <c r="M260" s="8" t="str">
        <f>IF([2]道具信息!M260="","",[2]道具信息!M260)</f>
        <v/>
      </c>
      <c r="N260" s="8" t="str">
        <f>IF([2]道具信息!N260="","",[2]道具信息!N260)</f>
        <v/>
      </c>
      <c r="O260" s="8" t="str">
        <f>IF([2]道具信息!O260="","",[2]道具信息!O260)</f>
        <v/>
      </c>
      <c r="P260" s="8" t="str">
        <f>IF([2]道具信息!P260="","",[2]道具信息!P260)</f>
        <v/>
      </c>
      <c r="Q260" s="8" t="str">
        <f>IF([2]道具信息!Q260="","",[2]道具信息!Q260)</f>
        <v/>
      </c>
      <c r="R260" s="8" t="str">
        <f>IF([2]道具信息!R260="","",[2]道具信息!R260)</f>
        <v/>
      </c>
    </row>
    <row r="261" spans="3:18" x14ac:dyDescent="0.2">
      <c r="C261" s="8">
        <f>IF([2]道具信息!C261="","",[2]道具信息!C261)</f>
        <v>21074</v>
      </c>
      <c r="D261" s="8" t="str">
        <f>IF([2]道具信息!D261="","",[2]道具信息!D261)</f>
        <v>大捆行军令</v>
      </c>
      <c r="E261" s="8">
        <f>IF([2]道具信息!E261="","",[2]道具信息!E261)</f>
        <v>225</v>
      </c>
      <c r="F261" s="8">
        <f>IF([2]道具信息!F261="","",[2]道具信息!F261)</f>
        <v>1</v>
      </c>
      <c r="G261" s="8">
        <f>IF([2]道具信息!G261="","",[2]道具信息!G261)</f>
        <v>1</v>
      </c>
      <c r="H261" s="8">
        <f>IF([2]道具信息!H261="","",[2]道具信息!H261)</f>
        <v>1</v>
      </c>
      <c r="I261" s="8">
        <f>IF([2]道具信息!I261="","",[2]道具信息!I261)</f>
        <v>225</v>
      </c>
      <c r="J261" s="8">
        <f>IF([2]道具信息!J261="","",[2]道具信息!J261)</f>
        <v>225</v>
      </c>
      <c r="K261" s="8">
        <f>IF([2]道具信息!K261="","",[2]道具信息!K261)</f>
        <v>225</v>
      </c>
      <c r="L261" s="8" t="str">
        <f>IF([2]道具信息!L261="","",[2]道具信息!L261)</f>
        <v>使用后获得3个行军令</v>
      </c>
      <c r="M261" s="8" t="str">
        <f>IF([2]道具信息!M261="","",[2]道具信息!M261)</f>
        <v/>
      </c>
      <c r="N261" s="8" t="str">
        <f>IF([2]道具信息!N261="","",[2]道具信息!N261)</f>
        <v/>
      </c>
      <c r="O261" s="8" t="str">
        <f>IF([2]道具信息!O261="","",[2]道具信息!O261)</f>
        <v/>
      </c>
      <c r="P261" s="8" t="str">
        <f>IF([2]道具信息!P261="","",[2]道具信息!P261)</f>
        <v/>
      </c>
      <c r="Q261" s="8" t="str">
        <f>IF([2]道具信息!Q261="","",[2]道具信息!Q261)</f>
        <v/>
      </c>
      <c r="R261" s="8" t="str">
        <f>IF([2]道具信息!R261="","",[2]道具信息!R261)</f>
        <v/>
      </c>
    </row>
    <row r="262" spans="3:18" x14ac:dyDescent="0.2">
      <c r="C262" s="8" t="str">
        <f>IF([2]道具信息!C262="","",[2]道具信息!C262)</f>
        <v/>
      </c>
      <c r="D262" s="8" t="str">
        <f>IF([2]道具信息!D262="","",[2]道具信息!D262)</f>
        <v/>
      </c>
      <c r="E262" s="8" t="str">
        <f>IF([2]道具信息!E262="","",[2]道具信息!E262)</f>
        <v/>
      </c>
      <c r="F262" s="8" t="str">
        <f>IF([2]道具信息!F262="","",[2]道具信息!F262)</f>
        <v/>
      </c>
      <c r="G262" s="8" t="str">
        <f>IF([2]道具信息!G262="","",[2]道具信息!G262)</f>
        <v/>
      </c>
      <c r="H262" s="8" t="str">
        <f>IF([2]道具信息!H262="","",[2]道具信息!H262)</f>
        <v/>
      </c>
      <c r="I262" s="8" t="str">
        <f>IF([2]道具信息!I262="","",[2]道具信息!I262)</f>
        <v/>
      </c>
      <c r="J262" s="8" t="str">
        <f>IF([2]道具信息!J262="","",[2]道具信息!J262)</f>
        <v/>
      </c>
      <c r="K262" s="8" t="str">
        <f>IF([2]道具信息!K262="","",[2]道具信息!K262)</f>
        <v/>
      </c>
      <c r="L262" s="8" t="str">
        <f>IF([2]道具信息!L262="","",[2]道具信息!L262)</f>
        <v/>
      </c>
      <c r="M262" s="8" t="str">
        <f>IF([2]道具信息!M262="","",[2]道具信息!M262)</f>
        <v/>
      </c>
      <c r="N262" s="8" t="str">
        <f>IF([2]道具信息!N262="","",[2]道具信息!N262)</f>
        <v/>
      </c>
      <c r="O262" s="8" t="str">
        <f>IF([2]道具信息!O262="","",[2]道具信息!O262)</f>
        <v/>
      </c>
      <c r="P262" s="8" t="str">
        <f>IF([2]道具信息!P262="","",[2]道具信息!P262)</f>
        <v/>
      </c>
      <c r="Q262" s="8" t="str">
        <f>IF([2]道具信息!Q262="","",[2]道具信息!Q262)</f>
        <v/>
      </c>
      <c r="R262" s="8" t="str">
        <f>IF([2]道具信息!R262="","",[2]道具信息!R262)</f>
        <v/>
      </c>
    </row>
    <row r="263" spans="3:18" x14ac:dyDescent="0.2">
      <c r="C263" s="8">
        <f>IF([2]道具信息!C263="","",[2]道具信息!C263)</f>
        <v>21081</v>
      </c>
      <c r="D263" s="8" t="str">
        <f>IF([2]道具信息!D263="","",[2]道具信息!D263)</f>
        <v>木材增产令</v>
      </c>
      <c r="E263" s="8">
        <f>IF([2]道具信息!E263="","",[2]道具信息!E263)</f>
        <v>35</v>
      </c>
      <c r="F263" s="8">
        <f>IF([2]道具信息!F263="","",[2]道具信息!F263)</f>
        <v>1</v>
      </c>
      <c r="G263" s="8">
        <f>IF([2]道具信息!G263="","",[2]道具信息!G263)</f>
        <v>1</v>
      </c>
      <c r="H263" s="8">
        <f>IF([2]道具信息!H263="","",[2]道具信息!H263)</f>
        <v>1</v>
      </c>
      <c r="I263" s="8">
        <f>IF([2]道具信息!I263="","",[2]道具信息!I263)</f>
        <v>35</v>
      </c>
      <c r="J263" s="8">
        <f>IF([2]道具信息!J263="","",[2]道具信息!J263)</f>
        <v>35</v>
      </c>
      <c r="K263" s="8">
        <f>IF([2]道具信息!K263="","",[2]道具信息!K263)</f>
        <v>35</v>
      </c>
      <c r="L263" s="8" t="str">
        <f>IF([2]道具信息!L263="","",[2]道具信息!L263)</f>
        <v>使用后伐木场产量提高50%，持续12小时</v>
      </c>
      <c r="M263" s="8" t="str">
        <f>IF([2]道具信息!M263="","",[2]道具信息!M263)</f>
        <v/>
      </c>
      <c r="N263" s="8" t="str">
        <f>IF([2]道具信息!N263="","",[2]道具信息!N263)</f>
        <v/>
      </c>
      <c r="O263" s="8" t="str">
        <f>IF([2]道具信息!O263="","",[2]道具信息!O263)</f>
        <v/>
      </c>
      <c r="P263" s="8" t="str">
        <f>IF([2]道具信息!P263="","",[2]道具信息!P263)</f>
        <v/>
      </c>
      <c r="Q263" s="8" t="str">
        <f>IF([2]道具信息!Q263="","",[2]道具信息!Q263)</f>
        <v/>
      </c>
      <c r="R263" s="8" t="str">
        <f>IF([2]道具信息!R263="","",[2]道具信息!R263)</f>
        <v/>
      </c>
    </row>
    <row r="264" spans="3:18" x14ac:dyDescent="0.2">
      <c r="C264" s="8">
        <f>IF([2]道具信息!C264="","",[2]道具信息!C264)</f>
        <v>21082</v>
      </c>
      <c r="D264" s="8" t="str">
        <f>IF([2]道具信息!D264="","",[2]道具信息!D264)</f>
        <v>铁矿增产令</v>
      </c>
      <c r="E264" s="8">
        <f>IF([2]道具信息!E264="","",[2]道具信息!E264)</f>
        <v>50</v>
      </c>
      <c r="F264" s="8">
        <f>IF([2]道具信息!F264="","",[2]道具信息!F264)</f>
        <v>1</v>
      </c>
      <c r="G264" s="8">
        <f>IF([2]道具信息!G264="","",[2]道具信息!G264)</f>
        <v>1</v>
      </c>
      <c r="H264" s="8">
        <f>IF([2]道具信息!H264="","",[2]道具信息!H264)</f>
        <v>1</v>
      </c>
      <c r="I264" s="8">
        <f>IF([2]道具信息!I264="","",[2]道具信息!I264)</f>
        <v>50</v>
      </c>
      <c r="J264" s="8">
        <f>IF([2]道具信息!J264="","",[2]道具信息!J264)</f>
        <v>50</v>
      </c>
      <c r="K264" s="8">
        <f>IF([2]道具信息!K264="","",[2]道具信息!K264)</f>
        <v>50</v>
      </c>
      <c r="L264" s="8" t="str">
        <f>IF([2]道具信息!L264="","",[2]道具信息!L264)</f>
        <v>使用后冶炼厂产量提高50%，持续12小时</v>
      </c>
      <c r="M264" s="8" t="str">
        <f>IF([2]道具信息!M264="","",[2]道具信息!M264)</f>
        <v/>
      </c>
      <c r="N264" s="8" t="str">
        <f>IF([2]道具信息!N264="","",[2]道具信息!N264)</f>
        <v/>
      </c>
      <c r="O264" s="8" t="str">
        <f>IF([2]道具信息!O264="","",[2]道具信息!O264)</f>
        <v/>
      </c>
      <c r="P264" s="8" t="str">
        <f>IF([2]道具信息!P264="","",[2]道具信息!P264)</f>
        <v/>
      </c>
      <c r="Q264" s="8" t="str">
        <f>IF([2]道具信息!Q264="","",[2]道具信息!Q264)</f>
        <v/>
      </c>
      <c r="R264" s="8" t="str">
        <f>IF([2]道具信息!R264="","",[2]道具信息!R264)</f>
        <v/>
      </c>
    </row>
    <row r="265" spans="3:18" x14ac:dyDescent="0.2">
      <c r="C265" s="8">
        <f>IF([2]道具信息!C265="","",[2]道具信息!C265)</f>
        <v>21083</v>
      </c>
      <c r="D265" s="8" t="str">
        <f>IF([2]道具信息!D265="","",[2]道具信息!D265)</f>
        <v>石料增产令</v>
      </c>
      <c r="E265" s="8">
        <f>IF([2]道具信息!E265="","",[2]道具信息!E265)</f>
        <v>35</v>
      </c>
      <c r="F265" s="8">
        <f>IF([2]道具信息!F265="","",[2]道具信息!F265)</f>
        <v>1</v>
      </c>
      <c r="G265" s="8">
        <f>IF([2]道具信息!G265="","",[2]道具信息!G265)</f>
        <v>1</v>
      </c>
      <c r="H265" s="8">
        <f>IF([2]道具信息!H265="","",[2]道具信息!H265)</f>
        <v>1</v>
      </c>
      <c r="I265" s="8">
        <f>IF([2]道具信息!I265="","",[2]道具信息!I265)</f>
        <v>35</v>
      </c>
      <c r="J265" s="8">
        <f>IF([2]道具信息!J265="","",[2]道具信息!J265)</f>
        <v>35</v>
      </c>
      <c r="K265" s="8">
        <f>IF([2]道具信息!K265="","",[2]道具信息!K265)</f>
        <v>35</v>
      </c>
      <c r="L265" s="8" t="str">
        <f>IF([2]道具信息!L265="","",[2]道具信息!L265)</f>
        <v>使用后采石场产量提高50%，持续12小时</v>
      </c>
      <c r="M265" s="8" t="str">
        <f>IF([2]道具信息!M265="","",[2]道具信息!M265)</f>
        <v/>
      </c>
      <c r="N265" s="8" t="str">
        <f>IF([2]道具信息!N265="","",[2]道具信息!N265)</f>
        <v/>
      </c>
      <c r="O265" s="8" t="str">
        <f>IF([2]道具信息!O265="","",[2]道具信息!O265)</f>
        <v/>
      </c>
      <c r="P265" s="8" t="str">
        <f>IF([2]道具信息!P265="","",[2]道具信息!P265)</f>
        <v/>
      </c>
      <c r="Q265" s="8" t="str">
        <f>IF([2]道具信息!Q265="","",[2]道具信息!Q265)</f>
        <v/>
      </c>
      <c r="R265" s="8" t="str">
        <f>IF([2]道具信息!R265="","",[2]道具信息!R265)</f>
        <v/>
      </c>
    </row>
    <row r="266" spans="3:18" x14ac:dyDescent="0.2">
      <c r="C266" s="8">
        <f>IF([2]道具信息!C266="","",[2]道具信息!C266)</f>
        <v>21084</v>
      </c>
      <c r="D266" s="8" t="str">
        <f>IF([2]道具信息!D266="","",[2]道具信息!D266)</f>
        <v>粮食增产令</v>
      </c>
      <c r="E266" s="8">
        <f>IF([2]道具信息!E266="","",[2]道具信息!E266)</f>
        <v>35</v>
      </c>
      <c r="F266" s="8">
        <f>IF([2]道具信息!F266="","",[2]道具信息!F266)</f>
        <v>1</v>
      </c>
      <c r="G266" s="8">
        <f>IF([2]道具信息!G266="","",[2]道具信息!G266)</f>
        <v>1</v>
      </c>
      <c r="H266" s="8">
        <f>IF([2]道具信息!H266="","",[2]道具信息!H266)</f>
        <v>1</v>
      </c>
      <c r="I266" s="8">
        <f>IF([2]道具信息!I266="","",[2]道具信息!I266)</f>
        <v>35</v>
      </c>
      <c r="J266" s="8">
        <f>IF([2]道具信息!J266="","",[2]道具信息!J266)</f>
        <v>35</v>
      </c>
      <c r="K266" s="8">
        <f>IF([2]道具信息!K266="","",[2]道具信息!K266)</f>
        <v>35</v>
      </c>
      <c r="L266" s="8" t="str">
        <f>IF([2]道具信息!L266="","",[2]道具信息!L266)</f>
        <v>使用后农田产量提高50%，持续12小时</v>
      </c>
      <c r="M266" s="8" t="str">
        <f>IF([2]道具信息!M266="","",[2]道具信息!M266)</f>
        <v/>
      </c>
      <c r="N266" s="8" t="str">
        <f>IF([2]道具信息!N266="","",[2]道具信息!N266)</f>
        <v/>
      </c>
      <c r="O266" s="8" t="str">
        <f>IF([2]道具信息!O266="","",[2]道具信息!O266)</f>
        <v/>
      </c>
      <c r="P266" s="8" t="str">
        <f>IF([2]道具信息!P266="","",[2]道具信息!P266)</f>
        <v/>
      </c>
      <c r="Q266" s="8" t="str">
        <f>IF([2]道具信息!Q266="","",[2]道具信息!Q266)</f>
        <v/>
      </c>
      <c r="R266" s="8" t="str">
        <f>IF([2]道具信息!R266="","",[2]道具信息!R266)</f>
        <v/>
      </c>
    </row>
    <row r="267" spans="3:18" x14ac:dyDescent="0.2">
      <c r="C267" s="8">
        <f>IF([2]道具信息!C267="","",[2]道具信息!C267)</f>
        <v>21085</v>
      </c>
      <c r="D267" s="8" t="str">
        <f>IF([2]道具信息!D267="","",[2]道具信息!D267)</f>
        <v>赋税增收令</v>
      </c>
      <c r="E267" s="8">
        <f>IF([2]道具信息!E267="","",[2]道具信息!E267)</f>
        <v>85</v>
      </c>
      <c r="F267" s="8">
        <f>IF([2]道具信息!F267="","",[2]道具信息!F267)</f>
        <v>1</v>
      </c>
      <c r="G267" s="8">
        <f>IF([2]道具信息!G267="","",[2]道具信息!G267)</f>
        <v>1</v>
      </c>
      <c r="H267" s="8">
        <f>IF([2]道具信息!H267="","",[2]道具信息!H267)</f>
        <v>1</v>
      </c>
      <c r="I267" s="8">
        <f>IF([2]道具信息!I267="","",[2]道具信息!I267)</f>
        <v>85</v>
      </c>
      <c r="J267" s="8">
        <f>IF([2]道具信息!J267="","",[2]道具信息!J267)</f>
        <v>85</v>
      </c>
      <c r="K267" s="8">
        <f>IF([2]道具信息!K267="","",[2]道具信息!K267)</f>
        <v>85</v>
      </c>
      <c r="L267" s="8" t="str">
        <f>IF([2]道具信息!L267="","",[2]道具信息!L267)</f>
        <v>使用后民居税收提高25%，持续12小时</v>
      </c>
      <c r="M267" s="8" t="str">
        <f>IF([2]道具信息!M267="","",[2]道具信息!M267)</f>
        <v/>
      </c>
      <c r="N267" s="8" t="str">
        <f>IF([2]道具信息!N267="","",[2]道具信息!N267)</f>
        <v/>
      </c>
      <c r="O267" s="8" t="str">
        <f>IF([2]道具信息!O267="","",[2]道具信息!O267)</f>
        <v/>
      </c>
      <c r="P267" s="8" t="str">
        <f>IF([2]道具信息!P267="","",[2]道具信息!P267)</f>
        <v/>
      </c>
      <c r="Q267" s="8" t="str">
        <f>IF([2]道具信息!Q267="","",[2]道具信息!Q267)</f>
        <v/>
      </c>
      <c r="R267" s="8" t="str">
        <f>IF([2]道具信息!R267="","",[2]道具信息!R267)</f>
        <v/>
      </c>
    </row>
    <row r="268" spans="3:18" x14ac:dyDescent="0.2">
      <c r="C268" s="8">
        <f>IF([2]道具信息!C268="","",[2]道具信息!C268)</f>
        <v>21086</v>
      </c>
      <c r="D268" s="8" t="str">
        <f>IF([2]道具信息!D268="","",[2]道具信息!D268)</f>
        <v>铜矿增产令</v>
      </c>
      <c r="E268" s="8">
        <f>IF([2]道具信息!E268="","",[2]道具信息!E268)</f>
        <v>35</v>
      </c>
      <c r="F268" s="8">
        <f>IF([2]道具信息!F268="","",[2]道具信息!F268)</f>
        <v>1</v>
      </c>
      <c r="G268" s="8">
        <f>IF([2]道具信息!G268="","",[2]道具信息!G268)</f>
        <v>1</v>
      </c>
      <c r="H268" s="8">
        <f>IF([2]道具信息!H268="","",[2]道具信息!H268)</f>
        <v>1</v>
      </c>
      <c r="I268" s="8">
        <f>IF([2]道具信息!I268="","",[2]道具信息!I268)</f>
        <v>35</v>
      </c>
      <c r="J268" s="8">
        <f>IF([2]道具信息!J268="","",[2]道具信息!J268)</f>
        <v>35</v>
      </c>
      <c r="K268" s="8">
        <f>IF([2]道具信息!K268="","",[2]道具信息!K268)</f>
        <v>35</v>
      </c>
      <c r="L268" s="8" t="str">
        <f>IF([2]道具信息!L268="","",[2]道具信息!L268)</f>
        <v>使用后铜矿产量提高50%，持续12小时</v>
      </c>
      <c r="M268" s="8" t="str">
        <f>IF([2]道具信息!M268="","",[2]道具信息!M268)</f>
        <v/>
      </c>
      <c r="N268" s="8" t="str">
        <f>IF([2]道具信息!N268="","",[2]道具信息!N268)</f>
        <v/>
      </c>
      <c r="O268" s="8" t="str">
        <f>IF([2]道具信息!O268="","",[2]道具信息!O268)</f>
        <v/>
      </c>
      <c r="P268" s="8" t="str">
        <f>IF([2]道具信息!P268="","",[2]道具信息!P268)</f>
        <v/>
      </c>
      <c r="Q268" s="8" t="str">
        <f>IF([2]道具信息!Q268="","",[2]道具信息!Q268)</f>
        <v/>
      </c>
      <c r="R268" s="8" t="str">
        <f>IF([2]道具信息!R268="","",[2]道具信息!R268)</f>
        <v/>
      </c>
    </row>
    <row r="269" spans="3:18" x14ac:dyDescent="0.2">
      <c r="C269" s="8" t="str">
        <f>IF([2]道具信息!C269="","",[2]道具信息!C269)</f>
        <v/>
      </c>
      <c r="D269" s="8" t="str">
        <f>IF([2]道具信息!D269="","",[2]道具信息!D269)</f>
        <v/>
      </c>
      <c r="E269" s="8" t="str">
        <f>IF([2]道具信息!E269="","",[2]道具信息!E269)</f>
        <v/>
      </c>
      <c r="F269" s="8" t="str">
        <f>IF([2]道具信息!F269="","",[2]道具信息!F269)</f>
        <v/>
      </c>
      <c r="G269" s="8" t="str">
        <f>IF([2]道具信息!G269="","",[2]道具信息!G269)</f>
        <v/>
      </c>
      <c r="H269" s="8" t="str">
        <f>IF([2]道具信息!H269="","",[2]道具信息!H269)</f>
        <v/>
      </c>
      <c r="I269" s="8" t="str">
        <f>IF([2]道具信息!I269="","",[2]道具信息!I269)</f>
        <v/>
      </c>
      <c r="J269" s="8" t="str">
        <f>IF([2]道具信息!J269="","",[2]道具信息!J269)</f>
        <v/>
      </c>
      <c r="K269" s="8" t="str">
        <f>IF([2]道具信息!K269="","",[2]道具信息!K269)</f>
        <v/>
      </c>
      <c r="L269" s="8" t="str">
        <f>IF([2]道具信息!L269="","",[2]道具信息!L269)</f>
        <v/>
      </c>
      <c r="M269" s="8" t="str">
        <f>IF([2]道具信息!M269="","",[2]道具信息!M269)</f>
        <v/>
      </c>
      <c r="N269" s="8" t="str">
        <f>IF([2]道具信息!N269="","",[2]道具信息!N269)</f>
        <v/>
      </c>
      <c r="O269" s="8" t="str">
        <f>IF([2]道具信息!O269="","",[2]道具信息!O269)</f>
        <v/>
      </c>
      <c r="P269" s="8" t="str">
        <f>IF([2]道具信息!P269="","",[2]道具信息!P269)</f>
        <v/>
      </c>
      <c r="Q269" s="8" t="str">
        <f>IF([2]道具信息!Q269="","",[2]道具信息!Q269)</f>
        <v/>
      </c>
      <c r="R269" s="8" t="str">
        <f>IF([2]道具信息!R269="","",[2]道具信息!R269)</f>
        <v/>
      </c>
    </row>
    <row r="270" spans="3:18" x14ac:dyDescent="0.2">
      <c r="C270" s="8">
        <f>IF([2]道具信息!C270="","",[2]道具信息!C270)</f>
        <v>21100</v>
      </c>
      <c r="D270" s="8" t="str">
        <f>IF([2]道具信息!D270="","",[2]道具信息!D270)</f>
        <v>免战牌</v>
      </c>
      <c r="E270" s="8">
        <f>IF([2]道具信息!E270="","",[2]道具信息!E270)</f>
        <v>100</v>
      </c>
      <c r="F270" s="8">
        <f>IF([2]道具信息!F270="","",[2]道具信息!F270)</f>
        <v>1</v>
      </c>
      <c r="G270" s="8">
        <f>IF([2]道具信息!G270="","",[2]道具信息!G270)</f>
        <v>1</v>
      </c>
      <c r="H270" s="8">
        <f>IF([2]道具信息!H270="","",[2]道具信息!H270)</f>
        <v>1</v>
      </c>
      <c r="I270" s="8">
        <f>IF([2]道具信息!I270="","",[2]道具信息!I270)</f>
        <v>100</v>
      </c>
      <c r="J270" s="8">
        <f>IF([2]道具信息!J270="","",[2]道具信息!J270)</f>
        <v>100</v>
      </c>
      <c r="K270" s="8">
        <f>IF([2]道具信息!K270="","",[2]道具信息!K270)</f>
        <v>100</v>
      </c>
      <c r="L270" s="8" t="str">
        <f>IF([2]道具信息!L270="","",[2]道具信息!L270)</f>
        <v>使用后城池不会遭受来自玩家的攻击，主动进攻玩家后失效，持续8小时</v>
      </c>
      <c r="M270" s="8" t="str">
        <f>IF([2]道具信息!M270="","",[2]道具信息!M270)</f>
        <v/>
      </c>
      <c r="N270" s="8" t="str">
        <f>IF([2]道具信息!N270="","",[2]道具信息!N270)</f>
        <v/>
      </c>
      <c r="O270" s="8" t="str">
        <f>IF([2]道具信息!O270="","",[2]道具信息!O270)</f>
        <v/>
      </c>
      <c r="P270" s="8" t="str">
        <f>IF([2]道具信息!P270="","",[2]道具信息!P270)</f>
        <v/>
      </c>
      <c r="Q270" s="8" t="str">
        <f>IF([2]道具信息!Q270="","",[2]道具信息!Q270)</f>
        <v/>
      </c>
      <c r="R270" s="8" t="str">
        <f>IF([2]道具信息!R270="","",[2]道具信息!R270)</f>
        <v/>
      </c>
    </row>
    <row r="271" spans="3:18" x14ac:dyDescent="0.2">
      <c r="C271" s="8">
        <f>IF([2]道具信息!C271="","",[2]道具信息!C271)</f>
        <v>21101</v>
      </c>
      <c r="D271" s="8" t="str">
        <f>IF([2]道具信息!D271="","",[2]道具信息!D271)</f>
        <v>普通点将牌</v>
      </c>
      <c r="E271" s="8">
        <f>IF([2]道具信息!E271="","",[2]道具信息!E271)</f>
        <v>65</v>
      </c>
      <c r="F271" s="8">
        <f>IF([2]道具信息!F271="","",[2]道具信息!F271)</f>
        <v>1</v>
      </c>
      <c r="G271" s="8">
        <f>IF([2]道具信息!G271="","",[2]道具信息!G271)</f>
        <v>1</v>
      </c>
      <c r="H271" s="8">
        <f>IF([2]道具信息!H271="","",[2]道具信息!H271)</f>
        <v>1</v>
      </c>
      <c r="I271" s="8">
        <f>IF([2]道具信息!I271="","",[2]道具信息!I271)</f>
        <v>65</v>
      </c>
      <c r="J271" s="8">
        <f>IF([2]道具信息!J271="","",[2]道具信息!J271)</f>
        <v>65</v>
      </c>
      <c r="K271" s="8">
        <f>IF([2]道具信息!K271="","",[2]道具信息!K271)</f>
        <v>65</v>
      </c>
      <c r="L271" s="8" t="str">
        <f>IF([2]道具信息!L271="","",[2]道具信息!L271)</f>
        <v>点将台普通招募时消耗的令牌</v>
      </c>
      <c r="M271" s="8" t="str">
        <f>IF([2]道具信息!M271="","",[2]道具信息!M271)</f>
        <v/>
      </c>
      <c r="N271" s="8" t="str">
        <f>IF([2]道具信息!N271="","",[2]道具信息!N271)</f>
        <v/>
      </c>
      <c r="O271" s="8" t="str">
        <f>IF([2]道具信息!O271="","",[2]道具信息!O271)</f>
        <v/>
      </c>
      <c r="P271" s="8" t="str">
        <f>IF([2]道具信息!P271="","",[2]道具信息!P271)</f>
        <v/>
      </c>
      <c r="Q271" s="8" t="str">
        <f>IF([2]道具信息!Q271="","",[2]道具信息!Q271)</f>
        <v/>
      </c>
      <c r="R271" s="8" t="str">
        <f>IF([2]道具信息!R271="","",[2]道具信息!R271)</f>
        <v/>
      </c>
    </row>
    <row r="272" spans="3:18" x14ac:dyDescent="0.2">
      <c r="C272" s="8">
        <f>IF([2]道具信息!C272="","",[2]道具信息!C272)</f>
        <v>21102</v>
      </c>
      <c r="D272" s="8" t="str">
        <f>IF([2]道具信息!D272="","",[2]道具信息!D272)</f>
        <v>高级点将牌</v>
      </c>
      <c r="E272" s="8">
        <f>IF([2]道具信息!E272="","",[2]道具信息!E272)</f>
        <v>240</v>
      </c>
      <c r="F272" s="8">
        <f>IF([2]道具信息!F272="","",[2]道具信息!F272)</f>
        <v>1</v>
      </c>
      <c r="G272" s="8">
        <f>IF([2]道具信息!G272="","",[2]道具信息!G272)</f>
        <v>1</v>
      </c>
      <c r="H272" s="8">
        <f>IF([2]道具信息!H272="","",[2]道具信息!H272)</f>
        <v>1</v>
      </c>
      <c r="I272" s="8">
        <f>IF([2]道具信息!I272="","",[2]道具信息!I272)</f>
        <v>240</v>
      </c>
      <c r="J272" s="8">
        <f>IF([2]道具信息!J272="","",[2]道具信息!J272)</f>
        <v>240</v>
      </c>
      <c r="K272" s="8">
        <f>IF([2]道具信息!K272="","",[2]道具信息!K272)</f>
        <v>240</v>
      </c>
      <c r="L272" s="8" t="str">
        <f>IF([2]道具信息!L272="","",[2]道具信息!L272)</f>
        <v>点将台高级招募时消耗的令牌</v>
      </c>
      <c r="M272" s="8" t="str">
        <f>IF([2]道具信息!M272="","",[2]道具信息!M272)</f>
        <v/>
      </c>
      <c r="N272" s="8" t="str">
        <f>IF([2]道具信息!N272="","",[2]道具信息!N272)</f>
        <v/>
      </c>
      <c r="O272" s="8" t="str">
        <f>IF([2]道具信息!O272="","",[2]道具信息!O272)</f>
        <v/>
      </c>
      <c r="P272" s="8" t="str">
        <f>IF([2]道具信息!P272="","",[2]道具信息!P272)</f>
        <v/>
      </c>
      <c r="Q272" s="8" t="str">
        <f>IF([2]道具信息!Q272="","",[2]道具信息!Q272)</f>
        <v/>
      </c>
      <c r="R272" s="8" t="str">
        <f>IF([2]道具信息!R272="","",[2]道具信息!R272)</f>
        <v/>
      </c>
    </row>
    <row r="273" spans="3:18" x14ac:dyDescent="0.2">
      <c r="C273" s="8" t="str">
        <f>IF([2]道具信息!C273="","",[2]道具信息!C273)</f>
        <v/>
      </c>
      <c r="D273" s="8" t="str">
        <f>IF([2]道具信息!D273="","",[2]道具信息!D273)</f>
        <v>行军丸（旧版)</v>
      </c>
      <c r="E273" s="8" t="str">
        <f>IF([2]道具信息!E273="","",[2]道具信息!E273)</f>
        <v/>
      </c>
      <c r="F273" s="8" t="str">
        <f>IF([2]道具信息!F273="","",[2]道具信息!F273)</f>
        <v/>
      </c>
      <c r="G273" s="8" t="str">
        <f>IF([2]道具信息!G273="","",[2]道具信息!G273)</f>
        <v/>
      </c>
      <c r="H273" s="8" t="str">
        <f>IF([2]道具信息!H273="","",[2]道具信息!H273)</f>
        <v/>
      </c>
      <c r="I273" s="8" t="str">
        <f>IF([2]道具信息!I273="","",[2]道具信息!I273)</f>
        <v/>
      </c>
      <c r="J273" s="8" t="str">
        <f>IF([2]道具信息!J273="","",[2]道具信息!J273)</f>
        <v/>
      </c>
      <c r="K273" s="8" t="str">
        <f>IF([2]道具信息!K273="","",[2]道具信息!K273)</f>
        <v/>
      </c>
      <c r="L273" s="8" t="str">
        <f>IF([2]道具信息!L273="","",[2]道具信息!L273)</f>
        <v>使用后每次可增加部队100%的行军速度</v>
      </c>
      <c r="M273" s="8" t="str">
        <f>IF([2]道具信息!M273="","",[2]道具信息!M273)</f>
        <v/>
      </c>
      <c r="N273" s="8" t="str">
        <f>IF([2]道具信息!N273="","",[2]道具信息!N273)</f>
        <v/>
      </c>
      <c r="O273" s="8" t="str">
        <f>IF([2]道具信息!O273="","",[2]道具信息!O273)</f>
        <v/>
      </c>
      <c r="P273" s="8" t="str">
        <f>IF([2]道具信息!P273="","",[2]道具信息!P273)</f>
        <v/>
      </c>
      <c r="Q273" s="8" t="str">
        <f>IF([2]道具信息!Q273="","",[2]道具信息!Q273)</f>
        <v/>
      </c>
      <c r="R273" s="8" t="str">
        <f>IF([2]道具信息!R273="","",[2]道具信息!R273)</f>
        <v/>
      </c>
    </row>
    <row r="274" spans="3:18" x14ac:dyDescent="0.2">
      <c r="C274" s="8">
        <f>IF([2]道具信息!C274="","",[2]道具信息!C274)</f>
        <v>21104</v>
      </c>
      <c r="D274" s="8" t="str">
        <f>IF([2]道具信息!D274="","",[2]道具信息!D274)</f>
        <v>撤军令</v>
      </c>
      <c r="E274" s="8">
        <f>IF([2]道具信息!E274="","",[2]道具信息!E274)</f>
        <v>60</v>
      </c>
      <c r="F274" s="8">
        <f>IF([2]道具信息!F274="","",[2]道具信息!F274)</f>
        <v>1</v>
      </c>
      <c r="G274" s="8">
        <f>IF([2]道具信息!G274="","",[2]道具信息!G274)</f>
        <v>1</v>
      </c>
      <c r="H274" s="8">
        <f>IF([2]道具信息!H274="","",[2]道具信息!H274)</f>
        <v>1</v>
      </c>
      <c r="I274" s="8">
        <f>IF([2]道具信息!I274="","",[2]道具信息!I274)</f>
        <v>60</v>
      </c>
      <c r="J274" s="8">
        <f>IF([2]道具信息!J274="","",[2]道具信息!J274)</f>
        <v>60</v>
      </c>
      <c r="K274" s="8">
        <f>IF([2]道具信息!K274="","",[2]道具信息!K274)</f>
        <v>60</v>
      </c>
      <c r="L274" s="8" t="str">
        <f>IF([2]道具信息!L274="","",[2]道具信息!L274)</f>
        <v>使用后使一支出征队伍立即撤军回城</v>
      </c>
      <c r="M274" s="8" t="str">
        <f>IF([2]道具信息!M274="","",[2]道具信息!M274)</f>
        <v/>
      </c>
      <c r="N274" s="8" t="str">
        <f>IF([2]道具信息!N274="","",[2]道具信息!N274)</f>
        <v/>
      </c>
      <c r="O274" s="8" t="str">
        <f>IF([2]道具信息!O274="","",[2]道具信息!O274)</f>
        <v/>
      </c>
      <c r="P274" s="8" t="str">
        <f>IF([2]道具信息!P274="","",[2]道具信息!P274)</f>
        <v/>
      </c>
      <c r="Q274" s="8" t="str">
        <f>IF([2]道具信息!Q274="","",[2]道具信息!Q274)</f>
        <v/>
      </c>
      <c r="R274" s="8" t="str">
        <f>IF([2]道具信息!R274="","",[2]道具信息!R274)</f>
        <v/>
      </c>
    </row>
    <row r="275" spans="3:18" x14ac:dyDescent="0.2">
      <c r="C275" s="8" t="str">
        <f>IF([2]道具信息!C275="","",[2]道具信息!C275)</f>
        <v/>
      </c>
      <c r="D275" s="8" t="str">
        <f>IF([2]道具信息!D275="","",[2]道具信息!D275)</f>
        <v/>
      </c>
      <c r="E275" s="8" t="str">
        <f>IF([2]道具信息!E275="","",[2]道具信息!E275)</f>
        <v/>
      </c>
      <c r="F275" s="8" t="str">
        <f>IF([2]道具信息!F275="","",[2]道具信息!F275)</f>
        <v/>
      </c>
      <c r="G275" s="8" t="str">
        <f>IF([2]道具信息!G275="","",[2]道具信息!G275)</f>
        <v/>
      </c>
      <c r="H275" s="8" t="str">
        <f>IF([2]道具信息!H275="","",[2]道具信息!H275)</f>
        <v/>
      </c>
      <c r="I275" s="8" t="str">
        <f>IF([2]道具信息!I275="","",[2]道具信息!I275)</f>
        <v/>
      </c>
      <c r="J275" s="8" t="str">
        <f>IF([2]道具信息!J275="","",[2]道具信息!J275)</f>
        <v/>
      </c>
      <c r="K275" s="8" t="str">
        <f>IF([2]道具信息!K275="","",[2]道具信息!K275)</f>
        <v/>
      </c>
      <c r="L275" s="8" t="str">
        <f>IF([2]道具信息!L275="","",[2]道具信息!L275)</f>
        <v/>
      </c>
      <c r="M275" s="8" t="str">
        <f>IF([2]道具信息!M275="","",[2]道具信息!M275)</f>
        <v/>
      </c>
      <c r="N275" s="8" t="str">
        <f>IF([2]道具信息!N275="","",[2]道具信息!N275)</f>
        <v/>
      </c>
      <c r="O275" s="8" t="str">
        <f>IF([2]道具信息!O275="","",[2]道具信息!O275)</f>
        <v/>
      </c>
      <c r="P275" s="8" t="str">
        <f>IF([2]道具信息!P275="","",[2]道具信息!P275)</f>
        <v/>
      </c>
      <c r="Q275" s="8" t="str">
        <f>IF([2]道具信息!Q275="","",[2]道具信息!Q275)</f>
        <v/>
      </c>
      <c r="R275" s="8" t="str">
        <f>IF([2]道具信息!R275="","",[2]道具信息!R275)</f>
        <v/>
      </c>
    </row>
    <row r="276" spans="3:18" x14ac:dyDescent="0.2">
      <c r="C276" s="8">
        <f>IF([2]道具信息!C276="","",[2]道具信息!C276)</f>
        <v>21110</v>
      </c>
      <c r="D276" s="8" t="str">
        <f>IF([2]道具信息!D276="","",[2]道具信息!D276)</f>
        <v>城建1分钟加速令</v>
      </c>
      <c r="E276" s="8">
        <f>IF([2]道具信息!E276="","",[2]道具信息!E276)</f>
        <v>2</v>
      </c>
      <c r="F276" s="8">
        <f>IF([2]道具信息!F276="","",[2]道具信息!F276)</f>
        <v>1</v>
      </c>
      <c r="G276" s="8">
        <f>IF([2]道具信息!G276="","",[2]道具信息!G276)</f>
        <v>1</v>
      </c>
      <c r="H276" s="8">
        <f>IF([2]道具信息!H276="","",[2]道具信息!H276)</f>
        <v>0.3</v>
      </c>
      <c r="I276" s="8">
        <f>IF([2]道具信息!I276="","",[2]道具信息!I276)</f>
        <v>2</v>
      </c>
      <c r="J276" s="8">
        <f>IF([2]道具信息!J276="","",[2]道具信息!J276)</f>
        <v>2</v>
      </c>
      <c r="K276" s="8">
        <f>IF([2]道具信息!K276="","",[2]道具信息!K276)</f>
        <v>0.6</v>
      </c>
      <c r="L276" s="8" t="str">
        <f>IF([2]道具信息!L276="","",[2]道具信息!L276)</f>
        <v>使用后城池建设加速1分钟</v>
      </c>
      <c r="M276" s="8" t="str">
        <f>IF([2]道具信息!M276="","",[2]道具信息!M276)</f>
        <v/>
      </c>
      <c r="N276" s="8" t="str">
        <f>IF([2]道具信息!N276="","",[2]道具信息!N276)</f>
        <v/>
      </c>
      <c r="O276" s="8" t="str">
        <f>IF([2]道具信息!O276="","",[2]道具信息!O276)</f>
        <v/>
      </c>
      <c r="P276" s="8" t="str">
        <f>IF([2]道具信息!P276="","",[2]道具信息!P276)</f>
        <v/>
      </c>
      <c r="Q276" s="8" t="str">
        <f>IF([2]道具信息!Q276="","",[2]道具信息!Q276)</f>
        <v/>
      </c>
      <c r="R276" s="8" t="str">
        <f>IF([2]道具信息!R276="","",[2]道具信息!R276)</f>
        <v/>
      </c>
    </row>
    <row r="277" spans="3:18" x14ac:dyDescent="0.2">
      <c r="C277" s="8">
        <f>IF([2]道具信息!C277="","",[2]道具信息!C277)</f>
        <v>21111</v>
      </c>
      <c r="D277" s="8" t="str">
        <f>IF([2]道具信息!D277="","",[2]道具信息!D277)</f>
        <v>城建5分钟加速令</v>
      </c>
      <c r="E277" s="8">
        <f>IF([2]道具信息!E277="","",[2]道具信息!E277)</f>
        <v>8</v>
      </c>
      <c r="F277" s="8">
        <f>IF([2]道具信息!F277="","",[2]道具信息!F277)</f>
        <v>1</v>
      </c>
      <c r="G277" s="8">
        <f>IF([2]道具信息!G277="","",[2]道具信息!G277)</f>
        <v>1</v>
      </c>
      <c r="H277" s="8">
        <f>IF([2]道具信息!H277="","",[2]道具信息!H277)</f>
        <v>0.4</v>
      </c>
      <c r="I277" s="8">
        <f>IF([2]道具信息!I277="","",[2]道具信息!I277)</f>
        <v>8</v>
      </c>
      <c r="J277" s="8">
        <f>IF([2]道具信息!J277="","",[2]道具信息!J277)</f>
        <v>8</v>
      </c>
      <c r="K277" s="8">
        <f>IF([2]道具信息!K277="","",[2]道具信息!K277)</f>
        <v>3.2</v>
      </c>
      <c r="L277" s="8" t="str">
        <f>IF([2]道具信息!L277="","",[2]道具信息!L277)</f>
        <v>使用后城池建设加速5分钟</v>
      </c>
      <c r="M277" s="8" t="str">
        <f>IF([2]道具信息!M277="","",[2]道具信息!M277)</f>
        <v/>
      </c>
      <c r="N277" s="8" t="str">
        <f>IF([2]道具信息!N277="","",[2]道具信息!N277)</f>
        <v/>
      </c>
      <c r="O277" s="8" t="str">
        <f>IF([2]道具信息!O277="","",[2]道具信息!O277)</f>
        <v/>
      </c>
      <c r="P277" s="8" t="str">
        <f>IF([2]道具信息!P277="","",[2]道具信息!P277)</f>
        <v/>
      </c>
      <c r="Q277" s="8" t="str">
        <f>IF([2]道具信息!Q277="","",[2]道具信息!Q277)</f>
        <v/>
      </c>
      <c r="R277" s="8" t="str">
        <f>IF([2]道具信息!R277="","",[2]道具信息!R277)</f>
        <v/>
      </c>
    </row>
    <row r="278" spans="3:18" x14ac:dyDescent="0.2">
      <c r="C278" s="8">
        <f>IF([2]道具信息!C278="","",[2]道具信息!C278)</f>
        <v>21112</v>
      </c>
      <c r="D278" s="8" t="str">
        <f>IF([2]道具信息!D278="","",[2]道具信息!D278)</f>
        <v>城建20分钟加速令</v>
      </c>
      <c r="E278" s="8">
        <f>IF([2]道具信息!E278="","",[2]道具信息!E278)</f>
        <v>20</v>
      </c>
      <c r="F278" s="8">
        <f>IF([2]道具信息!F278="","",[2]道具信息!F278)</f>
        <v>1</v>
      </c>
      <c r="G278" s="8">
        <f>IF([2]道具信息!G278="","",[2]道具信息!G278)</f>
        <v>1</v>
      </c>
      <c r="H278" s="8">
        <f>IF([2]道具信息!H278="","",[2]道具信息!H278)</f>
        <v>0.5</v>
      </c>
      <c r="I278" s="8">
        <f>IF([2]道具信息!I278="","",[2]道具信息!I278)</f>
        <v>20</v>
      </c>
      <c r="J278" s="8">
        <f>IF([2]道具信息!J278="","",[2]道具信息!J278)</f>
        <v>20</v>
      </c>
      <c r="K278" s="8">
        <f>IF([2]道具信息!K278="","",[2]道具信息!K278)</f>
        <v>10</v>
      </c>
      <c r="L278" s="8" t="str">
        <f>IF([2]道具信息!L278="","",[2]道具信息!L278)</f>
        <v>使用后城池建设加速20分钟</v>
      </c>
      <c r="M278" s="8" t="str">
        <f>IF([2]道具信息!M278="","",[2]道具信息!M278)</f>
        <v/>
      </c>
      <c r="N278" s="8" t="str">
        <f>IF([2]道具信息!N278="","",[2]道具信息!N278)</f>
        <v/>
      </c>
      <c r="O278" s="8" t="str">
        <f>IF([2]道具信息!O278="","",[2]道具信息!O278)</f>
        <v/>
      </c>
      <c r="P278" s="8" t="str">
        <f>IF([2]道具信息!P278="","",[2]道具信息!P278)</f>
        <v/>
      </c>
      <c r="Q278" s="8" t="str">
        <f>IF([2]道具信息!Q278="","",[2]道具信息!Q278)</f>
        <v/>
      </c>
      <c r="R278" s="8" t="str">
        <f>IF([2]道具信息!R278="","",[2]道具信息!R278)</f>
        <v/>
      </c>
    </row>
    <row r="279" spans="3:18" x14ac:dyDescent="0.2">
      <c r="C279" s="8">
        <f>IF([2]道具信息!C279="","",[2]道具信息!C279)</f>
        <v>21113</v>
      </c>
      <c r="D279" s="8" t="str">
        <f>IF([2]道具信息!D279="","",[2]道具信息!D279)</f>
        <v>城建1小时加速令</v>
      </c>
      <c r="E279" s="8">
        <f>IF([2]道具信息!E279="","",[2]道具信息!E279)</f>
        <v>50</v>
      </c>
      <c r="F279" s="8">
        <f>IF([2]道具信息!F279="","",[2]道具信息!F279)</f>
        <v>1.2</v>
      </c>
      <c r="G279" s="8">
        <f>IF([2]道具信息!G279="","",[2]道具信息!G279)</f>
        <v>1</v>
      </c>
      <c r="H279" s="8">
        <f>IF([2]道具信息!H279="","",[2]道具信息!H279)</f>
        <v>0.6</v>
      </c>
      <c r="I279" s="8">
        <f>IF([2]道具信息!I279="","",[2]道具信息!I279)</f>
        <v>60</v>
      </c>
      <c r="J279" s="8">
        <f>IF([2]道具信息!J279="","",[2]道具信息!J279)</f>
        <v>50</v>
      </c>
      <c r="K279" s="8">
        <f>IF([2]道具信息!K279="","",[2]道具信息!K279)</f>
        <v>30</v>
      </c>
      <c r="L279" s="8" t="str">
        <f>IF([2]道具信息!L279="","",[2]道具信息!L279)</f>
        <v>使用后城池建设加速1小时</v>
      </c>
      <c r="M279" s="8" t="str">
        <f>IF([2]道具信息!M279="","",[2]道具信息!M279)</f>
        <v/>
      </c>
      <c r="N279" s="8" t="str">
        <f>IF([2]道具信息!N279="","",[2]道具信息!N279)</f>
        <v/>
      </c>
      <c r="O279" s="8" t="str">
        <f>IF([2]道具信息!O279="","",[2]道具信息!O279)</f>
        <v/>
      </c>
      <c r="P279" s="8" t="str">
        <f>IF([2]道具信息!P279="","",[2]道具信息!P279)</f>
        <v/>
      </c>
      <c r="Q279" s="8" t="str">
        <f>IF([2]道具信息!Q279="","",[2]道具信息!Q279)</f>
        <v/>
      </c>
      <c r="R279" s="8" t="str">
        <f>IF([2]道具信息!R279="","",[2]道具信息!R279)</f>
        <v/>
      </c>
    </row>
    <row r="280" spans="3:18" x14ac:dyDescent="0.2">
      <c r="C280" s="8">
        <f>IF([2]道具信息!C280="","",[2]道具信息!C280)</f>
        <v>21114</v>
      </c>
      <c r="D280" s="8" t="str">
        <f>IF([2]道具信息!D280="","",[2]道具信息!D280)</f>
        <v>城建3小时加速令</v>
      </c>
      <c r="E280" s="8">
        <f>IF([2]道具信息!E280="","",[2]道具信息!E280)</f>
        <v>100</v>
      </c>
      <c r="F280" s="8">
        <f>IF([2]道具信息!F280="","",[2]道具信息!F280)</f>
        <v>1.8</v>
      </c>
      <c r="G280" s="8">
        <f>IF([2]道具信息!G280="","",[2]道具信息!G280)</f>
        <v>1</v>
      </c>
      <c r="H280" s="8">
        <f>IF([2]道具信息!H280="","",[2]道具信息!H280)</f>
        <v>0.8</v>
      </c>
      <c r="I280" s="8">
        <f>IF([2]道具信息!I280="","",[2]道具信息!I280)</f>
        <v>180</v>
      </c>
      <c r="J280" s="8">
        <f>IF([2]道具信息!J280="","",[2]道具信息!J280)</f>
        <v>100</v>
      </c>
      <c r="K280" s="8">
        <f>IF([2]道具信息!K280="","",[2]道具信息!K280)</f>
        <v>80</v>
      </c>
      <c r="L280" s="8" t="str">
        <f>IF([2]道具信息!L280="","",[2]道具信息!L280)</f>
        <v>使用后城池建设加速3小时</v>
      </c>
      <c r="M280" s="8" t="str">
        <f>IF([2]道具信息!M280="","",[2]道具信息!M280)</f>
        <v/>
      </c>
      <c r="N280" s="8" t="str">
        <f>IF([2]道具信息!N280="","",[2]道具信息!N280)</f>
        <v/>
      </c>
      <c r="O280" s="8" t="str">
        <f>IF([2]道具信息!O280="","",[2]道具信息!O280)</f>
        <v/>
      </c>
      <c r="P280" s="8" t="str">
        <f>IF([2]道具信息!P280="","",[2]道具信息!P280)</f>
        <v/>
      </c>
      <c r="Q280" s="8" t="str">
        <f>IF([2]道具信息!Q280="","",[2]道具信息!Q280)</f>
        <v/>
      </c>
      <c r="R280" s="8" t="str">
        <f>IF([2]道具信息!R280="","",[2]道具信息!R280)</f>
        <v/>
      </c>
    </row>
    <row r="281" spans="3:18" x14ac:dyDescent="0.2">
      <c r="C281" s="8">
        <f>IF([2]道具信息!C281="","",[2]道具信息!C281)</f>
        <v>21135</v>
      </c>
      <c r="D281" s="8" t="str">
        <f>IF([2]道具信息!D281="","",[2]道具信息!D281)</f>
        <v>城建8小时加速令</v>
      </c>
      <c r="E281" s="8">
        <f>IF([2]道具信息!E281="","",[2]道具信息!E281)</f>
        <v>160</v>
      </c>
      <c r="F281" s="8">
        <f>IF([2]道具信息!F281="","",[2]道具信息!F281)</f>
        <v>3</v>
      </c>
      <c r="G281" s="8">
        <f>IF([2]道具信息!G281="","",[2]道具信息!G281)</f>
        <v>1</v>
      </c>
      <c r="H281" s="8">
        <f>IF([2]道具信息!H281="","",[2]道具信息!H281)</f>
        <v>1</v>
      </c>
      <c r="I281" s="8">
        <f>IF([2]道具信息!I281="","",[2]道具信息!I281)</f>
        <v>480</v>
      </c>
      <c r="J281" s="8">
        <f>IF([2]道具信息!J281="","",[2]道具信息!J281)</f>
        <v>160</v>
      </c>
      <c r="K281" s="8">
        <f>IF([2]道具信息!K281="","",[2]道具信息!K281)</f>
        <v>160</v>
      </c>
      <c r="L281" s="8" t="str">
        <f>IF([2]道具信息!L281="","",[2]道具信息!L281)</f>
        <v>使用后城池建设加速8小时</v>
      </c>
      <c r="M281" s="8" t="str">
        <f>IF([2]道具信息!M281="","",[2]道具信息!M281)</f>
        <v/>
      </c>
      <c r="N281" s="8" t="str">
        <f>IF([2]道具信息!N281="","",[2]道具信息!N281)</f>
        <v/>
      </c>
      <c r="O281" s="8" t="str">
        <f>IF([2]道具信息!O281="","",[2]道具信息!O281)</f>
        <v/>
      </c>
      <c r="P281" s="8" t="str">
        <f>IF([2]道具信息!P281="","",[2]道具信息!P281)</f>
        <v/>
      </c>
      <c r="Q281" s="8" t="str">
        <f>IF([2]道具信息!Q281="","",[2]道具信息!Q281)</f>
        <v/>
      </c>
      <c r="R281" s="8" t="str">
        <f>IF([2]道具信息!R281="","",[2]道具信息!R281)</f>
        <v/>
      </c>
    </row>
    <row r="282" spans="3:18" x14ac:dyDescent="0.2">
      <c r="C282" s="8" t="str">
        <f>IF([2]道具信息!C282="","",[2]道具信息!C282)</f>
        <v/>
      </c>
      <c r="D282" s="8" t="str">
        <f>IF([2]道具信息!D282="","",[2]道具信息!D282)</f>
        <v/>
      </c>
      <c r="E282" s="8" t="str">
        <f>IF([2]道具信息!E282="","",[2]道具信息!E282)</f>
        <v/>
      </c>
      <c r="F282" s="8" t="str">
        <f>IF([2]道具信息!F282="","",[2]道具信息!F282)</f>
        <v/>
      </c>
      <c r="G282" s="8" t="str">
        <f>IF([2]道具信息!G282="","",[2]道具信息!G282)</f>
        <v/>
      </c>
      <c r="H282" s="8" t="str">
        <f>IF([2]道具信息!H282="","",[2]道具信息!H282)</f>
        <v/>
      </c>
      <c r="I282" s="8" t="str">
        <f>IF([2]道具信息!I282="","",[2]道具信息!I282)</f>
        <v/>
      </c>
      <c r="J282" s="8" t="str">
        <f>IF([2]道具信息!J282="","",[2]道具信息!J282)</f>
        <v/>
      </c>
      <c r="K282" s="8" t="str">
        <f>IF([2]道具信息!K282="","",[2]道具信息!K282)</f>
        <v/>
      </c>
      <c r="L282" s="8" t="str">
        <f>IF([2]道具信息!L282="","",[2]道具信息!L282)</f>
        <v/>
      </c>
      <c r="M282" s="8" t="str">
        <f>IF([2]道具信息!M282="","",[2]道具信息!M282)</f>
        <v/>
      </c>
      <c r="N282" s="8" t="str">
        <f>IF([2]道具信息!N282="","",[2]道具信息!N282)</f>
        <v/>
      </c>
      <c r="O282" s="8" t="str">
        <f>IF([2]道具信息!O282="","",[2]道具信息!O282)</f>
        <v/>
      </c>
      <c r="P282" s="8" t="str">
        <f>IF([2]道具信息!P282="","",[2]道具信息!P282)</f>
        <v/>
      </c>
      <c r="Q282" s="8" t="str">
        <f>IF([2]道具信息!Q282="","",[2]道具信息!Q282)</f>
        <v/>
      </c>
      <c r="R282" s="8" t="str">
        <f>IF([2]道具信息!R282="","",[2]道具信息!R282)</f>
        <v/>
      </c>
    </row>
    <row r="283" spans="3:18" x14ac:dyDescent="0.2">
      <c r="C283" s="8">
        <f>IF([2]道具信息!C283="","",[2]道具信息!C283)</f>
        <v>21115</v>
      </c>
      <c r="D283" s="8" t="str">
        <f>IF([2]道具信息!D283="","",[2]道具信息!D283)</f>
        <v>招募1分钟加速令</v>
      </c>
      <c r="E283" s="8">
        <f>IF([2]道具信息!E283="","",[2]道具信息!E283)</f>
        <v>2</v>
      </c>
      <c r="F283" s="8">
        <f>IF([2]道具信息!F283="","",[2]道具信息!F283)</f>
        <v>1</v>
      </c>
      <c r="G283" s="8">
        <f>IF([2]道具信息!G283="","",[2]道具信息!G283)</f>
        <v>1</v>
      </c>
      <c r="H283" s="8">
        <f>IF([2]道具信息!H283="","",[2]道具信息!H283)</f>
        <v>0.3</v>
      </c>
      <c r="I283" s="8">
        <f>IF([2]道具信息!I283="","",[2]道具信息!I283)</f>
        <v>2</v>
      </c>
      <c r="J283" s="8">
        <f>IF([2]道具信息!J283="","",[2]道具信息!J283)</f>
        <v>2</v>
      </c>
      <c r="K283" s="8">
        <f>IF([2]道具信息!K283="","",[2]道具信息!K283)</f>
        <v>0.6</v>
      </c>
      <c r="L283" s="8" t="str">
        <f>IF([2]道具信息!L283="","",[2]道具信息!L283)</f>
        <v>使用后士兵招募加速1分钟</v>
      </c>
      <c r="M283" s="8" t="str">
        <f>IF([2]道具信息!M283="","",[2]道具信息!M283)</f>
        <v/>
      </c>
      <c r="N283" s="8" t="str">
        <f>IF([2]道具信息!N283="","",[2]道具信息!N283)</f>
        <v/>
      </c>
      <c r="O283" s="8" t="str">
        <f>IF([2]道具信息!O283="","",[2]道具信息!O283)</f>
        <v/>
      </c>
      <c r="P283" s="8" t="str">
        <f>IF([2]道具信息!P283="","",[2]道具信息!P283)</f>
        <v/>
      </c>
      <c r="Q283" s="8" t="str">
        <f>IF([2]道具信息!Q283="","",[2]道具信息!Q283)</f>
        <v/>
      </c>
      <c r="R283" s="8" t="str">
        <f>IF([2]道具信息!R283="","",[2]道具信息!R283)</f>
        <v/>
      </c>
    </row>
    <row r="284" spans="3:18" x14ac:dyDescent="0.2">
      <c r="C284" s="8">
        <f>IF([2]道具信息!C284="","",[2]道具信息!C284)</f>
        <v>21116</v>
      </c>
      <c r="D284" s="8" t="str">
        <f>IF([2]道具信息!D284="","",[2]道具信息!D284)</f>
        <v>招募5分钟加速令</v>
      </c>
      <c r="E284" s="8">
        <f>IF([2]道具信息!E284="","",[2]道具信息!E284)</f>
        <v>8</v>
      </c>
      <c r="F284" s="8">
        <f>IF([2]道具信息!F284="","",[2]道具信息!F284)</f>
        <v>1</v>
      </c>
      <c r="G284" s="8">
        <f>IF([2]道具信息!G284="","",[2]道具信息!G284)</f>
        <v>1</v>
      </c>
      <c r="H284" s="8">
        <f>IF([2]道具信息!H284="","",[2]道具信息!H284)</f>
        <v>0.4</v>
      </c>
      <c r="I284" s="8">
        <f>IF([2]道具信息!I284="","",[2]道具信息!I284)</f>
        <v>8</v>
      </c>
      <c r="J284" s="8">
        <f>IF([2]道具信息!J284="","",[2]道具信息!J284)</f>
        <v>8</v>
      </c>
      <c r="K284" s="8">
        <f>IF([2]道具信息!K284="","",[2]道具信息!K284)</f>
        <v>3.2</v>
      </c>
      <c r="L284" s="8" t="str">
        <f>IF([2]道具信息!L284="","",[2]道具信息!L284)</f>
        <v>使用后士兵招募加速5分钟</v>
      </c>
      <c r="M284" s="8" t="str">
        <f>IF([2]道具信息!M284="","",[2]道具信息!M284)</f>
        <v/>
      </c>
      <c r="N284" s="8" t="str">
        <f>IF([2]道具信息!N284="","",[2]道具信息!N284)</f>
        <v/>
      </c>
      <c r="O284" s="8" t="str">
        <f>IF([2]道具信息!O284="","",[2]道具信息!O284)</f>
        <v/>
      </c>
      <c r="P284" s="8" t="str">
        <f>IF([2]道具信息!P284="","",[2]道具信息!P284)</f>
        <v/>
      </c>
      <c r="Q284" s="8" t="str">
        <f>IF([2]道具信息!Q284="","",[2]道具信息!Q284)</f>
        <v/>
      </c>
      <c r="R284" s="8" t="str">
        <f>IF([2]道具信息!R284="","",[2]道具信息!R284)</f>
        <v/>
      </c>
    </row>
    <row r="285" spans="3:18" x14ac:dyDescent="0.2">
      <c r="C285" s="8">
        <f>IF([2]道具信息!C285="","",[2]道具信息!C285)</f>
        <v>21117</v>
      </c>
      <c r="D285" s="8" t="str">
        <f>IF([2]道具信息!D285="","",[2]道具信息!D285)</f>
        <v>招募20分钟加速令</v>
      </c>
      <c r="E285" s="8">
        <f>IF([2]道具信息!E285="","",[2]道具信息!E285)</f>
        <v>20</v>
      </c>
      <c r="F285" s="8">
        <f>IF([2]道具信息!F285="","",[2]道具信息!F285)</f>
        <v>1</v>
      </c>
      <c r="G285" s="8">
        <f>IF([2]道具信息!G285="","",[2]道具信息!G285)</f>
        <v>1</v>
      </c>
      <c r="H285" s="8">
        <f>IF([2]道具信息!H285="","",[2]道具信息!H285)</f>
        <v>0.5</v>
      </c>
      <c r="I285" s="8">
        <f>IF([2]道具信息!I285="","",[2]道具信息!I285)</f>
        <v>20</v>
      </c>
      <c r="J285" s="8">
        <f>IF([2]道具信息!J285="","",[2]道具信息!J285)</f>
        <v>20</v>
      </c>
      <c r="K285" s="8">
        <f>IF([2]道具信息!K285="","",[2]道具信息!K285)</f>
        <v>10</v>
      </c>
      <c r="L285" s="8" t="str">
        <f>IF([2]道具信息!L285="","",[2]道具信息!L285)</f>
        <v>使用后士兵招募加速20分钟</v>
      </c>
      <c r="M285" s="8" t="str">
        <f>IF([2]道具信息!M285="","",[2]道具信息!M285)</f>
        <v/>
      </c>
      <c r="N285" s="8" t="str">
        <f>IF([2]道具信息!N285="","",[2]道具信息!N285)</f>
        <v/>
      </c>
      <c r="O285" s="8" t="str">
        <f>IF([2]道具信息!O285="","",[2]道具信息!O285)</f>
        <v/>
      </c>
      <c r="P285" s="8" t="str">
        <f>IF([2]道具信息!P285="","",[2]道具信息!P285)</f>
        <v/>
      </c>
      <c r="Q285" s="8" t="str">
        <f>IF([2]道具信息!Q285="","",[2]道具信息!Q285)</f>
        <v/>
      </c>
      <c r="R285" s="8" t="str">
        <f>IF([2]道具信息!R285="","",[2]道具信息!R285)</f>
        <v/>
      </c>
    </row>
    <row r="286" spans="3:18" x14ac:dyDescent="0.2">
      <c r="C286" s="8">
        <f>IF([2]道具信息!C286="","",[2]道具信息!C286)</f>
        <v>21118</v>
      </c>
      <c r="D286" s="8" t="str">
        <f>IF([2]道具信息!D286="","",[2]道具信息!D286)</f>
        <v>招募1小时加速令</v>
      </c>
      <c r="E286" s="8">
        <f>IF([2]道具信息!E286="","",[2]道具信息!E286)</f>
        <v>50</v>
      </c>
      <c r="F286" s="8">
        <f>IF([2]道具信息!F286="","",[2]道具信息!F286)</f>
        <v>1.2</v>
      </c>
      <c r="G286" s="8">
        <f>IF([2]道具信息!G286="","",[2]道具信息!G286)</f>
        <v>1</v>
      </c>
      <c r="H286" s="8">
        <f>IF([2]道具信息!H286="","",[2]道具信息!H286)</f>
        <v>0.6</v>
      </c>
      <c r="I286" s="8">
        <f>IF([2]道具信息!I286="","",[2]道具信息!I286)</f>
        <v>60</v>
      </c>
      <c r="J286" s="8">
        <f>IF([2]道具信息!J286="","",[2]道具信息!J286)</f>
        <v>50</v>
      </c>
      <c r="K286" s="8">
        <f>IF([2]道具信息!K286="","",[2]道具信息!K286)</f>
        <v>30</v>
      </c>
      <c r="L286" s="8" t="str">
        <f>IF([2]道具信息!L286="","",[2]道具信息!L286)</f>
        <v>使用后士兵招募加速1小时</v>
      </c>
      <c r="M286" s="8" t="str">
        <f>IF([2]道具信息!M286="","",[2]道具信息!M286)</f>
        <v/>
      </c>
      <c r="N286" s="8" t="str">
        <f>IF([2]道具信息!N286="","",[2]道具信息!N286)</f>
        <v/>
      </c>
      <c r="O286" s="8" t="str">
        <f>IF([2]道具信息!O286="","",[2]道具信息!O286)</f>
        <v/>
      </c>
      <c r="P286" s="8" t="str">
        <f>IF([2]道具信息!P286="","",[2]道具信息!P286)</f>
        <v/>
      </c>
      <c r="Q286" s="8" t="str">
        <f>IF([2]道具信息!Q286="","",[2]道具信息!Q286)</f>
        <v/>
      </c>
      <c r="R286" s="8" t="str">
        <f>IF([2]道具信息!R286="","",[2]道具信息!R286)</f>
        <v/>
      </c>
    </row>
    <row r="287" spans="3:18" x14ac:dyDescent="0.2">
      <c r="C287" s="8">
        <f>IF([2]道具信息!C287="","",[2]道具信息!C287)</f>
        <v>21119</v>
      </c>
      <c r="D287" s="8" t="str">
        <f>IF([2]道具信息!D287="","",[2]道具信息!D287)</f>
        <v>招募3小时加速令</v>
      </c>
      <c r="E287" s="8">
        <f>IF([2]道具信息!E287="","",[2]道具信息!E287)</f>
        <v>100</v>
      </c>
      <c r="F287" s="8">
        <f>IF([2]道具信息!F287="","",[2]道具信息!F287)</f>
        <v>1.8</v>
      </c>
      <c r="G287" s="8">
        <f>IF([2]道具信息!G287="","",[2]道具信息!G287)</f>
        <v>1</v>
      </c>
      <c r="H287" s="8">
        <f>IF([2]道具信息!H287="","",[2]道具信息!H287)</f>
        <v>0.8</v>
      </c>
      <c r="I287" s="8">
        <f>IF([2]道具信息!I287="","",[2]道具信息!I287)</f>
        <v>180</v>
      </c>
      <c r="J287" s="8">
        <f>IF([2]道具信息!J287="","",[2]道具信息!J287)</f>
        <v>100</v>
      </c>
      <c r="K287" s="8">
        <f>IF([2]道具信息!K287="","",[2]道具信息!K287)</f>
        <v>80</v>
      </c>
      <c r="L287" s="8" t="str">
        <f>IF([2]道具信息!L287="","",[2]道具信息!L287)</f>
        <v>使用后士兵招募加速3小时</v>
      </c>
      <c r="M287" s="8" t="str">
        <f>IF([2]道具信息!M287="","",[2]道具信息!M287)</f>
        <v/>
      </c>
      <c r="N287" s="8" t="str">
        <f>IF([2]道具信息!N287="","",[2]道具信息!N287)</f>
        <v/>
      </c>
      <c r="O287" s="8" t="str">
        <f>IF([2]道具信息!O287="","",[2]道具信息!O287)</f>
        <v/>
      </c>
      <c r="P287" s="8" t="str">
        <f>IF([2]道具信息!P287="","",[2]道具信息!P287)</f>
        <v/>
      </c>
      <c r="Q287" s="8" t="str">
        <f>IF([2]道具信息!Q287="","",[2]道具信息!Q287)</f>
        <v/>
      </c>
      <c r="R287" s="8" t="str">
        <f>IF([2]道具信息!R287="","",[2]道具信息!R287)</f>
        <v/>
      </c>
    </row>
    <row r="288" spans="3:18" x14ac:dyDescent="0.2">
      <c r="C288" s="8">
        <f>IF([2]道具信息!C288="","",[2]道具信息!C288)</f>
        <v>21136</v>
      </c>
      <c r="D288" s="8" t="str">
        <f>IF([2]道具信息!D288="","",[2]道具信息!D288)</f>
        <v>招募8小时加速令</v>
      </c>
      <c r="E288" s="8">
        <f>IF([2]道具信息!E288="","",[2]道具信息!E288)</f>
        <v>160</v>
      </c>
      <c r="F288" s="8">
        <f>IF([2]道具信息!F288="","",[2]道具信息!F288)</f>
        <v>3</v>
      </c>
      <c r="G288" s="8">
        <f>IF([2]道具信息!G288="","",[2]道具信息!G288)</f>
        <v>1</v>
      </c>
      <c r="H288" s="8">
        <f>IF([2]道具信息!H288="","",[2]道具信息!H288)</f>
        <v>1</v>
      </c>
      <c r="I288" s="8">
        <f>IF([2]道具信息!I288="","",[2]道具信息!I288)</f>
        <v>480</v>
      </c>
      <c r="J288" s="8">
        <f>IF([2]道具信息!J288="","",[2]道具信息!J288)</f>
        <v>160</v>
      </c>
      <c r="K288" s="8">
        <f>IF([2]道具信息!K288="","",[2]道具信息!K288)</f>
        <v>160</v>
      </c>
      <c r="L288" s="8" t="str">
        <f>IF([2]道具信息!L288="","",[2]道具信息!L288)</f>
        <v>使用后士兵招募加速8小时</v>
      </c>
      <c r="M288" s="8" t="str">
        <f>IF([2]道具信息!M288="","",[2]道具信息!M288)</f>
        <v/>
      </c>
      <c r="N288" s="8" t="str">
        <f>IF([2]道具信息!N288="","",[2]道具信息!N288)</f>
        <v/>
      </c>
      <c r="O288" s="8" t="str">
        <f>IF([2]道具信息!O288="","",[2]道具信息!O288)</f>
        <v/>
      </c>
      <c r="P288" s="8" t="str">
        <f>IF([2]道具信息!P288="","",[2]道具信息!P288)</f>
        <v/>
      </c>
      <c r="Q288" s="8" t="str">
        <f>IF([2]道具信息!Q288="","",[2]道具信息!Q288)</f>
        <v/>
      </c>
      <c r="R288" s="8" t="str">
        <f>IF([2]道具信息!R288="","",[2]道具信息!R288)</f>
        <v/>
      </c>
    </row>
    <row r="289" spans="3:18" x14ac:dyDescent="0.2">
      <c r="C289" s="8" t="str">
        <f>IF([2]道具信息!C289="","",[2]道具信息!C289)</f>
        <v/>
      </c>
      <c r="D289" s="8" t="str">
        <f>IF([2]道具信息!D289="","",[2]道具信息!D289)</f>
        <v/>
      </c>
      <c r="E289" s="8" t="str">
        <f>IF([2]道具信息!E289="","",[2]道具信息!E289)</f>
        <v/>
      </c>
      <c r="F289" s="8" t="str">
        <f>IF([2]道具信息!F289="","",[2]道具信息!F289)</f>
        <v/>
      </c>
      <c r="G289" s="8" t="str">
        <f>IF([2]道具信息!G289="","",[2]道具信息!G289)</f>
        <v/>
      </c>
      <c r="H289" s="8" t="str">
        <f>IF([2]道具信息!H289="","",[2]道具信息!H289)</f>
        <v/>
      </c>
      <c r="I289" s="8" t="str">
        <f>IF([2]道具信息!I289="","",[2]道具信息!I289)</f>
        <v/>
      </c>
      <c r="J289" s="8" t="str">
        <f>IF([2]道具信息!J289="","",[2]道具信息!J289)</f>
        <v/>
      </c>
      <c r="K289" s="8" t="str">
        <f>IF([2]道具信息!K289="","",[2]道具信息!K289)</f>
        <v/>
      </c>
      <c r="L289" s="8" t="str">
        <f>IF([2]道具信息!L289="","",[2]道具信息!L289)</f>
        <v/>
      </c>
      <c r="M289" s="8" t="str">
        <f>IF([2]道具信息!M289="","",[2]道具信息!M289)</f>
        <v/>
      </c>
      <c r="N289" s="8" t="str">
        <f>IF([2]道具信息!N289="","",[2]道具信息!N289)</f>
        <v/>
      </c>
      <c r="O289" s="8" t="str">
        <f>IF([2]道具信息!O289="","",[2]道具信息!O289)</f>
        <v/>
      </c>
      <c r="P289" s="8" t="str">
        <f>IF([2]道具信息!P289="","",[2]道具信息!P289)</f>
        <v/>
      </c>
      <c r="Q289" s="8" t="str">
        <f>IF([2]道具信息!Q289="","",[2]道具信息!Q289)</f>
        <v/>
      </c>
      <c r="R289" s="8" t="str">
        <f>IF([2]道具信息!R289="","",[2]道具信息!R289)</f>
        <v/>
      </c>
    </row>
    <row r="290" spans="3:18" x14ac:dyDescent="0.2">
      <c r="C290" s="8">
        <f>IF([2]道具信息!C290="","",[2]道具信息!C290)</f>
        <v>21120</v>
      </c>
      <c r="D290" s="8" t="str">
        <f>IF([2]道具信息!D290="","",[2]道具信息!D290)</f>
        <v>治疗1分钟加速令</v>
      </c>
      <c r="E290" s="8">
        <f>IF([2]道具信息!E290="","",[2]道具信息!E290)</f>
        <v>2</v>
      </c>
      <c r="F290" s="8">
        <f>IF([2]道具信息!F290="","",[2]道具信息!F290)</f>
        <v>1</v>
      </c>
      <c r="G290" s="8">
        <f>IF([2]道具信息!G290="","",[2]道具信息!G290)</f>
        <v>1</v>
      </c>
      <c r="H290" s="8">
        <f>IF([2]道具信息!H290="","",[2]道具信息!H290)</f>
        <v>0.3</v>
      </c>
      <c r="I290" s="8">
        <f>IF([2]道具信息!I290="","",[2]道具信息!I290)</f>
        <v>2</v>
      </c>
      <c r="J290" s="8">
        <f>IF([2]道具信息!J290="","",[2]道具信息!J290)</f>
        <v>2</v>
      </c>
      <c r="K290" s="8">
        <f>IF([2]道具信息!K290="","",[2]道具信息!K290)</f>
        <v>0.6</v>
      </c>
      <c r="L290" s="8" t="str">
        <f>IF([2]道具信息!L290="","",[2]道具信息!L290)</f>
        <v>使用后士兵治疗加速1分钟</v>
      </c>
      <c r="M290" s="8" t="str">
        <f>IF([2]道具信息!M290="","",[2]道具信息!M290)</f>
        <v/>
      </c>
      <c r="N290" s="8" t="str">
        <f>IF([2]道具信息!N290="","",[2]道具信息!N290)</f>
        <v/>
      </c>
      <c r="O290" s="8" t="str">
        <f>IF([2]道具信息!O290="","",[2]道具信息!O290)</f>
        <v/>
      </c>
      <c r="P290" s="8" t="str">
        <f>IF([2]道具信息!P290="","",[2]道具信息!P290)</f>
        <v/>
      </c>
      <c r="Q290" s="8" t="str">
        <f>IF([2]道具信息!Q290="","",[2]道具信息!Q290)</f>
        <v/>
      </c>
      <c r="R290" s="8" t="str">
        <f>IF([2]道具信息!R290="","",[2]道具信息!R290)</f>
        <v/>
      </c>
    </row>
    <row r="291" spans="3:18" x14ac:dyDescent="0.2">
      <c r="C291" s="8">
        <f>IF([2]道具信息!C291="","",[2]道具信息!C291)</f>
        <v>21121</v>
      </c>
      <c r="D291" s="8" t="str">
        <f>IF([2]道具信息!D291="","",[2]道具信息!D291)</f>
        <v>治疗5分钟加速令</v>
      </c>
      <c r="E291" s="8">
        <f>IF([2]道具信息!E291="","",[2]道具信息!E291)</f>
        <v>8</v>
      </c>
      <c r="F291" s="8">
        <f>IF([2]道具信息!F291="","",[2]道具信息!F291)</f>
        <v>1</v>
      </c>
      <c r="G291" s="8">
        <f>IF([2]道具信息!G291="","",[2]道具信息!G291)</f>
        <v>1</v>
      </c>
      <c r="H291" s="8">
        <f>IF([2]道具信息!H291="","",[2]道具信息!H291)</f>
        <v>0.4</v>
      </c>
      <c r="I291" s="8">
        <f>IF([2]道具信息!I291="","",[2]道具信息!I291)</f>
        <v>8</v>
      </c>
      <c r="J291" s="8">
        <f>IF([2]道具信息!J291="","",[2]道具信息!J291)</f>
        <v>8</v>
      </c>
      <c r="K291" s="8">
        <f>IF([2]道具信息!K291="","",[2]道具信息!K291)</f>
        <v>3.2</v>
      </c>
      <c r="L291" s="8" t="str">
        <f>IF([2]道具信息!L291="","",[2]道具信息!L291)</f>
        <v>使用后士兵治疗加速5分钟</v>
      </c>
      <c r="M291" s="8" t="str">
        <f>IF([2]道具信息!M291="","",[2]道具信息!M291)</f>
        <v/>
      </c>
      <c r="N291" s="8" t="str">
        <f>IF([2]道具信息!N291="","",[2]道具信息!N291)</f>
        <v/>
      </c>
      <c r="O291" s="8" t="str">
        <f>IF([2]道具信息!O291="","",[2]道具信息!O291)</f>
        <v/>
      </c>
      <c r="P291" s="8" t="str">
        <f>IF([2]道具信息!P291="","",[2]道具信息!P291)</f>
        <v/>
      </c>
      <c r="Q291" s="8" t="str">
        <f>IF([2]道具信息!Q291="","",[2]道具信息!Q291)</f>
        <v/>
      </c>
      <c r="R291" s="8" t="str">
        <f>IF([2]道具信息!R291="","",[2]道具信息!R291)</f>
        <v/>
      </c>
    </row>
    <row r="292" spans="3:18" x14ac:dyDescent="0.2">
      <c r="C292" s="8">
        <f>IF([2]道具信息!C292="","",[2]道具信息!C292)</f>
        <v>21122</v>
      </c>
      <c r="D292" s="8" t="str">
        <f>IF([2]道具信息!D292="","",[2]道具信息!D292)</f>
        <v>治疗20分钟加速令</v>
      </c>
      <c r="E292" s="8">
        <f>IF([2]道具信息!E292="","",[2]道具信息!E292)</f>
        <v>20</v>
      </c>
      <c r="F292" s="8">
        <f>IF([2]道具信息!F292="","",[2]道具信息!F292)</f>
        <v>1</v>
      </c>
      <c r="G292" s="8">
        <f>IF([2]道具信息!G292="","",[2]道具信息!G292)</f>
        <v>1</v>
      </c>
      <c r="H292" s="8">
        <f>IF([2]道具信息!H292="","",[2]道具信息!H292)</f>
        <v>0.5</v>
      </c>
      <c r="I292" s="8">
        <f>IF([2]道具信息!I292="","",[2]道具信息!I292)</f>
        <v>20</v>
      </c>
      <c r="J292" s="8">
        <f>IF([2]道具信息!J292="","",[2]道具信息!J292)</f>
        <v>20</v>
      </c>
      <c r="K292" s="8">
        <f>IF([2]道具信息!K292="","",[2]道具信息!K292)</f>
        <v>10</v>
      </c>
      <c r="L292" s="8" t="str">
        <f>IF([2]道具信息!L292="","",[2]道具信息!L292)</f>
        <v>使用后士兵治疗加速20分钟</v>
      </c>
      <c r="M292" s="8" t="str">
        <f>IF([2]道具信息!M292="","",[2]道具信息!M292)</f>
        <v/>
      </c>
      <c r="N292" s="8" t="str">
        <f>IF([2]道具信息!N292="","",[2]道具信息!N292)</f>
        <v/>
      </c>
      <c r="O292" s="8" t="str">
        <f>IF([2]道具信息!O292="","",[2]道具信息!O292)</f>
        <v/>
      </c>
      <c r="P292" s="8" t="str">
        <f>IF([2]道具信息!P292="","",[2]道具信息!P292)</f>
        <v/>
      </c>
      <c r="Q292" s="8" t="str">
        <f>IF([2]道具信息!Q292="","",[2]道具信息!Q292)</f>
        <v/>
      </c>
      <c r="R292" s="8" t="str">
        <f>IF([2]道具信息!R292="","",[2]道具信息!R292)</f>
        <v/>
      </c>
    </row>
    <row r="293" spans="3:18" x14ac:dyDescent="0.2">
      <c r="C293" s="8">
        <f>IF([2]道具信息!C293="","",[2]道具信息!C293)</f>
        <v>21123</v>
      </c>
      <c r="D293" s="8" t="str">
        <f>IF([2]道具信息!D293="","",[2]道具信息!D293)</f>
        <v>治疗1小时加速令</v>
      </c>
      <c r="E293" s="8">
        <f>IF([2]道具信息!E293="","",[2]道具信息!E293)</f>
        <v>50</v>
      </c>
      <c r="F293" s="8">
        <f>IF([2]道具信息!F293="","",[2]道具信息!F293)</f>
        <v>1.2</v>
      </c>
      <c r="G293" s="8">
        <f>IF([2]道具信息!G293="","",[2]道具信息!G293)</f>
        <v>1</v>
      </c>
      <c r="H293" s="8">
        <f>IF([2]道具信息!H293="","",[2]道具信息!H293)</f>
        <v>0.6</v>
      </c>
      <c r="I293" s="8">
        <f>IF([2]道具信息!I293="","",[2]道具信息!I293)</f>
        <v>60</v>
      </c>
      <c r="J293" s="8">
        <f>IF([2]道具信息!J293="","",[2]道具信息!J293)</f>
        <v>50</v>
      </c>
      <c r="K293" s="8">
        <f>IF([2]道具信息!K293="","",[2]道具信息!K293)</f>
        <v>30</v>
      </c>
      <c r="L293" s="8" t="str">
        <f>IF([2]道具信息!L293="","",[2]道具信息!L293)</f>
        <v>使用后士兵治疗加速1小时</v>
      </c>
      <c r="M293" s="8" t="str">
        <f>IF([2]道具信息!M293="","",[2]道具信息!M293)</f>
        <v/>
      </c>
      <c r="N293" s="8" t="str">
        <f>IF([2]道具信息!N293="","",[2]道具信息!N293)</f>
        <v/>
      </c>
      <c r="O293" s="8" t="str">
        <f>IF([2]道具信息!O293="","",[2]道具信息!O293)</f>
        <v/>
      </c>
      <c r="P293" s="8" t="str">
        <f>IF([2]道具信息!P293="","",[2]道具信息!P293)</f>
        <v/>
      </c>
      <c r="Q293" s="8" t="str">
        <f>IF([2]道具信息!Q293="","",[2]道具信息!Q293)</f>
        <v/>
      </c>
      <c r="R293" s="8" t="str">
        <f>IF([2]道具信息!R293="","",[2]道具信息!R293)</f>
        <v/>
      </c>
    </row>
    <row r="294" spans="3:18" x14ac:dyDescent="0.2">
      <c r="C294" s="8">
        <f>IF([2]道具信息!C294="","",[2]道具信息!C294)</f>
        <v>21124</v>
      </c>
      <c r="D294" s="8" t="str">
        <f>IF([2]道具信息!D294="","",[2]道具信息!D294)</f>
        <v>治疗3小时加速令</v>
      </c>
      <c r="E294" s="8">
        <f>IF([2]道具信息!E294="","",[2]道具信息!E294)</f>
        <v>100</v>
      </c>
      <c r="F294" s="8">
        <f>IF([2]道具信息!F294="","",[2]道具信息!F294)</f>
        <v>1.8</v>
      </c>
      <c r="G294" s="8">
        <f>IF([2]道具信息!G294="","",[2]道具信息!G294)</f>
        <v>1</v>
      </c>
      <c r="H294" s="8">
        <f>IF([2]道具信息!H294="","",[2]道具信息!H294)</f>
        <v>0.8</v>
      </c>
      <c r="I294" s="8">
        <f>IF([2]道具信息!I294="","",[2]道具信息!I294)</f>
        <v>180</v>
      </c>
      <c r="J294" s="8">
        <f>IF([2]道具信息!J294="","",[2]道具信息!J294)</f>
        <v>100</v>
      </c>
      <c r="K294" s="8">
        <f>IF([2]道具信息!K294="","",[2]道具信息!K294)</f>
        <v>80</v>
      </c>
      <c r="L294" s="8" t="str">
        <f>IF([2]道具信息!L294="","",[2]道具信息!L294)</f>
        <v>使用后士兵治疗加速3小时</v>
      </c>
      <c r="M294" s="8" t="str">
        <f>IF([2]道具信息!M294="","",[2]道具信息!M294)</f>
        <v/>
      </c>
      <c r="N294" s="8" t="str">
        <f>IF([2]道具信息!N294="","",[2]道具信息!N294)</f>
        <v/>
      </c>
      <c r="O294" s="8" t="str">
        <f>IF([2]道具信息!O294="","",[2]道具信息!O294)</f>
        <v/>
      </c>
      <c r="P294" s="8" t="str">
        <f>IF([2]道具信息!P294="","",[2]道具信息!P294)</f>
        <v/>
      </c>
      <c r="Q294" s="8" t="str">
        <f>IF([2]道具信息!Q294="","",[2]道具信息!Q294)</f>
        <v/>
      </c>
      <c r="R294" s="8" t="str">
        <f>IF([2]道具信息!R294="","",[2]道具信息!R294)</f>
        <v/>
      </c>
    </row>
    <row r="295" spans="3:18" x14ac:dyDescent="0.2">
      <c r="C295" s="8">
        <f>IF([2]道具信息!C295="","",[2]道具信息!C295)</f>
        <v>21137</v>
      </c>
      <c r="D295" s="8" t="str">
        <f>IF([2]道具信息!D295="","",[2]道具信息!D295)</f>
        <v>治疗8小时加速令</v>
      </c>
      <c r="E295" s="8">
        <f>IF([2]道具信息!E295="","",[2]道具信息!E295)</f>
        <v>160</v>
      </c>
      <c r="F295" s="8">
        <f>IF([2]道具信息!F295="","",[2]道具信息!F295)</f>
        <v>3</v>
      </c>
      <c r="G295" s="8">
        <f>IF([2]道具信息!G295="","",[2]道具信息!G295)</f>
        <v>1</v>
      </c>
      <c r="H295" s="8">
        <f>IF([2]道具信息!H295="","",[2]道具信息!H295)</f>
        <v>1</v>
      </c>
      <c r="I295" s="8">
        <f>IF([2]道具信息!I295="","",[2]道具信息!I295)</f>
        <v>480</v>
      </c>
      <c r="J295" s="8">
        <f>IF([2]道具信息!J295="","",[2]道具信息!J295)</f>
        <v>160</v>
      </c>
      <c r="K295" s="8">
        <f>IF([2]道具信息!K295="","",[2]道具信息!K295)</f>
        <v>160</v>
      </c>
      <c r="L295" s="8" t="str">
        <f>IF([2]道具信息!L295="","",[2]道具信息!L295)</f>
        <v>使用后士兵治疗加速8小时</v>
      </c>
      <c r="M295" s="8" t="str">
        <f>IF([2]道具信息!M295="","",[2]道具信息!M295)</f>
        <v/>
      </c>
      <c r="N295" s="8" t="str">
        <f>IF([2]道具信息!N295="","",[2]道具信息!N295)</f>
        <v/>
      </c>
      <c r="O295" s="8" t="str">
        <f>IF([2]道具信息!O295="","",[2]道具信息!O295)</f>
        <v/>
      </c>
      <c r="P295" s="8" t="str">
        <f>IF([2]道具信息!P295="","",[2]道具信息!P295)</f>
        <v/>
      </c>
      <c r="Q295" s="8" t="str">
        <f>IF([2]道具信息!Q295="","",[2]道具信息!Q295)</f>
        <v/>
      </c>
      <c r="R295" s="8" t="str">
        <f>IF([2]道具信息!R295="","",[2]道具信息!R295)</f>
        <v/>
      </c>
    </row>
    <row r="296" spans="3:18" x14ac:dyDescent="0.2">
      <c r="C296" s="8" t="str">
        <f>IF([2]道具信息!C296="","",[2]道具信息!C296)</f>
        <v/>
      </c>
      <c r="D296" s="8" t="str">
        <f>IF([2]道具信息!D296="","",[2]道具信息!D296)</f>
        <v/>
      </c>
      <c r="E296" s="8" t="str">
        <f>IF([2]道具信息!E296="","",[2]道具信息!E296)</f>
        <v/>
      </c>
      <c r="F296" s="8" t="str">
        <f>IF([2]道具信息!F296="","",[2]道具信息!F296)</f>
        <v/>
      </c>
      <c r="G296" s="8" t="str">
        <f>IF([2]道具信息!G296="","",[2]道具信息!G296)</f>
        <v/>
      </c>
      <c r="H296" s="8" t="str">
        <f>IF([2]道具信息!H296="","",[2]道具信息!H296)</f>
        <v/>
      </c>
      <c r="I296" s="8" t="str">
        <f>IF([2]道具信息!I296="","",[2]道具信息!I296)</f>
        <v/>
      </c>
      <c r="J296" s="8" t="str">
        <f>IF([2]道具信息!J296="","",[2]道具信息!J296)</f>
        <v/>
      </c>
      <c r="K296" s="8" t="str">
        <f>IF([2]道具信息!K296="","",[2]道具信息!K296)</f>
        <v/>
      </c>
      <c r="L296" s="8" t="str">
        <f>IF([2]道具信息!L296="","",[2]道具信息!L296)</f>
        <v/>
      </c>
      <c r="M296" s="8" t="str">
        <f>IF([2]道具信息!M296="","",[2]道具信息!M296)</f>
        <v/>
      </c>
      <c r="N296" s="8" t="str">
        <f>IF([2]道具信息!N296="","",[2]道具信息!N296)</f>
        <v/>
      </c>
      <c r="O296" s="8" t="str">
        <f>IF([2]道具信息!O296="","",[2]道具信息!O296)</f>
        <v/>
      </c>
      <c r="P296" s="8" t="str">
        <f>IF([2]道具信息!P296="","",[2]道具信息!P296)</f>
        <v/>
      </c>
      <c r="Q296" s="8" t="str">
        <f>IF([2]道具信息!Q296="","",[2]道具信息!Q296)</f>
        <v/>
      </c>
      <c r="R296" s="8" t="str">
        <f>IF([2]道具信息!R296="","",[2]道具信息!R296)</f>
        <v/>
      </c>
    </row>
    <row r="297" spans="3:18" x14ac:dyDescent="0.2">
      <c r="C297" s="8">
        <f>IF([2]道具信息!C297="","",[2]道具信息!C297)</f>
        <v>21130</v>
      </c>
      <c r="D297" s="8" t="str">
        <f>IF([2]道具信息!D297="","",[2]道具信息!D297)</f>
        <v>训练1分钟加速令</v>
      </c>
      <c r="E297" s="8">
        <f>IF([2]道具信息!E297="","",[2]道具信息!E297)</f>
        <v>2</v>
      </c>
      <c r="F297" s="8">
        <f>IF([2]道具信息!F297="","",[2]道具信息!F297)</f>
        <v>1</v>
      </c>
      <c r="G297" s="8">
        <f>IF([2]道具信息!G297="","",[2]道具信息!G297)</f>
        <v>1</v>
      </c>
      <c r="H297" s="8">
        <f>IF([2]道具信息!H297="","",[2]道具信息!H297)</f>
        <v>0.3</v>
      </c>
      <c r="I297" s="8">
        <f>IF([2]道具信息!I297="","",[2]道具信息!I297)</f>
        <v>2</v>
      </c>
      <c r="J297" s="8">
        <f>IF([2]道具信息!J297="","",[2]道具信息!J297)</f>
        <v>2</v>
      </c>
      <c r="K297" s="8">
        <f>IF([2]道具信息!K297="","",[2]道具信息!K297)</f>
        <v>0.6</v>
      </c>
      <c r="L297" s="8" t="str">
        <f>IF([2]道具信息!L297="","",[2]道具信息!L297)</f>
        <v>使用后士兵训练加速1分钟</v>
      </c>
      <c r="M297" s="8" t="str">
        <f>IF([2]道具信息!M297="","",[2]道具信息!M297)</f>
        <v/>
      </c>
      <c r="N297" s="8" t="str">
        <f>IF([2]道具信息!N297="","",[2]道具信息!N297)</f>
        <v/>
      </c>
      <c r="O297" s="8" t="str">
        <f>IF([2]道具信息!O297="","",[2]道具信息!O297)</f>
        <v/>
      </c>
      <c r="P297" s="8" t="str">
        <f>IF([2]道具信息!P297="","",[2]道具信息!P297)</f>
        <v/>
      </c>
      <c r="Q297" s="8" t="str">
        <f>IF([2]道具信息!Q297="","",[2]道具信息!Q297)</f>
        <v/>
      </c>
      <c r="R297" s="8" t="str">
        <f>IF([2]道具信息!R297="","",[2]道具信息!R297)</f>
        <v/>
      </c>
    </row>
    <row r="298" spans="3:18" x14ac:dyDescent="0.2">
      <c r="C298" s="8">
        <f>IF([2]道具信息!C298="","",[2]道具信息!C298)</f>
        <v>21131</v>
      </c>
      <c r="D298" s="8" t="str">
        <f>IF([2]道具信息!D298="","",[2]道具信息!D298)</f>
        <v>训练5分钟加速令</v>
      </c>
      <c r="E298" s="8">
        <f>IF([2]道具信息!E298="","",[2]道具信息!E298)</f>
        <v>8</v>
      </c>
      <c r="F298" s="8">
        <f>IF([2]道具信息!F298="","",[2]道具信息!F298)</f>
        <v>1</v>
      </c>
      <c r="G298" s="8">
        <f>IF([2]道具信息!G298="","",[2]道具信息!G298)</f>
        <v>1</v>
      </c>
      <c r="H298" s="8">
        <f>IF([2]道具信息!H298="","",[2]道具信息!H298)</f>
        <v>0.4</v>
      </c>
      <c r="I298" s="8">
        <f>IF([2]道具信息!I298="","",[2]道具信息!I298)</f>
        <v>8</v>
      </c>
      <c r="J298" s="8">
        <f>IF([2]道具信息!J298="","",[2]道具信息!J298)</f>
        <v>8</v>
      </c>
      <c r="K298" s="8">
        <f>IF([2]道具信息!K298="","",[2]道具信息!K298)</f>
        <v>3.2</v>
      </c>
      <c r="L298" s="8" t="str">
        <f>IF([2]道具信息!L298="","",[2]道具信息!L298)</f>
        <v>使用后士兵训练加速5分钟</v>
      </c>
      <c r="M298" s="8" t="str">
        <f>IF([2]道具信息!M298="","",[2]道具信息!M298)</f>
        <v/>
      </c>
      <c r="N298" s="8" t="str">
        <f>IF([2]道具信息!N298="","",[2]道具信息!N298)</f>
        <v/>
      </c>
      <c r="O298" s="8" t="str">
        <f>IF([2]道具信息!O298="","",[2]道具信息!O298)</f>
        <v/>
      </c>
      <c r="P298" s="8" t="str">
        <f>IF([2]道具信息!P298="","",[2]道具信息!P298)</f>
        <v/>
      </c>
      <c r="Q298" s="8" t="str">
        <f>IF([2]道具信息!Q298="","",[2]道具信息!Q298)</f>
        <v/>
      </c>
      <c r="R298" s="8" t="str">
        <f>IF([2]道具信息!R298="","",[2]道具信息!R298)</f>
        <v/>
      </c>
    </row>
    <row r="299" spans="3:18" x14ac:dyDescent="0.2">
      <c r="C299" s="8">
        <f>IF([2]道具信息!C299="","",[2]道具信息!C299)</f>
        <v>21132</v>
      </c>
      <c r="D299" s="8" t="str">
        <f>IF([2]道具信息!D299="","",[2]道具信息!D299)</f>
        <v>训练20分钟加速令</v>
      </c>
      <c r="E299" s="8">
        <f>IF([2]道具信息!E299="","",[2]道具信息!E299)</f>
        <v>20</v>
      </c>
      <c r="F299" s="8">
        <f>IF([2]道具信息!F299="","",[2]道具信息!F299)</f>
        <v>1</v>
      </c>
      <c r="G299" s="8">
        <f>IF([2]道具信息!G299="","",[2]道具信息!G299)</f>
        <v>1</v>
      </c>
      <c r="H299" s="8">
        <f>IF([2]道具信息!H299="","",[2]道具信息!H299)</f>
        <v>0.5</v>
      </c>
      <c r="I299" s="8">
        <f>IF([2]道具信息!I299="","",[2]道具信息!I299)</f>
        <v>20</v>
      </c>
      <c r="J299" s="8">
        <f>IF([2]道具信息!J299="","",[2]道具信息!J299)</f>
        <v>20</v>
      </c>
      <c r="K299" s="8">
        <f>IF([2]道具信息!K299="","",[2]道具信息!K299)</f>
        <v>10</v>
      </c>
      <c r="L299" s="8" t="str">
        <f>IF([2]道具信息!L299="","",[2]道具信息!L299)</f>
        <v>使用后士兵训练加速20分钟</v>
      </c>
      <c r="M299" s="8" t="str">
        <f>IF([2]道具信息!M299="","",[2]道具信息!M299)</f>
        <v/>
      </c>
      <c r="N299" s="8" t="str">
        <f>IF([2]道具信息!N299="","",[2]道具信息!N299)</f>
        <v/>
      </c>
      <c r="O299" s="8" t="str">
        <f>IF([2]道具信息!O299="","",[2]道具信息!O299)</f>
        <v/>
      </c>
      <c r="P299" s="8" t="str">
        <f>IF([2]道具信息!P299="","",[2]道具信息!P299)</f>
        <v/>
      </c>
      <c r="Q299" s="8" t="str">
        <f>IF([2]道具信息!Q299="","",[2]道具信息!Q299)</f>
        <v/>
      </c>
      <c r="R299" s="8" t="str">
        <f>IF([2]道具信息!R299="","",[2]道具信息!R299)</f>
        <v/>
      </c>
    </row>
    <row r="300" spans="3:18" x14ac:dyDescent="0.2">
      <c r="C300" s="8">
        <f>IF([2]道具信息!C300="","",[2]道具信息!C300)</f>
        <v>21133</v>
      </c>
      <c r="D300" s="8" t="str">
        <f>IF([2]道具信息!D300="","",[2]道具信息!D300)</f>
        <v>训练1小时加速令</v>
      </c>
      <c r="E300" s="8">
        <f>IF([2]道具信息!E300="","",[2]道具信息!E300)</f>
        <v>50</v>
      </c>
      <c r="F300" s="8">
        <f>IF([2]道具信息!F300="","",[2]道具信息!F300)</f>
        <v>1.2</v>
      </c>
      <c r="G300" s="8">
        <f>IF([2]道具信息!G300="","",[2]道具信息!G300)</f>
        <v>1</v>
      </c>
      <c r="H300" s="8">
        <f>IF([2]道具信息!H300="","",[2]道具信息!H300)</f>
        <v>0.6</v>
      </c>
      <c r="I300" s="8">
        <f>IF([2]道具信息!I300="","",[2]道具信息!I300)</f>
        <v>60</v>
      </c>
      <c r="J300" s="8">
        <f>IF([2]道具信息!J300="","",[2]道具信息!J300)</f>
        <v>50</v>
      </c>
      <c r="K300" s="8">
        <f>IF([2]道具信息!K300="","",[2]道具信息!K300)</f>
        <v>30</v>
      </c>
      <c r="L300" s="8" t="str">
        <f>IF([2]道具信息!L300="","",[2]道具信息!L300)</f>
        <v>使用后士兵训练加速1小时</v>
      </c>
      <c r="M300" s="8" t="str">
        <f>IF([2]道具信息!M300="","",[2]道具信息!M300)</f>
        <v/>
      </c>
      <c r="N300" s="8" t="str">
        <f>IF([2]道具信息!N300="","",[2]道具信息!N300)</f>
        <v/>
      </c>
      <c r="O300" s="8" t="str">
        <f>IF([2]道具信息!O300="","",[2]道具信息!O300)</f>
        <v/>
      </c>
      <c r="P300" s="8" t="str">
        <f>IF([2]道具信息!P300="","",[2]道具信息!P300)</f>
        <v/>
      </c>
      <c r="Q300" s="8" t="str">
        <f>IF([2]道具信息!Q300="","",[2]道具信息!Q300)</f>
        <v/>
      </c>
      <c r="R300" s="8" t="str">
        <f>IF([2]道具信息!R300="","",[2]道具信息!R300)</f>
        <v/>
      </c>
    </row>
    <row r="301" spans="3:18" x14ac:dyDescent="0.2">
      <c r="C301" s="8">
        <f>IF([2]道具信息!C301="","",[2]道具信息!C301)</f>
        <v>21134</v>
      </c>
      <c r="D301" s="8" t="str">
        <f>IF([2]道具信息!D301="","",[2]道具信息!D301)</f>
        <v>训练3小时加速令</v>
      </c>
      <c r="E301" s="8">
        <f>IF([2]道具信息!E301="","",[2]道具信息!E301)</f>
        <v>100</v>
      </c>
      <c r="F301" s="8">
        <f>IF([2]道具信息!F301="","",[2]道具信息!F301)</f>
        <v>1.8</v>
      </c>
      <c r="G301" s="8">
        <f>IF([2]道具信息!G301="","",[2]道具信息!G301)</f>
        <v>1</v>
      </c>
      <c r="H301" s="8">
        <f>IF([2]道具信息!H301="","",[2]道具信息!H301)</f>
        <v>0.8</v>
      </c>
      <c r="I301" s="8">
        <f>IF([2]道具信息!I301="","",[2]道具信息!I301)</f>
        <v>180</v>
      </c>
      <c r="J301" s="8">
        <f>IF([2]道具信息!J301="","",[2]道具信息!J301)</f>
        <v>100</v>
      </c>
      <c r="K301" s="8">
        <f>IF([2]道具信息!K301="","",[2]道具信息!K301)</f>
        <v>80</v>
      </c>
      <c r="L301" s="8" t="str">
        <f>IF([2]道具信息!L301="","",[2]道具信息!L301)</f>
        <v>使用后士兵训练加速3小时</v>
      </c>
      <c r="M301" s="8" t="str">
        <f>IF([2]道具信息!M301="","",[2]道具信息!M301)</f>
        <v/>
      </c>
      <c r="N301" s="8" t="str">
        <f>IF([2]道具信息!N301="","",[2]道具信息!N301)</f>
        <v/>
      </c>
      <c r="O301" s="8" t="str">
        <f>IF([2]道具信息!O301="","",[2]道具信息!O301)</f>
        <v/>
      </c>
      <c r="P301" s="8" t="str">
        <f>IF([2]道具信息!P301="","",[2]道具信息!P301)</f>
        <v/>
      </c>
      <c r="Q301" s="8" t="str">
        <f>IF([2]道具信息!Q301="","",[2]道具信息!Q301)</f>
        <v/>
      </c>
      <c r="R301" s="8" t="str">
        <f>IF([2]道具信息!R301="","",[2]道具信息!R301)</f>
        <v/>
      </c>
    </row>
    <row r="302" spans="3:18" x14ac:dyDescent="0.2">
      <c r="C302" s="8">
        <f>IF([2]道具信息!C302="","",[2]道具信息!C302)</f>
        <v>21139</v>
      </c>
      <c r="D302" s="8" t="str">
        <f>IF([2]道具信息!D302="","",[2]道具信息!D302)</f>
        <v>训练8小时加速令</v>
      </c>
      <c r="E302" s="8">
        <f>IF([2]道具信息!E302="","",[2]道具信息!E302)</f>
        <v>160</v>
      </c>
      <c r="F302" s="8">
        <f>IF([2]道具信息!F302="","",[2]道具信息!F302)</f>
        <v>3</v>
      </c>
      <c r="G302" s="8">
        <f>IF([2]道具信息!G302="","",[2]道具信息!G302)</f>
        <v>1</v>
      </c>
      <c r="H302" s="8">
        <f>IF([2]道具信息!H302="","",[2]道具信息!H302)</f>
        <v>1</v>
      </c>
      <c r="I302" s="8">
        <f>IF([2]道具信息!I302="","",[2]道具信息!I302)</f>
        <v>480</v>
      </c>
      <c r="J302" s="8">
        <f>IF([2]道具信息!J302="","",[2]道具信息!J302)</f>
        <v>160</v>
      </c>
      <c r="K302" s="8">
        <f>IF([2]道具信息!K302="","",[2]道具信息!K302)</f>
        <v>160</v>
      </c>
      <c r="L302" s="8" t="str">
        <f>IF([2]道具信息!L302="","",[2]道具信息!L302)</f>
        <v>使用后士兵训练加速8小时</v>
      </c>
      <c r="M302" s="8" t="str">
        <f>IF([2]道具信息!M302="","",[2]道具信息!M302)</f>
        <v/>
      </c>
      <c r="N302" s="8" t="str">
        <f>IF([2]道具信息!N302="","",[2]道具信息!N302)</f>
        <v/>
      </c>
      <c r="O302" s="8" t="str">
        <f>IF([2]道具信息!O302="","",[2]道具信息!O302)</f>
        <v/>
      </c>
      <c r="P302" s="8" t="str">
        <f>IF([2]道具信息!P302="","",[2]道具信息!P302)</f>
        <v/>
      </c>
      <c r="Q302" s="8" t="str">
        <f>IF([2]道具信息!Q302="","",[2]道具信息!Q302)</f>
        <v/>
      </c>
      <c r="R302" s="8" t="str">
        <f>IF([2]道具信息!R302="","",[2]道具信息!R302)</f>
        <v/>
      </c>
    </row>
    <row r="303" spans="3:18" x14ac:dyDescent="0.2">
      <c r="C303" s="8" t="str">
        <f>IF([2]道具信息!C303="","",[2]道具信息!C303)</f>
        <v/>
      </c>
      <c r="D303" s="8" t="str">
        <f>IF([2]道具信息!D303="","",[2]道具信息!D303)</f>
        <v/>
      </c>
      <c r="E303" s="8" t="str">
        <f>IF([2]道具信息!E303="","",[2]道具信息!E303)</f>
        <v/>
      </c>
      <c r="F303" s="8" t="str">
        <f>IF([2]道具信息!F303="","",[2]道具信息!F303)</f>
        <v/>
      </c>
      <c r="G303" s="8" t="str">
        <f>IF([2]道具信息!G303="","",[2]道具信息!G303)</f>
        <v/>
      </c>
      <c r="H303" s="8" t="str">
        <f>IF([2]道具信息!H303="","",[2]道具信息!H303)</f>
        <v/>
      </c>
      <c r="I303" s="8" t="str">
        <f>IF([2]道具信息!I303="","",[2]道具信息!I303)</f>
        <v/>
      </c>
      <c r="J303" s="8" t="str">
        <f>IF([2]道具信息!J303="","",[2]道具信息!J303)</f>
        <v/>
      </c>
      <c r="K303" s="8" t="str">
        <f>IF([2]道具信息!K303="","",[2]道具信息!K303)</f>
        <v/>
      </c>
      <c r="L303" s="8" t="str">
        <f>IF([2]道具信息!L303="","",[2]道具信息!L303)</f>
        <v/>
      </c>
      <c r="M303" s="8" t="str">
        <f>IF([2]道具信息!M303="","",[2]道具信息!M303)</f>
        <v/>
      </c>
      <c r="N303" s="8" t="str">
        <f>IF([2]道具信息!N303="","",[2]道具信息!N303)</f>
        <v/>
      </c>
      <c r="O303" s="8" t="str">
        <f>IF([2]道具信息!O303="","",[2]道具信息!O303)</f>
        <v/>
      </c>
      <c r="P303" s="8" t="str">
        <f>IF([2]道具信息!P303="","",[2]道具信息!P303)</f>
        <v/>
      </c>
      <c r="Q303" s="8" t="str">
        <f>IF([2]道具信息!Q303="","",[2]道具信息!Q303)</f>
        <v/>
      </c>
      <c r="R303" s="8" t="str">
        <f>IF([2]道具信息!R303="","",[2]道具信息!R303)</f>
        <v/>
      </c>
    </row>
    <row r="304" spans="3:18" x14ac:dyDescent="0.2">
      <c r="C304" s="8">
        <f>IF([2]道具信息!C304="","",[2]道具信息!C304)</f>
        <v>21140</v>
      </c>
      <c r="D304" s="8" t="str">
        <f>IF([2]道具信息!D304="","",[2]道具信息!D304)</f>
        <v>圣人1分钟加速令</v>
      </c>
      <c r="E304" s="8">
        <f>IF([2]道具信息!E304="","",[2]道具信息!E304)</f>
        <v>2</v>
      </c>
      <c r="F304" s="8">
        <f>IF([2]道具信息!F304="","",[2]道具信息!F304)</f>
        <v>1</v>
      </c>
      <c r="G304" s="8">
        <f>IF([2]道具信息!G304="","",[2]道具信息!G304)</f>
        <v>1</v>
      </c>
      <c r="H304" s="8">
        <f>IF([2]道具信息!H304="","",[2]道具信息!H304)</f>
        <v>0.3</v>
      </c>
      <c r="I304" s="8">
        <f>IF([2]道具信息!I304="","",[2]道具信息!I304)</f>
        <v>2</v>
      </c>
      <c r="J304" s="8">
        <f>IF([2]道具信息!J304="","",[2]道具信息!J304)</f>
        <v>2</v>
      </c>
      <c r="K304" s="8">
        <f>IF([2]道具信息!K304="","",[2]道具信息!K304)</f>
        <v>0.6</v>
      </c>
      <c r="L304" s="8" t="str">
        <f>IF([2]道具信息!L304="","",[2]道具信息!L304)</f>
        <v>使用后士兵训练加速1分钟</v>
      </c>
      <c r="M304" s="8" t="str">
        <f>IF([2]道具信息!M304="","",[2]道具信息!M304)</f>
        <v/>
      </c>
      <c r="N304" s="8" t="str">
        <f>IF([2]道具信息!N304="","",[2]道具信息!N304)</f>
        <v/>
      </c>
      <c r="O304" s="8" t="str">
        <f>IF([2]道具信息!O304="","",[2]道具信息!O304)</f>
        <v/>
      </c>
      <c r="P304" s="8" t="str">
        <f>IF([2]道具信息!P304="","",[2]道具信息!P304)</f>
        <v/>
      </c>
      <c r="Q304" s="8" t="str">
        <f>IF([2]道具信息!Q304="","",[2]道具信息!Q304)</f>
        <v/>
      </c>
      <c r="R304" s="8" t="str">
        <f>IF([2]道具信息!R304="","",[2]道具信息!R304)</f>
        <v/>
      </c>
    </row>
    <row r="305" spans="3:18" x14ac:dyDescent="0.2">
      <c r="C305" s="8">
        <f>IF([2]道具信息!C305="","",[2]道具信息!C305)</f>
        <v>21141</v>
      </c>
      <c r="D305" s="8" t="str">
        <f>IF([2]道具信息!D305="","",[2]道具信息!D305)</f>
        <v>圣人5分钟加速令</v>
      </c>
      <c r="E305" s="8">
        <f>IF([2]道具信息!E305="","",[2]道具信息!E305)</f>
        <v>8</v>
      </c>
      <c r="F305" s="8">
        <f>IF([2]道具信息!F305="","",[2]道具信息!F305)</f>
        <v>1</v>
      </c>
      <c r="G305" s="8">
        <f>IF([2]道具信息!G305="","",[2]道具信息!G305)</f>
        <v>1</v>
      </c>
      <c r="H305" s="8">
        <f>IF([2]道具信息!H305="","",[2]道具信息!H305)</f>
        <v>0.4</v>
      </c>
      <c r="I305" s="8">
        <f>IF([2]道具信息!I305="","",[2]道具信息!I305)</f>
        <v>8</v>
      </c>
      <c r="J305" s="8">
        <f>IF([2]道具信息!J305="","",[2]道具信息!J305)</f>
        <v>8</v>
      </c>
      <c r="K305" s="8">
        <f>IF([2]道具信息!K305="","",[2]道具信息!K305)</f>
        <v>3.2</v>
      </c>
      <c r="L305" s="8" t="str">
        <f>IF([2]道具信息!L305="","",[2]道具信息!L305)</f>
        <v>使用后士兵训练加速5分钟</v>
      </c>
      <c r="M305" s="8" t="str">
        <f>IF([2]道具信息!M305="","",[2]道具信息!M305)</f>
        <v/>
      </c>
      <c r="N305" s="8" t="str">
        <f>IF([2]道具信息!N305="","",[2]道具信息!N305)</f>
        <v/>
      </c>
      <c r="O305" s="8" t="str">
        <f>IF([2]道具信息!O305="","",[2]道具信息!O305)</f>
        <v/>
      </c>
      <c r="P305" s="8" t="str">
        <f>IF([2]道具信息!P305="","",[2]道具信息!P305)</f>
        <v/>
      </c>
      <c r="Q305" s="8" t="str">
        <f>IF([2]道具信息!Q305="","",[2]道具信息!Q305)</f>
        <v/>
      </c>
      <c r="R305" s="8" t="str">
        <f>IF([2]道具信息!R305="","",[2]道具信息!R305)</f>
        <v/>
      </c>
    </row>
    <row r="306" spans="3:18" x14ac:dyDescent="0.2">
      <c r="C306" s="8">
        <f>IF([2]道具信息!C306="","",[2]道具信息!C306)</f>
        <v>21142</v>
      </c>
      <c r="D306" s="8" t="str">
        <f>IF([2]道具信息!D306="","",[2]道具信息!D306)</f>
        <v>圣人20分钟加速令</v>
      </c>
      <c r="E306" s="8">
        <f>IF([2]道具信息!E306="","",[2]道具信息!E306)</f>
        <v>20</v>
      </c>
      <c r="F306" s="8">
        <f>IF([2]道具信息!F306="","",[2]道具信息!F306)</f>
        <v>1</v>
      </c>
      <c r="G306" s="8">
        <f>IF([2]道具信息!G306="","",[2]道具信息!G306)</f>
        <v>1</v>
      </c>
      <c r="H306" s="8">
        <f>IF([2]道具信息!H306="","",[2]道具信息!H306)</f>
        <v>0.5</v>
      </c>
      <c r="I306" s="8">
        <f>IF([2]道具信息!I306="","",[2]道具信息!I306)</f>
        <v>20</v>
      </c>
      <c r="J306" s="8">
        <f>IF([2]道具信息!J306="","",[2]道具信息!J306)</f>
        <v>20</v>
      </c>
      <c r="K306" s="8">
        <f>IF([2]道具信息!K306="","",[2]道具信息!K306)</f>
        <v>10</v>
      </c>
      <c r="L306" s="8" t="str">
        <f>IF([2]道具信息!L306="","",[2]道具信息!L306)</f>
        <v>使用后士兵训练加速20分钟</v>
      </c>
      <c r="M306" s="8" t="str">
        <f>IF([2]道具信息!M306="","",[2]道具信息!M306)</f>
        <v/>
      </c>
      <c r="N306" s="8" t="str">
        <f>IF([2]道具信息!N306="","",[2]道具信息!N306)</f>
        <v/>
      </c>
      <c r="O306" s="8" t="str">
        <f>IF([2]道具信息!O306="","",[2]道具信息!O306)</f>
        <v/>
      </c>
      <c r="P306" s="8" t="str">
        <f>IF([2]道具信息!P306="","",[2]道具信息!P306)</f>
        <v/>
      </c>
      <c r="Q306" s="8" t="str">
        <f>IF([2]道具信息!Q306="","",[2]道具信息!Q306)</f>
        <v/>
      </c>
      <c r="R306" s="8" t="str">
        <f>IF([2]道具信息!R306="","",[2]道具信息!R306)</f>
        <v/>
      </c>
    </row>
    <row r="307" spans="3:18" x14ac:dyDescent="0.2">
      <c r="C307" s="8">
        <f>IF([2]道具信息!C307="","",[2]道具信息!C307)</f>
        <v>21143</v>
      </c>
      <c r="D307" s="8" t="str">
        <f>IF([2]道具信息!D307="","",[2]道具信息!D307)</f>
        <v>圣人1小时加速令</v>
      </c>
      <c r="E307" s="8">
        <f>IF([2]道具信息!E307="","",[2]道具信息!E307)</f>
        <v>50</v>
      </c>
      <c r="F307" s="8">
        <f>IF([2]道具信息!F307="","",[2]道具信息!F307)</f>
        <v>1.2</v>
      </c>
      <c r="G307" s="8">
        <f>IF([2]道具信息!G307="","",[2]道具信息!G307)</f>
        <v>1</v>
      </c>
      <c r="H307" s="8">
        <f>IF([2]道具信息!H307="","",[2]道具信息!H307)</f>
        <v>0.6</v>
      </c>
      <c r="I307" s="8">
        <f>IF([2]道具信息!I307="","",[2]道具信息!I307)</f>
        <v>60</v>
      </c>
      <c r="J307" s="8">
        <f>IF([2]道具信息!J307="","",[2]道具信息!J307)</f>
        <v>50</v>
      </c>
      <c r="K307" s="8">
        <f>IF([2]道具信息!K307="","",[2]道具信息!K307)</f>
        <v>30</v>
      </c>
      <c r="L307" s="8" t="str">
        <f>IF([2]道具信息!L307="","",[2]道具信息!L307)</f>
        <v>使用后士兵训练加速1小时</v>
      </c>
      <c r="M307" s="8" t="str">
        <f>IF([2]道具信息!M307="","",[2]道具信息!M307)</f>
        <v/>
      </c>
      <c r="N307" s="8" t="str">
        <f>IF([2]道具信息!N307="","",[2]道具信息!N307)</f>
        <v/>
      </c>
      <c r="O307" s="8" t="str">
        <f>IF([2]道具信息!O307="","",[2]道具信息!O307)</f>
        <v/>
      </c>
      <c r="P307" s="8" t="str">
        <f>IF([2]道具信息!P307="","",[2]道具信息!P307)</f>
        <v/>
      </c>
      <c r="Q307" s="8" t="str">
        <f>IF([2]道具信息!Q307="","",[2]道具信息!Q307)</f>
        <v/>
      </c>
      <c r="R307" s="8" t="str">
        <f>IF([2]道具信息!R307="","",[2]道具信息!R307)</f>
        <v/>
      </c>
    </row>
    <row r="308" spans="3:18" x14ac:dyDescent="0.2">
      <c r="C308" s="8">
        <f>IF([2]道具信息!C308="","",[2]道具信息!C308)</f>
        <v>21144</v>
      </c>
      <c r="D308" s="8" t="str">
        <f>IF([2]道具信息!D308="","",[2]道具信息!D308)</f>
        <v>圣人3小时加速令</v>
      </c>
      <c r="E308" s="8">
        <f>IF([2]道具信息!E308="","",[2]道具信息!E308)</f>
        <v>100</v>
      </c>
      <c r="F308" s="8">
        <f>IF([2]道具信息!F308="","",[2]道具信息!F308)</f>
        <v>1.8</v>
      </c>
      <c r="G308" s="8">
        <f>IF([2]道具信息!G308="","",[2]道具信息!G308)</f>
        <v>1</v>
      </c>
      <c r="H308" s="8">
        <f>IF([2]道具信息!H308="","",[2]道具信息!H308)</f>
        <v>0.8</v>
      </c>
      <c r="I308" s="8">
        <f>IF([2]道具信息!I308="","",[2]道具信息!I308)</f>
        <v>180</v>
      </c>
      <c r="J308" s="8">
        <f>IF([2]道具信息!J308="","",[2]道具信息!J308)</f>
        <v>100</v>
      </c>
      <c r="K308" s="8">
        <f>IF([2]道具信息!K308="","",[2]道具信息!K308)</f>
        <v>80</v>
      </c>
      <c r="L308" s="8" t="str">
        <f>IF([2]道具信息!L308="","",[2]道具信息!L308)</f>
        <v>使用后士兵训练加速3小时</v>
      </c>
      <c r="M308" s="8" t="str">
        <f>IF([2]道具信息!M308="","",[2]道具信息!M308)</f>
        <v/>
      </c>
      <c r="N308" s="8" t="str">
        <f>IF([2]道具信息!N308="","",[2]道具信息!N308)</f>
        <v/>
      </c>
      <c r="O308" s="8" t="str">
        <f>IF([2]道具信息!O308="","",[2]道具信息!O308)</f>
        <v/>
      </c>
      <c r="P308" s="8" t="str">
        <f>IF([2]道具信息!P308="","",[2]道具信息!P308)</f>
        <v/>
      </c>
      <c r="Q308" s="8" t="str">
        <f>IF([2]道具信息!Q308="","",[2]道具信息!Q308)</f>
        <v/>
      </c>
      <c r="R308" s="8" t="str">
        <f>IF([2]道具信息!R308="","",[2]道具信息!R308)</f>
        <v/>
      </c>
    </row>
    <row r="309" spans="3:18" x14ac:dyDescent="0.2">
      <c r="C309" s="8">
        <f>IF([2]道具信息!C309="","",[2]道具信息!C309)</f>
        <v>21145</v>
      </c>
      <c r="D309" s="8" t="str">
        <f>IF([2]道具信息!D309="","",[2]道具信息!D309)</f>
        <v>圣人8小时加速令</v>
      </c>
      <c r="E309" s="8">
        <f>IF([2]道具信息!E309="","",[2]道具信息!E309)</f>
        <v>160</v>
      </c>
      <c r="F309" s="8">
        <f>IF([2]道具信息!F309="","",[2]道具信息!F309)</f>
        <v>3</v>
      </c>
      <c r="G309" s="8">
        <f>IF([2]道具信息!G309="","",[2]道具信息!G309)</f>
        <v>1</v>
      </c>
      <c r="H309" s="8">
        <f>IF([2]道具信息!H309="","",[2]道具信息!H309)</f>
        <v>1</v>
      </c>
      <c r="I309" s="8">
        <f>IF([2]道具信息!I309="","",[2]道具信息!I309)</f>
        <v>480</v>
      </c>
      <c r="J309" s="8">
        <f>IF([2]道具信息!J309="","",[2]道具信息!J309)</f>
        <v>160</v>
      </c>
      <c r="K309" s="8">
        <f>IF([2]道具信息!K309="","",[2]道具信息!K309)</f>
        <v>160</v>
      </c>
      <c r="L309" s="8" t="str">
        <f>IF([2]道具信息!L309="","",[2]道具信息!L309)</f>
        <v>使用后士兵训练加速8小时</v>
      </c>
      <c r="M309" s="8" t="str">
        <f>IF([2]道具信息!M309="","",[2]道具信息!M309)</f>
        <v/>
      </c>
      <c r="N309" s="8" t="str">
        <f>IF([2]道具信息!N309="","",[2]道具信息!N309)</f>
        <v/>
      </c>
      <c r="O309" s="8" t="str">
        <f>IF([2]道具信息!O309="","",[2]道具信息!O309)</f>
        <v/>
      </c>
      <c r="P309" s="8" t="str">
        <f>IF([2]道具信息!P309="","",[2]道具信息!P309)</f>
        <v/>
      </c>
      <c r="Q309" s="8" t="str">
        <f>IF([2]道具信息!Q309="","",[2]道具信息!Q309)</f>
        <v/>
      </c>
      <c r="R309" s="8" t="str">
        <f>IF([2]道具信息!R309="","",[2]道具信息!R309)</f>
        <v/>
      </c>
    </row>
    <row r="310" spans="3:18" x14ac:dyDescent="0.2">
      <c r="C310" s="8" t="str">
        <f>IF([2]道具信息!C310="","",[2]道具信息!C310)</f>
        <v/>
      </c>
      <c r="D310" s="8" t="str">
        <f>IF([2]道具信息!D310="","",[2]道具信息!D310)</f>
        <v/>
      </c>
      <c r="E310" s="8" t="str">
        <f>IF([2]道具信息!E310="","",[2]道具信息!E310)</f>
        <v/>
      </c>
      <c r="F310" s="8" t="str">
        <f>IF([2]道具信息!F310="","",[2]道具信息!F310)</f>
        <v/>
      </c>
      <c r="G310" s="8" t="str">
        <f>IF([2]道具信息!G310="","",[2]道具信息!G310)</f>
        <v/>
      </c>
      <c r="H310" s="8" t="str">
        <f>IF([2]道具信息!H310="","",[2]道具信息!H310)</f>
        <v/>
      </c>
      <c r="I310" s="8" t="str">
        <f>IF([2]道具信息!I310="","",[2]道具信息!I310)</f>
        <v/>
      </c>
      <c r="J310" s="8" t="str">
        <f>IF([2]道具信息!J310="","",[2]道具信息!J310)</f>
        <v/>
      </c>
      <c r="K310" s="8" t="str">
        <f>IF([2]道具信息!K310="","",[2]道具信息!K310)</f>
        <v/>
      </c>
      <c r="L310" s="8" t="str">
        <f>IF([2]道具信息!L310="","",[2]道具信息!L310)</f>
        <v/>
      </c>
      <c r="M310" s="8" t="str">
        <f>IF([2]道具信息!M310="","",[2]道具信息!M310)</f>
        <v/>
      </c>
      <c r="N310" s="8" t="str">
        <f>IF([2]道具信息!N310="","",[2]道具信息!N310)</f>
        <v/>
      </c>
      <c r="O310" s="8" t="str">
        <f>IF([2]道具信息!O310="","",[2]道具信息!O310)</f>
        <v/>
      </c>
      <c r="P310" s="8" t="str">
        <f>IF([2]道具信息!P310="","",[2]道具信息!P310)</f>
        <v/>
      </c>
      <c r="Q310" s="8" t="str">
        <f>IF([2]道具信息!Q310="","",[2]道具信息!Q310)</f>
        <v/>
      </c>
      <c r="R310" s="8" t="str">
        <f>IF([2]道具信息!R310="","",[2]道具信息!R310)</f>
        <v/>
      </c>
    </row>
    <row r="311" spans="3:18" x14ac:dyDescent="0.2">
      <c r="C311" s="8">
        <f>IF([2]道具信息!C311="","",[2]道具信息!C311)</f>
        <v>21125</v>
      </c>
      <c r="D311" s="8" t="str">
        <f>IF([2]道具信息!D311="","",[2]道具信息!D311)</f>
        <v>通用1分钟加速令</v>
      </c>
      <c r="E311" s="8">
        <f>IF([2]道具信息!E311="","",[2]道具信息!E311)</f>
        <v>2</v>
      </c>
      <c r="F311" s="8">
        <f>IF([2]道具信息!F311="","",[2]道具信息!F311)</f>
        <v>1</v>
      </c>
      <c r="G311" s="8">
        <f>IF([2]道具信息!G311="","",[2]道具信息!G311)</f>
        <v>1</v>
      </c>
      <c r="H311" s="8">
        <f>IF([2]道具信息!H311="","",[2]道具信息!H311)</f>
        <v>0.3</v>
      </c>
      <c r="I311" s="8">
        <f>IF([2]道具信息!I311="","",[2]道具信息!I311)</f>
        <v>2</v>
      </c>
      <c r="J311" s="8">
        <f>IF([2]道具信息!J311="","",[2]道具信息!J311)</f>
        <v>2</v>
      </c>
      <c r="K311" s="8">
        <f>IF([2]道具信息!K311="","",[2]道具信息!K311)</f>
        <v>0.6</v>
      </c>
      <c r="L311" s="8" t="str">
        <f>IF([2]道具信息!L311="","",[2]道具信息!L311)</f>
        <v>使用后任意队列加速1分钟</v>
      </c>
      <c r="M311" s="8" t="str">
        <f>IF([2]道具信息!M311="","",[2]道具信息!M311)</f>
        <v/>
      </c>
      <c r="N311" s="8" t="str">
        <f>IF([2]道具信息!N311="","",[2]道具信息!N311)</f>
        <v/>
      </c>
      <c r="O311" s="8" t="str">
        <f>IF([2]道具信息!O311="","",[2]道具信息!O311)</f>
        <v/>
      </c>
      <c r="P311" s="8" t="str">
        <f>IF([2]道具信息!P311="","",[2]道具信息!P311)</f>
        <v/>
      </c>
      <c r="Q311" s="8" t="str">
        <f>IF([2]道具信息!Q311="","",[2]道具信息!Q311)</f>
        <v/>
      </c>
      <c r="R311" s="8" t="str">
        <f>IF([2]道具信息!R311="","",[2]道具信息!R311)</f>
        <v/>
      </c>
    </row>
    <row r="312" spans="3:18" x14ac:dyDescent="0.2">
      <c r="C312" s="8">
        <f>IF([2]道具信息!C312="","",[2]道具信息!C312)</f>
        <v>21126</v>
      </c>
      <c r="D312" s="8" t="str">
        <f>IF([2]道具信息!D312="","",[2]道具信息!D312)</f>
        <v>通用5分钟加速令</v>
      </c>
      <c r="E312" s="8">
        <f>IF([2]道具信息!E312="","",[2]道具信息!E312)</f>
        <v>8</v>
      </c>
      <c r="F312" s="8">
        <f>IF([2]道具信息!F312="","",[2]道具信息!F312)</f>
        <v>1</v>
      </c>
      <c r="G312" s="8">
        <f>IF([2]道具信息!G312="","",[2]道具信息!G312)</f>
        <v>1</v>
      </c>
      <c r="H312" s="8">
        <f>IF([2]道具信息!H312="","",[2]道具信息!H312)</f>
        <v>0.4</v>
      </c>
      <c r="I312" s="8">
        <f>IF([2]道具信息!I312="","",[2]道具信息!I312)</f>
        <v>8</v>
      </c>
      <c r="J312" s="8">
        <f>IF([2]道具信息!J312="","",[2]道具信息!J312)</f>
        <v>8</v>
      </c>
      <c r="K312" s="8">
        <f>IF([2]道具信息!K312="","",[2]道具信息!K312)</f>
        <v>3.2</v>
      </c>
      <c r="L312" s="8" t="str">
        <f>IF([2]道具信息!L312="","",[2]道具信息!L312)</f>
        <v>使用后任意队列加速5分钟</v>
      </c>
      <c r="M312" s="8" t="str">
        <f>IF([2]道具信息!M312="","",[2]道具信息!M312)</f>
        <v/>
      </c>
      <c r="N312" s="8" t="str">
        <f>IF([2]道具信息!N312="","",[2]道具信息!N312)</f>
        <v/>
      </c>
      <c r="O312" s="8" t="str">
        <f>IF([2]道具信息!O312="","",[2]道具信息!O312)</f>
        <v/>
      </c>
      <c r="P312" s="8" t="str">
        <f>IF([2]道具信息!P312="","",[2]道具信息!P312)</f>
        <v/>
      </c>
      <c r="Q312" s="8" t="str">
        <f>IF([2]道具信息!Q312="","",[2]道具信息!Q312)</f>
        <v/>
      </c>
      <c r="R312" s="8" t="str">
        <f>IF([2]道具信息!R312="","",[2]道具信息!R312)</f>
        <v/>
      </c>
    </row>
    <row r="313" spans="3:18" x14ac:dyDescent="0.2">
      <c r="C313" s="8">
        <f>IF([2]道具信息!C313="","",[2]道具信息!C313)</f>
        <v>21127</v>
      </c>
      <c r="D313" s="8" t="str">
        <f>IF([2]道具信息!D313="","",[2]道具信息!D313)</f>
        <v>通用20分钟加速令</v>
      </c>
      <c r="E313" s="8">
        <f>IF([2]道具信息!E313="","",[2]道具信息!E313)</f>
        <v>20</v>
      </c>
      <c r="F313" s="8">
        <f>IF([2]道具信息!F313="","",[2]道具信息!F313)</f>
        <v>1</v>
      </c>
      <c r="G313" s="8">
        <f>IF([2]道具信息!G313="","",[2]道具信息!G313)</f>
        <v>1</v>
      </c>
      <c r="H313" s="8">
        <f>IF([2]道具信息!H313="","",[2]道具信息!H313)</f>
        <v>0.5</v>
      </c>
      <c r="I313" s="8">
        <f>IF([2]道具信息!I313="","",[2]道具信息!I313)</f>
        <v>20</v>
      </c>
      <c r="J313" s="8">
        <f>IF([2]道具信息!J313="","",[2]道具信息!J313)</f>
        <v>20</v>
      </c>
      <c r="K313" s="8">
        <f>IF([2]道具信息!K313="","",[2]道具信息!K313)</f>
        <v>10</v>
      </c>
      <c r="L313" s="8" t="str">
        <f>IF([2]道具信息!L313="","",[2]道具信息!L313)</f>
        <v>使用后任意队列加速20分钟</v>
      </c>
      <c r="M313" s="8" t="str">
        <f>IF([2]道具信息!M313="","",[2]道具信息!M313)</f>
        <v/>
      </c>
      <c r="N313" s="8" t="str">
        <f>IF([2]道具信息!N313="","",[2]道具信息!N313)</f>
        <v/>
      </c>
      <c r="O313" s="8" t="str">
        <f>IF([2]道具信息!O313="","",[2]道具信息!O313)</f>
        <v/>
      </c>
      <c r="P313" s="8" t="str">
        <f>IF([2]道具信息!P313="","",[2]道具信息!P313)</f>
        <v/>
      </c>
      <c r="Q313" s="8" t="str">
        <f>IF([2]道具信息!Q313="","",[2]道具信息!Q313)</f>
        <v/>
      </c>
      <c r="R313" s="8" t="str">
        <f>IF([2]道具信息!R313="","",[2]道具信息!R313)</f>
        <v/>
      </c>
    </row>
    <row r="314" spans="3:18" x14ac:dyDescent="0.2">
      <c r="C314" s="8">
        <f>IF([2]道具信息!C314="","",[2]道具信息!C314)</f>
        <v>21128</v>
      </c>
      <c r="D314" s="8" t="str">
        <f>IF([2]道具信息!D314="","",[2]道具信息!D314)</f>
        <v>通用1小时加速令</v>
      </c>
      <c r="E314" s="8">
        <f>IF([2]道具信息!E314="","",[2]道具信息!E314)</f>
        <v>50</v>
      </c>
      <c r="F314" s="8">
        <f>IF([2]道具信息!F314="","",[2]道具信息!F314)</f>
        <v>1.2</v>
      </c>
      <c r="G314" s="8">
        <f>IF([2]道具信息!G314="","",[2]道具信息!G314)</f>
        <v>1</v>
      </c>
      <c r="H314" s="8">
        <f>IF([2]道具信息!H314="","",[2]道具信息!H314)</f>
        <v>0.6</v>
      </c>
      <c r="I314" s="8">
        <f>IF([2]道具信息!I314="","",[2]道具信息!I314)</f>
        <v>60</v>
      </c>
      <c r="J314" s="8">
        <f>IF([2]道具信息!J314="","",[2]道具信息!J314)</f>
        <v>50</v>
      </c>
      <c r="K314" s="8">
        <f>IF([2]道具信息!K314="","",[2]道具信息!K314)</f>
        <v>30</v>
      </c>
      <c r="L314" s="8" t="str">
        <f>IF([2]道具信息!L314="","",[2]道具信息!L314)</f>
        <v>使用后任意队列加速1小时</v>
      </c>
      <c r="M314" s="8" t="str">
        <f>IF([2]道具信息!M314="","",[2]道具信息!M314)</f>
        <v/>
      </c>
      <c r="N314" s="8" t="str">
        <f>IF([2]道具信息!N314="","",[2]道具信息!N314)</f>
        <v/>
      </c>
      <c r="O314" s="8" t="str">
        <f>IF([2]道具信息!O314="","",[2]道具信息!O314)</f>
        <v/>
      </c>
      <c r="P314" s="8" t="str">
        <f>IF([2]道具信息!P314="","",[2]道具信息!P314)</f>
        <v/>
      </c>
      <c r="Q314" s="8" t="str">
        <f>IF([2]道具信息!Q314="","",[2]道具信息!Q314)</f>
        <v/>
      </c>
      <c r="R314" s="8" t="str">
        <f>IF([2]道具信息!R314="","",[2]道具信息!R314)</f>
        <v/>
      </c>
    </row>
    <row r="315" spans="3:18" x14ac:dyDescent="0.2">
      <c r="C315" s="8">
        <f>IF([2]道具信息!C315="","",[2]道具信息!C315)</f>
        <v>21129</v>
      </c>
      <c r="D315" s="8" t="str">
        <f>IF([2]道具信息!D315="","",[2]道具信息!D315)</f>
        <v>通用3小时加速令</v>
      </c>
      <c r="E315" s="8">
        <f>IF([2]道具信息!E315="","",[2]道具信息!E315)</f>
        <v>100</v>
      </c>
      <c r="F315" s="8">
        <f>IF([2]道具信息!F315="","",[2]道具信息!F315)</f>
        <v>1.8</v>
      </c>
      <c r="G315" s="8">
        <f>IF([2]道具信息!G315="","",[2]道具信息!G315)</f>
        <v>1</v>
      </c>
      <c r="H315" s="8">
        <f>IF([2]道具信息!H315="","",[2]道具信息!H315)</f>
        <v>0.8</v>
      </c>
      <c r="I315" s="8">
        <f>IF([2]道具信息!I315="","",[2]道具信息!I315)</f>
        <v>180</v>
      </c>
      <c r="J315" s="8">
        <f>IF([2]道具信息!J315="","",[2]道具信息!J315)</f>
        <v>100</v>
      </c>
      <c r="K315" s="8">
        <f>IF([2]道具信息!K315="","",[2]道具信息!K315)</f>
        <v>80</v>
      </c>
      <c r="L315" s="8" t="str">
        <f>IF([2]道具信息!L315="","",[2]道具信息!L315)</f>
        <v>使用后任意队列加速3小时</v>
      </c>
      <c r="M315" s="8" t="str">
        <f>IF([2]道具信息!M315="","",[2]道具信息!M315)</f>
        <v/>
      </c>
      <c r="N315" s="8" t="str">
        <f>IF([2]道具信息!N315="","",[2]道具信息!N315)</f>
        <v/>
      </c>
      <c r="O315" s="8" t="str">
        <f>IF([2]道具信息!O315="","",[2]道具信息!O315)</f>
        <v/>
      </c>
      <c r="P315" s="8" t="str">
        <f>IF([2]道具信息!P315="","",[2]道具信息!P315)</f>
        <v/>
      </c>
      <c r="Q315" s="8" t="str">
        <f>IF([2]道具信息!Q315="","",[2]道具信息!Q315)</f>
        <v/>
      </c>
      <c r="R315" s="8" t="str">
        <f>IF([2]道具信息!R315="","",[2]道具信息!R315)</f>
        <v/>
      </c>
    </row>
    <row r="316" spans="3:18" x14ac:dyDescent="0.2">
      <c r="C316" s="8">
        <f>IF([2]道具信息!C316="","",[2]道具信息!C316)</f>
        <v>21138</v>
      </c>
      <c r="D316" s="8" t="str">
        <f>IF([2]道具信息!D316="","",[2]道具信息!D316)</f>
        <v>通用8小时加速令</v>
      </c>
      <c r="E316" s="8">
        <f>IF([2]道具信息!E316="","",[2]道具信息!E316)</f>
        <v>160</v>
      </c>
      <c r="F316" s="8">
        <f>IF([2]道具信息!F316="","",[2]道具信息!F316)</f>
        <v>3</v>
      </c>
      <c r="G316" s="8">
        <f>IF([2]道具信息!G316="","",[2]道具信息!G316)</f>
        <v>1</v>
      </c>
      <c r="H316" s="8">
        <f>IF([2]道具信息!H316="","",[2]道具信息!H316)</f>
        <v>1</v>
      </c>
      <c r="I316" s="8">
        <f>IF([2]道具信息!I316="","",[2]道具信息!I316)</f>
        <v>480</v>
      </c>
      <c r="J316" s="8">
        <f>IF([2]道具信息!J316="","",[2]道具信息!J316)</f>
        <v>160</v>
      </c>
      <c r="K316" s="8">
        <f>IF([2]道具信息!K316="","",[2]道具信息!K316)</f>
        <v>160</v>
      </c>
      <c r="L316" s="8" t="str">
        <f>IF([2]道具信息!L316="","",[2]道具信息!L316)</f>
        <v>使用后任意队列加速8小时</v>
      </c>
      <c r="M316" s="8" t="str">
        <f>IF([2]道具信息!M316="","",[2]道具信息!M316)</f>
        <v/>
      </c>
      <c r="N316" s="8" t="str">
        <f>IF([2]道具信息!N316="","",[2]道具信息!N316)</f>
        <v/>
      </c>
      <c r="O316" s="8" t="str">
        <f>IF([2]道具信息!O316="","",[2]道具信息!O316)</f>
        <v/>
      </c>
      <c r="P316" s="8" t="str">
        <f>IF([2]道具信息!P316="","",[2]道具信息!P316)</f>
        <v/>
      </c>
      <c r="Q316" s="8" t="str">
        <f>IF([2]道具信息!Q316="","",[2]道具信息!Q316)</f>
        <v/>
      </c>
      <c r="R316" s="8" t="str">
        <f>IF([2]道具信息!R316="","",[2]道具信息!R316)</f>
        <v/>
      </c>
    </row>
    <row r="317" spans="3:18" x14ac:dyDescent="0.2">
      <c r="C317" s="8" t="str">
        <f>IF([2]道具信息!C317="","",[2]道具信息!C317)</f>
        <v/>
      </c>
      <c r="D317" s="8" t="str">
        <f>IF([2]道具信息!D317="","",[2]道具信息!D317)</f>
        <v/>
      </c>
      <c r="E317" s="8" t="str">
        <f>IF([2]道具信息!E317="","",[2]道具信息!E317)</f>
        <v/>
      </c>
      <c r="F317" s="8" t="str">
        <f>IF([2]道具信息!F317="","",[2]道具信息!F317)</f>
        <v/>
      </c>
      <c r="G317" s="8" t="str">
        <f>IF([2]道具信息!G317="","",[2]道具信息!G317)</f>
        <v/>
      </c>
      <c r="H317" s="8" t="str">
        <f>IF([2]道具信息!H317="","",[2]道具信息!H317)</f>
        <v/>
      </c>
      <c r="I317" s="8" t="str">
        <f>IF([2]道具信息!I317="","",[2]道具信息!I317)</f>
        <v/>
      </c>
      <c r="J317" s="8" t="str">
        <f>IF([2]道具信息!J317="","",[2]道具信息!J317)</f>
        <v/>
      </c>
      <c r="K317" s="8" t="str">
        <f>IF([2]道具信息!K317="","",[2]道具信息!K317)</f>
        <v/>
      </c>
      <c r="L317" s="8" t="str">
        <f>IF([2]道具信息!L317="","",[2]道具信息!L317)</f>
        <v/>
      </c>
      <c r="M317" s="8" t="str">
        <f>IF([2]道具信息!M317="","",[2]道具信息!M317)</f>
        <v/>
      </c>
      <c r="N317" s="8" t="str">
        <f>IF([2]道具信息!N317="","",[2]道具信息!N317)</f>
        <v/>
      </c>
      <c r="O317" s="8" t="str">
        <f>IF([2]道具信息!O317="","",[2]道具信息!O317)</f>
        <v/>
      </c>
      <c r="P317" s="8" t="str">
        <f>IF([2]道具信息!P317="","",[2]道具信息!P317)</f>
        <v/>
      </c>
      <c r="Q317" s="8" t="str">
        <f>IF([2]道具信息!Q317="","",[2]道具信息!Q317)</f>
        <v/>
      </c>
      <c r="R317" s="8" t="str">
        <f>IF([2]道具信息!R317="","",[2]道具信息!R317)</f>
        <v/>
      </c>
    </row>
    <row r="318" spans="3:18" x14ac:dyDescent="0.2">
      <c r="C318" s="8" t="str">
        <f>IF([2]道具信息!C318="","",[2]道具信息!C318)</f>
        <v/>
      </c>
      <c r="D318" s="8" t="str">
        <f>IF([2]道具信息!D318="","",[2]道具信息!D318)</f>
        <v/>
      </c>
      <c r="E318" s="8" t="str">
        <f>IF([2]道具信息!E318="","",[2]道具信息!E318)</f>
        <v/>
      </c>
      <c r="F318" s="8" t="str">
        <f>IF([2]道具信息!F318="","",[2]道具信息!F318)</f>
        <v/>
      </c>
      <c r="G318" s="8" t="str">
        <f>IF([2]道具信息!G318="","",[2]道具信息!G318)</f>
        <v/>
      </c>
      <c r="H318" s="8" t="str">
        <f>IF([2]道具信息!H318="","",[2]道具信息!H318)</f>
        <v/>
      </c>
      <c r="I318" s="8" t="str">
        <f>IF([2]道具信息!I318="","",[2]道具信息!I318)</f>
        <v/>
      </c>
      <c r="J318" s="8" t="str">
        <f>IF([2]道具信息!J318="","",[2]道具信息!J318)</f>
        <v/>
      </c>
      <c r="K318" s="8" t="str">
        <f>IF([2]道具信息!K318="","",[2]道具信息!K318)</f>
        <v/>
      </c>
      <c r="L318" s="8" t="str">
        <f>IF([2]道具信息!L318="","",[2]道具信息!L318)</f>
        <v/>
      </c>
      <c r="M318" s="8" t="str">
        <f>IF([2]道具信息!M318="","",[2]道具信息!M318)</f>
        <v/>
      </c>
      <c r="N318" s="8" t="str">
        <f>IF([2]道具信息!N318="","",[2]道具信息!N318)</f>
        <v/>
      </c>
      <c r="O318" s="8" t="str">
        <f>IF([2]道具信息!O318="","",[2]道具信息!O318)</f>
        <v/>
      </c>
      <c r="P318" s="8" t="str">
        <f>IF([2]道具信息!P318="","",[2]道具信息!P318)</f>
        <v/>
      </c>
      <c r="Q318" s="8" t="str">
        <f>IF([2]道具信息!Q318="","",[2]道具信息!Q318)</f>
        <v/>
      </c>
      <c r="R318" s="8" t="str">
        <f>IF([2]道具信息!R318="","",[2]道具信息!R318)</f>
        <v/>
      </c>
    </row>
    <row r="319" spans="3:18" x14ac:dyDescent="0.2">
      <c r="C319" s="8">
        <f>IF([2]道具信息!C319="","",[2]道具信息!C319)</f>
        <v>21150</v>
      </c>
      <c r="D319" s="8" t="str">
        <f>IF([2]道具信息!D319="","",[2]道具信息!D319)</f>
        <v>初级装备淬炼</v>
      </c>
      <c r="E319" s="8">
        <f>IF([2]道具信息!E319="","",[2]道具信息!E319)</f>
        <v>10</v>
      </c>
      <c r="F319" s="8">
        <f>IF([2]道具信息!F319="","",[2]道具信息!F319)</f>
        <v>1</v>
      </c>
      <c r="G319" s="8">
        <f>IF([2]道具信息!G319="","",[2]道具信息!G319)</f>
        <v>1</v>
      </c>
      <c r="H319" s="8">
        <f>IF([2]道具信息!H319="","",[2]道具信息!H319)</f>
        <v>0.3</v>
      </c>
      <c r="I319" s="8">
        <f>IF([2]道具信息!I319="","",[2]道具信息!I319)</f>
        <v>10</v>
      </c>
      <c r="J319" s="8">
        <f>IF([2]道具信息!J319="","",[2]道具信息!J319)</f>
        <v>10</v>
      </c>
      <c r="K319" s="8">
        <f>IF([2]道具信息!K319="","",[2]道具信息!K319)</f>
        <v>3</v>
      </c>
      <c r="L319" s="8" t="str">
        <f>IF([2]道具信息!L319="","",[2]道具信息!L319)</f>
        <v>装备使用后获得10经验</v>
      </c>
      <c r="M319" s="8" t="str">
        <f>IF([2]道具信息!M319="","",[2]道具信息!M319)</f>
        <v/>
      </c>
      <c r="N319" s="8" t="str">
        <f>IF([2]道具信息!N319="","",[2]道具信息!N319)</f>
        <v/>
      </c>
      <c r="O319" s="8" t="str">
        <f>IF([2]道具信息!O319="","",[2]道具信息!O319)</f>
        <v/>
      </c>
      <c r="P319" s="8" t="str">
        <f>IF([2]道具信息!P319="","",[2]道具信息!P319)</f>
        <v/>
      </c>
      <c r="Q319" s="8" t="str">
        <f>IF([2]道具信息!Q319="","",[2]道具信息!Q319)</f>
        <v/>
      </c>
      <c r="R319" s="8" t="str">
        <f>IF([2]道具信息!R319="","",[2]道具信息!R319)</f>
        <v/>
      </c>
    </row>
    <row r="320" spans="3:18" x14ac:dyDescent="0.2">
      <c r="C320" s="8">
        <f>IF([2]道具信息!C320="","",[2]道具信息!C320)</f>
        <v>21151</v>
      </c>
      <c r="D320" s="8" t="str">
        <f>IF([2]道具信息!D320="","",[2]道具信息!D320)</f>
        <v>中级装备淬炼</v>
      </c>
      <c r="E320" s="8">
        <f>IF([2]道具信息!E320="","",[2]道具信息!E320)</f>
        <v>20</v>
      </c>
      <c r="F320" s="8">
        <f>IF([2]道具信息!F320="","",[2]道具信息!F320)</f>
        <v>1</v>
      </c>
      <c r="G320" s="8">
        <f>IF([2]道具信息!G320="","",[2]道具信息!G320)</f>
        <v>1</v>
      </c>
      <c r="H320" s="8">
        <f>IF([2]道具信息!H320="","",[2]道具信息!H320)</f>
        <v>0.3</v>
      </c>
      <c r="I320" s="8">
        <f>IF([2]道具信息!I320="","",[2]道具信息!I320)</f>
        <v>20</v>
      </c>
      <c r="J320" s="8">
        <f>IF([2]道具信息!J320="","",[2]道具信息!J320)</f>
        <v>20</v>
      </c>
      <c r="K320" s="8">
        <f>IF([2]道具信息!K320="","",[2]道具信息!K320)</f>
        <v>6</v>
      </c>
      <c r="L320" s="8" t="str">
        <f>IF([2]道具信息!L320="","",[2]道具信息!L320)</f>
        <v>装备使用后获得20经验</v>
      </c>
      <c r="M320" s="8" t="str">
        <f>IF([2]道具信息!M320="","",[2]道具信息!M320)</f>
        <v/>
      </c>
      <c r="N320" s="8" t="str">
        <f>IF([2]道具信息!N320="","",[2]道具信息!N320)</f>
        <v/>
      </c>
      <c r="O320" s="8" t="str">
        <f>IF([2]道具信息!O320="","",[2]道具信息!O320)</f>
        <v/>
      </c>
      <c r="P320" s="8" t="str">
        <f>IF([2]道具信息!P320="","",[2]道具信息!P320)</f>
        <v/>
      </c>
      <c r="Q320" s="8" t="str">
        <f>IF([2]道具信息!Q320="","",[2]道具信息!Q320)</f>
        <v/>
      </c>
      <c r="R320" s="8" t="str">
        <f>IF([2]道具信息!R320="","",[2]道具信息!R320)</f>
        <v/>
      </c>
    </row>
    <row r="321" spans="3:18" x14ac:dyDescent="0.2">
      <c r="C321" s="8">
        <f>IF([2]道具信息!C321="","",[2]道具信息!C321)</f>
        <v>21152</v>
      </c>
      <c r="D321" s="8" t="str">
        <f>IF([2]道具信息!D321="","",[2]道具信息!D321)</f>
        <v>高级装备淬炼</v>
      </c>
      <c r="E321" s="8">
        <f>IF([2]道具信息!E321="","",[2]道具信息!E321)</f>
        <v>40</v>
      </c>
      <c r="F321" s="8">
        <f>IF([2]道具信息!F321="","",[2]道具信息!F321)</f>
        <v>1</v>
      </c>
      <c r="G321" s="8">
        <f>IF([2]道具信息!G321="","",[2]道具信息!G321)</f>
        <v>1</v>
      </c>
      <c r="H321" s="8">
        <f>IF([2]道具信息!H321="","",[2]道具信息!H321)</f>
        <v>0.3</v>
      </c>
      <c r="I321" s="8">
        <f>IF([2]道具信息!I321="","",[2]道具信息!I321)</f>
        <v>40</v>
      </c>
      <c r="J321" s="8">
        <f>IF([2]道具信息!J321="","",[2]道具信息!J321)</f>
        <v>40</v>
      </c>
      <c r="K321" s="8">
        <f>IF([2]道具信息!K321="","",[2]道具信息!K321)</f>
        <v>12</v>
      </c>
      <c r="L321" s="8" t="str">
        <f>IF([2]道具信息!L321="","",[2]道具信息!L321)</f>
        <v>装备使用后获得40经验</v>
      </c>
      <c r="M321" s="8" t="str">
        <f>IF([2]道具信息!M321="","",[2]道具信息!M321)</f>
        <v/>
      </c>
      <c r="N321" s="8" t="str">
        <f>IF([2]道具信息!N321="","",[2]道具信息!N321)</f>
        <v/>
      </c>
      <c r="O321" s="8" t="str">
        <f>IF([2]道具信息!O321="","",[2]道具信息!O321)</f>
        <v/>
      </c>
      <c r="P321" s="8" t="str">
        <f>IF([2]道具信息!P321="","",[2]道具信息!P321)</f>
        <v/>
      </c>
      <c r="Q321" s="8" t="str">
        <f>IF([2]道具信息!Q321="","",[2]道具信息!Q321)</f>
        <v/>
      </c>
      <c r="R321" s="8" t="str">
        <f>IF([2]道具信息!R321="","",[2]道具信息!R321)</f>
        <v/>
      </c>
    </row>
    <row r="322" spans="3:18" x14ac:dyDescent="0.2">
      <c r="C322" s="8">
        <f>IF([2]道具信息!C322="","",[2]道具信息!C322)</f>
        <v>21153</v>
      </c>
      <c r="D322" s="8" t="str">
        <f>IF([2]道具信息!D322="","",[2]道具信息!D322)</f>
        <v>特级装备淬炼</v>
      </c>
      <c r="E322" s="8">
        <f>IF([2]道具信息!E322="","",[2]道具信息!E322)</f>
        <v>75</v>
      </c>
      <c r="F322" s="8">
        <f>IF([2]道具信息!F322="","",[2]道具信息!F322)</f>
        <v>1.25</v>
      </c>
      <c r="G322" s="8">
        <f>IF([2]道具信息!G322="","",[2]道具信息!G322)</f>
        <v>1</v>
      </c>
      <c r="H322" s="8">
        <f>IF([2]道具信息!H322="","",[2]道具信息!H322)</f>
        <v>0.3</v>
      </c>
      <c r="I322" s="8">
        <f>IF([2]道具信息!I322="","",[2]道具信息!I322)</f>
        <v>93.75</v>
      </c>
      <c r="J322" s="8">
        <f>IF([2]道具信息!J322="","",[2]道具信息!J322)</f>
        <v>75</v>
      </c>
      <c r="K322" s="8">
        <f>IF([2]道具信息!K322="","",[2]道具信息!K322)</f>
        <v>22.5</v>
      </c>
      <c r="L322" s="8" t="str">
        <f>IF([2]道具信息!L322="","",[2]道具信息!L322)</f>
        <v>装备使用后获得75经验</v>
      </c>
      <c r="M322" s="8" t="str">
        <f>IF([2]道具信息!M322="","",[2]道具信息!M322)</f>
        <v/>
      </c>
      <c r="N322" s="8" t="str">
        <f>IF([2]道具信息!N322="","",[2]道具信息!N322)</f>
        <v/>
      </c>
      <c r="O322" s="8" t="str">
        <f>IF([2]道具信息!O322="","",[2]道具信息!O322)</f>
        <v/>
      </c>
      <c r="P322" s="8" t="str">
        <f>IF([2]道具信息!P322="","",[2]道具信息!P322)</f>
        <v/>
      </c>
      <c r="Q322" s="8" t="str">
        <f>IF([2]道具信息!Q322="","",[2]道具信息!Q322)</f>
        <v/>
      </c>
      <c r="R322" s="8" t="str">
        <f>IF([2]道具信息!R322="","",[2]道具信息!R322)</f>
        <v/>
      </c>
    </row>
    <row r="323" spans="3:18" x14ac:dyDescent="0.2">
      <c r="C323" s="8">
        <f>IF([2]道具信息!C323="","",[2]道具信息!C323)</f>
        <v>21154</v>
      </c>
      <c r="D323" s="8" t="str">
        <f>IF([2]道具信息!D323="","",[2]道具信息!D323)</f>
        <v>超级装备淬炼</v>
      </c>
      <c r="E323" s="8">
        <f>IF([2]道具信息!E323="","",[2]道具信息!E323)</f>
        <v>150</v>
      </c>
      <c r="F323" s="8">
        <f>IF([2]道具信息!F323="","",[2]道具信息!F323)</f>
        <v>1.5</v>
      </c>
      <c r="G323" s="8">
        <f>IF([2]道具信息!G323="","",[2]道具信息!G323)</f>
        <v>1</v>
      </c>
      <c r="H323" s="8">
        <f>IF([2]道具信息!H323="","",[2]道具信息!H323)</f>
        <v>0.3</v>
      </c>
      <c r="I323" s="8">
        <f>IF([2]道具信息!I323="","",[2]道具信息!I323)</f>
        <v>225</v>
      </c>
      <c r="J323" s="8">
        <f>IF([2]道具信息!J323="","",[2]道具信息!J323)</f>
        <v>150</v>
      </c>
      <c r="K323" s="8">
        <f>IF([2]道具信息!K323="","",[2]道具信息!K323)</f>
        <v>45</v>
      </c>
      <c r="L323" s="8" t="str">
        <f>IF([2]道具信息!L323="","",[2]道具信息!L323)</f>
        <v>装备使用后获得150经验</v>
      </c>
      <c r="M323" s="8" t="str">
        <f>IF([2]道具信息!M323="","",[2]道具信息!M323)</f>
        <v/>
      </c>
      <c r="N323" s="8" t="str">
        <f>IF([2]道具信息!N323="","",[2]道具信息!N323)</f>
        <v/>
      </c>
      <c r="O323" s="8" t="str">
        <f>IF([2]道具信息!O323="","",[2]道具信息!O323)</f>
        <v/>
      </c>
      <c r="P323" s="8" t="str">
        <f>IF([2]道具信息!P323="","",[2]道具信息!P323)</f>
        <v/>
      </c>
      <c r="Q323" s="8" t="str">
        <f>IF([2]道具信息!Q323="","",[2]道具信息!Q323)</f>
        <v/>
      </c>
      <c r="R323" s="8" t="str">
        <f>IF([2]道具信息!R323="","",[2]道具信息!R323)</f>
        <v/>
      </c>
    </row>
    <row r="324" spans="3:18" x14ac:dyDescent="0.2">
      <c r="C324" s="8" t="str">
        <f>IF([2]道具信息!C324="","",[2]道具信息!C324)</f>
        <v/>
      </c>
      <c r="D324" s="8" t="str">
        <f>IF([2]道具信息!D324="","",[2]道具信息!D324)</f>
        <v/>
      </c>
      <c r="E324" s="8" t="str">
        <f>IF([2]道具信息!E324="","",[2]道具信息!E324)</f>
        <v/>
      </c>
      <c r="F324" s="8" t="str">
        <f>IF([2]道具信息!F324="","",[2]道具信息!F324)</f>
        <v/>
      </c>
      <c r="G324" s="8" t="str">
        <f>IF([2]道具信息!G324="","",[2]道具信息!G324)</f>
        <v/>
      </c>
      <c r="H324" s="8" t="str">
        <f>IF([2]道具信息!H324="","",[2]道具信息!H324)</f>
        <v/>
      </c>
      <c r="I324" s="8" t="str">
        <f>IF([2]道具信息!I324="","",[2]道具信息!I324)</f>
        <v/>
      </c>
      <c r="J324" s="8" t="str">
        <f>IF([2]道具信息!J324="","",[2]道具信息!J324)</f>
        <v/>
      </c>
      <c r="K324" s="8" t="str">
        <f>IF([2]道具信息!K324="","",[2]道具信息!K324)</f>
        <v/>
      </c>
      <c r="L324" s="8" t="str">
        <f>IF([2]道具信息!L324="","",[2]道具信息!L324)</f>
        <v/>
      </c>
      <c r="M324" s="8" t="str">
        <f>IF([2]道具信息!M324="","",[2]道具信息!M324)</f>
        <v/>
      </c>
      <c r="N324" s="8" t="str">
        <f>IF([2]道具信息!N324="","",[2]道具信息!N324)</f>
        <v/>
      </c>
      <c r="O324" s="8" t="str">
        <f>IF([2]道具信息!O324="","",[2]道具信息!O324)</f>
        <v/>
      </c>
      <c r="P324" s="8" t="str">
        <f>IF([2]道具信息!P324="","",[2]道具信息!P324)</f>
        <v/>
      </c>
      <c r="Q324" s="8" t="str">
        <f>IF([2]道具信息!Q324="","",[2]道具信息!Q324)</f>
        <v/>
      </c>
      <c r="R324" s="8" t="str">
        <f>IF([2]道具信息!R324="","",[2]道具信息!R324)</f>
        <v/>
      </c>
    </row>
    <row r="325" spans="3:18" x14ac:dyDescent="0.2">
      <c r="C325" s="8">
        <f>IF([2]道具信息!C325="","",[2]道具信息!C325)</f>
        <v>21500</v>
      </c>
      <c r="D325" s="8" t="str">
        <f>IF([2]道具信息!D325="","",[2]道具信息!D325)</f>
        <v>随机迁城令</v>
      </c>
      <c r="E325" s="8">
        <f>IF([2]道具信息!E325="","",[2]道具信息!E325)</f>
        <v>100</v>
      </c>
      <c r="F325" s="8">
        <f>IF([2]道具信息!F325="","",[2]道具信息!F325)</f>
        <v>1</v>
      </c>
      <c r="G325" s="8">
        <f>IF([2]道具信息!G325="","",[2]道具信息!G325)</f>
        <v>1</v>
      </c>
      <c r="H325" s="8">
        <f>IF([2]道具信息!H325="","",[2]道具信息!H325)</f>
        <v>1</v>
      </c>
      <c r="I325" s="8">
        <f>IF([2]道具信息!I325="","",[2]道具信息!I325)</f>
        <v>100</v>
      </c>
      <c r="J325" s="8">
        <f>IF([2]道具信息!J325="","",[2]道具信息!J325)</f>
        <v>100</v>
      </c>
      <c r="K325" s="8">
        <f>IF([2]道具信息!K325="","",[2]道具信息!K325)</f>
        <v>100</v>
      </c>
      <c r="L325" s="8" t="str">
        <f>IF([2]道具信息!L325="","",[2]道具信息!L325)</f>
        <v>使用后城池迁移到随机位置</v>
      </c>
      <c r="M325" s="8" t="str">
        <f>IF([2]道具信息!M325="","",[2]道具信息!M325)</f>
        <v/>
      </c>
      <c r="N325" s="8" t="str">
        <f>IF([2]道具信息!N325="","",[2]道具信息!N325)</f>
        <v/>
      </c>
      <c r="O325" s="8" t="str">
        <f>IF([2]道具信息!O325="","",[2]道具信息!O325)</f>
        <v/>
      </c>
      <c r="P325" s="8" t="str">
        <f>IF([2]道具信息!P325="","",[2]道具信息!P325)</f>
        <v/>
      </c>
      <c r="Q325" s="8" t="str">
        <f>IF([2]道具信息!Q325="","",[2]道具信息!Q325)</f>
        <v/>
      </c>
      <c r="R325" s="8" t="str">
        <f>IF([2]道具信息!R325="","",[2]道具信息!R325)</f>
        <v/>
      </c>
    </row>
    <row r="326" spans="3:18" x14ac:dyDescent="0.2">
      <c r="C326" s="8">
        <f>IF([2]道具信息!C326="","",[2]道具信息!C326)</f>
        <v>21501</v>
      </c>
      <c r="D326" s="8" t="str">
        <f>IF([2]道具信息!D326="","",[2]道具信息!D326)</f>
        <v>九州迁城令</v>
      </c>
      <c r="E326" s="8">
        <f>IF([2]道具信息!E326="","",[2]道具信息!E326)</f>
        <v>300</v>
      </c>
      <c r="F326" s="8">
        <f>IF([2]道具信息!F326="","",[2]道具信息!F326)</f>
        <v>1</v>
      </c>
      <c r="G326" s="8">
        <f>IF([2]道具信息!G326="","",[2]道具信息!G326)</f>
        <v>1</v>
      </c>
      <c r="H326" s="8">
        <f>IF([2]道具信息!H326="","",[2]道具信息!H326)</f>
        <v>1</v>
      </c>
      <c r="I326" s="8">
        <f>IF([2]道具信息!I326="","",[2]道具信息!I326)</f>
        <v>300</v>
      </c>
      <c r="J326" s="8">
        <f>IF([2]道具信息!J326="","",[2]道具信息!J326)</f>
        <v>300</v>
      </c>
      <c r="K326" s="8">
        <f>IF([2]道具信息!K326="","",[2]道具信息!K326)</f>
        <v>300</v>
      </c>
      <c r="L326" s="8" t="str">
        <f>IF([2]道具信息!L326="","",[2]道具信息!L326)</f>
        <v>使用后城池迁移到指定位置</v>
      </c>
      <c r="M326" s="8" t="str">
        <f>IF([2]道具信息!M326="","",[2]道具信息!M326)</f>
        <v/>
      </c>
      <c r="N326" s="8" t="str">
        <f>IF([2]道具信息!N326="","",[2]道具信息!N326)</f>
        <v/>
      </c>
      <c r="O326" s="8" t="str">
        <f>IF([2]道具信息!O326="","",[2]道具信息!O326)</f>
        <v/>
      </c>
      <c r="P326" s="8" t="str">
        <f>IF([2]道具信息!P326="","",[2]道具信息!P326)</f>
        <v/>
      </c>
      <c r="Q326" s="8" t="str">
        <f>IF([2]道具信息!Q326="","",[2]道具信息!Q326)</f>
        <v/>
      </c>
      <c r="R326" s="8" t="str">
        <f>IF([2]道具信息!R326="","",[2]道具信息!R326)</f>
        <v/>
      </c>
    </row>
    <row r="327" spans="3:18" x14ac:dyDescent="0.2">
      <c r="C327" s="8">
        <f>IF([2]道具信息!C327="","",[2]道具信息!C327)</f>
        <v>21504</v>
      </c>
      <c r="D327" s="8" t="str">
        <f>IF([2]道具信息!D327="","",[2]道具信息!D327)</f>
        <v>国内迁城令</v>
      </c>
      <c r="E327" s="8">
        <f>IF([2]道具信息!E327="","",[2]道具信息!E327)</f>
        <v>100</v>
      </c>
      <c r="F327" s="8">
        <f>IF([2]道具信息!F327="","",[2]道具信息!F327)</f>
        <v>1</v>
      </c>
      <c r="G327" s="8">
        <f>IF([2]道具信息!G327="","",[2]道具信息!G327)</f>
        <v>1</v>
      </c>
      <c r="H327" s="8">
        <f>IF([2]道具信息!H327="","",[2]道具信息!H327)</f>
        <v>1</v>
      </c>
      <c r="I327" s="8">
        <f>IF([2]道具信息!I327="","",[2]道具信息!I327)</f>
        <v>100</v>
      </c>
      <c r="J327" s="8">
        <f>IF([2]道具信息!J327="","",[2]道具信息!J327)</f>
        <v>100</v>
      </c>
      <c r="K327" s="8">
        <f>IF([2]道具信息!K327="","",[2]道具信息!K327)</f>
        <v>100</v>
      </c>
      <c r="L327" s="8" t="str">
        <f>IF([2]道具信息!L327="","",[2]道具信息!L327)</f>
        <v>使用后城池迁移到国内指定位置</v>
      </c>
      <c r="M327" s="8" t="str">
        <f>IF([2]道具信息!M327="","",[2]道具信息!M327)</f>
        <v/>
      </c>
      <c r="N327" s="8" t="str">
        <f>IF([2]道具信息!N327="","",[2]道具信息!N327)</f>
        <v/>
      </c>
      <c r="O327" s="8" t="str">
        <f>IF([2]道具信息!O327="","",[2]道具信息!O327)</f>
        <v/>
      </c>
      <c r="P327" s="8" t="str">
        <f>IF([2]道具信息!P327="","",[2]道具信息!P327)</f>
        <v/>
      </c>
      <c r="Q327" s="8" t="str">
        <f>IF([2]道具信息!Q327="","",[2]道具信息!Q327)</f>
        <v/>
      </c>
      <c r="R327" s="8" t="str">
        <f>IF([2]道具信息!R327="","",[2]道具信息!R327)</f>
        <v/>
      </c>
    </row>
    <row r="328" spans="3:18" x14ac:dyDescent="0.2">
      <c r="C328" s="8">
        <f>IF([2]道具信息!C328="","",[2]道具信息!C328)</f>
        <v>21502</v>
      </c>
      <c r="D328" s="8" t="str">
        <f>IF([2]道具信息!D328="","",[2]道具信息!D328)</f>
        <v>校武牌</v>
      </c>
      <c r="E328" s="8">
        <f>IF([2]道具信息!E328="","",[2]道具信息!E328)</f>
        <v>20</v>
      </c>
      <c r="F328" s="8">
        <f>IF([2]道具信息!F328="","",[2]道具信息!F328)</f>
        <v>1</v>
      </c>
      <c r="G328" s="8">
        <f>IF([2]道具信息!G328="","",[2]道具信息!G328)</f>
        <v>1</v>
      </c>
      <c r="H328" s="8">
        <f>IF([2]道具信息!H328="","",[2]道具信息!H328)</f>
        <v>1</v>
      </c>
      <c r="I328" s="8">
        <f>IF([2]道具信息!I328="","",[2]道具信息!I328)</f>
        <v>20</v>
      </c>
      <c r="J328" s="8">
        <f>IF([2]道具信息!J328="","",[2]道具信息!J328)</f>
        <v>20</v>
      </c>
      <c r="K328" s="8">
        <f>IF([2]道具信息!K328="","",[2]道具信息!K328)</f>
        <v>20</v>
      </c>
      <c r="L328" s="8" t="str">
        <f>IF([2]道具信息!L328="","",[2]道具信息!L328)</f>
        <v>使用后增加1次校场挑战机会</v>
      </c>
      <c r="M328" s="8" t="str">
        <f>IF([2]道具信息!M328="","",[2]道具信息!M328)</f>
        <v/>
      </c>
      <c r="N328" s="8" t="str">
        <f>IF([2]道具信息!N328="","",[2]道具信息!N328)</f>
        <v/>
      </c>
      <c r="O328" s="8" t="str">
        <f>IF([2]道具信息!O328="","",[2]道具信息!O328)</f>
        <v/>
      </c>
      <c r="P328" s="8" t="str">
        <f>IF([2]道具信息!P328="","",[2]道具信息!P328)</f>
        <v/>
      </c>
      <c r="Q328" s="8" t="str">
        <f>IF([2]道具信息!Q328="","",[2]道具信息!Q328)</f>
        <v/>
      </c>
      <c r="R328" s="8" t="str">
        <f>IF([2]道具信息!R328="","",[2]道具信息!R328)</f>
        <v/>
      </c>
    </row>
    <row r="329" spans="3:18" x14ac:dyDescent="0.2">
      <c r="C329" s="8">
        <f>IF([2]道具信息!C329="","",[2]道具信息!C329)</f>
        <v>21503</v>
      </c>
      <c r="D329" s="8" t="str">
        <f>IF([2]道具信息!D329="","",[2]道具信息!D329)</f>
        <v>复仇令</v>
      </c>
      <c r="E329" s="8">
        <f>IF([2]道具信息!E329="","",[2]道具信息!E329)</f>
        <v>50</v>
      </c>
      <c r="F329" s="8">
        <f>IF([2]道具信息!F329="","",[2]道具信息!F329)</f>
        <v>1</v>
      </c>
      <c r="G329" s="8">
        <f>IF([2]道具信息!G329="","",[2]道具信息!G329)</f>
        <v>1</v>
      </c>
      <c r="H329" s="8">
        <f>IF([2]道具信息!H329="","",[2]道具信息!H329)</f>
        <v>1</v>
      </c>
      <c r="I329" s="8">
        <f>IF([2]道具信息!I329="","",[2]道具信息!I329)</f>
        <v>50</v>
      </c>
      <c r="J329" s="8">
        <f>IF([2]道具信息!J329="","",[2]道具信息!J329)</f>
        <v>50</v>
      </c>
      <c r="K329" s="8">
        <f>IF([2]道具信息!K329="","",[2]道具信息!K329)</f>
        <v>50</v>
      </c>
      <c r="L329" s="8" t="str">
        <f>IF([2]道具信息!L329="","",[2]道具信息!L329)</f>
        <v>被其他玩家攻击后，可以通过复仇令追查到该玩家城池所在坐标</v>
      </c>
      <c r="M329" s="8" t="str">
        <f>IF([2]道具信息!M329="","",[2]道具信息!M329)</f>
        <v/>
      </c>
      <c r="N329" s="8" t="str">
        <f>IF([2]道具信息!N329="","",[2]道具信息!N329)</f>
        <v/>
      </c>
      <c r="O329" s="8" t="str">
        <f>IF([2]道具信息!O329="","",[2]道具信息!O329)</f>
        <v/>
      </c>
      <c r="P329" s="8" t="str">
        <f>IF([2]道具信息!P329="","",[2]道具信息!P329)</f>
        <v/>
      </c>
      <c r="Q329" s="8" t="str">
        <f>IF([2]道具信息!Q329="","",[2]道具信息!Q329)</f>
        <v/>
      </c>
      <c r="R329" s="8" t="str">
        <f>IF([2]道具信息!R329="","",[2]道具信息!R329)</f>
        <v/>
      </c>
    </row>
    <row r="330" spans="3:18" x14ac:dyDescent="0.2">
      <c r="C330" s="8" t="str">
        <f>IF([2]道具信息!C330="","",[2]道具信息!C330)</f>
        <v/>
      </c>
      <c r="D330" s="8" t="str">
        <f>IF([2]道具信息!D330="","",[2]道具信息!D330)</f>
        <v/>
      </c>
      <c r="E330" s="8" t="str">
        <f>IF([2]道具信息!E330="","",[2]道具信息!E330)</f>
        <v/>
      </c>
      <c r="F330" s="8" t="str">
        <f>IF([2]道具信息!F330="","",[2]道具信息!F330)</f>
        <v/>
      </c>
      <c r="G330" s="8" t="str">
        <f>IF([2]道具信息!G330="","",[2]道具信息!G330)</f>
        <v/>
      </c>
      <c r="H330" s="8" t="str">
        <f>IF([2]道具信息!H330="","",[2]道具信息!H330)</f>
        <v/>
      </c>
      <c r="I330" s="8" t="str">
        <f>IF([2]道具信息!I330="","",[2]道具信息!I330)</f>
        <v/>
      </c>
      <c r="J330" s="8" t="str">
        <f>IF([2]道具信息!J330="","",[2]道具信息!J330)</f>
        <v/>
      </c>
      <c r="K330" s="8" t="str">
        <f>IF([2]道具信息!K330="","",[2]道具信息!K330)</f>
        <v/>
      </c>
      <c r="L330" s="8" t="str">
        <f>IF([2]道具信息!L330="","",[2]道具信息!L330)</f>
        <v/>
      </c>
      <c r="M330" s="8" t="str">
        <f>IF([2]道具信息!M330="","",[2]道具信息!M330)</f>
        <v/>
      </c>
      <c r="N330" s="8" t="str">
        <f>IF([2]道具信息!N330="","",[2]道具信息!N330)</f>
        <v/>
      </c>
      <c r="O330" s="8" t="str">
        <f>IF([2]道具信息!O330="","",[2]道具信息!O330)</f>
        <v/>
      </c>
      <c r="P330" s="8" t="str">
        <f>IF([2]道具信息!P330="","",[2]道具信息!P330)</f>
        <v/>
      </c>
      <c r="Q330" s="8" t="str">
        <f>IF([2]道具信息!Q330="","",[2]道具信息!Q330)</f>
        <v/>
      </c>
      <c r="R330" s="8" t="str">
        <f>IF([2]道具信息!R330="","",[2]道具信息!R330)</f>
        <v/>
      </c>
    </row>
    <row r="331" spans="3:18" x14ac:dyDescent="0.2">
      <c r="C331" s="8">
        <f>IF([2]道具信息!C331="","",[2]道具信息!C331)</f>
        <v>26400</v>
      </c>
      <c r="D331" s="8" t="str">
        <f>IF([2]道具信息!D331="","",[2]道具信息!D331)</f>
        <v>步兵虎符</v>
      </c>
      <c r="E331" s="8">
        <f>IF([2]道具信息!E331="","",[2]道具信息!E331)</f>
        <v>200</v>
      </c>
      <c r="F331" s="8">
        <f>IF([2]道具信息!F331="","",[2]道具信息!F331)</f>
        <v>1</v>
      </c>
      <c r="G331" s="8">
        <f>IF([2]道具信息!G331="","",[2]道具信息!G331)</f>
        <v>1</v>
      </c>
      <c r="H331" s="8">
        <f>IF([2]道具信息!H331="","",[2]道具信息!H331)</f>
        <v>1</v>
      </c>
      <c r="I331" s="8">
        <f>IF([2]道具信息!I331="","",[2]道具信息!I331)</f>
        <v>200</v>
      </c>
      <c r="J331" s="8">
        <f>IF([2]道具信息!J331="","",[2]道具信息!J331)</f>
        <v>200</v>
      </c>
      <c r="K331" s="8">
        <f>IF([2]道具信息!K331="","",[2]道具信息!K331)</f>
        <v>200</v>
      </c>
      <c r="L331" s="8" t="str">
        <f>IF([2]道具信息!L331="","",[2]道具信息!L331)</f>
        <v>使用后立即获得10000步兵新兵</v>
      </c>
      <c r="M331" s="8" t="str">
        <f>IF([2]道具信息!M331="","",[2]道具信息!M331)</f>
        <v/>
      </c>
      <c r="N331" s="8" t="str">
        <f>IF([2]道具信息!N331="","",[2]道具信息!N331)</f>
        <v/>
      </c>
      <c r="O331" s="8" t="str">
        <f>IF([2]道具信息!O331="","",[2]道具信息!O331)</f>
        <v/>
      </c>
      <c r="P331" s="8" t="str">
        <f>IF([2]道具信息!P331="","",[2]道具信息!P331)</f>
        <v/>
      </c>
      <c r="Q331" s="8" t="str">
        <f>IF([2]道具信息!Q331="","",[2]道具信息!Q331)</f>
        <v/>
      </c>
      <c r="R331" s="8" t="str">
        <f>IF([2]道具信息!R331="","",[2]道具信息!R331)</f>
        <v/>
      </c>
    </row>
    <row r="332" spans="3:18" x14ac:dyDescent="0.2">
      <c r="C332" s="8">
        <f>IF([2]道具信息!C332="","",[2]道具信息!C332)</f>
        <v>26401</v>
      </c>
      <c r="D332" s="8" t="str">
        <f>IF([2]道具信息!D332="","",[2]道具信息!D332)</f>
        <v>骑兵虎符</v>
      </c>
      <c r="E332" s="8">
        <f>IF([2]道具信息!E332="","",[2]道具信息!E332)</f>
        <v>200</v>
      </c>
      <c r="F332" s="8">
        <f>IF([2]道具信息!F332="","",[2]道具信息!F332)</f>
        <v>1</v>
      </c>
      <c r="G332" s="8">
        <f>IF([2]道具信息!G332="","",[2]道具信息!G332)</f>
        <v>1</v>
      </c>
      <c r="H332" s="8">
        <f>IF([2]道具信息!H332="","",[2]道具信息!H332)</f>
        <v>1</v>
      </c>
      <c r="I332" s="8">
        <f>IF([2]道具信息!I332="","",[2]道具信息!I332)</f>
        <v>200</v>
      </c>
      <c r="J332" s="8">
        <f>IF([2]道具信息!J332="","",[2]道具信息!J332)</f>
        <v>200</v>
      </c>
      <c r="K332" s="8">
        <f>IF([2]道具信息!K332="","",[2]道具信息!K332)</f>
        <v>200</v>
      </c>
      <c r="L332" s="8" t="str">
        <f>IF([2]道具信息!L332="","",[2]道具信息!L332)</f>
        <v>使用后立即获得10000骑兵新兵</v>
      </c>
      <c r="M332" s="8" t="str">
        <f>IF([2]道具信息!M332="","",[2]道具信息!M332)</f>
        <v/>
      </c>
      <c r="N332" s="8" t="str">
        <f>IF([2]道具信息!N332="","",[2]道具信息!N332)</f>
        <v/>
      </c>
      <c r="O332" s="8" t="str">
        <f>IF([2]道具信息!O332="","",[2]道具信息!O332)</f>
        <v/>
      </c>
      <c r="P332" s="8" t="str">
        <f>IF([2]道具信息!P332="","",[2]道具信息!P332)</f>
        <v/>
      </c>
      <c r="Q332" s="8" t="str">
        <f>IF([2]道具信息!Q332="","",[2]道具信息!Q332)</f>
        <v/>
      </c>
      <c r="R332" s="8" t="str">
        <f>IF([2]道具信息!R332="","",[2]道具信息!R332)</f>
        <v/>
      </c>
    </row>
    <row r="333" spans="3:18" x14ac:dyDescent="0.2">
      <c r="C333" s="8">
        <f>IF([2]道具信息!C333="","",[2]道具信息!C333)</f>
        <v>26402</v>
      </c>
      <c r="D333" s="8" t="str">
        <f>IF([2]道具信息!D333="","",[2]道具信息!D333)</f>
        <v>弓箭虎符</v>
      </c>
      <c r="E333" s="8">
        <f>IF([2]道具信息!E333="","",[2]道具信息!E333)</f>
        <v>200</v>
      </c>
      <c r="F333" s="8">
        <f>IF([2]道具信息!F333="","",[2]道具信息!F333)</f>
        <v>1</v>
      </c>
      <c r="G333" s="8">
        <f>IF([2]道具信息!G333="","",[2]道具信息!G333)</f>
        <v>1</v>
      </c>
      <c r="H333" s="8">
        <f>IF([2]道具信息!H333="","",[2]道具信息!H333)</f>
        <v>1</v>
      </c>
      <c r="I333" s="8">
        <f>IF([2]道具信息!I333="","",[2]道具信息!I333)</f>
        <v>200</v>
      </c>
      <c r="J333" s="8">
        <f>IF([2]道具信息!J333="","",[2]道具信息!J333)</f>
        <v>200</v>
      </c>
      <c r="K333" s="8">
        <f>IF([2]道具信息!K333="","",[2]道具信息!K333)</f>
        <v>200</v>
      </c>
      <c r="L333" s="8" t="str">
        <f>IF([2]道具信息!L333="","",[2]道具信息!L333)</f>
        <v>使用后立即获得10000弓箭新兵</v>
      </c>
      <c r="M333" s="8" t="str">
        <f>IF([2]道具信息!M333="","",[2]道具信息!M333)</f>
        <v/>
      </c>
      <c r="N333" s="8" t="str">
        <f>IF([2]道具信息!N333="","",[2]道具信息!N333)</f>
        <v/>
      </c>
      <c r="O333" s="8" t="str">
        <f>IF([2]道具信息!O333="","",[2]道具信息!O333)</f>
        <v/>
      </c>
      <c r="P333" s="8" t="str">
        <f>IF([2]道具信息!P333="","",[2]道具信息!P333)</f>
        <v/>
      </c>
      <c r="Q333" s="8" t="str">
        <f>IF([2]道具信息!Q333="","",[2]道具信息!Q333)</f>
        <v/>
      </c>
      <c r="R333" s="8" t="str">
        <f>IF([2]道具信息!R333="","",[2]道具信息!R333)</f>
        <v/>
      </c>
    </row>
    <row r="334" spans="3:18" x14ac:dyDescent="0.2">
      <c r="C334" s="8">
        <f>IF([2]道具信息!C334="","",[2]道具信息!C334)</f>
        <v>26403</v>
      </c>
      <c r="D334" s="8" t="str">
        <f>IF([2]道具信息!D334="","",[2]道具信息!D334)</f>
        <v>器械虎符</v>
      </c>
      <c r="E334" s="8">
        <f>IF([2]道具信息!E334="","",[2]道具信息!E334)</f>
        <v>200</v>
      </c>
      <c r="F334" s="8">
        <f>IF([2]道具信息!F334="","",[2]道具信息!F334)</f>
        <v>1</v>
      </c>
      <c r="G334" s="8">
        <f>IF([2]道具信息!G334="","",[2]道具信息!G334)</f>
        <v>1</v>
      </c>
      <c r="H334" s="8">
        <f>IF([2]道具信息!H334="","",[2]道具信息!H334)</f>
        <v>1</v>
      </c>
      <c r="I334" s="8">
        <f>IF([2]道具信息!I334="","",[2]道具信息!I334)</f>
        <v>200</v>
      </c>
      <c r="J334" s="8">
        <f>IF([2]道具信息!J334="","",[2]道具信息!J334)</f>
        <v>200</v>
      </c>
      <c r="K334" s="8">
        <f>IF([2]道具信息!K334="","",[2]道具信息!K334)</f>
        <v>200</v>
      </c>
      <c r="L334" s="8" t="str">
        <f>IF([2]道具信息!L334="","",[2]道具信息!L334)</f>
        <v>使用后立即获得10000器械兵新兵</v>
      </c>
      <c r="M334" s="8" t="str">
        <f>IF([2]道具信息!M334="","",[2]道具信息!M334)</f>
        <v/>
      </c>
      <c r="N334" s="8" t="str">
        <f>IF([2]道具信息!N334="","",[2]道具信息!N334)</f>
        <v/>
      </c>
      <c r="O334" s="8" t="str">
        <f>IF([2]道具信息!O334="","",[2]道具信息!O334)</f>
        <v/>
      </c>
      <c r="P334" s="8" t="str">
        <f>IF([2]道具信息!P334="","",[2]道具信息!P334)</f>
        <v/>
      </c>
      <c r="Q334" s="8" t="str">
        <f>IF([2]道具信息!Q334="","",[2]道具信息!Q334)</f>
        <v/>
      </c>
      <c r="R334" s="8" t="str">
        <f>IF([2]道具信息!R334="","",[2]道具信息!R334)</f>
        <v/>
      </c>
    </row>
    <row r="335" spans="3:18" x14ac:dyDescent="0.2">
      <c r="C335" s="8" t="str">
        <f>IF([2]道具信息!C335="","",[2]道具信息!C335)</f>
        <v/>
      </c>
      <c r="D335" s="8" t="str">
        <f>IF([2]道具信息!D335="","",[2]道具信息!D335)</f>
        <v/>
      </c>
      <c r="E335" s="8" t="str">
        <f>IF([2]道具信息!E335="","",[2]道具信息!E335)</f>
        <v/>
      </c>
      <c r="F335" s="8" t="str">
        <f>IF([2]道具信息!F335="","",[2]道具信息!F335)</f>
        <v/>
      </c>
      <c r="G335" s="8" t="str">
        <f>IF([2]道具信息!G335="","",[2]道具信息!G335)</f>
        <v/>
      </c>
      <c r="H335" s="8" t="str">
        <f>IF([2]道具信息!H335="","",[2]道具信息!H335)</f>
        <v/>
      </c>
      <c r="I335" s="8" t="str">
        <f>IF([2]道具信息!I335="","",[2]道具信息!I335)</f>
        <v/>
      </c>
      <c r="J335" s="8" t="str">
        <f>IF([2]道具信息!J335="","",[2]道具信息!J335)</f>
        <v/>
      </c>
      <c r="K335" s="8" t="str">
        <f>IF([2]道具信息!K335="","",[2]道具信息!K335)</f>
        <v/>
      </c>
      <c r="L335" s="8" t="str">
        <f>IF([2]道具信息!L335="","",[2]道具信息!L335)</f>
        <v/>
      </c>
      <c r="M335" s="8" t="str">
        <f>IF([2]道具信息!M335="","",[2]道具信息!M335)</f>
        <v/>
      </c>
      <c r="N335" s="8" t="str">
        <f>IF([2]道具信息!N335="","",[2]道具信息!N335)</f>
        <v/>
      </c>
      <c r="O335" s="8" t="str">
        <f>IF([2]道具信息!O335="","",[2]道具信息!O335)</f>
        <v/>
      </c>
      <c r="P335" s="8" t="str">
        <f>IF([2]道具信息!P335="","",[2]道具信息!P335)</f>
        <v/>
      </c>
      <c r="Q335" s="8" t="str">
        <f>IF([2]道具信息!Q335="","",[2]道具信息!Q335)</f>
        <v/>
      </c>
      <c r="R335" s="8" t="str">
        <f>IF([2]道具信息!R335="","",[2]道具信息!R335)</f>
        <v/>
      </c>
    </row>
    <row r="336" spans="3:18" x14ac:dyDescent="0.2">
      <c r="C336" s="8">
        <f>IF([2]道具信息!C336="","",[2]道具信息!C336)</f>
        <v>26500</v>
      </c>
      <c r="D336" s="8" t="str">
        <f>IF([2]道具信息!D336="","",[2]道具信息!D336)</f>
        <v>兵法宝箱</v>
      </c>
      <c r="E336" s="8">
        <f>IF([2]道具信息!E336="","",[2]道具信息!E336)</f>
        <v>250</v>
      </c>
      <c r="F336" s="8">
        <f>IF([2]道具信息!F336="","",[2]道具信息!F336)</f>
        <v>1</v>
      </c>
      <c r="G336" s="8">
        <f>IF([2]道具信息!G336="","",[2]道具信息!G336)</f>
        <v>1</v>
      </c>
      <c r="H336" s="8">
        <f>IF([2]道具信息!H336="","",[2]道具信息!H336)</f>
        <v>1</v>
      </c>
      <c r="I336" s="8">
        <f>IF([2]道具信息!I336="","",[2]道具信息!I336)</f>
        <v>250</v>
      </c>
      <c r="J336" s="8">
        <f>IF([2]道具信息!J336="","",[2]道具信息!J336)</f>
        <v>250</v>
      </c>
      <c r="K336" s="8">
        <f>IF([2]道具信息!K336="","",[2]道具信息!K336)</f>
        <v>250</v>
      </c>
      <c r="L336" s="8" t="str">
        <f>IF([2]道具信息!L336="","",[2]道具信息!L336)</f>
        <v>使用后随机获得1个兵法</v>
      </c>
      <c r="M336" s="8" t="str">
        <f>IF([2]道具信息!M336="","",[2]道具信息!M336)</f>
        <v/>
      </c>
      <c r="N336" s="8" t="str">
        <f>IF([2]道具信息!N336="","",[2]道具信息!N336)</f>
        <v/>
      </c>
      <c r="O336" s="8" t="str">
        <f>IF([2]道具信息!O336="","",[2]道具信息!O336)</f>
        <v/>
      </c>
      <c r="P336" s="8" t="str">
        <f>IF([2]道具信息!P336="","",[2]道具信息!P336)</f>
        <v/>
      </c>
      <c r="Q336" s="8" t="str">
        <f>IF([2]道具信息!Q336="","",[2]道具信息!Q336)</f>
        <v/>
      </c>
      <c r="R336" s="8" t="str">
        <f>IF([2]道具信息!R336="","",[2]道具信息!R336)</f>
        <v/>
      </c>
    </row>
    <row r="337" spans="3:18" x14ac:dyDescent="0.2">
      <c r="C337" s="8">
        <f>IF([2]道具信息!C337="","",[2]道具信息!C337)</f>
        <v>26501</v>
      </c>
      <c r="D337" s="8" t="str">
        <f>IF([2]道具信息!D337="","",[2]道具信息!D337)</f>
        <v>蓝色兵法宝箱</v>
      </c>
      <c r="E337" s="8">
        <f>IF([2]道具信息!E337="","",[2]道具信息!E337)</f>
        <v>50</v>
      </c>
      <c r="F337" s="8">
        <f>IF([2]道具信息!F337="","",[2]道具信息!F337)</f>
        <v>1</v>
      </c>
      <c r="G337" s="8">
        <f>IF([2]道具信息!G337="","",[2]道具信息!G337)</f>
        <v>1</v>
      </c>
      <c r="H337" s="8">
        <f>IF([2]道具信息!H337="","",[2]道具信息!H337)</f>
        <v>1</v>
      </c>
      <c r="I337" s="8">
        <f>IF([2]道具信息!I337="","",[2]道具信息!I337)</f>
        <v>50</v>
      </c>
      <c r="J337" s="8">
        <f>IF([2]道具信息!J337="","",[2]道具信息!J337)</f>
        <v>50</v>
      </c>
      <c r="K337" s="8">
        <f>IF([2]道具信息!K337="","",[2]道具信息!K337)</f>
        <v>50</v>
      </c>
      <c r="L337" s="8" t="str">
        <f>IF([2]道具信息!L337="","",[2]道具信息!L337)</f>
        <v>使用后随机获得1个蓝色品质兵法</v>
      </c>
      <c r="M337" s="8" t="str">
        <f>IF([2]道具信息!M337="","",[2]道具信息!M337)</f>
        <v/>
      </c>
      <c r="N337" s="8" t="str">
        <f>IF([2]道具信息!N337="","",[2]道具信息!N337)</f>
        <v/>
      </c>
      <c r="O337" s="8" t="str">
        <f>IF([2]道具信息!O337="","",[2]道具信息!O337)</f>
        <v/>
      </c>
      <c r="P337" s="8" t="str">
        <f>IF([2]道具信息!P337="","",[2]道具信息!P337)</f>
        <v/>
      </c>
      <c r="Q337" s="8" t="str">
        <f>IF([2]道具信息!Q337="","",[2]道具信息!Q337)</f>
        <v/>
      </c>
      <c r="R337" s="8" t="str">
        <f>IF([2]道具信息!R337="","",[2]道具信息!R337)</f>
        <v/>
      </c>
    </row>
    <row r="338" spans="3:18" x14ac:dyDescent="0.2">
      <c r="C338" s="8">
        <f>IF([2]道具信息!C338="","",[2]道具信息!C338)</f>
        <v>26502</v>
      </c>
      <c r="D338" s="8" t="str">
        <f>IF([2]道具信息!D338="","",[2]道具信息!D338)</f>
        <v>紫色兵法宝箱</v>
      </c>
      <c r="E338" s="8">
        <f>IF([2]道具信息!E338="","",[2]道具信息!E338)</f>
        <v>500</v>
      </c>
      <c r="F338" s="8">
        <f>IF([2]道具信息!F338="","",[2]道具信息!F338)</f>
        <v>1</v>
      </c>
      <c r="G338" s="8">
        <f>IF([2]道具信息!G338="","",[2]道具信息!G338)</f>
        <v>1</v>
      </c>
      <c r="H338" s="8">
        <f>IF([2]道具信息!H338="","",[2]道具信息!H338)</f>
        <v>1</v>
      </c>
      <c r="I338" s="8">
        <f>IF([2]道具信息!I338="","",[2]道具信息!I338)</f>
        <v>500</v>
      </c>
      <c r="J338" s="8">
        <f>IF([2]道具信息!J338="","",[2]道具信息!J338)</f>
        <v>500</v>
      </c>
      <c r="K338" s="8">
        <f>IF([2]道具信息!K338="","",[2]道具信息!K338)</f>
        <v>500</v>
      </c>
      <c r="L338" s="8" t="str">
        <f>IF([2]道具信息!L338="","",[2]道具信息!L338)</f>
        <v>使用后随机获得1个紫色品质兵法</v>
      </c>
      <c r="M338" s="8" t="str">
        <f>IF([2]道具信息!M338="","",[2]道具信息!M338)</f>
        <v/>
      </c>
      <c r="N338" s="8" t="str">
        <f>IF([2]道具信息!N338="","",[2]道具信息!N338)</f>
        <v/>
      </c>
      <c r="O338" s="8" t="str">
        <f>IF([2]道具信息!O338="","",[2]道具信息!O338)</f>
        <v/>
      </c>
      <c r="P338" s="8" t="str">
        <f>IF([2]道具信息!P338="","",[2]道具信息!P338)</f>
        <v/>
      </c>
      <c r="Q338" s="8" t="str">
        <f>IF([2]道具信息!Q338="","",[2]道具信息!Q338)</f>
        <v/>
      </c>
      <c r="R338" s="8" t="str">
        <f>IF([2]道具信息!R338="","",[2]道具信息!R338)</f>
        <v/>
      </c>
    </row>
    <row r="339" spans="3:18" x14ac:dyDescent="0.2">
      <c r="C339" s="8">
        <f>IF([2]道具信息!C339="","",[2]道具信息!C339)</f>
        <v>26503</v>
      </c>
      <c r="D339" s="8" t="str">
        <f>IF([2]道具信息!D339="","",[2]道具信息!D339)</f>
        <v>橙色兵法宝箱</v>
      </c>
      <c r="E339" s="8">
        <f>IF([2]道具信息!E339="","",[2]道具信息!E339)</f>
        <v>1680</v>
      </c>
      <c r="F339" s="8">
        <f>IF([2]道具信息!F339="","",[2]道具信息!F339)</f>
        <v>1</v>
      </c>
      <c r="G339" s="8">
        <f>IF([2]道具信息!G339="","",[2]道具信息!G339)</f>
        <v>1</v>
      </c>
      <c r="H339" s="8">
        <f>IF([2]道具信息!H339="","",[2]道具信息!H339)</f>
        <v>1</v>
      </c>
      <c r="I339" s="8">
        <f>IF([2]道具信息!I339="","",[2]道具信息!I339)</f>
        <v>1680</v>
      </c>
      <c r="J339" s="8">
        <f>IF([2]道具信息!J339="","",[2]道具信息!J339)</f>
        <v>1680</v>
      </c>
      <c r="K339" s="8">
        <f>IF([2]道具信息!K339="","",[2]道具信息!K339)</f>
        <v>1680</v>
      </c>
      <c r="L339" s="8" t="str">
        <f>IF([2]道具信息!L339="","",[2]道具信息!L339)</f>
        <v>使用后随机获得1个橙色品质兵法</v>
      </c>
      <c r="M339" s="8" t="str">
        <f>IF([2]道具信息!M339="","",[2]道具信息!M339)</f>
        <v/>
      </c>
      <c r="N339" s="8" t="str">
        <f>IF([2]道具信息!N339="","",[2]道具信息!N339)</f>
        <v/>
      </c>
      <c r="O339" s="8" t="str">
        <f>IF([2]道具信息!O339="","",[2]道具信息!O339)</f>
        <v/>
      </c>
      <c r="P339" s="8" t="str">
        <f>IF([2]道具信息!P339="","",[2]道具信息!P339)</f>
        <v/>
      </c>
      <c r="Q339" s="8" t="str">
        <f>IF([2]道具信息!Q339="","",[2]道具信息!Q339)</f>
        <v/>
      </c>
      <c r="R339" s="8" t="str">
        <f>IF([2]道具信息!R339="","",[2]道具信息!R339)</f>
        <v/>
      </c>
    </row>
    <row r="340" spans="3:18" x14ac:dyDescent="0.2">
      <c r="C340" s="8">
        <f>IF([2]道具信息!C340="","",[2]道具信息!C340)</f>
        <v>26504</v>
      </c>
      <c r="D340" s="8" t="str">
        <f>IF([2]道具信息!D340="","",[2]道具信息!D340)</f>
        <v>红色兵法宝箱</v>
      </c>
      <c r="E340" s="8">
        <f>IF([2]道具信息!E340="","",[2]道具信息!E340)</f>
        <v>14100</v>
      </c>
      <c r="F340" s="8">
        <f>IF([2]道具信息!F340="","",[2]道具信息!F340)</f>
        <v>1</v>
      </c>
      <c r="G340" s="8">
        <f>IF([2]道具信息!G340="","",[2]道具信息!G340)</f>
        <v>1</v>
      </c>
      <c r="H340" s="8">
        <f>IF([2]道具信息!H340="","",[2]道具信息!H340)</f>
        <v>1</v>
      </c>
      <c r="I340" s="8">
        <f>IF([2]道具信息!I340="","",[2]道具信息!I340)</f>
        <v>14100</v>
      </c>
      <c r="J340" s="8">
        <f>IF([2]道具信息!J340="","",[2]道具信息!J340)</f>
        <v>14100</v>
      </c>
      <c r="K340" s="8">
        <f>IF([2]道具信息!K340="","",[2]道具信息!K340)</f>
        <v>14100</v>
      </c>
      <c r="L340" s="8" t="str">
        <f>IF([2]道具信息!L340="","",[2]道具信息!L340)</f>
        <v>使用后随机获得1个红色品质兵法</v>
      </c>
      <c r="M340" s="8" t="str">
        <f>IF([2]道具信息!M340="","",[2]道具信息!M340)</f>
        <v/>
      </c>
      <c r="N340" s="8" t="str">
        <f>IF([2]道具信息!N340="","",[2]道具信息!N340)</f>
        <v/>
      </c>
      <c r="O340" s="8" t="str">
        <f>IF([2]道具信息!O340="","",[2]道具信息!O340)</f>
        <v/>
      </c>
      <c r="P340" s="8" t="str">
        <f>IF([2]道具信息!P340="","",[2]道具信息!P340)</f>
        <v/>
      </c>
      <c r="Q340" s="8" t="str">
        <f>IF([2]道具信息!Q340="","",[2]道具信息!Q340)</f>
        <v/>
      </c>
      <c r="R340" s="8" t="str">
        <f>IF([2]道具信息!R340="","",[2]道具信息!R340)</f>
        <v/>
      </c>
    </row>
    <row r="341" spans="3:18" x14ac:dyDescent="0.2">
      <c r="C341" s="8" t="str">
        <f>IF([2]道具信息!C341="","",[2]道具信息!C341)</f>
        <v/>
      </c>
      <c r="D341" s="8" t="str">
        <f>IF([2]道具信息!D341="","",[2]道具信息!D341)</f>
        <v>指定or任选蓝色兵法</v>
      </c>
      <c r="E341" s="8">
        <f>IF([2]道具信息!E341="","",[2]道具信息!E341)</f>
        <v>35</v>
      </c>
      <c r="F341" s="8">
        <f>IF([2]道具信息!F341="","",[2]道具信息!F341)</f>
        <v>1</v>
      </c>
      <c r="G341" s="8">
        <f>IF([2]道具信息!G341="","",[2]道具信息!G341)</f>
        <v>1</v>
      </c>
      <c r="H341" s="8">
        <f>IF([2]道具信息!H341="","",[2]道具信息!H341)</f>
        <v>1</v>
      </c>
      <c r="I341" s="8">
        <f>IF([2]道具信息!I341="","",[2]道具信息!I341)</f>
        <v>35</v>
      </c>
      <c r="J341" s="8">
        <f>IF([2]道具信息!J341="","",[2]道具信息!J341)</f>
        <v>35</v>
      </c>
      <c r="K341" s="8">
        <f>IF([2]道具信息!K341="","",[2]道具信息!K341)</f>
        <v>35</v>
      </c>
      <c r="L341" s="8" t="str">
        <f>IF([2]道具信息!L341="","",[2]道具信息!L341)</f>
        <v/>
      </c>
      <c r="M341" s="8" t="str">
        <f>IF([2]道具信息!M341="","",[2]道具信息!M341)</f>
        <v/>
      </c>
      <c r="N341" s="8" t="str">
        <f>IF([2]道具信息!N341="","",[2]道具信息!N341)</f>
        <v/>
      </c>
      <c r="O341" s="8" t="str">
        <f>IF([2]道具信息!O341="","",[2]道具信息!O341)</f>
        <v/>
      </c>
      <c r="P341" s="8" t="str">
        <f>IF([2]道具信息!P341="","",[2]道具信息!P341)</f>
        <v/>
      </c>
      <c r="Q341" s="8" t="str">
        <f>IF([2]道具信息!Q341="","",[2]道具信息!Q341)</f>
        <v/>
      </c>
      <c r="R341" s="8" t="str">
        <f>IF([2]道具信息!R341="","",[2]道具信息!R341)</f>
        <v/>
      </c>
    </row>
    <row r="342" spans="3:18" x14ac:dyDescent="0.2">
      <c r="C342" s="8" t="str">
        <f>IF([2]道具信息!C342="","",[2]道具信息!C342)</f>
        <v/>
      </c>
      <c r="D342" s="8" t="str">
        <f>IF([2]道具信息!D342="","",[2]道具信息!D342)</f>
        <v>指定or任选紫色兵法</v>
      </c>
      <c r="E342" s="8">
        <f>IF([2]道具信息!E342="","",[2]道具信息!E342)</f>
        <v>750</v>
      </c>
      <c r="F342" s="8">
        <f>IF([2]道具信息!F342="","",[2]道具信息!F342)</f>
        <v>1</v>
      </c>
      <c r="G342" s="8">
        <f>IF([2]道具信息!G342="","",[2]道具信息!G342)</f>
        <v>1</v>
      </c>
      <c r="H342" s="8">
        <f>IF([2]道具信息!H342="","",[2]道具信息!H342)</f>
        <v>1</v>
      </c>
      <c r="I342" s="8">
        <f>IF([2]道具信息!I342="","",[2]道具信息!I342)</f>
        <v>750</v>
      </c>
      <c r="J342" s="8">
        <f>IF([2]道具信息!J342="","",[2]道具信息!J342)</f>
        <v>750</v>
      </c>
      <c r="K342" s="8">
        <f>IF([2]道具信息!K342="","",[2]道具信息!K342)</f>
        <v>750</v>
      </c>
      <c r="L342" s="8" t="str">
        <f>IF([2]道具信息!L342="","",[2]道具信息!L342)</f>
        <v/>
      </c>
      <c r="M342" s="8" t="str">
        <f>IF([2]道具信息!M342="","",[2]道具信息!M342)</f>
        <v/>
      </c>
      <c r="N342" s="8" t="str">
        <f>IF([2]道具信息!N342="","",[2]道具信息!N342)</f>
        <v/>
      </c>
      <c r="O342" s="8" t="str">
        <f>IF([2]道具信息!O342="","",[2]道具信息!O342)</f>
        <v/>
      </c>
      <c r="P342" s="8" t="str">
        <f>IF([2]道具信息!P342="","",[2]道具信息!P342)</f>
        <v/>
      </c>
      <c r="Q342" s="8" t="str">
        <f>IF([2]道具信息!Q342="","",[2]道具信息!Q342)</f>
        <v/>
      </c>
      <c r="R342" s="8" t="str">
        <f>IF([2]道具信息!R342="","",[2]道具信息!R342)</f>
        <v/>
      </c>
    </row>
    <row r="343" spans="3:18" x14ac:dyDescent="0.2">
      <c r="C343" s="8" t="str">
        <f>IF([2]道具信息!C343="","",[2]道具信息!C343)</f>
        <v/>
      </c>
      <c r="D343" s="8" t="str">
        <f>IF([2]道具信息!D343="","",[2]道具信息!D343)</f>
        <v>指定or任选橙色兵法</v>
      </c>
      <c r="E343" s="8">
        <f>IF([2]道具信息!E343="","",[2]道具信息!E343)</f>
        <v>3350</v>
      </c>
      <c r="F343" s="8">
        <f>IF([2]道具信息!F343="","",[2]道具信息!F343)</f>
        <v>1</v>
      </c>
      <c r="G343" s="8">
        <f>IF([2]道具信息!G343="","",[2]道具信息!G343)</f>
        <v>1</v>
      </c>
      <c r="H343" s="8">
        <f>IF([2]道具信息!H343="","",[2]道具信息!H343)</f>
        <v>1</v>
      </c>
      <c r="I343" s="8">
        <f>IF([2]道具信息!I343="","",[2]道具信息!I343)</f>
        <v>3350</v>
      </c>
      <c r="J343" s="8">
        <f>IF([2]道具信息!J343="","",[2]道具信息!J343)</f>
        <v>3350</v>
      </c>
      <c r="K343" s="8">
        <f>IF([2]道具信息!K343="","",[2]道具信息!K343)</f>
        <v>3350</v>
      </c>
      <c r="L343" s="8" t="str">
        <f>IF([2]道具信息!L343="","",[2]道具信息!L343)</f>
        <v/>
      </c>
      <c r="M343" s="8" t="str">
        <f>IF([2]道具信息!M343="","",[2]道具信息!M343)</f>
        <v/>
      </c>
      <c r="N343" s="8" t="str">
        <f>IF([2]道具信息!N343="","",[2]道具信息!N343)</f>
        <v/>
      </c>
      <c r="O343" s="8" t="str">
        <f>IF([2]道具信息!O343="","",[2]道具信息!O343)</f>
        <v/>
      </c>
      <c r="P343" s="8" t="str">
        <f>IF([2]道具信息!P343="","",[2]道具信息!P343)</f>
        <v/>
      </c>
      <c r="Q343" s="8" t="str">
        <f>IF([2]道具信息!Q343="","",[2]道具信息!Q343)</f>
        <v/>
      </c>
      <c r="R343" s="8" t="str">
        <f>IF([2]道具信息!R343="","",[2]道具信息!R343)</f>
        <v/>
      </c>
    </row>
    <row r="344" spans="3:18" x14ac:dyDescent="0.2">
      <c r="C344" s="8" t="str">
        <f>IF([2]道具信息!C344="","",[2]道具信息!C344)</f>
        <v/>
      </c>
      <c r="D344" s="8" t="str">
        <f>IF([2]道具信息!D344="","",[2]道具信息!D344)</f>
        <v>指定or任选红色兵法</v>
      </c>
      <c r="E344" s="8">
        <f>IF([2]道具信息!E344="","",[2]道具信息!E344)</f>
        <v>9165</v>
      </c>
      <c r="F344" s="8">
        <f>IF([2]道具信息!F344="","",[2]道具信息!F344)</f>
        <v>1</v>
      </c>
      <c r="G344" s="8">
        <f>IF([2]道具信息!G344="","",[2]道具信息!G344)</f>
        <v>1</v>
      </c>
      <c r="H344" s="8">
        <f>IF([2]道具信息!H344="","",[2]道具信息!H344)</f>
        <v>1</v>
      </c>
      <c r="I344" s="8">
        <f>IF([2]道具信息!I344="","",[2]道具信息!I344)</f>
        <v>9165</v>
      </c>
      <c r="J344" s="8">
        <f>IF([2]道具信息!J344="","",[2]道具信息!J344)</f>
        <v>9165</v>
      </c>
      <c r="K344" s="8">
        <f>IF([2]道具信息!K344="","",[2]道具信息!K344)</f>
        <v>9165</v>
      </c>
      <c r="L344" s="8" t="str">
        <f>IF([2]道具信息!L344="","",[2]道具信息!L344)</f>
        <v/>
      </c>
      <c r="M344" s="8" t="str">
        <f>IF([2]道具信息!M344="","",[2]道具信息!M344)</f>
        <v/>
      </c>
      <c r="N344" s="8" t="str">
        <f>IF([2]道具信息!N344="","",[2]道具信息!N344)</f>
        <v/>
      </c>
      <c r="O344" s="8" t="str">
        <f>IF([2]道具信息!O344="","",[2]道具信息!O344)</f>
        <v/>
      </c>
      <c r="P344" s="8" t="str">
        <f>IF([2]道具信息!P344="","",[2]道具信息!P344)</f>
        <v/>
      </c>
      <c r="Q344" s="8" t="str">
        <f>IF([2]道具信息!Q344="","",[2]道具信息!Q344)</f>
        <v/>
      </c>
      <c r="R344" s="8" t="str">
        <f>IF([2]道具信息!R344="","",[2]道具信息!R344)</f>
        <v/>
      </c>
    </row>
    <row r="345" spans="3:18" x14ac:dyDescent="0.2">
      <c r="C345" s="8">
        <f>IF([2]道具信息!C345="","",[2]道具信息!C345)</f>
        <v>26505</v>
      </c>
      <c r="D345" s="8" t="str">
        <f>IF([2]道具信息!D345="","",[2]道具信息!D345)</f>
        <v>兵家信物</v>
      </c>
      <c r="E345" s="8">
        <f>IF([2]道具信息!E345="","",[2]道具信息!E345)</f>
        <v>300</v>
      </c>
      <c r="F345" s="8">
        <f>IF([2]道具信息!F345="","",[2]道具信息!F345)</f>
        <v>1</v>
      </c>
      <c r="G345" s="8">
        <f>IF([2]道具信息!G345="","",[2]道具信息!G345)</f>
        <v>1</v>
      </c>
      <c r="H345" s="8">
        <f>IF([2]道具信息!H345="","",[2]道具信息!H345)</f>
        <v>1</v>
      </c>
      <c r="I345" s="8">
        <f>IF([2]道具信息!I345="","",[2]道具信息!I345)</f>
        <v>300</v>
      </c>
      <c r="J345" s="8">
        <f>IF([2]道具信息!J345="","",[2]道具信息!J345)</f>
        <v>300</v>
      </c>
      <c r="K345" s="8">
        <f>IF([2]道具信息!K345="","",[2]道具信息!K345)</f>
        <v>300</v>
      </c>
      <c r="L345" s="8" t="str">
        <f>IF([2]道具信息!L345="","",[2]道具信息!L345)</f>
        <v>抽取兵法时消耗的道具（赠送10个5分钟通用加速）</v>
      </c>
      <c r="M345" s="8" t="str">
        <f>IF([2]道具信息!M345="","",[2]道具信息!M345)</f>
        <v/>
      </c>
      <c r="N345" s="8" t="str">
        <f>IF([2]道具信息!N345="","",[2]道具信息!N345)</f>
        <v/>
      </c>
      <c r="O345" s="8" t="str">
        <f>IF([2]道具信息!O345="","",[2]道具信息!O345)</f>
        <v/>
      </c>
      <c r="P345" s="8" t="str">
        <f>IF([2]道具信息!P345="","",[2]道具信息!P345)</f>
        <v/>
      </c>
      <c r="Q345" s="8" t="str">
        <f>IF([2]道具信息!Q345="","",[2]道具信息!Q345)</f>
        <v/>
      </c>
      <c r="R345" s="8" t="str">
        <f>IF([2]道具信息!R345="","",[2]道具信息!R345)</f>
        <v/>
      </c>
    </row>
    <row r="346" spans="3:18" x14ac:dyDescent="0.2">
      <c r="C346" s="8" t="str">
        <f>IF([2]道具信息!C346="","",[2]道具信息!C346)</f>
        <v/>
      </c>
      <c r="D346" s="8" t="str">
        <f>IF([2]道具信息!D346="","",[2]道具信息!D346)</f>
        <v/>
      </c>
      <c r="E346" s="8" t="str">
        <f>IF([2]道具信息!E346="","",[2]道具信息!E346)</f>
        <v/>
      </c>
      <c r="F346" s="8" t="str">
        <f>IF([2]道具信息!F346="","",[2]道具信息!F346)</f>
        <v/>
      </c>
      <c r="G346" s="8" t="str">
        <f>IF([2]道具信息!G346="","",[2]道具信息!G346)</f>
        <v/>
      </c>
      <c r="H346" s="8" t="str">
        <f>IF([2]道具信息!H346="","",[2]道具信息!H346)</f>
        <v/>
      </c>
      <c r="I346" s="8" t="str">
        <f>IF([2]道具信息!I346="","",[2]道具信息!I346)</f>
        <v/>
      </c>
      <c r="J346" s="8" t="str">
        <f>IF([2]道具信息!J346="","",[2]道具信息!J346)</f>
        <v/>
      </c>
      <c r="K346" s="8" t="str">
        <f>IF([2]道具信息!K346="","",[2]道具信息!K346)</f>
        <v/>
      </c>
      <c r="L346" s="8" t="str">
        <f>IF([2]道具信息!L346="","",[2]道具信息!L346)</f>
        <v/>
      </c>
      <c r="M346" s="8" t="str">
        <f>IF([2]道具信息!M346="","",[2]道具信息!M346)</f>
        <v/>
      </c>
      <c r="N346" s="8" t="str">
        <f>IF([2]道具信息!N346="","",[2]道具信息!N346)</f>
        <v/>
      </c>
      <c r="O346" s="8" t="str">
        <f>IF([2]道具信息!O346="","",[2]道具信息!O346)</f>
        <v/>
      </c>
      <c r="P346" s="8" t="str">
        <f>IF([2]道具信息!P346="","",[2]道具信息!P346)</f>
        <v/>
      </c>
      <c r="Q346" s="8" t="str">
        <f>IF([2]道具信息!Q346="","",[2]道具信息!Q346)</f>
        <v/>
      </c>
      <c r="R346" s="8" t="str">
        <f>IF([2]道具信息!R346="","",[2]道具信息!R346)</f>
        <v/>
      </c>
    </row>
    <row r="347" spans="3:18" x14ac:dyDescent="0.2">
      <c r="C347" s="8" t="str">
        <f>IF([2]道具信息!C347="","",[2]道具信息!C347)</f>
        <v/>
      </c>
      <c r="D347" s="8" t="str">
        <f>IF([2]道具信息!D347="","",[2]道具信息!D347)</f>
        <v/>
      </c>
      <c r="E347" s="8" t="str">
        <f>IF([2]道具信息!E347="","",[2]道具信息!E347)</f>
        <v/>
      </c>
      <c r="F347" s="8" t="str">
        <f>IF([2]道具信息!F347="","",[2]道具信息!F347)</f>
        <v/>
      </c>
      <c r="G347" s="8" t="str">
        <f>IF([2]道具信息!G347="","",[2]道具信息!G347)</f>
        <v/>
      </c>
      <c r="H347" s="8" t="str">
        <f>IF([2]道具信息!H347="","",[2]道具信息!H347)</f>
        <v/>
      </c>
      <c r="I347" s="8" t="str">
        <f>IF([2]道具信息!I347="","",[2]道具信息!I347)</f>
        <v/>
      </c>
      <c r="J347" s="8" t="str">
        <f>IF([2]道具信息!J347="","",[2]道具信息!J347)</f>
        <v/>
      </c>
      <c r="K347" s="8" t="str">
        <f>IF([2]道具信息!K347="","",[2]道具信息!K347)</f>
        <v/>
      </c>
      <c r="L347" s="8" t="str">
        <f>IF([2]道具信息!L347="","",[2]道具信息!L347)</f>
        <v/>
      </c>
      <c r="M347" s="8" t="str">
        <f>IF([2]道具信息!M347="","",[2]道具信息!M347)</f>
        <v/>
      </c>
      <c r="N347" s="8" t="str">
        <f>IF([2]道具信息!N347="","",[2]道具信息!N347)</f>
        <v/>
      </c>
      <c r="O347" s="8" t="str">
        <f>IF([2]道具信息!O347="","",[2]道具信息!O347)</f>
        <v/>
      </c>
      <c r="P347" s="8" t="str">
        <f>IF([2]道具信息!P347="","",[2]道具信息!P347)</f>
        <v/>
      </c>
      <c r="Q347" s="8" t="str">
        <f>IF([2]道具信息!Q347="","",[2]道具信息!Q347)</f>
        <v/>
      </c>
      <c r="R347" s="8" t="str">
        <f>IF([2]道具信息!R347="","",[2]道具信息!R347)</f>
        <v/>
      </c>
    </row>
    <row r="348" spans="3:18" x14ac:dyDescent="0.2">
      <c r="C348" s="8">
        <f>IF([2]道具信息!C348="","",[2]道具信息!C348)</f>
        <v>26520</v>
      </c>
      <c r="D348" s="8" t="str">
        <f>IF([2]道具信息!D348="","",[2]道具信息!D348)</f>
        <v>紫色兵法自选宝箱</v>
      </c>
      <c r="E348" s="8">
        <f>IF([2]道具信息!E348="","",[2]道具信息!E348)</f>
        <v>750</v>
      </c>
      <c r="F348" s="8">
        <f>IF([2]道具信息!F348="","",[2]道具信息!F348)</f>
        <v>1</v>
      </c>
      <c r="G348" s="8">
        <f>IF([2]道具信息!G348="","",[2]道具信息!G348)</f>
        <v>1</v>
      </c>
      <c r="H348" s="8">
        <f>IF([2]道具信息!H348="","",[2]道具信息!H348)</f>
        <v>1</v>
      </c>
      <c r="I348" s="8">
        <f>IF([2]道具信息!I348="","",[2]道具信息!I348)</f>
        <v>750</v>
      </c>
      <c r="J348" s="8">
        <f>IF([2]道具信息!J348="","",[2]道具信息!J348)</f>
        <v>750</v>
      </c>
      <c r="K348" s="8">
        <f>IF([2]道具信息!K348="","",[2]道具信息!K348)</f>
        <v>750</v>
      </c>
      <c r="L348" s="8" t="str">
        <f>IF([2]道具信息!L348="","",[2]道具信息!L348)</f>
        <v>使用后可选择一个紫色兵法。紫色兵法：攻其不备、出奇制胜、破军夺志</v>
      </c>
      <c r="M348" s="8" t="str">
        <f>IF([2]道具信息!M348="","",[2]道具信息!M348)</f>
        <v/>
      </c>
      <c r="N348" s="8" t="str">
        <f>IF([2]道具信息!N348="","",[2]道具信息!N348)</f>
        <v/>
      </c>
      <c r="O348" s="8" t="str">
        <f>IF([2]道具信息!O348="","",[2]道具信息!O348)</f>
        <v/>
      </c>
      <c r="P348" s="8" t="str">
        <f>IF([2]道具信息!P348="","",[2]道具信息!P348)</f>
        <v/>
      </c>
      <c r="Q348" s="8" t="str">
        <f>IF([2]道具信息!Q348="","",[2]道具信息!Q348)</f>
        <v/>
      </c>
      <c r="R348" s="8" t="str">
        <f>IF([2]道具信息!R348="","",[2]道具信息!R348)</f>
        <v/>
      </c>
    </row>
    <row r="349" spans="3:18" x14ac:dyDescent="0.2">
      <c r="C349" s="8">
        <f>IF([2]道具信息!C349="","",[2]道具信息!C349)</f>
        <v>26521</v>
      </c>
      <c r="D349" s="8" t="str">
        <f>IF([2]道具信息!D349="","",[2]道具信息!D349)</f>
        <v>橙色兵法自选宝箱</v>
      </c>
      <c r="E349" s="8">
        <f>IF([2]道具信息!E349="","",[2]道具信息!E349)</f>
        <v>3350</v>
      </c>
      <c r="F349" s="8">
        <f>IF([2]道具信息!F349="","",[2]道具信息!F349)</f>
        <v>1</v>
      </c>
      <c r="G349" s="8">
        <f>IF([2]道具信息!G349="","",[2]道具信息!G349)</f>
        <v>1</v>
      </c>
      <c r="H349" s="8">
        <f>IF([2]道具信息!H349="","",[2]道具信息!H349)</f>
        <v>1</v>
      </c>
      <c r="I349" s="8">
        <f>IF([2]道具信息!I349="","",[2]道具信息!I349)</f>
        <v>3350</v>
      </c>
      <c r="J349" s="8">
        <f>IF([2]道具信息!J349="","",[2]道具信息!J349)</f>
        <v>3350</v>
      </c>
      <c r="K349" s="8">
        <f>IF([2]道具信息!K349="","",[2]道具信息!K349)</f>
        <v>3350</v>
      </c>
      <c r="L349" s="8" t="str">
        <f>IF([2]道具信息!L349="","",[2]道具信息!L349)</f>
        <v>使用后可选择一个橙色兵法。橙色兵法：援军秘策、养精蓄锐、退敌千里、奇佐鬼谋</v>
      </c>
      <c r="M349" s="8" t="str">
        <f>IF([2]道具信息!M349="","",[2]道具信息!M349)</f>
        <v/>
      </c>
      <c r="N349" s="8" t="str">
        <f>IF([2]道具信息!N349="","",[2]道具信息!N349)</f>
        <v/>
      </c>
      <c r="O349" s="8" t="str">
        <f>IF([2]道具信息!O349="","",[2]道具信息!O349)</f>
        <v/>
      </c>
      <c r="P349" s="8" t="str">
        <f>IF([2]道具信息!P349="","",[2]道具信息!P349)</f>
        <v/>
      </c>
      <c r="Q349" s="8" t="str">
        <f>IF([2]道具信息!Q349="","",[2]道具信息!Q349)</f>
        <v/>
      </c>
      <c r="R349" s="8" t="str">
        <f>IF([2]道具信息!R349="","",[2]道具信息!R349)</f>
        <v/>
      </c>
    </row>
    <row r="350" spans="3:18" x14ac:dyDescent="0.2">
      <c r="C350" s="8" t="str">
        <f>IF([2]道具信息!C350="","",[2]道具信息!C350)</f>
        <v/>
      </c>
      <c r="D350" s="8" t="str">
        <f>IF([2]道具信息!D350="","",[2]道具信息!D350)</f>
        <v/>
      </c>
      <c r="E350" s="8" t="str">
        <f>IF([2]道具信息!E350="","",[2]道具信息!E350)</f>
        <v/>
      </c>
      <c r="F350" s="8" t="str">
        <f>IF([2]道具信息!F350="","",[2]道具信息!F350)</f>
        <v/>
      </c>
      <c r="G350" s="8" t="str">
        <f>IF([2]道具信息!G350="","",[2]道具信息!G350)</f>
        <v/>
      </c>
      <c r="H350" s="8" t="str">
        <f>IF([2]道具信息!H350="","",[2]道具信息!H350)</f>
        <v/>
      </c>
      <c r="I350" s="8" t="str">
        <f>IF([2]道具信息!I350="","",[2]道具信息!I350)</f>
        <v/>
      </c>
      <c r="J350" s="8" t="str">
        <f>IF([2]道具信息!J350="","",[2]道具信息!J350)</f>
        <v/>
      </c>
      <c r="K350" s="8" t="str">
        <f>IF([2]道具信息!K350="","",[2]道具信息!K350)</f>
        <v/>
      </c>
      <c r="L350" s="8" t="str">
        <f>IF([2]道具信息!L350="","",[2]道具信息!L350)</f>
        <v/>
      </c>
      <c r="M350" s="8" t="str">
        <f>IF([2]道具信息!M350="","",[2]道具信息!M350)</f>
        <v/>
      </c>
      <c r="N350" s="8" t="str">
        <f>IF([2]道具信息!N350="","",[2]道具信息!N350)</f>
        <v/>
      </c>
      <c r="O350" s="8" t="str">
        <f>IF([2]道具信息!O350="","",[2]道具信息!O350)</f>
        <v/>
      </c>
      <c r="P350" s="8" t="str">
        <f>IF([2]道具信息!P350="","",[2]道具信息!P350)</f>
        <v/>
      </c>
      <c r="Q350" s="8" t="str">
        <f>IF([2]道具信息!Q350="","",[2]道具信息!Q350)</f>
        <v/>
      </c>
      <c r="R350" s="8" t="str">
        <f>IF([2]道具信息!R350="","",[2]道具信息!R350)</f>
        <v/>
      </c>
    </row>
    <row r="351" spans="3:18" x14ac:dyDescent="0.2">
      <c r="C351" s="8">
        <f>IF([2]道具信息!C351="","",[2]道具信息!C351)</f>
        <v>26551</v>
      </c>
      <c r="D351" s="8" t="str">
        <f>IF([2]道具信息!D351="","",[2]道具信息!D351)</f>
        <v>虎符宝箱</v>
      </c>
      <c r="E351" s="8">
        <f>IF([2]道具信息!E351="","",[2]道具信息!E351)</f>
        <v>160</v>
      </c>
      <c r="F351" s="8">
        <f>IF([2]道具信息!F351="","",[2]道具信息!F351)</f>
        <v>1</v>
      </c>
      <c r="G351" s="8">
        <f>IF([2]道具信息!G351="","",[2]道具信息!G351)</f>
        <v>1</v>
      </c>
      <c r="H351" s="8">
        <f>IF([2]道具信息!H351="","",[2]道具信息!H351)</f>
        <v>1</v>
      </c>
      <c r="I351" s="8">
        <f>IF([2]道具信息!I351="","",[2]道具信息!I351)</f>
        <v>160</v>
      </c>
      <c r="J351" s="8">
        <f>IF([2]道具信息!J351="","",[2]道具信息!J351)</f>
        <v>160</v>
      </c>
      <c r="K351" s="8">
        <f>IF([2]道具信息!K351="","",[2]道具信息!K351)</f>
        <v>160</v>
      </c>
      <c r="L351" s="8" t="str">
        <f>IF([2]道具信息!L351="","",[2]道具信息!L351)</f>
        <v>使用后随机获得1个虎符</v>
      </c>
      <c r="M351" s="8" t="str">
        <f>IF([2]道具信息!M351="","",[2]道具信息!M351)</f>
        <v/>
      </c>
      <c r="N351" s="8" t="str">
        <f>IF([2]道具信息!N351="","",[2]道具信息!N351)</f>
        <v/>
      </c>
      <c r="O351" s="8" t="str">
        <f>IF([2]道具信息!O351="","",[2]道具信息!O351)</f>
        <v/>
      </c>
      <c r="P351" s="8" t="str">
        <f>IF([2]道具信息!P351="","",[2]道具信息!P351)</f>
        <v/>
      </c>
      <c r="Q351" s="8" t="str">
        <f>IF([2]道具信息!Q351="","",[2]道具信息!Q351)</f>
        <v/>
      </c>
      <c r="R351" s="8" t="str">
        <f>IF([2]道具信息!R351="","",[2]道具信息!R351)</f>
        <v/>
      </c>
    </row>
    <row r="352" spans="3:18" x14ac:dyDescent="0.2">
      <c r="C352" s="8">
        <f>IF([2]道具信息!C352="","",[2]道具信息!C352)</f>
        <v>26552</v>
      </c>
      <c r="D352" s="8" t="str">
        <f>IF([2]道具信息!D352="","",[2]道具信息!D352)</f>
        <v>1级贡品宝箱</v>
      </c>
      <c r="E352" s="8">
        <f>IF([2]道具信息!E352="","",[2]道具信息!E352)</f>
        <v>40</v>
      </c>
      <c r="F352" s="8">
        <f>IF([2]道具信息!F352="","",[2]道具信息!F352)</f>
        <v>1</v>
      </c>
      <c r="G352" s="8">
        <f>IF([2]道具信息!G352="","",[2]道具信息!G352)</f>
        <v>1</v>
      </c>
      <c r="H352" s="8">
        <f>IF([2]道具信息!H352="","",[2]道具信息!H352)</f>
        <v>1</v>
      </c>
      <c r="I352" s="8">
        <f>IF([2]道具信息!I352="","",[2]道具信息!I352)</f>
        <v>40</v>
      </c>
      <c r="J352" s="8">
        <f>IF([2]道具信息!J352="","",[2]道具信息!J352)</f>
        <v>40</v>
      </c>
      <c r="K352" s="8">
        <f>IF([2]道具信息!K352="","",[2]道具信息!K352)</f>
        <v>40</v>
      </c>
      <c r="L352" s="8" t="str">
        <f>IF([2]道具信息!L352="","",[2]道具信息!L352)</f>
        <v>使用后随机获得铜镜、陶罐中的1个贡品</v>
      </c>
      <c r="M352" s="8" t="str">
        <f>IF([2]道具信息!M352="","",[2]道具信息!M352)</f>
        <v/>
      </c>
      <c r="N352" s="8" t="str">
        <f>IF([2]道具信息!N352="","",[2]道具信息!N352)</f>
        <v/>
      </c>
      <c r="O352" s="8" t="str">
        <f>IF([2]道具信息!O352="","",[2]道具信息!O352)</f>
        <v/>
      </c>
      <c r="P352" s="8" t="str">
        <f>IF([2]道具信息!P352="","",[2]道具信息!P352)</f>
        <v/>
      </c>
      <c r="Q352" s="8" t="str">
        <f>IF([2]道具信息!Q352="","",[2]道具信息!Q352)</f>
        <v/>
      </c>
      <c r="R352" s="8" t="str">
        <f>IF([2]道具信息!R352="","",[2]道具信息!R352)</f>
        <v/>
      </c>
    </row>
    <row r="353" spans="3:18" x14ac:dyDescent="0.2">
      <c r="C353" s="8">
        <f>IF([2]道具信息!C353="","",[2]道具信息!C353)</f>
        <v>26553</v>
      </c>
      <c r="D353" s="8" t="str">
        <f>IF([2]道具信息!D353="","",[2]道具信息!D353)</f>
        <v>2级贡品宝箱</v>
      </c>
      <c r="E353" s="8">
        <f>IF([2]道具信息!E353="","",[2]道具信息!E353)</f>
        <v>60</v>
      </c>
      <c r="F353" s="8">
        <f>IF([2]道具信息!F353="","",[2]道具信息!F353)</f>
        <v>1</v>
      </c>
      <c r="G353" s="8">
        <f>IF([2]道具信息!G353="","",[2]道具信息!G353)</f>
        <v>1</v>
      </c>
      <c r="H353" s="8">
        <f>IF([2]道具信息!H353="","",[2]道具信息!H353)</f>
        <v>1</v>
      </c>
      <c r="I353" s="8">
        <f>IF([2]道具信息!I353="","",[2]道具信息!I353)</f>
        <v>60</v>
      </c>
      <c r="J353" s="8">
        <f>IF([2]道具信息!J353="","",[2]道具信息!J353)</f>
        <v>60</v>
      </c>
      <c r="K353" s="8">
        <f>IF([2]道具信息!K353="","",[2]道具信息!K353)</f>
        <v>60</v>
      </c>
      <c r="L353" s="8" t="str">
        <f>IF([2]道具信息!L353="","",[2]道具信息!L353)</f>
        <v>使用后随机获得水晶杯、香鼎、铜壶中的1个贡品</v>
      </c>
      <c r="M353" s="8" t="str">
        <f>IF([2]道具信息!M353="","",[2]道具信息!M353)</f>
        <v/>
      </c>
      <c r="N353" s="8" t="str">
        <f>IF([2]道具信息!N353="","",[2]道具信息!N353)</f>
        <v/>
      </c>
      <c r="O353" s="8" t="str">
        <f>IF([2]道具信息!O353="","",[2]道具信息!O353)</f>
        <v/>
      </c>
      <c r="P353" s="8" t="str">
        <f>IF([2]道具信息!P353="","",[2]道具信息!P353)</f>
        <v/>
      </c>
      <c r="Q353" s="8" t="str">
        <f>IF([2]道具信息!Q353="","",[2]道具信息!Q353)</f>
        <v/>
      </c>
      <c r="R353" s="8" t="str">
        <f>IF([2]道具信息!R353="","",[2]道具信息!R353)</f>
        <v/>
      </c>
    </row>
    <row r="354" spans="3:18" x14ac:dyDescent="0.2">
      <c r="C354" s="8">
        <f>IF([2]道具信息!C354="","",[2]道具信息!C354)</f>
        <v>26554</v>
      </c>
      <c r="D354" s="8" t="str">
        <f>IF([2]道具信息!D354="","",[2]道具信息!D354)</f>
        <v>3级贡品宝箱</v>
      </c>
      <c r="E354" s="8">
        <f>IF([2]道具信息!E354="","",[2]道具信息!E354)</f>
        <v>80</v>
      </c>
      <c r="F354" s="8">
        <f>IF([2]道具信息!F354="","",[2]道具信息!F354)</f>
        <v>1</v>
      </c>
      <c r="G354" s="8">
        <f>IF([2]道具信息!G354="","",[2]道具信息!G354)</f>
        <v>1</v>
      </c>
      <c r="H354" s="8">
        <f>IF([2]道具信息!H354="","",[2]道具信息!H354)</f>
        <v>1</v>
      </c>
      <c r="I354" s="8">
        <f>IF([2]道具信息!I354="","",[2]道具信息!I354)</f>
        <v>80</v>
      </c>
      <c r="J354" s="8">
        <f>IF([2]道具信息!J354="","",[2]道具信息!J354)</f>
        <v>80</v>
      </c>
      <c r="K354" s="8">
        <f>IF([2]道具信息!K354="","",[2]道具信息!K354)</f>
        <v>80</v>
      </c>
      <c r="L354" s="8" t="str">
        <f>IF([2]道具信息!L354="","",[2]道具信息!L354)</f>
        <v>使用后随机获得长颈壶、方陶皿、兽头觥、象形尊中的1个贡品</v>
      </c>
      <c r="M354" s="8" t="str">
        <f>IF([2]道具信息!M354="","",[2]道具信息!M354)</f>
        <v/>
      </c>
      <c r="N354" s="8" t="str">
        <f>IF([2]道具信息!N354="","",[2]道具信息!N354)</f>
        <v/>
      </c>
      <c r="O354" s="8" t="str">
        <f>IF([2]道具信息!O354="","",[2]道具信息!O354)</f>
        <v/>
      </c>
      <c r="P354" s="8" t="str">
        <f>IF([2]道具信息!P354="","",[2]道具信息!P354)</f>
        <v/>
      </c>
      <c r="Q354" s="8" t="str">
        <f>IF([2]道具信息!Q354="","",[2]道具信息!Q354)</f>
        <v/>
      </c>
      <c r="R354" s="8" t="str">
        <f>IF([2]道具信息!R354="","",[2]道具信息!R354)</f>
        <v/>
      </c>
    </row>
    <row r="355" spans="3:18" x14ac:dyDescent="0.2">
      <c r="C355" s="8">
        <f>IF([2]道具信息!C355="","",[2]道具信息!C355)</f>
        <v>26555</v>
      </c>
      <c r="D355" s="8" t="str">
        <f>IF([2]道具信息!D355="","",[2]道具信息!D355)</f>
        <v>4级贡品宝箱</v>
      </c>
      <c r="E355" s="8">
        <f>IF([2]道具信息!E355="","",[2]道具信息!E355)</f>
        <v>100</v>
      </c>
      <c r="F355" s="8">
        <f>IF([2]道具信息!F355="","",[2]道具信息!F355)</f>
        <v>1</v>
      </c>
      <c r="G355" s="8">
        <f>IF([2]道具信息!G355="","",[2]道具信息!G355)</f>
        <v>1</v>
      </c>
      <c r="H355" s="8">
        <f>IF([2]道具信息!H355="","",[2]道具信息!H355)</f>
        <v>1</v>
      </c>
      <c r="I355" s="8">
        <f>IF([2]道具信息!I355="","",[2]道具信息!I355)</f>
        <v>100</v>
      </c>
      <c r="J355" s="8">
        <f>IF([2]道具信息!J355="","",[2]道具信息!J355)</f>
        <v>100</v>
      </c>
      <c r="K355" s="8">
        <f>IF([2]道具信息!K355="","",[2]道具信息!K355)</f>
        <v>100</v>
      </c>
      <c r="L355" s="8" t="str">
        <f>IF([2]道具信息!L355="","",[2]道具信息!L355)</f>
        <v>使用后随机获得冰鉴、螭首盉、三足爵、鎏金缶中的1个贡品</v>
      </c>
      <c r="M355" s="8" t="str">
        <f>IF([2]道具信息!M355="","",[2]道具信息!M355)</f>
        <v/>
      </c>
      <c r="N355" s="8" t="str">
        <f>IF([2]道具信息!N355="","",[2]道具信息!N355)</f>
        <v/>
      </c>
      <c r="O355" s="8" t="str">
        <f>IF([2]道具信息!O355="","",[2]道具信息!O355)</f>
        <v/>
      </c>
      <c r="P355" s="8" t="str">
        <f>IF([2]道具信息!P355="","",[2]道具信息!P355)</f>
        <v/>
      </c>
      <c r="Q355" s="8" t="str">
        <f>IF([2]道具信息!Q355="","",[2]道具信息!Q355)</f>
        <v/>
      </c>
      <c r="R355" s="8" t="str">
        <f>IF([2]道具信息!R355="","",[2]道具信息!R355)</f>
        <v/>
      </c>
    </row>
    <row r="356" spans="3:18" x14ac:dyDescent="0.2">
      <c r="C356" s="8">
        <f>IF([2]道具信息!C356="","",[2]道具信息!C356)</f>
        <v>26556</v>
      </c>
      <c r="D356" s="8" t="str">
        <f>IF([2]道具信息!D356="","",[2]道具信息!D356)</f>
        <v>5级贡品宝箱</v>
      </c>
      <c r="E356" s="8">
        <f>IF([2]道具信息!E356="","",[2]道具信息!E356)</f>
        <v>120</v>
      </c>
      <c r="F356" s="8">
        <f>IF([2]道具信息!F356="","",[2]道具信息!F356)</f>
        <v>1</v>
      </c>
      <c r="G356" s="8">
        <f>IF([2]道具信息!G356="","",[2]道具信息!G356)</f>
        <v>1</v>
      </c>
      <c r="H356" s="8">
        <f>IF([2]道具信息!H356="","",[2]道具信息!H356)</f>
        <v>1</v>
      </c>
      <c r="I356" s="8">
        <f>IF([2]道具信息!I356="","",[2]道具信息!I356)</f>
        <v>120</v>
      </c>
      <c r="J356" s="8">
        <f>IF([2]道具信息!J356="","",[2]道具信息!J356)</f>
        <v>120</v>
      </c>
      <c r="K356" s="8">
        <f>IF([2]道具信息!K356="","",[2]道具信息!K356)</f>
        <v>120</v>
      </c>
      <c r="L356" s="8" t="str">
        <f>IF([2]道具信息!L356="","",[2]道具信息!L356)</f>
        <v>使用后随机获得锦瑟、编钟、石磬、瑶琴中的1个贡品</v>
      </c>
      <c r="M356" s="8" t="str">
        <f>IF([2]道具信息!M356="","",[2]道具信息!M356)</f>
        <v/>
      </c>
      <c r="N356" s="8" t="str">
        <f>IF([2]道具信息!N356="","",[2]道具信息!N356)</f>
        <v/>
      </c>
      <c r="O356" s="8" t="str">
        <f>IF([2]道具信息!O356="","",[2]道具信息!O356)</f>
        <v/>
      </c>
      <c r="P356" s="8" t="str">
        <f>IF([2]道具信息!P356="","",[2]道具信息!P356)</f>
        <v/>
      </c>
      <c r="Q356" s="8" t="str">
        <f>IF([2]道具信息!Q356="","",[2]道具信息!Q356)</f>
        <v/>
      </c>
      <c r="R356" s="8" t="str">
        <f>IF([2]道具信息!R356="","",[2]道具信息!R356)</f>
        <v/>
      </c>
    </row>
    <row r="357" spans="3:18" x14ac:dyDescent="0.2">
      <c r="C357" s="8">
        <f>IF([2]道具信息!C357="","",[2]道具信息!C357)</f>
        <v>26557</v>
      </c>
      <c r="D357" s="8" t="str">
        <f>IF([2]道具信息!D357="","",[2]道具信息!D357)</f>
        <v>6级贡品宝箱</v>
      </c>
      <c r="E357" s="8">
        <f>IF([2]道具信息!E357="","",[2]道具信息!E357)</f>
        <v>140</v>
      </c>
      <c r="F357" s="8">
        <f>IF([2]道具信息!F357="","",[2]道具信息!F357)</f>
        <v>1</v>
      </c>
      <c r="G357" s="8">
        <f>IF([2]道具信息!G357="","",[2]道具信息!G357)</f>
        <v>1</v>
      </c>
      <c r="H357" s="8">
        <f>IF([2]道具信息!H357="","",[2]道具信息!H357)</f>
        <v>1</v>
      </c>
      <c r="I357" s="8">
        <f>IF([2]道具信息!I357="","",[2]道具信息!I357)</f>
        <v>140</v>
      </c>
      <c r="J357" s="8">
        <f>IF([2]道具信息!J357="","",[2]道具信息!J357)</f>
        <v>140</v>
      </c>
      <c r="K357" s="8">
        <f>IF([2]道具信息!K357="","",[2]道具信息!K357)</f>
        <v>140</v>
      </c>
      <c r="L357" s="8" t="str">
        <f>IF([2]道具信息!L357="","",[2]道具信息!L357)</f>
        <v>使用后随机获得青圭、赤璋、白琥、玄璜中的1个贡品</v>
      </c>
      <c r="M357" s="8" t="str">
        <f>IF([2]道具信息!M357="","",[2]道具信息!M357)</f>
        <v/>
      </c>
      <c r="N357" s="8" t="str">
        <f>IF([2]道具信息!N357="","",[2]道具信息!N357)</f>
        <v/>
      </c>
      <c r="O357" s="8" t="str">
        <f>IF([2]道具信息!O357="","",[2]道具信息!O357)</f>
        <v/>
      </c>
      <c r="P357" s="8" t="str">
        <f>IF([2]道具信息!P357="","",[2]道具信息!P357)</f>
        <v/>
      </c>
      <c r="Q357" s="8" t="str">
        <f>IF([2]道具信息!Q357="","",[2]道具信息!Q357)</f>
        <v/>
      </c>
      <c r="R357" s="8" t="str">
        <f>IF([2]道具信息!R357="","",[2]道具信息!R357)</f>
        <v/>
      </c>
    </row>
    <row r="358" spans="3:18" x14ac:dyDescent="0.2">
      <c r="C358" s="8" t="str">
        <f>IF([2]道具信息!C358="","",[2]道具信息!C358)</f>
        <v/>
      </c>
      <c r="D358" s="8" t="str">
        <f>IF([2]道具信息!D358="","",[2]道具信息!D358)</f>
        <v/>
      </c>
      <c r="E358" s="8" t="str">
        <f>IF([2]道具信息!E358="","",[2]道具信息!E358)</f>
        <v/>
      </c>
      <c r="F358" s="8" t="str">
        <f>IF([2]道具信息!F358="","",[2]道具信息!F358)</f>
        <v/>
      </c>
      <c r="G358" s="8" t="str">
        <f>IF([2]道具信息!G358="","",[2]道具信息!G358)</f>
        <v/>
      </c>
      <c r="H358" s="8" t="str">
        <f>IF([2]道具信息!H358="","",[2]道具信息!H358)</f>
        <v/>
      </c>
      <c r="I358" s="8" t="str">
        <f>IF([2]道具信息!I358="","",[2]道具信息!I358)</f>
        <v/>
      </c>
      <c r="J358" s="8" t="str">
        <f>IF([2]道具信息!J358="","",[2]道具信息!J358)</f>
        <v/>
      </c>
      <c r="K358" s="8" t="str">
        <f>IF([2]道具信息!K358="","",[2]道具信息!K358)</f>
        <v/>
      </c>
      <c r="L358" s="8" t="str">
        <f>IF([2]道具信息!L358="","",[2]道具信息!L358)</f>
        <v/>
      </c>
      <c r="M358" s="8" t="str">
        <f>IF([2]道具信息!M358="","",[2]道具信息!M358)</f>
        <v/>
      </c>
      <c r="N358" s="8" t="str">
        <f>IF([2]道具信息!N358="","",[2]道具信息!N358)</f>
        <v/>
      </c>
      <c r="O358" s="8" t="str">
        <f>IF([2]道具信息!O358="","",[2]道具信息!O358)</f>
        <v/>
      </c>
      <c r="P358" s="8" t="str">
        <f>IF([2]道具信息!P358="","",[2]道具信息!P358)</f>
        <v/>
      </c>
      <c r="Q358" s="8" t="str">
        <f>IF([2]道具信息!Q358="","",[2]道具信息!Q358)</f>
        <v/>
      </c>
      <c r="R358" s="8" t="str">
        <f>IF([2]道具信息!R358="","",[2]道具信息!R358)</f>
        <v/>
      </c>
    </row>
    <row r="359" spans="3:18" x14ac:dyDescent="0.2">
      <c r="C359" s="8">
        <f>IF([2]道具信息!C359="","",[2]道具信息!C359)</f>
        <v>21251</v>
      </c>
      <c r="D359" s="8" t="str">
        <f>IF([2]道具信息!D359="","",[2]道具信息!D359)</f>
        <v>绿色装备宝箱</v>
      </c>
      <c r="E359" s="8">
        <f>IF([2]道具信息!E359="","",[2]道具信息!E359)</f>
        <v>35</v>
      </c>
      <c r="F359" s="8">
        <f>IF([2]道具信息!F359="","",[2]道具信息!F359)</f>
        <v>1</v>
      </c>
      <c r="G359" s="8">
        <f>IF([2]道具信息!G359="","",[2]道具信息!G359)</f>
        <v>1</v>
      </c>
      <c r="H359" s="8">
        <f>IF([2]道具信息!H359="","",[2]道具信息!H359)</f>
        <v>1</v>
      </c>
      <c r="I359" s="8">
        <f>IF([2]道具信息!I359="","",[2]道具信息!I359)</f>
        <v>35</v>
      </c>
      <c r="J359" s="8">
        <f>IF([2]道具信息!J359="","",[2]道具信息!J359)</f>
        <v>35</v>
      </c>
      <c r="K359" s="8">
        <f>IF([2]道具信息!K359="","",[2]道具信息!K359)</f>
        <v>35</v>
      </c>
      <c r="L359" s="8" t="str">
        <f>IF([2]道具信息!L359="","",[2]道具信息!L359)</f>
        <v>使用后随机获得1件品质为绿色的装备</v>
      </c>
      <c r="M359" s="8" t="str">
        <f>IF([2]道具信息!M359="","",[2]道具信息!M359)</f>
        <v/>
      </c>
      <c r="N359" s="8" t="str">
        <f>IF([2]道具信息!N359="","",[2]道具信息!N359)</f>
        <v/>
      </c>
      <c r="O359" s="8" t="str">
        <f>IF([2]道具信息!O359="","",[2]道具信息!O359)</f>
        <v/>
      </c>
      <c r="P359" s="8" t="str">
        <f>IF([2]道具信息!P359="","",[2]道具信息!P359)</f>
        <v/>
      </c>
      <c r="Q359" s="8" t="str">
        <f>IF([2]道具信息!Q359="","",[2]道具信息!Q359)</f>
        <v/>
      </c>
      <c r="R359" s="8" t="str">
        <f>IF([2]道具信息!R359="","",[2]道具信息!R359)</f>
        <v/>
      </c>
    </row>
    <row r="360" spans="3:18" x14ac:dyDescent="0.2">
      <c r="C360" s="8">
        <f>IF([2]道具信息!C360="","",[2]道具信息!C360)</f>
        <v>21252</v>
      </c>
      <c r="D360" s="8" t="str">
        <f>IF([2]道具信息!D360="","",[2]道具信息!D360)</f>
        <v>蓝色装备宝箱</v>
      </c>
      <c r="E360" s="8">
        <f>IF([2]道具信息!E360="","",[2]道具信息!E360)</f>
        <v>75</v>
      </c>
      <c r="F360" s="8">
        <f>IF([2]道具信息!F360="","",[2]道具信息!F360)</f>
        <v>1</v>
      </c>
      <c r="G360" s="8">
        <f>IF([2]道具信息!G360="","",[2]道具信息!G360)</f>
        <v>1</v>
      </c>
      <c r="H360" s="8">
        <f>IF([2]道具信息!H360="","",[2]道具信息!H360)</f>
        <v>1</v>
      </c>
      <c r="I360" s="8">
        <f>IF([2]道具信息!I360="","",[2]道具信息!I360)</f>
        <v>75</v>
      </c>
      <c r="J360" s="8">
        <f>IF([2]道具信息!J360="","",[2]道具信息!J360)</f>
        <v>75</v>
      </c>
      <c r="K360" s="8">
        <f>IF([2]道具信息!K360="","",[2]道具信息!K360)</f>
        <v>75</v>
      </c>
      <c r="L360" s="8" t="str">
        <f>IF([2]道具信息!L360="","",[2]道具信息!L360)</f>
        <v>使用后随机获得1件品质为蓝色的装备</v>
      </c>
      <c r="M360" s="8" t="str">
        <f>IF([2]道具信息!M360="","",[2]道具信息!M360)</f>
        <v/>
      </c>
      <c r="N360" s="8" t="str">
        <f>IF([2]道具信息!N360="","",[2]道具信息!N360)</f>
        <v/>
      </c>
      <c r="O360" s="8" t="str">
        <f>IF([2]道具信息!O360="","",[2]道具信息!O360)</f>
        <v/>
      </c>
      <c r="P360" s="8" t="str">
        <f>IF([2]道具信息!P360="","",[2]道具信息!P360)</f>
        <v/>
      </c>
      <c r="Q360" s="8" t="str">
        <f>IF([2]道具信息!Q360="","",[2]道具信息!Q360)</f>
        <v/>
      </c>
      <c r="R360" s="8" t="str">
        <f>IF([2]道具信息!R360="","",[2]道具信息!R360)</f>
        <v/>
      </c>
    </row>
    <row r="361" spans="3:18" x14ac:dyDescent="0.2">
      <c r="C361" s="8">
        <f>IF([2]道具信息!C361="","",[2]道具信息!C361)</f>
        <v>21253</v>
      </c>
      <c r="D361" s="8" t="str">
        <f>IF([2]道具信息!D361="","",[2]道具信息!D361)</f>
        <v>紫色装备宝箱</v>
      </c>
      <c r="E361" s="8">
        <f>IF([2]道具信息!E361="","",[2]道具信息!E361)</f>
        <v>150</v>
      </c>
      <c r="F361" s="8">
        <f>IF([2]道具信息!F361="","",[2]道具信息!F361)</f>
        <v>1</v>
      </c>
      <c r="G361" s="8">
        <f>IF([2]道具信息!G361="","",[2]道具信息!G361)</f>
        <v>1</v>
      </c>
      <c r="H361" s="8">
        <f>IF([2]道具信息!H361="","",[2]道具信息!H361)</f>
        <v>1</v>
      </c>
      <c r="I361" s="8">
        <f>IF([2]道具信息!I361="","",[2]道具信息!I361)</f>
        <v>150</v>
      </c>
      <c r="J361" s="8">
        <f>IF([2]道具信息!J361="","",[2]道具信息!J361)</f>
        <v>150</v>
      </c>
      <c r="K361" s="8">
        <f>IF([2]道具信息!K361="","",[2]道具信息!K361)</f>
        <v>150</v>
      </c>
      <c r="L361" s="8" t="str">
        <f>IF([2]道具信息!L361="","",[2]道具信息!L361)</f>
        <v>使用后随机获得1件品质为紫色的装备</v>
      </c>
      <c r="M361" s="8" t="str">
        <f>IF([2]道具信息!M361="","",[2]道具信息!M361)</f>
        <v/>
      </c>
      <c r="N361" s="8" t="str">
        <f>IF([2]道具信息!N361="","",[2]道具信息!N361)</f>
        <v/>
      </c>
      <c r="O361" s="8" t="str">
        <f>IF([2]道具信息!O361="","",[2]道具信息!O361)</f>
        <v/>
      </c>
      <c r="P361" s="8" t="str">
        <f>IF([2]道具信息!P361="","",[2]道具信息!P361)</f>
        <v/>
      </c>
      <c r="Q361" s="8" t="str">
        <f>IF([2]道具信息!Q361="","",[2]道具信息!Q361)</f>
        <v/>
      </c>
      <c r="R361" s="8" t="str">
        <f>IF([2]道具信息!R361="","",[2]道具信息!R361)</f>
        <v/>
      </c>
    </row>
    <row r="362" spans="3:18" x14ac:dyDescent="0.2">
      <c r="C362" s="8">
        <f>IF([2]道具信息!C362="","",[2]道具信息!C362)</f>
        <v>21254</v>
      </c>
      <c r="D362" s="8" t="str">
        <f>IF([2]道具信息!D362="","",[2]道具信息!D362)</f>
        <v>橙色装备宝箱</v>
      </c>
      <c r="E362" s="8">
        <f>IF([2]道具信息!E362="","",[2]道具信息!E362)</f>
        <v>320</v>
      </c>
      <c r="F362" s="8">
        <f>IF([2]道具信息!F362="","",[2]道具信息!F362)</f>
        <v>1</v>
      </c>
      <c r="G362" s="8">
        <f>IF([2]道具信息!G362="","",[2]道具信息!G362)</f>
        <v>1</v>
      </c>
      <c r="H362" s="8">
        <f>IF([2]道具信息!H362="","",[2]道具信息!H362)</f>
        <v>1</v>
      </c>
      <c r="I362" s="8">
        <f>IF([2]道具信息!I362="","",[2]道具信息!I362)</f>
        <v>320</v>
      </c>
      <c r="J362" s="8">
        <f>IF([2]道具信息!J362="","",[2]道具信息!J362)</f>
        <v>320</v>
      </c>
      <c r="K362" s="8">
        <f>IF([2]道具信息!K362="","",[2]道具信息!K362)</f>
        <v>320</v>
      </c>
      <c r="L362" s="8" t="str">
        <f>IF([2]道具信息!L362="","",[2]道具信息!L362)</f>
        <v>使用后随机获得1件品质为橙色的装备</v>
      </c>
      <c r="M362" s="8" t="str">
        <f>IF([2]道具信息!M362="","",[2]道具信息!M362)</f>
        <v/>
      </c>
      <c r="N362" s="8" t="str">
        <f>IF([2]道具信息!N362="","",[2]道具信息!N362)</f>
        <v/>
      </c>
      <c r="O362" s="8" t="str">
        <f>IF([2]道具信息!O362="","",[2]道具信息!O362)</f>
        <v/>
      </c>
      <c r="P362" s="8" t="str">
        <f>IF([2]道具信息!P362="","",[2]道具信息!P362)</f>
        <v/>
      </c>
      <c r="Q362" s="8" t="str">
        <f>IF([2]道具信息!Q362="","",[2]道具信息!Q362)</f>
        <v/>
      </c>
      <c r="R362" s="8" t="str">
        <f>IF([2]道具信息!R362="","",[2]道具信息!R362)</f>
        <v/>
      </c>
    </row>
    <row r="363" spans="3:18" x14ac:dyDescent="0.2">
      <c r="C363" s="8">
        <f>IF([2]道具信息!C363="","",[2]道具信息!C363)</f>
        <v>21255</v>
      </c>
      <c r="D363" s="8" t="str">
        <f>IF([2]道具信息!D363="","",[2]道具信息!D363)</f>
        <v>红色装备宝箱</v>
      </c>
      <c r="E363" s="8">
        <f>IF([2]道具信息!E363="","",[2]道具信息!E363)</f>
        <v>2400</v>
      </c>
      <c r="F363" s="8">
        <f>IF([2]道具信息!F363="","",[2]道具信息!F363)</f>
        <v>1</v>
      </c>
      <c r="G363" s="8">
        <f>IF([2]道具信息!G363="","",[2]道具信息!G363)</f>
        <v>1</v>
      </c>
      <c r="H363" s="8">
        <f>IF([2]道具信息!H363="","",[2]道具信息!H363)</f>
        <v>1</v>
      </c>
      <c r="I363" s="8">
        <f>IF([2]道具信息!I363="","",[2]道具信息!I363)</f>
        <v>2400</v>
      </c>
      <c r="J363" s="8">
        <f>IF([2]道具信息!J363="","",[2]道具信息!J363)</f>
        <v>2400</v>
      </c>
      <c r="K363" s="8">
        <f>IF([2]道具信息!K363="","",[2]道具信息!K363)</f>
        <v>2400</v>
      </c>
      <c r="L363" s="8" t="str">
        <f>IF([2]道具信息!L363="","",[2]道具信息!L363)</f>
        <v>使用后随机获得1件品质为红色的装备</v>
      </c>
      <c r="M363" s="8" t="str">
        <f>IF([2]道具信息!M363="","",[2]道具信息!M363)</f>
        <v/>
      </c>
      <c r="N363" s="8" t="str">
        <f>IF([2]道具信息!N363="","",[2]道具信息!N363)</f>
        <v/>
      </c>
      <c r="O363" s="8" t="str">
        <f>IF([2]道具信息!O363="","",[2]道具信息!O363)</f>
        <v/>
      </c>
      <c r="P363" s="8" t="str">
        <f>IF([2]道具信息!P363="","",[2]道具信息!P363)</f>
        <v/>
      </c>
      <c r="Q363" s="8" t="str">
        <f>IF([2]道具信息!Q363="","",[2]道具信息!Q363)</f>
        <v/>
      </c>
      <c r="R363" s="8" t="str">
        <f>IF([2]道具信息!R363="","",[2]道具信息!R363)</f>
        <v/>
      </c>
    </row>
    <row r="364" spans="3:18" x14ac:dyDescent="0.2">
      <c r="C364" s="8" t="str">
        <f>IF([2]道具信息!C364="","",[2]道具信息!C364)</f>
        <v/>
      </c>
      <c r="D364" s="8" t="str">
        <f>IF([2]道具信息!D364="","",[2]道具信息!D364)</f>
        <v/>
      </c>
      <c r="E364" s="8" t="str">
        <f>IF([2]道具信息!E364="","",[2]道具信息!E364)</f>
        <v/>
      </c>
      <c r="F364" s="8" t="str">
        <f>IF([2]道具信息!F364="","",[2]道具信息!F364)</f>
        <v/>
      </c>
      <c r="G364" s="8" t="str">
        <f>IF([2]道具信息!G364="","",[2]道具信息!G364)</f>
        <v/>
      </c>
      <c r="H364" s="8" t="str">
        <f>IF([2]道具信息!H364="","",[2]道具信息!H364)</f>
        <v/>
      </c>
      <c r="I364" s="8" t="str">
        <f>IF([2]道具信息!I364="","",[2]道具信息!I364)</f>
        <v/>
      </c>
      <c r="J364" s="8" t="str">
        <f>IF([2]道具信息!J364="","",[2]道具信息!J364)</f>
        <v/>
      </c>
      <c r="K364" s="8" t="str">
        <f>IF([2]道具信息!K364="","",[2]道具信息!K364)</f>
        <v/>
      </c>
      <c r="L364" s="8" t="str">
        <f>IF([2]道具信息!L364="","",[2]道具信息!L364)</f>
        <v/>
      </c>
      <c r="M364" s="8" t="str">
        <f>IF([2]道具信息!M364="","",[2]道具信息!M364)</f>
        <v/>
      </c>
      <c r="N364" s="8" t="str">
        <f>IF([2]道具信息!N364="","",[2]道具信息!N364)</f>
        <v/>
      </c>
      <c r="O364" s="8" t="str">
        <f>IF([2]道具信息!O364="","",[2]道具信息!O364)</f>
        <v/>
      </c>
      <c r="P364" s="8" t="str">
        <f>IF([2]道具信息!P364="","",[2]道具信息!P364)</f>
        <v/>
      </c>
      <c r="Q364" s="8" t="str">
        <f>IF([2]道具信息!Q364="","",[2]道具信息!Q364)</f>
        <v/>
      </c>
      <c r="R364" s="8" t="str">
        <f>IF([2]道具信息!R364="","",[2]道具信息!R364)</f>
        <v/>
      </c>
    </row>
    <row r="365" spans="3:18" x14ac:dyDescent="0.2">
      <c r="C365" s="8">
        <f>IF([2]道具信息!C365="","",[2]道具信息!C365)</f>
        <v>20052</v>
      </c>
      <c r="D365" s="8" t="str">
        <f>IF([2]道具信息!D365="","",[2]道具信息!D365)</f>
        <v>练军心得·觉</v>
      </c>
      <c r="E365" s="8">
        <f>IF([2]道具信息!E365="","",[2]道具信息!E365)</f>
        <v>40</v>
      </c>
      <c r="F365" s="8">
        <f>IF([2]道具信息!F365="","",[2]道具信息!F365)</f>
        <v>1</v>
      </c>
      <c r="G365" s="8">
        <f>IF([2]道具信息!G365="","",[2]道具信息!G365)</f>
        <v>1</v>
      </c>
      <c r="H365" s="8">
        <f>IF([2]道具信息!H365="","",[2]道具信息!H365)</f>
        <v>1</v>
      </c>
      <c r="I365" s="8">
        <f>IF([2]道具信息!I365="","",[2]道具信息!I365)</f>
        <v>40</v>
      </c>
      <c r="J365" s="8">
        <f>IF([2]道具信息!J365="","",[2]道具信息!J365)</f>
        <v>40</v>
      </c>
      <c r="K365" s="8">
        <f>IF([2]道具信息!K365="","",[2]道具信息!K365)</f>
        <v>40</v>
      </c>
      <c r="L365" s="8" t="str">
        <f>IF([2]道具信息!L365="","",[2]道具信息!L365)</f>
        <v>掌军之策，厉兵秣马，可用于武将觉醒</v>
      </c>
      <c r="M365" s="8" t="str">
        <f>IF([2]道具信息!M365="","",[2]道具信息!M365)</f>
        <v/>
      </c>
      <c r="N365" s="8" t="str">
        <f>IF([2]道具信息!N365="","",[2]道具信息!N365)</f>
        <v/>
      </c>
      <c r="O365" s="8" t="str">
        <f>IF([2]道具信息!O365="","",[2]道具信息!O365)</f>
        <v/>
      </c>
      <c r="P365" s="8" t="str">
        <f>IF([2]道具信息!P365="","",[2]道具信息!P365)</f>
        <v/>
      </c>
      <c r="Q365" s="8" t="str">
        <f>IF([2]道具信息!Q365="","",[2]道具信息!Q365)</f>
        <v/>
      </c>
      <c r="R365" s="8" t="str">
        <f>IF([2]道具信息!R365="","",[2]道具信息!R365)</f>
        <v/>
      </c>
    </row>
    <row r="366" spans="3:18" x14ac:dyDescent="0.2">
      <c r="C366" s="8">
        <f>IF([2]道具信息!C366="","",[2]道具信息!C366)</f>
        <v>20053</v>
      </c>
      <c r="D366" s="8" t="str">
        <f>IF([2]道具信息!D366="","",[2]道具信息!D366)</f>
        <v>策论心得·觉</v>
      </c>
      <c r="E366" s="8">
        <f>IF([2]道具信息!E366="","",[2]道具信息!E366)</f>
        <v>40</v>
      </c>
      <c r="F366" s="8">
        <f>IF([2]道具信息!F366="","",[2]道具信息!F366)</f>
        <v>1</v>
      </c>
      <c r="G366" s="8">
        <f>IF([2]道具信息!G366="","",[2]道具信息!G366)</f>
        <v>1</v>
      </c>
      <c r="H366" s="8">
        <f>IF([2]道具信息!H366="","",[2]道具信息!H366)</f>
        <v>1</v>
      </c>
      <c r="I366" s="8">
        <f>IF([2]道具信息!I366="","",[2]道具信息!I366)</f>
        <v>40</v>
      </c>
      <c r="J366" s="8">
        <f>IF([2]道具信息!J366="","",[2]道具信息!J366)</f>
        <v>40</v>
      </c>
      <c r="K366" s="8">
        <f>IF([2]道具信息!K366="","",[2]道具信息!K366)</f>
        <v>40</v>
      </c>
      <c r="L366" s="8" t="str">
        <f>IF([2]道具信息!L366="","",[2]道具信息!L366)</f>
        <v>书山万卷，算无遗策，可用于武将觉醒</v>
      </c>
      <c r="M366" s="8" t="str">
        <f>IF([2]道具信息!M366="","",[2]道具信息!M366)</f>
        <v/>
      </c>
      <c r="N366" s="8" t="str">
        <f>IF([2]道具信息!N366="","",[2]道具信息!N366)</f>
        <v/>
      </c>
      <c r="O366" s="8" t="str">
        <f>IF([2]道具信息!O366="","",[2]道具信息!O366)</f>
        <v/>
      </c>
      <c r="P366" s="8" t="str">
        <f>IF([2]道具信息!P366="","",[2]道具信息!P366)</f>
        <v/>
      </c>
      <c r="Q366" s="8" t="str">
        <f>IF([2]道具信息!Q366="","",[2]道具信息!Q366)</f>
        <v/>
      </c>
      <c r="R366" s="8" t="str">
        <f>IF([2]道具信息!R366="","",[2]道具信息!R366)</f>
        <v/>
      </c>
    </row>
    <row r="367" spans="3:18" x14ac:dyDescent="0.2">
      <c r="C367" s="8">
        <f>IF([2]道具信息!C367="","",[2]道具信息!C367)</f>
        <v>20054</v>
      </c>
      <c r="D367" s="8" t="str">
        <f>IF([2]道具信息!D367="","",[2]道具信息!D367)</f>
        <v>兵书心得·觉</v>
      </c>
      <c r="E367" s="8">
        <f>IF([2]道具信息!E367="","",[2]道具信息!E367)</f>
        <v>40</v>
      </c>
      <c r="F367" s="8">
        <f>IF([2]道具信息!F367="","",[2]道具信息!F367)</f>
        <v>1</v>
      </c>
      <c r="G367" s="8">
        <f>IF([2]道具信息!G367="","",[2]道具信息!G367)</f>
        <v>1</v>
      </c>
      <c r="H367" s="8">
        <f>IF([2]道具信息!H367="","",[2]道具信息!H367)</f>
        <v>1</v>
      </c>
      <c r="I367" s="8">
        <f>IF([2]道具信息!I367="","",[2]道具信息!I367)</f>
        <v>40</v>
      </c>
      <c r="J367" s="8">
        <f>IF([2]道具信息!J367="","",[2]道具信息!J367)</f>
        <v>40</v>
      </c>
      <c r="K367" s="8">
        <f>IF([2]道具信息!K367="","",[2]道具信息!K367)</f>
        <v>40</v>
      </c>
      <c r="L367" s="8" t="str">
        <f>IF([2]道具信息!L367="","",[2]道具信息!L367)</f>
        <v>千军万马，文韬武略，可用于武将觉醒</v>
      </c>
      <c r="M367" s="8" t="str">
        <f>IF([2]道具信息!M367="","",[2]道具信息!M367)</f>
        <v/>
      </c>
      <c r="N367" s="8" t="str">
        <f>IF([2]道具信息!N367="","",[2]道具信息!N367)</f>
        <v/>
      </c>
      <c r="O367" s="8" t="str">
        <f>IF([2]道具信息!O367="","",[2]道具信息!O367)</f>
        <v/>
      </c>
      <c r="P367" s="8" t="str">
        <f>IF([2]道具信息!P367="","",[2]道具信息!P367)</f>
        <v/>
      </c>
      <c r="Q367" s="8" t="str">
        <f>IF([2]道具信息!Q367="","",[2]道具信息!Q367)</f>
        <v/>
      </c>
      <c r="R367" s="8" t="str">
        <f>IF([2]道具信息!R367="","",[2]道具信息!R367)</f>
        <v/>
      </c>
    </row>
    <row r="368" spans="3:18" x14ac:dyDescent="0.2">
      <c r="C368" s="8" t="str">
        <f>IF([2]道具信息!C368="","",[2]道具信息!C368)</f>
        <v/>
      </c>
      <c r="D368" s="8" t="str">
        <f>IF([2]道具信息!D368="","",[2]道具信息!D368)</f>
        <v/>
      </c>
      <c r="E368" s="8" t="str">
        <f>IF([2]道具信息!E368="","",[2]道具信息!E368)</f>
        <v/>
      </c>
      <c r="F368" s="8" t="str">
        <f>IF([2]道具信息!F368="","",[2]道具信息!F368)</f>
        <v/>
      </c>
      <c r="G368" s="8" t="str">
        <f>IF([2]道具信息!G368="","",[2]道具信息!G368)</f>
        <v/>
      </c>
      <c r="H368" s="8" t="str">
        <f>IF([2]道具信息!H368="","",[2]道具信息!H368)</f>
        <v/>
      </c>
      <c r="I368" s="8" t="str">
        <f>IF([2]道具信息!I368="","",[2]道具信息!I368)</f>
        <v/>
      </c>
      <c r="J368" s="8" t="str">
        <f>IF([2]道具信息!J368="","",[2]道具信息!J368)</f>
        <v/>
      </c>
      <c r="K368" s="8" t="str">
        <f>IF([2]道具信息!K368="","",[2]道具信息!K368)</f>
        <v/>
      </c>
      <c r="L368" s="8" t="str">
        <f>IF([2]道具信息!L368="","",[2]道具信息!L368)</f>
        <v/>
      </c>
      <c r="M368" s="8" t="str">
        <f>IF([2]道具信息!M368="","",[2]道具信息!M368)</f>
        <v/>
      </c>
      <c r="N368" s="8" t="str">
        <f>IF([2]道具信息!N368="","",[2]道具信息!N368)</f>
        <v/>
      </c>
      <c r="O368" s="8" t="str">
        <f>IF([2]道具信息!O368="","",[2]道具信息!O368)</f>
        <v/>
      </c>
      <c r="P368" s="8" t="str">
        <f>IF([2]道具信息!P368="","",[2]道具信息!P368)</f>
        <v/>
      </c>
      <c r="Q368" s="8" t="str">
        <f>IF([2]道具信息!Q368="","",[2]道具信息!Q368)</f>
        <v/>
      </c>
      <c r="R368" s="8" t="str">
        <f>IF([2]道具信息!R368="","",[2]道具信息!R368)</f>
        <v/>
      </c>
    </row>
    <row r="369" spans="3:18" x14ac:dyDescent="0.2">
      <c r="C369" s="8">
        <f>IF([2]道具信息!C369="","",[2]道具信息!C369)</f>
        <v>20055</v>
      </c>
      <c r="D369" s="8" t="str">
        <f>IF([2]道具信息!D369="","",[2]道具信息!D369)</f>
        <v>虎咬佩剑·觉</v>
      </c>
      <c r="E369" s="8">
        <f>IF([2]道具信息!E369="","",[2]道具信息!E369)</f>
        <v>60</v>
      </c>
      <c r="F369" s="8">
        <f>IF([2]道具信息!F369="","",[2]道具信息!F369)</f>
        <v>1</v>
      </c>
      <c r="G369" s="8">
        <f>IF([2]道具信息!G369="","",[2]道具信息!G369)</f>
        <v>1</v>
      </c>
      <c r="H369" s="8">
        <f>IF([2]道具信息!H369="","",[2]道具信息!H369)</f>
        <v>1</v>
      </c>
      <c r="I369" s="8">
        <f>IF([2]道具信息!I369="","",[2]道具信息!I369)</f>
        <v>60</v>
      </c>
      <c r="J369" s="8">
        <f>IF([2]道具信息!J369="","",[2]道具信息!J369)</f>
        <v>60</v>
      </c>
      <c r="K369" s="8">
        <f>IF([2]道具信息!K369="","",[2]道具信息!K369)</f>
        <v>60</v>
      </c>
      <c r="L369" s="8" t="str">
        <f>IF([2]道具信息!L369="","",[2]道具信息!L369)</f>
        <v>卧虎藏龙，剑及履及，可用于武将觉醒</v>
      </c>
      <c r="M369" s="8" t="str">
        <f>IF([2]道具信息!M369="","",[2]道具信息!M369)</f>
        <v/>
      </c>
      <c r="N369" s="8" t="str">
        <f>IF([2]道具信息!N369="","",[2]道具信息!N369)</f>
        <v/>
      </c>
      <c r="O369" s="8" t="str">
        <f>IF([2]道具信息!O369="","",[2]道具信息!O369)</f>
        <v/>
      </c>
      <c r="P369" s="8" t="str">
        <f>IF([2]道具信息!P369="","",[2]道具信息!P369)</f>
        <v/>
      </c>
      <c r="Q369" s="8" t="str">
        <f>IF([2]道具信息!Q369="","",[2]道具信息!Q369)</f>
        <v/>
      </c>
      <c r="R369" s="8" t="str">
        <f>IF([2]道具信息!R369="","",[2]道具信息!R369)</f>
        <v/>
      </c>
    </row>
    <row r="370" spans="3:18" x14ac:dyDescent="0.2">
      <c r="C370" s="8">
        <f>IF([2]道具信息!C370="","",[2]道具信息!C370)</f>
        <v>20056</v>
      </c>
      <c r="D370" s="8" t="str">
        <f>IF([2]道具信息!D370="","",[2]道具信息!D370)</f>
        <v>灵蛇佩剑·觉</v>
      </c>
      <c r="E370" s="8">
        <f>IF([2]道具信息!E370="","",[2]道具信息!E370)</f>
        <v>60</v>
      </c>
      <c r="F370" s="8">
        <f>IF([2]道具信息!F370="","",[2]道具信息!F370)</f>
        <v>1</v>
      </c>
      <c r="G370" s="8">
        <f>IF([2]道具信息!G370="","",[2]道具信息!G370)</f>
        <v>1</v>
      </c>
      <c r="H370" s="8">
        <f>IF([2]道具信息!H370="","",[2]道具信息!H370)</f>
        <v>1</v>
      </c>
      <c r="I370" s="8">
        <f>IF([2]道具信息!I370="","",[2]道具信息!I370)</f>
        <v>60</v>
      </c>
      <c r="J370" s="8">
        <f>IF([2]道具信息!J370="","",[2]道具信息!J370)</f>
        <v>60</v>
      </c>
      <c r="K370" s="8">
        <f>IF([2]道具信息!K370="","",[2]道具信息!K370)</f>
        <v>60</v>
      </c>
      <c r="L370" s="8" t="str">
        <f>IF([2]道具信息!L370="","",[2]道具信息!L370)</f>
        <v>灵蛇之珠，剑态箫心，可用于武将觉醒</v>
      </c>
      <c r="M370" s="8" t="str">
        <f>IF([2]道具信息!M370="","",[2]道具信息!M370)</f>
        <v/>
      </c>
      <c r="N370" s="8" t="str">
        <f>IF([2]道具信息!N370="","",[2]道具信息!N370)</f>
        <v/>
      </c>
      <c r="O370" s="8" t="str">
        <f>IF([2]道具信息!O370="","",[2]道具信息!O370)</f>
        <v/>
      </c>
      <c r="P370" s="8" t="str">
        <f>IF([2]道具信息!P370="","",[2]道具信息!P370)</f>
        <v/>
      </c>
      <c r="Q370" s="8" t="str">
        <f>IF([2]道具信息!Q370="","",[2]道具信息!Q370)</f>
        <v/>
      </c>
      <c r="R370" s="8" t="str">
        <f>IF([2]道具信息!R370="","",[2]道具信息!R370)</f>
        <v/>
      </c>
    </row>
    <row r="371" spans="3:18" x14ac:dyDescent="0.2">
      <c r="C371" s="8">
        <f>IF([2]道具信息!C371="","",[2]道具信息!C371)</f>
        <v>20057</v>
      </c>
      <c r="D371" s="8" t="str">
        <f>IF([2]道具信息!D371="","",[2]道具信息!D371)</f>
        <v>狼头佩剑·觉</v>
      </c>
      <c r="E371" s="8">
        <f>IF([2]道具信息!E371="","",[2]道具信息!E371)</f>
        <v>60</v>
      </c>
      <c r="F371" s="8">
        <f>IF([2]道具信息!F371="","",[2]道具信息!F371)</f>
        <v>1</v>
      </c>
      <c r="G371" s="8">
        <f>IF([2]道具信息!G371="","",[2]道具信息!G371)</f>
        <v>1</v>
      </c>
      <c r="H371" s="8">
        <f>IF([2]道具信息!H371="","",[2]道具信息!H371)</f>
        <v>1</v>
      </c>
      <c r="I371" s="8">
        <f>IF([2]道具信息!I371="","",[2]道具信息!I371)</f>
        <v>60</v>
      </c>
      <c r="J371" s="8">
        <f>IF([2]道具信息!J371="","",[2]道具信息!J371)</f>
        <v>60</v>
      </c>
      <c r="K371" s="8">
        <f>IF([2]道具信息!K371="","",[2]道具信息!K371)</f>
        <v>60</v>
      </c>
      <c r="L371" s="8" t="str">
        <f>IF([2]道具信息!L371="","",[2]道具信息!L371)</f>
        <v>封狼居胥，剑气纵横，可用于武将觉醒</v>
      </c>
      <c r="M371" s="8" t="str">
        <f>IF([2]道具信息!M371="","",[2]道具信息!M371)</f>
        <v/>
      </c>
      <c r="N371" s="8" t="str">
        <f>IF([2]道具信息!N371="","",[2]道具信息!N371)</f>
        <v/>
      </c>
      <c r="O371" s="8" t="str">
        <f>IF([2]道具信息!O371="","",[2]道具信息!O371)</f>
        <v/>
      </c>
      <c r="P371" s="8" t="str">
        <f>IF([2]道具信息!P371="","",[2]道具信息!P371)</f>
        <v/>
      </c>
      <c r="Q371" s="8" t="str">
        <f>IF([2]道具信息!Q371="","",[2]道具信息!Q371)</f>
        <v/>
      </c>
      <c r="R371" s="8" t="str">
        <f>IF([2]道具信息!R371="","",[2]道具信息!R371)</f>
        <v/>
      </c>
    </row>
    <row r="372" spans="3:18" x14ac:dyDescent="0.2">
      <c r="C372" s="8" t="str">
        <f>IF([2]道具信息!C372="","",[2]道具信息!C372)</f>
        <v/>
      </c>
      <c r="D372" s="8" t="str">
        <f>IF([2]道具信息!D372="","",[2]道具信息!D372)</f>
        <v/>
      </c>
      <c r="E372" s="8" t="str">
        <f>IF([2]道具信息!E372="","",[2]道具信息!E372)</f>
        <v/>
      </c>
      <c r="F372" s="8" t="str">
        <f>IF([2]道具信息!F372="","",[2]道具信息!F372)</f>
        <v/>
      </c>
      <c r="G372" s="8" t="str">
        <f>IF([2]道具信息!G372="","",[2]道具信息!G372)</f>
        <v/>
      </c>
      <c r="H372" s="8" t="str">
        <f>IF([2]道具信息!H372="","",[2]道具信息!H372)</f>
        <v/>
      </c>
      <c r="I372" s="8" t="str">
        <f>IF([2]道具信息!I372="","",[2]道具信息!I372)</f>
        <v/>
      </c>
      <c r="J372" s="8" t="str">
        <f>IF([2]道具信息!J372="","",[2]道具信息!J372)</f>
        <v/>
      </c>
      <c r="K372" s="8" t="str">
        <f>IF([2]道具信息!K372="","",[2]道具信息!K372)</f>
        <v/>
      </c>
      <c r="L372" s="8" t="str">
        <f>IF([2]道具信息!L372="","",[2]道具信息!L372)</f>
        <v/>
      </c>
      <c r="M372" s="8" t="str">
        <f>IF([2]道具信息!M372="","",[2]道具信息!M372)</f>
        <v/>
      </c>
      <c r="N372" s="8" t="str">
        <f>IF([2]道具信息!N372="","",[2]道具信息!N372)</f>
        <v/>
      </c>
      <c r="O372" s="8" t="str">
        <f>IF([2]道具信息!O372="","",[2]道具信息!O372)</f>
        <v/>
      </c>
      <c r="P372" s="8" t="str">
        <f>IF([2]道具信息!P372="","",[2]道具信息!P372)</f>
        <v/>
      </c>
      <c r="Q372" s="8" t="str">
        <f>IF([2]道具信息!Q372="","",[2]道具信息!Q372)</f>
        <v/>
      </c>
      <c r="R372" s="8" t="str">
        <f>IF([2]道具信息!R372="","",[2]道具信息!R372)</f>
        <v/>
      </c>
    </row>
    <row r="373" spans="3:18" x14ac:dyDescent="0.2">
      <c r="C373" s="8">
        <f>IF([2]道具信息!C373="","",[2]道具信息!C373)</f>
        <v>20059</v>
      </c>
      <c r="D373" s="8" t="str">
        <f>IF([2]道具信息!D373="","",[2]道具信息!D373)</f>
        <v>勇之授印·觉</v>
      </c>
      <c r="E373" s="8">
        <f>IF([2]道具信息!E373="","",[2]道具信息!E373)</f>
        <v>80</v>
      </c>
      <c r="F373" s="8">
        <f>IF([2]道具信息!F373="","",[2]道具信息!F373)</f>
        <v>1</v>
      </c>
      <c r="G373" s="8">
        <f>IF([2]道具信息!G373="","",[2]道具信息!G373)</f>
        <v>1</v>
      </c>
      <c r="H373" s="8">
        <f>IF([2]道具信息!H373="","",[2]道具信息!H373)</f>
        <v>1</v>
      </c>
      <c r="I373" s="8">
        <f>IF([2]道具信息!I373="","",[2]道具信息!I373)</f>
        <v>80</v>
      </c>
      <c r="J373" s="8">
        <f>IF([2]道具信息!J373="","",[2]道具信息!J373)</f>
        <v>80</v>
      </c>
      <c r="K373" s="8">
        <f>IF([2]道具信息!K373="","",[2]道具信息!K373)</f>
        <v>80</v>
      </c>
      <c r="L373" s="8" t="str">
        <f>IF([2]道具信息!L373="","",[2]道具信息!L373)</f>
        <v>拔山盖世，气吞山河，可用于武将觉醒</v>
      </c>
      <c r="M373" s="8" t="str">
        <f>IF([2]道具信息!M373="","",[2]道具信息!M373)</f>
        <v/>
      </c>
      <c r="N373" s="8" t="str">
        <f>IF([2]道具信息!N373="","",[2]道具信息!N373)</f>
        <v/>
      </c>
      <c r="O373" s="8" t="str">
        <f>IF([2]道具信息!O373="","",[2]道具信息!O373)</f>
        <v/>
      </c>
      <c r="P373" s="8" t="str">
        <f>IF([2]道具信息!P373="","",[2]道具信息!P373)</f>
        <v/>
      </c>
      <c r="Q373" s="8" t="str">
        <f>IF([2]道具信息!Q373="","",[2]道具信息!Q373)</f>
        <v/>
      </c>
      <c r="R373" s="8" t="str">
        <f>IF([2]道具信息!R373="","",[2]道具信息!R373)</f>
        <v/>
      </c>
    </row>
    <row r="374" spans="3:18" x14ac:dyDescent="0.2">
      <c r="C374" s="8">
        <f>IF([2]道具信息!C374="","",[2]道具信息!C374)</f>
        <v>20060</v>
      </c>
      <c r="D374" s="8" t="str">
        <f>IF([2]道具信息!D374="","",[2]道具信息!D374)</f>
        <v>谋之授印·觉</v>
      </c>
      <c r="E374" s="8">
        <f>IF([2]道具信息!E374="","",[2]道具信息!E374)</f>
        <v>80</v>
      </c>
      <c r="F374" s="8">
        <f>IF([2]道具信息!F374="","",[2]道具信息!F374)</f>
        <v>1</v>
      </c>
      <c r="G374" s="8">
        <f>IF([2]道具信息!G374="","",[2]道具信息!G374)</f>
        <v>1</v>
      </c>
      <c r="H374" s="8">
        <f>IF([2]道具信息!H374="","",[2]道具信息!H374)</f>
        <v>1</v>
      </c>
      <c r="I374" s="8">
        <f>IF([2]道具信息!I374="","",[2]道具信息!I374)</f>
        <v>80</v>
      </c>
      <c r="J374" s="8">
        <f>IF([2]道具信息!J374="","",[2]道具信息!J374)</f>
        <v>80</v>
      </c>
      <c r="K374" s="8">
        <f>IF([2]道具信息!K374="","",[2]道具信息!K374)</f>
        <v>80</v>
      </c>
      <c r="L374" s="8" t="str">
        <f>IF([2]道具信息!L374="","",[2]道具信息!L374)</f>
        <v>渊谋远略，运筹帷幄，可用于武将觉醒</v>
      </c>
      <c r="M374" s="8" t="str">
        <f>IF([2]道具信息!M374="","",[2]道具信息!M374)</f>
        <v/>
      </c>
      <c r="N374" s="8" t="str">
        <f>IF([2]道具信息!N374="","",[2]道具信息!N374)</f>
        <v/>
      </c>
      <c r="O374" s="8" t="str">
        <f>IF([2]道具信息!O374="","",[2]道具信息!O374)</f>
        <v/>
      </c>
      <c r="P374" s="8" t="str">
        <f>IF([2]道具信息!P374="","",[2]道具信息!P374)</f>
        <v/>
      </c>
      <c r="Q374" s="8" t="str">
        <f>IF([2]道具信息!Q374="","",[2]道具信息!Q374)</f>
        <v/>
      </c>
      <c r="R374" s="8" t="str">
        <f>IF([2]道具信息!R374="","",[2]道具信息!R374)</f>
        <v/>
      </c>
    </row>
    <row r="375" spans="3:18" x14ac:dyDescent="0.2">
      <c r="C375" s="8">
        <f>IF([2]道具信息!C375="","",[2]道具信息!C375)</f>
        <v>20061</v>
      </c>
      <c r="D375" s="8" t="str">
        <f>IF([2]道具信息!D375="","",[2]道具信息!D375)</f>
        <v>御之授印·觉</v>
      </c>
      <c r="E375" s="8">
        <f>IF([2]道具信息!E375="","",[2]道具信息!E375)</f>
        <v>80</v>
      </c>
      <c r="F375" s="8">
        <f>IF([2]道具信息!F375="","",[2]道具信息!F375)</f>
        <v>1</v>
      </c>
      <c r="G375" s="8">
        <f>IF([2]道具信息!G375="","",[2]道具信息!G375)</f>
        <v>1</v>
      </c>
      <c r="H375" s="8">
        <f>IF([2]道具信息!H375="","",[2]道具信息!H375)</f>
        <v>1</v>
      </c>
      <c r="I375" s="8">
        <f>IF([2]道具信息!I375="","",[2]道具信息!I375)</f>
        <v>80</v>
      </c>
      <c r="J375" s="8">
        <f>IF([2]道具信息!J375="","",[2]道具信息!J375)</f>
        <v>80</v>
      </c>
      <c r="K375" s="8">
        <f>IF([2]道具信息!K375="","",[2]道具信息!K375)</f>
        <v>80</v>
      </c>
      <c r="L375" s="8" t="str">
        <f>IF([2]道具信息!L375="","",[2]道具信息!L375)</f>
        <v>御下有方，论功行赏，可用于武将觉醒</v>
      </c>
      <c r="M375" s="8" t="str">
        <f>IF([2]道具信息!M375="","",[2]道具信息!M375)</f>
        <v/>
      </c>
      <c r="N375" s="8" t="str">
        <f>IF([2]道具信息!N375="","",[2]道具信息!N375)</f>
        <v/>
      </c>
      <c r="O375" s="8" t="str">
        <f>IF([2]道具信息!O375="","",[2]道具信息!O375)</f>
        <v/>
      </c>
      <c r="P375" s="8" t="str">
        <f>IF([2]道具信息!P375="","",[2]道具信息!P375)</f>
        <v/>
      </c>
      <c r="Q375" s="8" t="str">
        <f>IF([2]道具信息!Q375="","",[2]道具信息!Q375)</f>
        <v/>
      </c>
      <c r="R375" s="8" t="str">
        <f>IF([2]道具信息!R375="","",[2]道具信息!R375)</f>
        <v/>
      </c>
    </row>
    <row r="376" spans="3:18" x14ac:dyDescent="0.2">
      <c r="C376" s="8" t="str">
        <f>IF([2]道具信息!C376="","",[2]道具信息!C376)</f>
        <v/>
      </c>
      <c r="D376" s="8" t="str">
        <f>IF([2]道具信息!D376="","",[2]道具信息!D376)</f>
        <v/>
      </c>
      <c r="E376" s="8" t="str">
        <f>IF([2]道具信息!E376="","",[2]道具信息!E376)</f>
        <v/>
      </c>
      <c r="F376" s="8" t="str">
        <f>IF([2]道具信息!F376="","",[2]道具信息!F376)</f>
        <v/>
      </c>
      <c r="G376" s="8" t="str">
        <f>IF([2]道具信息!G376="","",[2]道具信息!G376)</f>
        <v/>
      </c>
      <c r="H376" s="8" t="str">
        <f>IF([2]道具信息!H376="","",[2]道具信息!H376)</f>
        <v/>
      </c>
      <c r="I376" s="8" t="str">
        <f>IF([2]道具信息!I376="","",[2]道具信息!I376)</f>
        <v/>
      </c>
      <c r="J376" s="8" t="str">
        <f>IF([2]道具信息!J376="","",[2]道具信息!J376)</f>
        <v/>
      </c>
      <c r="K376" s="8" t="str">
        <f>IF([2]道具信息!K376="","",[2]道具信息!K376)</f>
        <v/>
      </c>
      <c r="L376" s="8" t="str">
        <f>IF([2]道具信息!L376="","",[2]道具信息!L376)</f>
        <v/>
      </c>
      <c r="M376" s="8" t="str">
        <f>IF([2]道具信息!M376="","",[2]道具信息!M376)</f>
        <v/>
      </c>
      <c r="N376" s="8" t="str">
        <f>IF([2]道具信息!N376="","",[2]道具信息!N376)</f>
        <v/>
      </c>
      <c r="O376" s="8" t="str">
        <f>IF([2]道具信息!O376="","",[2]道具信息!O376)</f>
        <v/>
      </c>
      <c r="P376" s="8" t="str">
        <f>IF([2]道具信息!P376="","",[2]道具信息!P376)</f>
        <v/>
      </c>
      <c r="Q376" s="8" t="str">
        <f>IF([2]道具信息!Q376="","",[2]道具信息!Q376)</f>
        <v/>
      </c>
      <c r="R376" s="8" t="str">
        <f>IF([2]道具信息!R376="","",[2]道具信息!R376)</f>
        <v/>
      </c>
    </row>
    <row r="377" spans="3:18" x14ac:dyDescent="0.2">
      <c r="C377" s="8">
        <f>IF([2]道具信息!C377="","",[2]道具信息!C377)</f>
        <v>20064</v>
      </c>
      <c r="D377" s="8" t="str">
        <f>IF([2]道具信息!D377="","",[2]道具信息!D377)</f>
        <v>战阵精研·极</v>
      </c>
      <c r="E377" s="8">
        <f>IF([2]道具信息!E377="","",[2]道具信息!E377)</f>
        <v>100</v>
      </c>
      <c r="F377" s="8">
        <f>IF([2]道具信息!F377="","",[2]道具信息!F377)</f>
        <v>1</v>
      </c>
      <c r="G377" s="8">
        <f>IF([2]道具信息!G377="","",[2]道具信息!G377)</f>
        <v>1</v>
      </c>
      <c r="H377" s="8">
        <f>IF([2]道具信息!H377="","",[2]道具信息!H377)</f>
        <v>1</v>
      </c>
      <c r="I377" s="8">
        <f>IF([2]道具信息!I377="","",[2]道具信息!I377)</f>
        <v>100</v>
      </c>
      <c r="J377" s="8">
        <f>IF([2]道具信息!J377="","",[2]道具信息!J377)</f>
        <v>100</v>
      </c>
      <c r="K377" s="8">
        <f>IF([2]道具信息!K377="","",[2]道具信息!K377)</f>
        <v>100</v>
      </c>
      <c r="L377" s="8" t="str">
        <f>IF([2]道具信息!L377="","",[2]道具信息!L377)</f>
        <v>行兵布阵，勇往直前，可用于武将觉醒</v>
      </c>
      <c r="M377" s="8" t="str">
        <f>IF([2]道具信息!M377="","",[2]道具信息!M377)</f>
        <v/>
      </c>
      <c r="N377" s="8" t="str">
        <f>IF([2]道具信息!N377="","",[2]道具信息!N377)</f>
        <v/>
      </c>
      <c r="O377" s="8" t="str">
        <f>IF([2]道具信息!O377="","",[2]道具信息!O377)</f>
        <v/>
      </c>
      <c r="P377" s="8" t="str">
        <f>IF([2]道具信息!P377="","",[2]道具信息!P377)</f>
        <v/>
      </c>
      <c r="Q377" s="8" t="str">
        <f>IF([2]道具信息!Q377="","",[2]道具信息!Q377)</f>
        <v/>
      </c>
      <c r="R377" s="8" t="str">
        <f>IF([2]道具信息!R377="","",[2]道具信息!R377)</f>
        <v/>
      </c>
    </row>
    <row r="378" spans="3:18" x14ac:dyDescent="0.2">
      <c r="C378" s="8">
        <f>IF([2]道具信息!C378="","",[2]道具信息!C378)</f>
        <v>20065</v>
      </c>
      <c r="D378" s="8" t="str">
        <f>IF([2]道具信息!D378="","",[2]道具信息!D378)</f>
        <v>谋略精研·极</v>
      </c>
      <c r="E378" s="8">
        <f>IF([2]道具信息!E378="","",[2]道具信息!E378)</f>
        <v>100</v>
      </c>
      <c r="F378" s="8">
        <f>IF([2]道具信息!F378="","",[2]道具信息!F378)</f>
        <v>1</v>
      </c>
      <c r="G378" s="8">
        <f>IF([2]道具信息!G378="","",[2]道具信息!G378)</f>
        <v>1</v>
      </c>
      <c r="H378" s="8">
        <f>IF([2]道具信息!H378="","",[2]道具信息!H378)</f>
        <v>1</v>
      </c>
      <c r="I378" s="8">
        <f>IF([2]道具信息!I378="","",[2]道具信息!I378)</f>
        <v>100</v>
      </c>
      <c r="J378" s="8">
        <f>IF([2]道具信息!J378="","",[2]道具信息!J378)</f>
        <v>100</v>
      </c>
      <c r="K378" s="8">
        <f>IF([2]道具信息!K378="","",[2]道具信息!K378)</f>
        <v>100</v>
      </c>
      <c r="L378" s="8" t="str">
        <f>IF([2]道具信息!L378="","",[2]道具信息!L378)</f>
        <v>目达耳通，上兵伐谋，可用于武将觉醒</v>
      </c>
      <c r="M378" s="8" t="str">
        <f>IF([2]道具信息!M378="","",[2]道具信息!M378)</f>
        <v/>
      </c>
      <c r="N378" s="8" t="str">
        <f>IF([2]道具信息!N378="","",[2]道具信息!N378)</f>
        <v/>
      </c>
      <c r="O378" s="8" t="str">
        <f>IF([2]道具信息!O378="","",[2]道具信息!O378)</f>
        <v/>
      </c>
      <c r="P378" s="8" t="str">
        <f>IF([2]道具信息!P378="","",[2]道具信息!P378)</f>
        <v/>
      </c>
      <c r="Q378" s="8" t="str">
        <f>IF([2]道具信息!Q378="","",[2]道具信息!Q378)</f>
        <v/>
      </c>
      <c r="R378" s="8" t="str">
        <f>IF([2]道具信息!R378="","",[2]道具信息!R378)</f>
        <v/>
      </c>
    </row>
    <row r="379" spans="3:18" x14ac:dyDescent="0.2">
      <c r="C379" s="8">
        <f>IF([2]道具信息!C379="","",[2]道具信息!C379)</f>
        <v>20066</v>
      </c>
      <c r="D379" s="8" t="str">
        <f>IF([2]道具信息!D379="","",[2]道具信息!D379)</f>
        <v>御军精研·极</v>
      </c>
      <c r="E379" s="8">
        <f>IF([2]道具信息!E379="","",[2]道具信息!E379)</f>
        <v>100</v>
      </c>
      <c r="F379" s="8">
        <f>IF([2]道具信息!F379="","",[2]道具信息!F379)</f>
        <v>1</v>
      </c>
      <c r="G379" s="8">
        <f>IF([2]道具信息!G379="","",[2]道具信息!G379)</f>
        <v>1</v>
      </c>
      <c r="H379" s="8">
        <f>IF([2]道具信息!H379="","",[2]道具信息!H379)</f>
        <v>1</v>
      </c>
      <c r="I379" s="8">
        <f>IF([2]道具信息!I379="","",[2]道具信息!I379)</f>
        <v>100</v>
      </c>
      <c r="J379" s="8">
        <f>IF([2]道具信息!J379="","",[2]道具信息!J379)</f>
        <v>100</v>
      </c>
      <c r="K379" s="8">
        <f>IF([2]道具信息!K379="","",[2]道具信息!K379)</f>
        <v>100</v>
      </c>
      <c r="L379" s="8" t="str">
        <f>IF([2]道具信息!L379="","",[2]道具信息!L379)</f>
        <v>持筹握算，精兵简政，可用于武将觉醒</v>
      </c>
      <c r="M379" s="8" t="str">
        <f>IF([2]道具信息!M379="","",[2]道具信息!M379)</f>
        <v/>
      </c>
      <c r="N379" s="8" t="str">
        <f>IF([2]道具信息!N379="","",[2]道具信息!N379)</f>
        <v/>
      </c>
      <c r="O379" s="8" t="str">
        <f>IF([2]道具信息!O379="","",[2]道具信息!O379)</f>
        <v/>
      </c>
      <c r="P379" s="8" t="str">
        <f>IF([2]道具信息!P379="","",[2]道具信息!P379)</f>
        <v/>
      </c>
      <c r="Q379" s="8" t="str">
        <f>IF([2]道具信息!Q379="","",[2]道具信息!Q379)</f>
        <v/>
      </c>
      <c r="R379" s="8" t="str">
        <f>IF([2]道具信息!R379="","",[2]道具信息!R379)</f>
        <v/>
      </c>
    </row>
    <row r="380" spans="3:18" x14ac:dyDescent="0.2">
      <c r="C380" s="8" t="str">
        <f>IF([2]道具信息!C380="","",[2]道具信息!C380)</f>
        <v/>
      </c>
      <c r="D380" s="8" t="str">
        <f>IF([2]道具信息!D380="","",[2]道具信息!D380)</f>
        <v/>
      </c>
      <c r="E380" s="8" t="str">
        <f>IF([2]道具信息!E380="","",[2]道具信息!E380)</f>
        <v/>
      </c>
      <c r="F380" s="8" t="str">
        <f>IF([2]道具信息!F380="","",[2]道具信息!F380)</f>
        <v/>
      </c>
      <c r="G380" s="8" t="str">
        <f>IF([2]道具信息!G380="","",[2]道具信息!G380)</f>
        <v/>
      </c>
      <c r="H380" s="8" t="str">
        <f>IF([2]道具信息!H380="","",[2]道具信息!H380)</f>
        <v/>
      </c>
      <c r="I380" s="8" t="str">
        <f>IF([2]道具信息!I380="","",[2]道具信息!I380)</f>
        <v/>
      </c>
      <c r="J380" s="8" t="str">
        <f>IF([2]道具信息!J380="","",[2]道具信息!J380)</f>
        <v/>
      </c>
      <c r="K380" s="8" t="str">
        <f>IF([2]道具信息!K380="","",[2]道具信息!K380)</f>
        <v/>
      </c>
      <c r="L380" s="8" t="str">
        <f>IF([2]道具信息!L380="","",[2]道具信息!L380)</f>
        <v/>
      </c>
      <c r="M380" s="8" t="str">
        <f>IF([2]道具信息!M380="","",[2]道具信息!M380)</f>
        <v/>
      </c>
      <c r="N380" s="8" t="str">
        <f>IF([2]道具信息!N380="","",[2]道具信息!N380)</f>
        <v/>
      </c>
      <c r="O380" s="8" t="str">
        <f>IF([2]道具信息!O380="","",[2]道具信息!O380)</f>
        <v/>
      </c>
      <c r="P380" s="8" t="str">
        <f>IF([2]道具信息!P380="","",[2]道具信息!P380)</f>
        <v/>
      </c>
      <c r="Q380" s="8" t="str">
        <f>IF([2]道具信息!Q380="","",[2]道具信息!Q380)</f>
        <v/>
      </c>
      <c r="R380" s="8" t="str">
        <f>IF([2]道具信息!R380="","",[2]道具信息!R380)</f>
        <v/>
      </c>
    </row>
    <row r="381" spans="3:18" x14ac:dyDescent="0.2">
      <c r="C381" s="8">
        <f>IF([2]道具信息!C381="","",[2]道具信息!C381)</f>
        <v>20070</v>
      </c>
      <c r="D381" s="8" t="str">
        <f>IF([2]道具信息!D381="","",[2]道具信息!D381)</f>
        <v>白虎白琥·极</v>
      </c>
      <c r="E381" s="8">
        <f>IF([2]道具信息!E381="","",[2]道具信息!E381)</f>
        <v>120</v>
      </c>
      <c r="F381" s="8">
        <f>IF([2]道具信息!F381="","",[2]道具信息!F381)</f>
        <v>1</v>
      </c>
      <c r="G381" s="8">
        <f>IF([2]道具信息!G381="","",[2]道具信息!G381)</f>
        <v>1</v>
      </c>
      <c r="H381" s="8">
        <f>IF([2]道具信息!H381="","",[2]道具信息!H381)</f>
        <v>1</v>
      </c>
      <c r="I381" s="8">
        <f>IF([2]道具信息!I381="","",[2]道具信息!I381)</f>
        <v>120</v>
      </c>
      <c r="J381" s="8">
        <f>IF([2]道具信息!J381="","",[2]道具信息!J381)</f>
        <v>120</v>
      </c>
      <c r="K381" s="8">
        <f>IF([2]道具信息!K381="","",[2]道具信息!K381)</f>
        <v>120</v>
      </c>
      <c r="L381" s="8" t="str">
        <f>IF([2]道具信息!L381="","",[2]道具信息!L381)</f>
        <v>形神兼备，虎啸龙吟，可用于武将觉醒</v>
      </c>
      <c r="M381" s="8" t="str">
        <f>IF([2]道具信息!M381="","",[2]道具信息!M381)</f>
        <v/>
      </c>
      <c r="N381" s="8" t="str">
        <f>IF([2]道具信息!N381="","",[2]道具信息!N381)</f>
        <v/>
      </c>
      <c r="O381" s="8" t="str">
        <f>IF([2]道具信息!O381="","",[2]道具信息!O381)</f>
        <v/>
      </c>
      <c r="P381" s="8" t="str">
        <f>IF([2]道具信息!P381="","",[2]道具信息!P381)</f>
        <v/>
      </c>
      <c r="Q381" s="8" t="str">
        <f>IF([2]道具信息!Q381="","",[2]道具信息!Q381)</f>
        <v/>
      </c>
      <c r="R381" s="8" t="str">
        <f>IF([2]道具信息!R381="","",[2]道具信息!R381)</f>
        <v/>
      </c>
    </row>
    <row r="382" spans="3:18" x14ac:dyDescent="0.2">
      <c r="C382" s="8">
        <f>IF([2]道具信息!C382="","",[2]道具信息!C382)</f>
        <v>20071</v>
      </c>
      <c r="D382" s="8" t="str">
        <f>IF([2]道具信息!D382="","",[2]道具信息!D382)</f>
        <v>朱雀赤璋·极</v>
      </c>
      <c r="E382" s="8">
        <f>IF([2]道具信息!E382="","",[2]道具信息!E382)</f>
        <v>120</v>
      </c>
      <c r="F382" s="8">
        <f>IF([2]道具信息!F382="","",[2]道具信息!F382)</f>
        <v>1</v>
      </c>
      <c r="G382" s="8">
        <f>IF([2]道具信息!G382="","",[2]道具信息!G382)</f>
        <v>1</v>
      </c>
      <c r="H382" s="8">
        <f>IF([2]道具信息!H382="","",[2]道具信息!H382)</f>
        <v>1</v>
      </c>
      <c r="I382" s="8">
        <f>IF([2]道具信息!I382="","",[2]道具信息!I382)</f>
        <v>120</v>
      </c>
      <c r="J382" s="8">
        <f>IF([2]道具信息!J382="","",[2]道具信息!J382)</f>
        <v>120</v>
      </c>
      <c r="K382" s="8">
        <f>IF([2]道具信息!K382="","",[2]道具信息!K382)</f>
        <v>120</v>
      </c>
      <c r="L382" s="8" t="str">
        <f>IF([2]道具信息!L382="","",[2]道具信息!L382)</f>
        <v>烈火真金，朱雀玄武，可用于武将觉醒</v>
      </c>
      <c r="M382" s="8" t="str">
        <f>IF([2]道具信息!M382="","",[2]道具信息!M382)</f>
        <v/>
      </c>
      <c r="N382" s="8" t="str">
        <f>IF([2]道具信息!N382="","",[2]道具信息!N382)</f>
        <v/>
      </c>
      <c r="O382" s="8" t="str">
        <f>IF([2]道具信息!O382="","",[2]道具信息!O382)</f>
        <v/>
      </c>
      <c r="P382" s="8" t="str">
        <f>IF([2]道具信息!P382="","",[2]道具信息!P382)</f>
        <v/>
      </c>
      <c r="Q382" s="8" t="str">
        <f>IF([2]道具信息!Q382="","",[2]道具信息!Q382)</f>
        <v/>
      </c>
      <c r="R382" s="8" t="str">
        <f>IF([2]道具信息!R382="","",[2]道具信息!R382)</f>
        <v/>
      </c>
    </row>
    <row r="383" spans="3:18" x14ac:dyDescent="0.2">
      <c r="C383" s="8">
        <f>IF([2]道具信息!C383="","",[2]道具信息!C383)</f>
        <v>20072</v>
      </c>
      <c r="D383" s="8" t="str">
        <f>IF([2]道具信息!D383="","",[2]道具信息!D383)</f>
        <v>青龙青圭·极</v>
      </c>
      <c r="E383" s="8">
        <f>IF([2]道具信息!E383="","",[2]道具信息!E383)</f>
        <v>120</v>
      </c>
      <c r="F383" s="8">
        <f>IF([2]道具信息!F383="","",[2]道具信息!F383)</f>
        <v>1</v>
      </c>
      <c r="G383" s="8">
        <f>IF([2]道具信息!G383="","",[2]道具信息!G383)</f>
        <v>1</v>
      </c>
      <c r="H383" s="8">
        <f>IF([2]道具信息!H383="","",[2]道具信息!H383)</f>
        <v>1</v>
      </c>
      <c r="I383" s="8">
        <f>IF([2]道具信息!I383="","",[2]道具信息!I383)</f>
        <v>120</v>
      </c>
      <c r="J383" s="8">
        <f>IF([2]道具信息!J383="","",[2]道具信息!J383)</f>
        <v>120</v>
      </c>
      <c r="K383" s="8">
        <f>IF([2]道具信息!K383="","",[2]道具信息!K383)</f>
        <v>120</v>
      </c>
      <c r="L383" s="8" t="str">
        <f>IF([2]道具信息!L383="","",[2]道具信息!L383)</f>
        <v>青云直上，龙飞凤舞，可用于武将觉醒</v>
      </c>
      <c r="M383" s="8" t="str">
        <f>IF([2]道具信息!M383="","",[2]道具信息!M383)</f>
        <v/>
      </c>
      <c r="N383" s="8" t="str">
        <f>IF([2]道具信息!N383="","",[2]道具信息!N383)</f>
        <v/>
      </c>
      <c r="O383" s="8" t="str">
        <f>IF([2]道具信息!O383="","",[2]道具信息!O383)</f>
        <v/>
      </c>
      <c r="P383" s="8" t="str">
        <f>IF([2]道具信息!P383="","",[2]道具信息!P383)</f>
        <v/>
      </c>
      <c r="Q383" s="8" t="str">
        <f>IF([2]道具信息!Q383="","",[2]道具信息!Q383)</f>
        <v/>
      </c>
      <c r="R383" s="8" t="str">
        <f>IF([2]道具信息!R383="","",[2]道具信息!R383)</f>
        <v/>
      </c>
    </row>
    <row r="384" spans="3:18" x14ac:dyDescent="0.2">
      <c r="C384" s="8" t="str">
        <f>IF([2]道具信息!C384="","",[2]道具信息!C384)</f>
        <v/>
      </c>
      <c r="D384" s="8" t="str">
        <f>IF([2]道具信息!D384="","",[2]道具信息!D384)</f>
        <v/>
      </c>
      <c r="E384" s="8" t="str">
        <f>IF([2]道具信息!E384="","",[2]道具信息!E384)</f>
        <v/>
      </c>
      <c r="F384" s="8" t="str">
        <f>IF([2]道具信息!F384="","",[2]道具信息!F384)</f>
        <v/>
      </c>
      <c r="G384" s="8" t="str">
        <f>IF([2]道具信息!G384="","",[2]道具信息!G384)</f>
        <v/>
      </c>
      <c r="H384" s="8" t="str">
        <f>IF([2]道具信息!H384="","",[2]道具信息!H384)</f>
        <v/>
      </c>
      <c r="I384" s="8" t="str">
        <f>IF([2]道具信息!I384="","",[2]道具信息!I384)</f>
        <v/>
      </c>
      <c r="J384" s="8" t="str">
        <f>IF([2]道具信息!J384="","",[2]道具信息!J384)</f>
        <v/>
      </c>
      <c r="K384" s="8" t="str">
        <f>IF([2]道具信息!K384="","",[2]道具信息!K384)</f>
        <v/>
      </c>
      <c r="L384" s="8" t="str">
        <f>IF([2]道具信息!L384="","",[2]道具信息!L384)</f>
        <v/>
      </c>
      <c r="M384" s="8" t="str">
        <f>IF([2]道具信息!M384="","",[2]道具信息!M384)</f>
        <v/>
      </c>
      <c r="N384" s="8" t="str">
        <f>IF([2]道具信息!N384="","",[2]道具信息!N384)</f>
        <v/>
      </c>
      <c r="O384" s="8" t="str">
        <f>IF([2]道具信息!O384="","",[2]道具信息!O384)</f>
        <v/>
      </c>
      <c r="P384" s="8" t="str">
        <f>IF([2]道具信息!P384="","",[2]道具信息!P384)</f>
        <v/>
      </c>
      <c r="Q384" s="8" t="str">
        <f>IF([2]道具信息!Q384="","",[2]道具信息!Q384)</f>
        <v/>
      </c>
      <c r="R384" s="8" t="str">
        <f>IF([2]道具信息!R384="","",[2]道具信息!R384)</f>
        <v/>
      </c>
    </row>
    <row r="385" spans="3:18" x14ac:dyDescent="0.2">
      <c r="C385" s="8">
        <f>IF([2]道具信息!C385="","",[2]道具信息!C385)</f>
        <v>20077</v>
      </c>
      <c r="D385" s="8" t="str">
        <f>IF([2]道具信息!D385="","",[2]道具信息!D385)</f>
        <v>战将护符·极</v>
      </c>
      <c r="E385" s="8">
        <f>IF([2]道具信息!E385="","",[2]道具信息!E385)</f>
        <v>140</v>
      </c>
      <c r="F385" s="8">
        <f>IF([2]道具信息!F385="","",[2]道具信息!F385)</f>
        <v>1</v>
      </c>
      <c r="G385" s="8">
        <f>IF([2]道具信息!G385="","",[2]道具信息!G385)</f>
        <v>1</v>
      </c>
      <c r="H385" s="8">
        <f>IF([2]道具信息!H385="","",[2]道具信息!H385)</f>
        <v>1</v>
      </c>
      <c r="I385" s="8">
        <f>IF([2]道具信息!I385="","",[2]道具信息!I385)</f>
        <v>140</v>
      </c>
      <c r="J385" s="8">
        <f>IF([2]道具信息!J385="","",[2]道具信息!J385)</f>
        <v>140</v>
      </c>
      <c r="K385" s="8">
        <f>IF([2]道具信息!K385="","",[2]道具信息!K385)</f>
        <v>140</v>
      </c>
      <c r="L385" s="8" t="str">
        <f>IF([2]道具信息!L385="","",[2]道具信息!L385)</f>
        <v>王侯将相，功成名就，可用于武将觉醒</v>
      </c>
      <c r="M385" s="8" t="str">
        <f>IF([2]道具信息!M385="","",[2]道具信息!M385)</f>
        <v/>
      </c>
      <c r="N385" s="8" t="str">
        <f>IF([2]道具信息!N385="","",[2]道具信息!N385)</f>
        <v/>
      </c>
      <c r="O385" s="8" t="str">
        <f>IF([2]道具信息!O385="","",[2]道具信息!O385)</f>
        <v/>
      </c>
      <c r="P385" s="8" t="str">
        <f>IF([2]道具信息!P385="","",[2]道具信息!P385)</f>
        <v/>
      </c>
      <c r="Q385" s="8" t="str">
        <f>IF([2]道具信息!Q385="","",[2]道具信息!Q385)</f>
        <v/>
      </c>
      <c r="R385" s="8" t="str">
        <f>IF([2]道具信息!R385="","",[2]道具信息!R385)</f>
        <v/>
      </c>
    </row>
    <row r="386" spans="3:18" x14ac:dyDescent="0.2">
      <c r="C386" s="8">
        <f>IF([2]道具信息!C386="","",[2]道具信息!C386)</f>
        <v>20078</v>
      </c>
      <c r="D386" s="8" t="str">
        <f>IF([2]道具信息!D386="","",[2]道具信息!D386)</f>
        <v>军师护符·极</v>
      </c>
      <c r="E386" s="8">
        <f>IF([2]道具信息!E386="","",[2]道具信息!E386)</f>
        <v>140</v>
      </c>
      <c r="F386" s="8">
        <f>IF([2]道具信息!F386="","",[2]道具信息!F386)</f>
        <v>1</v>
      </c>
      <c r="G386" s="8">
        <f>IF([2]道具信息!G386="","",[2]道具信息!G386)</f>
        <v>1</v>
      </c>
      <c r="H386" s="8">
        <f>IF([2]道具信息!H386="","",[2]道具信息!H386)</f>
        <v>1</v>
      </c>
      <c r="I386" s="8">
        <f>IF([2]道具信息!I386="","",[2]道具信息!I386)</f>
        <v>140</v>
      </c>
      <c r="J386" s="8">
        <f>IF([2]道具信息!J386="","",[2]道具信息!J386)</f>
        <v>140</v>
      </c>
      <c r="K386" s="8">
        <f>IF([2]道具信息!K386="","",[2]道具信息!K386)</f>
        <v>140</v>
      </c>
      <c r="L386" s="8" t="str">
        <f>IF([2]道具信息!L386="","",[2]道具信息!L386)</f>
        <v>神机妙算，才华横溢，可用于武将觉醒</v>
      </c>
      <c r="M386" s="8" t="str">
        <f>IF([2]道具信息!M386="","",[2]道具信息!M386)</f>
        <v/>
      </c>
      <c r="N386" s="8" t="str">
        <f>IF([2]道具信息!N386="","",[2]道具信息!N386)</f>
        <v/>
      </c>
      <c r="O386" s="8" t="str">
        <f>IF([2]道具信息!O386="","",[2]道具信息!O386)</f>
        <v/>
      </c>
      <c r="P386" s="8" t="str">
        <f>IF([2]道具信息!P386="","",[2]道具信息!P386)</f>
        <v/>
      </c>
      <c r="Q386" s="8" t="str">
        <f>IF([2]道具信息!Q386="","",[2]道具信息!Q386)</f>
        <v/>
      </c>
      <c r="R386" s="8" t="str">
        <f>IF([2]道具信息!R386="","",[2]道具信息!R386)</f>
        <v/>
      </c>
    </row>
    <row r="387" spans="3:18" x14ac:dyDescent="0.2">
      <c r="C387" s="8">
        <f>IF([2]道具信息!C387="","",[2]道具信息!C387)</f>
        <v>20079</v>
      </c>
      <c r="D387" s="8" t="str">
        <f>IF([2]道具信息!D387="","",[2]道具信息!D387)</f>
        <v>统帅护符·极</v>
      </c>
      <c r="E387" s="8">
        <f>IF([2]道具信息!E387="","",[2]道具信息!E387)</f>
        <v>140</v>
      </c>
      <c r="F387" s="8">
        <f>IF([2]道具信息!F387="","",[2]道具信息!F387)</f>
        <v>1</v>
      </c>
      <c r="G387" s="8">
        <f>IF([2]道具信息!G387="","",[2]道具信息!G387)</f>
        <v>1</v>
      </c>
      <c r="H387" s="8">
        <f>IF([2]道具信息!H387="","",[2]道具信息!H387)</f>
        <v>1</v>
      </c>
      <c r="I387" s="8">
        <f>IF([2]道具信息!I387="","",[2]道具信息!I387)</f>
        <v>140</v>
      </c>
      <c r="J387" s="8">
        <f>IF([2]道具信息!J387="","",[2]道具信息!J387)</f>
        <v>140</v>
      </c>
      <c r="K387" s="8">
        <f>IF([2]道具信息!K387="","",[2]道具信息!K387)</f>
        <v>140</v>
      </c>
      <c r="L387" s="8" t="str">
        <f>IF([2]道具信息!L387="","",[2]道具信息!L387)</f>
        <v>号令如山，统帅三军，可用于武将觉醒</v>
      </c>
      <c r="M387" s="8" t="str">
        <f>IF([2]道具信息!M387="","",[2]道具信息!M387)</f>
        <v/>
      </c>
      <c r="N387" s="8" t="str">
        <f>IF([2]道具信息!N387="","",[2]道具信息!N387)</f>
        <v/>
      </c>
      <c r="O387" s="8" t="str">
        <f>IF([2]道具信息!O387="","",[2]道具信息!O387)</f>
        <v/>
      </c>
      <c r="P387" s="8" t="str">
        <f>IF([2]道具信息!P387="","",[2]道具信息!P387)</f>
        <v/>
      </c>
      <c r="Q387" s="8" t="str">
        <f>IF([2]道具信息!Q387="","",[2]道具信息!Q387)</f>
        <v/>
      </c>
      <c r="R387" s="8" t="str">
        <f>IF([2]道具信息!R387="","",[2]道具信息!R387)</f>
        <v/>
      </c>
    </row>
    <row r="388" spans="3:18" x14ac:dyDescent="0.2">
      <c r="C388" s="8" t="str">
        <f>IF([2]道具信息!C388="","",[2]道具信息!C388)</f>
        <v/>
      </c>
      <c r="D388" s="8" t="str">
        <f>IF([2]道具信息!D388="","",[2]道具信息!D388)</f>
        <v/>
      </c>
      <c r="E388" s="8" t="str">
        <f>IF([2]道具信息!E388="","",[2]道具信息!E388)</f>
        <v/>
      </c>
      <c r="F388" s="8" t="str">
        <f>IF([2]道具信息!F388="","",[2]道具信息!F388)</f>
        <v/>
      </c>
      <c r="G388" s="8" t="str">
        <f>IF([2]道具信息!G388="","",[2]道具信息!G388)</f>
        <v/>
      </c>
      <c r="H388" s="8" t="str">
        <f>IF([2]道具信息!H388="","",[2]道具信息!H388)</f>
        <v/>
      </c>
      <c r="I388" s="8" t="str">
        <f>IF([2]道具信息!I388="","",[2]道具信息!I388)</f>
        <v/>
      </c>
      <c r="J388" s="8" t="str">
        <f>IF([2]道具信息!J388="","",[2]道具信息!J388)</f>
        <v/>
      </c>
      <c r="K388" s="8" t="str">
        <f>IF([2]道具信息!K388="","",[2]道具信息!K388)</f>
        <v/>
      </c>
      <c r="L388" s="8" t="str">
        <f>IF([2]道具信息!L388="","",[2]道具信息!L388)</f>
        <v/>
      </c>
      <c r="M388" s="8" t="str">
        <f>IF([2]道具信息!M388="","",[2]道具信息!M388)</f>
        <v/>
      </c>
      <c r="N388" s="8" t="str">
        <f>IF([2]道具信息!N388="","",[2]道具信息!N388)</f>
        <v/>
      </c>
      <c r="O388" s="8" t="str">
        <f>IF([2]道具信息!O388="","",[2]道具信息!O388)</f>
        <v/>
      </c>
      <c r="P388" s="8" t="str">
        <f>IF([2]道具信息!P388="","",[2]道具信息!P388)</f>
        <v/>
      </c>
      <c r="Q388" s="8" t="str">
        <f>IF([2]道具信息!Q388="","",[2]道具信息!Q388)</f>
        <v/>
      </c>
      <c r="R388" s="8" t="str">
        <f>IF([2]道具信息!R388="","",[2]道具信息!R388)</f>
        <v/>
      </c>
    </row>
    <row r="389" spans="3:18" x14ac:dyDescent="0.2">
      <c r="C389" s="8" t="str">
        <f>IF([2]道具信息!C389="","",[2]道具信息!C389)</f>
        <v/>
      </c>
      <c r="D389" s="8" t="str">
        <f>IF([2]道具信息!D389="","",[2]道具信息!D389)</f>
        <v/>
      </c>
      <c r="E389" s="8" t="str">
        <f>IF([2]道具信息!E389="","",[2]道具信息!E389)</f>
        <v/>
      </c>
      <c r="F389" s="8" t="str">
        <f>IF([2]道具信息!F389="","",[2]道具信息!F389)</f>
        <v/>
      </c>
      <c r="G389" s="8" t="str">
        <f>IF([2]道具信息!G389="","",[2]道具信息!G389)</f>
        <v/>
      </c>
      <c r="H389" s="8" t="str">
        <f>IF([2]道具信息!H389="","",[2]道具信息!H389)</f>
        <v/>
      </c>
      <c r="I389" s="8" t="str">
        <f>IF([2]道具信息!I389="","",[2]道具信息!I389)</f>
        <v/>
      </c>
      <c r="J389" s="8" t="str">
        <f>IF([2]道具信息!J389="","",[2]道具信息!J389)</f>
        <v/>
      </c>
      <c r="K389" s="8" t="str">
        <f>IF([2]道具信息!K389="","",[2]道具信息!K389)</f>
        <v/>
      </c>
      <c r="L389" s="8" t="str">
        <f>IF([2]道具信息!L389="","",[2]道具信息!L389)</f>
        <v/>
      </c>
      <c r="M389" s="8" t="str">
        <f>IF([2]道具信息!M389="","",[2]道具信息!M389)</f>
        <v/>
      </c>
      <c r="N389" s="8" t="str">
        <f>IF([2]道具信息!N389="","",[2]道具信息!N389)</f>
        <v/>
      </c>
      <c r="O389" s="8" t="str">
        <f>IF([2]道具信息!O389="","",[2]道具信息!O389)</f>
        <v/>
      </c>
      <c r="P389" s="8" t="str">
        <f>IF([2]道具信息!P389="","",[2]道具信息!P389)</f>
        <v/>
      </c>
      <c r="Q389" s="8" t="str">
        <f>IF([2]道具信息!Q389="","",[2]道具信息!Q389)</f>
        <v/>
      </c>
      <c r="R389" s="8" t="str">
        <f>IF([2]道具信息!R389="","",[2]道具信息!R389)</f>
        <v/>
      </c>
    </row>
    <row r="390" spans="3:18" x14ac:dyDescent="0.2">
      <c r="C390" s="8">
        <f>IF([2]道具信息!C390="","",[2]道具信息!C390)</f>
        <v>23001</v>
      </c>
      <c r="D390" s="8" t="str">
        <f>IF([2]道具信息!D390="","",[2]道具信息!D390)</f>
        <v>紫色步将自选宝箱</v>
      </c>
      <c r="E390" s="8">
        <f>IF([2]道具信息!E390="","",[2]道具信息!E390)</f>
        <v>600</v>
      </c>
      <c r="F390" s="8">
        <f>IF([2]道具信息!F390="","",[2]道具信息!F390)</f>
        <v>1</v>
      </c>
      <c r="G390" s="8">
        <f>IF([2]道具信息!G390="","",[2]道具信息!G390)</f>
        <v>1</v>
      </c>
      <c r="H390" s="8">
        <f>IF([2]道具信息!H390="","",[2]道具信息!H390)</f>
        <v>1</v>
      </c>
      <c r="I390" s="8">
        <f>IF([2]道具信息!I390="","",[2]道具信息!I390)</f>
        <v>600</v>
      </c>
      <c r="J390" s="8">
        <f>IF([2]道具信息!J390="","",[2]道具信息!J390)</f>
        <v>600</v>
      </c>
      <c r="K390" s="8">
        <f>IF([2]道具信息!K390="","",[2]道具信息!K390)</f>
        <v>600</v>
      </c>
      <c r="L390" s="8" t="str">
        <f>IF([2]道具信息!L390="","",[2]道具信息!L390)</f>
        <v>使用后选择获得一个紫色步将</v>
      </c>
      <c r="M390" s="8" t="str">
        <f>IF([2]道具信息!M390="","",[2]道具信息!M390)</f>
        <v/>
      </c>
      <c r="N390" s="8" t="str">
        <f>IF([2]道具信息!N390="","",[2]道具信息!N390)</f>
        <v/>
      </c>
      <c r="O390" s="8" t="str">
        <f>IF([2]道具信息!O390="","",[2]道具信息!O390)</f>
        <v/>
      </c>
      <c r="P390" s="8" t="str">
        <f>IF([2]道具信息!P390="","",[2]道具信息!P390)</f>
        <v/>
      </c>
      <c r="Q390" s="8" t="str">
        <f>IF([2]道具信息!Q390="","",[2]道具信息!Q390)</f>
        <v/>
      </c>
      <c r="R390" s="8" t="str">
        <f>IF([2]道具信息!R390="","",[2]道具信息!R390)</f>
        <v/>
      </c>
    </row>
    <row r="391" spans="3:18" x14ac:dyDescent="0.2">
      <c r="C391" s="8">
        <f>IF([2]道具信息!C391="","",[2]道具信息!C391)</f>
        <v>23002</v>
      </c>
      <c r="D391" s="8" t="str">
        <f>IF([2]道具信息!D391="","",[2]道具信息!D391)</f>
        <v>橙色步将自选宝箱</v>
      </c>
      <c r="E391" s="8">
        <f>IF([2]道具信息!E391="","",[2]道具信息!E391)</f>
        <v>4800</v>
      </c>
      <c r="F391" s="8">
        <f>IF([2]道具信息!F391="","",[2]道具信息!F391)</f>
        <v>1</v>
      </c>
      <c r="G391" s="8">
        <f>IF([2]道具信息!G391="","",[2]道具信息!G391)</f>
        <v>1</v>
      </c>
      <c r="H391" s="8">
        <f>IF([2]道具信息!H391="","",[2]道具信息!H391)</f>
        <v>1</v>
      </c>
      <c r="I391" s="8">
        <f>IF([2]道具信息!I391="","",[2]道具信息!I391)</f>
        <v>4800</v>
      </c>
      <c r="J391" s="8">
        <f>IF([2]道具信息!J391="","",[2]道具信息!J391)</f>
        <v>4800</v>
      </c>
      <c r="K391" s="8">
        <f>IF([2]道具信息!K391="","",[2]道具信息!K391)</f>
        <v>4800</v>
      </c>
      <c r="L391" s="8" t="str">
        <f>IF([2]道具信息!L391="","",[2]道具信息!L391)</f>
        <v>使用后选择获得一个橙色武将</v>
      </c>
      <c r="M391" s="8" t="str">
        <f>IF([2]道具信息!M391="","",[2]道具信息!M391)</f>
        <v/>
      </c>
      <c r="N391" s="8" t="str">
        <f>IF([2]道具信息!N391="","",[2]道具信息!N391)</f>
        <v/>
      </c>
      <c r="O391" s="8" t="str">
        <f>IF([2]道具信息!O391="","",[2]道具信息!O391)</f>
        <v/>
      </c>
      <c r="P391" s="8" t="str">
        <f>IF([2]道具信息!P391="","",[2]道具信息!P391)</f>
        <v/>
      </c>
      <c r="Q391" s="8" t="str">
        <f>IF([2]道具信息!Q391="","",[2]道具信息!Q391)</f>
        <v/>
      </c>
      <c r="R391" s="8" t="str">
        <f>IF([2]道具信息!R391="","",[2]道具信息!R391)</f>
        <v/>
      </c>
    </row>
    <row r="392" spans="3:18" x14ac:dyDescent="0.2">
      <c r="C392" s="8">
        <f>IF([2]道具信息!C392="","",[2]道具信息!C392)</f>
        <v>23003</v>
      </c>
      <c r="D392" s="8" t="str">
        <f>IF([2]道具信息!D392="","",[2]道具信息!D392)</f>
        <v>红色步将自选宝箱</v>
      </c>
      <c r="E392" s="8">
        <f>IF([2]道具信息!E392="","",[2]道具信息!E392)</f>
        <v>14400</v>
      </c>
      <c r="F392" s="8">
        <f>IF([2]道具信息!F392="","",[2]道具信息!F392)</f>
        <v>1</v>
      </c>
      <c r="G392" s="8">
        <f>IF([2]道具信息!G392="","",[2]道具信息!G392)</f>
        <v>1</v>
      </c>
      <c r="H392" s="8">
        <f>IF([2]道具信息!H392="","",[2]道具信息!H392)</f>
        <v>1</v>
      </c>
      <c r="I392" s="8">
        <f>IF([2]道具信息!I392="","",[2]道具信息!I392)</f>
        <v>14400</v>
      </c>
      <c r="J392" s="8">
        <f>IF([2]道具信息!J392="","",[2]道具信息!J392)</f>
        <v>14400</v>
      </c>
      <c r="K392" s="8">
        <f>IF([2]道具信息!K392="","",[2]道具信息!K392)</f>
        <v>14400</v>
      </c>
      <c r="L392" s="8" t="str">
        <f>IF([2]道具信息!L392="","",[2]道具信息!L392)</f>
        <v>使用后选择获得一个红色步将</v>
      </c>
      <c r="M392" s="8" t="str">
        <f>IF([2]道具信息!M392="","",[2]道具信息!M392)</f>
        <v/>
      </c>
      <c r="N392" s="8" t="str">
        <f>IF([2]道具信息!N392="","",[2]道具信息!N392)</f>
        <v/>
      </c>
      <c r="O392" s="8" t="str">
        <f>IF([2]道具信息!O392="","",[2]道具信息!O392)</f>
        <v/>
      </c>
      <c r="P392" s="8" t="str">
        <f>IF([2]道具信息!P392="","",[2]道具信息!P392)</f>
        <v/>
      </c>
      <c r="Q392" s="8" t="str">
        <f>IF([2]道具信息!Q392="","",[2]道具信息!Q392)</f>
        <v/>
      </c>
      <c r="R392" s="8" t="str">
        <f>IF([2]道具信息!R392="","",[2]道具信息!R392)</f>
        <v/>
      </c>
    </row>
    <row r="393" spans="3:18" x14ac:dyDescent="0.2">
      <c r="C393" s="8">
        <f>IF([2]道具信息!C393="","",[2]道具信息!C393)</f>
        <v>23004</v>
      </c>
      <c r="D393" s="8" t="str">
        <f>IF([2]道具信息!D393="","",[2]道具信息!D393)</f>
        <v>紫色骑将自选宝箱</v>
      </c>
      <c r="E393" s="8">
        <f>IF([2]道具信息!E393="","",[2]道具信息!E393)</f>
        <v>600</v>
      </c>
      <c r="F393" s="8">
        <f>IF([2]道具信息!F393="","",[2]道具信息!F393)</f>
        <v>1</v>
      </c>
      <c r="G393" s="8">
        <f>IF([2]道具信息!G393="","",[2]道具信息!G393)</f>
        <v>1</v>
      </c>
      <c r="H393" s="8">
        <f>IF([2]道具信息!H393="","",[2]道具信息!H393)</f>
        <v>1</v>
      </c>
      <c r="I393" s="8">
        <f>IF([2]道具信息!I393="","",[2]道具信息!I393)</f>
        <v>600</v>
      </c>
      <c r="J393" s="8">
        <f>IF([2]道具信息!J393="","",[2]道具信息!J393)</f>
        <v>600</v>
      </c>
      <c r="K393" s="8">
        <f>IF([2]道具信息!K393="","",[2]道具信息!K393)</f>
        <v>600</v>
      </c>
      <c r="L393" s="8" t="str">
        <f>IF([2]道具信息!L393="","",[2]道具信息!L393)</f>
        <v>使用后选择获得一个紫色骑将</v>
      </c>
      <c r="M393" s="8" t="str">
        <f>IF([2]道具信息!M393="","",[2]道具信息!M393)</f>
        <v/>
      </c>
      <c r="N393" s="8" t="str">
        <f>IF([2]道具信息!N393="","",[2]道具信息!N393)</f>
        <v/>
      </c>
      <c r="O393" s="8" t="str">
        <f>IF([2]道具信息!O393="","",[2]道具信息!O393)</f>
        <v/>
      </c>
      <c r="P393" s="8" t="str">
        <f>IF([2]道具信息!P393="","",[2]道具信息!P393)</f>
        <v/>
      </c>
      <c r="Q393" s="8" t="str">
        <f>IF([2]道具信息!Q393="","",[2]道具信息!Q393)</f>
        <v/>
      </c>
      <c r="R393" s="8" t="str">
        <f>IF([2]道具信息!R393="","",[2]道具信息!R393)</f>
        <v/>
      </c>
    </row>
    <row r="394" spans="3:18" x14ac:dyDescent="0.2">
      <c r="C394" s="8">
        <f>IF([2]道具信息!C394="","",[2]道具信息!C394)</f>
        <v>23005</v>
      </c>
      <c r="D394" s="8" t="str">
        <f>IF([2]道具信息!D394="","",[2]道具信息!D394)</f>
        <v>橙色骑将自选宝箱</v>
      </c>
      <c r="E394" s="8">
        <f>IF([2]道具信息!E394="","",[2]道具信息!E394)</f>
        <v>4800</v>
      </c>
      <c r="F394" s="8">
        <f>IF([2]道具信息!F394="","",[2]道具信息!F394)</f>
        <v>1</v>
      </c>
      <c r="G394" s="8">
        <f>IF([2]道具信息!G394="","",[2]道具信息!G394)</f>
        <v>1</v>
      </c>
      <c r="H394" s="8">
        <f>IF([2]道具信息!H394="","",[2]道具信息!H394)</f>
        <v>1</v>
      </c>
      <c r="I394" s="8">
        <f>IF([2]道具信息!I394="","",[2]道具信息!I394)</f>
        <v>4800</v>
      </c>
      <c r="J394" s="8">
        <f>IF([2]道具信息!J394="","",[2]道具信息!J394)</f>
        <v>4800</v>
      </c>
      <c r="K394" s="8">
        <f>IF([2]道具信息!K394="","",[2]道具信息!K394)</f>
        <v>4800</v>
      </c>
      <c r="L394" s="8" t="str">
        <f>IF([2]道具信息!L394="","",[2]道具信息!L394)</f>
        <v>使用后选择获得一个橙色骑将</v>
      </c>
      <c r="M394" s="8" t="str">
        <f>IF([2]道具信息!M394="","",[2]道具信息!M394)</f>
        <v/>
      </c>
      <c r="N394" s="8" t="str">
        <f>IF([2]道具信息!N394="","",[2]道具信息!N394)</f>
        <v/>
      </c>
      <c r="O394" s="8" t="str">
        <f>IF([2]道具信息!O394="","",[2]道具信息!O394)</f>
        <v/>
      </c>
      <c r="P394" s="8" t="str">
        <f>IF([2]道具信息!P394="","",[2]道具信息!P394)</f>
        <v/>
      </c>
      <c r="Q394" s="8" t="str">
        <f>IF([2]道具信息!Q394="","",[2]道具信息!Q394)</f>
        <v/>
      </c>
      <c r="R394" s="8" t="str">
        <f>IF([2]道具信息!R394="","",[2]道具信息!R394)</f>
        <v/>
      </c>
    </row>
    <row r="395" spans="3:18" x14ac:dyDescent="0.2">
      <c r="C395" s="8">
        <f>IF([2]道具信息!C395="","",[2]道具信息!C395)</f>
        <v>23006</v>
      </c>
      <c r="D395" s="8" t="str">
        <f>IF([2]道具信息!D395="","",[2]道具信息!D395)</f>
        <v>红色骑将自选宝箱</v>
      </c>
      <c r="E395" s="8">
        <f>IF([2]道具信息!E395="","",[2]道具信息!E395)</f>
        <v>14400</v>
      </c>
      <c r="F395" s="8">
        <f>IF([2]道具信息!F395="","",[2]道具信息!F395)</f>
        <v>1</v>
      </c>
      <c r="G395" s="8">
        <f>IF([2]道具信息!G395="","",[2]道具信息!G395)</f>
        <v>1</v>
      </c>
      <c r="H395" s="8">
        <f>IF([2]道具信息!H395="","",[2]道具信息!H395)</f>
        <v>1</v>
      </c>
      <c r="I395" s="8">
        <f>IF([2]道具信息!I395="","",[2]道具信息!I395)</f>
        <v>14400</v>
      </c>
      <c r="J395" s="8">
        <f>IF([2]道具信息!J395="","",[2]道具信息!J395)</f>
        <v>14400</v>
      </c>
      <c r="K395" s="8">
        <f>IF([2]道具信息!K395="","",[2]道具信息!K395)</f>
        <v>14400</v>
      </c>
      <c r="L395" s="8" t="str">
        <f>IF([2]道具信息!L395="","",[2]道具信息!L395)</f>
        <v>使用后选择获得一个红色骑将</v>
      </c>
      <c r="M395" s="8" t="str">
        <f>IF([2]道具信息!M395="","",[2]道具信息!M395)</f>
        <v/>
      </c>
      <c r="N395" s="8" t="str">
        <f>IF([2]道具信息!N395="","",[2]道具信息!N395)</f>
        <v/>
      </c>
      <c r="O395" s="8" t="str">
        <f>IF([2]道具信息!O395="","",[2]道具信息!O395)</f>
        <v/>
      </c>
      <c r="P395" s="8" t="str">
        <f>IF([2]道具信息!P395="","",[2]道具信息!P395)</f>
        <v/>
      </c>
      <c r="Q395" s="8" t="str">
        <f>IF([2]道具信息!Q395="","",[2]道具信息!Q395)</f>
        <v/>
      </c>
      <c r="R395" s="8" t="str">
        <f>IF([2]道具信息!R395="","",[2]道具信息!R395)</f>
        <v/>
      </c>
    </row>
    <row r="396" spans="3:18" x14ac:dyDescent="0.2">
      <c r="C396" s="8">
        <f>IF([2]道具信息!C396="","",[2]道具信息!C396)</f>
        <v>23007</v>
      </c>
      <c r="D396" s="8" t="str">
        <f>IF([2]道具信息!D396="","",[2]道具信息!D396)</f>
        <v>紫色弓将自选宝箱</v>
      </c>
      <c r="E396" s="8">
        <f>IF([2]道具信息!E396="","",[2]道具信息!E396)</f>
        <v>600</v>
      </c>
      <c r="F396" s="8">
        <f>IF([2]道具信息!F396="","",[2]道具信息!F396)</f>
        <v>1</v>
      </c>
      <c r="G396" s="8">
        <f>IF([2]道具信息!G396="","",[2]道具信息!G396)</f>
        <v>1</v>
      </c>
      <c r="H396" s="8">
        <f>IF([2]道具信息!H396="","",[2]道具信息!H396)</f>
        <v>1</v>
      </c>
      <c r="I396" s="8">
        <f>IF([2]道具信息!I396="","",[2]道具信息!I396)</f>
        <v>600</v>
      </c>
      <c r="J396" s="8">
        <f>IF([2]道具信息!J396="","",[2]道具信息!J396)</f>
        <v>600</v>
      </c>
      <c r="K396" s="8">
        <f>IF([2]道具信息!K396="","",[2]道具信息!K396)</f>
        <v>600</v>
      </c>
      <c r="L396" s="8" t="str">
        <f>IF([2]道具信息!L396="","",[2]道具信息!L396)</f>
        <v>使用后选择获得一个紫色弓将</v>
      </c>
      <c r="M396" s="8" t="str">
        <f>IF([2]道具信息!M396="","",[2]道具信息!M396)</f>
        <v/>
      </c>
      <c r="N396" s="8" t="str">
        <f>IF([2]道具信息!N396="","",[2]道具信息!N396)</f>
        <v/>
      </c>
      <c r="O396" s="8" t="str">
        <f>IF([2]道具信息!O396="","",[2]道具信息!O396)</f>
        <v/>
      </c>
      <c r="P396" s="8" t="str">
        <f>IF([2]道具信息!P396="","",[2]道具信息!P396)</f>
        <v/>
      </c>
      <c r="Q396" s="8" t="str">
        <f>IF([2]道具信息!Q396="","",[2]道具信息!Q396)</f>
        <v/>
      </c>
      <c r="R396" s="8" t="str">
        <f>IF([2]道具信息!R396="","",[2]道具信息!R396)</f>
        <v/>
      </c>
    </row>
    <row r="397" spans="3:18" x14ac:dyDescent="0.2">
      <c r="C397" s="8">
        <f>IF([2]道具信息!C397="","",[2]道具信息!C397)</f>
        <v>23008</v>
      </c>
      <c r="D397" s="8" t="str">
        <f>IF([2]道具信息!D397="","",[2]道具信息!D397)</f>
        <v>橙色弓将自选宝箱</v>
      </c>
      <c r="E397" s="8">
        <f>IF([2]道具信息!E397="","",[2]道具信息!E397)</f>
        <v>4800</v>
      </c>
      <c r="F397" s="8">
        <f>IF([2]道具信息!F397="","",[2]道具信息!F397)</f>
        <v>1</v>
      </c>
      <c r="G397" s="8">
        <f>IF([2]道具信息!G397="","",[2]道具信息!G397)</f>
        <v>1</v>
      </c>
      <c r="H397" s="8">
        <f>IF([2]道具信息!H397="","",[2]道具信息!H397)</f>
        <v>1</v>
      </c>
      <c r="I397" s="8">
        <f>IF([2]道具信息!I397="","",[2]道具信息!I397)</f>
        <v>4800</v>
      </c>
      <c r="J397" s="8">
        <f>IF([2]道具信息!J397="","",[2]道具信息!J397)</f>
        <v>4800</v>
      </c>
      <c r="K397" s="8">
        <f>IF([2]道具信息!K397="","",[2]道具信息!K397)</f>
        <v>4800</v>
      </c>
      <c r="L397" s="8" t="str">
        <f>IF([2]道具信息!L397="","",[2]道具信息!L397)</f>
        <v>使用后选择获得一个橙色弓将</v>
      </c>
      <c r="M397" s="8" t="str">
        <f>IF([2]道具信息!M397="","",[2]道具信息!M397)</f>
        <v/>
      </c>
      <c r="N397" s="8" t="str">
        <f>IF([2]道具信息!N397="","",[2]道具信息!N397)</f>
        <v/>
      </c>
      <c r="O397" s="8" t="str">
        <f>IF([2]道具信息!O397="","",[2]道具信息!O397)</f>
        <v/>
      </c>
      <c r="P397" s="8" t="str">
        <f>IF([2]道具信息!P397="","",[2]道具信息!P397)</f>
        <v/>
      </c>
      <c r="Q397" s="8" t="str">
        <f>IF([2]道具信息!Q397="","",[2]道具信息!Q397)</f>
        <v/>
      </c>
      <c r="R397" s="8" t="str">
        <f>IF([2]道具信息!R397="","",[2]道具信息!R397)</f>
        <v/>
      </c>
    </row>
    <row r="398" spans="3:18" x14ac:dyDescent="0.2">
      <c r="C398" s="8">
        <f>IF([2]道具信息!C398="","",[2]道具信息!C398)</f>
        <v>23009</v>
      </c>
      <c r="D398" s="8" t="str">
        <f>IF([2]道具信息!D398="","",[2]道具信息!D398)</f>
        <v>红色弓将自选宝箱</v>
      </c>
      <c r="E398" s="8">
        <f>IF([2]道具信息!E398="","",[2]道具信息!E398)</f>
        <v>14400</v>
      </c>
      <c r="F398" s="8">
        <f>IF([2]道具信息!F398="","",[2]道具信息!F398)</f>
        <v>1</v>
      </c>
      <c r="G398" s="8">
        <f>IF([2]道具信息!G398="","",[2]道具信息!G398)</f>
        <v>1</v>
      </c>
      <c r="H398" s="8">
        <f>IF([2]道具信息!H398="","",[2]道具信息!H398)</f>
        <v>1</v>
      </c>
      <c r="I398" s="8">
        <f>IF([2]道具信息!I398="","",[2]道具信息!I398)</f>
        <v>14400</v>
      </c>
      <c r="J398" s="8">
        <f>IF([2]道具信息!J398="","",[2]道具信息!J398)</f>
        <v>14400</v>
      </c>
      <c r="K398" s="8">
        <f>IF([2]道具信息!K398="","",[2]道具信息!K398)</f>
        <v>14400</v>
      </c>
      <c r="L398" s="8" t="str">
        <f>IF([2]道具信息!L398="","",[2]道具信息!L398)</f>
        <v>使用后选择获得一个红色弓将</v>
      </c>
      <c r="M398" s="8" t="str">
        <f>IF([2]道具信息!M398="","",[2]道具信息!M398)</f>
        <v/>
      </c>
      <c r="N398" s="8" t="str">
        <f>IF([2]道具信息!N398="","",[2]道具信息!N398)</f>
        <v/>
      </c>
      <c r="O398" s="8" t="str">
        <f>IF([2]道具信息!O398="","",[2]道具信息!O398)</f>
        <v/>
      </c>
      <c r="P398" s="8" t="str">
        <f>IF([2]道具信息!P398="","",[2]道具信息!P398)</f>
        <v/>
      </c>
      <c r="Q398" s="8" t="str">
        <f>IF([2]道具信息!Q398="","",[2]道具信息!Q398)</f>
        <v/>
      </c>
      <c r="R398" s="8" t="str">
        <f>IF([2]道具信息!R398="","",[2]道具信息!R398)</f>
        <v/>
      </c>
    </row>
    <row r="399" spans="3:18" x14ac:dyDescent="0.2">
      <c r="C399" s="8">
        <f>IF([2]道具信息!C399="","",[2]道具信息!C399)</f>
        <v>23010</v>
      </c>
      <c r="D399" s="8" t="str">
        <f>IF([2]道具信息!D399="","",[2]道具信息!D399)</f>
        <v>君主自选宝箱</v>
      </c>
      <c r="E399" s="8">
        <f>IF([2]道具信息!E399="","",[2]道具信息!E399)</f>
        <v>4800</v>
      </c>
      <c r="F399" s="8">
        <f>IF([2]道具信息!F399="","",[2]道具信息!F399)</f>
        <v>1</v>
      </c>
      <c r="G399" s="8">
        <f>IF([2]道具信息!G399="","",[2]道具信息!G399)</f>
        <v>1</v>
      </c>
      <c r="H399" s="8">
        <f>IF([2]道具信息!H399="","",[2]道具信息!H399)</f>
        <v>1</v>
      </c>
      <c r="I399" s="8">
        <f>IF([2]道具信息!I399="","",[2]道具信息!I399)</f>
        <v>4800</v>
      </c>
      <c r="J399" s="8">
        <f>IF([2]道具信息!J399="","",[2]道具信息!J399)</f>
        <v>4800</v>
      </c>
      <c r="K399" s="8">
        <f>IF([2]道具信息!K399="","",[2]道具信息!K399)</f>
        <v>4800</v>
      </c>
      <c r="L399" s="8" t="str">
        <f>IF([2]道具信息!L399="","",[2]道具信息!L399)</f>
        <v>使用后选择获得一个君主武将</v>
      </c>
      <c r="M399" s="8" t="str">
        <f>IF([2]道具信息!M399="","",[2]道具信息!M399)</f>
        <v/>
      </c>
      <c r="N399" s="8" t="str">
        <f>IF([2]道具信息!N399="","",[2]道具信息!N399)</f>
        <v/>
      </c>
      <c r="O399" s="8" t="str">
        <f>IF([2]道具信息!O399="","",[2]道具信息!O399)</f>
        <v/>
      </c>
      <c r="P399" s="8" t="str">
        <f>IF([2]道具信息!P399="","",[2]道具信息!P399)</f>
        <v/>
      </c>
      <c r="Q399" s="8" t="str">
        <f>IF([2]道具信息!Q399="","",[2]道具信息!Q399)</f>
        <v/>
      </c>
      <c r="R399" s="8" t="str">
        <f>IF([2]道具信息!R399="","",[2]道具信息!R399)</f>
        <v/>
      </c>
    </row>
    <row r="400" spans="3:18" x14ac:dyDescent="0.2">
      <c r="C400" s="8">
        <f>IF([2]道具信息!C400="","",[2]道具信息!C400)</f>
        <v>23011</v>
      </c>
      <c r="D400" s="8" t="str">
        <f>IF([2]道具信息!D400="","",[2]道具信息!D400)</f>
        <v>紫色武将随机宝箱</v>
      </c>
      <c r="E400" s="8">
        <f>IF([2]道具信息!E400="","",[2]道具信息!E400)</f>
        <v>400</v>
      </c>
      <c r="F400" s="8">
        <f>IF([2]道具信息!F400="","",[2]道具信息!F400)</f>
        <v>1</v>
      </c>
      <c r="G400" s="8">
        <f>IF([2]道具信息!G400="","",[2]道具信息!G400)</f>
        <v>1</v>
      </c>
      <c r="H400" s="8">
        <f>IF([2]道具信息!H400="","",[2]道具信息!H400)</f>
        <v>1</v>
      </c>
      <c r="I400" s="8">
        <f>IF([2]道具信息!I400="","",[2]道具信息!I400)</f>
        <v>400</v>
      </c>
      <c r="J400" s="8">
        <f>IF([2]道具信息!J400="","",[2]道具信息!J400)</f>
        <v>400</v>
      </c>
      <c r="K400" s="8">
        <f>IF([2]道具信息!K400="","",[2]道具信息!K400)</f>
        <v>400</v>
      </c>
      <c r="L400" s="8" t="str">
        <f>IF([2]道具信息!L400="","",[2]道具信息!L400)</f>
        <v>使用后随机获得一个紫色武将</v>
      </c>
      <c r="M400" s="8" t="str">
        <f>IF([2]道具信息!M400="","",[2]道具信息!M400)</f>
        <v/>
      </c>
      <c r="N400" s="8" t="str">
        <f>IF([2]道具信息!N400="","",[2]道具信息!N400)</f>
        <v/>
      </c>
      <c r="O400" s="8" t="str">
        <f>IF([2]道具信息!O400="","",[2]道具信息!O400)</f>
        <v/>
      </c>
      <c r="P400" s="8" t="str">
        <f>IF([2]道具信息!P400="","",[2]道具信息!P400)</f>
        <v/>
      </c>
      <c r="Q400" s="8" t="str">
        <f>IF([2]道具信息!Q400="","",[2]道具信息!Q400)</f>
        <v/>
      </c>
      <c r="R400" s="8" t="str">
        <f>IF([2]道具信息!R400="","",[2]道具信息!R400)</f>
        <v/>
      </c>
    </row>
    <row r="401" spans="3:18" x14ac:dyDescent="0.2">
      <c r="C401" s="8">
        <f>IF([2]道具信息!C401="","",[2]道具信息!C401)</f>
        <v>23012</v>
      </c>
      <c r="D401" s="8" t="str">
        <f>IF([2]道具信息!D401="","",[2]道具信息!D401)</f>
        <v>橙色武将随机宝箱</v>
      </c>
      <c r="E401" s="8">
        <f>IF([2]道具信息!E401="","",[2]道具信息!E401)</f>
        <v>1800</v>
      </c>
      <c r="F401" s="8">
        <f>IF([2]道具信息!F401="","",[2]道具信息!F401)</f>
        <v>1</v>
      </c>
      <c r="G401" s="8">
        <f>IF([2]道具信息!G401="","",[2]道具信息!G401)</f>
        <v>1</v>
      </c>
      <c r="H401" s="8">
        <f>IF([2]道具信息!H401="","",[2]道具信息!H401)</f>
        <v>1</v>
      </c>
      <c r="I401" s="8">
        <f>IF([2]道具信息!I401="","",[2]道具信息!I401)</f>
        <v>1800</v>
      </c>
      <c r="J401" s="8">
        <f>IF([2]道具信息!J401="","",[2]道具信息!J401)</f>
        <v>1800</v>
      </c>
      <c r="K401" s="8">
        <f>IF([2]道具信息!K401="","",[2]道具信息!K401)</f>
        <v>1800</v>
      </c>
      <c r="L401" s="8" t="str">
        <f>IF([2]道具信息!L401="","",[2]道具信息!L401)</f>
        <v>使用后随机获得一个橙色武将</v>
      </c>
      <c r="M401" s="8" t="str">
        <f>IF([2]道具信息!M401="","",[2]道具信息!M401)</f>
        <v/>
      </c>
      <c r="N401" s="8" t="str">
        <f>IF([2]道具信息!N401="","",[2]道具信息!N401)</f>
        <v/>
      </c>
      <c r="O401" s="8" t="str">
        <f>IF([2]道具信息!O401="","",[2]道具信息!O401)</f>
        <v/>
      </c>
      <c r="P401" s="8" t="str">
        <f>IF([2]道具信息!P401="","",[2]道具信息!P401)</f>
        <v/>
      </c>
      <c r="Q401" s="8" t="str">
        <f>IF([2]道具信息!Q401="","",[2]道具信息!Q401)</f>
        <v/>
      </c>
      <c r="R401" s="8" t="str">
        <f>IF([2]道具信息!R401="","",[2]道具信息!R401)</f>
        <v/>
      </c>
    </row>
    <row r="402" spans="3:18" x14ac:dyDescent="0.2">
      <c r="C402" s="8">
        <f>IF([2]道具信息!C402="","",[2]道具信息!C402)</f>
        <v>23013</v>
      </c>
      <c r="D402" s="8" t="str">
        <f>IF([2]道具信息!D402="","",[2]道具信息!D402)</f>
        <v>红色武将随机宝箱</v>
      </c>
      <c r="E402" s="8">
        <f>IF([2]道具信息!E402="","",[2]道具信息!E402)</f>
        <v>14400</v>
      </c>
      <c r="F402" s="8">
        <f>IF([2]道具信息!F402="","",[2]道具信息!F402)</f>
        <v>1</v>
      </c>
      <c r="G402" s="8">
        <f>IF([2]道具信息!G402="","",[2]道具信息!G402)</f>
        <v>1</v>
      </c>
      <c r="H402" s="8">
        <f>IF([2]道具信息!H402="","",[2]道具信息!H402)</f>
        <v>1</v>
      </c>
      <c r="I402" s="8">
        <f>IF([2]道具信息!I402="","",[2]道具信息!I402)</f>
        <v>14400</v>
      </c>
      <c r="J402" s="8">
        <f>IF([2]道具信息!J402="","",[2]道具信息!J402)</f>
        <v>14400</v>
      </c>
      <c r="K402" s="8">
        <f>IF([2]道具信息!K402="","",[2]道具信息!K402)</f>
        <v>14400</v>
      </c>
      <c r="L402" s="8" t="str">
        <f>IF([2]道具信息!L402="","",[2]道具信息!L402)</f>
        <v>使用后随机获得一个红色武将</v>
      </c>
      <c r="M402" s="8" t="str">
        <f>IF([2]道具信息!M402="","",[2]道具信息!M402)</f>
        <v/>
      </c>
      <c r="N402" s="8" t="str">
        <f>IF([2]道具信息!N402="","",[2]道具信息!N402)</f>
        <v/>
      </c>
      <c r="O402" s="8" t="str">
        <f>IF([2]道具信息!O402="","",[2]道具信息!O402)</f>
        <v/>
      </c>
      <c r="P402" s="8" t="str">
        <f>IF([2]道具信息!P402="","",[2]道具信息!P402)</f>
        <v/>
      </c>
      <c r="Q402" s="8" t="str">
        <f>IF([2]道具信息!Q402="","",[2]道具信息!Q402)</f>
        <v/>
      </c>
      <c r="R402" s="8" t="str">
        <f>IF([2]道具信息!R402="","",[2]道具信息!R402)</f>
        <v/>
      </c>
    </row>
    <row r="403" spans="3:18" x14ac:dyDescent="0.2">
      <c r="C403" s="8" t="str">
        <f>IF([2]道具信息!C403="","",[2]道具信息!C403)</f>
        <v/>
      </c>
      <c r="D403" s="8" t="str">
        <f>IF([2]道具信息!D403="","",[2]道具信息!D403)</f>
        <v/>
      </c>
      <c r="E403" s="8" t="str">
        <f>IF([2]道具信息!E403="","",[2]道具信息!E403)</f>
        <v/>
      </c>
      <c r="F403" s="8" t="str">
        <f>IF([2]道具信息!F403="","",[2]道具信息!F403)</f>
        <v/>
      </c>
      <c r="G403" s="8" t="str">
        <f>IF([2]道具信息!G403="","",[2]道具信息!G403)</f>
        <v/>
      </c>
      <c r="H403" s="8" t="str">
        <f>IF([2]道具信息!H403="","",[2]道具信息!H403)</f>
        <v/>
      </c>
      <c r="I403" s="8" t="str">
        <f>IF([2]道具信息!I403="","",[2]道具信息!I403)</f>
        <v/>
      </c>
      <c r="J403" s="8" t="str">
        <f>IF([2]道具信息!J403="","",[2]道具信息!J403)</f>
        <v/>
      </c>
      <c r="K403" s="8" t="str">
        <f>IF([2]道具信息!K403="","",[2]道具信息!K403)</f>
        <v/>
      </c>
      <c r="L403" s="8" t="str">
        <f>IF([2]道具信息!L403="","",[2]道具信息!L403)</f>
        <v/>
      </c>
      <c r="M403" s="8" t="str">
        <f>IF([2]道具信息!M403="","",[2]道具信息!M403)</f>
        <v/>
      </c>
      <c r="N403" s="8" t="str">
        <f>IF([2]道具信息!N403="","",[2]道具信息!N403)</f>
        <v/>
      </c>
      <c r="O403" s="8" t="str">
        <f>IF([2]道具信息!O403="","",[2]道具信息!O403)</f>
        <v/>
      </c>
      <c r="P403" s="8" t="str">
        <f>IF([2]道具信息!P403="","",[2]道具信息!P403)</f>
        <v/>
      </c>
      <c r="Q403" s="8" t="str">
        <f>IF([2]道具信息!Q403="","",[2]道具信息!Q403)</f>
        <v/>
      </c>
      <c r="R403" s="8" t="str">
        <f>IF([2]道具信息!R403="","",[2]道具信息!R403)</f>
        <v/>
      </c>
    </row>
    <row r="404" spans="3:18" x14ac:dyDescent="0.2">
      <c r="C404" s="8">
        <f>IF([2]道具信息!C404="","",[2]道具信息!C404)</f>
        <v>23014</v>
      </c>
      <c r="D404" s="8" t="str">
        <f>IF([2]道具信息!D404="","",[2]道具信息!D404)</f>
        <v>橙色武将自选宝箱碎片</v>
      </c>
      <c r="E404" s="8">
        <f>IF([2]道具信息!E404="","",[2]道具信息!E404)</f>
        <v>160</v>
      </c>
      <c r="F404" s="8">
        <f>IF([2]道具信息!F404="","",[2]道具信息!F404)</f>
        <v>1</v>
      </c>
      <c r="G404" s="8">
        <f>IF([2]道具信息!G404="","",[2]道具信息!G404)</f>
        <v>1</v>
      </c>
      <c r="H404" s="8">
        <f>IF([2]道具信息!H404="","",[2]道具信息!H404)</f>
        <v>1</v>
      </c>
      <c r="I404" s="8">
        <f>IF([2]道具信息!I404="","",[2]道具信息!I404)</f>
        <v>160</v>
      </c>
      <c r="J404" s="8">
        <f>IF([2]道具信息!J404="","",[2]道具信息!J404)</f>
        <v>160</v>
      </c>
      <c r="K404" s="8">
        <f>IF([2]道具信息!K404="","",[2]道具信息!K404)</f>
        <v>160</v>
      </c>
      <c r="L404" s="8" t="str">
        <f>IF([2]道具信息!L404="","",[2]道具信息!L404)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4" s="8" t="str">
        <f>IF([2]道具信息!M404="","",[2]道具信息!M404)</f>
        <v/>
      </c>
      <c r="N404" s="8" t="str">
        <f>IF([2]道具信息!N404="","",[2]道具信息!N404)</f>
        <v/>
      </c>
      <c r="O404" s="8" t="str">
        <f>IF([2]道具信息!O404="","",[2]道具信息!O404)</f>
        <v/>
      </c>
      <c r="P404" s="8" t="str">
        <f>IF([2]道具信息!P404="","",[2]道具信息!P404)</f>
        <v/>
      </c>
      <c r="Q404" s="8" t="str">
        <f>IF([2]道具信息!Q404="","",[2]道具信息!Q404)</f>
        <v/>
      </c>
      <c r="R404" s="8" t="str">
        <f>IF([2]道具信息!R404="","",[2]道具信息!R404)</f>
        <v/>
      </c>
    </row>
    <row r="405" spans="3:18" x14ac:dyDescent="0.2">
      <c r="C405" s="8">
        <f>IF([2]道具信息!C405="","",[2]道具信息!C405)</f>
        <v>23015</v>
      </c>
      <c r="D405" s="8" t="str">
        <f>IF([2]道具信息!D405="","",[2]道具信息!D405)</f>
        <v>橙色武将随机宝箱碎片</v>
      </c>
      <c r="E405" s="8">
        <f>IF([2]道具信息!E405="","",[2]道具信息!E405)</f>
        <v>60</v>
      </c>
      <c r="F405" s="8">
        <f>IF([2]道具信息!F405="","",[2]道具信息!F405)</f>
        <v>1</v>
      </c>
      <c r="G405" s="8">
        <f>IF([2]道具信息!G405="","",[2]道具信息!G405)</f>
        <v>1</v>
      </c>
      <c r="H405" s="8">
        <f>IF([2]道具信息!H405="","",[2]道具信息!H405)</f>
        <v>1</v>
      </c>
      <c r="I405" s="8">
        <f>IF([2]道具信息!I405="","",[2]道具信息!I405)</f>
        <v>60</v>
      </c>
      <c r="J405" s="8">
        <f>IF([2]道具信息!J405="","",[2]道具信息!J405)</f>
        <v>60</v>
      </c>
      <c r="K405" s="8">
        <f>IF([2]道具信息!K405="","",[2]道具信息!K405)</f>
        <v>60</v>
      </c>
      <c r="L405" s="8" t="str">
        <f>IF([2]道具信息!L405="","",[2]道具信息!L405)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5" s="8" t="str">
        <f>IF([2]道具信息!M405="","",[2]道具信息!M405)</f>
        <v/>
      </c>
      <c r="N405" s="8" t="str">
        <f>IF([2]道具信息!N405="","",[2]道具信息!N405)</f>
        <v/>
      </c>
      <c r="O405" s="8" t="str">
        <f>IF([2]道具信息!O405="","",[2]道具信息!O405)</f>
        <v/>
      </c>
      <c r="P405" s="8" t="str">
        <f>IF([2]道具信息!P405="","",[2]道具信息!P405)</f>
        <v/>
      </c>
      <c r="Q405" s="8" t="str">
        <f>IF([2]道具信息!Q405="","",[2]道具信息!Q405)</f>
        <v/>
      </c>
      <c r="R405" s="8" t="str">
        <f>IF([2]道具信息!R405="","",[2]道具信息!R405)</f>
        <v/>
      </c>
    </row>
    <row r="406" spans="3:18" x14ac:dyDescent="0.2">
      <c r="C406" s="8">
        <f>IF([2]道具信息!C406="","",[2]道具信息!C406)</f>
        <v>23016</v>
      </c>
      <c r="D406" s="8" t="str">
        <f>IF([2]道具信息!D406="","",[2]道具信息!D406)</f>
        <v>紫色武将随机宝箱碎片</v>
      </c>
      <c r="E406" s="8">
        <f>IF([2]道具信息!E406="","",[2]道具信息!E406)</f>
        <v>36</v>
      </c>
      <c r="F406" s="8">
        <f>IF([2]道具信息!F406="","",[2]道具信息!F406)</f>
        <v>1</v>
      </c>
      <c r="G406" s="8">
        <f>IF([2]道具信息!G406="","",[2]道具信息!G406)</f>
        <v>1</v>
      </c>
      <c r="H406" s="8">
        <f>IF([2]道具信息!H406="","",[2]道具信息!H406)</f>
        <v>1</v>
      </c>
      <c r="I406" s="8">
        <f>IF([2]道具信息!I406="","",[2]道具信息!I406)</f>
        <v>36</v>
      </c>
      <c r="J406" s="8">
        <f>IF([2]道具信息!J406="","",[2]道具信息!J406)</f>
        <v>36</v>
      </c>
      <c r="K406" s="8">
        <f>IF([2]道具信息!K406="","",[2]道具信息!K406)</f>
        <v>36</v>
      </c>
      <c r="L406" s="8" t="str">
        <f>IF([2]道具信息!L406="","",[2]道具信息!L406)</f>
        <v>集齐10个碎片可以合成，随机获得下列武将中的一个：\n聂荌、专诸、钟无艳、田忌、春申君、莫邪、孙叔敖、西门豹、暴鸢、秦开</v>
      </c>
      <c r="M406" s="8" t="str">
        <f>IF([2]道具信息!M406="","",[2]道具信息!M406)</f>
        <v/>
      </c>
      <c r="N406" s="8" t="str">
        <f>IF([2]道具信息!N406="","",[2]道具信息!N406)</f>
        <v/>
      </c>
      <c r="O406" s="8" t="str">
        <f>IF([2]道具信息!O406="","",[2]道具信息!O406)</f>
        <v/>
      </c>
      <c r="P406" s="8" t="str">
        <f>IF([2]道具信息!P406="","",[2]道具信息!P406)</f>
        <v/>
      </c>
      <c r="Q406" s="8" t="str">
        <f>IF([2]道具信息!Q406="","",[2]道具信息!Q406)</f>
        <v/>
      </c>
      <c r="R406" s="8" t="str">
        <f>IF([2]道具信息!R406="","",[2]道具信息!R406)</f>
        <v/>
      </c>
    </row>
    <row r="407" spans="3:18" x14ac:dyDescent="0.2">
      <c r="C407" s="8" t="str">
        <f>IF([2]道具信息!C407="","",[2]道具信息!C407)</f>
        <v/>
      </c>
      <c r="D407" s="8" t="str">
        <f>IF([2]道具信息!D407="","",[2]道具信息!D407)</f>
        <v/>
      </c>
      <c r="E407" s="8" t="str">
        <f>IF([2]道具信息!E407="","",[2]道具信息!E407)</f>
        <v/>
      </c>
      <c r="F407" s="8" t="str">
        <f>IF([2]道具信息!F407="","",[2]道具信息!F407)</f>
        <v/>
      </c>
      <c r="G407" s="8" t="str">
        <f>IF([2]道具信息!G407="","",[2]道具信息!G407)</f>
        <v/>
      </c>
      <c r="H407" s="8" t="str">
        <f>IF([2]道具信息!H407="","",[2]道具信息!H407)</f>
        <v/>
      </c>
      <c r="I407" s="8" t="str">
        <f>IF([2]道具信息!I407="","",[2]道具信息!I407)</f>
        <v/>
      </c>
      <c r="J407" s="8" t="str">
        <f>IF([2]道具信息!J407="","",[2]道具信息!J407)</f>
        <v/>
      </c>
      <c r="K407" s="8" t="str">
        <f>IF([2]道具信息!K407="","",[2]道具信息!K407)</f>
        <v/>
      </c>
      <c r="L407" s="8" t="str">
        <f>IF([2]道具信息!L407="","",[2]道具信息!L407)</f>
        <v/>
      </c>
      <c r="M407" s="8" t="str">
        <f>IF([2]道具信息!M407="","",[2]道具信息!M407)</f>
        <v/>
      </c>
      <c r="N407" s="8" t="str">
        <f>IF([2]道具信息!N407="","",[2]道具信息!N407)</f>
        <v/>
      </c>
      <c r="O407" s="8" t="str">
        <f>IF([2]道具信息!O407="","",[2]道具信息!O407)</f>
        <v/>
      </c>
      <c r="P407" s="8" t="str">
        <f>IF([2]道具信息!P407="","",[2]道具信息!P407)</f>
        <v/>
      </c>
      <c r="Q407" s="8" t="str">
        <f>IF([2]道具信息!Q407="","",[2]道具信息!Q407)</f>
        <v/>
      </c>
      <c r="R407" s="8" t="str">
        <f>IF([2]道具信息!R407="","",[2]道具信息!R407)</f>
        <v/>
      </c>
    </row>
    <row r="408" spans="3:18" x14ac:dyDescent="0.2">
      <c r="C408" s="8" t="str">
        <f>IF([2]道具信息!C408="","",[2]道具信息!C408)</f>
        <v/>
      </c>
      <c r="D408" s="8" t="str">
        <f>IF([2]道具信息!D408="","",[2]道具信息!D408)</f>
        <v>指定绿色装备</v>
      </c>
      <c r="E408" s="8">
        <f>IF([2]道具信息!E408="","",[2]道具信息!E408)</f>
        <v>35</v>
      </c>
      <c r="F408" s="8">
        <f>IF([2]道具信息!F408="","",[2]道具信息!F408)</f>
        <v>1</v>
      </c>
      <c r="G408" s="8">
        <f>IF([2]道具信息!G408="","",[2]道具信息!G408)</f>
        <v>1</v>
      </c>
      <c r="H408" s="8">
        <f>IF([2]道具信息!H408="","",[2]道具信息!H408)</f>
        <v>1</v>
      </c>
      <c r="I408" s="8">
        <f>IF([2]道具信息!I408="","",[2]道具信息!I408)</f>
        <v>35</v>
      </c>
      <c r="J408" s="8">
        <f>IF([2]道具信息!J408="","",[2]道具信息!J408)</f>
        <v>35</v>
      </c>
      <c r="K408" s="8">
        <f>IF([2]道具信息!K408="","",[2]道具信息!K408)</f>
        <v>35</v>
      </c>
      <c r="L408" s="8">
        <f>IF([2]道具信息!L408="","",[2]道具信息!L408)</f>
        <v>1</v>
      </c>
      <c r="M408" s="8" t="str">
        <f>IF([2]道具信息!M408="","",[2]道具信息!M408)</f>
        <v/>
      </c>
      <c r="N408" s="8" t="str">
        <f>IF([2]道具信息!N408="","",[2]道具信息!N408)</f>
        <v/>
      </c>
      <c r="O408" s="8" t="str">
        <f>IF([2]道具信息!O408="","",[2]道具信息!O408)</f>
        <v/>
      </c>
      <c r="P408" s="8" t="str">
        <f>IF([2]道具信息!P408="","",[2]道具信息!P408)</f>
        <v/>
      </c>
      <c r="Q408" s="8" t="str">
        <f>IF([2]道具信息!Q408="","",[2]道具信息!Q408)</f>
        <v/>
      </c>
      <c r="R408" s="8" t="str">
        <f>IF([2]道具信息!R408="","",[2]道具信息!R408)</f>
        <v/>
      </c>
    </row>
    <row r="409" spans="3:18" x14ac:dyDescent="0.2">
      <c r="C409" s="8" t="str">
        <f>IF([2]道具信息!C409="","",[2]道具信息!C409)</f>
        <v/>
      </c>
      <c r="D409" s="8" t="str">
        <f>IF([2]道具信息!D409="","",[2]道具信息!D409)</f>
        <v>指定蓝色装备</v>
      </c>
      <c r="E409" s="8">
        <f>IF([2]道具信息!E409="","",[2]道具信息!E409)</f>
        <v>120</v>
      </c>
      <c r="F409" s="8">
        <f>IF([2]道具信息!F409="","",[2]道具信息!F409)</f>
        <v>1</v>
      </c>
      <c r="G409" s="8">
        <f>IF([2]道具信息!G409="","",[2]道具信息!G409)</f>
        <v>1</v>
      </c>
      <c r="H409" s="8">
        <f>IF([2]道具信息!H409="","",[2]道具信息!H409)</f>
        <v>1</v>
      </c>
      <c r="I409" s="8">
        <f>IF([2]道具信息!I409="","",[2]道具信息!I409)</f>
        <v>120</v>
      </c>
      <c r="J409" s="8">
        <f>IF([2]道具信息!J409="","",[2]道具信息!J409)</f>
        <v>120</v>
      </c>
      <c r="K409" s="8">
        <f>IF([2]道具信息!K409="","",[2]道具信息!K409)</f>
        <v>120</v>
      </c>
      <c r="L409" s="8">
        <f>IF([2]道具信息!L409="","",[2]道具信息!L409)</f>
        <v>1.5</v>
      </c>
      <c r="M409" s="8" t="str">
        <f>IF([2]道具信息!M409="","",[2]道具信息!M409)</f>
        <v/>
      </c>
      <c r="N409" s="8" t="str">
        <f>IF([2]道具信息!N409="","",[2]道具信息!N409)</f>
        <v/>
      </c>
      <c r="O409" s="8" t="str">
        <f>IF([2]道具信息!O409="","",[2]道具信息!O409)</f>
        <v/>
      </c>
      <c r="P409" s="8" t="str">
        <f>IF([2]道具信息!P409="","",[2]道具信息!P409)</f>
        <v/>
      </c>
      <c r="Q409" s="8" t="str">
        <f>IF([2]道具信息!Q409="","",[2]道具信息!Q409)</f>
        <v/>
      </c>
      <c r="R409" s="8" t="str">
        <f>IF([2]道具信息!R409="","",[2]道具信息!R409)</f>
        <v/>
      </c>
    </row>
    <row r="410" spans="3:18" x14ac:dyDescent="0.2">
      <c r="C410" s="8" t="str">
        <f>IF([2]道具信息!C410="","",[2]道具信息!C410)</f>
        <v/>
      </c>
      <c r="D410" s="8" t="str">
        <f>IF([2]道具信息!D410="","",[2]道具信息!D410)</f>
        <v>指定紫色装备</v>
      </c>
      <c r="E410" s="8">
        <f>IF([2]道具信息!E410="","",[2]道具信息!E410)</f>
        <v>300</v>
      </c>
      <c r="F410" s="8">
        <f>IF([2]道具信息!F410="","",[2]道具信息!F410)</f>
        <v>1</v>
      </c>
      <c r="G410" s="8">
        <f>IF([2]道具信息!G410="","",[2]道具信息!G410)</f>
        <v>1</v>
      </c>
      <c r="H410" s="8">
        <f>IF([2]道具信息!H410="","",[2]道具信息!H410)</f>
        <v>1</v>
      </c>
      <c r="I410" s="8">
        <f>IF([2]道具信息!I410="","",[2]道具信息!I410)</f>
        <v>300</v>
      </c>
      <c r="J410" s="8">
        <f>IF([2]道具信息!J410="","",[2]道具信息!J410)</f>
        <v>300</v>
      </c>
      <c r="K410" s="8">
        <f>IF([2]道具信息!K410="","",[2]道具信息!K410)</f>
        <v>300</v>
      </c>
      <c r="L410" s="8">
        <f>IF([2]道具信息!L410="","",[2]道具信息!L410)</f>
        <v>2</v>
      </c>
      <c r="M410" s="8" t="str">
        <f>IF([2]道具信息!M410="","",[2]道具信息!M410)</f>
        <v/>
      </c>
      <c r="N410" s="8" t="str">
        <f>IF([2]道具信息!N410="","",[2]道具信息!N410)</f>
        <v/>
      </c>
      <c r="O410" s="8" t="str">
        <f>IF([2]道具信息!O410="","",[2]道具信息!O410)</f>
        <v/>
      </c>
      <c r="P410" s="8" t="str">
        <f>IF([2]道具信息!P410="","",[2]道具信息!P410)</f>
        <v/>
      </c>
      <c r="Q410" s="8" t="str">
        <f>IF([2]道具信息!Q410="","",[2]道具信息!Q410)</f>
        <v/>
      </c>
      <c r="R410" s="8" t="str">
        <f>IF([2]道具信息!R410="","",[2]道具信息!R410)</f>
        <v/>
      </c>
    </row>
    <row r="411" spans="3:18" x14ac:dyDescent="0.2">
      <c r="C411" s="8" t="str">
        <f>IF([2]道具信息!C411="","",[2]道具信息!C411)</f>
        <v/>
      </c>
      <c r="D411" s="8" t="str">
        <f>IF([2]道具信息!D411="","",[2]道具信息!D411)</f>
        <v>指定橙色装备</v>
      </c>
      <c r="E411" s="8">
        <f>IF([2]道具信息!E411="","",[2]道具信息!E411)</f>
        <v>800</v>
      </c>
      <c r="F411" s="8">
        <f>IF([2]道具信息!F411="","",[2]道具信息!F411)</f>
        <v>1</v>
      </c>
      <c r="G411" s="8">
        <f>IF([2]道具信息!G411="","",[2]道具信息!G411)</f>
        <v>1</v>
      </c>
      <c r="H411" s="8">
        <f>IF([2]道具信息!H411="","",[2]道具信息!H411)</f>
        <v>1</v>
      </c>
      <c r="I411" s="8">
        <f>IF([2]道具信息!I411="","",[2]道具信息!I411)</f>
        <v>800</v>
      </c>
      <c r="J411" s="8">
        <f>IF([2]道具信息!J411="","",[2]道具信息!J411)</f>
        <v>800</v>
      </c>
      <c r="K411" s="8">
        <f>IF([2]道具信息!K411="","",[2]道具信息!K411)</f>
        <v>800</v>
      </c>
      <c r="L411" s="8">
        <f>IF([2]道具信息!L411="","",[2]道具信息!L411)</f>
        <v>2.5</v>
      </c>
      <c r="M411" s="8" t="str">
        <f>IF([2]道具信息!M411="","",[2]道具信息!M411)</f>
        <v/>
      </c>
      <c r="N411" s="8" t="str">
        <f>IF([2]道具信息!N411="","",[2]道具信息!N411)</f>
        <v/>
      </c>
      <c r="O411" s="8" t="str">
        <f>IF([2]道具信息!O411="","",[2]道具信息!O411)</f>
        <v/>
      </c>
      <c r="P411" s="8" t="str">
        <f>IF([2]道具信息!P411="","",[2]道具信息!P411)</f>
        <v/>
      </c>
      <c r="Q411" s="8" t="str">
        <f>IF([2]道具信息!Q411="","",[2]道具信息!Q411)</f>
        <v/>
      </c>
      <c r="R411" s="8" t="str">
        <f>IF([2]道具信息!R411="","",[2]道具信息!R411)</f>
        <v/>
      </c>
    </row>
    <row r="412" spans="3:18" x14ac:dyDescent="0.2">
      <c r="C412" s="8" t="str">
        <f>IF([2]道具信息!C412="","",[2]道具信息!C412)</f>
        <v/>
      </c>
      <c r="D412" s="8" t="str">
        <f>IF([2]道具信息!D412="","",[2]道具信息!D412)</f>
        <v>指定红色装备</v>
      </c>
      <c r="E412" s="8">
        <f>IF([2]道具信息!E412="","",[2]道具信息!E412)</f>
        <v>7200</v>
      </c>
      <c r="F412" s="8">
        <f>IF([2]道具信息!F412="","",[2]道具信息!F412)</f>
        <v>1</v>
      </c>
      <c r="G412" s="8">
        <f>IF([2]道具信息!G412="","",[2]道具信息!G412)</f>
        <v>1</v>
      </c>
      <c r="H412" s="8">
        <f>IF([2]道具信息!H412="","",[2]道具信息!H412)</f>
        <v>1</v>
      </c>
      <c r="I412" s="8">
        <f>IF([2]道具信息!I412="","",[2]道具信息!I412)</f>
        <v>7200</v>
      </c>
      <c r="J412" s="8">
        <f>IF([2]道具信息!J412="","",[2]道具信息!J412)</f>
        <v>7200</v>
      </c>
      <c r="K412" s="8">
        <f>IF([2]道具信息!K412="","",[2]道具信息!K412)</f>
        <v>7200</v>
      </c>
      <c r="L412" s="8">
        <f>IF([2]道具信息!L412="","",[2]道具信息!L412)</f>
        <v>3</v>
      </c>
      <c r="M412" s="8" t="str">
        <f>IF([2]道具信息!M412="","",[2]道具信息!M412)</f>
        <v/>
      </c>
      <c r="N412" s="8" t="str">
        <f>IF([2]道具信息!N412="","",[2]道具信息!N412)</f>
        <v/>
      </c>
      <c r="O412" s="8" t="str">
        <f>IF([2]道具信息!O412="","",[2]道具信息!O412)</f>
        <v/>
      </c>
      <c r="P412" s="8" t="str">
        <f>IF([2]道具信息!P412="","",[2]道具信息!P412)</f>
        <v/>
      </c>
      <c r="Q412" s="8" t="str">
        <f>IF([2]道具信息!Q412="","",[2]道具信息!Q412)</f>
        <v/>
      </c>
      <c r="R412" s="8" t="str">
        <f>IF([2]道具信息!R412="","",[2]道具信息!R412)</f>
        <v/>
      </c>
    </row>
    <row r="413" spans="3:18" x14ac:dyDescent="0.2">
      <c r="C413" s="8" t="str">
        <f>IF([2]道具信息!C413="","",[2]道具信息!C413)</f>
        <v/>
      </c>
      <c r="D413" s="8" t="str">
        <f>IF([2]道具信息!D413="","",[2]道具信息!D413)</f>
        <v>指定红+装备</v>
      </c>
      <c r="E413" s="8">
        <f>IF([2]道具信息!E413="","",[2]道具信息!E413)</f>
        <v>14400</v>
      </c>
      <c r="F413" s="8">
        <f>IF([2]道具信息!F413="","",[2]道具信息!F413)</f>
        <v>1.56</v>
      </c>
      <c r="G413" s="8">
        <f>IF([2]道具信息!G413="","",[2]道具信息!G413)</f>
        <v>1.56</v>
      </c>
      <c r="H413" s="8">
        <f>IF([2]道具信息!H413="","",[2]道具信息!H413)</f>
        <v>1.56</v>
      </c>
      <c r="I413" s="8">
        <f>IF([2]道具信息!I413="","",[2]道具信息!I413)</f>
        <v>22464</v>
      </c>
      <c r="J413" s="8">
        <f>IF([2]道具信息!J413="","",[2]道具信息!J413)</f>
        <v>22464</v>
      </c>
      <c r="K413" s="8">
        <f>IF([2]道具信息!K413="","",[2]道具信息!K413)</f>
        <v>22464</v>
      </c>
      <c r="L413" s="8" t="str">
        <f>IF([2]道具信息!L413="","",[2]道具信息!L413)</f>
        <v/>
      </c>
      <c r="M413" s="8" t="str">
        <f>IF([2]道具信息!M413="","",[2]道具信息!M413)</f>
        <v/>
      </c>
      <c r="N413" s="8" t="str">
        <f>IF([2]道具信息!N413="","",[2]道具信息!N413)</f>
        <v/>
      </c>
      <c r="O413" s="8" t="str">
        <f>IF([2]道具信息!O413="","",[2]道具信息!O413)</f>
        <v/>
      </c>
      <c r="P413" s="8" t="str">
        <f>IF([2]道具信息!P413="","",[2]道具信息!P413)</f>
        <v/>
      </c>
      <c r="Q413" s="8" t="str">
        <f>IF([2]道具信息!Q413="","",[2]道具信息!Q413)</f>
        <v/>
      </c>
      <c r="R413" s="8" t="str">
        <f>IF([2]道具信息!R413="","",[2]道具信息!R413)</f>
        <v/>
      </c>
    </row>
    <row r="414" spans="3:18" x14ac:dyDescent="0.2">
      <c r="C414" s="8">
        <f>IF([2]道具信息!C414="","",[2]道具信息!C414)</f>
        <v>23215</v>
      </c>
      <c r="D414" s="8" t="str">
        <f>IF([2]道具信息!D414="","",[2]道具信息!D414)</f>
        <v>紫色武力装备礼包</v>
      </c>
      <c r="E414" s="8" t="str">
        <f>IF([2]道具信息!E414="","",[2]道具信息!E414)</f>
        <v/>
      </c>
      <c r="F414" s="8">
        <f>IF([2]道具信息!F414="","",[2]道具信息!F414)</f>
        <v>1</v>
      </c>
      <c r="G414" s="8">
        <f>IF([2]道具信息!G414="","",[2]道具信息!G414)</f>
        <v>1</v>
      </c>
      <c r="H414" s="8">
        <f>IF([2]道具信息!H414="","",[2]道具信息!H414)</f>
        <v>1</v>
      </c>
      <c r="I414" s="8" t="str">
        <f>IF([2]道具信息!I414="","",[2]道具信息!I414)</f>
        <v/>
      </c>
      <c r="J414" s="8" t="str">
        <f>IF([2]道具信息!J414="","",[2]道具信息!J414)</f>
        <v/>
      </c>
      <c r="K414" s="8" t="str">
        <f>IF([2]道具信息!K414="","",[2]道具信息!K414)</f>
        <v/>
      </c>
      <c r="L414" s="8" t="str">
        <f>IF([2]道具信息!L414="","",[2]道具信息!L414)</f>
        <v/>
      </c>
      <c r="M414" s="8" t="str">
        <f>IF([2]道具信息!M414="","",[2]道具信息!M414)</f>
        <v/>
      </c>
      <c r="N414" s="8" t="str">
        <f>IF([2]道具信息!N414="","",[2]道具信息!N414)</f>
        <v/>
      </c>
      <c r="O414" s="8" t="str">
        <f>IF([2]道具信息!O414="","",[2]道具信息!O414)</f>
        <v/>
      </c>
      <c r="P414" s="8" t="str">
        <f>IF([2]道具信息!P414="","",[2]道具信息!P414)</f>
        <v/>
      </c>
      <c r="Q414" s="8" t="str">
        <f>IF([2]道具信息!Q414="","",[2]道具信息!Q414)</f>
        <v/>
      </c>
      <c r="R414" s="8" t="str">
        <f>IF([2]道具信息!R414="","",[2]道具信息!R414)</f>
        <v/>
      </c>
    </row>
    <row r="415" spans="3:18" x14ac:dyDescent="0.2">
      <c r="C415" s="8">
        <f>IF([2]道具信息!C415="","",[2]道具信息!C415)</f>
        <v>23216</v>
      </c>
      <c r="D415" s="8" t="str">
        <f>IF([2]道具信息!D415="","",[2]道具信息!D415)</f>
        <v>紫色智力装备礼包</v>
      </c>
      <c r="E415" s="8" t="str">
        <f>IF([2]道具信息!E415="","",[2]道具信息!E415)</f>
        <v/>
      </c>
      <c r="F415" s="8">
        <f>IF([2]道具信息!F415="","",[2]道具信息!F415)</f>
        <v>1</v>
      </c>
      <c r="G415" s="8">
        <f>IF([2]道具信息!G415="","",[2]道具信息!G415)</f>
        <v>1</v>
      </c>
      <c r="H415" s="8">
        <f>IF([2]道具信息!H415="","",[2]道具信息!H415)</f>
        <v>1</v>
      </c>
      <c r="I415" s="8" t="str">
        <f>IF([2]道具信息!I415="","",[2]道具信息!I415)</f>
        <v/>
      </c>
      <c r="J415" s="8" t="str">
        <f>IF([2]道具信息!J415="","",[2]道具信息!J415)</f>
        <v/>
      </c>
      <c r="K415" s="8" t="str">
        <f>IF([2]道具信息!K415="","",[2]道具信息!K415)</f>
        <v/>
      </c>
      <c r="L415" s="8" t="str">
        <f>IF([2]道具信息!L415="","",[2]道具信息!L415)</f>
        <v/>
      </c>
      <c r="M415" s="8" t="str">
        <f>IF([2]道具信息!M415="","",[2]道具信息!M415)</f>
        <v/>
      </c>
      <c r="N415" s="8" t="str">
        <f>IF([2]道具信息!N415="","",[2]道具信息!N415)</f>
        <v/>
      </c>
      <c r="O415" s="8" t="str">
        <f>IF([2]道具信息!O415="","",[2]道具信息!O415)</f>
        <v/>
      </c>
      <c r="P415" s="8" t="str">
        <f>IF([2]道具信息!P415="","",[2]道具信息!P415)</f>
        <v/>
      </c>
      <c r="Q415" s="8" t="str">
        <f>IF([2]道具信息!Q415="","",[2]道具信息!Q415)</f>
        <v/>
      </c>
      <c r="R415" s="8" t="str">
        <f>IF([2]道具信息!R415="","",[2]道具信息!R415)</f>
        <v/>
      </c>
    </row>
    <row r="416" spans="3:18" x14ac:dyDescent="0.2">
      <c r="C416" s="8">
        <f>IF([2]道具信息!C416="","",[2]道具信息!C416)</f>
        <v>23217</v>
      </c>
      <c r="D416" s="8" t="str">
        <f>IF([2]道具信息!D416="","",[2]道具信息!D416)</f>
        <v>橙色统率装备礼包</v>
      </c>
      <c r="E416" s="8" t="str">
        <f>IF([2]道具信息!E416="","",[2]道具信息!E416)</f>
        <v/>
      </c>
      <c r="F416" s="8">
        <f>IF([2]道具信息!F416="","",[2]道具信息!F416)</f>
        <v>1</v>
      </c>
      <c r="G416" s="8">
        <f>IF([2]道具信息!G416="","",[2]道具信息!G416)</f>
        <v>1</v>
      </c>
      <c r="H416" s="8">
        <f>IF([2]道具信息!H416="","",[2]道具信息!H416)</f>
        <v>1</v>
      </c>
      <c r="I416" s="8" t="str">
        <f>IF([2]道具信息!I416="","",[2]道具信息!I416)</f>
        <v/>
      </c>
      <c r="J416" s="8" t="str">
        <f>IF([2]道具信息!J416="","",[2]道具信息!J416)</f>
        <v/>
      </c>
      <c r="K416" s="8" t="str">
        <f>IF([2]道具信息!K416="","",[2]道具信息!K416)</f>
        <v/>
      </c>
      <c r="L416" s="8" t="str">
        <f>IF([2]道具信息!L416="","",[2]道具信息!L416)</f>
        <v/>
      </c>
      <c r="M416" s="8" t="str">
        <f>IF([2]道具信息!M416="","",[2]道具信息!M416)</f>
        <v/>
      </c>
      <c r="N416" s="8" t="str">
        <f>IF([2]道具信息!N416="","",[2]道具信息!N416)</f>
        <v/>
      </c>
      <c r="O416" s="8" t="str">
        <f>IF([2]道具信息!O416="","",[2]道具信息!O416)</f>
        <v/>
      </c>
      <c r="P416" s="8" t="str">
        <f>IF([2]道具信息!P416="","",[2]道具信息!P416)</f>
        <v/>
      </c>
      <c r="Q416" s="8" t="str">
        <f>IF([2]道具信息!Q416="","",[2]道具信息!Q416)</f>
        <v/>
      </c>
      <c r="R416" s="8" t="str">
        <f>IF([2]道具信息!R416="","",[2]道具信息!R416)</f>
        <v/>
      </c>
    </row>
    <row r="417" spans="3:18" x14ac:dyDescent="0.2">
      <c r="C417" s="8">
        <f>IF([2]道具信息!C417="","",[2]道具信息!C417)</f>
        <v>23218</v>
      </c>
      <c r="D417" s="8" t="str">
        <f>IF([2]道具信息!D417="","",[2]道具信息!D417)</f>
        <v>橙色智力装备礼包</v>
      </c>
      <c r="E417" s="8" t="str">
        <f>IF([2]道具信息!E417="","",[2]道具信息!E417)</f>
        <v/>
      </c>
      <c r="F417" s="8">
        <f>IF([2]道具信息!F417="","",[2]道具信息!F417)</f>
        <v>1</v>
      </c>
      <c r="G417" s="8">
        <f>IF([2]道具信息!G417="","",[2]道具信息!G417)</f>
        <v>1</v>
      </c>
      <c r="H417" s="8">
        <f>IF([2]道具信息!H417="","",[2]道具信息!H417)</f>
        <v>1</v>
      </c>
      <c r="I417" s="8" t="str">
        <f>IF([2]道具信息!I417="","",[2]道具信息!I417)</f>
        <v/>
      </c>
      <c r="J417" s="8" t="str">
        <f>IF([2]道具信息!J417="","",[2]道具信息!J417)</f>
        <v/>
      </c>
      <c r="K417" s="8" t="str">
        <f>IF([2]道具信息!K417="","",[2]道具信息!K417)</f>
        <v/>
      </c>
      <c r="L417" s="8" t="str">
        <f>IF([2]道具信息!L417="","",[2]道具信息!L417)</f>
        <v/>
      </c>
      <c r="M417" s="8" t="str">
        <f>IF([2]道具信息!M417="","",[2]道具信息!M417)</f>
        <v/>
      </c>
      <c r="N417" s="8" t="str">
        <f>IF([2]道具信息!N417="","",[2]道具信息!N417)</f>
        <v/>
      </c>
      <c r="O417" s="8" t="str">
        <f>IF([2]道具信息!O417="","",[2]道具信息!O417)</f>
        <v/>
      </c>
      <c r="P417" s="8" t="str">
        <f>IF([2]道具信息!P417="","",[2]道具信息!P417)</f>
        <v/>
      </c>
      <c r="Q417" s="8" t="str">
        <f>IF([2]道具信息!Q417="","",[2]道具信息!Q417)</f>
        <v/>
      </c>
      <c r="R417" s="8" t="str">
        <f>IF([2]道具信息!R417="","",[2]道具信息!R417)</f>
        <v/>
      </c>
    </row>
    <row r="418" spans="3:18" x14ac:dyDescent="0.2">
      <c r="C418" s="8">
        <f>IF([2]道具信息!C418="","",[2]道具信息!C418)</f>
        <v>23219</v>
      </c>
      <c r="D418" s="8" t="str">
        <f>IF([2]道具信息!D418="","",[2]道具信息!D418)</f>
        <v>橙色武力装备礼包</v>
      </c>
      <c r="E418" s="8" t="str">
        <f>IF([2]道具信息!E418="","",[2]道具信息!E418)</f>
        <v/>
      </c>
      <c r="F418" s="8">
        <f>IF([2]道具信息!F418="","",[2]道具信息!F418)</f>
        <v>1</v>
      </c>
      <c r="G418" s="8">
        <f>IF([2]道具信息!G418="","",[2]道具信息!G418)</f>
        <v>1</v>
      </c>
      <c r="H418" s="8">
        <f>IF([2]道具信息!H418="","",[2]道具信息!H418)</f>
        <v>1</v>
      </c>
      <c r="I418" s="8" t="str">
        <f>IF([2]道具信息!I418="","",[2]道具信息!I418)</f>
        <v/>
      </c>
      <c r="J418" s="8" t="str">
        <f>IF([2]道具信息!J418="","",[2]道具信息!J418)</f>
        <v/>
      </c>
      <c r="K418" s="8" t="str">
        <f>IF([2]道具信息!K418="","",[2]道具信息!K418)</f>
        <v/>
      </c>
      <c r="L418" s="8" t="str">
        <f>IF([2]道具信息!L418="","",[2]道具信息!L418)</f>
        <v/>
      </c>
      <c r="M418" s="8" t="str">
        <f>IF([2]道具信息!M418="","",[2]道具信息!M418)</f>
        <v/>
      </c>
      <c r="N418" s="8" t="str">
        <f>IF([2]道具信息!N418="","",[2]道具信息!N418)</f>
        <v/>
      </c>
      <c r="O418" s="8" t="str">
        <f>IF([2]道具信息!O418="","",[2]道具信息!O418)</f>
        <v/>
      </c>
      <c r="P418" s="8" t="str">
        <f>IF([2]道具信息!P418="","",[2]道具信息!P418)</f>
        <v/>
      </c>
      <c r="Q418" s="8" t="str">
        <f>IF([2]道具信息!Q418="","",[2]道具信息!Q418)</f>
        <v/>
      </c>
      <c r="R418" s="8" t="str">
        <f>IF([2]道具信息!R418="","",[2]道具信息!R418)</f>
        <v/>
      </c>
    </row>
    <row r="419" spans="3:18" x14ac:dyDescent="0.2">
      <c r="C419" s="8">
        <f>IF([2]道具信息!C419="","",[2]道具信息!C419)</f>
        <v>22118</v>
      </c>
      <c r="D419" s="8" t="str">
        <f>IF([2]道具信息!D419="","",[2]道具信息!D419)</f>
        <v>负荆请罪武魂</v>
      </c>
      <c r="E419" s="8" t="str">
        <f>IF([2]道具信息!E419="","",[2]道具信息!E419)</f>
        <v/>
      </c>
      <c r="F419" s="8">
        <f>IF([2]道具信息!F419="","",[2]道具信息!F419)</f>
        <v>1</v>
      </c>
      <c r="G419" s="8">
        <f>IF([2]道具信息!G419="","",[2]道具信息!G419)</f>
        <v>1</v>
      </c>
      <c r="H419" s="8">
        <f>IF([2]道具信息!H419="","",[2]道具信息!H419)</f>
        <v>1</v>
      </c>
      <c r="I419" s="8" t="str">
        <f>IF([2]道具信息!I419="","",[2]道具信息!I419)</f>
        <v/>
      </c>
      <c r="J419" s="8" t="str">
        <f>IF([2]道具信息!J419="","",[2]道具信息!J419)</f>
        <v/>
      </c>
      <c r="K419" s="8" t="str">
        <f>IF([2]道具信息!K419="","",[2]道具信息!K419)</f>
        <v/>
      </c>
      <c r="L419" s="8" t="str">
        <f>IF([2]道具信息!L419="","",[2]道具信息!L419)</f>
        <v/>
      </c>
      <c r="M419" s="8" t="str">
        <f>IF([2]道具信息!M419="","",[2]道具信息!M419)</f>
        <v/>
      </c>
      <c r="N419" s="8" t="str">
        <f>IF([2]道具信息!N419="","",[2]道具信息!N419)</f>
        <v/>
      </c>
      <c r="O419" s="8" t="str">
        <f>IF([2]道具信息!O419="","",[2]道具信息!O419)</f>
        <v/>
      </c>
      <c r="P419" s="8" t="str">
        <f>IF([2]道具信息!P419="","",[2]道具信息!P419)</f>
        <v/>
      </c>
      <c r="Q419" s="8" t="str">
        <f>IF([2]道具信息!Q419="","",[2]道具信息!Q419)</f>
        <v/>
      </c>
      <c r="R419" s="8" t="str">
        <f>IF([2]道具信息!R419="","",[2]道具信息!R419)</f>
        <v/>
      </c>
    </row>
    <row r="420" spans="3:18" x14ac:dyDescent="0.2">
      <c r="C420" s="8" t="str">
        <f>IF([2]道具信息!C420="","",[2]道具信息!C420)</f>
        <v/>
      </c>
      <c r="D420" s="8" t="str">
        <f>IF([2]道具信息!D420="","",[2]道具信息!D420)</f>
        <v/>
      </c>
      <c r="E420" s="8" t="str">
        <f>IF([2]道具信息!E420="","",[2]道具信息!E420)</f>
        <v/>
      </c>
      <c r="F420" s="8">
        <f>IF([2]道具信息!F420="","",[2]道具信息!F420)</f>
        <v>1</v>
      </c>
      <c r="G420" s="8">
        <f>IF([2]道具信息!G420="","",[2]道具信息!G420)</f>
        <v>1</v>
      </c>
      <c r="H420" s="8">
        <f>IF([2]道具信息!H420="","",[2]道具信息!H420)</f>
        <v>1</v>
      </c>
      <c r="I420" s="8" t="str">
        <f>IF([2]道具信息!I420="","",[2]道具信息!I420)</f>
        <v/>
      </c>
      <c r="J420" s="8" t="str">
        <f>IF([2]道具信息!J420="","",[2]道具信息!J420)</f>
        <v/>
      </c>
      <c r="K420" s="8" t="str">
        <f>IF([2]道具信息!K420="","",[2]道具信息!K420)</f>
        <v/>
      </c>
      <c r="L420" s="8" t="str">
        <f>IF([2]道具信息!L420="","",[2]道具信息!L420)</f>
        <v/>
      </c>
      <c r="M420" s="8" t="str">
        <f>IF([2]道具信息!M420="","",[2]道具信息!M420)</f>
        <v/>
      </c>
      <c r="N420" s="8" t="str">
        <f>IF([2]道具信息!N420="","",[2]道具信息!N420)</f>
        <v/>
      </c>
      <c r="O420" s="8" t="str">
        <f>IF([2]道具信息!O420="","",[2]道具信息!O420)</f>
        <v/>
      </c>
      <c r="P420" s="8" t="str">
        <f>IF([2]道具信息!P420="","",[2]道具信息!P420)</f>
        <v/>
      </c>
      <c r="Q420" s="8" t="str">
        <f>IF([2]道具信息!Q420="","",[2]道具信息!Q420)</f>
        <v/>
      </c>
      <c r="R420" s="8" t="str">
        <f>IF([2]道具信息!R420="","",[2]道具信息!R420)</f>
        <v/>
      </c>
    </row>
    <row r="421" spans="3:18" x14ac:dyDescent="0.2">
      <c r="C421" s="8">
        <f>IF([2]道具信息!C421="","",[2]道具信息!C421)</f>
        <v>23348</v>
      </c>
      <c r="D421" s="8" t="str">
        <f>IF([2]道具信息!D421="","",[2]道具信息!D421)</f>
        <v>清剿令</v>
      </c>
      <c r="E421" s="8" t="str">
        <f>IF([2]道具信息!E421="","",[2]道具信息!E421)</f>
        <v/>
      </c>
      <c r="F421" s="8">
        <f>IF([2]道具信息!F421="","",[2]道具信息!F421)</f>
        <v>1</v>
      </c>
      <c r="G421" s="8">
        <f>IF([2]道具信息!G421="","",[2]道具信息!G421)</f>
        <v>1</v>
      </c>
      <c r="H421" s="8">
        <f>IF([2]道具信息!H421="","",[2]道具信息!H421)</f>
        <v>1</v>
      </c>
      <c r="I421" s="8" t="str">
        <f>IF([2]道具信息!I421="","",[2]道具信息!I421)</f>
        <v/>
      </c>
      <c r="J421" s="8" t="str">
        <f>IF([2]道具信息!J421="","",[2]道具信息!J421)</f>
        <v/>
      </c>
      <c r="K421" s="8" t="str">
        <f>IF([2]道具信息!K421="","",[2]道具信息!K421)</f>
        <v/>
      </c>
      <c r="L421" s="8" t="str">
        <f>IF([2]道具信息!L421="","",[2]道具信息!L421)</f>
        <v/>
      </c>
      <c r="M421" s="8" t="str">
        <f>IF([2]道具信息!M421="","",[2]道具信息!M421)</f>
        <v/>
      </c>
      <c r="N421" s="8" t="str">
        <f>IF([2]道具信息!N421="","",[2]道具信息!N421)</f>
        <v/>
      </c>
      <c r="O421" s="8" t="str">
        <f>IF([2]道具信息!O421="","",[2]道具信息!O421)</f>
        <v/>
      </c>
      <c r="P421" s="8" t="str">
        <f>IF([2]道具信息!P421="","",[2]道具信息!P421)</f>
        <v/>
      </c>
      <c r="Q421" s="8" t="str">
        <f>IF([2]道具信息!Q421="","",[2]道具信息!Q421)</f>
        <v/>
      </c>
      <c r="R421" s="8" t="str">
        <f>IF([2]道具信息!R421="","",[2]道具信息!R421)</f>
        <v/>
      </c>
    </row>
    <row r="422" spans="3:18" x14ac:dyDescent="0.2">
      <c r="C422" s="8" t="str">
        <f>IF([2]道具信息!C422="","",[2]道具信息!C422)</f>
        <v/>
      </c>
      <c r="D422" s="8" t="str">
        <f>IF([2]道具信息!D422="","",[2]道具信息!D422)</f>
        <v/>
      </c>
      <c r="E422" s="8" t="str">
        <f>IF([2]道具信息!E422="","",[2]道具信息!E422)</f>
        <v/>
      </c>
      <c r="F422" s="8">
        <f>IF([2]道具信息!F422="","",[2]道具信息!F422)</f>
        <v>1</v>
      </c>
      <c r="G422" s="8">
        <f>IF([2]道具信息!G422="","",[2]道具信息!G422)</f>
        <v>1</v>
      </c>
      <c r="H422" s="8">
        <f>IF([2]道具信息!H422="","",[2]道具信息!H422)</f>
        <v>1</v>
      </c>
      <c r="I422" s="8" t="str">
        <f>IF([2]道具信息!I422="","",[2]道具信息!I422)</f>
        <v/>
      </c>
      <c r="J422" s="8" t="str">
        <f>IF([2]道具信息!J422="","",[2]道具信息!J422)</f>
        <v/>
      </c>
      <c r="K422" s="8" t="str">
        <f>IF([2]道具信息!K422="","",[2]道具信息!K422)</f>
        <v/>
      </c>
      <c r="L422" s="8" t="str">
        <f>IF([2]道具信息!L422="","",[2]道具信息!L422)</f>
        <v/>
      </c>
      <c r="M422" s="8" t="str">
        <f>IF([2]道具信息!M422="","",[2]道具信息!M422)</f>
        <v/>
      </c>
      <c r="N422" s="8" t="str">
        <f>IF([2]道具信息!N422="","",[2]道具信息!N422)</f>
        <v/>
      </c>
      <c r="O422" s="8" t="str">
        <f>IF([2]道具信息!O422="","",[2]道具信息!O422)</f>
        <v/>
      </c>
      <c r="P422" s="8" t="str">
        <f>IF([2]道具信息!P422="","",[2]道具信息!P422)</f>
        <v/>
      </c>
      <c r="Q422" s="8" t="str">
        <f>IF([2]道具信息!Q422="","",[2]道具信息!Q422)</f>
        <v/>
      </c>
      <c r="R422" s="8" t="str">
        <f>IF([2]道具信息!R422="","",[2]道具信息!R422)</f>
        <v/>
      </c>
    </row>
    <row r="423" spans="3:18" x14ac:dyDescent="0.2">
      <c r="C423" s="8" t="str">
        <f>IF([2]道具信息!C423="","",[2]道具信息!C423)</f>
        <v/>
      </c>
      <c r="D423" s="8" t="str">
        <f>IF([2]道具信息!D423="","",[2]道具信息!D423)</f>
        <v/>
      </c>
      <c r="E423" s="8" t="str">
        <f>IF([2]道具信息!E423="","",[2]道具信息!E423)</f>
        <v/>
      </c>
      <c r="F423" s="8">
        <f>IF([2]道具信息!F423="","",[2]道具信息!F423)</f>
        <v>1</v>
      </c>
      <c r="G423" s="8">
        <f>IF([2]道具信息!G423="","",[2]道具信息!G423)</f>
        <v>1</v>
      </c>
      <c r="H423" s="8">
        <f>IF([2]道具信息!H423="","",[2]道具信息!H423)</f>
        <v>1</v>
      </c>
      <c r="I423" s="8" t="str">
        <f>IF([2]道具信息!I423="","",[2]道具信息!I423)</f>
        <v/>
      </c>
      <c r="J423" s="8" t="str">
        <f>IF([2]道具信息!J423="","",[2]道具信息!J423)</f>
        <v/>
      </c>
      <c r="K423" s="8" t="str">
        <f>IF([2]道具信息!K423="","",[2]道具信息!K423)</f>
        <v/>
      </c>
      <c r="L423" s="8" t="str">
        <f>IF([2]道具信息!L423="","",[2]道具信息!L423)</f>
        <v/>
      </c>
      <c r="M423" s="8" t="str">
        <f>IF([2]道具信息!M423="","",[2]道具信息!M423)</f>
        <v/>
      </c>
      <c r="N423" s="8" t="str">
        <f>IF([2]道具信息!N423="","",[2]道具信息!N423)</f>
        <v/>
      </c>
      <c r="O423" s="8" t="str">
        <f>IF([2]道具信息!O423="","",[2]道具信息!O423)</f>
        <v/>
      </c>
      <c r="P423" s="8" t="str">
        <f>IF([2]道具信息!P423="","",[2]道具信息!P423)</f>
        <v/>
      </c>
      <c r="Q423" s="8" t="str">
        <f>IF([2]道具信息!Q423="","",[2]道具信息!Q423)</f>
        <v/>
      </c>
      <c r="R423" s="8" t="str">
        <f>IF([2]道具信息!R423="","",[2]道具信息!R423)</f>
        <v/>
      </c>
    </row>
    <row r="424" spans="3:18" x14ac:dyDescent="0.2">
      <c r="C424" s="8" t="str">
        <f>IF([2]道具信息!C424="","",[2]道具信息!C424)</f>
        <v/>
      </c>
      <c r="D424" s="8" t="str">
        <f>IF([2]道具信息!D424="","",[2]道具信息!D424)</f>
        <v/>
      </c>
      <c r="E424" s="8" t="str">
        <f>IF([2]道具信息!E424="","",[2]道具信息!E424)</f>
        <v/>
      </c>
      <c r="F424" s="8">
        <f>IF([2]道具信息!F424="","",[2]道具信息!F424)</f>
        <v>1</v>
      </c>
      <c r="G424" s="8">
        <f>IF([2]道具信息!G424="","",[2]道具信息!G424)</f>
        <v>1</v>
      </c>
      <c r="H424" s="8">
        <f>IF([2]道具信息!H424="","",[2]道具信息!H424)</f>
        <v>1</v>
      </c>
      <c r="I424" s="8" t="str">
        <f>IF([2]道具信息!I424="","",[2]道具信息!I424)</f>
        <v/>
      </c>
      <c r="J424" s="8" t="str">
        <f>IF([2]道具信息!J424="","",[2]道具信息!J424)</f>
        <v/>
      </c>
      <c r="K424" s="8" t="str">
        <f>IF([2]道具信息!K424="","",[2]道具信息!K424)</f>
        <v/>
      </c>
      <c r="L424" s="8" t="str">
        <f>IF([2]道具信息!L424="","",[2]道具信息!L424)</f>
        <v/>
      </c>
      <c r="M424" s="8" t="str">
        <f>IF([2]道具信息!M424="","",[2]道具信息!M424)</f>
        <v/>
      </c>
      <c r="N424" s="8" t="str">
        <f>IF([2]道具信息!N424="","",[2]道具信息!N424)</f>
        <v/>
      </c>
      <c r="O424" s="8" t="str">
        <f>IF([2]道具信息!O424="","",[2]道具信息!O424)</f>
        <v/>
      </c>
      <c r="P424" s="8" t="str">
        <f>IF([2]道具信息!P424="","",[2]道具信息!P424)</f>
        <v/>
      </c>
      <c r="Q424" s="8" t="str">
        <f>IF([2]道具信息!Q424="","",[2]道具信息!Q424)</f>
        <v/>
      </c>
      <c r="R424" s="8" t="str">
        <f>IF([2]道具信息!R424="","",[2]道具信息!R424)</f>
        <v/>
      </c>
    </row>
    <row r="425" spans="3:18" x14ac:dyDescent="0.2">
      <c r="C425" s="8">
        <f>IF([2]道具信息!C425="","",[2]道具信息!C425)</f>
        <v>22116</v>
      </c>
      <c r="D425" s="8" t="str">
        <f>IF([2]道具信息!D425="","",[2]道具信息!D425)</f>
        <v>倾国倾城武魂</v>
      </c>
      <c r="E425" s="8" t="str">
        <f>IF([2]道具信息!E425="","",[2]道具信息!E425)</f>
        <v/>
      </c>
      <c r="F425" s="8">
        <f>IF([2]道具信息!F425="","",[2]道具信息!F425)</f>
        <v>1</v>
      </c>
      <c r="G425" s="8">
        <f>IF([2]道具信息!G425="","",[2]道具信息!G425)</f>
        <v>1</v>
      </c>
      <c r="H425" s="8">
        <f>IF([2]道具信息!H425="","",[2]道具信息!H425)</f>
        <v>1</v>
      </c>
      <c r="I425" s="8" t="str">
        <f>IF([2]道具信息!I425="","",[2]道具信息!I425)</f>
        <v/>
      </c>
      <c r="J425" s="8" t="str">
        <f>IF([2]道具信息!J425="","",[2]道具信息!J425)</f>
        <v/>
      </c>
      <c r="K425" s="8" t="str">
        <f>IF([2]道具信息!K425="","",[2]道具信息!K425)</f>
        <v/>
      </c>
      <c r="L425" s="8" t="str">
        <f>IF([2]道具信息!L425="","",[2]道具信息!L425)</f>
        <v/>
      </c>
      <c r="M425" s="8" t="str">
        <f>IF([2]道具信息!M425="","",[2]道具信息!M425)</f>
        <v/>
      </c>
      <c r="N425" s="8" t="str">
        <f>IF([2]道具信息!N425="","",[2]道具信息!N425)</f>
        <v/>
      </c>
      <c r="O425" s="8" t="str">
        <f>IF([2]道具信息!O425="","",[2]道具信息!O425)</f>
        <v/>
      </c>
      <c r="P425" s="8" t="str">
        <f>IF([2]道具信息!P425="","",[2]道具信息!P425)</f>
        <v/>
      </c>
      <c r="Q425" s="8" t="str">
        <f>IF([2]道具信息!Q425="","",[2]道具信息!Q425)</f>
        <v/>
      </c>
      <c r="R425" s="8" t="str">
        <f>IF([2]道具信息!R425="","",[2]道具信息!R425)</f>
        <v/>
      </c>
    </row>
    <row r="426" spans="3:18" x14ac:dyDescent="0.2">
      <c r="C426" s="8">
        <f>IF([2]道具信息!C426="","",[2]道具信息!C426)</f>
        <v>22117</v>
      </c>
      <c r="D426" s="8" t="str">
        <f>IF([2]道具信息!D426="","",[2]道具信息!D426)</f>
        <v>墨行天下武魂</v>
      </c>
      <c r="E426" s="8" t="str">
        <f>IF([2]道具信息!E426="","",[2]道具信息!E426)</f>
        <v/>
      </c>
      <c r="F426" s="8">
        <f>IF([2]道具信息!F426="","",[2]道具信息!F426)</f>
        <v>1</v>
      </c>
      <c r="G426" s="8">
        <f>IF([2]道具信息!G426="","",[2]道具信息!G426)</f>
        <v>1</v>
      </c>
      <c r="H426" s="8">
        <f>IF([2]道具信息!H426="","",[2]道具信息!H426)</f>
        <v>1</v>
      </c>
      <c r="I426" s="8" t="str">
        <f>IF([2]道具信息!I426="","",[2]道具信息!I426)</f>
        <v/>
      </c>
      <c r="J426" s="8" t="str">
        <f>IF([2]道具信息!J426="","",[2]道具信息!J426)</f>
        <v/>
      </c>
      <c r="K426" s="8" t="str">
        <f>IF([2]道具信息!K426="","",[2]道具信息!K426)</f>
        <v/>
      </c>
      <c r="L426" s="8" t="str">
        <f>IF([2]道具信息!L426="","",[2]道具信息!L426)</f>
        <v/>
      </c>
      <c r="M426" s="8" t="str">
        <f>IF([2]道具信息!M426="","",[2]道具信息!M426)</f>
        <v/>
      </c>
      <c r="N426" s="8" t="str">
        <f>IF([2]道具信息!N426="","",[2]道具信息!N426)</f>
        <v/>
      </c>
      <c r="O426" s="8" t="str">
        <f>IF([2]道具信息!O426="","",[2]道具信息!O426)</f>
        <v/>
      </c>
      <c r="P426" s="8" t="str">
        <f>IF([2]道具信息!P426="","",[2]道具信息!P426)</f>
        <v/>
      </c>
      <c r="Q426" s="8" t="str">
        <f>IF([2]道具信息!Q426="","",[2]道具信息!Q426)</f>
        <v/>
      </c>
      <c r="R426" s="8" t="str">
        <f>IF([2]道具信息!R426="","",[2]道具信息!R426)</f>
        <v/>
      </c>
    </row>
    <row r="427" spans="3:18" x14ac:dyDescent="0.2">
      <c r="C427" s="8">
        <f>IF([2]道具信息!C427="","",[2]道具信息!C427)</f>
        <v>23220</v>
      </c>
      <c r="D427" s="8" t="str">
        <f>IF([2]道具信息!D427="","",[2]道具信息!D427)</f>
        <v>红色统智装备礼包</v>
      </c>
      <c r="E427" s="8" t="str">
        <f>IF([2]道具信息!E427="","",[2]道具信息!E427)</f>
        <v/>
      </c>
      <c r="F427" s="8">
        <f>IF([2]道具信息!F427="","",[2]道具信息!F427)</f>
        <v>1</v>
      </c>
      <c r="G427" s="8">
        <f>IF([2]道具信息!G427="","",[2]道具信息!G427)</f>
        <v>1</v>
      </c>
      <c r="H427" s="8">
        <f>IF([2]道具信息!H427="","",[2]道具信息!H427)</f>
        <v>1</v>
      </c>
      <c r="I427" s="8" t="str">
        <f>IF([2]道具信息!I427="","",[2]道具信息!I427)</f>
        <v/>
      </c>
      <c r="J427" s="8" t="str">
        <f>IF([2]道具信息!J427="","",[2]道具信息!J427)</f>
        <v/>
      </c>
      <c r="K427" s="8" t="str">
        <f>IF([2]道具信息!K427="","",[2]道具信息!K427)</f>
        <v/>
      </c>
      <c r="L427" s="8" t="str">
        <f>IF([2]道具信息!L427="","",[2]道具信息!L427)</f>
        <v/>
      </c>
      <c r="M427" s="8" t="str">
        <f>IF([2]道具信息!M427="","",[2]道具信息!M427)</f>
        <v/>
      </c>
      <c r="N427" s="8" t="str">
        <f>IF([2]道具信息!N427="","",[2]道具信息!N427)</f>
        <v/>
      </c>
      <c r="O427" s="8" t="str">
        <f>IF([2]道具信息!O427="","",[2]道具信息!O427)</f>
        <v/>
      </c>
      <c r="P427" s="8" t="str">
        <f>IF([2]道具信息!P427="","",[2]道具信息!P427)</f>
        <v/>
      </c>
      <c r="Q427" s="8" t="str">
        <f>IF([2]道具信息!Q427="","",[2]道具信息!Q427)</f>
        <v/>
      </c>
      <c r="R427" s="8" t="str">
        <f>IF([2]道具信息!R427="","",[2]道具信息!R427)</f>
        <v/>
      </c>
    </row>
    <row r="428" spans="3:18" x14ac:dyDescent="0.2">
      <c r="C428" s="8">
        <f>IF([2]道具信息!C428="","",[2]道具信息!C428)</f>
        <v>23221</v>
      </c>
      <c r="D428" s="8" t="str">
        <f>IF([2]道具信息!D428="","",[2]道具信息!D428)</f>
        <v>紫色兵法自选宝箱</v>
      </c>
      <c r="E428" s="8" t="str">
        <f>IF([2]道具信息!E428="","",[2]道具信息!E428)</f>
        <v/>
      </c>
      <c r="F428" s="8">
        <f>IF([2]道具信息!F428="","",[2]道具信息!F428)</f>
        <v>1</v>
      </c>
      <c r="G428" s="8">
        <f>IF([2]道具信息!G428="","",[2]道具信息!G428)</f>
        <v>1</v>
      </c>
      <c r="H428" s="8">
        <f>IF([2]道具信息!H428="","",[2]道具信息!H428)</f>
        <v>1</v>
      </c>
      <c r="I428" s="8" t="str">
        <f>IF([2]道具信息!I428="","",[2]道具信息!I428)</f>
        <v/>
      </c>
      <c r="J428" s="8" t="str">
        <f>IF([2]道具信息!J428="","",[2]道具信息!J428)</f>
        <v/>
      </c>
      <c r="K428" s="8" t="str">
        <f>IF([2]道具信息!K428="","",[2]道具信息!K428)</f>
        <v/>
      </c>
      <c r="L428" s="8" t="str">
        <f>IF([2]道具信息!L428="","",[2]道具信息!L428)</f>
        <v/>
      </c>
      <c r="M428" s="8" t="str">
        <f>IF([2]道具信息!M428="","",[2]道具信息!M428)</f>
        <v/>
      </c>
      <c r="N428" s="8" t="str">
        <f>IF([2]道具信息!N428="","",[2]道具信息!N428)</f>
        <v/>
      </c>
      <c r="O428" s="8" t="str">
        <f>IF([2]道具信息!O428="","",[2]道具信息!O428)</f>
        <v/>
      </c>
      <c r="P428" s="8" t="str">
        <f>IF([2]道具信息!P428="","",[2]道具信息!P428)</f>
        <v/>
      </c>
      <c r="Q428" s="8" t="str">
        <f>IF([2]道具信息!Q428="","",[2]道具信息!Q428)</f>
        <v/>
      </c>
      <c r="R428" s="8" t="str">
        <f>IF([2]道具信息!R428="","",[2]道具信息!R428)</f>
        <v/>
      </c>
    </row>
    <row r="429" spans="3:18" x14ac:dyDescent="0.2">
      <c r="C429" s="8">
        <f>IF([2]道具信息!C429="","",[2]道具信息!C429)</f>
        <v>23222</v>
      </c>
      <c r="D429" s="8" t="str">
        <f>IF([2]道具信息!D429="","",[2]道具信息!D429)</f>
        <v>橙色兵法自选宝箱</v>
      </c>
      <c r="E429" s="8" t="str">
        <f>IF([2]道具信息!E429="","",[2]道具信息!E429)</f>
        <v/>
      </c>
      <c r="F429" s="8">
        <f>IF([2]道具信息!F429="","",[2]道具信息!F429)</f>
        <v>1</v>
      </c>
      <c r="G429" s="8">
        <f>IF([2]道具信息!G429="","",[2]道具信息!G429)</f>
        <v>1</v>
      </c>
      <c r="H429" s="8">
        <f>IF([2]道具信息!H429="","",[2]道具信息!H429)</f>
        <v>1</v>
      </c>
      <c r="I429" s="8" t="str">
        <f>IF([2]道具信息!I429="","",[2]道具信息!I429)</f>
        <v/>
      </c>
      <c r="J429" s="8" t="str">
        <f>IF([2]道具信息!J429="","",[2]道具信息!J429)</f>
        <v/>
      </c>
      <c r="K429" s="8" t="str">
        <f>IF([2]道具信息!K429="","",[2]道具信息!K429)</f>
        <v/>
      </c>
      <c r="L429" s="8" t="str">
        <f>IF([2]道具信息!L429="","",[2]道具信息!L429)</f>
        <v/>
      </c>
      <c r="M429" s="8" t="str">
        <f>IF([2]道具信息!M429="","",[2]道具信息!M429)</f>
        <v/>
      </c>
      <c r="N429" s="8" t="str">
        <f>IF([2]道具信息!N429="","",[2]道具信息!N429)</f>
        <v/>
      </c>
      <c r="O429" s="8" t="str">
        <f>IF([2]道具信息!O429="","",[2]道具信息!O429)</f>
        <v/>
      </c>
      <c r="P429" s="8" t="str">
        <f>IF([2]道具信息!P429="","",[2]道具信息!P429)</f>
        <v/>
      </c>
      <c r="Q429" s="8" t="str">
        <f>IF([2]道具信息!Q429="","",[2]道具信息!Q429)</f>
        <v/>
      </c>
      <c r="R429" s="8" t="str">
        <f>IF([2]道具信息!R429="","",[2]道具信息!R429)</f>
        <v/>
      </c>
    </row>
    <row r="430" spans="3:18" x14ac:dyDescent="0.2">
      <c r="C430" s="8">
        <f>IF([2]道具信息!C430="","",[2]道具信息!C430)</f>
        <v>23364</v>
      </c>
      <c r="D430" s="8" t="str">
        <f>IF([2]道具信息!D430="","",[2]道具信息!D430)</f>
        <v>自选橙色兵法碎片</v>
      </c>
      <c r="E430" s="8" t="str">
        <f>IF([2]道具信息!E430="","",[2]道具信息!E430)</f>
        <v/>
      </c>
      <c r="F430" s="8">
        <f>IF([2]道具信息!F430="","",[2]道具信息!F430)</f>
        <v>1</v>
      </c>
      <c r="G430" s="8">
        <f>IF([2]道具信息!G430="","",[2]道具信息!G430)</f>
        <v>1</v>
      </c>
      <c r="H430" s="8">
        <f>IF([2]道具信息!H430="","",[2]道具信息!H430)</f>
        <v>1</v>
      </c>
      <c r="I430" s="8" t="str">
        <f>IF([2]道具信息!I430="","",[2]道具信息!I430)</f>
        <v/>
      </c>
      <c r="J430" s="8" t="str">
        <f>IF([2]道具信息!J430="","",[2]道具信息!J430)</f>
        <v/>
      </c>
      <c r="K430" s="8" t="str">
        <f>IF([2]道具信息!K430="","",[2]道具信息!K430)</f>
        <v/>
      </c>
      <c r="L430" s="8" t="str">
        <f>IF([2]道具信息!L430="","",[2]道具信息!L430)</f>
        <v/>
      </c>
      <c r="M430" s="8" t="str">
        <f>IF([2]道具信息!M430="","",[2]道具信息!M430)</f>
        <v/>
      </c>
      <c r="N430" s="8" t="str">
        <f>IF([2]道具信息!N430="","",[2]道具信息!N430)</f>
        <v/>
      </c>
      <c r="O430" s="8" t="str">
        <f>IF([2]道具信息!O430="","",[2]道具信息!O430)</f>
        <v/>
      </c>
      <c r="P430" s="8" t="str">
        <f>IF([2]道具信息!P430="","",[2]道具信息!P430)</f>
        <v/>
      </c>
      <c r="Q430" s="8" t="str">
        <f>IF([2]道具信息!Q430="","",[2]道具信息!Q430)</f>
        <v/>
      </c>
      <c r="R430" s="8" t="str">
        <f>IF([2]道具信息!R430="","",[2]道具信息!R430)</f>
        <v/>
      </c>
    </row>
    <row r="431" spans="3:18" x14ac:dyDescent="0.2">
      <c r="C431" s="8">
        <f>IF([2]道具信息!C431="","",[2]道具信息!C431)</f>
        <v>23365</v>
      </c>
      <c r="D431" s="8" t="str">
        <f>IF([2]道具信息!D431="","",[2]道具信息!D431)</f>
        <v>自选紫色兵法碎片</v>
      </c>
      <c r="E431" s="8" t="str">
        <f>IF([2]道具信息!E431="","",[2]道具信息!E431)</f>
        <v/>
      </c>
      <c r="F431" s="8">
        <f>IF([2]道具信息!F431="","",[2]道具信息!F431)</f>
        <v>1</v>
      </c>
      <c r="G431" s="8">
        <f>IF([2]道具信息!G431="","",[2]道具信息!G431)</f>
        <v>1</v>
      </c>
      <c r="H431" s="8">
        <f>IF([2]道具信息!H431="","",[2]道具信息!H431)</f>
        <v>1</v>
      </c>
      <c r="I431" s="8" t="str">
        <f>IF([2]道具信息!I431="","",[2]道具信息!I431)</f>
        <v/>
      </c>
      <c r="J431" s="8" t="str">
        <f>IF([2]道具信息!J431="","",[2]道具信息!J431)</f>
        <v/>
      </c>
      <c r="K431" s="8" t="str">
        <f>IF([2]道具信息!K431="","",[2]道具信息!K431)</f>
        <v/>
      </c>
      <c r="L431" s="8" t="str">
        <f>IF([2]道具信息!L431="","",[2]道具信息!L431)</f>
        <v/>
      </c>
      <c r="M431" s="8" t="str">
        <f>IF([2]道具信息!M431="","",[2]道具信息!M431)</f>
        <v/>
      </c>
      <c r="N431" s="8" t="str">
        <f>IF([2]道具信息!N431="","",[2]道具信息!N431)</f>
        <v/>
      </c>
      <c r="O431" s="8" t="str">
        <f>IF([2]道具信息!O431="","",[2]道具信息!O431)</f>
        <v/>
      </c>
      <c r="P431" s="8" t="str">
        <f>IF([2]道具信息!P431="","",[2]道具信息!P431)</f>
        <v/>
      </c>
      <c r="Q431" s="8" t="str">
        <f>IF([2]道具信息!Q431="","",[2]道具信息!Q431)</f>
        <v/>
      </c>
      <c r="R431" s="8" t="str">
        <f>IF([2]道具信息!R431="","",[2]道具信息!R431)</f>
        <v/>
      </c>
    </row>
    <row r="432" spans="3:18" x14ac:dyDescent="0.2">
      <c r="C432" s="8" t="str">
        <f>IF([2]道具信息!C432="","",[2]道具信息!C432)</f>
        <v/>
      </c>
      <c r="D432" s="8" t="str">
        <f>IF([2]道具信息!D432="","",[2]道具信息!D432)</f>
        <v/>
      </c>
      <c r="E432" s="8" t="str">
        <f>IF([2]道具信息!E432="","",[2]道具信息!E432)</f>
        <v/>
      </c>
      <c r="F432" s="8">
        <f>IF([2]道具信息!F432="","",[2]道具信息!F432)</f>
        <v>1</v>
      </c>
      <c r="G432" s="8">
        <f>IF([2]道具信息!G432="","",[2]道具信息!G432)</f>
        <v>1</v>
      </c>
      <c r="H432" s="8">
        <f>IF([2]道具信息!H432="","",[2]道具信息!H432)</f>
        <v>1</v>
      </c>
      <c r="I432" s="8" t="str">
        <f>IF([2]道具信息!I432="","",[2]道具信息!I432)</f>
        <v/>
      </c>
      <c r="J432" s="8" t="str">
        <f>IF([2]道具信息!J432="","",[2]道具信息!J432)</f>
        <v/>
      </c>
      <c r="K432" s="8" t="str">
        <f>IF([2]道具信息!K432="","",[2]道具信息!K432)</f>
        <v/>
      </c>
      <c r="L432" s="8" t="str">
        <f>IF([2]道具信息!L432="","",[2]道具信息!L432)</f>
        <v/>
      </c>
      <c r="M432" s="8" t="str">
        <f>IF([2]道具信息!M432="","",[2]道具信息!M432)</f>
        <v/>
      </c>
      <c r="N432" s="8" t="str">
        <f>IF([2]道具信息!N432="","",[2]道具信息!N432)</f>
        <v/>
      </c>
      <c r="O432" s="8" t="str">
        <f>IF([2]道具信息!O432="","",[2]道具信息!O432)</f>
        <v/>
      </c>
      <c r="P432" s="8" t="str">
        <f>IF([2]道具信息!P432="","",[2]道具信息!P432)</f>
        <v/>
      </c>
      <c r="Q432" s="8" t="str">
        <f>IF([2]道具信息!Q432="","",[2]道具信息!Q432)</f>
        <v/>
      </c>
      <c r="R432" s="8" t="str">
        <f>IF([2]道具信息!R432="","",[2]道具信息!R432)</f>
        <v/>
      </c>
    </row>
    <row r="433" spans="3:18" x14ac:dyDescent="0.2">
      <c r="C433" s="8">
        <f>IF([2]道具信息!C433="","",[2]道具信息!C433)</f>
        <v>21075</v>
      </c>
      <c r="D433" s="8" t="str">
        <f>IF([2]道具信息!D433="","",[2]道具信息!D433)</f>
        <v>中级免战牌</v>
      </c>
      <c r="E433" s="8">
        <f>IF([2]道具信息!E433="","",[2]道具信息!E433)</f>
        <v>200</v>
      </c>
      <c r="F433" s="8">
        <f>IF([2]道具信息!F433="","",[2]道具信息!F433)</f>
        <v>1</v>
      </c>
      <c r="G433" s="8">
        <f>IF([2]道具信息!G433="","",[2]道具信息!G433)</f>
        <v>1</v>
      </c>
      <c r="H433" s="8">
        <f>IF([2]道具信息!H433="","",[2]道具信息!H433)</f>
        <v>1</v>
      </c>
      <c r="I433" s="8">
        <f>IF([2]道具信息!I433="","",[2]道具信息!I433)</f>
        <v>200</v>
      </c>
      <c r="J433" s="8">
        <f>IF([2]道具信息!J433="","",[2]道具信息!J433)</f>
        <v>200</v>
      </c>
      <c r="K433" s="8">
        <f>IF([2]道具信息!K433="","",[2]道具信息!K433)</f>
        <v>200</v>
      </c>
      <c r="L433" s="8" t="str">
        <f>IF([2]道具信息!L433="","",[2]道具信息!L433)</f>
        <v>使用后城池不会遭受来自其他玩家的攻击，主动进攻其他玩家后失效，持续12小时</v>
      </c>
      <c r="M433" s="8" t="str">
        <f>IF([2]道具信息!M433="","",[2]道具信息!M433)</f>
        <v/>
      </c>
      <c r="N433" s="8" t="str">
        <f>IF([2]道具信息!N433="","",[2]道具信息!N433)</f>
        <v/>
      </c>
      <c r="O433" s="8" t="str">
        <f>IF([2]道具信息!O433="","",[2]道具信息!O433)</f>
        <v/>
      </c>
      <c r="P433" s="8" t="str">
        <f>IF([2]道具信息!P433="","",[2]道具信息!P433)</f>
        <v/>
      </c>
      <c r="Q433" s="8" t="str">
        <f>IF([2]道具信息!Q433="","",[2]道具信息!Q433)</f>
        <v/>
      </c>
      <c r="R433" s="8" t="str">
        <f>IF([2]道具信息!R433="","",[2]道具信息!R433)</f>
        <v/>
      </c>
    </row>
    <row r="434" spans="3:18" x14ac:dyDescent="0.2">
      <c r="C434" s="8">
        <f>IF([2]道具信息!C434="","",[2]道具信息!C434)</f>
        <v>21071</v>
      </c>
      <c r="D434" s="8" t="str">
        <f>IF([2]道具信息!D434="","",[2]道具信息!D434)</f>
        <v>高级免战牌</v>
      </c>
      <c r="E434" s="8">
        <f>IF([2]道具信息!E434="","",[2]道具信息!E434)</f>
        <v>500</v>
      </c>
      <c r="F434" s="8">
        <f>IF([2]道具信息!F434="","",[2]道具信息!F434)</f>
        <v>1</v>
      </c>
      <c r="G434" s="8">
        <f>IF([2]道具信息!G434="","",[2]道具信息!G434)</f>
        <v>1</v>
      </c>
      <c r="H434" s="8">
        <f>IF([2]道具信息!H434="","",[2]道具信息!H434)</f>
        <v>1</v>
      </c>
      <c r="I434" s="8">
        <f>IF([2]道具信息!I434="","",[2]道具信息!I434)</f>
        <v>500</v>
      </c>
      <c r="J434" s="8">
        <f>IF([2]道具信息!J434="","",[2]道具信息!J434)</f>
        <v>500</v>
      </c>
      <c r="K434" s="8">
        <f>IF([2]道具信息!K434="","",[2]道具信息!K434)</f>
        <v>500</v>
      </c>
      <c r="L434" s="8" t="str">
        <f>IF([2]道具信息!L434="","",[2]道具信息!L434)</f>
        <v>使用后城池不会遭受来自其他玩家的攻击，主动进攻其他玩家后失效，持续24小时</v>
      </c>
      <c r="M434" s="8" t="str">
        <f>IF([2]道具信息!M434="","",[2]道具信息!M434)</f>
        <v/>
      </c>
      <c r="N434" s="8" t="str">
        <f>IF([2]道具信息!N434="","",[2]道具信息!N434)</f>
        <v/>
      </c>
      <c r="O434" s="8" t="str">
        <f>IF([2]道具信息!O434="","",[2]道具信息!O434)</f>
        <v/>
      </c>
      <c r="P434" s="8" t="str">
        <f>IF([2]道具信息!P434="","",[2]道具信息!P434)</f>
        <v/>
      </c>
      <c r="Q434" s="8" t="str">
        <f>IF([2]道具信息!Q434="","",[2]道具信息!Q434)</f>
        <v/>
      </c>
      <c r="R434" s="8" t="str">
        <f>IF([2]道具信息!R434="","",[2]道具信息!R434)</f>
        <v/>
      </c>
    </row>
    <row r="435" spans="3:18" x14ac:dyDescent="0.2">
      <c r="C435" s="8">
        <f>IF([2]道具信息!C435="","",[2]道具信息!C435)</f>
        <v>21072</v>
      </c>
      <c r="D435" s="8" t="str">
        <f>IF([2]道具信息!D435="","",[2]道具信息!D435)</f>
        <v>特级免战牌</v>
      </c>
      <c r="E435" s="8">
        <f>IF([2]道具信息!E435="","",[2]道具信息!E435)</f>
        <v>1800</v>
      </c>
      <c r="F435" s="8">
        <f>IF([2]道具信息!F435="","",[2]道具信息!F435)</f>
        <v>1</v>
      </c>
      <c r="G435" s="8">
        <f>IF([2]道具信息!G435="","",[2]道具信息!G435)</f>
        <v>1</v>
      </c>
      <c r="H435" s="8">
        <f>IF([2]道具信息!H435="","",[2]道具信息!H435)</f>
        <v>1</v>
      </c>
      <c r="I435" s="8">
        <f>IF([2]道具信息!I435="","",[2]道具信息!I435)</f>
        <v>1800</v>
      </c>
      <c r="J435" s="8">
        <f>IF([2]道具信息!J435="","",[2]道具信息!J435)</f>
        <v>1800</v>
      </c>
      <c r="K435" s="8">
        <f>IF([2]道具信息!K435="","",[2]道具信息!K435)</f>
        <v>1800</v>
      </c>
      <c r="L435" s="8" t="str">
        <f>IF([2]道具信息!L435="","",[2]道具信息!L435)</f>
        <v>使用后城池不会遭受来自其他玩家的攻击，主动进攻其他玩家后失效，持续72小时</v>
      </c>
      <c r="M435" s="8" t="str">
        <f>IF([2]道具信息!M435="","",[2]道具信息!M435)</f>
        <v/>
      </c>
      <c r="N435" s="8" t="str">
        <f>IF([2]道具信息!N435="","",[2]道具信息!N435)</f>
        <v/>
      </c>
      <c r="O435" s="8" t="str">
        <f>IF([2]道具信息!O435="","",[2]道具信息!O435)</f>
        <v/>
      </c>
      <c r="P435" s="8" t="str">
        <f>IF([2]道具信息!P435="","",[2]道具信息!P435)</f>
        <v/>
      </c>
      <c r="Q435" s="8" t="str">
        <f>IF([2]道具信息!Q435="","",[2]道具信息!Q435)</f>
        <v/>
      </c>
      <c r="R435" s="8" t="str">
        <f>IF([2]道具信息!R435="","",[2]道具信息!R435)</f>
        <v/>
      </c>
    </row>
    <row r="436" spans="3:18" x14ac:dyDescent="0.2">
      <c r="C436" s="8" t="str">
        <f>IF([2]道具信息!C436="","",[2]道具信息!C436)</f>
        <v/>
      </c>
      <c r="D436" s="8" t="str">
        <f>IF([2]道具信息!D436="","",[2]道具信息!D436)</f>
        <v/>
      </c>
      <c r="E436" s="8" t="str">
        <f>IF([2]道具信息!E436="","",[2]道具信息!E436)</f>
        <v/>
      </c>
      <c r="F436" s="8">
        <f>IF([2]道具信息!F436="","",[2]道具信息!F436)</f>
        <v>1</v>
      </c>
      <c r="G436" s="8">
        <f>IF([2]道具信息!G436="","",[2]道具信息!G436)</f>
        <v>1</v>
      </c>
      <c r="H436" s="8">
        <f>IF([2]道具信息!H436="","",[2]道具信息!H436)</f>
        <v>1</v>
      </c>
      <c r="I436" s="8" t="str">
        <f>IF([2]道具信息!I436="","",[2]道具信息!I436)</f>
        <v/>
      </c>
      <c r="J436" s="8" t="str">
        <f>IF([2]道具信息!J436="","",[2]道具信息!J436)</f>
        <v/>
      </c>
      <c r="K436" s="8" t="str">
        <f>IF([2]道具信息!K436="","",[2]道具信息!K436)</f>
        <v/>
      </c>
      <c r="L436" s="8" t="str">
        <f>IF([2]道具信息!L436="","",[2]道具信息!L436)</f>
        <v>消灭野怪获得，用于宝物温养。</v>
      </c>
      <c r="M436" s="8" t="str">
        <f>IF([2]道具信息!M436="","",[2]道具信息!M436)</f>
        <v/>
      </c>
      <c r="N436" s="8" t="str">
        <f>IF([2]道具信息!N436="","",[2]道具信息!N436)</f>
        <v/>
      </c>
      <c r="O436" s="8" t="str">
        <f>IF([2]道具信息!O436="","",[2]道具信息!O436)</f>
        <v/>
      </c>
      <c r="P436" s="8" t="str">
        <f>IF([2]道具信息!P436="","",[2]道具信息!P436)</f>
        <v/>
      </c>
      <c r="Q436" s="8" t="str">
        <f>IF([2]道具信息!Q436="","",[2]道具信息!Q436)</f>
        <v/>
      </c>
      <c r="R436" s="8" t="str">
        <f>IF([2]道具信息!R436="","",[2]道具信息!R436)</f>
        <v/>
      </c>
    </row>
    <row r="437" spans="3:18" x14ac:dyDescent="0.2">
      <c r="C437" s="8">
        <f>IF([2]道具信息!C437="","",[2]道具信息!C437)</f>
        <v>23359</v>
      </c>
      <c r="D437" s="8" t="str">
        <f>IF([2]道具信息!D437="","",[2]道具信息!D437)</f>
        <v>宝鉴</v>
      </c>
      <c r="E437" s="8" t="str">
        <f>IF([2]道具信息!E437="","",[2]道具信息!E437)</f>
        <v/>
      </c>
      <c r="F437" s="8">
        <f>IF([2]道具信息!F437="","",[2]道具信息!F437)</f>
        <v>1</v>
      </c>
      <c r="G437" s="8">
        <f>IF([2]道具信息!G437="","",[2]道具信息!G437)</f>
        <v>1</v>
      </c>
      <c r="H437" s="8">
        <f>IF([2]道具信息!H437="","",[2]道具信息!H437)</f>
        <v>1</v>
      </c>
      <c r="I437" s="8" t="str">
        <f>IF([2]道具信息!I437="","",[2]道具信息!I437)</f>
        <v/>
      </c>
      <c r="J437" s="8" t="str">
        <f>IF([2]道具信息!J437="","",[2]道具信息!J437)</f>
        <v/>
      </c>
      <c r="K437" s="8" t="str">
        <f>IF([2]道具信息!K437="","",[2]道具信息!K437)</f>
        <v/>
      </c>
      <c r="L437" s="8" t="str">
        <f>IF([2]道具信息!L437="","",[2]道具信息!L437)</f>
        <v>持有宝鉴名册，可鉴天下珍宝</v>
      </c>
      <c r="M437" s="8" t="str">
        <f>IF([2]道具信息!M437="","",[2]道具信息!M437)</f>
        <v/>
      </c>
      <c r="N437" s="8" t="str">
        <f>IF([2]道具信息!N437="","",[2]道具信息!N437)</f>
        <v/>
      </c>
      <c r="O437" s="8" t="str">
        <f>IF([2]道具信息!O437="","",[2]道具信息!O437)</f>
        <v/>
      </c>
      <c r="P437" s="8" t="str">
        <f>IF([2]道具信息!P437="","",[2]道具信息!P437)</f>
        <v/>
      </c>
      <c r="Q437" s="8" t="str">
        <f>IF([2]道具信息!Q437="","",[2]道具信息!Q437)</f>
        <v/>
      </c>
      <c r="R437" s="8" t="str">
        <f>IF([2]道具信息!R437="","",[2]道具信息!R437)</f>
        <v/>
      </c>
    </row>
    <row r="438" spans="3:18" x14ac:dyDescent="0.2">
      <c r="C438" s="8">
        <f>IF([2]道具信息!C438="","",[2]道具信息!C438)</f>
        <v>23526</v>
      </c>
      <c r="D438" s="8" t="str">
        <f>IF([2]道具信息!D438="","",[2]道具信息!D438)</f>
        <v>极品装备宝箱碎片</v>
      </c>
      <c r="E438" s="8" t="str">
        <f>IF([2]道具信息!E438="","",[2]道具信息!E438)</f>
        <v/>
      </c>
      <c r="F438" s="8">
        <f>IF([2]道具信息!F438="","",[2]道具信息!F438)</f>
        <v>1</v>
      </c>
      <c r="G438" s="8">
        <f>IF([2]道具信息!G438="","",[2]道具信息!G438)</f>
        <v>1</v>
      </c>
      <c r="H438" s="8">
        <f>IF([2]道具信息!H438="","",[2]道具信息!H438)</f>
        <v>1</v>
      </c>
      <c r="I438" s="8" t="str">
        <f>IF([2]道具信息!I438="","",[2]道具信息!I438)</f>
        <v/>
      </c>
      <c r="J438" s="8" t="str">
        <f>IF([2]道具信息!J438="","",[2]道具信息!J438)</f>
        <v/>
      </c>
      <c r="K438" s="8" t="str">
        <f>IF([2]道具信息!K438="","",[2]道具信息!K438)</f>
        <v/>
      </c>
      <c r="L438" s="8" t="str">
        <f>IF([2]道具信息!L438="","",[2]道具信息!L438)</f>
        <v>使用后可以获得一个极品红色装备宝箱</v>
      </c>
      <c r="M438" s="8" t="str">
        <f>IF([2]道具信息!M438="","",[2]道具信息!M438)</f>
        <v/>
      </c>
      <c r="N438" s="8" t="str">
        <f>IF([2]道具信息!N438="","",[2]道具信息!N438)</f>
        <v/>
      </c>
      <c r="O438" s="8" t="str">
        <f>IF([2]道具信息!O438="","",[2]道具信息!O438)</f>
        <v/>
      </c>
      <c r="P438" s="8" t="str">
        <f>IF([2]道具信息!P438="","",[2]道具信息!P438)</f>
        <v/>
      </c>
      <c r="Q438" s="8" t="str">
        <f>IF([2]道具信息!Q438="","",[2]道具信息!Q438)</f>
        <v/>
      </c>
      <c r="R438" s="8" t="str">
        <f>IF([2]道具信息!R438="","",[2]道具信息!R438)</f>
        <v/>
      </c>
    </row>
    <row r="439" spans="3:18" x14ac:dyDescent="0.2">
      <c r="C439" s="8">
        <f>IF([2]道具信息!C439="","",[2]道具信息!C439)</f>
        <v>23527</v>
      </c>
      <c r="D439" s="8" t="str">
        <f>IF([2]道具信息!D439="","",[2]道具信息!D439)</f>
        <v>极品装备宝箱</v>
      </c>
      <c r="E439" s="8" t="str">
        <f>IF([2]道具信息!E439="","",[2]道具信息!E439)</f>
        <v/>
      </c>
      <c r="F439" s="8">
        <f>IF([2]道具信息!F439="","",[2]道具信息!F439)</f>
        <v>1</v>
      </c>
      <c r="G439" s="8">
        <f>IF([2]道具信息!G439="","",[2]道具信息!G439)</f>
        <v>1</v>
      </c>
      <c r="H439" s="8">
        <f>IF([2]道具信息!H439="","",[2]道具信息!H439)</f>
        <v>1</v>
      </c>
      <c r="I439" s="8" t="str">
        <f>IF([2]道具信息!I439="","",[2]道具信息!I439)</f>
        <v/>
      </c>
      <c r="J439" s="8" t="str">
        <f>IF([2]道具信息!J439="","",[2]道具信息!J439)</f>
        <v/>
      </c>
      <c r="K439" s="8" t="str">
        <f>IF([2]道具信息!K439="","",[2]道具信息!K439)</f>
        <v/>
      </c>
      <c r="L439" s="8" t="str">
        <f>IF([2]道具信息!L439="","",[2]道具信息!L439)</f>
        <v>使用后可以选择获得一件极品红色装备</v>
      </c>
      <c r="M439" s="8" t="str">
        <f>IF([2]道具信息!M439="","",[2]道具信息!M439)</f>
        <v/>
      </c>
      <c r="N439" s="8" t="str">
        <f>IF([2]道具信息!N439="","",[2]道具信息!N439)</f>
        <v/>
      </c>
      <c r="O439" s="8" t="str">
        <f>IF([2]道具信息!O439="","",[2]道具信息!O439)</f>
        <v/>
      </c>
      <c r="P439" s="8" t="str">
        <f>IF([2]道具信息!P439="","",[2]道具信息!P439)</f>
        <v/>
      </c>
      <c r="Q439" s="8" t="str">
        <f>IF([2]道具信息!Q439="","",[2]道具信息!Q439)</f>
        <v/>
      </c>
      <c r="R439" s="8" t="str">
        <f>IF([2]道具信息!R439="","",[2]道具信息!R439)</f>
        <v/>
      </c>
    </row>
    <row r="440" spans="3:18" x14ac:dyDescent="0.2">
      <c r="C440" s="8">
        <f>IF([2]道具信息!C440="","",[2]道具信息!C440)</f>
        <v>23528</v>
      </c>
      <c r="D440" s="8" t="str">
        <f>IF([2]道具信息!D440="","",[2]道具信息!D440)</f>
        <v>极品统武装备宝箱</v>
      </c>
      <c r="E440" s="8" t="str">
        <f>IF([2]道具信息!E440="","",[2]道具信息!E440)</f>
        <v/>
      </c>
      <c r="F440" s="8">
        <f>IF([2]道具信息!F440="","",[2]道具信息!F440)</f>
        <v>1</v>
      </c>
      <c r="G440" s="8">
        <f>IF([2]道具信息!G440="","",[2]道具信息!G440)</f>
        <v>1</v>
      </c>
      <c r="H440" s="8">
        <f>IF([2]道具信息!H440="","",[2]道具信息!H440)</f>
        <v>1</v>
      </c>
      <c r="I440" s="8" t="str">
        <f>IF([2]道具信息!I440="","",[2]道具信息!I440)</f>
        <v/>
      </c>
      <c r="J440" s="8" t="str">
        <f>IF([2]道具信息!J440="","",[2]道具信息!J440)</f>
        <v/>
      </c>
      <c r="K440" s="8" t="str">
        <f>IF([2]道具信息!K440="","",[2]道具信息!K440)</f>
        <v/>
      </c>
      <c r="L440" s="8" t="str">
        <f>IF([2]道具信息!L440="","",[2]道具信息!L440)</f>
        <v>使用后获得十方古璃套装3件套装备</v>
      </c>
      <c r="M440" s="8" t="str">
        <f>IF([2]道具信息!M440="","",[2]道具信息!M440)</f>
        <v/>
      </c>
      <c r="N440" s="8" t="str">
        <f>IF([2]道具信息!N440="","",[2]道具信息!N440)</f>
        <v/>
      </c>
      <c r="O440" s="8" t="str">
        <f>IF([2]道具信息!O440="","",[2]道具信息!O440)</f>
        <v/>
      </c>
      <c r="P440" s="8" t="str">
        <f>IF([2]道具信息!P440="","",[2]道具信息!P440)</f>
        <v/>
      </c>
      <c r="Q440" s="8" t="str">
        <f>IF([2]道具信息!Q440="","",[2]道具信息!Q440)</f>
        <v/>
      </c>
      <c r="R440" s="8" t="str">
        <f>IF([2]道具信息!R440="","",[2]道具信息!R440)</f>
        <v/>
      </c>
    </row>
    <row r="441" spans="3:18" x14ac:dyDescent="0.2">
      <c r="C441" s="8">
        <f>IF([2]道具信息!C441="","",[2]道具信息!C441)</f>
        <v>23529</v>
      </c>
      <c r="D441" s="8" t="str">
        <f>IF([2]道具信息!D441="","",[2]道具信息!D441)</f>
        <v>极品统智装备宝箱</v>
      </c>
      <c r="E441" s="8" t="str">
        <f>IF([2]道具信息!E441="","",[2]道具信息!E441)</f>
        <v/>
      </c>
      <c r="F441" s="8">
        <f>IF([2]道具信息!F441="","",[2]道具信息!F441)</f>
        <v>1</v>
      </c>
      <c r="G441" s="8">
        <f>IF([2]道具信息!G441="","",[2]道具信息!G441)</f>
        <v>1</v>
      </c>
      <c r="H441" s="8">
        <f>IF([2]道具信息!H441="","",[2]道具信息!H441)</f>
        <v>1</v>
      </c>
      <c r="I441" s="8" t="str">
        <f>IF([2]道具信息!I441="","",[2]道具信息!I441)</f>
        <v/>
      </c>
      <c r="J441" s="8" t="str">
        <f>IF([2]道具信息!J441="","",[2]道具信息!J441)</f>
        <v/>
      </c>
      <c r="K441" s="8" t="str">
        <f>IF([2]道具信息!K441="","",[2]道具信息!K441)</f>
        <v/>
      </c>
      <c r="L441" s="8" t="str">
        <f>IF([2]道具信息!L441="","",[2]道具信息!L441)</f>
        <v>使用后获得墨霜广焱3件套装备</v>
      </c>
      <c r="M441" s="8" t="str">
        <f>IF([2]道具信息!M441="","",[2]道具信息!M441)</f>
        <v/>
      </c>
      <c r="N441" s="8" t="str">
        <f>IF([2]道具信息!N441="","",[2]道具信息!N441)</f>
        <v/>
      </c>
      <c r="O441" s="8" t="str">
        <f>IF([2]道具信息!O441="","",[2]道具信息!O441)</f>
        <v/>
      </c>
      <c r="P441" s="8" t="str">
        <f>IF([2]道具信息!P441="","",[2]道具信息!P441)</f>
        <v/>
      </c>
      <c r="Q441" s="8" t="str">
        <f>IF([2]道具信息!Q441="","",[2]道具信息!Q441)</f>
        <v/>
      </c>
      <c r="R441" s="8" t="str">
        <f>IF([2]道具信息!R441="","",[2]道具信息!R441)</f>
        <v/>
      </c>
    </row>
    <row r="442" spans="3:18" x14ac:dyDescent="0.2">
      <c r="C442" s="8">
        <f>IF([2]道具信息!C442="","",[2]道具信息!C442)</f>
        <v>23530</v>
      </c>
      <c r="D442" s="8" t="str">
        <f>IF([2]道具信息!D442="","",[2]道具信息!D442)</f>
        <v>红色装备宝箱碎片</v>
      </c>
      <c r="E442" s="8" t="str">
        <f>IF([2]道具信息!E442="","",[2]道具信息!E442)</f>
        <v/>
      </c>
      <c r="F442" s="8">
        <f>IF([2]道具信息!F442="","",[2]道具信息!F442)</f>
        <v>1</v>
      </c>
      <c r="G442" s="8">
        <f>IF([2]道具信息!G442="","",[2]道具信息!G442)</f>
        <v>1</v>
      </c>
      <c r="H442" s="8">
        <f>IF([2]道具信息!H442="","",[2]道具信息!H442)</f>
        <v>1</v>
      </c>
      <c r="I442" s="8" t="str">
        <f>IF([2]道具信息!I442="","",[2]道具信息!I442)</f>
        <v/>
      </c>
      <c r="J442" s="8" t="str">
        <f>IF([2]道具信息!J442="","",[2]道具信息!J442)</f>
        <v/>
      </c>
      <c r="K442" s="8" t="str">
        <f>IF([2]道具信息!K442="","",[2]道具信息!K442)</f>
        <v/>
      </c>
      <c r="L442" s="8" t="str">
        <f>IF([2]道具信息!L442="","",[2]道具信息!L442)</f>
        <v>使用后可以获得一个红色装备宝箱</v>
      </c>
      <c r="M442" s="8" t="str">
        <f>IF([2]道具信息!M442="","",[2]道具信息!M442)</f>
        <v/>
      </c>
      <c r="N442" s="8" t="str">
        <f>IF([2]道具信息!N442="","",[2]道具信息!N442)</f>
        <v/>
      </c>
      <c r="O442" s="8" t="str">
        <f>IF([2]道具信息!O442="","",[2]道具信息!O442)</f>
        <v/>
      </c>
      <c r="P442" s="8" t="str">
        <f>IF([2]道具信息!P442="","",[2]道具信息!P442)</f>
        <v/>
      </c>
      <c r="Q442" s="8" t="str">
        <f>IF([2]道具信息!Q442="","",[2]道具信息!Q442)</f>
        <v/>
      </c>
      <c r="R442" s="8" t="str">
        <f>IF([2]道具信息!R442="","",[2]道具信息!R442)</f>
        <v/>
      </c>
    </row>
    <row r="443" spans="3:18" x14ac:dyDescent="0.2">
      <c r="C443" s="8">
        <f>IF([2]道具信息!C443="","",[2]道具信息!C443)</f>
        <v>23531</v>
      </c>
      <c r="D443" s="8" t="str">
        <f>IF([2]道具信息!D443="","",[2]道具信息!D443)</f>
        <v>红色装备宝箱</v>
      </c>
      <c r="E443" s="8" t="str">
        <f>IF([2]道具信息!E443="","",[2]道具信息!E443)</f>
        <v/>
      </c>
      <c r="F443" s="8">
        <f>IF([2]道具信息!F443="","",[2]道具信息!F443)</f>
        <v>1</v>
      </c>
      <c r="G443" s="8">
        <f>IF([2]道具信息!G443="","",[2]道具信息!G443)</f>
        <v>1</v>
      </c>
      <c r="H443" s="8">
        <f>IF([2]道具信息!H443="","",[2]道具信息!H443)</f>
        <v>1</v>
      </c>
      <c r="I443" s="8" t="str">
        <f>IF([2]道具信息!I443="","",[2]道具信息!I443)</f>
        <v/>
      </c>
      <c r="J443" s="8" t="str">
        <f>IF([2]道具信息!J443="","",[2]道具信息!J443)</f>
        <v/>
      </c>
      <c r="K443" s="8" t="str">
        <f>IF([2]道具信息!K443="","",[2]道具信息!K443)</f>
        <v/>
      </c>
      <c r="L443" s="8" t="str">
        <f>IF([2]道具信息!L443="","",[2]道具信息!L443)</f>
        <v>使用后可以选择获得一件红色装备</v>
      </c>
      <c r="M443" s="8" t="str">
        <f>IF([2]道具信息!M443="","",[2]道具信息!M443)</f>
        <v/>
      </c>
      <c r="N443" s="8" t="str">
        <f>IF([2]道具信息!N443="","",[2]道具信息!N443)</f>
        <v/>
      </c>
      <c r="O443" s="8" t="str">
        <f>IF([2]道具信息!O443="","",[2]道具信息!O443)</f>
        <v/>
      </c>
      <c r="P443" s="8" t="str">
        <f>IF([2]道具信息!P443="","",[2]道具信息!P443)</f>
        <v/>
      </c>
      <c r="Q443" s="8" t="str">
        <f>IF([2]道具信息!Q443="","",[2]道具信息!Q443)</f>
        <v/>
      </c>
      <c r="R443" s="8" t="str">
        <f>IF([2]道具信息!R443="","",[2]道具信息!R443)</f>
        <v/>
      </c>
    </row>
    <row r="444" spans="3:18" x14ac:dyDescent="0.2">
      <c r="C444" s="8">
        <f>IF([2]道具信息!C444="","",[2]道具信息!C444)</f>
        <v>23532</v>
      </c>
      <c r="D444" s="8" t="str">
        <f>IF([2]道具信息!D444="","",[2]道具信息!D444)</f>
        <v>抛砖引玉·极-残片</v>
      </c>
      <c r="E444" s="8" t="str">
        <f>IF([2]道具信息!E444="","",[2]道具信息!E444)</f>
        <v/>
      </c>
      <c r="F444" s="8">
        <f>IF([2]道具信息!F444="","",[2]道具信息!F444)</f>
        <v>1</v>
      </c>
      <c r="G444" s="8">
        <f>IF([2]道具信息!G444="","",[2]道具信息!G444)</f>
        <v>1</v>
      </c>
      <c r="H444" s="8">
        <f>IF([2]道具信息!H444="","",[2]道具信息!H444)</f>
        <v>1</v>
      </c>
      <c r="I444" s="8" t="str">
        <f>IF([2]道具信息!I444="","",[2]道具信息!I444)</f>
        <v/>
      </c>
      <c r="J444" s="8" t="str">
        <f>IF([2]道具信息!J444="","",[2]道具信息!J444)</f>
        <v/>
      </c>
      <c r="K444" s="8" t="str">
        <f>IF([2]道具信息!K444="","",[2]道具信息!K444)</f>
        <v/>
      </c>
      <c r="L444" s="8" t="str">
        <f>IF([2]道具信息!L444="","",[2]道具信息!L444)</f>
        <v/>
      </c>
      <c r="M444" s="8" t="str">
        <f>IF([2]道具信息!M444="","",[2]道具信息!M444)</f>
        <v/>
      </c>
      <c r="N444" s="8" t="str">
        <f>IF([2]道具信息!N444="","",[2]道具信息!N444)</f>
        <v/>
      </c>
      <c r="O444" s="8" t="str">
        <f>IF([2]道具信息!O444="","",[2]道具信息!O444)</f>
        <v/>
      </c>
      <c r="P444" s="8" t="str">
        <f>IF([2]道具信息!P444="","",[2]道具信息!P444)</f>
        <v/>
      </c>
      <c r="Q444" s="8" t="str">
        <f>IF([2]道具信息!Q444="","",[2]道具信息!Q444)</f>
        <v/>
      </c>
      <c r="R444" s="8" t="str">
        <f>IF([2]道具信息!R444="","",[2]道具信息!R444)</f>
        <v/>
      </c>
    </row>
    <row r="445" spans="3:18" x14ac:dyDescent="0.2">
      <c r="C445" s="8">
        <f>IF([2]道具信息!C445="","",[2]道具信息!C445)</f>
        <v>23389</v>
      </c>
      <c r="D445" s="8" t="str">
        <f>IF([2]道具信息!D445="","",[2]道具信息!D445)</f>
        <v>秦阳陵虎符碎片</v>
      </c>
      <c r="E445" s="8" t="str">
        <f>IF([2]道具信息!E445="","",[2]道具信息!E445)</f>
        <v/>
      </c>
      <c r="F445" s="8">
        <f>IF([2]道具信息!F445="","",[2]道具信息!F445)</f>
        <v>1</v>
      </c>
      <c r="G445" s="8">
        <f>IF([2]道具信息!G445="","",[2]道具信息!G445)</f>
        <v>1</v>
      </c>
      <c r="H445" s="8">
        <f>IF([2]道具信息!H445="","",[2]道具信息!H445)</f>
        <v>1</v>
      </c>
      <c r="I445" s="8" t="str">
        <f>IF([2]道具信息!I445="","",[2]道具信息!I445)</f>
        <v/>
      </c>
      <c r="J445" s="8" t="str">
        <f>IF([2]道具信息!J445="","",[2]道具信息!J445)</f>
        <v/>
      </c>
      <c r="K445" s="8" t="str">
        <f>IF([2]道具信息!K445="","",[2]道具信息!K445)</f>
        <v/>
      </c>
      <c r="L445" s="8" t="str">
        <f>IF([2]道具信息!L445="","",[2]道具信息!L445)</f>
        <v/>
      </c>
      <c r="M445" s="8" t="str">
        <f>IF([2]道具信息!M445="","",[2]道具信息!M445)</f>
        <v/>
      </c>
      <c r="N445" s="8" t="str">
        <f>IF([2]道具信息!N445="","",[2]道具信息!N445)</f>
        <v/>
      </c>
      <c r="O445" s="8" t="str">
        <f>IF([2]道具信息!O445="","",[2]道具信息!O445)</f>
        <v/>
      </c>
      <c r="P445" s="8" t="str">
        <f>IF([2]道具信息!P445="","",[2]道具信息!P445)</f>
        <v/>
      </c>
      <c r="Q445" s="8" t="str">
        <f>IF([2]道具信息!Q445="","",[2]道具信息!Q445)</f>
        <v/>
      </c>
      <c r="R445" s="8" t="str">
        <f>IF([2]道具信息!R445="","",[2]道具信息!R445)</f>
        <v/>
      </c>
    </row>
    <row r="446" spans="3:18" x14ac:dyDescent="0.2">
      <c r="C446" s="8">
        <f>IF([2]道具信息!C446="","",[2]道具信息!C446)</f>
        <v>180024</v>
      </c>
      <c r="D446" s="8" t="str">
        <f>IF([2]道具信息!D446="","",[2]道具信息!D446)</f>
        <v>高级盗贼</v>
      </c>
      <c r="E446" s="8" t="str">
        <f>IF([2]道具信息!E446="","",[2]道具信息!E446)</f>
        <v/>
      </c>
      <c r="F446" s="8">
        <f>IF([2]道具信息!F446="","",[2]道具信息!F446)</f>
        <v>1</v>
      </c>
      <c r="G446" s="8">
        <f>IF([2]道具信息!G446="","",[2]道具信息!G446)</f>
        <v>1</v>
      </c>
      <c r="H446" s="8">
        <f>IF([2]道具信息!H446="","",[2]道具信息!H446)</f>
        <v>1</v>
      </c>
      <c r="I446" s="8" t="str">
        <f>IF([2]道具信息!I446="","",[2]道具信息!I446)</f>
        <v/>
      </c>
      <c r="J446" s="8" t="str">
        <f>IF([2]道具信息!J446="","",[2]道具信息!J446)</f>
        <v/>
      </c>
      <c r="K446" s="8" t="str">
        <f>IF([2]道具信息!K446="","",[2]道具信息!K446)</f>
        <v/>
      </c>
      <c r="L446" s="8" t="str">
        <f>IF([2]道具信息!L446="","",[2]道具信息!L446)</f>
        <v/>
      </c>
      <c r="M446" s="8" t="str">
        <f>IF([2]道具信息!M446="","",[2]道具信息!M446)</f>
        <v/>
      </c>
      <c r="N446" s="8" t="str">
        <f>IF([2]道具信息!N446="","",[2]道具信息!N446)</f>
        <v/>
      </c>
      <c r="O446" s="8" t="str">
        <f>IF([2]道具信息!O446="","",[2]道具信息!O446)</f>
        <v/>
      </c>
      <c r="P446" s="8" t="str">
        <f>IF([2]道具信息!P446="","",[2]道具信息!P446)</f>
        <v/>
      </c>
      <c r="Q446" s="8" t="str">
        <f>IF([2]道具信息!Q446="","",[2]道具信息!Q446)</f>
        <v/>
      </c>
      <c r="R446" s="8" t="str">
        <f>IF([2]道具信息!R446="","",[2]道具信息!R446)</f>
        <v/>
      </c>
    </row>
    <row r="447" spans="3:18" x14ac:dyDescent="0.2">
      <c r="C447" s="8">
        <f>IF([2]道具信息!C447="","",[2]道具信息!C447)</f>
        <v>180023</v>
      </c>
      <c r="D447" s="8" t="str">
        <f>IF([2]道具信息!D447="","",[2]道具信息!D447)</f>
        <v>高级间谍</v>
      </c>
      <c r="E447" s="8" t="str">
        <f>IF([2]道具信息!E447="","",[2]道具信息!E447)</f>
        <v/>
      </c>
      <c r="F447" s="8">
        <f>IF([2]道具信息!F447="","",[2]道具信息!F447)</f>
        <v>1</v>
      </c>
      <c r="G447" s="8">
        <f>IF([2]道具信息!G447="","",[2]道具信息!G447)</f>
        <v>1</v>
      </c>
      <c r="H447" s="8">
        <f>IF([2]道具信息!H447="","",[2]道具信息!H447)</f>
        <v>1</v>
      </c>
      <c r="I447" s="8" t="str">
        <f>IF([2]道具信息!I447="","",[2]道具信息!I447)</f>
        <v/>
      </c>
      <c r="J447" s="8" t="str">
        <f>IF([2]道具信息!J447="","",[2]道具信息!J447)</f>
        <v/>
      </c>
      <c r="K447" s="8" t="str">
        <f>IF([2]道具信息!K447="","",[2]道具信息!K447)</f>
        <v/>
      </c>
      <c r="L447" s="8" t="str">
        <f>IF([2]道具信息!L447="","",[2]道具信息!L447)</f>
        <v/>
      </c>
      <c r="M447" s="8" t="str">
        <f>IF([2]道具信息!M447="","",[2]道具信息!M447)</f>
        <v/>
      </c>
      <c r="N447" s="8" t="str">
        <f>IF([2]道具信息!N447="","",[2]道具信息!N447)</f>
        <v/>
      </c>
      <c r="O447" s="8" t="str">
        <f>IF([2]道具信息!O447="","",[2]道具信息!O447)</f>
        <v/>
      </c>
      <c r="P447" s="8" t="str">
        <f>IF([2]道具信息!P447="","",[2]道具信息!P447)</f>
        <v/>
      </c>
      <c r="Q447" s="8" t="str">
        <f>IF([2]道具信息!Q447="","",[2]道具信息!Q447)</f>
        <v/>
      </c>
      <c r="R447" s="8" t="str">
        <f>IF([2]道具信息!R447="","",[2]道具信息!R447)</f>
        <v/>
      </c>
    </row>
    <row r="448" spans="3:18" x14ac:dyDescent="0.2">
      <c r="C448" s="8">
        <f>IF([2]道具信息!C448="","",[2]道具信息!C448)</f>
        <v>180022</v>
      </c>
      <c r="D448" s="8" t="str">
        <f>IF([2]道具信息!D448="","",[2]道具信息!D448)</f>
        <v>高级刺客</v>
      </c>
      <c r="E448" s="8" t="str">
        <f>IF([2]道具信息!E448="","",[2]道具信息!E448)</f>
        <v/>
      </c>
      <c r="F448" s="8">
        <f>IF([2]道具信息!F448="","",[2]道具信息!F448)</f>
        <v>1</v>
      </c>
      <c r="G448" s="8">
        <f>IF([2]道具信息!G448="","",[2]道具信息!G448)</f>
        <v>1</v>
      </c>
      <c r="H448" s="8">
        <f>IF([2]道具信息!H448="","",[2]道具信息!H448)</f>
        <v>1</v>
      </c>
      <c r="I448" s="8" t="str">
        <f>IF([2]道具信息!I448="","",[2]道具信息!I448)</f>
        <v/>
      </c>
      <c r="J448" s="8" t="str">
        <f>IF([2]道具信息!J448="","",[2]道具信息!J448)</f>
        <v/>
      </c>
      <c r="K448" s="8" t="str">
        <f>IF([2]道具信息!K448="","",[2]道具信息!K448)</f>
        <v/>
      </c>
      <c r="L448" s="8" t="str">
        <f>IF([2]道具信息!L448="","",[2]道具信息!L448)</f>
        <v/>
      </c>
      <c r="M448" s="8" t="str">
        <f>IF([2]道具信息!M448="","",[2]道具信息!M448)</f>
        <v/>
      </c>
      <c r="N448" s="8" t="str">
        <f>IF([2]道具信息!N448="","",[2]道具信息!N448)</f>
        <v/>
      </c>
      <c r="O448" s="8" t="str">
        <f>IF([2]道具信息!O448="","",[2]道具信息!O448)</f>
        <v/>
      </c>
      <c r="P448" s="8" t="str">
        <f>IF([2]道具信息!P448="","",[2]道具信息!P448)</f>
        <v/>
      </c>
      <c r="Q448" s="8" t="str">
        <f>IF([2]道具信息!Q448="","",[2]道具信息!Q448)</f>
        <v/>
      </c>
      <c r="R448" s="8" t="str">
        <f>IF([2]道具信息!R448="","",[2]道具信息!R448)</f>
        <v/>
      </c>
    </row>
    <row r="449" spans="3:18" x14ac:dyDescent="0.2">
      <c r="C449" s="8" t="str">
        <f>IF([2]道具信息!C449="","",[2]道具信息!C449)</f>
        <v/>
      </c>
      <c r="D449" s="8" t="str">
        <f>IF([2]道具信息!D449="","",[2]道具信息!D449)</f>
        <v/>
      </c>
      <c r="E449" s="8" t="str">
        <f>IF([2]道具信息!E449="","",[2]道具信息!E449)</f>
        <v/>
      </c>
      <c r="F449" s="8">
        <f>IF([2]道具信息!F449="","",[2]道具信息!F449)</f>
        <v>1</v>
      </c>
      <c r="G449" s="8">
        <f>IF([2]道具信息!G449="","",[2]道具信息!G449)</f>
        <v>1</v>
      </c>
      <c r="H449" s="8">
        <f>IF([2]道具信息!H449="","",[2]道具信息!H449)</f>
        <v>1</v>
      </c>
      <c r="I449" s="8" t="str">
        <f>IF([2]道具信息!I449="","",[2]道具信息!I449)</f>
        <v/>
      </c>
      <c r="J449" s="8" t="str">
        <f>IF([2]道具信息!J449="","",[2]道具信息!J449)</f>
        <v/>
      </c>
      <c r="K449" s="8" t="str">
        <f>IF([2]道具信息!K449="","",[2]道具信息!K449)</f>
        <v/>
      </c>
      <c r="L449" s="8" t="str">
        <f>IF([2]道具信息!L449="","",[2]道具信息!L449)</f>
        <v/>
      </c>
      <c r="M449" s="8" t="str">
        <f>IF([2]道具信息!M449="","",[2]道具信息!M449)</f>
        <v/>
      </c>
      <c r="N449" s="8" t="str">
        <f>IF([2]道具信息!N449="","",[2]道具信息!N449)</f>
        <v/>
      </c>
      <c r="O449" s="8" t="str">
        <f>IF([2]道具信息!O449="","",[2]道具信息!O449)</f>
        <v/>
      </c>
      <c r="P449" s="8" t="str">
        <f>IF([2]道具信息!P449="","",[2]道具信息!P449)</f>
        <v/>
      </c>
      <c r="Q449" s="8" t="str">
        <f>IF([2]道具信息!Q449="","",[2]道具信息!Q449)</f>
        <v/>
      </c>
      <c r="R449" s="8" t="str">
        <f>IF([2]道具信息!R449="","",[2]道具信息!R449)</f>
        <v/>
      </c>
    </row>
    <row r="450" spans="3:18" x14ac:dyDescent="0.2">
      <c r="C450" s="8">
        <f>IF([2]道具信息!C450="","",[2]道具信息!C450)</f>
        <v>23542</v>
      </c>
      <c r="D450" s="8" t="str">
        <f>IF([2]道具信息!D450="","",[2]道具信息!D450)</f>
        <v>十方装备宝箱碎片</v>
      </c>
      <c r="E450" s="8" t="str">
        <f>IF([2]道具信息!E450="","",[2]道具信息!E450)</f>
        <v/>
      </c>
      <c r="F450" s="8">
        <f>IF([2]道具信息!F450="","",[2]道具信息!F450)</f>
        <v>1</v>
      </c>
      <c r="G450" s="8">
        <f>IF([2]道具信息!G450="","",[2]道具信息!G450)</f>
        <v>1</v>
      </c>
      <c r="H450" s="8">
        <f>IF([2]道具信息!H450="","",[2]道具信息!H450)</f>
        <v>1</v>
      </c>
      <c r="I450" s="8" t="str">
        <f>IF([2]道具信息!I450="","",[2]道具信息!I450)</f>
        <v/>
      </c>
      <c r="J450" s="8" t="str">
        <f>IF([2]道具信息!J450="","",[2]道具信息!J450)</f>
        <v/>
      </c>
      <c r="K450" s="8" t="str">
        <f>IF([2]道具信息!K450="","",[2]道具信息!K450)</f>
        <v/>
      </c>
      <c r="L450" s="8" t="str">
        <f>IF([2]道具信息!L450="","",[2]道具信息!L450)</f>
        <v/>
      </c>
      <c r="M450" s="8" t="str">
        <f>IF([2]道具信息!M450="","",[2]道具信息!M450)</f>
        <v/>
      </c>
      <c r="N450" s="8" t="str">
        <f>IF([2]道具信息!N450="","",[2]道具信息!N450)</f>
        <v/>
      </c>
      <c r="O450" s="8" t="str">
        <f>IF([2]道具信息!O450="","",[2]道具信息!O450)</f>
        <v/>
      </c>
      <c r="P450" s="8" t="str">
        <f>IF([2]道具信息!P450="","",[2]道具信息!P450)</f>
        <v/>
      </c>
      <c r="Q450" s="8" t="str">
        <f>IF([2]道具信息!Q450="","",[2]道具信息!Q450)</f>
        <v/>
      </c>
      <c r="R450" s="8" t="str">
        <f>IF([2]道具信息!R450="","",[2]道具信息!R450)</f>
        <v/>
      </c>
    </row>
    <row r="451" spans="3:18" x14ac:dyDescent="0.2">
      <c r="C451" s="8">
        <f>IF([2]道具信息!C451="","",[2]道具信息!C451)</f>
        <v>23543</v>
      </c>
      <c r="D451" s="8" t="str">
        <f>IF([2]道具信息!D451="","",[2]道具信息!D451)</f>
        <v>墨霜装备宝箱碎片</v>
      </c>
      <c r="E451" s="8" t="str">
        <f>IF([2]道具信息!E451="","",[2]道具信息!E451)</f>
        <v/>
      </c>
      <c r="F451" s="8">
        <f>IF([2]道具信息!F451="","",[2]道具信息!F451)</f>
        <v>1</v>
      </c>
      <c r="G451" s="8">
        <f>IF([2]道具信息!G451="","",[2]道具信息!G451)</f>
        <v>1</v>
      </c>
      <c r="H451" s="8">
        <f>IF([2]道具信息!H451="","",[2]道具信息!H451)</f>
        <v>1</v>
      </c>
      <c r="I451" s="8" t="str">
        <f>IF([2]道具信息!I451="","",[2]道具信息!I451)</f>
        <v/>
      </c>
      <c r="J451" s="8" t="str">
        <f>IF([2]道具信息!J451="","",[2]道具信息!J451)</f>
        <v/>
      </c>
      <c r="K451" s="8" t="str">
        <f>IF([2]道具信息!K451="","",[2]道具信息!K451)</f>
        <v/>
      </c>
      <c r="L451" s="8" t="str">
        <f>IF([2]道具信息!L451="","",[2]道具信息!L451)</f>
        <v/>
      </c>
      <c r="M451" s="8" t="str">
        <f>IF([2]道具信息!M451="","",[2]道具信息!M451)</f>
        <v/>
      </c>
      <c r="N451" s="8" t="str">
        <f>IF([2]道具信息!N451="","",[2]道具信息!N451)</f>
        <v/>
      </c>
      <c r="O451" s="8" t="str">
        <f>IF([2]道具信息!O451="","",[2]道具信息!O451)</f>
        <v/>
      </c>
      <c r="P451" s="8" t="str">
        <f>IF([2]道具信息!P451="","",[2]道具信息!P451)</f>
        <v/>
      </c>
      <c r="Q451" s="8" t="str">
        <f>IF([2]道具信息!Q451="","",[2]道具信息!Q451)</f>
        <v/>
      </c>
      <c r="R451" s="8" t="str">
        <f>IF([2]道具信息!R451="","",[2]道具信息!R451)</f>
        <v/>
      </c>
    </row>
    <row r="452" spans="3:18" x14ac:dyDescent="0.2">
      <c r="C452" s="8" t="str">
        <f>IF([2]道具信息!C452="","",[2]道具信息!C452)</f>
        <v/>
      </c>
      <c r="D452" s="8" t="str">
        <f>IF([2]道具信息!D452="","",[2]道具信息!D452)</f>
        <v/>
      </c>
      <c r="E452" s="8" t="str">
        <f>IF([2]道具信息!E452="","",[2]道具信息!E452)</f>
        <v/>
      </c>
      <c r="F452" s="8">
        <f>IF([2]道具信息!F452="","",[2]道具信息!F452)</f>
        <v>1</v>
      </c>
      <c r="G452" s="8">
        <f>IF([2]道具信息!G452="","",[2]道具信息!G452)</f>
        <v>1</v>
      </c>
      <c r="H452" s="8">
        <f>IF([2]道具信息!H452="","",[2]道具信息!H452)</f>
        <v>1</v>
      </c>
      <c r="I452" s="8" t="str">
        <f>IF([2]道具信息!I452="","",[2]道具信息!I452)</f>
        <v/>
      </c>
      <c r="J452" s="8" t="str">
        <f>IF([2]道具信息!J452="","",[2]道具信息!J452)</f>
        <v/>
      </c>
      <c r="K452" s="8" t="str">
        <f>IF([2]道具信息!K452="","",[2]道具信息!K452)</f>
        <v/>
      </c>
      <c r="L452" s="8" t="str">
        <f>IF([2]道具信息!L452="","",[2]道具信息!L452)</f>
        <v/>
      </c>
      <c r="M452" s="8" t="str">
        <f>IF([2]道具信息!M452="","",[2]道具信息!M452)</f>
        <v/>
      </c>
      <c r="N452" s="8" t="str">
        <f>IF([2]道具信息!N452="","",[2]道具信息!N452)</f>
        <v/>
      </c>
      <c r="O452" s="8" t="str">
        <f>IF([2]道具信息!O452="","",[2]道具信息!O452)</f>
        <v/>
      </c>
      <c r="P452" s="8" t="str">
        <f>IF([2]道具信息!P452="","",[2]道具信息!P452)</f>
        <v/>
      </c>
      <c r="Q452" s="8" t="str">
        <f>IF([2]道具信息!Q452="","",[2]道具信息!Q452)</f>
        <v/>
      </c>
      <c r="R452" s="8" t="str">
        <f>IF([2]道具信息!R452="","",[2]道具信息!R452)</f>
        <v/>
      </c>
    </row>
    <row r="453" spans="3:18" x14ac:dyDescent="0.2">
      <c r="C453" s="8">
        <f>IF([2]道具信息!C453="","",[2]道具信息!C453)</f>
        <v>23356</v>
      </c>
      <c r="D453" s="8" t="str">
        <f>IF([2]道具信息!D453="","",[2]道具信息!D453)</f>
        <v>紫色藏宝图</v>
      </c>
      <c r="E453" s="8">
        <f>IF([2]道具信息!E453="","",[2]道具信息!E453)</f>
        <v>300</v>
      </c>
      <c r="F453" s="8">
        <f>IF([2]道具信息!F453="","",[2]道具信息!F453)</f>
        <v>1</v>
      </c>
      <c r="G453" s="8">
        <f>IF([2]道具信息!G453="","",[2]道具信息!G453)</f>
        <v>1</v>
      </c>
      <c r="H453" s="8">
        <f>IF([2]道具信息!H453="","",[2]道具信息!H453)</f>
        <v>1</v>
      </c>
      <c r="I453" s="8">
        <f>IF([2]道具信息!I453="","",[2]道具信息!I453)</f>
        <v>300</v>
      </c>
      <c r="J453" s="8">
        <f>IF([2]道具信息!J453="","",[2]道具信息!J453)</f>
        <v>300</v>
      </c>
      <c r="K453" s="8">
        <f>IF([2]道具信息!K453="","",[2]道具信息!K453)</f>
        <v>300</v>
      </c>
      <c r="L453" s="8" t="str">
        <f>IF([2]道具信息!L453="","",[2]道具信息!L453)</f>
        <v/>
      </c>
      <c r="M453" s="8" t="str">
        <f>IF([2]道具信息!M453="","",[2]道具信息!M453)</f>
        <v/>
      </c>
      <c r="N453" s="8" t="str">
        <f>IF([2]道具信息!N453="","",[2]道具信息!N453)</f>
        <v/>
      </c>
      <c r="O453" s="8" t="str">
        <f>IF([2]道具信息!O453="","",[2]道具信息!O453)</f>
        <v/>
      </c>
      <c r="P453" s="8" t="str">
        <f>IF([2]道具信息!P453="","",[2]道具信息!P453)</f>
        <v/>
      </c>
      <c r="Q453" s="8" t="str">
        <f>IF([2]道具信息!Q453="","",[2]道具信息!Q453)</f>
        <v/>
      </c>
      <c r="R453" s="8" t="str">
        <f>IF([2]道具信息!R453="","",[2]道具信息!R453)</f>
        <v/>
      </c>
    </row>
    <row r="454" spans="3:18" x14ac:dyDescent="0.2">
      <c r="C454" s="8">
        <f>IF([2]道具信息!C454="","",[2]道具信息!C454)</f>
        <v>23541</v>
      </c>
      <c r="D454" s="8" t="str">
        <f>IF([2]道具信息!D454="","",[2]道具信息!D454)</f>
        <v>宝物精华小宝箱</v>
      </c>
      <c r="E454" s="8">
        <f>IF([2]道具信息!E454="","",[2]道具信息!E454)</f>
        <v>100</v>
      </c>
      <c r="F454" s="8">
        <f>IF([2]道具信息!F454="","",[2]道具信息!F454)</f>
        <v>1</v>
      </c>
      <c r="G454" s="8">
        <f>IF([2]道具信息!G454="","",[2]道具信息!G454)</f>
        <v>1</v>
      </c>
      <c r="H454" s="8">
        <f>IF([2]道具信息!H454="","",[2]道具信息!H454)</f>
        <v>1</v>
      </c>
      <c r="I454" s="8">
        <f>IF([2]道具信息!I454="","",[2]道具信息!I454)</f>
        <v>100</v>
      </c>
      <c r="J454" s="8">
        <f>IF([2]道具信息!J454="","",[2]道具信息!J454)</f>
        <v>100</v>
      </c>
      <c r="K454" s="8">
        <f>IF([2]道具信息!K454="","",[2]道具信息!K454)</f>
        <v>100</v>
      </c>
      <c r="L454" s="8" t="str">
        <f>IF([2]道具信息!L454="","",[2]道具信息!L454)</f>
        <v/>
      </c>
      <c r="M454" s="8" t="str">
        <f>IF([2]道具信息!M454="","",[2]道具信息!M454)</f>
        <v/>
      </c>
      <c r="N454" s="8" t="str">
        <f>IF([2]道具信息!N454="","",[2]道具信息!N454)</f>
        <v/>
      </c>
      <c r="O454" s="8" t="str">
        <f>IF([2]道具信息!O454="","",[2]道具信息!O454)</f>
        <v/>
      </c>
      <c r="P454" s="8" t="str">
        <f>IF([2]道具信息!P454="","",[2]道具信息!P454)</f>
        <v/>
      </c>
      <c r="Q454" s="8" t="str">
        <f>IF([2]道具信息!Q454="","",[2]道具信息!Q454)</f>
        <v/>
      </c>
      <c r="R454" s="8" t="str">
        <f>IF([2]道具信息!R454="","",[2]道具信息!R454)</f>
        <v/>
      </c>
    </row>
    <row r="455" spans="3:18" x14ac:dyDescent="0.2">
      <c r="C455" s="8">
        <f>IF([2]道具信息!C455="","",[2]道具信息!C455)</f>
        <v>23537</v>
      </c>
      <c r="D455" s="8" t="str">
        <f>IF([2]道具信息!D455="","",[2]道具信息!D455)</f>
        <v>文心宝箱</v>
      </c>
      <c r="E455" s="8">
        <f>IF([2]道具信息!E455="","",[2]道具信息!E455)</f>
        <v>200</v>
      </c>
      <c r="F455" s="8">
        <f>IF([2]道具信息!F455="","",[2]道具信息!F455)</f>
        <v>1</v>
      </c>
      <c r="G455" s="8">
        <f>IF([2]道具信息!G455="","",[2]道具信息!G455)</f>
        <v>1</v>
      </c>
      <c r="H455" s="8">
        <f>IF([2]道具信息!H455="","",[2]道具信息!H455)</f>
        <v>1</v>
      </c>
      <c r="I455" s="8">
        <f>IF([2]道具信息!I455="","",[2]道具信息!I455)</f>
        <v>200</v>
      </c>
      <c r="J455" s="8">
        <f>IF([2]道具信息!J455="","",[2]道具信息!J455)</f>
        <v>200</v>
      </c>
      <c r="K455" s="8">
        <f>IF([2]道具信息!K455="","",[2]道具信息!K455)</f>
        <v>200</v>
      </c>
      <c r="L455" s="8" t="str">
        <f>IF([2]道具信息!L455="","",[2]道具信息!L455)</f>
        <v/>
      </c>
      <c r="M455" s="8" t="str">
        <f>IF([2]道具信息!M455="","",[2]道具信息!M455)</f>
        <v/>
      </c>
      <c r="N455" s="8" t="str">
        <f>IF([2]道具信息!N455="","",[2]道具信息!N455)</f>
        <v/>
      </c>
      <c r="O455" s="8" t="str">
        <f>IF([2]道具信息!O455="","",[2]道具信息!O455)</f>
        <v/>
      </c>
      <c r="P455" s="8" t="str">
        <f>IF([2]道具信息!P455="","",[2]道具信息!P455)</f>
        <v/>
      </c>
      <c r="Q455" s="8" t="str">
        <f>IF([2]道具信息!Q455="","",[2]道具信息!Q455)</f>
        <v/>
      </c>
      <c r="R455" s="8" t="str">
        <f>IF([2]道具信息!R455="","",[2]道具信息!R455)</f>
        <v/>
      </c>
    </row>
    <row r="456" spans="3:18" x14ac:dyDescent="0.2">
      <c r="C456" s="8">
        <f>IF([2]道具信息!C456="","",[2]道具信息!C456)</f>
        <v>23540</v>
      </c>
      <c r="D456" s="8" t="str">
        <f>IF([2]道具信息!D456="","",[2]道具信息!D456)</f>
        <v>500偕作玉宝箱</v>
      </c>
      <c r="E456" s="8">
        <f>IF([2]道具信息!E456="","",[2]道具信息!E456)</f>
        <v>500</v>
      </c>
      <c r="F456" s="8">
        <f>IF([2]道具信息!F456="","",[2]道具信息!F456)</f>
        <v>1</v>
      </c>
      <c r="G456" s="8">
        <f>IF([2]道具信息!G456="","",[2]道具信息!G456)</f>
        <v>1</v>
      </c>
      <c r="H456" s="8">
        <f>IF([2]道具信息!H456="","",[2]道具信息!H456)</f>
        <v>1</v>
      </c>
      <c r="I456" s="8">
        <f>IF([2]道具信息!I456="","",[2]道具信息!I456)</f>
        <v>500</v>
      </c>
      <c r="J456" s="8">
        <f>IF([2]道具信息!J456="","",[2]道具信息!J456)</f>
        <v>500</v>
      </c>
      <c r="K456" s="8">
        <f>IF([2]道具信息!K456="","",[2]道具信息!K456)</f>
        <v>500</v>
      </c>
      <c r="L456" s="8" t="str">
        <f>IF([2]道具信息!L456="","",[2]道具信息!L456)</f>
        <v/>
      </c>
      <c r="M456" s="8" t="str">
        <f>IF([2]道具信息!M456="","",[2]道具信息!M456)</f>
        <v/>
      </c>
      <c r="N456" s="8" t="str">
        <f>IF([2]道具信息!N456="","",[2]道具信息!N456)</f>
        <v/>
      </c>
      <c r="O456" s="8" t="str">
        <f>IF([2]道具信息!O456="","",[2]道具信息!O456)</f>
        <v/>
      </c>
      <c r="P456" s="8" t="str">
        <f>IF([2]道具信息!P456="","",[2]道具信息!P456)</f>
        <v/>
      </c>
      <c r="Q456" s="8" t="str">
        <f>IF([2]道具信息!Q456="","",[2]道具信息!Q456)</f>
        <v/>
      </c>
      <c r="R456" s="8" t="str">
        <f>IF([2]道具信息!R456="","",[2]道具信息!R456)</f>
        <v/>
      </c>
    </row>
    <row r="457" spans="3:18" x14ac:dyDescent="0.2">
      <c r="C457" s="8">
        <f>IF([2]道具信息!C457="","",[2]道具信息!C457)</f>
        <v>90510</v>
      </c>
      <c r="D457" s="8" t="str">
        <f>IF([2]道具信息!D457="","",[2]道具信息!D457)</f>
        <v>偕作玉</v>
      </c>
      <c r="E457" s="8">
        <f>IF([2]道具信息!E457="","",[2]道具信息!E457)</f>
        <v>1</v>
      </c>
      <c r="F457" s="8">
        <f>IF([2]道具信息!F457="","",[2]道具信息!F457)</f>
        <v>1</v>
      </c>
      <c r="G457" s="8">
        <f>IF([2]道具信息!G457="","",[2]道具信息!G457)</f>
        <v>1</v>
      </c>
      <c r="H457" s="8">
        <f>IF([2]道具信息!H457="","",[2]道具信息!H457)</f>
        <v>1</v>
      </c>
      <c r="I457" s="8">
        <f>IF([2]道具信息!I457="","",[2]道具信息!I457)</f>
        <v>1</v>
      </c>
      <c r="J457" s="8">
        <f>IF([2]道具信息!J457="","",[2]道具信息!J457)</f>
        <v>1</v>
      </c>
      <c r="K457" s="8">
        <f>IF([2]道具信息!K457="","",[2]道具信息!K457)</f>
        <v>1</v>
      </c>
      <c r="L457" s="8" t="str">
        <f>IF([2]道具信息!L457="","",[2]道具信息!L457)</f>
        <v/>
      </c>
      <c r="M457" s="8" t="str">
        <f>IF([2]道具信息!M457="","",[2]道具信息!M457)</f>
        <v/>
      </c>
      <c r="N457" s="8" t="str">
        <f>IF([2]道具信息!N457="","",[2]道具信息!N457)</f>
        <v/>
      </c>
      <c r="O457" s="8" t="str">
        <f>IF([2]道具信息!O457="","",[2]道具信息!O457)</f>
        <v/>
      </c>
      <c r="P457" s="8" t="str">
        <f>IF([2]道具信息!P457="","",[2]道具信息!P457)</f>
        <v/>
      </c>
      <c r="Q457" s="8" t="str">
        <f>IF([2]道具信息!Q457="","",[2]道具信息!Q457)</f>
        <v/>
      </c>
      <c r="R457" s="8" t="str">
        <f>IF([2]道具信息!R457="","",[2]道具信息!R457)</f>
        <v/>
      </c>
    </row>
    <row r="458" spans="3:18" x14ac:dyDescent="0.2">
      <c r="C458" s="8">
        <f>IF([2]道具信息!C458="","",[2]道具信息!C458)</f>
        <v>90512</v>
      </c>
      <c r="D458" s="8" t="str">
        <f>IF([2]道具信息!D458="","",[2]道具信息!D458)</f>
        <v>文心</v>
      </c>
      <c r="E458" s="8">
        <f>IF([2]道具信息!E458="","",[2]道具信息!E458)</f>
        <v>0.33333333333333331</v>
      </c>
      <c r="F458" s="8">
        <f>IF([2]道具信息!F458="","",[2]道具信息!F458)</f>
        <v>1</v>
      </c>
      <c r="G458" s="8">
        <f>IF([2]道具信息!G458="","",[2]道具信息!G458)</f>
        <v>1</v>
      </c>
      <c r="H458" s="8">
        <f>IF([2]道具信息!H458="","",[2]道具信息!H458)</f>
        <v>1</v>
      </c>
      <c r="I458" s="8">
        <f>IF([2]道具信息!I458="","",[2]道具信息!I458)</f>
        <v>0.33333333333333331</v>
      </c>
      <c r="J458" s="8">
        <f>IF([2]道具信息!J458="","",[2]道具信息!J458)</f>
        <v>0.33333333333333331</v>
      </c>
      <c r="K458" s="8">
        <f>IF([2]道具信息!K458="","",[2]道具信息!K458)</f>
        <v>0.33333333333333331</v>
      </c>
      <c r="L458" s="8" t="str">
        <f>IF([2]道具信息!L458="","",[2]道具信息!L458)</f>
        <v/>
      </c>
      <c r="M458" s="8" t="str">
        <f>IF([2]道具信息!M458="","",[2]道具信息!M458)</f>
        <v/>
      </c>
      <c r="N458" s="8" t="str">
        <f>IF([2]道具信息!N458="","",[2]道具信息!N458)</f>
        <v/>
      </c>
      <c r="O458" s="8" t="str">
        <f>IF([2]道具信息!O458="","",[2]道具信息!O458)</f>
        <v/>
      </c>
      <c r="P458" s="8" t="str">
        <f>IF([2]道具信息!P458="","",[2]道具信息!P458)</f>
        <v/>
      </c>
      <c r="Q458" s="8" t="str">
        <f>IF([2]道具信息!Q458="","",[2]道具信息!Q458)</f>
        <v/>
      </c>
      <c r="R458" s="8" t="str">
        <f>IF([2]道具信息!R458="","",[2]道具信息!R458)</f>
        <v/>
      </c>
    </row>
    <row r="459" spans="3:18" x14ac:dyDescent="0.2">
      <c r="C459" s="8">
        <f>IF([2]道具信息!C459="","",[2]道具信息!C459)</f>
        <v>90513</v>
      </c>
      <c r="D459" s="8" t="str">
        <f>IF([2]道具信息!D459="","",[2]道具信息!D459)</f>
        <v>宝物精华</v>
      </c>
      <c r="E459" s="8">
        <f>IF([2]道具信息!E459="","",[2]道具信息!E459)</f>
        <v>100</v>
      </c>
      <c r="F459" s="8">
        <f>IF([2]道具信息!F459="","",[2]道具信息!F459)</f>
        <v>1</v>
      </c>
      <c r="G459" s="8">
        <f>IF([2]道具信息!G459="","",[2]道具信息!G459)</f>
        <v>1</v>
      </c>
      <c r="H459" s="8">
        <f>IF([2]道具信息!H459="","",[2]道具信息!H459)</f>
        <v>1</v>
      </c>
      <c r="I459" s="8">
        <f>IF([2]道具信息!I459="","",[2]道具信息!I459)</f>
        <v>100</v>
      </c>
      <c r="J459" s="8">
        <f>IF([2]道具信息!J459="","",[2]道具信息!J459)</f>
        <v>100</v>
      </c>
      <c r="K459" s="8">
        <f>IF([2]道具信息!K459="","",[2]道具信息!K459)</f>
        <v>100</v>
      </c>
      <c r="L459" s="8" t="str">
        <f>IF([2]道具信息!L459="","",[2]道具信息!L459)</f>
        <v/>
      </c>
      <c r="M459" s="8" t="str">
        <f>IF([2]道具信息!M459="","",[2]道具信息!M459)</f>
        <v/>
      </c>
      <c r="N459" s="8" t="str">
        <f>IF([2]道具信息!N459="","",[2]道具信息!N459)</f>
        <v/>
      </c>
      <c r="O459" s="8" t="str">
        <f>IF([2]道具信息!O459="","",[2]道具信息!O459)</f>
        <v/>
      </c>
      <c r="P459" s="8" t="str">
        <f>IF([2]道具信息!P459="","",[2]道具信息!P459)</f>
        <v/>
      </c>
      <c r="Q459" s="8" t="str">
        <f>IF([2]道具信息!Q459="","",[2]道具信息!Q459)</f>
        <v/>
      </c>
      <c r="R459" s="8" t="str">
        <f>IF([2]道具信息!R459="","",[2]道具信息!R459)</f>
        <v/>
      </c>
    </row>
    <row r="460" spans="3:18" x14ac:dyDescent="0.2">
      <c r="C460" s="8">
        <f>IF([2]道具信息!C460="","",[2]道具信息!C460)</f>
        <v>23652</v>
      </c>
      <c r="D460" s="8" t="str">
        <f>IF([2]道具信息!D460="","",[2]道具信息!D460)</f>
        <v>流云装备宝箱碎片</v>
      </c>
      <c r="E460" s="8" t="str">
        <f>IF([2]道具信息!E460="","",[2]道具信息!E460)</f>
        <v/>
      </c>
      <c r="F460" s="8">
        <f>IF([2]道具信息!F460="","",[2]道具信息!F460)</f>
        <v>1</v>
      </c>
      <c r="G460" s="8">
        <f>IF([2]道具信息!G460="","",[2]道具信息!G460)</f>
        <v>1</v>
      </c>
      <c r="H460" s="8">
        <f>IF([2]道具信息!H460="","",[2]道具信息!H460)</f>
        <v>1</v>
      </c>
      <c r="I460" s="8" t="str">
        <f>IF([2]道具信息!I460="","",[2]道具信息!I460)</f>
        <v/>
      </c>
      <c r="J460" s="8" t="str">
        <f>IF([2]道具信息!J460="","",[2]道具信息!J460)</f>
        <v/>
      </c>
      <c r="K460" s="8" t="str">
        <f>IF([2]道具信息!K460="","",[2]道具信息!K460)</f>
        <v/>
      </c>
      <c r="L460" s="8" t="str">
        <f>IF([2]道具信息!L460="","",[2]道具信息!L460)</f>
        <v/>
      </c>
      <c r="M460" s="8" t="str">
        <f>IF([2]道具信息!M460="","",[2]道具信息!M460)</f>
        <v/>
      </c>
      <c r="N460" s="8" t="str">
        <f>IF([2]道具信息!N460="","",[2]道具信息!N460)</f>
        <v/>
      </c>
      <c r="O460" s="8" t="str">
        <f>IF([2]道具信息!O460="","",[2]道具信息!O460)</f>
        <v/>
      </c>
      <c r="P460" s="8" t="str">
        <f>IF([2]道具信息!P460="","",[2]道具信息!P460)</f>
        <v/>
      </c>
      <c r="Q460" s="8" t="str">
        <f>IF([2]道具信息!Q460="","",[2]道具信息!Q460)</f>
        <v/>
      </c>
      <c r="R460" s="8" t="str">
        <f>IF([2]道具信息!R460="","",[2]道具信息!R460)</f>
        <v/>
      </c>
    </row>
    <row r="461" spans="3:18" x14ac:dyDescent="0.2">
      <c r="C461" s="8">
        <f>IF([2]道具信息!C461="","",[2]道具信息!C461)</f>
        <v>23658</v>
      </c>
      <c r="D461" s="8" t="str">
        <f>IF([2]道具信息!D461="","",[2]道具信息!D461)</f>
        <v>乱世王者碎片</v>
      </c>
      <c r="E461" s="8" t="str">
        <f>IF([2]道具信息!E461="","",[2]道具信息!E461)</f>
        <v/>
      </c>
      <c r="F461" s="8">
        <f>IF([2]道具信息!F461="","",[2]道具信息!F461)</f>
        <v>1</v>
      </c>
      <c r="G461" s="8">
        <f>IF([2]道具信息!G461="","",[2]道具信息!G461)</f>
        <v>1</v>
      </c>
      <c r="H461" s="8">
        <f>IF([2]道具信息!H461="","",[2]道具信息!H461)</f>
        <v>1</v>
      </c>
      <c r="I461" s="8" t="str">
        <f>IF([2]道具信息!I461="","",[2]道具信息!I461)</f>
        <v/>
      </c>
      <c r="J461" s="8" t="str">
        <f>IF([2]道具信息!J461="","",[2]道具信息!J461)</f>
        <v/>
      </c>
      <c r="K461" s="8" t="str">
        <f>IF([2]道具信息!K461="","",[2]道具信息!K461)</f>
        <v/>
      </c>
      <c r="L461" s="8" t="str">
        <f>IF([2]道具信息!L461="","",[2]道具信息!L461)</f>
        <v/>
      </c>
      <c r="M461" s="8" t="str">
        <f>IF([2]道具信息!M461="","",[2]道具信息!M461)</f>
        <v/>
      </c>
      <c r="N461" s="8" t="str">
        <f>IF([2]道具信息!N461="","",[2]道具信息!N461)</f>
        <v/>
      </c>
      <c r="O461" s="8" t="str">
        <f>IF([2]道具信息!O461="","",[2]道具信息!O461)</f>
        <v/>
      </c>
      <c r="P461" s="8" t="str">
        <f>IF([2]道具信息!P461="","",[2]道具信息!P461)</f>
        <v/>
      </c>
      <c r="Q461" s="8" t="str">
        <f>IF([2]道具信息!Q461="","",[2]道具信息!Q461)</f>
        <v/>
      </c>
      <c r="R461" s="8" t="str">
        <f>IF([2]道具信息!R461="","",[2]道具信息!R461)</f>
        <v/>
      </c>
    </row>
    <row r="462" spans="3:18" x14ac:dyDescent="0.2">
      <c r="C462" s="8" t="str">
        <f>IF([2]道具信息!C462="","",[2]道具信息!C462)</f>
        <v/>
      </c>
      <c r="D462" s="8" t="str">
        <f>IF([2]道具信息!D462="","",[2]道具信息!D462)</f>
        <v/>
      </c>
      <c r="E462" s="8" t="str">
        <f>IF([2]道具信息!E462="","",[2]道具信息!E462)</f>
        <v/>
      </c>
      <c r="F462" s="8">
        <f>IF([2]道具信息!F462="","",[2]道具信息!F462)</f>
        <v>1</v>
      </c>
      <c r="G462" s="8">
        <f>IF([2]道具信息!G462="","",[2]道具信息!G462)</f>
        <v>1</v>
      </c>
      <c r="H462" s="8">
        <f>IF([2]道具信息!H462="","",[2]道具信息!H462)</f>
        <v>1</v>
      </c>
      <c r="I462" s="8" t="str">
        <f>IF([2]道具信息!I462="","",[2]道具信息!I462)</f>
        <v/>
      </c>
      <c r="J462" s="8" t="str">
        <f>IF([2]道具信息!J462="","",[2]道具信息!J462)</f>
        <v/>
      </c>
      <c r="K462" s="8" t="str">
        <f>IF([2]道具信息!K462="","",[2]道具信息!K462)</f>
        <v/>
      </c>
      <c r="L462" s="8" t="str">
        <f>IF([2]道具信息!L462="","",[2]道具信息!L462)</f>
        <v/>
      </c>
      <c r="M462" s="8" t="str">
        <f>IF([2]道具信息!M462="","",[2]道具信息!M462)</f>
        <v/>
      </c>
      <c r="N462" s="8" t="str">
        <f>IF([2]道具信息!N462="","",[2]道具信息!N462)</f>
        <v/>
      </c>
      <c r="O462" s="8" t="str">
        <f>IF([2]道具信息!O462="","",[2]道具信息!O462)</f>
        <v/>
      </c>
      <c r="P462" s="8" t="str">
        <f>IF([2]道具信息!P462="","",[2]道具信息!P462)</f>
        <v/>
      </c>
      <c r="Q462" s="8" t="str">
        <f>IF([2]道具信息!Q462="","",[2]道具信息!Q462)</f>
        <v/>
      </c>
      <c r="R462" s="8" t="str">
        <f>IF([2]道具信息!R462="","",[2]道具信息!R462)</f>
        <v/>
      </c>
    </row>
    <row r="463" spans="3:18" x14ac:dyDescent="0.2">
      <c r="C463" s="8" t="str">
        <f>IF([2]道具信息!C463="","",[2]道具信息!C463)</f>
        <v/>
      </c>
      <c r="D463" s="8" t="str">
        <f>IF([2]道具信息!D463="","",[2]道具信息!D463)</f>
        <v>指定橙+宝物碎片</v>
      </c>
      <c r="E463" s="8">
        <f>IF([2]道具信息!E463="","",[2]道具信息!E463)</f>
        <v>666.66666666666663</v>
      </c>
      <c r="F463" s="8">
        <f>IF([2]道具信息!F463="","",[2]道具信息!F463)</f>
        <v>1</v>
      </c>
      <c r="G463" s="8">
        <f>IF([2]道具信息!G463="","",[2]道具信息!G463)</f>
        <v>1</v>
      </c>
      <c r="H463" s="8">
        <f>IF([2]道具信息!H463="","",[2]道具信息!H463)</f>
        <v>1</v>
      </c>
      <c r="I463" s="8">
        <f>IF([2]道具信息!I463="","",[2]道具信息!I463)</f>
        <v>666.66666666666663</v>
      </c>
      <c r="J463" s="8">
        <f>IF([2]道具信息!J463="","",[2]道具信息!J463)</f>
        <v>666.66666666666663</v>
      </c>
      <c r="K463" s="8">
        <f>IF([2]道具信息!K463="","",[2]道具信息!K463)</f>
        <v>666.66666666666663</v>
      </c>
      <c r="L463" s="8" t="str">
        <f>IF([2]道具信息!L463="","",[2]道具信息!L463)</f>
        <v/>
      </c>
      <c r="M463" s="8" t="str">
        <f>IF([2]道具信息!M463="","",[2]道具信息!M463)</f>
        <v/>
      </c>
      <c r="N463" s="8" t="str">
        <f>IF([2]道具信息!N463="","",[2]道具信息!N463)</f>
        <v/>
      </c>
      <c r="O463" s="8" t="str">
        <f>IF([2]道具信息!O463="","",[2]道具信息!O463)</f>
        <v/>
      </c>
      <c r="P463" s="8" t="str">
        <f>IF([2]道具信息!P463="","",[2]道具信息!P463)</f>
        <v/>
      </c>
      <c r="Q463" s="8" t="str">
        <f>IF([2]道具信息!Q463="","",[2]道具信息!Q463)</f>
        <v/>
      </c>
      <c r="R463" s="8" t="str">
        <f>IF([2]道具信息!R463="","",[2]道具信息!R463)</f>
        <v/>
      </c>
    </row>
    <row r="464" spans="3:18" x14ac:dyDescent="0.2">
      <c r="C464" s="8" t="str">
        <f>IF([2]道具信息!C464="","",[2]道具信息!C464)</f>
        <v/>
      </c>
      <c r="D464" s="8" t="str">
        <f>IF([2]道具信息!D464="","",[2]道具信息!D464)</f>
        <v/>
      </c>
      <c r="E464" s="8" t="str">
        <f>IF([2]道具信息!E464="","",[2]道具信息!E464)</f>
        <v/>
      </c>
      <c r="F464" s="8">
        <f>IF([2]道具信息!F464="","",[2]道具信息!F464)</f>
        <v>1</v>
      </c>
      <c r="G464" s="8">
        <f>IF([2]道具信息!G464="","",[2]道具信息!G464)</f>
        <v>1</v>
      </c>
      <c r="H464" s="8">
        <f>IF([2]道具信息!H464="","",[2]道具信息!H464)</f>
        <v>1</v>
      </c>
      <c r="I464" s="8" t="str">
        <f>IF([2]道具信息!I464="","",[2]道具信息!I464)</f>
        <v/>
      </c>
      <c r="J464" s="8" t="str">
        <f>IF([2]道具信息!J464="","",[2]道具信息!J464)</f>
        <v/>
      </c>
      <c r="K464" s="8" t="str">
        <f>IF([2]道具信息!K464="","",[2]道具信息!K464)</f>
        <v/>
      </c>
      <c r="L464" s="8" t="str">
        <f>IF([2]道具信息!L464="","",[2]道具信息!L464)</f>
        <v/>
      </c>
      <c r="M464" s="8" t="str">
        <f>IF([2]道具信息!M464="","",[2]道具信息!M464)</f>
        <v/>
      </c>
      <c r="N464" s="8" t="str">
        <f>IF([2]道具信息!N464="","",[2]道具信息!N464)</f>
        <v/>
      </c>
      <c r="O464" s="8" t="str">
        <f>IF([2]道具信息!O464="","",[2]道具信息!O464)</f>
        <v/>
      </c>
      <c r="P464" s="8" t="str">
        <f>IF([2]道具信息!P464="","",[2]道具信息!P464)</f>
        <v/>
      </c>
      <c r="Q464" s="8" t="str">
        <f>IF([2]道具信息!Q464="","",[2]道具信息!Q464)</f>
        <v/>
      </c>
      <c r="R464" s="8" t="str">
        <f>IF([2]道具信息!R464="","",[2]道具信息!R464)</f>
        <v/>
      </c>
    </row>
    <row r="465" spans="3:18" x14ac:dyDescent="0.2">
      <c r="C465" s="8">
        <f>IF([2]道具信息!C465="","",[2]道具信息!C465)</f>
        <v>24057</v>
      </c>
      <c r="D465" s="8" t="str">
        <f>IF([2]道具信息!D465="","",[2]道具信息!D465)</f>
        <v>计无所出·极-残片</v>
      </c>
      <c r="E465" s="8" t="str">
        <f>IF([2]道具信息!E465="","",[2]道具信息!E465)</f>
        <v/>
      </c>
      <c r="F465" s="8">
        <f>IF([2]道具信息!F465="","",[2]道具信息!F465)</f>
        <v>1</v>
      </c>
      <c r="G465" s="8">
        <f>IF([2]道具信息!G465="","",[2]道具信息!G465)</f>
        <v>1</v>
      </c>
      <c r="H465" s="8">
        <f>IF([2]道具信息!H465="","",[2]道具信息!H465)</f>
        <v>1</v>
      </c>
      <c r="I465" s="8" t="str">
        <f>IF([2]道具信息!I465="","",[2]道具信息!I465)</f>
        <v/>
      </c>
      <c r="J465" s="8" t="str">
        <f>IF([2]道具信息!J465="","",[2]道具信息!J465)</f>
        <v/>
      </c>
      <c r="K465" s="8" t="str">
        <f>IF([2]道具信息!K465="","",[2]道具信息!K465)</f>
        <v/>
      </c>
      <c r="L465" s="8" t="str">
        <f>IF([2]道具信息!L465="","",[2]道具信息!L465)</f>
        <v/>
      </c>
      <c r="M465" s="8" t="str">
        <f>IF([2]道具信息!M465="","",[2]道具信息!M465)</f>
        <v/>
      </c>
      <c r="N465" s="8" t="str">
        <f>IF([2]道具信息!N465="","",[2]道具信息!N465)</f>
        <v/>
      </c>
      <c r="O465" s="8" t="str">
        <f>IF([2]道具信息!O465="","",[2]道具信息!O465)</f>
        <v/>
      </c>
      <c r="P465" s="8" t="str">
        <f>IF([2]道具信息!P465="","",[2]道具信息!P465)</f>
        <v/>
      </c>
      <c r="Q465" s="8" t="str">
        <f>IF([2]道具信息!Q465="","",[2]道具信息!Q465)</f>
        <v/>
      </c>
      <c r="R465" s="8" t="str">
        <f>IF([2]道具信息!R465="","",[2]道具信息!R465)</f>
        <v/>
      </c>
    </row>
    <row r="466" spans="3:18" x14ac:dyDescent="0.2">
      <c r="C466" s="8">
        <f>IF([2]道具信息!C466="","",[2]道具信息!C466)</f>
        <v>23410</v>
      </c>
      <c r="D466" s="8" t="str">
        <f>IF([2]道具信息!D466="","",[2]道具信息!D466)</f>
        <v>无字天书碎片</v>
      </c>
      <c r="E466" s="8" t="str">
        <f>IF([2]道具信息!E466="","",[2]道具信息!E466)</f>
        <v/>
      </c>
      <c r="F466" s="8">
        <f>IF([2]道具信息!F466="","",[2]道具信息!F466)</f>
        <v>1</v>
      </c>
      <c r="G466" s="8">
        <f>IF([2]道具信息!G466="","",[2]道具信息!G466)</f>
        <v>1</v>
      </c>
      <c r="H466" s="8">
        <f>IF([2]道具信息!H466="","",[2]道具信息!H466)</f>
        <v>1</v>
      </c>
      <c r="I466" s="8" t="str">
        <f>IF([2]道具信息!I466="","",[2]道具信息!I466)</f>
        <v/>
      </c>
      <c r="J466" s="8" t="str">
        <f>IF([2]道具信息!J466="","",[2]道具信息!J466)</f>
        <v/>
      </c>
      <c r="K466" s="8" t="str">
        <f>IF([2]道具信息!K466="","",[2]道具信息!K466)</f>
        <v/>
      </c>
      <c r="L466" s="8" t="str">
        <f>IF([2]道具信息!L466="","",[2]道具信息!L466)</f>
        <v/>
      </c>
      <c r="M466" s="8" t="str">
        <f>IF([2]道具信息!M466="","",[2]道具信息!M466)</f>
        <v/>
      </c>
      <c r="N466" s="8" t="str">
        <f>IF([2]道具信息!N466="","",[2]道具信息!N466)</f>
        <v/>
      </c>
      <c r="O466" s="8" t="str">
        <f>IF([2]道具信息!O466="","",[2]道具信息!O466)</f>
        <v/>
      </c>
      <c r="P466" s="8" t="str">
        <f>IF([2]道具信息!P466="","",[2]道具信息!P466)</f>
        <v/>
      </c>
      <c r="Q466" s="8" t="str">
        <f>IF([2]道具信息!Q466="","",[2]道具信息!Q466)</f>
        <v/>
      </c>
      <c r="R466" s="8" t="str">
        <f>IF([2]道具信息!R466="","",[2]道具信息!R466)</f>
        <v/>
      </c>
    </row>
    <row r="467" spans="3:18" x14ac:dyDescent="0.2">
      <c r="C467" s="8">
        <f>IF([2]道具信息!C467="","",[2]道具信息!C467)</f>
        <v>24021</v>
      </c>
      <c r="D467" s="8" t="str">
        <f>IF([2]道具信息!D467="","",[2]道具信息!D467)</f>
        <v>三级阵旗随机宝箱</v>
      </c>
      <c r="E467" s="8" t="str">
        <f>IF([2]道具信息!E467="","",[2]道具信息!E467)</f>
        <v/>
      </c>
      <c r="F467" s="8">
        <f>IF([2]道具信息!F467="","",[2]道具信息!F467)</f>
        <v>1</v>
      </c>
      <c r="G467" s="8">
        <f>IF([2]道具信息!G467="","",[2]道具信息!G467)</f>
        <v>1</v>
      </c>
      <c r="H467" s="8">
        <f>IF([2]道具信息!H467="","",[2]道具信息!H467)</f>
        <v>1</v>
      </c>
      <c r="I467" s="8" t="str">
        <f>IF([2]道具信息!I467="","",[2]道具信息!I467)</f>
        <v/>
      </c>
      <c r="J467" s="8" t="str">
        <f>IF([2]道具信息!J467="","",[2]道具信息!J467)</f>
        <v/>
      </c>
      <c r="K467" s="8" t="str">
        <f>IF([2]道具信息!K467="","",[2]道具信息!K467)</f>
        <v/>
      </c>
      <c r="L467" s="8" t="str">
        <f>IF([2]道具信息!L467="","",[2]道具信息!L467)</f>
        <v/>
      </c>
      <c r="M467" s="8" t="str">
        <f>IF([2]道具信息!M467="","",[2]道具信息!M467)</f>
        <v/>
      </c>
      <c r="N467" s="8" t="str">
        <f>IF([2]道具信息!N467="","",[2]道具信息!N467)</f>
        <v/>
      </c>
      <c r="O467" s="8" t="str">
        <f>IF([2]道具信息!O467="","",[2]道具信息!O467)</f>
        <v/>
      </c>
      <c r="P467" s="8" t="str">
        <f>IF([2]道具信息!P467="","",[2]道具信息!P467)</f>
        <v/>
      </c>
      <c r="Q467" s="8" t="str">
        <f>IF([2]道具信息!Q467="","",[2]道具信息!Q467)</f>
        <v/>
      </c>
      <c r="R467" s="8" t="str">
        <f>IF([2]道具信息!R467="","",[2]道具信息!R467)</f>
        <v/>
      </c>
    </row>
    <row r="468" spans="3:18" x14ac:dyDescent="0.2">
      <c r="C468" s="8">
        <f>IF([2]道具信息!C468="","",[2]道具信息!C468)</f>
        <v>24078</v>
      </c>
      <c r="D468" s="8" t="str">
        <f>IF([2]道具信息!D468="","",[2]道具信息!D468)</f>
        <v>赛季武将碎片自选</v>
      </c>
      <c r="E468" s="8" t="str">
        <f>IF([2]道具信息!E468="","",[2]道具信息!E468)</f>
        <v/>
      </c>
      <c r="F468" s="8">
        <f>IF([2]道具信息!F468="","",[2]道具信息!F468)</f>
        <v>1</v>
      </c>
      <c r="G468" s="8">
        <f>IF([2]道具信息!G468="","",[2]道具信息!G468)</f>
        <v>1</v>
      </c>
      <c r="H468" s="8">
        <f>IF([2]道具信息!H468="","",[2]道具信息!H468)</f>
        <v>1</v>
      </c>
      <c r="I468" s="8" t="str">
        <f>IF([2]道具信息!I468="","",[2]道具信息!I468)</f>
        <v/>
      </c>
      <c r="J468" s="8" t="str">
        <f>IF([2]道具信息!J468="","",[2]道具信息!J468)</f>
        <v/>
      </c>
      <c r="K468" s="8" t="str">
        <f>IF([2]道具信息!K468="","",[2]道具信息!K468)</f>
        <v/>
      </c>
      <c r="L468" s="8" t="str">
        <f>IF([2]道具信息!L468="","",[2]道具信息!L468)</f>
        <v/>
      </c>
      <c r="M468" s="8" t="str">
        <f>IF([2]道具信息!M468="","",[2]道具信息!M468)</f>
        <v/>
      </c>
      <c r="N468" s="8" t="str">
        <f>IF([2]道具信息!N468="","",[2]道具信息!N468)</f>
        <v/>
      </c>
      <c r="O468" s="8" t="str">
        <f>IF([2]道具信息!O468="","",[2]道具信息!O468)</f>
        <v/>
      </c>
      <c r="P468" s="8" t="str">
        <f>IF([2]道具信息!P468="","",[2]道具信息!P468)</f>
        <v/>
      </c>
      <c r="Q468" s="8" t="str">
        <f>IF([2]道具信息!Q468="","",[2]道具信息!Q468)</f>
        <v/>
      </c>
      <c r="R468" s="8" t="str">
        <f>IF([2]道具信息!R468="","",[2]道具信息!R468)</f>
        <v/>
      </c>
    </row>
    <row r="469" spans="3:18" x14ac:dyDescent="0.2">
      <c r="C469" s="8" t="str">
        <f>IF([2]道具信息!C469="","",[2]道具信息!C469)</f>
        <v/>
      </c>
      <c r="D469" s="8" t="str">
        <f>IF([2]道具信息!D469="","",[2]道具信息!D469)</f>
        <v/>
      </c>
      <c r="E469" s="8" t="str">
        <f>IF([2]道具信息!E469="","",[2]道具信息!E469)</f>
        <v/>
      </c>
      <c r="F469" s="8">
        <f>IF([2]道具信息!F469="","",[2]道具信息!F469)</f>
        <v>1</v>
      </c>
      <c r="G469" s="8">
        <f>IF([2]道具信息!G469="","",[2]道具信息!G469)</f>
        <v>1</v>
      </c>
      <c r="H469" s="8">
        <f>IF([2]道具信息!H469="","",[2]道具信息!H469)</f>
        <v>1</v>
      </c>
      <c r="I469" s="8" t="str">
        <f>IF([2]道具信息!I469="","",[2]道具信息!I469)</f>
        <v/>
      </c>
      <c r="J469" s="8" t="str">
        <f>IF([2]道具信息!J469="","",[2]道具信息!J469)</f>
        <v/>
      </c>
      <c r="K469" s="8" t="str">
        <f>IF([2]道具信息!K469="","",[2]道具信息!K469)</f>
        <v/>
      </c>
      <c r="L469" s="8" t="str">
        <f>IF([2]道具信息!L469="","",[2]道具信息!L469)</f>
        <v/>
      </c>
      <c r="M469" s="8" t="str">
        <f>IF([2]道具信息!M469="","",[2]道具信息!M469)</f>
        <v/>
      </c>
      <c r="N469" s="8" t="str">
        <f>IF([2]道具信息!N469="","",[2]道具信息!N469)</f>
        <v/>
      </c>
      <c r="O469" s="8" t="str">
        <f>IF([2]道具信息!O469="","",[2]道具信息!O469)</f>
        <v/>
      </c>
      <c r="P469" s="8" t="str">
        <f>IF([2]道具信息!P469="","",[2]道具信息!P469)</f>
        <v/>
      </c>
      <c r="Q469" s="8" t="str">
        <f>IF([2]道具信息!Q469="","",[2]道具信息!Q469)</f>
        <v/>
      </c>
      <c r="R469" s="8" t="str">
        <f>IF([2]道具信息!R469="","",[2]道具信息!R469)</f>
        <v/>
      </c>
    </row>
    <row r="470" spans="3:18" x14ac:dyDescent="0.2">
      <c r="C470" s="8">
        <f>IF([2]道具信息!C470="","",[2]道具信息!C470)</f>
        <v>23521</v>
      </c>
      <c r="D470" s="8" t="str">
        <f>IF([2]道具信息!D470="","",[2]道具信息!D470)</f>
        <v>将军印碎片</v>
      </c>
      <c r="E470" s="8" t="str">
        <f>IF([2]道具信息!E470="","",[2]道具信息!E470)</f>
        <v/>
      </c>
      <c r="F470" s="8">
        <f>IF([2]道具信息!F470="","",[2]道具信息!F470)</f>
        <v>1</v>
      </c>
      <c r="G470" s="8">
        <f>IF([2]道具信息!G470="","",[2]道具信息!G470)</f>
        <v>1</v>
      </c>
      <c r="H470" s="8">
        <f>IF([2]道具信息!H470="","",[2]道具信息!H470)</f>
        <v>1</v>
      </c>
      <c r="I470" s="8" t="str">
        <f>IF([2]道具信息!I470="","",[2]道具信息!I470)</f>
        <v/>
      </c>
      <c r="J470" s="8" t="str">
        <f>IF([2]道具信息!J470="","",[2]道具信息!J470)</f>
        <v/>
      </c>
      <c r="K470" s="8" t="str">
        <f>IF([2]道具信息!K470="","",[2]道具信息!K470)</f>
        <v/>
      </c>
      <c r="L470" s="8" t="str">
        <f>IF([2]道具信息!L470="","",[2]道具信息!L470)</f>
        <v/>
      </c>
      <c r="M470" s="8" t="str">
        <f>IF([2]道具信息!M470="","",[2]道具信息!M470)</f>
        <v/>
      </c>
      <c r="N470" s="8" t="str">
        <f>IF([2]道具信息!N470="","",[2]道具信息!N470)</f>
        <v/>
      </c>
      <c r="O470" s="8" t="str">
        <f>IF([2]道具信息!O470="","",[2]道具信息!O470)</f>
        <v/>
      </c>
      <c r="P470" s="8" t="str">
        <f>IF([2]道具信息!P470="","",[2]道具信息!P470)</f>
        <v/>
      </c>
      <c r="Q470" s="8" t="str">
        <f>IF([2]道具信息!Q470="","",[2]道具信息!Q470)</f>
        <v/>
      </c>
      <c r="R470" s="8" t="str">
        <f>IF([2]道具信息!R470="","",[2]道具信息!R470)</f>
        <v/>
      </c>
    </row>
    <row r="471" spans="3:18" x14ac:dyDescent="0.2">
      <c r="C471" s="8">
        <f>IF([2]道具信息!C471="","",[2]道具信息!C471)</f>
        <v>23522</v>
      </c>
      <c r="D471" s="8" t="str">
        <f>IF([2]道具信息!D471="","",[2]道具信息!D471)</f>
        <v>上将印碎片</v>
      </c>
      <c r="E471" s="8" t="str">
        <f>IF([2]道具信息!E471="","",[2]道具信息!E471)</f>
        <v/>
      </c>
      <c r="F471" s="8">
        <f>IF([2]道具信息!F471="","",[2]道具信息!F471)</f>
        <v>1</v>
      </c>
      <c r="G471" s="8">
        <f>IF([2]道具信息!G471="","",[2]道具信息!G471)</f>
        <v>1</v>
      </c>
      <c r="H471" s="8">
        <f>IF([2]道具信息!H471="","",[2]道具信息!H471)</f>
        <v>1</v>
      </c>
      <c r="I471" s="8" t="str">
        <f>IF([2]道具信息!I471="","",[2]道具信息!I471)</f>
        <v/>
      </c>
      <c r="J471" s="8" t="str">
        <f>IF([2]道具信息!J471="","",[2]道具信息!J471)</f>
        <v/>
      </c>
      <c r="K471" s="8" t="str">
        <f>IF([2]道具信息!K471="","",[2]道具信息!K471)</f>
        <v/>
      </c>
      <c r="L471" s="8" t="str">
        <f>IF([2]道具信息!L471="","",[2]道具信息!L471)</f>
        <v/>
      </c>
      <c r="M471" s="8" t="str">
        <f>IF([2]道具信息!M471="","",[2]道具信息!M471)</f>
        <v/>
      </c>
      <c r="N471" s="8" t="str">
        <f>IF([2]道具信息!N471="","",[2]道具信息!N471)</f>
        <v/>
      </c>
      <c r="O471" s="8" t="str">
        <f>IF([2]道具信息!O471="","",[2]道具信息!O471)</f>
        <v/>
      </c>
      <c r="P471" s="8" t="str">
        <f>IF([2]道具信息!P471="","",[2]道具信息!P471)</f>
        <v/>
      </c>
      <c r="Q471" s="8" t="str">
        <f>IF([2]道具信息!Q471="","",[2]道具信息!Q471)</f>
        <v/>
      </c>
      <c r="R471" s="8" t="str">
        <f>IF([2]道具信息!R471="","",[2]道具信息!R471)</f>
        <v/>
      </c>
    </row>
    <row r="472" spans="3:18" x14ac:dyDescent="0.2">
      <c r="C472" s="8">
        <f>IF([2]道具信息!C472="","",[2]道具信息!C472)</f>
        <v>23523</v>
      </c>
      <c r="D472" s="8" t="str">
        <f>IF([2]道具信息!D472="","",[2]道具信息!D472)</f>
        <v>统帅印碎片</v>
      </c>
      <c r="E472" s="8" t="str">
        <f>IF([2]道具信息!E472="","",[2]道具信息!E472)</f>
        <v/>
      </c>
      <c r="F472" s="8">
        <f>IF([2]道具信息!F472="","",[2]道具信息!F472)</f>
        <v>1</v>
      </c>
      <c r="G472" s="8">
        <f>IF([2]道具信息!G472="","",[2]道具信息!G472)</f>
        <v>1</v>
      </c>
      <c r="H472" s="8">
        <f>IF([2]道具信息!H472="","",[2]道具信息!H472)</f>
        <v>1</v>
      </c>
      <c r="I472" s="8" t="str">
        <f>IF([2]道具信息!I472="","",[2]道具信息!I472)</f>
        <v/>
      </c>
      <c r="J472" s="8" t="str">
        <f>IF([2]道具信息!J472="","",[2]道具信息!J472)</f>
        <v/>
      </c>
      <c r="K472" s="8" t="str">
        <f>IF([2]道具信息!K472="","",[2]道具信息!K472)</f>
        <v/>
      </c>
      <c r="L472" s="8" t="str">
        <f>IF([2]道具信息!L472="","",[2]道具信息!L472)</f>
        <v/>
      </c>
      <c r="M472" s="8" t="str">
        <f>IF([2]道具信息!M472="","",[2]道具信息!M472)</f>
        <v/>
      </c>
      <c r="N472" s="8" t="str">
        <f>IF([2]道具信息!N472="","",[2]道具信息!N472)</f>
        <v/>
      </c>
      <c r="O472" s="8" t="str">
        <f>IF([2]道具信息!O472="","",[2]道具信息!O472)</f>
        <v/>
      </c>
      <c r="P472" s="8" t="str">
        <f>IF([2]道具信息!P472="","",[2]道具信息!P472)</f>
        <v/>
      </c>
      <c r="Q472" s="8" t="str">
        <f>IF([2]道具信息!Q472="","",[2]道具信息!Q472)</f>
        <v/>
      </c>
      <c r="R472" s="8" t="str">
        <f>IF([2]道具信息!R472="","",[2]道具信息!R472)</f>
        <v/>
      </c>
    </row>
    <row r="473" spans="3:18" x14ac:dyDescent="0.2">
      <c r="C473" s="8" t="str">
        <f>IF([2]道具信息!C473="","",[2]道具信息!C473)</f>
        <v/>
      </c>
      <c r="D473" s="8" t="str">
        <f>IF([2]道具信息!D473="","",[2]道具信息!D473)</f>
        <v/>
      </c>
      <c r="E473" s="8" t="str">
        <f>IF([2]道具信息!E473="","",[2]道具信息!E473)</f>
        <v/>
      </c>
      <c r="F473" s="8">
        <f>IF([2]道具信息!F473="","",[2]道具信息!F473)</f>
        <v>1</v>
      </c>
      <c r="G473" s="8">
        <f>IF([2]道具信息!G473="","",[2]道具信息!G473)</f>
        <v>1</v>
      </c>
      <c r="H473" s="8">
        <f>IF([2]道具信息!H473="","",[2]道具信息!H473)</f>
        <v>1</v>
      </c>
      <c r="I473" s="8" t="str">
        <f>IF([2]道具信息!I473="","",[2]道具信息!I473)</f>
        <v/>
      </c>
      <c r="J473" s="8" t="str">
        <f>IF([2]道具信息!J473="","",[2]道具信息!J473)</f>
        <v/>
      </c>
      <c r="K473" s="8" t="str">
        <f>IF([2]道具信息!K473="","",[2]道具信息!K473)</f>
        <v/>
      </c>
      <c r="L473" s="8" t="str">
        <f>IF([2]道具信息!L473="","",[2]道具信息!L473)</f>
        <v/>
      </c>
      <c r="M473" s="8" t="str">
        <f>IF([2]道具信息!M473="","",[2]道具信息!M473)</f>
        <v/>
      </c>
      <c r="N473" s="8" t="str">
        <f>IF([2]道具信息!N473="","",[2]道具信息!N473)</f>
        <v/>
      </c>
      <c r="O473" s="8" t="str">
        <f>IF([2]道具信息!O473="","",[2]道具信息!O473)</f>
        <v/>
      </c>
      <c r="P473" s="8" t="str">
        <f>IF([2]道具信息!P473="","",[2]道具信息!P473)</f>
        <v/>
      </c>
      <c r="Q473" s="8" t="str">
        <f>IF([2]道具信息!Q473="","",[2]道具信息!Q473)</f>
        <v/>
      </c>
      <c r="R473" s="8" t="str">
        <f>IF([2]道具信息!R473="","",[2]道具信息!R473)</f>
        <v/>
      </c>
    </row>
    <row r="474" spans="3:18" x14ac:dyDescent="0.2">
      <c r="C474" s="8" t="str">
        <f>IF([2]道具信息!C474="","",[2]道具信息!C474)</f>
        <v/>
      </c>
      <c r="D474" s="8" t="str">
        <f>IF([2]道具信息!D474="","",[2]道具信息!D474)</f>
        <v/>
      </c>
      <c r="E474" s="8" t="str">
        <f>IF([2]道具信息!E474="","",[2]道具信息!E474)</f>
        <v/>
      </c>
      <c r="F474" s="8">
        <f>IF([2]道具信息!F474="","",[2]道具信息!F474)</f>
        <v>1</v>
      </c>
      <c r="G474" s="8">
        <f>IF([2]道具信息!G474="","",[2]道具信息!G474)</f>
        <v>1</v>
      </c>
      <c r="H474" s="8">
        <f>IF([2]道具信息!H474="","",[2]道具信息!H474)</f>
        <v>1</v>
      </c>
      <c r="I474" s="8" t="str">
        <f>IF([2]道具信息!I474="","",[2]道具信息!I474)</f>
        <v/>
      </c>
      <c r="J474" s="8" t="str">
        <f>IF([2]道具信息!J474="","",[2]道具信息!J474)</f>
        <v/>
      </c>
      <c r="K474" s="8" t="str">
        <f>IF([2]道具信息!K474="","",[2]道具信息!K474)</f>
        <v/>
      </c>
      <c r="L474" s="8" t="str">
        <f>IF([2]道具信息!L474="","",[2]道具信息!L474)</f>
        <v/>
      </c>
      <c r="M474" s="8" t="str">
        <f>IF([2]道具信息!M474="","",[2]道具信息!M474)</f>
        <v/>
      </c>
      <c r="N474" s="8" t="str">
        <f>IF([2]道具信息!N474="","",[2]道具信息!N474)</f>
        <v/>
      </c>
      <c r="O474" s="8" t="str">
        <f>IF([2]道具信息!O474="","",[2]道具信息!O474)</f>
        <v/>
      </c>
      <c r="P474" s="8" t="str">
        <f>IF([2]道具信息!P474="","",[2]道具信息!P474)</f>
        <v/>
      </c>
      <c r="Q474" s="8" t="str">
        <f>IF([2]道具信息!Q474="","",[2]道具信息!Q474)</f>
        <v/>
      </c>
      <c r="R474" s="8" t="str">
        <f>IF([2]道具信息!R474="","",[2]道具信息!R474)</f>
        <v/>
      </c>
    </row>
    <row r="475" spans="3:18" x14ac:dyDescent="0.2">
      <c r="C475" s="8" t="str">
        <f>IF([2]道具信息!C475="","",[2]道具信息!C475)</f>
        <v/>
      </c>
      <c r="D475" s="8" t="str">
        <f>IF([2]道具信息!D475="","",[2]道具信息!D475)</f>
        <v/>
      </c>
      <c r="E475" s="8" t="str">
        <f>IF([2]道具信息!E475="","",[2]道具信息!E475)</f>
        <v/>
      </c>
      <c r="F475" s="8">
        <f>IF([2]道具信息!F475="","",[2]道具信息!F475)</f>
        <v>1</v>
      </c>
      <c r="G475" s="8">
        <f>IF([2]道具信息!G475="","",[2]道具信息!G475)</f>
        <v>1</v>
      </c>
      <c r="H475" s="8">
        <f>IF([2]道具信息!H475="","",[2]道具信息!H475)</f>
        <v>1</v>
      </c>
      <c r="I475" s="8" t="str">
        <f>IF([2]道具信息!I475="","",[2]道具信息!I475)</f>
        <v/>
      </c>
      <c r="J475" s="8" t="str">
        <f>IF([2]道具信息!J475="","",[2]道具信息!J475)</f>
        <v/>
      </c>
      <c r="K475" s="8" t="str">
        <f>IF([2]道具信息!K475="","",[2]道具信息!K475)</f>
        <v/>
      </c>
      <c r="L475" s="8" t="str">
        <f>IF([2]道具信息!L475="","",[2]道具信息!L475)</f>
        <v/>
      </c>
      <c r="M475" s="8" t="str">
        <f>IF([2]道具信息!M475="","",[2]道具信息!M475)</f>
        <v/>
      </c>
      <c r="N475" s="8" t="str">
        <f>IF([2]道具信息!N475="","",[2]道具信息!N475)</f>
        <v/>
      </c>
      <c r="O475" s="8" t="str">
        <f>IF([2]道具信息!O475="","",[2]道具信息!O475)</f>
        <v/>
      </c>
      <c r="P475" s="8" t="str">
        <f>IF([2]道具信息!P475="","",[2]道具信息!P475)</f>
        <v/>
      </c>
      <c r="Q475" s="8" t="str">
        <f>IF([2]道具信息!Q475="","",[2]道具信息!Q475)</f>
        <v/>
      </c>
      <c r="R475" s="8" t="str">
        <f>IF([2]道具信息!R475="","",[2]道具信息!R475)</f>
        <v/>
      </c>
    </row>
    <row r="476" spans="3:18" x14ac:dyDescent="0.2">
      <c r="C476" s="8" t="str">
        <f>IF([2]道具信息!C476="","",[2]道具信息!C476)</f>
        <v/>
      </c>
      <c r="D476" s="8" t="str">
        <f>IF([2]道具信息!D476="","",[2]道具信息!D476)</f>
        <v/>
      </c>
      <c r="E476" s="8" t="str">
        <f>IF([2]道具信息!E476="","",[2]道具信息!E476)</f>
        <v/>
      </c>
      <c r="F476" s="8">
        <f>IF([2]道具信息!F476="","",[2]道具信息!F476)</f>
        <v>1</v>
      </c>
      <c r="G476" s="8">
        <f>IF([2]道具信息!G476="","",[2]道具信息!G476)</f>
        <v>1</v>
      </c>
      <c r="H476" s="8">
        <f>IF([2]道具信息!H476="","",[2]道具信息!H476)</f>
        <v>1</v>
      </c>
      <c r="I476" s="8" t="str">
        <f>IF([2]道具信息!I476="","",[2]道具信息!I476)</f>
        <v/>
      </c>
      <c r="J476" s="8" t="str">
        <f>IF([2]道具信息!J476="","",[2]道具信息!J476)</f>
        <v/>
      </c>
      <c r="K476" s="8" t="str">
        <f>IF([2]道具信息!K476="","",[2]道具信息!K476)</f>
        <v/>
      </c>
      <c r="L476" s="8" t="str">
        <f>IF([2]道具信息!L476="","",[2]道具信息!L476)</f>
        <v/>
      </c>
      <c r="M476" s="8" t="str">
        <f>IF([2]道具信息!M476="","",[2]道具信息!M476)</f>
        <v/>
      </c>
      <c r="N476" s="8" t="str">
        <f>IF([2]道具信息!N476="","",[2]道具信息!N476)</f>
        <v/>
      </c>
      <c r="O476" s="8" t="str">
        <f>IF([2]道具信息!O476="","",[2]道具信息!O476)</f>
        <v/>
      </c>
      <c r="P476" s="8" t="str">
        <f>IF([2]道具信息!P476="","",[2]道具信息!P476)</f>
        <v/>
      </c>
      <c r="Q476" s="8" t="str">
        <f>IF([2]道具信息!Q476="","",[2]道具信息!Q476)</f>
        <v/>
      </c>
      <c r="R476" s="8" t="str">
        <f>IF([2]道具信息!R476="","",[2]道具信息!R476)</f>
        <v/>
      </c>
    </row>
    <row r="477" spans="3:18" x14ac:dyDescent="0.2">
      <c r="C477" s="8" t="str">
        <f>IF([2]道具信息!C477="","",[2]道具信息!C477)</f>
        <v/>
      </c>
      <c r="D477" s="8" t="str">
        <f>IF([2]道具信息!D477="","",[2]道具信息!D477)</f>
        <v/>
      </c>
      <c r="E477" s="8" t="str">
        <f>IF([2]道具信息!E477="","",[2]道具信息!E477)</f>
        <v/>
      </c>
      <c r="F477" s="8">
        <f>IF([2]道具信息!F477="","",[2]道具信息!F477)</f>
        <v>1</v>
      </c>
      <c r="G477" s="8">
        <f>IF([2]道具信息!G477="","",[2]道具信息!G477)</f>
        <v>1</v>
      </c>
      <c r="H477" s="8">
        <f>IF([2]道具信息!H477="","",[2]道具信息!H477)</f>
        <v>1</v>
      </c>
      <c r="I477" s="8" t="str">
        <f>IF([2]道具信息!I477="","",[2]道具信息!I477)</f>
        <v/>
      </c>
      <c r="J477" s="8" t="str">
        <f>IF([2]道具信息!J477="","",[2]道具信息!J477)</f>
        <v/>
      </c>
      <c r="K477" s="8" t="str">
        <f>IF([2]道具信息!K477="","",[2]道具信息!K477)</f>
        <v/>
      </c>
      <c r="L477" s="8" t="str">
        <f>IF([2]道具信息!L477="","",[2]道具信息!L477)</f>
        <v/>
      </c>
      <c r="M477" s="8" t="str">
        <f>IF([2]道具信息!M477="","",[2]道具信息!M477)</f>
        <v/>
      </c>
      <c r="N477" s="8" t="str">
        <f>IF([2]道具信息!N477="","",[2]道具信息!N477)</f>
        <v/>
      </c>
      <c r="O477" s="8" t="str">
        <f>IF([2]道具信息!O477="","",[2]道具信息!O477)</f>
        <v/>
      </c>
      <c r="P477" s="8" t="str">
        <f>IF([2]道具信息!P477="","",[2]道具信息!P477)</f>
        <v/>
      </c>
      <c r="Q477" s="8" t="str">
        <f>IF([2]道具信息!Q477="","",[2]道具信息!Q477)</f>
        <v/>
      </c>
      <c r="R477" s="8" t="str">
        <f>IF([2]道具信息!R477="","",[2]道具信息!R477)</f>
        <v/>
      </c>
    </row>
    <row r="478" spans="3:18" x14ac:dyDescent="0.2">
      <c r="C478" s="8" t="str">
        <f>IF([2]道具信息!C478="","",[2]道具信息!C478)</f>
        <v/>
      </c>
      <c r="D478" s="8" t="str">
        <f>IF([2]道具信息!D478="","",[2]道具信息!D478)</f>
        <v/>
      </c>
      <c r="E478" s="8" t="str">
        <f>IF([2]道具信息!E478="","",[2]道具信息!E478)</f>
        <v/>
      </c>
      <c r="F478" s="8">
        <f>IF([2]道具信息!F478="","",[2]道具信息!F478)</f>
        <v>1</v>
      </c>
      <c r="G478" s="8">
        <f>IF([2]道具信息!G478="","",[2]道具信息!G478)</f>
        <v>1</v>
      </c>
      <c r="H478" s="8">
        <f>IF([2]道具信息!H478="","",[2]道具信息!H478)</f>
        <v>1</v>
      </c>
      <c r="I478" s="8" t="str">
        <f>IF([2]道具信息!I478="","",[2]道具信息!I478)</f>
        <v/>
      </c>
      <c r="J478" s="8" t="str">
        <f>IF([2]道具信息!J478="","",[2]道具信息!J478)</f>
        <v/>
      </c>
      <c r="K478" s="8" t="str">
        <f>IF([2]道具信息!K478="","",[2]道具信息!K478)</f>
        <v/>
      </c>
      <c r="L478" s="8" t="str">
        <f>IF([2]道具信息!L478="","",[2]道具信息!L478)</f>
        <v/>
      </c>
      <c r="M478" s="8" t="str">
        <f>IF([2]道具信息!M478="","",[2]道具信息!M478)</f>
        <v/>
      </c>
      <c r="N478" s="8" t="str">
        <f>IF([2]道具信息!N478="","",[2]道具信息!N478)</f>
        <v/>
      </c>
      <c r="O478" s="8" t="str">
        <f>IF([2]道具信息!O478="","",[2]道具信息!O478)</f>
        <v/>
      </c>
      <c r="P478" s="8" t="str">
        <f>IF([2]道具信息!P478="","",[2]道具信息!P478)</f>
        <v/>
      </c>
      <c r="Q478" s="8" t="str">
        <f>IF([2]道具信息!Q478="","",[2]道具信息!Q478)</f>
        <v/>
      </c>
      <c r="R478" s="8" t="str">
        <f>IF([2]道具信息!R478="","",[2]道具信息!R478)</f>
        <v/>
      </c>
    </row>
    <row r="479" spans="3:18" x14ac:dyDescent="0.2">
      <c r="C479" s="8" t="str">
        <f>IF([2]道具信息!C479="","",[2]道具信息!C479)</f>
        <v/>
      </c>
      <c r="D479" s="8" t="str">
        <f>IF([2]道具信息!D479="","",[2]道具信息!D479)</f>
        <v/>
      </c>
      <c r="E479" s="8" t="str">
        <f>IF([2]道具信息!E479="","",[2]道具信息!E479)</f>
        <v/>
      </c>
      <c r="F479" s="8">
        <f>IF([2]道具信息!F479="","",[2]道具信息!F479)</f>
        <v>1</v>
      </c>
      <c r="G479" s="8">
        <f>IF([2]道具信息!G479="","",[2]道具信息!G479)</f>
        <v>1</v>
      </c>
      <c r="H479" s="8">
        <f>IF([2]道具信息!H479="","",[2]道具信息!H479)</f>
        <v>1</v>
      </c>
      <c r="I479" s="8" t="str">
        <f>IF([2]道具信息!I479="","",[2]道具信息!I479)</f>
        <v/>
      </c>
      <c r="J479" s="8" t="str">
        <f>IF([2]道具信息!J479="","",[2]道具信息!J479)</f>
        <v/>
      </c>
      <c r="K479" s="8" t="str">
        <f>IF([2]道具信息!K479="","",[2]道具信息!K479)</f>
        <v/>
      </c>
      <c r="L479" s="8" t="str">
        <f>IF([2]道具信息!L479="","",[2]道具信息!L479)</f>
        <v/>
      </c>
      <c r="M479" s="8" t="str">
        <f>IF([2]道具信息!M479="","",[2]道具信息!M479)</f>
        <v/>
      </c>
      <c r="N479" s="8" t="str">
        <f>IF([2]道具信息!N479="","",[2]道具信息!N479)</f>
        <v/>
      </c>
      <c r="O479" s="8" t="str">
        <f>IF([2]道具信息!O479="","",[2]道具信息!O479)</f>
        <v/>
      </c>
      <c r="P479" s="8" t="str">
        <f>IF([2]道具信息!P479="","",[2]道具信息!P479)</f>
        <v/>
      </c>
      <c r="Q479" s="8" t="str">
        <f>IF([2]道具信息!Q479="","",[2]道具信息!Q479)</f>
        <v/>
      </c>
      <c r="R479" s="8" t="str">
        <f>IF([2]道具信息!R479="","",[2]道具信息!R479)</f>
        <v/>
      </c>
    </row>
    <row r="480" spans="3:18" x14ac:dyDescent="0.2">
      <c r="C480" s="8" t="str">
        <f>IF([2]道具信息!C480="","",[2]道具信息!C480)</f>
        <v/>
      </c>
      <c r="D480" s="8" t="str">
        <f>IF([2]道具信息!D480="","",[2]道具信息!D480)</f>
        <v/>
      </c>
      <c r="E480" s="8" t="str">
        <f>IF([2]道具信息!E480="","",[2]道具信息!E480)</f>
        <v/>
      </c>
      <c r="F480" s="8">
        <f>IF([2]道具信息!F480="","",[2]道具信息!F480)</f>
        <v>1</v>
      </c>
      <c r="G480" s="8">
        <f>IF([2]道具信息!G480="","",[2]道具信息!G480)</f>
        <v>1</v>
      </c>
      <c r="H480" s="8">
        <f>IF([2]道具信息!H480="","",[2]道具信息!H480)</f>
        <v>1</v>
      </c>
      <c r="I480" s="8" t="str">
        <f>IF([2]道具信息!I480="","",[2]道具信息!I480)</f>
        <v/>
      </c>
      <c r="J480" s="8" t="str">
        <f>IF([2]道具信息!J480="","",[2]道具信息!J480)</f>
        <v/>
      </c>
      <c r="K480" s="8" t="str">
        <f>IF([2]道具信息!K480="","",[2]道具信息!K480)</f>
        <v/>
      </c>
      <c r="L480" s="8" t="str">
        <f>IF([2]道具信息!L480="","",[2]道具信息!L480)</f>
        <v/>
      </c>
      <c r="M480" s="8" t="str">
        <f>IF([2]道具信息!M480="","",[2]道具信息!M480)</f>
        <v/>
      </c>
      <c r="N480" s="8" t="str">
        <f>IF([2]道具信息!N480="","",[2]道具信息!N480)</f>
        <v/>
      </c>
      <c r="O480" s="8" t="str">
        <f>IF([2]道具信息!O480="","",[2]道具信息!O480)</f>
        <v/>
      </c>
      <c r="P480" s="8" t="str">
        <f>IF([2]道具信息!P480="","",[2]道具信息!P480)</f>
        <v/>
      </c>
      <c r="Q480" s="8" t="str">
        <f>IF([2]道具信息!Q480="","",[2]道具信息!Q480)</f>
        <v/>
      </c>
      <c r="R480" s="8" t="str">
        <f>IF([2]道具信息!R480="","",[2]道具信息!R480)</f>
        <v/>
      </c>
    </row>
    <row r="481" spans="3:18" x14ac:dyDescent="0.2">
      <c r="C481" s="8" t="str">
        <f>IF([2]道具信息!C481="","",[2]道具信息!C481)</f>
        <v/>
      </c>
      <c r="D481" s="8" t="str">
        <f>IF([2]道具信息!D481="","",[2]道具信息!D481)</f>
        <v/>
      </c>
      <c r="E481" s="8" t="str">
        <f>IF([2]道具信息!E481="","",[2]道具信息!E481)</f>
        <v/>
      </c>
      <c r="F481" s="8">
        <f>IF([2]道具信息!F481="","",[2]道具信息!F481)</f>
        <v>1</v>
      </c>
      <c r="G481" s="8">
        <f>IF([2]道具信息!G481="","",[2]道具信息!G481)</f>
        <v>1</v>
      </c>
      <c r="H481" s="8">
        <f>IF([2]道具信息!H481="","",[2]道具信息!H481)</f>
        <v>1</v>
      </c>
      <c r="I481" s="8" t="str">
        <f>IF([2]道具信息!I481="","",[2]道具信息!I481)</f>
        <v/>
      </c>
      <c r="J481" s="8" t="str">
        <f>IF([2]道具信息!J481="","",[2]道具信息!J481)</f>
        <v/>
      </c>
      <c r="K481" s="8" t="str">
        <f>IF([2]道具信息!K481="","",[2]道具信息!K481)</f>
        <v/>
      </c>
      <c r="L481" s="8" t="str">
        <f>IF([2]道具信息!L481="","",[2]道具信息!L481)</f>
        <v/>
      </c>
      <c r="M481" s="8" t="str">
        <f>IF([2]道具信息!M481="","",[2]道具信息!M481)</f>
        <v/>
      </c>
      <c r="N481" s="8" t="str">
        <f>IF([2]道具信息!N481="","",[2]道具信息!N481)</f>
        <v/>
      </c>
      <c r="O481" s="8" t="str">
        <f>IF([2]道具信息!O481="","",[2]道具信息!O481)</f>
        <v/>
      </c>
      <c r="P481" s="8" t="str">
        <f>IF([2]道具信息!P481="","",[2]道具信息!P481)</f>
        <v/>
      </c>
      <c r="Q481" s="8" t="str">
        <f>IF([2]道具信息!Q481="","",[2]道具信息!Q481)</f>
        <v/>
      </c>
      <c r="R481" s="8" t="str">
        <f>IF([2]道具信息!R481="","",[2]道具信息!R481)</f>
        <v/>
      </c>
    </row>
    <row r="482" spans="3:18" x14ac:dyDescent="0.2">
      <c r="C482" s="8" t="str">
        <f>IF([2]道具信息!C482="","",[2]道具信息!C482)</f>
        <v/>
      </c>
      <c r="D482" s="8" t="str">
        <f>IF([2]道具信息!D482="","",[2]道具信息!D482)</f>
        <v/>
      </c>
      <c r="E482" s="8" t="str">
        <f>IF([2]道具信息!E482="","",[2]道具信息!E482)</f>
        <v/>
      </c>
      <c r="F482" s="8">
        <f>IF([2]道具信息!F482="","",[2]道具信息!F482)</f>
        <v>1</v>
      </c>
      <c r="G482" s="8">
        <f>IF([2]道具信息!G482="","",[2]道具信息!G482)</f>
        <v>1</v>
      </c>
      <c r="H482" s="8">
        <f>IF([2]道具信息!H482="","",[2]道具信息!H482)</f>
        <v>1</v>
      </c>
      <c r="I482" s="8" t="str">
        <f>IF([2]道具信息!I482="","",[2]道具信息!I482)</f>
        <v/>
      </c>
      <c r="J482" s="8" t="str">
        <f>IF([2]道具信息!J482="","",[2]道具信息!J482)</f>
        <v/>
      </c>
      <c r="K482" s="8" t="str">
        <f>IF([2]道具信息!K482="","",[2]道具信息!K482)</f>
        <v/>
      </c>
      <c r="L482" s="8" t="str">
        <f>IF([2]道具信息!L482="","",[2]道具信息!L482)</f>
        <v/>
      </c>
      <c r="M482" s="8" t="str">
        <f>IF([2]道具信息!M482="","",[2]道具信息!M482)</f>
        <v/>
      </c>
      <c r="N482" s="8" t="str">
        <f>IF([2]道具信息!N482="","",[2]道具信息!N482)</f>
        <v/>
      </c>
      <c r="O482" s="8" t="str">
        <f>IF([2]道具信息!O482="","",[2]道具信息!O482)</f>
        <v/>
      </c>
      <c r="P482" s="8" t="str">
        <f>IF([2]道具信息!P482="","",[2]道具信息!P482)</f>
        <v/>
      </c>
      <c r="Q482" s="8" t="str">
        <f>IF([2]道具信息!Q482="","",[2]道具信息!Q482)</f>
        <v/>
      </c>
      <c r="R482" s="8" t="str">
        <f>IF([2]道具信息!R482="","",[2]道具信息!R482)</f>
        <v/>
      </c>
    </row>
    <row r="483" spans="3:18" x14ac:dyDescent="0.2">
      <c r="C483" s="8" t="str">
        <f>IF([2]道具信息!C483="","",[2]道具信息!C483)</f>
        <v/>
      </c>
      <c r="D483" s="8" t="str">
        <f>IF([2]道具信息!D483="","",[2]道具信息!D483)</f>
        <v/>
      </c>
      <c r="E483" s="8" t="str">
        <f>IF([2]道具信息!E483="","",[2]道具信息!E483)</f>
        <v/>
      </c>
      <c r="F483" s="8">
        <f>IF([2]道具信息!F483="","",[2]道具信息!F483)</f>
        <v>1</v>
      </c>
      <c r="G483" s="8">
        <f>IF([2]道具信息!G483="","",[2]道具信息!G483)</f>
        <v>1</v>
      </c>
      <c r="H483" s="8">
        <f>IF([2]道具信息!H483="","",[2]道具信息!H483)</f>
        <v>1</v>
      </c>
      <c r="I483" s="8" t="str">
        <f>IF([2]道具信息!I483="","",[2]道具信息!I483)</f>
        <v/>
      </c>
      <c r="J483" s="8" t="str">
        <f>IF([2]道具信息!J483="","",[2]道具信息!J483)</f>
        <v/>
      </c>
      <c r="K483" s="8" t="str">
        <f>IF([2]道具信息!K483="","",[2]道具信息!K483)</f>
        <v/>
      </c>
      <c r="L483" s="8" t="str">
        <f>IF([2]道具信息!L483="","",[2]道具信息!L483)</f>
        <v/>
      </c>
      <c r="M483" s="8" t="str">
        <f>IF([2]道具信息!M483="","",[2]道具信息!M483)</f>
        <v/>
      </c>
      <c r="N483" s="8" t="str">
        <f>IF([2]道具信息!N483="","",[2]道具信息!N483)</f>
        <v/>
      </c>
      <c r="O483" s="8" t="str">
        <f>IF([2]道具信息!O483="","",[2]道具信息!O483)</f>
        <v/>
      </c>
      <c r="P483" s="8" t="str">
        <f>IF([2]道具信息!P483="","",[2]道具信息!P483)</f>
        <v/>
      </c>
      <c r="Q483" s="8" t="str">
        <f>IF([2]道具信息!Q483="","",[2]道具信息!Q483)</f>
        <v/>
      </c>
      <c r="R483" s="8" t="str">
        <f>IF([2]道具信息!R483="","",[2]道具信息!R483)</f>
        <v/>
      </c>
    </row>
    <row r="484" spans="3:18" x14ac:dyDescent="0.2">
      <c r="C484" s="8" t="str">
        <f>IF([2]道具信息!C484="","",[2]道具信息!C484)</f>
        <v/>
      </c>
      <c r="D484" s="8" t="str">
        <f>IF([2]道具信息!D484="","",[2]道具信息!D484)</f>
        <v/>
      </c>
      <c r="E484" s="8" t="str">
        <f>IF([2]道具信息!E484="","",[2]道具信息!E484)</f>
        <v/>
      </c>
      <c r="F484" s="8">
        <f>IF([2]道具信息!F484="","",[2]道具信息!F484)</f>
        <v>1</v>
      </c>
      <c r="G484" s="8">
        <f>IF([2]道具信息!G484="","",[2]道具信息!G484)</f>
        <v>1</v>
      </c>
      <c r="H484" s="8">
        <f>IF([2]道具信息!H484="","",[2]道具信息!H484)</f>
        <v>1</v>
      </c>
      <c r="I484" s="8" t="str">
        <f>IF([2]道具信息!I484="","",[2]道具信息!I484)</f>
        <v/>
      </c>
      <c r="J484" s="8" t="str">
        <f>IF([2]道具信息!J484="","",[2]道具信息!J484)</f>
        <v/>
      </c>
      <c r="K484" s="8" t="str">
        <f>IF([2]道具信息!K484="","",[2]道具信息!K484)</f>
        <v/>
      </c>
      <c r="L484" s="8" t="str">
        <f>IF([2]道具信息!L484="","",[2]道具信息!L484)</f>
        <v/>
      </c>
      <c r="M484" s="8" t="str">
        <f>IF([2]道具信息!M484="","",[2]道具信息!M484)</f>
        <v/>
      </c>
      <c r="N484" s="8" t="str">
        <f>IF([2]道具信息!N484="","",[2]道具信息!N484)</f>
        <v/>
      </c>
      <c r="O484" s="8" t="str">
        <f>IF([2]道具信息!O484="","",[2]道具信息!O484)</f>
        <v/>
      </c>
      <c r="P484" s="8" t="str">
        <f>IF([2]道具信息!P484="","",[2]道具信息!P484)</f>
        <v/>
      </c>
      <c r="Q484" s="8" t="str">
        <f>IF([2]道具信息!Q484="","",[2]道具信息!Q484)</f>
        <v/>
      </c>
      <c r="R484" s="8" t="str">
        <f>IF([2]道具信息!R484="","",[2]道具信息!R484)</f>
        <v/>
      </c>
    </row>
    <row r="485" spans="3:18" x14ac:dyDescent="0.2">
      <c r="C485" s="8" t="str">
        <f>IF([2]道具信息!C485="","",[2]道具信息!C485)</f>
        <v/>
      </c>
      <c r="D485" s="8" t="str">
        <f>IF([2]道具信息!D485="","",[2]道具信息!D485)</f>
        <v/>
      </c>
      <c r="E485" s="8" t="str">
        <f>IF([2]道具信息!E485="","",[2]道具信息!E485)</f>
        <v/>
      </c>
      <c r="F485" s="8">
        <f>IF([2]道具信息!F485="","",[2]道具信息!F485)</f>
        <v>1</v>
      </c>
      <c r="G485" s="8">
        <f>IF([2]道具信息!G485="","",[2]道具信息!G485)</f>
        <v>1</v>
      </c>
      <c r="H485" s="8">
        <f>IF([2]道具信息!H485="","",[2]道具信息!H485)</f>
        <v>1</v>
      </c>
      <c r="I485" s="8" t="str">
        <f>IF([2]道具信息!I485="","",[2]道具信息!I485)</f>
        <v/>
      </c>
      <c r="J485" s="8" t="str">
        <f>IF([2]道具信息!J485="","",[2]道具信息!J485)</f>
        <v/>
      </c>
      <c r="K485" s="8" t="str">
        <f>IF([2]道具信息!K485="","",[2]道具信息!K485)</f>
        <v/>
      </c>
      <c r="L485" s="8" t="str">
        <f>IF([2]道具信息!L485="","",[2]道具信息!L485)</f>
        <v/>
      </c>
      <c r="M485" s="8" t="str">
        <f>IF([2]道具信息!M485="","",[2]道具信息!M485)</f>
        <v/>
      </c>
      <c r="N485" s="8" t="str">
        <f>IF([2]道具信息!N485="","",[2]道具信息!N485)</f>
        <v/>
      </c>
      <c r="O485" s="8" t="str">
        <f>IF([2]道具信息!O485="","",[2]道具信息!O485)</f>
        <v/>
      </c>
      <c r="P485" s="8" t="str">
        <f>IF([2]道具信息!P485="","",[2]道具信息!P485)</f>
        <v/>
      </c>
      <c r="Q485" s="8" t="str">
        <f>IF([2]道具信息!Q485="","",[2]道具信息!Q485)</f>
        <v/>
      </c>
      <c r="R485" s="8" t="str">
        <f>IF([2]道具信息!R485="","",[2]道具信息!R485)</f>
        <v/>
      </c>
    </row>
    <row r="486" spans="3:18" x14ac:dyDescent="0.2">
      <c r="C486" s="8" t="str">
        <f>IF([2]道具信息!C486="","",[2]道具信息!C486)</f>
        <v/>
      </c>
      <c r="D486" s="8" t="str">
        <f>IF([2]道具信息!D486="","",[2]道具信息!D486)</f>
        <v/>
      </c>
      <c r="E486" s="8" t="str">
        <f>IF([2]道具信息!E486="","",[2]道具信息!E486)</f>
        <v/>
      </c>
      <c r="F486" s="8">
        <f>IF([2]道具信息!F486="","",[2]道具信息!F486)</f>
        <v>1</v>
      </c>
      <c r="G486" s="8">
        <f>IF([2]道具信息!G486="","",[2]道具信息!G486)</f>
        <v>1</v>
      </c>
      <c r="H486" s="8">
        <f>IF([2]道具信息!H486="","",[2]道具信息!H486)</f>
        <v>1</v>
      </c>
      <c r="I486" s="8" t="str">
        <f>IF([2]道具信息!I486="","",[2]道具信息!I486)</f>
        <v/>
      </c>
      <c r="J486" s="8" t="str">
        <f>IF([2]道具信息!J486="","",[2]道具信息!J486)</f>
        <v/>
      </c>
      <c r="K486" s="8" t="str">
        <f>IF([2]道具信息!K486="","",[2]道具信息!K486)</f>
        <v/>
      </c>
      <c r="L486" s="8" t="str">
        <f>IF([2]道具信息!L486="","",[2]道具信息!L486)</f>
        <v/>
      </c>
      <c r="M486" s="8" t="str">
        <f>IF([2]道具信息!M486="","",[2]道具信息!M486)</f>
        <v/>
      </c>
      <c r="N486" s="8" t="str">
        <f>IF([2]道具信息!N486="","",[2]道具信息!N486)</f>
        <v/>
      </c>
      <c r="O486" s="8" t="str">
        <f>IF([2]道具信息!O486="","",[2]道具信息!O486)</f>
        <v/>
      </c>
      <c r="P486" s="8" t="str">
        <f>IF([2]道具信息!P486="","",[2]道具信息!P486)</f>
        <v/>
      </c>
      <c r="Q486" s="8" t="str">
        <f>IF([2]道具信息!Q486="","",[2]道具信息!Q486)</f>
        <v/>
      </c>
      <c r="R486" s="8" t="str">
        <f>IF([2]道具信息!R486="","",[2]道具信息!R486)</f>
        <v/>
      </c>
    </row>
    <row r="487" spans="3:18" x14ac:dyDescent="0.2">
      <c r="C487" s="8" t="str">
        <f>IF([2]道具信息!C487="","",[2]道具信息!C487)</f>
        <v/>
      </c>
      <c r="D487" s="8" t="str">
        <f>IF([2]道具信息!D487="","",[2]道具信息!D487)</f>
        <v/>
      </c>
      <c r="E487" s="8" t="str">
        <f>IF([2]道具信息!E487="","",[2]道具信息!E487)</f>
        <v/>
      </c>
      <c r="F487" s="8">
        <f>IF([2]道具信息!F487="","",[2]道具信息!F487)</f>
        <v>1</v>
      </c>
      <c r="G487" s="8">
        <f>IF([2]道具信息!G487="","",[2]道具信息!G487)</f>
        <v>1</v>
      </c>
      <c r="H487" s="8">
        <f>IF([2]道具信息!H487="","",[2]道具信息!H487)</f>
        <v>1</v>
      </c>
      <c r="I487" s="8" t="str">
        <f>IF([2]道具信息!I487="","",[2]道具信息!I487)</f>
        <v/>
      </c>
      <c r="J487" s="8" t="str">
        <f>IF([2]道具信息!J487="","",[2]道具信息!J487)</f>
        <v/>
      </c>
      <c r="K487" s="8" t="str">
        <f>IF([2]道具信息!K487="","",[2]道具信息!K487)</f>
        <v/>
      </c>
      <c r="L487" s="8" t="str">
        <f>IF([2]道具信息!L487="","",[2]道具信息!L487)</f>
        <v/>
      </c>
      <c r="M487" s="8" t="str">
        <f>IF([2]道具信息!M487="","",[2]道具信息!M487)</f>
        <v/>
      </c>
      <c r="N487" s="8" t="str">
        <f>IF([2]道具信息!N487="","",[2]道具信息!N487)</f>
        <v/>
      </c>
      <c r="O487" s="8" t="str">
        <f>IF([2]道具信息!O487="","",[2]道具信息!O487)</f>
        <v/>
      </c>
      <c r="P487" s="8" t="str">
        <f>IF([2]道具信息!P487="","",[2]道具信息!P487)</f>
        <v/>
      </c>
      <c r="Q487" s="8" t="str">
        <f>IF([2]道具信息!Q487="","",[2]道具信息!Q487)</f>
        <v/>
      </c>
      <c r="R487" s="8" t="str">
        <f>IF([2]道具信息!R487="","",[2]道具信息!R487)</f>
        <v/>
      </c>
    </row>
    <row r="488" spans="3:18" x14ac:dyDescent="0.2">
      <c r="C488" s="8" t="str">
        <f>IF([2]道具信息!C488="","",[2]道具信息!C488)</f>
        <v/>
      </c>
      <c r="D488" s="8" t="str">
        <f>IF([2]道具信息!D488="","",[2]道具信息!D488)</f>
        <v/>
      </c>
      <c r="E488" s="8" t="str">
        <f>IF([2]道具信息!E488="","",[2]道具信息!E488)</f>
        <v/>
      </c>
      <c r="F488" s="8">
        <f>IF([2]道具信息!F488="","",[2]道具信息!F488)</f>
        <v>1</v>
      </c>
      <c r="G488" s="8">
        <f>IF([2]道具信息!G488="","",[2]道具信息!G488)</f>
        <v>1</v>
      </c>
      <c r="H488" s="8">
        <f>IF([2]道具信息!H488="","",[2]道具信息!H488)</f>
        <v>1</v>
      </c>
      <c r="I488" s="8" t="str">
        <f>IF([2]道具信息!I488="","",[2]道具信息!I488)</f>
        <v/>
      </c>
      <c r="J488" s="8" t="str">
        <f>IF([2]道具信息!J488="","",[2]道具信息!J488)</f>
        <v/>
      </c>
      <c r="K488" s="8" t="str">
        <f>IF([2]道具信息!K488="","",[2]道具信息!K488)</f>
        <v/>
      </c>
      <c r="L488" s="8" t="str">
        <f>IF([2]道具信息!L488="","",[2]道具信息!L488)</f>
        <v/>
      </c>
      <c r="M488" s="8" t="str">
        <f>IF([2]道具信息!M488="","",[2]道具信息!M488)</f>
        <v/>
      </c>
      <c r="N488" s="8" t="str">
        <f>IF([2]道具信息!N488="","",[2]道具信息!N488)</f>
        <v/>
      </c>
      <c r="O488" s="8" t="str">
        <f>IF([2]道具信息!O488="","",[2]道具信息!O488)</f>
        <v/>
      </c>
      <c r="P488" s="8" t="str">
        <f>IF([2]道具信息!P488="","",[2]道具信息!P488)</f>
        <v/>
      </c>
      <c r="Q488" s="8" t="str">
        <f>IF([2]道具信息!Q488="","",[2]道具信息!Q488)</f>
        <v/>
      </c>
      <c r="R488" s="8" t="str">
        <f>IF([2]道具信息!R488="","",[2]道具信息!R488)</f>
        <v/>
      </c>
    </row>
    <row r="489" spans="3:18" x14ac:dyDescent="0.2">
      <c r="C489" s="8" t="str">
        <f>IF([2]道具信息!C489="","",[2]道具信息!C489)</f>
        <v/>
      </c>
      <c r="D489" s="8" t="str">
        <f>IF([2]道具信息!D489="","",[2]道具信息!D489)</f>
        <v/>
      </c>
      <c r="E489" s="8" t="str">
        <f>IF([2]道具信息!E489="","",[2]道具信息!E489)</f>
        <v/>
      </c>
      <c r="F489" s="8">
        <f>IF([2]道具信息!F489="","",[2]道具信息!F489)</f>
        <v>1</v>
      </c>
      <c r="G489" s="8">
        <f>IF([2]道具信息!G489="","",[2]道具信息!G489)</f>
        <v>1</v>
      </c>
      <c r="H489" s="8">
        <f>IF([2]道具信息!H489="","",[2]道具信息!H489)</f>
        <v>1</v>
      </c>
      <c r="I489" s="8" t="str">
        <f>IF([2]道具信息!I489="","",[2]道具信息!I489)</f>
        <v/>
      </c>
      <c r="J489" s="8" t="str">
        <f>IF([2]道具信息!J489="","",[2]道具信息!J489)</f>
        <v/>
      </c>
      <c r="K489" s="8" t="str">
        <f>IF([2]道具信息!K489="","",[2]道具信息!K489)</f>
        <v/>
      </c>
      <c r="L489" s="8" t="str">
        <f>IF([2]道具信息!L489="","",[2]道具信息!L489)</f>
        <v/>
      </c>
      <c r="M489" s="8" t="str">
        <f>IF([2]道具信息!M489="","",[2]道具信息!M489)</f>
        <v/>
      </c>
      <c r="N489" s="8" t="str">
        <f>IF([2]道具信息!N489="","",[2]道具信息!N489)</f>
        <v/>
      </c>
      <c r="O489" s="8" t="str">
        <f>IF([2]道具信息!O489="","",[2]道具信息!O489)</f>
        <v/>
      </c>
      <c r="P489" s="8" t="str">
        <f>IF([2]道具信息!P489="","",[2]道具信息!P489)</f>
        <v/>
      </c>
      <c r="Q489" s="8" t="str">
        <f>IF([2]道具信息!Q489="","",[2]道具信息!Q489)</f>
        <v/>
      </c>
      <c r="R489" s="8" t="str">
        <f>IF([2]道具信息!R489="","",[2]道具信息!R489)</f>
        <v/>
      </c>
    </row>
    <row r="490" spans="3:18" x14ac:dyDescent="0.2">
      <c r="C490" s="8" t="str">
        <f>IF([2]道具信息!C490="","",[2]道具信息!C490)</f>
        <v/>
      </c>
      <c r="D490" s="8" t="str">
        <f>IF([2]道具信息!D490="","",[2]道具信息!D490)</f>
        <v/>
      </c>
      <c r="E490" s="8" t="str">
        <f>IF([2]道具信息!E490="","",[2]道具信息!E490)</f>
        <v/>
      </c>
      <c r="F490" s="8">
        <f>IF([2]道具信息!F490="","",[2]道具信息!F490)</f>
        <v>1</v>
      </c>
      <c r="G490" s="8">
        <f>IF([2]道具信息!G490="","",[2]道具信息!G490)</f>
        <v>1</v>
      </c>
      <c r="H490" s="8">
        <f>IF([2]道具信息!H490="","",[2]道具信息!H490)</f>
        <v>1</v>
      </c>
      <c r="I490" s="8" t="str">
        <f>IF([2]道具信息!I490="","",[2]道具信息!I490)</f>
        <v/>
      </c>
      <c r="J490" s="8" t="str">
        <f>IF([2]道具信息!J490="","",[2]道具信息!J490)</f>
        <v/>
      </c>
      <c r="K490" s="8" t="str">
        <f>IF([2]道具信息!K490="","",[2]道具信息!K490)</f>
        <v/>
      </c>
      <c r="L490" s="8" t="str">
        <f>IF([2]道具信息!L490="","",[2]道具信息!L490)</f>
        <v/>
      </c>
      <c r="M490" s="8" t="str">
        <f>IF([2]道具信息!M490="","",[2]道具信息!M490)</f>
        <v/>
      </c>
      <c r="N490" s="8" t="str">
        <f>IF([2]道具信息!N490="","",[2]道具信息!N490)</f>
        <v/>
      </c>
      <c r="O490" s="8" t="str">
        <f>IF([2]道具信息!O490="","",[2]道具信息!O490)</f>
        <v/>
      </c>
      <c r="P490" s="8" t="str">
        <f>IF([2]道具信息!P490="","",[2]道具信息!P490)</f>
        <v/>
      </c>
      <c r="Q490" s="8" t="str">
        <f>IF([2]道具信息!Q490="","",[2]道具信息!Q490)</f>
        <v/>
      </c>
      <c r="R490" s="8" t="str">
        <f>IF([2]道具信息!R490="","",[2]道具信息!R490)</f>
        <v/>
      </c>
    </row>
    <row r="491" spans="3:18" x14ac:dyDescent="0.2">
      <c r="C491" s="8" t="str">
        <f>IF([2]道具信息!C491="","",[2]道具信息!C491)</f>
        <v/>
      </c>
      <c r="D491" s="8" t="str">
        <f>IF([2]道具信息!D491="","",[2]道具信息!D491)</f>
        <v/>
      </c>
      <c r="E491" s="8" t="str">
        <f>IF([2]道具信息!E491="","",[2]道具信息!E491)</f>
        <v/>
      </c>
      <c r="F491" s="8">
        <f>IF([2]道具信息!F491="","",[2]道具信息!F491)</f>
        <v>1</v>
      </c>
      <c r="G491" s="8">
        <f>IF([2]道具信息!G491="","",[2]道具信息!G491)</f>
        <v>1</v>
      </c>
      <c r="H491" s="8">
        <f>IF([2]道具信息!H491="","",[2]道具信息!H491)</f>
        <v>1</v>
      </c>
      <c r="I491" s="8" t="str">
        <f>IF([2]道具信息!I491="","",[2]道具信息!I491)</f>
        <v/>
      </c>
      <c r="J491" s="8" t="str">
        <f>IF([2]道具信息!J491="","",[2]道具信息!J491)</f>
        <v/>
      </c>
      <c r="K491" s="8" t="str">
        <f>IF([2]道具信息!K491="","",[2]道具信息!K491)</f>
        <v/>
      </c>
      <c r="L491" s="8" t="str">
        <f>IF([2]道具信息!L491="","",[2]道具信息!L491)</f>
        <v/>
      </c>
      <c r="M491" s="8" t="str">
        <f>IF([2]道具信息!M491="","",[2]道具信息!M491)</f>
        <v/>
      </c>
      <c r="N491" s="8" t="str">
        <f>IF([2]道具信息!N491="","",[2]道具信息!N491)</f>
        <v/>
      </c>
      <c r="O491" s="8" t="str">
        <f>IF([2]道具信息!O491="","",[2]道具信息!O491)</f>
        <v/>
      </c>
      <c r="P491" s="8" t="str">
        <f>IF([2]道具信息!P491="","",[2]道具信息!P491)</f>
        <v/>
      </c>
      <c r="Q491" s="8" t="str">
        <f>IF([2]道具信息!Q491="","",[2]道具信息!Q491)</f>
        <v/>
      </c>
      <c r="R491" s="8" t="str">
        <f>IF([2]道具信息!R491="","",[2]道具信息!R491)</f>
        <v/>
      </c>
    </row>
    <row r="492" spans="3:18" x14ac:dyDescent="0.2">
      <c r="C492" s="8" t="str">
        <f>IF([2]道具信息!C492="","",[2]道具信息!C492)</f>
        <v/>
      </c>
      <c r="D492" s="8" t="str">
        <f>IF([2]道具信息!D492="","",[2]道具信息!D492)</f>
        <v/>
      </c>
      <c r="E492" s="8" t="str">
        <f>IF([2]道具信息!E492="","",[2]道具信息!E492)</f>
        <v/>
      </c>
      <c r="F492" s="8">
        <f>IF([2]道具信息!F492="","",[2]道具信息!F492)</f>
        <v>1</v>
      </c>
      <c r="G492" s="8">
        <f>IF([2]道具信息!G492="","",[2]道具信息!G492)</f>
        <v>1</v>
      </c>
      <c r="H492" s="8">
        <f>IF([2]道具信息!H492="","",[2]道具信息!H492)</f>
        <v>1</v>
      </c>
      <c r="I492" s="8" t="str">
        <f>IF([2]道具信息!I492="","",[2]道具信息!I492)</f>
        <v/>
      </c>
      <c r="J492" s="8" t="str">
        <f>IF([2]道具信息!J492="","",[2]道具信息!J492)</f>
        <v/>
      </c>
      <c r="K492" s="8" t="str">
        <f>IF([2]道具信息!K492="","",[2]道具信息!K492)</f>
        <v/>
      </c>
      <c r="L492" s="8" t="str">
        <f>IF([2]道具信息!L492="","",[2]道具信息!L492)</f>
        <v/>
      </c>
      <c r="M492" s="8" t="str">
        <f>IF([2]道具信息!M492="","",[2]道具信息!M492)</f>
        <v/>
      </c>
      <c r="N492" s="8" t="str">
        <f>IF([2]道具信息!N492="","",[2]道具信息!N492)</f>
        <v/>
      </c>
      <c r="O492" s="8" t="str">
        <f>IF([2]道具信息!O492="","",[2]道具信息!O492)</f>
        <v/>
      </c>
      <c r="P492" s="8" t="str">
        <f>IF([2]道具信息!P492="","",[2]道具信息!P492)</f>
        <v/>
      </c>
      <c r="Q492" s="8" t="str">
        <f>IF([2]道具信息!Q492="","",[2]道具信息!Q492)</f>
        <v/>
      </c>
      <c r="R492" s="8" t="str">
        <f>IF([2]道具信息!R492="","",[2]道具信息!R492)</f>
        <v/>
      </c>
    </row>
    <row r="493" spans="3:18" x14ac:dyDescent="0.2">
      <c r="C493" s="8" t="str">
        <f>IF([2]道具信息!C493="","",[2]道具信息!C493)</f>
        <v/>
      </c>
      <c r="D493" s="8" t="str">
        <f>IF([2]道具信息!D493="","",[2]道具信息!D493)</f>
        <v/>
      </c>
      <c r="E493" s="8" t="str">
        <f>IF([2]道具信息!E493="","",[2]道具信息!E493)</f>
        <v/>
      </c>
      <c r="F493" s="8">
        <f>IF([2]道具信息!F493="","",[2]道具信息!F493)</f>
        <v>1</v>
      </c>
      <c r="G493" s="8">
        <f>IF([2]道具信息!G493="","",[2]道具信息!G493)</f>
        <v>1</v>
      </c>
      <c r="H493" s="8">
        <f>IF([2]道具信息!H493="","",[2]道具信息!H493)</f>
        <v>1</v>
      </c>
      <c r="I493" s="8" t="str">
        <f>IF([2]道具信息!I493="","",[2]道具信息!I493)</f>
        <v/>
      </c>
      <c r="J493" s="8" t="str">
        <f>IF([2]道具信息!J493="","",[2]道具信息!J493)</f>
        <v/>
      </c>
      <c r="K493" s="8" t="str">
        <f>IF([2]道具信息!K493="","",[2]道具信息!K493)</f>
        <v/>
      </c>
      <c r="L493" s="8" t="str">
        <f>IF([2]道具信息!L493="","",[2]道具信息!L493)</f>
        <v/>
      </c>
      <c r="M493" s="8" t="str">
        <f>IF([2]道具信息!M493="","",[2]道具信息!M493)</f>
        <v/>
      </c>
      <c r="N493" s="8" t="str">
        <f>IF([2]道具信息!N493="","",[2]道具信息!N493)</f>
        <v/>
      </c>
      <c r="O493" s="8" t="str">
        <f>IF([2]道具信息!O493="","",[2]道具信息!O493)</f>
        <v/>
      </c>
      <c r="P493" s="8" t="str">
        <f>IF([2]道具信息!P493="","",[2]道具信息!P493)</f>
        <v/>
      </c>
      <c r="Q493" s="8" t="str">
        <f>IF([2]道具信息!Q493="","",[2]道具信息!Q493)</f>
        <v/>
      </c>
      <c r="R493" s="8" t="str">
        <f>IF([2]道具信息!R493="","",[2]道具信息!R493)</f>
        <v/>
      </c>
    </row>
    <row r="494" spans="3:18" x14ac:dyDescent="0.2">
      <c r="C494" s="8" t="str">
        <f>IF([2]道具信息!C494="","",[2]道具信息!C494)</f>
        <v/>
      </c>
      <c r="D494" s="8" t="str">
        <f>IF([2]道具信息!D494="","",[2]道具信息!D494)</f>
        <v/>
      </c>
      <c r="E494" s="8" t="str">
        <f>IF([2]道具信息!E494="","",[2]道具信息!E494)</f>
        <v/>
      </c>
      <c r="F494" s="8">
        <f>IF([2]道具信息!F494="","",[2]道具信息!F494)</f>
        <v>1</v>
      </c>
      <c r="G494" s="8">
        <f>IF([2]道具信息!G494="","",[2]道具信息!G494)</f>
        <v>1</v>
      </c>
      <c r="H494" s="8">
        <f>IF([2]道具信息!H494="","",[2]道具信息!H494)</f>
        <v>1</v>
      </c>
      <c r="I494" s="8" t="str">
        <f>IF([2]道具信息!I494="","",[2]道具信息!I494)</f>
        <v/>
      </c>
      <c r="J494" s="8" t="str">
        <f>IF([2]道具信息!J494="","",[2]道具信息!J494)</f>
        <v/>
      </c>
      <c r="K494" s="8" t="str">
        <f>IF([2]道具信息!K494="","",[2]道具信息!K494)</f>
        <v/>
      </c>
      <c r="L494" s="8" t="str">
        <f>IF([2]道具信息!L494="","",[2]道具信息!L494)</f>
        <v/>
      </c>
      <c r="M494" s="8" t="str">
        <f>IF([2]道具信息!M494="","",[2]道具信息!M494)</f>
        <v/>
      </c>
      <c r="N494" s="8" t="str">
        <f>IF([2]道具信息!N494="","",[2]道具信息!N494)</f>
        <v/>
      </c>
      <c r="O494" s="8" t="str">
        <f>IF([2]道具信息!O494="","",[2]道具信息!O494)</f>
        <v/>
      </c>
      <c r="P494" s="8" t="str">
        <f>IF([2]道具信息!P494="","",[2]道具信息!P494)</f>
        <v/>
      </c>
      <c r="Q494" s="8" t="str">
        <f>IF([2]道具信息!Q494="","",[2]道具信息!Q494)</f>
        <v/>
      </c>
      <c r="R494" s="8" t="str">
        <f>IF([2]道具信息!R494="","",[2]道具信息!R494)</f>
        <v/>
      </c>
    </row>
    <row r="495" spans="3:18" x14ac:dyDescent="0.2">
      <c r="C495" s="8" t="str">
        <f>IF([2]道具信息!C495="","",[2]道具信息!C495)</f>
        <v/>
      </c>
      <c r="D495" s="8" t="str">
        <f>IF([2]道具信息!D495="","",[2]道具信息!D495)</f>
        <v/>
      </c>
      <c r="E495" s="8" t="str">
        <f>IF([2]道具信息!E495="","",[2]道具信息!E495)</f>
        <v/>
      </c>
      <c r="F495" s="8">
        <f>IF([2]道具信息!F495="","",[2]道具信息!F495)</f>
        <v>1</v>
      </c>
      <c r="G495" s="8">
        <f>IF([2]道具信息!G495="","",[2]道具信息!G495)</f>
        <v>1</v>
      </c>
      <c r="H495" s="8">
        <f>IF([2]道具信息!H495="","",[2]道具信息!H495)</f>
        <v>1</v>
      </c>
      <c r="I495" s="8" t="str">
        <f>IF([2]道具信息!I495="","",[2]道具信息!I495)</f>
        <v/>
      </c>
      <c r="J495" s="8" t="str">
        <f>IF([2]道具信息!J495="","",[2]道具信息!J495)</f>
        <v/>
      </c>
      <c r="K495" s="8" t="str">
        <f>IF([2]道具信息!K495="","",[2]道具信息!K495)</f>
        <v/>
      </c>
      <c r="L495" s="8" t="str">
        <f>IF([2]道具信息!L495="","",[2]道具信息!L495)</f>
        <v/>
      </c>
      <c r="M495" s="8" t="str">
        <f>IF([2]道具信息!M495="","",[2]道具信息!M495)</f>
        <v/>
      </c>
      <c r="N495" s="8" t="str">
        <f>IF([2]道具信息!N495="","",[2]道具信息!N495)</f>
        <v/>
      </c>
      <c r="O495" s="8" t="str">
        <f>IF([2]道具信息!O495="","",[2]道具信息!O495)</f>
        <v/>
      </c>
      <c r="P495" s="8" t="str">
        <f>IF([2]道具信息!P495="","",[2]道具信息!P495)</f>
        <v/>
      </c>
      <c r="Q495" s="8" t="str">
        <f>IF([2]道具信息!Q495="","",[2]道具信息!Q495)</f>
        <v/>
      </c>
      <c r="R495" s="8" t="str">
        <f>IF([2]道具信息!R495="","",[2]道具信息!R495)</f>
        <v/>
      </c>
    </row>
    <row r="496" spans="3:18" x14ac:dyDescent="0.2">
      <c r="C496" s="8" t="str">
        <f>IF([2]道具信息!C496="","",[2]道具信息!C496)</f>
        <v/>
      </c>
      <c r="D496" s="8" t="str">
        <f>IF([2]道具信息!D496="","",[2]道具信息!D496)</f>
        <v/>
      </c>
      <c r="E496" s="8" t="str">
        <f>IF([2]道具信息!E496="","",[2]道具信息!E496)</f>
        <v/>
      </c>
      <c r="F496" s="8">
        <f>IF([2]道具信息!F496="","",[2]道具信息!F496)</f>
        <v>1</v>
      </c>
      <c r="G496" s="8">
        <f>IF([2]道具信息!G496="","",[2]道具信息!G496)</f>
        <v>1</v>
      </c>
      <c r="H496" s="8">
        <f>IF([2]道具信息!H496="","",[2]道具信息!H496)</f>
        <v>1</v>
      </c>
      <c r="I496" s="8" t="str">
        <f>IF([2]道具信息!I496="","",[2]道具信息!I496)</f>
        <v/>
      </c>
      <c r="J496" s="8" t="str">
        <f>IF([2]道具信息!J496="","",[2]道具信息!J496)</f>
        <v/>
      </c>
      <c r="K496" s="8" t="str">
        <f>IF([2]道具信息!K496="","",[2]道具信息!K496)</f>
        <v/>
      </c>
      <c r="L496" s="8" t="str">
        <f>IF([2]道具信息!L496="","",[2]道具信息!L496)</f>
        <v/>
      </c>
      <c r="M496" s="8" t="str">
        <f>IF([2]道具信息!M496="","",[2]道具信息!M496)</f>
        <v/>
      </c>
      <c r="N496" s="8" t="str">
        <f>IF([2]道具信息!N496="","",[2]道具信息!N496)</f>
        <v/>
      </c>
      <c r="O496" s="8" t="str">
        <f>IF([2]道具信息!O496="","",[2]道具信息!O496)</f>
        <v/>
      </c>
      <c r="P496" s="8" t="str">
        <f>IF([2]道具信息!P496="","",[2]道具信息!P496)</f>
        <v/>
      </c>
      <c r="Q496" s="8" t="str">
        <f>IF([2]道具信息!Q496="","",[2]道具信息!Q496)</f>
        <v/>
      </c>
      <c r="R496" s="8" t="str">
        <f>IF([2]道具信息!R496="","",[2]道具信息!R496)</f>
        <v/>
      </c>
    </row>
    <row r="497" spans="3:18" x14ac:dyDescent="0.2">
      <c r="C497" s="8" t="str">
        <f>IF([2]道具信息!C497="","",[2]道具信息!C497)</f>
        <v/>
      </c>
      <c r="D497" s="8" t="str">
        <f>IF([2]道具信息!D497="","",[2]道具信息!D497)</f>
        <v/>
      </c>
      <c r="E497" s="8" t="str">
        <f>IF([2]道具信息!E497="","",[2]道具信息!E497)</f>
        <v/>
      </c>
      <c r="F497" s="8">
        <f>IF([2]道具信息!F497="","",[2]道具信息!F497)</f>
        <v>1</v>
      </c>
      <c r="G497" s="8">
        <f>IF([2]道具信息!G497="","",[2]道具信息!G497)</f>
        <v>1</v>
      </c>
      <c r="H497" s="8">
        <f>IF([2]道具信息!H497="","",[2]道具信息!H497)</f>
        <v>1</v>
      </c>
      <c r="I497" s="8" t="str">
        <f>IF([2]道具信息!I497="","",[2]道具信息!I497)</f>
        <v/>
      </c>
      <c r="J497" s="8" t="str">
        <f>IF([2]道具信息!J497="","",[2]道具信息!J497)</f>
        <v/>
      </c>
      <c r="K497" s="8" t="str">
        <f>IF([2]道具信息!K497="","",[2]道具信息!K497)</f>
        <v/>
      </c>
      <c r="L497" s="8" t="str">
        <f>IF([2]道具信息!L497="","",[2]道具信息!L497)</f>
        <v/>
      </c>
      <c r="M497" s="8" t="str">
        <f>IF([2]道具信息!M497="","",[2]道具信息!M497)</f>
        <v/>
      </c>
      <c r="N497" s="8" t="str">
        <f>IF([2]道具信息!N497="","",[2]道具信息!N497)</f>
        <v/>
      </c>
      <c r="O497" s="8" t="str">
        <f>IF([2]道具信息!O497="","",[2]道具信息!O497)</f>
        <v/>
      </c>
      <c r="P497" s="8" t="str">
        <f>IF([2]道具信息!P497="","",[2]道具信息!P497)</f>
        <v/>
      </c>
      <c r="Q497" s="8" t="str">
        <f>IF([2]道具信息!Q497="","",[2]道具信息!Q497)</f>
        <v/>
      </c>
      <c r="R497" s="8" t="str">
        <f>IF([2]道具信息!R497="","",[2]道具信息!R497)</f>
        <v/>
      </c>
    </row>
    <row r="498" spans="3:18" x14ac:dyDescent="0.2">
      <c r="C498" s="8" t="str">
        <f>IF([2]道具信息!C498="","",[2]道具信息!C498)</f>
        <v/>
      </c>
      <c r="D498" s="8" t="str">
        <f>IF([2]道具信息!D498="","",[2]道具信息!D498)</f>
        <v/>
      </c>
      <c r="E498" s="8" t="str">
        <f>IF([2]道具信息!E498="","",[2]道具信息!E498)</f>
        <v/>
      </c>
      <c r="F498" s="8">
        <f>IF([2]道具信息!F498="","",[2]道具信息!F498)</f>
        <v>1</v>
      </c>
      <c r="G498" s="8">
        <f>IF([2]道具信息!G498="","",[2]道具信息!G498)</f>
        <v>1</v>
      </c>
      <c r="H498" s="8">
        <f>IF([2]道具信息!H498="","",[2]道具信息!H498)</f>
        <v>1</v>
      </c>
      <c r="I498" s="8" t="str">
        <f>IF([2]道具信息!I498="","",[2]道具信息!I498)</f>
        <v/>
      </c>
      <c r="J498" s="8" t="str">
        <f>IF([2]道具信息!J498="","",[2]道具信息!J498)</f>
        <v/>
      </c>
      <c r="K498" s="8" t="str">
        <f>IF([2]道具信息!K498="","",[2]道具信息!K498)</f>
        <v/>
      </c>
      <c r="L498" s="8" t="str">
        <f>IF([2]道具信息!L498="","",[2]道具信息!L498)</f>
        <v/>
      </c>
      <c r="M498" s="8" t="str">
        <f>IF([2]道具信息!M498="","",[2]道具信息!M498)</f>
        <v/>
      </c>
      <c r="N498" s="8" t="str">
        <f>IF([2]道具信息!N498="","",[2]道具信息!N498)</f>
        <v/>
      </c>
      <c r="O498" s="8" t="str">
        <f>IF([2]道具信息!O498="","",[2]道具信息!O498)</f>
        <v/>
      </c>
      <c r="P498" s="8" t="str">
        <f>IF([2]道具信息!P498="","",[2]道具信息!P498)</f>
        <v/>
      </c>
      <c r="Q498" s="8" t="str">
        <f>IF([2]道具信息!Q498="","",[2]道具信息!Q498)</f>
        <v/>
      </c>
      <c r="R498" s="8" t="str">
        <f>IF([2]道具信息!R498="","",[2]道具信息!R498)</f>
        <v/>
      </c>
    </row>
    <row r="499" spans="3:18" x14ac:dyDescent="0.2">
      <c r="C499" s="8" t="str">
        <f>IF([2]道具信息!C499="","",[2]道具信息!C499)</f>
        <v/>
      </c>
      <c r="D499" s="8" t="str">
        <f>IF([2]道具信息!D499="","",[2]道具信息!D499)</f>
        <v/>
      </c>
      <c r="E499" s="8" t="str">
        <f>IF([2]道具信息!E499="","",[2]道具信息!E499)</f>
        <v/>
      </c>
      <c r="F499" s="8">
        <f>IF([2]道具信息!F499="","",[2]道具信息!F499)</f>
        <v>1</v>
      </c>
      <c r="G499" s="8">
        <f>IF([2]道具信息!G499="","",[2]道具信息!G499)</f>
        <v>1</v>
      </c>
      <c r="H499" s="8">
        <f>IF([2]道具信息!H499="","",[2]道具信息!H499)</f>
        <v>1</v>
      </c>
      <c r="I499" s="8" t="str">
        <f>IF([2]道具信息!I499="","",[2]道具信息!I499)</f>
        <v/>
      </c>
      <c r="J499" s="8" t="str">
        <f>IF([2]道具信息!J499="","",[2]道具信息!J499)</f>
        <v/>
      </c>
      <c r="K499" s="8" t="str">
        <f>IF([2]道具信息!K499="","",[2]道具信息!K499)</f>
        <v/>
      </c>
      <c r="L499" s="8" t="str">
        <f>IF([2]道具信息!L499="","",[2]道具信息!L499)</f>
        <v/>
      </c>
      <c r="M499" s="8" t="str">
        <f>IF([2]道具信息!M499="","",[2]道具信息!M499)</f>
        <v/>
      </c>
      <c r="N499" s="8" t="str">
        <f>IF([2]道具信息!N499="","",[2]道具信息!N499)</f>
        <v/>
      </c>
      <c r="O499" s="8" t="str">
        <f>IF([2]道具信息!O499="","",[2]道具信息!O499)</f>
        <v/>
      </c>
      <c r="P499" s="8" t="str">
        <f>IF([2]道具信息!P499="","",[2]道具信息!P499)</f>
        <v/>
      </c>
      <c r="Q499" s="8" t="str">
        <f>IF([2]道具信息!Q499="","",[2]道具信息!Q499)</f>
        <v/>
      </c>
      <c r="R499" s="8" t="str">
        <f>IF([2]道具信息!R499="","",[2]道具信息!R499)</f>
        <v/>
      </c>
    </row>
    <row r="500" spans="3:18" x14ac:dyDescent="0.2">
      <c r="C500" s="8" t="str">
        <f>IF([2]道具信息!C500="","",[2]道具信息!C500)</f>
        <v/>
      </c>
      <c r="D500" s="8" t="str">
        <f>IF([2]道具信息!D500="","",[2]道具信息!D500)</f>
        <v/>
      </c>
      <c r="E500" s="8" t="str">
        <f>IF([2]道具信息!E500="","",[2]道具信息!E500)</f>
        <v/>
      </c>
      <c r="F500" s="8">
        <f>IF([2]道具信息!F500="","",[2]道具信息!F500)</f>
        <v>1</v>
      </c>
      <c r="G500" s="8">
        <f>IF([2]道具信息!G500="","",[2]道具信息!G500)</f>
        <v>1</v>
      </c>
      <c r="H500" s="8">
        <f>IF([2]道具信息!H500="","",[2]道具信息!H500)</f>
        <v>1</v>
      </c>
      <c r="I500" s="8" t="str">
        <f>IF([2]道具信息!I500="","",[2]道具信息!I500)</f>
        <v/>
      </c>
      <c r="J500" s="8" t="str">
        <f>IF([2]道具信息!J500="","",[2]道具信息!J500)</f>
        <v/>
      </c>
      <c r="K500" s="8" t="str">
        <f>IF([2]道具信息!K500="","",[2]道具信息!K500)</f>
        <v/>
      </c>
      <c r="L500" s="8" t="str">
        <f>IF([2]道具信息!L500="","",[2]道具信息!L500)</f>
        <v/>
      </c>
      <c r="M500" s="8" t="str">
        <f>IF([2]道具信息!M500="","",[2]道具信息!M500)</f>
        <v/>
      </c>
      <c r="N500" s="8" t="str">
        <f>IF([2]道具信息!N500="","",[2]道具信息!N500)</f>
        <v/>
      </c>
      <c r="O500" s="8" t="str">
        <f>IF([2]道具信息!O500="","",[2]道具信息!O500)</f>
        <v/>
      </c>
      <c r="P500" s="8" t="str">
        <f>IF([2]道具信息!P500="","",[2]道具信息!P500)</f>
        <v/>
      </c>
      <c r="Q500" s="8" t="str">
        <f>IF([2]道具信息!Q500="","",[2]道具信息!Q500)</f>
        <v/>
      </c>
      <c r="R500" s="8" t="str">
        <f>IF([2]道具信息!R500="","",[2]道具信息!R500)</f>
        <v/>
      </c>
    </row>
    <row r="501" spans="3:18" x14ac:dyDescent="0.2">
      <c r="C501" s="8" t="str">
        <f>IF([2]道具信息!C501="","",[2]道具信息!C501)</f>
        <v/>
      </c>
      <c r="D501" s="8" t="str">
        <f>IF([2]道具信息!D501="","",[2]道具信息!D501)</f>
        <v/>
      </c>
      <c r="E501" s="8" t="str">
        <f>IF([2]道具信息!E501="","",[2]道具信息!E501)</f>
        <v/>
      </c>
      <c r="F501" s="8">
        <f>IF([2]道具信息!F501="","",[2]道具信息!F501)</f>
        <v>1</v>
      </c>
      <c r="G501" s="8">
        <f>IF([2]道具信息!G501="","",[2]道具信息!G501)</f>
        <v>1</v>
      </c>
      <c r="H501" s="8">
        <f>IF([2]道具信息!H501="","",[2]道具信息!H501)</f>
        <v>1</v>
      </c>
      <c r="I501" s="8" t="str">
        <f>IF([2]道具信息!I501="","",[2]道具信息!I501)</f>
        <v/>
      </c>
      <c r="J501" s="8" t="str">
        <f>IF([2]道具信息!J501="","",[2]道具信息!J501)</f>
        <v/>
      </c>
      <c r="K501" s="8" t="str">
        <f>IF([2]道具信息!K501="","",[2]道具信息!K501)</f>
        <v/>
      </c>
      <c r="L501" s="8" t="str">
        <f>IF([2]道具信息!L501="","",[2]道具信息!L501)</f>
        <v/>
      </c>
      <c r="M501" s="8" t="str">
        <f>IF([2]道具信息!M501="","",[2]道具信息!M501)</f>
        <v/>
      </c>
      <c r="N501" s="8" t="str">
        <f>IF([2]道具信息!N501="","",[2]道具信息!N501)</f>
        <v/>
      </c>
      <c r="O501" s="8" t="str">
        <f>IF([2]道具信息!O501="","",[2]道具信息!O501)</f>
        <v/>
      </c>
      <c r="P501" s="8" t="str">
        <f>IF([2]道具信息!P501="","",[2]道具信息!P501)</f>
        <v/>
      </c>
      <c r="Q501" s="8" t="str">
        <f>IF([2]道具信息!Q501="","",[2]道具信息!Q501)</f>
        <v/>
      </c>
      <c r="R501" s="8" t="str">
        <f>IF([2]道具信息!R501="","",[2]道具信息!R501)</f>
        <v/>
      </c>
    </row>
    <row r="502" spans="3:18" x14ac:dyDescent="0.2">
      <c r="C502" s="8" t="str">
        <f>IF([2]道具信息!C502="","",[2]道具信息!C502)</f>
        <v/>
      </c>
      <c r="D502" s="8" t="str">
        <f>IF([2]道具信息!D502="","",[2]道具信息!D502)</f>
        <v/>
      </c>
      <c r="E502" s="8" t="str">
        <f>IF([2]道具信息!E502="","",[2]道具信息!E502)</f>
        <v/>
      </c>
      <c r="F502" s="8">
        <f>IF([2]道具信息!F502="","",[2]道具信息!F502)</f>
        <v>1</v>
      </c>
      <c r="G502" s="8">
        <f>IF([2]道具信息!G502="","",[2]道具信息!G502)</f>
        <v>1</v>
      </c>
      <c r="H502" s="8">
        <f>IF([2]道具信息!H502="","",[2]道具信息!H502)</f>
        <v>1</v>
      </c>
      <c r="I502" s="8" t="str">
        <f>IF([2]道具信息!I502="","",[2]道具信息!I502)</f>
        <v/>
      </c>
      <c r="J502" s="8" t="str">
        <f>IF([2]道具信息!J502="","",[2]道具信息!J502)</f>
        <v/>
      </c>
      <c r="K502" s="8" t="str">
        <f>IF([2]道具信息!K502="","",[2]道具信息!K502)</f>
        <v/>
      </c>
      <c r="L502" s="8" t="str">
        <f>IF([2]道具信息!L502="","",[2]道具信息!L502)</f>
        <v/>
      </c>
      <c r="M502" s="8" t="str">
        <f>IF([2]道具信息!M502="","",[2]道具信息!M502)</f>
        <v/>
      </c>
      <c r="N502" s="8" t="str">
        <f>IF([2]道具信息!N502="","",[2]道具信息!N502)</f>
        <v/>
      </c>
      <c r="O502" s="8" t="str">
        <f>IF([2]道具信息!O502="","",[2]道具信息!O502)</f>
        <v/>
      </c>
      <c r="P502" s="8" t="str">
        <f>IF([2]道具信息!P502="","",[2]道具信息!P502)</f>
        <v/>
      </c>
      <c r="Q502" s="8" t="str">
        <f>IF([2]道具信息!Q502="","",[2]道具信息!Q502)</f>
        <v/>
      </c>
      <c r="R502" s="8" t="str">
        <f>IF([2]道具信息!R502="","",[2]道具信息!R502)</f>
        <v/>
      </c>
    </row>
    <row r="503" spans="3:18" x14ac:dyDescent="0.2">
      <c r="C503" s="8" t="str">
        <f>IF([2]道具信息!C503="","",[2]道具信息!C503)</f>
        <v/>
      </c>
      <c r="D503" s="8" t="str">
        <f>IF([2]道具信息!D503="","",[2]道具信息!D503)</f>
        <v/>
      </c>
      <c r="E503" s="8" t="str">
        <f>IF([2]道具信息!E503="","",[2]道具信息!E503)</f>
        <v/>
      </c>
      <c r="F503" s="8">
        <f>IF([2]道具信息!F503="","",[2]道具信息!F503)</f>
        <v>1</v>
      </c>
      <c r="G503" s="8">
        <f>IF([2]道具信息!G503="","",[2]道具信息!G503)</f>
        <v>1</v>
      </c>
      <c r="H503" s="8">
        <f>IF([2]道具信息!H503="","",[2]道具信息!H503)</f>
        <v>1</v>
      </c>
      <c r="I503" s="8" t="str">
        <f>IF([2]道具信息!I503="","",[2]道具信息!I503)</f>
        <v/>
      </c>
      <c r="J503" s="8" t="str">
        <f>IF([2]道具信息!J503="","",[2]道具信息!J503)</f>
        <v/>
      </c>
      <c r="K503" s="8" t="str">
        <f>IF([2]道具信息!K503="","",[2]道具信息!K503)</f>
        <v/>
      </c>
      <c r="L503" s="8" t="str">
        <f>IF([2]道具信息!L503="","",[2]道具信息!L503)</f>
        <v/>
      </c>
      <c r="M503" s="8" t="str">
        <f>IF([2]道具信息!M503="","",[2]道具信息!M503)</f>
        <v/>
      </c>
      <c r="N503" s="8" t="str">
        <f>IF([2]道具信息!N503="","",[2]道具信息!N503)</f>
        <v/>
      </c>
      <c r="O503" s="8" t="str">
        <f>IF([2]道具信息!O503="","",[2]道具信息!O503)</f>
        <v/>
      </c>
      <c r="P503" s="8" t="str">
        <f>IF([2]道具信息!P503="","",[2]道具信息!P503)</f>
        <v/>
      </c>
      <c r="Q503" s="8" t="str">
        <f>IF([2]道具信息!Q503="","",[2]道具信息!Q503)</f>
        <v/>
      </c>
      <c r="R503" s="8" t="str">
        <f>IF([2]道具信息!R503="","",[2]道具信息!R503)</f>
        <v/>
      </c>
    </row>
    <row r="504" spans="3:18" x14ac:dyDescent="0.2">
      <c r="C504" s="8" t="str">
        <f>IF([2]道具信息!C504="","",[2]道具信息!C504)</f>
        <v/>
      </c>
      <c r="D504" s="8" t="str">
        <f>IF([2]道具信息!D504="","",[2]道具信息!D504)</f>
        <v/>
      </c>
      <c r="E504" s="8" t="str">
        <f>IF([2]道具信息!E504="","",[2]道具信息!E504)</f>
        <v/>
      </c>
      <c r="F504" s="8" t="str">
        <f>IF([2]道具信息!F504="","",[2]道具信息!F504)</f>
        <v/>
      </c>
      <c r="G504" s="8" t="str">
        <f>IF([2]道具信息!G504="","",[2]道具信息!G504)</f>
        <v/>
      </c>
      <c r="H504" s="8" t="str">
        <f>IF([2]道具信息!H504="","",[2]道具信息!H504)</f>
        <v/>
      </c>
      <c r="I504" s="8" t="str">
        <f>IF([2]道具信息!I504="","",[2]道具信息!I504)</f>
        <v/>
      </c>
      <c r="J504" s="8" t="str">
        <f>IF([2]道具信息!J504="","",[2]道具信息!J504)</f>
        <v/>
      </c>
      <c r="K504" s="8" t="str">
        <f>IF([2]道具信息!K504="","",[2]道具信息!K504)</f>
        <v/>
      </c>
      <c r="L504" s="8" t="str">
        <f>IF([2]道具信息!L504="","",[2]道具信息!L504)</f>
        <v/>
      </c>
      <c r="M504" s="8" t="str">
        <f>IF([2]道具信息!M504="","",[2]道具信息!M504)</f>
        <v/>
      </c>
      <c r="N504" s="8" t="str">
        <f>IF([2]道具信息!N504="","",[2]道具信息!N504)</f>
        <v/>
      </c>
      <c r="O504" s="8" t="str">
        <f>IF([2]道具信息!O504="","",[2]道具信息!O504)</f>
        <v/>
      </c>
      <c r="P504" s="8" t="str">
        <f>IF([2]道具信息!P504="","",[2]道具信息!P504)</f>
        <v/>
      </c>
      <c r="Q504" s="8" t="str">
        <f>IF([2]道具信息!Q504="","",[2]道具信息!Q504)</f>
        <v/>
      </c>
      <c r="R504" s="8" t="str">
        <f>IF([2]道具信息!R504="","",[2]道具信息!R504)</f>
        <v/>
      </c>
    </row>
    <row r="505" spans="3:18" x14ac:dyDescent="0.2">
      <c r="C505" s="8" t="str">
        <f>IF([2]道具信息!C505="","",[2]道具信息!C505)</f>
        <v/>
      </c>
      <c r="D505" s="8" t="str">
        <f>IF([2]道具信息!D505="","",[2]道具信息!D505)</f>
        <v/>
      </c>
      <c r="E505" s="8" t="str">
        <f>IF([2]道具信息!E505="","",[2]道具信息!E505)</f>
        <v/>
      </c>
      <c r="F505" s="8" t="str">
        <f>IF([2]道具信息!F505="","",[2]道具信息!F505)</f>
        <v/>
      </c>
      <c r="G505" s="8" t="str">
        <f>IF([2]道具信息!G505="","",[2]道具信息!G505)</f>
        <v/>
      </c>
      <c r="H505" s="8" t="str">
        <f>IF([2]道具信息!H505="","",[2]道具信息!H505)</f>
        <v/>
      </c>
      <c r="I505" s="8" t="str">
        <f>IF([2]道具信息!I505="","",[2]道具信息!I505)</f>
        <v/>
      </c>
      <c r="J505" s="8" t="str">
        <f>IF([2]道具信息!J505="","",[2]道具信息!J505)</f>
        <v/>
      </c>
      <c r="K505" s="8" t="str">
        <f>IF([2]道具信息!K505="","",[2]道具信息!K505)</f>
        <v/>
      </c>
      <c r="L505" s="8" t="str">
        <f>IF([2]道具信息!L505="","",[2]道具信息!L505)</f>
        <v/>
      </c>
      <c r="M505" s="8" t="str">
        <f>IF([2]道具信息!M505="","",[2]道具信息!M505)</f>
        <v/>
      </c>
      <c r="N505" s="8" t="str">
        <f>IF([2]道具信息!N505="","",[2]道具信息!N505)</f>
        <v/>
      </c>
      <c r="O505" s="8" t="str">
        <f>IF([2]道具信息!O505="","",[2]道具信息!O505)</f>
        <v/>
      </c>
      <c r="P505" s="8" t="str">
        <f>IF([2]道具信息!P505="","",[2]道具信息!P505)</f>
        <v/>
      </c>
      <c r="Q505" s="8" t="str">
        <f>IF([2]道具信息!Q505="","",[2]道具信息!Q505)</f>
        <v/>
      </c>
      <c r="R505" s="8" t="str">
        <f>IF([2]道具信息!R505="","",[2]道具信息!R505)</f>
        <v/>
      </c>
    </row>
    <row r="506" spans="3:18" x14ac:dyDescent="0.2">
      <c r="C506" s="8" t="str">
        <f>IF([2]道具信息!C506="","",[2]道具信息!C506)</f>
        <v/>
      </c>
      <c r="D506" s="8" t="str">
        <f>IF([2]道具信息!D506="","",[2]道具信息!D506)</f>
        <v/>
      </c>
      <c r="E506" s="8" t="str">
        <f>IF([2]道具信息!E506="","",[2]道具信息!E506)</f>
        <v/>
      </c>
      <c r="F506" s="8" t="str">
        <f>IF([2]道具信息!F506="","",[2]道具信息!F506)</f>
        <v/>
      </c>
      <c r="G506" s="8" t="str">
        <f>IF([2]道具信息!G506="","",[2]道具信息!G506)</f>
        <v/>
      </c>
      <c r="H506" s="8" t="str">
        <f>IF([2]道具信息!H506="","",[2]道具信息!H506)</f>
        <v/>
      </c>
      <c r="I506" s="8" t="str">
        <f>IF([2]道具信息!I506="","",[2]道具信息!I506)</f>
        <v/>
      </c>
      <c r="J506" s="8" t="str">
        <f>IF([2]道具信息!J506="","",[2]道具信息!J506)</f>
        <v/>
      </c>
      <c r="K506" s="8" t="str">
        <f>IF([2]道具信息!K506="","",[2]道具信息!K506)</f>
        <v/>
      </c>
      <c r="L506" s="8" t="str">
        <f>IF([2]道具信息!L506="","",[2]道具信息!L506)</f>
        <v/>
      </c>
      <c r="M506" s="8" t="str">
        <f>IF([2]道具信息!M506="","",[2]道具信息!M506)</f>
        <v/>
      </c>
      <c r="N506" s="8" t="str">
        <f>IF([2]道具信息!N506="","",[2]道具信息!N506)</f>
        <v/>
      </c>
      <c r="O506" s="8" t="str">
        <f>IF([2]道具信息!O506="","",[2]道具信息!O506)</f>
        <v/>
      </c>
      <c r="P506" s="8" t="str">
        <f>IF([2]道具信息!P506="","",[2]道具信息!P506)</f>
        <v/>
      </c>
      <c r="Q506" s="8" t="str">
        <f>IF([2]道具信息!Q506="","",[2]道具信息!Q506)</f>
        <v/>
      </c>
      <c r="R506" s="8" t="str">
        <f>IF([2]道具信息!R506="","",[2]道具信息!R506)</f>
        <v/>
      </c>
    </row>
    <row r="507" spans="3:18" x14ac:dyDescent="0.2">
      <c r="C507" s="8" t="str">
        <f>IF([2]道具信息!C507="","",[2]道具信息!C507)</f>
        <v/>
      </c>
      <c r="D507" s="8" t="str">
        <f>IF([2]道具信息!D507="","",[2]道具信息!D507)</f>
        <v/>
      </c>
      <c r="E507" s="8" t="str">
        <f>IF([2]道具信息!E507="","",[2]道具信息!E507)</f>
        <v/>
      </c>
      <c r="F507" s="8" t="str">
        <f>IF([2]道具信息!F507="","",[2]道具信息!F507)</f>
        <v/>
      </c>
      <c r="G507" s="8" t="str">
        <f>IF([2]道具信息!G507="","",[2]道具信息!G507)</f>
        <v/>
      </c>
      <c r="H507" s="8" t="str">
        <f>IF([2]道具信息!H507="","",[2]道具信息!H507)</f>
        <v/>
      </c>
      <c r="I507" s="8" t="str">
        <f>IF([2]道具信息!I507="","",[2]道具信息!I507)</f>
        <v/>
      </c>
      <c r="J507" s="8" t="str">
        <f>IF([2]道具信息!J507="","",[2]道具信息!J507)</f>
        <v/>
      </c>
      <c r="K507" s="8" t="str">
        <f>IF([2]道具信息!K507="","",[2]道具信息!K507)</f>
        <v/>
      </c>
      <c r="L507" s="8" t="str">
        <f>IF([2]道具信息!L507="","",[2]道具信息!L507)</f>
        <v/>
      </c>
      <c r="M507" s="8" t="str">
        <f>IF([2]道具信息!M507="","",[2]道具信息!M507)</f>
        <v/>
      </c>
      <c r="N507" s="8" t="str">
        <f>IF([2]道具信息!N507="","",[2]道具信息!N507)</f>
        <v/>
      </c>
      <c r="O507" s="8" t="str">
        <f>IF([2]道具信息!O507="","",[2]道具信息!O507)</f>
        <v/>
      </c>
      <c r="P507" s="8" t="str">
        <f>IF([2]道具信息!P507="","",[2]道具信息!P507)</f>
        <v/>
      </c>
      <c r="Q507" s="8" t="str">
        <f>IF([2]道具信息!Q507="","",[2]道具信息!Q507)</f>
        <v/>
      </c>
      <c r="R507" s="8" t="str">
        <f>IF([2]道具信息!R507="","",[2]道具信息!R507)</f>
        <v/>
      </c>
    </row>
    <row r="508" spans="3:18" x14ac:dyDescent="0.2">
      <c r="C508" s="8" t="str">
        <f>IF([2]道具信息!C508="","",[2]道具信息!C508)</f>
        <v/>
      </c>
      <c r="D508" s="8" t="str">
        <f>IF([2]道具信息!D508="","",[2]道具信息!D508)</f>
        <v/>
      </c>
      <c r="E508" s="8" t="str">
        <f>IF([2]道具信息!E508="","",[2]道具信息!E508)</f>
        <v/>
      </c>
      <c r="F508" s="8" t="str">
        <f>IF([2]道具信息!F508="","",[2]道具信息!F508)</f>
        <v/>
      </c>
      <c r="G508" s="8" t="str">
        <f>IF([2]道具信息!G508="","",[2]道具信息!G508)</f>
        <v/>
      </c>
      <c r="H508" s="8" t="str">
        <f>IF([2]道具信息!H508="","",[2]道具信息!H508)</f>
        <v/>
      </c>
      <c r="I508" s="8" t="str">
        <f>IF([2]道具信息!I508="","",[2]道具信息!I508)</f>
        <v/>
      </c>
      <c r="J508" s="8" t="str">
        <f>IF([2]道具信息!J508="","",[2]道具信息!J508)</f>
        <v/>
      </c>
      <c r="K508" s="8" t="str">
        <f>IF([2]道具信息!K508="","",[2]道具信息!K508)</f>
        <v/>
      </c>
      <c r="L508" s="8" t="str">
        <f>IF([2]道具信息!L508="","",[2]道具信息!L508)</f>
        <v/>
      </c>
      <c r="M508" s="8" t="str">
        <f>IF([2]道具信息!M508="","",[2]道具信息!M508)</f>
        <v/>
      </c>
      <c r="N508" s="8" t="str">
        <f>IF([2]道具信息!N508="","",[2]道具信息!N508)</f>
        <v/>
      </c>
      <c r="O508" s="8" t="str">
        <f>IF([2]道具信息!O508="","",[2]道具信息!O508)</f>
        <v/>
      </c>
      <c r="P508" s="8" t="str">
        <f>IF([2]道具信息!P508="","",[2]道具信息!P508)</f>
        <v/>
      </c>
      <c r="Q508" s="8" t="str">
        <f>IF([2]道具信息!Q508="","",[2]道具信息!Q508)</f>
        <v/>
      </c>
      <c r="R508" s="8" t="str">
        <f>IF([2]道具信息!R508="","",[2]道具信息!R508)</f>
        <v/>
      </c>
    </row>
    <row r="509" spans="3:18" x14ac:dyDescent="0.2">
      <c r="C509" s="8" t="str">
        <f>IF([2]道具信息!C509="","",[2]道具信息!C509)</f>
        <v/>
      </c>
      <c r="D509" s="8" t="str">
        <f>IF([2]道具信息!D509="","",[2]道具信息!D509)</f>
        <v/>
      </c>
      <c r="E509" s="8" t="str">
        <f>IF([2]道具信息!E509="","",[2]道具信息!E509)</f>
        <v/>
      </c>
      <c r="F509" s="8" t="str">
        <f>IF([2]道具信息!F509="","",[2]道具信息!F509)</f>
        <v/>
      </c>
      <c r="G509" s="8" t="str">
        <f>IF([2]道具信息!G509="","",[2]道具信息!G509)</f>
        <v/>
      </c>
      <c r="H509" s="8" t="str">
        <f>IF([2]道具信息!H509="","",[2]道具信息!H509)</f>
        <v/>
      </c>
      <c r="I509" s="8" t="str">
        <f>IF([2]道具信息!I509="","",[2]道具信息!I509)</f>
        <v/>
      </c>
      <c r="J509" s="8" t="str">
        <f>IF([2]道具信息!J509="","",[2]道具信息!J509)</f>
        <v/>
      </c>
      <c r="K509" s="8" t="str">
        <f>IF([2]道具信息!K509="","",[2]道具信息!K509)</f>
        <v/>
      </c>
      <c r="L509" s="8" t="str">
        <f>IF([2]道具信息!L509="","",[2]道具信息!L509)</f>
        <v/>
      </c>
      <c r="M509" s="8" t="str">
        <f>IF([2]道具信息!M509="","",[2]道具信息!M509)</f>
        <v/>
      </c>
      <c r="N509" s="8" t="str">
        <f>IF([2]道具信息!N509="","",[2]道具信息!N509)</f>
        <v/>
      </c>
      <c r="O509" s="8" t="str">
        <f>IF([2]道具信息!O509="","",[2]道具信息!O509)</f>
        <v/>
      </c>
      <c r="P509" s="8" t="str">
        <f>IF([2]道具信息!P509="","",[2]道具信息!P509)</f>
        <v/>
      </c>
      <c r="Q509" s="8" t="str">
        <f>IF([2]道具信息!Q509="","",[2]道具信息!Q509)</f>
        <v/>
      </c>
      <c r="R509" s="8" t="str">
        <f>IF([2]道具信息!R509="","",[2]道具信息!R509)</f>
        <v/>
      </c>
    </row>
    <row r="510" spans="3:18" x14ac:dyDescent="0.2">
      <c r="C510" s="8" t="str">
        <f>IF([2]道具信息!C510="","",[2]道具信息!C510)</f>
        <v/>
      </c>
      <c r="D510" s="8" t="str">
        <f>IF([2]道具信息!D510="","",[2]道具信息!D510)</f>
        <v/>
      </c>
      <c r="E510" s="8" t="str">
        <f>IF([2]道具信息!E510="","",[2]道具信息!E510)</f>
        <v/>
      </c>
      <c r="F510" s="8" t="str">
        <f>IF([2]道具信息!F510="","",[2]道具信息!F510)</f>
        <v/>
      </c>
      <c r="G510" s="8" t="str">
        <f>IF([2]道具信息!G510="","",[2]道具信息!G510)</f>
        <v/>
      </c>
      <c r="H510" s="8" t="str">
        <f>IF([2]道具信息!H510="","",[2]道具信息!H510)</f>
        <v/>
      </c>
      <c r="I510" s="8" t="str">
        <f>IF([2]道具信息!I510="","",[2]道具信息!I510)</f>
        <v/>
      </c>
      <c r="J510" s="8" t="str">
        <f>IF([2]道具信息!J510="","",[2]道具信息!J510)</f>
        <v/>
      </c>
      <c r="K510" s="8" t="str">
        <f>IF([2]道具信息!K510="","",[2]道具信息!K510)</f>
        <v/>
      </c>
      <c r="L510" s="8" t="str">
        <f>IF([2]道具信息!L510="","",[2]道具信息!L510)</f>
        <v/>
      </c>
      <c r="M510" s="8" t="str">
        <f>IF([2]道具信息!M510="","",[2]道具信息!M510)</f>
        <v/>
      </c>
      <c r="N510" s="8" t="str">
        <f>IF([2]道具信息!N510="","",[2]道具信息!N510)</f>
        <v/>
      </c>
      <c r="O510" s="8" t="str">
        <f>IF([2]道具信息!O510="","",[2]道具信息!O510)</f>
        <v/>
      </c>
      <c r="P510" s="8" t="str">
        <f>IF([2]道具信息!P510="","",[2]道具信息!P510)</f>
        <v/>
      </c>
      <c r="Q510" s="8" t="str">
        <f>IF([2]道具信息!Q510="","",[2]道具信息!Q510)</f>
        <v/>
      </c>
      <c r="R510" s="8" t="str">
        <f>IF([2]道具信息!R510="","",[2]道具信息!R510)</f>
        <v/>
      </c>
    </row>
    <row r="511" spans="3:18" x14ac:dyDescent="0.2">
      <c r="C511" s="8" t="str">
        <f>IF([2]道具信息!C511="","",[2]道具信息!C511)</f>
        <v/>
      </c>
      <c r="D511" s="8" t="str">
        <f>IF([2]道具信息!D511="","",[2]道具信息!D511)</f>
        <v/>
      </c>
      <c r="E511" s="8" t="str">
        <f>IF([2]道具信息!E511="","",[2]道具信息!E511)</f>
        <v/>
      </c>
      <c r="F511" s="8" t="str">
        <f>IF([2]道具信息!F511="","",[2]道具信息!F511)</f>
        <v/>
      </c>
      <c r="G511" s="8" t="str">
        <f>IF([2]道具信息!G511="","",[2]道具信息!G511)</f>
        <v/>
      </c>
      <c r="H511" s="8" t="str">
        <f>IF([2]道具信息!H511="","",[2]道具信息!H511)</f>
        <v/>
      </c>
      <c r="I511" s="8" t="str">
        <f>IF([2]道具信息!I511="","",[2]道具信息!I511)</f>
        <v/>
      </c>
      <c r="J511" s="8" t="str">
        <f>IF([2]道具信息!J511="","",[2]道具信息!J511)</f>
        <v/>
      </c>
      <c r="K511" s="8" t="str">
        <f>IF([2]道具信息!K511="","",[2]道具信息!K511)</f>
        <v/>
      </c>
      <c r="L511" s="8" t="str">
        <f>IF([2]道具信息!L511="","",[2]道具信息!L511)</f>
        <v/>
      </c>
      <c r="M511" s="8" t="str">
        <f>IF([2]道具信息!M511="","",[2]道具信息!M511)</f>
        <v/>
      </c>
      <c r="N511" s="8" t="str">
        <f>IF([2]道具信息!N511="","",[2]道具信息!N511)</f>
        <v/>
      </c>
      <c r="O511" s="8" t="str">
        <f>IF([2]道具信息!O511="","",[2]道具信息!O511)</f>
        <v/>
      </c>
      <c r="P511" s="8" t="str">
        <f>IF([2]道具信息!P511="","",[2]道具信息!P511)</f>
        <v/>
      </c>
      <c r="Q511" s="8" t="str">
        <f>IF([2]道具信息!Q511="","",[2]道具信息!Q511)</f>
        <v/>
      </c>
      <c r="R511" s="8" t="str">
        <f>IF([2]道具信息!R511="","",[2]道具信息!R511)</f>
        <v/>
      </c>
    </row>
    <row r="512" spans="3:18" x14ac:dyDescent="0.2">
      <c r="C512" s="8" t="str">
        <f>IF([2]道具信息!C512="","",[2]道具信息!C512)</f>
        <v/>
      </c>
      <c r="D512" s="8" t="str">
        <f>IF([2]道具信息!D512="","",[2]道具信息!D512)</f>
        <v/>
      </c>
      <c r="E512" s="8" t="str">
        <f>IF([2]道具信息!E512="","",[2]道具信息!E512)</f>
        <v/>
      </c>
      <c r="F512" s="8" t="str">
        <f>IF([2]道具信息!F512="","",[2]道具信息!F512)</f>
        <v/>
      </c>
      <c r="G512" s="8" t="str">
        <f>IF([2]道具信息!G512="","",[2]道具信息!G512)</f>
        <v/>
      </c>
      <c r="H512" s="8" t="str">
        <f>IF([2]道具信息!H512="","",[2]道具信息!H512)</f>
        <v/>
      </c>
      <c r="I512" s="8" t="str">
        <f>IF([2]道具信息!I512="","",[2]道具信息!I512)</f>
        <v/>
      </c>
      <c r="J512" s="8" t="str">
        <f>IF([2]道具信息!J512="","",[2]道具信息!J512)</f>
        <v/>
      </c>
      <c r="K512" s="8" t="str">
        <f>IF([2]道具信息!K512="","",[2]道具信息!K512)</f>
        <v/>
      </c>
      <c r="L512" s="8" t="str">
        <f>IF([2]道具信息!L512="","",[2]道具信息!L512)</f>
        <v/>
      </c>
      <c r="M512" s="8" t="str">
        <f>IF([2]道具信息!M512="","",[2]道具信息!M512)</f>
        <v/>
      </c>
      <c r="N512" s="8" t="str">
        <f>IF([2]道具信息!N512="","",[2]道具信息!N512)</f>
        <v/>
      </c>
      <c r="O512" s="8" t="str">
        <f>IF([2]道具信息!O512="","",[2]道具信息!O512)</f>
        <v/>
      </c>
      <c r="P512" s="8" t="str">
        <f>IF([2]道具信息!P512="","",[2]道具信息!P512)</f>
        <v/>
      </c>
      <c r="Q512" s="8" t="str">
        <f>IF([2]道具信息!Q512="","",[2]道具信息!Q512)</f>
        <v/>
      </c>
      <c r="R512" s="8" t="str">
        <f>IF([2]道具信息!R512="","",[2]道具信息!R512)</f>
        <v/>
      </c>
    </row>
    <row r="513" spans="3:18" x14ac:dyDescent="0.2">
      <c r="C513" s="8" t="str">
        <f>IF([2]道具信息!C513="","",[2]道具信息!C513)</f>
        <v/>
      </c>
      <c r="D513" s="8" t="str">
        <f>IF([2]道具信息!D513="","",[2]道具信息!D513)</f>
        <v/>
      </c>
      <c r="E513" s="8" t="str">
        <f>IF([2]道具信息!E513="","",[2]道具信息!E513)</f>
        <v/>
      </c>
      <c r="F513" s="8" t="str">
        <f>IF([2]道具信息!F513="","",[2]道具信息!F513)</f>
        <v/>
      </c>
      <c r="G513" s="8" t="str">
        <f>IF([2]道具信息!G513="","",[2]道具信息!G513)</f>
        <v/>
      </c>
      <c r="H513" s="8" t="str">
        <f>IF([2]道具信息!H513="","",[2]道具信息!H513)</f>
        <v/>
      </c>
      <c r="I513" s="8" t="str">
        <f>IF([2]道具信息!I513="","",[2]道具信息!I513)</f>
        <v/>
      </c>
      <c r="J513" s="8" t="str">
        <f>IF([2]道具信息!J513="","",[2]道具信息!J513)</f>
        <v/>
      </c>
      <c r="K513" s="8" t="str">
        <f>IF([2]道具信息!K513="","",[2]道具信息!K513)</f>
        <v/>
      </c>
      <c r="L513" s="8" t="str">
        <f>IF([2]道具信息!L513="","",[2]道具信息!L513)</f>
        <v/>
      </c>
      <c r="M513" s="8" t="str">
        <f>IF([2]道具信息!M513="","",[2]道具信息!M513)</f>
        <v/>
      </c>
      <c r="N513" s="8" t="str">
        <f>IF([2]道具信息!N513="","",[2]道具信息!N513)</f>
        <v/>
      </c>
      <c r="O513" s="8" t="str">
        <f>IF([2]道具信息!O513="","",[2]道具信息!O513)</f>
        <v/>
      </c>
      <c r="P513" s="8" t="str">
        <f>IF([2]道具信息!P513="","",[2]道具信息!P513)</f>
        <v/>
      </c>
      <c r="Q513" s="8" t="str">
        <f>IF([2]道具信息!Q513="","",[2]道具信息!Q513)</f>
        <v/>
      </c>
      <c r="R513" s="8" t="str">
        <f>IF([2]道具信息!R513="","",[2]道具信息!R513)</f>
        <v/>
      </c>
    </row>
    <row r="514" spans="3:18" x14ac:dyDescent="0.2">
      <c r="C514" s="8" t="str">
        <f>IF([2]道具信息!C514="","",[2]道具信息!C514)</f>
        <v/>
      </c>
      <c r="D514" s="8" t="str">
        <f>IF([2]道具信息!D514="","",[2]道具信息!D514)</f>
        <v/>
      </c>
      <c r="E514" s="8" t="str">
        <f>IF([2]道具信息!E514="","",[2]道具信息!E514)</f>
        <v/>
      </c>
      <c r="F514" s="8" t="str">
        <f>IF([2]道具信息!F514="","",[2]道具信息!F514)</f>
        <v/>
      </c>
      <c r="G514" s="8" t="str">
        <f>IF([2]道具信息!G514="","",[2]道具信息!G514)</f>
        <v/>
      </c>
      <c r="H514" s="8" t="str">
        <f>IF([2]道具信息!H514="","",[2]道具信息!H514)</f>
        <v/>
      </c>
      <c r="I514" s="8" t="str">
        <f>IF([2]道具信息!I514="","",[2]道具信息!I514)</f>
        <v/>
      </c>
      <c r="J514" s="8" t="str">
        <f>IF([2]道具信息!J514="","",[2]道具信息!J514)</f>
        <v/>
      </c>
      <c r="K514" s="8" t="str">
        <f>IF([2]道具信息!K514="","",[2]道具信息!K514)</f>
        <v/>
      </c>
      <c r="L514" s="8" t="str">
        <f>IF([2]道具信息!L514="","",[2]道具信息!L514)</f>
        <v/>
      </c>
      <c r="M514" s="8" t="str">
        <f>IF([2]道具信息!M514="","",[2]道具信息!M514)</f>
        <v/>
      </c>
      <c r="N514" s="8" t="str">
        <f>IF([2]道具信息!N514="","",[2]道具信息!N514)</f>
        <v/>
      </c>
      <c r="O514" s="8" t="str">
        <f>IF([2]道具信息!O514="","",[2]道具信息!O514)</f>
        <v/>
      </c>
      <c r="P514" s="8" t="str">
        <f>IF([2]道具信息!P514="","",[2]道具信息!P514)</f>
        <v/>
      </c>
      <c r="Q514" s="8" t="str">
        <f>IF([2]道具信息!Q514="","",[2]道具信息!Q514)</f>
        <v/>
      </c>
      <c r="R514" s="8" t="str">
        <f>IF([2]道具信息!R514="","",[2]道具信息!R514)</f>
        <v/>
      </c>
    </row>
    <row r="515" spans="3:18" x14ac:dyDescent="0.2">
      <c r="C515" s="8" t="str">
        <f>IF([2]道具信息!C515="","",[2]道具信息!C515)</f>
        <v/>
      </c>
      <c r="D515" s="8" t="str">
        <f>IF([2]道具信息!D515="","",[2]道具信息!D515)</f>
        <v/>
      </c>
      <c r="E515" s="8" t="str">
        <f>IF([2]道具信息!E515="","",[2]道具信息!E515)</f>
        <v/>
      </c>
      <c r="F515" s="8" t="str">
        <f>IF([2]道具信息!F515="","",[2]道具信息!F515)</f>
        <v/>
      </c>
      <c r="G515" s="8" t="str">
        <f>IF([2]道具信息!G515="","",[2]道具信息!G515)</f>
        <v/>
      </c>
      <c r="H515" s="8" t="str">
        <f>IF([2]道具信息!H515="","",[2]道具信息!H515)</f>
        <v/>
      </c>
      <c r="I515" s="8" t="str">
        <f>IF([2]道具信息!I515="","",[2]道具信息!I515)</f>
        <v/>
      </c>
      <c r="J515" s="8" t="str">
        <f>IF([2]道具信息!J515="","",[2]道具信息!J515)</f>
        <v/>
      </c>
      <c r="K515" s="8" t="str">
        <f>IF([2]道具信息!K515="","",[2]道具信息!K515)</f>
        <v/>
      </c>
      <c r="L515" s="8" t="str">
        <f>IF([2]道具信息!L515="","",[2]道具信息!L515)</f>
        <v/>
      </c>
      <c r="M515" s="8" t="str">
        <f>IF([2]道具信息!M515="","",[2]道具信息!M515)</f>
        <v/>
      </c>
      <c r="N515" s="8" t="str">
        <f>IF([2]道具信息!N515="","",[2]道具信息!N515)</f>
        <v/>
      </c>
      <c r="O515" s="8" t="str">
        <f>IF([2]道具信息!O515="","",[2]道具信息!O515)</f>
        <v/>
      </c>
      <c r="P515" s="8" t="str">
        <f>IF([2]道具信息!P515="","",[2]道具信息!P515)</f>
        <v/>
      </c>
      <c r="Q515" s="8" t="str">
        <f>IF([2]道具信息!Q515="","",[2]道具信息!Q515)</f>
        <v/>
      </c>
      <c r="R515" s="8" t="str">
        <f>IF([2]道具信息!R515="","",[2]道具信息!R515)</f>
        <v/>
      </c>
    </row>
    <row r="516" spans="3:18" x14ac:dyDescent="0.2">
      <c r="C516" s="8" t="str">
        <f>IF([2]道具信息!C516="","",[2]道具信息!C516)</f>
        <v/>
      </c>
      <c r="D516" s="8" t="str">
        <f>IF([2]道具信息!D516="","",[2]道具信息!D516)</f>
        <v/>
      </c>
      <c r="E516" s="8" t="str">
        <f>IF([2]道具信息!E516="","",[2]道具信息!E516)</f>
        <v/>
      </c>
      <c r="F516" s="8" t="str">
        <f>IF([2]道具信息!F516="","",[2]道具信息!F516)</f>
        <v/>
      </c>
      <c r="G516" s="8" t="str">
        <f>IF([2]道具信息!G516="","",[2]道具信息!G516)</f>
        <v/>
      </c>
      <c r="H516" s="8" t="str">
        <f>IF([2]道具信息!H516="","",[2]道具信息!H516)</f>
        <v/>
      </c>
      <c r="I516" s="8" t="str">
        <f>IF([2]道具信息!I516="","",[2]道具信息!I516)</f>
        <v/>
      </c>
      <c r="J516" s="8" t="str">
        <f>IF([2]道具信息!J516="","",[2]道具信息!J516)</f>
        <v/>
      </c>
      <c r="K516" s="8" t="str">
        <f>IF([2]道具信息!K516="","",[2]道具信息!K516)</f>
        <v/>
      </c>
      <c r="L516" s="8" t="str">
        <f>IF([2]道具信息!L516="","",[2]道具信息!L516)</f>
        <v/>
      </c>
      <c r="M516" s="8" t="str">
        <f>IF([2]道具信息!M516="","",[2]道具信息!M516)</f>
        <v/>
      </c>
      <c r="N516" s="8" t="str">
        <f>IF([2]道具信息!N516="","",[2]道具信息!N516)</f>
        <v/>
      </c>
      <c r="O516" s="8" t="str">
        <f>IF([2]道具信息!O516="","",[2]道具信息!O516)</f>
        <v/>
      </c>
      <c r="P516" s="8" t="str">
        <f>IF([2]道具信息!P516="","",[2]道具信息!P516)</f>
        <v/>
      </c>
      <c r="Q516" s="8" t="str">
        <f>IF([2]道具信息!Q516="","",[2]道具信息!Q516)</f>
        <v/>
      </c>
      <c r="R516" s="8" t="str">
        <f>IF([2]道具信息!R516="","",[2]道具信息!R516)</f>
        <v/>
      </c>
    </row>
    <row r="517" spans="3:18" x14ac:dyDescent="0.2">
      <c r="C517" s="8" t="str">
        <f>IF([2]道具信息!C517="","",[2]道具信息!C517)</f>
        <v/>
      </c>
      <c r="D517" s="8" t="str">
        <f>IF([2]道具信息!D517="","",[2]道具信息!D517)</f>
        <v/>
      </c>
      <c r="E517" s="8" t="str">
        <f>IF([2]道具信息!E517="","",[2]道具信息!E517)</f>
        <v/>
      </c>
      <c r="F517" s="8" t="str">
        <f>IF([2]道具信息!F517="","",[2]道具信息!F517)</f>
        <v/>
      </c>
      <c r="G517" s="8" t="str">
        <f>IF([2]道具信息!G517="","",[2]道具信息!G517)</f>
        <v/>
      </c>
      <c r="H517" s="8" t="str">
        <f>IF([2]道具信息!H517="","",[2]道具信息!H517)</f>
        <v/>
      </c>
      <c r="I517" s="8" t="str">
        <f>IF([2]道具信息!I517="","",[2]道具信息!I517)</f>
        <v/>
      </c>
      <c r="J517" s="8" t="str">
        <f>IF([2]道具信息!J517="","",[2]道具信息!J517)</f>
        <v/>
      </c>
      <c r="K517" s="8" t="str">
        <f>IF([2]道具信息!K517="","",[2]道具信息!K517)</f>
        <v/>
      </c>
      <c r="L517" s="8" t="str">
        <f>IF([2]道具信息!L517="","",[2]道具信息!L517)</f>
        <v/>
      </c>
      <c r="M517" s="8" t="str">
        <f>IF([2]道具信息!M517="","",[2]道具信息!M517)</f>
        <v/>
      </c>
      <c r="N517" s="8" t="str">
        <f>IF([2]道具信息!N517="","",[2]道具信息!N517)</f>
        <v/>
      </c>
      <c r="O517" s="8" t="str">
        <f>IF([2]道具信息!O517="","",[2]道具信息!O517)</f>
        <v/>
      </c>
      <c r="P517" s="8" t="str">
        <f>IF([2]道具信息!P517="","",[2]道具信息!P517)</f>
        <v/>
      </c>
      <c r="Q517" s="8" t="str">
        <f>IF([2]道具信息!Q517="","",[2]道具信息!Q517)</f>
        <v/>
      </c>
      <c r="R517" s="8" t="str">
        <f>IF([2]道具信息!R517="","",[2]道具信息!R517)</f>
        <v/>
      </c>
    </row>
    <row r="518" spans="3:18" x14ac:dyDescent="0.2">
      <c r="C518" s="8" t="str">
        <f>IF([2]道具信息!C518="","",[2]道具信息!C518)</f>
        <v/>
      </c>
      <c r="D518" s="8" t="str">
        <f>IF([2]道具信息!D518="","",[2]道具信息!D518)</f>
        <v/>
      </c>
      <c r="E518" s="8" t="str">
        <f>IF([2]道具信息!E518="","",[2]道具信息!E518)</f>
        <v/>
      </c>
      <c r="F518" s="8" t="str">
        <f>IF([2]道具信息!F518="","",[2]道具信息!F518)</f>
        <v/>
      </c>
      <c r="G518" s="8" t="str">
        <f>IF([2]道具信息!G518="","",[2]道具信息!G518)</f>
        <v/>
      </c>
      <c r="H518" s="8" t="str">
        <f>IF([2]道具信息!H518="","",[2]道具信息!H518)</f>
        <v/>
      </c>
      <c r="I518" s="8" t="str">
        <f>IF([2]道具信息!I518="","",[2]道具信息!I518)</f>
        <v/>
      </c>
      <c r="J518" s="8" t="str">
        <f>IF([2]道具信息!J518="","",[2]道具信息!J518)</f>
        <v/>
      </c>
      <c r="K518" s="8" t="str">
        <f>IF([2]道具信息!K518="","",[2]道具信息!K518)</f>
        <v/>
      </c>
      <c r="L518" s="8" t="str">
        <f>IF([2]道具信息!L518="","",[2]道具信息!L518)</f>
        <v/>
      </c>
      <c r="M518" s="8" t="str">
        <f>IF([2]道具信息!M518="","",[2]道具信息!M518)</f>
        <v/>
      </c>
      <c r="N518" s="8" t="str">
        <f>IF([2]道具信息!N518="","",[2]道具信息!N518)</f>
        <v/>
      </c>
      <c r="O518" s="8" t="str">
        <f>IF([2]道具信息!O518="","",[2]道具信息!O518)</f>
        <v/>
      </c>
      <c r="P518" s="8" t="str">
        <f>IF([2]道具信息!P518="","",[2]道具信息!P518)</f>
        <v/>
      </c>
      <c r="Q518" s="8" t="str">
        <f>IF([2]道具信息!Q518="","",[2]道具信息!Q518)</f>
        <v/>
      </c>
      <c r="R518" s="8" t="str">
        <f>IF([2]道具信息!R518="","",[2]道具信息!R518)</f>
        <v/>
      </c>
    </row>
    <row r="519" spans="3:18" x14ac:dyDescent="0.2">
      <c r="C519" s="8" t="str">
        <f>IF([2]道具信息!C519="","",[2]道具信息!C519)</f>
        <v/>
      </c>
      <c r="D519" s="8" t="str">
        <f>IF([2]道具信息!D519="","",[2]道具信息!D519)</f>
        <v/>
      </c>
      <c r="E519" s="8" t="str">
        <f>IF([2]道具信息!E519="","",[2]道具信息!E519)</f>
        <v/>
      </c>
      <c r="F519" s="8" t="str">
        <f>IF([2]道具信息!F519="","",[2]道具信息!F519)</f>
        <v/>
      </c>
      <c r="G519" s="8" t="str">
        <f>IF([2]道具信息!G519="","",[2]道具信息!G519)</f>
        <v/>
      </c>
      <c r="H519" s="8" t="str">
        <f>IF([2]道具信息!H519="","",[2]道具信息!H519)</f>
        <v/>
      </c>
      <c r="I519" s="8" t="str">
        <f>IF([2]道具信息!I519="","",[2]道具信息!I519)</f>
        <v/>
      </c>
      <c r="J519" s="8" t="str">
        <f>IF([2]道具信息!J519="","",[2]道具信息!J519)</f>
        <v/>
      </c>
      <c r="K519" s="8" t="str">
        <f>IF([2]道具信息!K519="","",[2]道具信息!K519)</f>
        <v/>
      </c>
      <c r="L519" s="8" t="str">
        <f>IF([2]道具信息!L519="","",[2]道具信息!L519)</f>
        <v/>
      </c>
      <c r="M519" s="8" t="str">
        <f>IF([2]道具信息!M519="","",[2]道具信息!M519)</f>
        <v/>
      </c>
      <c r="N519" s="8" t="str">
        <f>IF([2]道具信息!N519="","",[2]道具信息!N519)</f>
        <v/>
      </c>
      <c r="O519" s="8" t="str">
        <f>IF([2]道具信息!O519="","",[2]道具信息!O519)</f>
        <v/>
      </c>
      <c r="P519" s="8" t="str">
        <f>IF([2]道具信息!P519="","",[2]道具信息!P519)</f>
        <v/>
      </c>
      <c r="Q519" s="8" t="str">
        <f>IF([2]道具信息!Q519="","",[2]道具信息!Q519)</f>
        <v/>
      </c>
      <c r="R519" s="8" t="str">
        <f>IF([2]道具信息!R519="","",[2]道具信息!R519)</f>
        <v/>
      </c>
    </row>
    <row r="520" spans="3:18" x14ac:dyDescent="0.2">
      <c r="C520" s="8" t="str">
        <f>IF([2]道具信息!C520="","",[2]道具信息!C520)</f>
        <v/>
      </c>
      <c r="D520" s="8" t="str">
        <f>IF([2]道具信息!D520="","",[2]道具信息!D520)</f>
        <v/>
      </c>
      <c r="E520" s="8" t="str">
        <f>IF([2]道具信息!E520="","",[2]道具信息!E520)</f>
        <v/>
      </c>
      <c r="F520" s="8" t="str">
        <f>IF([2]道具信息!F520="","",[2]道具信息!F520)</f>
        <v/>
      </c>
      <c r="G520" s="8" t="str">
        <f>IF([2]道具信息!G520="","",[2]道具信息!G520)</f>
        <v/>
      </c>
      <c r="H520" s="8" t="str">
        <f>IF([2]道具信息!H520="","",[2]道具信息!H520)</f>
        <v/>
      </c>
      <c r="I520" s="8" t="str">
        <f>IF([2]道具信息!I520="","",[2]道具信息!I520)</f>
        <v/>
      </c>
      <c r="J520" s="8" t="str">
        <f>IF([2]道具信息!J520="","",[2]道具信息!J520)</f>
        <v/>
      </c>
      <c r="K520" s="8" t="str">
        <f>IF([2]道具信息!K520="","",[2]道具信息!K520)</f>
        <v/>
      </c>
      <c r="L520" s="8" t="str">
        <f>IF([2]道具信息!L520="","",[2]道具信息!L520)</f>
        <v/>
      </c>
      <c r="M520" s="8" t="str">
        <f>IF([2]道具信息!M520="","",[2]道具信息!M520)</f>
        <v/>
      </c>
      <c r="N520" s="8" t="str">
        <f>IF([2]道具信息!N520="","",[2]道具信息!N520)</f>
        <v/>
      </c>
      <c r="O520" s="8" t="str">
        <f>IF([2]道具信息!O520="","",[2]道具信息!O520)</f>
        <v/>
      </c>
      <c r="P520" s="8" t="str">
        <f>IF([2]道具信息!P520="","",[2]道具信息!P520)</f>
        <v/>
      </c>
      <c r="Q520" s="8" t="str">
        <f>IF([2]道具信息!Q520="","",[2]道具信息!Q520)</f>
        <v/>
      </c>
      <c r="R520" s="8" t="str">
        <f>IF([2]道具信息!R520="","",[2]道具信息!R520)</f>
        <v/>
      </c>
    </row>
    <row r="521" spans="3:18" x14ac:dyDescent="0.2">
      <c r="C521" s="8" t="str">
        <f>IF([2]道具信息!C521="","",[2]道具信息!C521)</f>
        <v/>
      </c>
      <c r="D521" s="8" t="str">
        <f>IF([2]道具信息!D521="","",[2]道具信息!D521)</f>
        <v/>
      </c>
      <c r="E521" s="8" t="str">
        <f>IF([2]道具信息!E521="","",[2]道具信息!E521)</f>
        <v/>
      </c>
      <c r="F521" s="8" t="str">
        <f>IF([2]道具信息!F521="","",[2]道具信息!F521)</f>
        <v/>
      </c>
      <c r="G521" s="8" t="str">
        <f>IF([2]道具信息!G521="","",[2]道具信息!G521)</f>
        <v/>
      </c>
      <c r="H521" s="8" t="str">
        <f>IF([2]道具信息!H521="","",[2]道具信息!H521)</f>
        <v/>
      </c>
      <c r="I521" s="8" t="str">
        <f>IF([2]道具信息!I521="","",[2]道具信息!I521)</f>
        <v/>
      </c>
      <c r="J521" s="8" t="str">
        <f>IF([2]道具信息!J521="","",[2]道具信息!J521)</f>
        <v/>
      </c>
      <c r="K521" s="8" t="str">
        <f>IF([2]道具信息!K521="","",[2]道具信息!K521)</f>
        <v/>
      </c>
      <c r="L521" s="8" t="str">
        <f>IF([2]道具信息!L521="","",[2]道具信息!L521)</f>
        <v/>
      </c>
      <c r="M521" s="8" t="str">
        <f>IF([2]道具信息!M521="","",[2]道具信息!M521)</f>
        <v/>
      </c>
      <c r="N521" s="8" t="str">
        <f>IF([2]道具信息!N521="","",[2]道具信息!N521)</f>
        <v/>
      </c>
      <c r="O521" s="8" t="str">
        <f>IF([2]道具信息!O521="","",[2]道具信息!O521)</f>
        <v/>
      </c>
      <c r="P521" s="8" t="str">
        <f>IF([2]道具信息!P521="","",[2]道具信息!P521)</f>
        <v/>
      </c>
      <c r="Q521" s="8" t="str">
        <f>IF([2]道具信息!Q521="","",[2]道具信息!Q521)</f>
        <v/>
      </c>
      <c r="R521" s="8" t="str">
        <f>IF([2]道具信息!R521="","",[2]道具信息!R521)</f>
        <v/>
      </c>
    </row>
    <row r="522" spans="3:18" x14ac:dyDescent="0.2">
      <c r="C522" s="8" t="str">
        <f>IF([2]道具信息!C522="","",[2]道具信息!C522)</f>
        <v/>
      </c>
      <c r="D522" s="8" t="str">
        <f>IF([2]道具信息!D522="","",[2]道具信息!D522)</f>
        <v/>
      </c>
      <c r="E522" s="8" t="str">
        <f>IF([2]道具信息!E522="","",[2]道具信息!E522)</f>
        <v/>
      </c>
      <c r="F522" s="8" t="str">
        <f>IF([2]道具信息!F522="","",[2]道具信息!F522)</f>
        <v/>
      </c>
      <c r="G522" s="8" t="str">
        <f>IF([2]道具信息!G522="","",[2]道具信息!G522)</f>
        <v/>
      </c>
      <c r="H522" s="8" t="str">
        <f>IF([2]道具信息!H522="","",[2]道具信息!H522)</f>
        <v/>
      </c>
      <c r="I522" s="8" t="str">
        <f>IF([2]道具信息!I522="","",[2]道具信息!I522)</f>
        <v/>
      </c>
      <c r="J522" s="8" t="str">
        <f>IF([2]道具信息!J522="","",[2]道具信息!J522)</f>
        <v/>
      </c>
      <c r="K522" s="8" t="str">
        <f>IF([2]道具信息!K522="","",[2]道具信息!K522)</f>
        <v/>
      </c>
      <c r="L522" s="8" t="str">
        <f>IF([2]道具信息!L522="","",[2]道具信息!L522)</f>
        <v/>
      </c>
      <c r="M522" s="8" t="str">
        <f>IF([2]道具信息!M522="","",[2]道具信息!M522)</f>
        <v/>
      </c>
      <c r="N522" s="8" t="str">
        <f>IF([2]道具信息!N522="","",[2]道具信息!N522)</f>
        <v/>
      </c>
      <c r="O522" s="8" t="str">
        <f>IF([2]道具信息!O522="","",[2]道具信息!O522)</f>
        <v/>
      </c>
      <c r="P522" s="8" t="str">
        <f>IF([2]道具信息!P522="","",[2]道具信息!P522)</f>
        <v/>
      </c>
      <c r="Q522" s="8" t="str">
        <f>IF([2]道具信息!Q522="","",[2]道具信息!Q522)</f>
        <v/>
      </c>
      <c r="R522" s="8" t="str">
        <f>IF([2]道具信息!R522="","",[2]道具信息!R522)</f>
        <v/>
      </c>
    </row>
    <row r="523" spans="3:18" x14ac:dyDescent="0.2">
      <c r="C523" s="8" t="str">
        <f>IF([2]道具信息!C523="","",[2]道具信息!C523)</f>
        <v/>
      </c>
      <c r="D523" s="8" t="str">
        <f>IF([2]道具信息!D523="","",[2]道具信息!D523)</f>
        <v/>
      </c>
      <c r="E523" s="8" t="str">
        <f>IF([2]道具信息!E523="","",[2]道具信息!E523)</f>
        <v/>
      </c>
      <c r="F523" s="8" t="str">
        <f>IF([2]道具信息!F523="","",[2]道具信息!F523)</f>
        <v/>
      </c>
      <c r="G523" s="8" t="str">
        <f>IF([2]道具信息!G523="","",[2]道具信息!G523)</f>
        <v/>
      </c>
      <c r="H523" s="8" t="str">
        <f>IF([2]道具信息!H523="","",[2]道具信息!H523)</f>
        <v/>
      </c>
      <c r="I523" s="8" t="str">
        <f>IF([2]道具信息!I523="","",[2]道具信息!I523)</f>
        <v/>
      </c>
      <c r="J523" s="8" t="str">
        <f>IF([2]道具信息!J523="","",[2]道具信息!J523)</f>
        <v/>
      </c>
      <c r="K523" s="8" t="str">
        <f>IF([2]道具信息!K523="","",[2]道具信息!K523)</f>
        <v/>
      </c>
      <c r="L523" s="8" t="str">
        <f>IF([2]道具信息!L523="","",[2]道具信息!L523)</f>
        <v/>
      </c>
      <c r="M523" s="8" t="str">
        <f>IF([2]道具信息!M523="","",[2]道具信息!M523)</f>
        <v/>
      </c>
      <c r="N523" s="8" t="str">
        <f>IF([2]道具信息!N523="","",[2]道具信息!N523)</f>
        <v/>
      </c>
      <c r="O523" s="8" t="str">
        <f>IF([2]道具信息!O523="","",[2]道具信息!O523)</f>
        <v/>
      </c>
      <c r="P523" s="8" t="str">
        <f>IF([2]道具信息!P523="","",[2]道具信息!P523)</f>
        <v/>
      </c>
      <c r="Q523" s="8" t="str">
        <f>IF([2]道具信息!Q523="","",[2]道具信息!Q523)</f>
        <v/>
      </c>
      <c r="R523" s="8" t="str">
        <f>IF([2]道具信息!R523="","",[2]道具信息!R523)</f>
        <v/>
      </c>
    </row>
    <row r="524" spans="3:18" x14ac:dyDescent="0.2">
      <c r="C524" s="8" t="str">
        <f>IF([2]道具信息!C524="","",[2]道具信息!C524)</f>
        <v/>
      </c>
      <c r="D524" s="8" t="str">
        <f>IF([2]道具信息!D524="","",[2]道具信息!D524)</f>
        <v/>
      </c>
      <c r="E524" s="8" t="str">
        <f>IF([2]道具信息!E524="","",[2]道具信息!E524)</f>
        <v/>
      </c>
      <c r="F524" s="8" t="str">
        <f>IF([2]道具信息!F524="","",[2]道具信息!F524)</f>
        <v/>
      </c>
      <c r="G524" s="8" t="str">
        <f>IF([2]道具信息!G524="","",[2]道具信息!G524)</f>
        <v/>
      </c>
      <c r="H524" s="8" t="str">
        <f>IF([2]道具信息!H524="","",[2]道具信息!H524)</f>
        <v/>
      </c>
      <c r="I524" s="8" t="str">
        <f>IF([2]道具信息!I524="","",[2]道具信息!I524)</f>
        <v/>
      </c>
      <c r="J524" s="8" t="str">
        <f>IF([2]道具信息!J524="","",[2]道具信息!J524)</f>
        <v/>
      </c>
      <c r="K524" s="8" t="str">
        <f>IF([2]道具信息!K524="","",[2]道具信息!K524)</f>
        <v/>
      </c>
      <c r="L524" s="8" t="str">
        <f>IF([2]道具信息!L524="","",[2]道具信息!L524)</f>
        <v/>
      </c>
      <c r="M524" s="8" t="str">
        <f>IF([2]道具信息!M524="","",[2]道具信息!M524)</f>
        <v/>
      </c>
      <c r="N524" s="8" t="str">
        <f>IF([2]道具信息!N524="","",[2]道具信息!N524)</f>
        <v/>
      </c>
      <c r="O524" s="8" t="str">
        <f>IF([2]道具信息!O524="","",[2]道具信息!O524)</f>
        <v/>
      </c>
      <c r="P524" s="8" t="str">
        <f>IF([2]道具信息!P524="","",[2]道具信息!P524)</f>
        <v/>
      </c>
      <c r="Q524" s="8" t="str">
        <f>IF([2]道具信息!Q524="","",[2]道具信息!Q524)</f>
        <v/>
      </c>
      <c r="R524" s="8" t="str">
        <f>IF([2]道具信息!R524="","",[2]道具信息!R524)</f>
        <v/>
      </c>
    </row>
    <row r="525" spans="3:18" x14ac:dyDescent="0.2">
      <c r="C525" s="8" t="str">
        <f>IF([2]道具信息!C525="","",[2]道具信息!C525)</f>
        <v/>
      </c>
      <c r="D525" s="8" t="str">
        <f>IF([2]道具信息!D525="","",[2]道具信息!D525)</f>
        <v/>
      </c>
      <c r="E525" s="8" t="str">
        <f>IF([2]道具信息!E525="","",[2]道具信息!E525)</f>
        <v/>
      </c>
      <c r="F525" s="8" t="str">
        <f>IF([2]道具信息!F525="","",[2]道具信息!F525)</f>
        <v/>
      </c>
      <c r="G525" s="8" t="str">
        <f>IF([2]道具信息!G525="","",[2]道具信息!G525)</f>
        <v/>
      </c>
      <c r="H525" s="8" t="str">
        <f>IF([2]道具信息!H525="","",[2]道具信息!H525)</f>
        <v/>
      </c>
      <c r="I525" s="8" t="str">
        <f>IF([2]道具信息!I525="","",[2]道具信息!I525)</f>
        <v/>
      </c>
      <c r="J525" s="8" t="str">
        <f>IF([2]道具信息!J525="","",[2]道具信息!J525)</f>
        <v/>
      </c>
      <c r="K525" s="8" t="str">
        <f>IF([2]道具信息!K525="","",[2]道具信息!K525)</f>
        <v/>
      </c>
      <c r="L525" s="8" t="str">
        <f>IF([2]道具信息!L525="","",[2]道具信息!L525)</f>
        <v/>
      </c>
      <c r="M525" s="8" t="str">
        <f>IF([2]道具信息!M525="","",[2]道具信息!M525)</f>
        <v/>
      </c>
      <c r="N525" s="8" t="str">
        <f>IF([2]道具信息!N525="","",[2]道具信息!N525)</f>
        <v/>
      </c>
      <c r="O525" s="8" t="str">
        <f>IF([2]道具信息!O525="","",[2]道具信息!O525)</f>
        <v/>
      </c>
      <c r="P525" s="8" t="str">
        <f>IF([2]道具信息!P525="","",[2]道具信息!P525)</f>
        <v/>
      </c>
      <c r="Q525" s="8" t="str">
        <f>IF([2]道具信息!Q525="","",[2]道具信息!Q525)</f>
        <v/>
      </c>
      <c r="R525" s="8" t="str">
        <f>IF([2]道具信息!R525="","",[2]道具信息!R525)</f>
        <v/>
      </c>
    </row>
    <row r="526" spans="3:18" x14ac:dyDescent="0.2">
      <c r="C526" s="8" t="str">
        <f>IF([2]道具信息!C526="","",[2]道具信息!C526)</f>
        <v/>
      </c>
      <c r="D526" s="8" t="str">
        <f>IF([2]道具信息!D526="","",[2]道具信息!D526)</f>
        <v/>
      </c>
      <c r="E526" s="8" t="str">
        <f>IF([2]道具信息!E526="","",[2]道具信息!E526)</f>
        <v/>
      </c>
      <c r="F526" s="8" t="str">
        <f>IF([2]道具信息!F526="","",[2]道具信息!F526)</f>
        <v/>
      </c>
      <c r="G526" s="8" t="str">
        <f>IF([2]道具信息!G526="","",[2]道具信息!G526)</f>
        <v/>
      </c>
      <c r="H526" s="8" t="str">
        <f>IF([2]道具信息!H526="","",[2]道具信息!H526)</f>
        <v/>
      </c>
      <c r="I526" s="8" t="str">
        <f>IF([2]道具信息!I526="","",[2]道具信息!I526)</f>
        <v/>
      </c>
      <c r="J526" s="8" t="str">
        <f>IF([2]道具信息!J526="","",[2]道具信息!J526)</f>
        <v/>
      </c>
      <c r="K526" s="8" t="str">
        <f>IF([2]道具信息!K526="","",[2]道具信息!K526)</f>
        <v/>
      </c>
      <c r="L526" s="8" t="str">
        <f>IF([2]道具信息!L526="","",[2]道具信息!L526)</f>
        <v/>
      </c>
      <c r="M526" s="8" t="str">
        <f>IF([2]道具信息!M526="","",[2]道具信息!M526)</f>
        <v/>
      </c>
      <c r="N526" s="8" t="str">
        <f>IF([2]道具信息!N526="","",[2]道具信息!N526)</f>
        <v/>
      </c>
      <c r="O526" s="8" t="str">
        <f>IF([2]道具信息!O526="","",[2]道具信息!O526)</f>
        <v/>
      </c>
      <c r="P526" s="8" t="str">
        <f>IF([2]道具信息!P526="","",[2]道具信息!P526)</f>
        <v/>
      </c>
      <c r="Q526" s="8" t="str">
        <f>IF([2]道具信息!Q526="","",[2]道具信息!Q526)</f>
        <v/>
      </c>
      <c r="R526" s="8" t="str">
        <f>IF([2]道具信息!R526="","",[2]道具信息!R526)</f>
        <v/>
      </c>
    </row>
    <row r="527" spans="3:18" x14ac:dyDescent="0.2">
      <c r="C527" s="8" t="str">
        <f>IF([2]道具信息!C527="","",[2]道具信息!C527)</f>
        <v/>
      </c>
      <c r="D527" s="8" t="str">
        <f>IF([2]道具信息!D527="","",[2]道具信息!D527)</f>
        <v/>
      </c>
      <c r="E527" s="8" t="str">
        <f>IF([2]道具信息!E527="","",[2]道具信息!E527)</f>
        <v/>
      </c>
      <c r="F527" s="8" t="str">
        <f>IF([2]道具信息!F527="","",[2]道具信息!F527)</f>
        <v/>
      </c>
      <c r="G527" s="8" t="str">
        <f>IF([2]道具信息!G527="","",[2]道具信息!G527)</f>
        <v/>
      </c>
      <c r="H527" s="8" t="str">
        <f>IF([2]道具信息!H527="","",[2]道具信息!H527)</f>
        <v/>
      </c>
      <c r="I527" s="8" t="str">
        <f>IF([2]道具信息!I527="","",[2]道具信息!I527)</f>
        <v/>
      </c>
      <c r="J527" s="8" t="str">
        <f>IF([2]道具信息!J527="","",[2]道具信息!J527)</f>
        <v/>
      </c>
      <c r="K527" s="8" t="str">
        <f>IF([2]道具信息!K527="","",[2]道具信息!K527)</f>
        <v/>
      </c>
      <c r="L527" s="8" t="str">
        <f>IF([2]道具信息!L527="","",[2]道具信息!L527)</f>
        <v/>
      </c>
      <c r="M527" s="8" t="str">
        <f>IF([2]道具信息!M527="","",[2]道具信息!M527)</f>
        <v/>
      </c>
      <c r="N527" s="8" t="str">
        <f>IF([2]道具信息!N527="","",[2]道具信息!N527)</f>
        <v/>
      </c>
      <c r="O527" s="8" t="str">
        <f>IF([2]道具信息!O527="","",[2]道具信息!O527)</f>
        <v/>
      </c>
      <c r="P527" s="8" t="str">
        <f>IF([2]道具信息!P527="","",[2]道具信息!P527)</f>
        <v/>
      </c>
      <c r="Q527" s="8" t="str">
        <f>IF([2]道具信息!Q527="","",[2]道具信息!Q527)</f>
        <v/>
      </c>
      <c r="R527" s="8" t="str">
        <f>IF([2]道具信息!R527="","",[2]道具信息!R527)</f>
        <v/>
      </c>
    </row>
    <row r="528" spans="3:18" x14ac:dyDescent="0.2">
      <c r="C528" s="8" t="str">
        <f>IF([2]道具信息!C528="","",[2]道具信息!C528)</f>
        <v/>
      </c>
      <c r="D528" s="8" t="str">
        <f>IF([2]道具信息!D528="","",[2]道具信息!D528)</f>
        <v/>
      </c>
      <c r="E528" s="8" t="str">
        <f>IF([2]道具信息!E528="","",[2]道具信息!E528)</f>
        <v/>
      </c>
      <c r="F528" s="8" t="str">
        <f>IF([2]道具信息!F528="","",[2]道具信息!F528)</f>
        <v/>
      </c>
      <c r="G528" s="8" t="str">
        <f>IF([2]道具信息!G528="","",[2]道具信息!G528)</f>
        <v/>
      </c>
      <c r="H528" s="8" t="str">
        <f>IF([2]道具信息!H528="","",[2]道具信息!H528)</f>
        <v/>
      </c>
      <c r="I528" s="8" t="str">
        <f>IF([2]道具信息!I528="","",[2]道具信息!I528)</f>
        <v/>
      </c>
      <c r="J528" s="8" t="str">
        <f>IF([2]道具信息!J528="","",[2]道具信息!J528)</f>
        <v/>
      </c>
      <c r="K528" s="8" t="str">
        <f>IF([2]道具信息!K528="","",[2]道具信息!K528)</f>
        <v/>
      </c>
      <c r="L528" s="8" t="str">
        <f>IF([2]道具信息!L528="","",[2]道具信息!L528)</f>
        <v/>
      </c>
      <c r="M528" s="8" t="str">
        <f>IF([2]道具信息!M528="","",[2]道具信息!M528)</f>
        <v/>
      </c>
      <c r="N528" s="8" t="str">
        <f>IF([2]道具信息!N528="","",[2]道具信息!N528)</f>
        <v/>
      </c>
      <c r="O528" s="8" t="str">
        <f>IF([2]道具信息!O528="","",[2]道具信息!O528)</f>
        <v/>
      </c>
      <c r="P528" s="8" t="str">
        <f>IF([2]道具信息!P528="","",[2]道具信息!P528)</f>
        <v/>
      </c>
      <c r="Q528" s="8" t="str">
        <f>IF([2]道具信息!Q528="","",[2]道具信息!Q528)</f>
        <v/>
      </c>
      <c r="R528" s="8" t="str">
        <f>IF([2]道具信息!R528="","",[2]道具信息!R528)</f>
        <v/>
      </c>
    </row>
    <row r="529" spans="3:18" x14ac:dyDescent="0.2">
      <c r="C529" s="8" t="str">
        <f>IF([2]道具信息!C529="","",[2]道具信息!C529)</f>
        <v/>
      </c>
      <c r="D529" s="8" t="str">
        <f>IF([2]道具信息!D529="","",[2]道具信息!D529)</f>
        <v/>
      </c>
      <c r="E529" s="8" t="str">
        <f>IF([2]道具信息!E529="","",[2]道具信息!E529)</f>
        <v/>
      </c>
      <c r="F529" s="8" t="str">
        <f>IF([2]道具信息!F529="","",[2]道具信息!F529)</f>
        <v/>
      </c>
      <c r="G529" s="8" t="str">
        <f>IF([2]道具信息!G529="","",[2]道具信息!G529)</f>
        <v/>
      </c>
      <c r="H529" s="8" t="str">
        <f>IF([2]道具信息!H529="","",[2]道具信息!H529)</f>
        <v/>
      </c>
      <c r="I529" s="8" t="str">
        <f>IF([2]道具信息!I529="","",[2]道具信息!I529)</f>
        <v/>
      </c>
      <c r="J529" s="8" t="str">
        <f>IF([2]道具信息!J529="","",[2]道具信息!J529)</f>
        <v/>
      </c>
      <c r="K529" s="8" t="str">
        <f>IF([2]道具信息!K529="","",[2]道具信息!K529)</f>
        <v/>
      </c>
      <c r="L529" s="8" t="str">
        <f>IF([2]道具信息!L529="","",[2]道具信息!L529)</f>
        <v/>
      </c>
      <c r="M529" s="8" t="str">
        <f>IF([2]道具信息!M529="","",[2]道具信息!M529)</f>
        <v/>
      </c>
      <c r="N529" s="8" t="str">
        <f>IF([2]道具信息!N529="","",[2]道具信息!N529)</f>
        <v/>
      </c>
      <c r="O529" s="8" t="str">
        <f>IF([2]道具信息!O529="","",[2]道具信息!O529)</f>
        <v/>
      </c>
      <c r="P529" s="8" t="str">
        <f>IF([2]道具信息!P529="","",[2]道具信息!P529)</f>
        <v/>
      </c>
      <c r="Q529" s="8" t="str">
        <f>IF([2]道具信息!Q529="","",[2]道具信息!Q529)</f>
        <v/>
      </c>
      <c r="R529" s="8" t="str">
        <f>IF([2]道具信息!R529="","",[2]道具信息!R529)</f>
        <v/>
      </c>
    </row>
    <row r="530" spans="3:18" x14ac:dyDescent="0.2">
      <c r="C530" s="8" t="str">
        <f>IF([2]道具信息!C530="","",[2]道具信息!C530)</f>
        <v/>
      </c>
      <c r="D530" s="8" t="str">
        <f>IF([2]道具信息!D530="","",[2]道具信息!D530)</f>
        <v/>
      </c>
      <c r="E530" s="8" t="str">
        <f>IF([2]道具信息!E530="","",[2]道具信息!E530)</f>
        <v/>
      </c>
      <c r="F530" s="8" t="str">
        <f>IF([2]道具信息!F530="","",[2]道具信息!F530)</f>
        <v/>
      </c>
      <c r="G530" s="8" t="str">
        <f>IF([2]道具信息!G530="","",[2]道具信息!G530)</f>
        <v/>
      </c>
      <c r="H530" s="8" t="str">
        <f>IF([2]道具信息!H530="","",[2]道具信息!H530)</f>
        <v/>
      </c>
      <c r="I530" s="8" t="str">
        <f>IF([2]道具信息!I530="","",[2]道具信息!I530)</f>
        <v/>
      </c>
      <c r="J530" s="8" t="str">
        <f>IF([2]道具信息!J530="","",[2]道具信息!J530)</f>
        <v/>
      </c>
      <c r="K530" s="8" t="str">
        <f>IF([2]道具信息!K530="","",[2]道具信息!K530)</f>
        <v/>
      </c>
      <c r="L530" s="8" t="str">
        <f>IF([2]道具信息!L530="","",[2]道具信息!L530)</f>
        <v/>
      </c>
      <c r="M530" s="8" t="str">
        <f>IF([2]道具信息!M530="","",[2]道具信息!M530)</f>
        <v/>
      </c>
      <c r="N530" s="8" t="str">
        <f>IF([2]道具信息!N530="","",[2]道具信息!N530)</f>
        <v/>
      </c>
      <c r="O530" s="8" t="str">
        <f>IF([2]道具信息!O530="","",[2]道具信息!O530)</f>
        <v/>
      </c>
      <c r="P530" s="8" t="str">
        <f>IF([2]道具信息!P530="","",[2]道具信息!P530)</f>
        <v/>
      </c>
      <c r="Q530" s="8" t="str">
        <f>IF([2]道具信息!Q530="","",[2]道具信息!Q530)</f>
        <v/>
      </c>
      <c r="R530" s="8" t="str">
        <f>IF([2]道具信息!R530="","",[2]道具信息!R530)</f>
        <v/>
      </c>
    </row>
    <row r="531" spans="3:18" x14ac:dyDescent="0.2">
      <c r="C531" s="8" t="str">
        <f>IF([2]道具信息!C531="","",[2]道具信息!C531)</f>
        <v/>
      </c>
      <c r="D531" s="8" t="str">
        <f>IF([2]道具信息!D531="","",[2]道具信息!D531)</f>
        <v/>
      </c>
      <c r="E531" s="8" t="str">
        <f>IF([2]道具信息!E531="","",[2]道具信息!E531)</f>
        <v/>
      </c>
      <c r="F531" s="8" t="str">
        <f>IF([2]道具信息!F531="","",[2]道具信息!F531)</f>
        <v/>
      </c>
      <c r="G531" s="8" t="str">
        <f>IF([2]道具信息!G531="","",[2]道具信息!G531)</f>
        <v/>
      </c>
      <c r="H531" s="8" t="str">
        <f>IF([2]道具信息!H531="","",[2]道具信息!H531)</f>
        <v/>
      </c>
      <c r="I531" s="8" t="str">
        <f>IF([2]道具信息!I531="","",[2]道具信息!I531)</f>
        <v/>
      </c>
      <c r="J531" s="8" t="str">
        <f>IF([2]道具信息!J531="","",[2]道具信息!J531)</f>
        <v/>
      </c>
      <c r="K531" s="8" t="str">
        <f>IF([2]道具信息!K531="","",[2]道具信息!K531)</f>
        <v/>
      </c>
      <c r="L531" s="8" t="str">
        <f>IF([2]道具信息!L531="","",[2]道具信息!L531)</f>
        <v/>
      </c>
      <c r="M531" s="8" t="str">
        <f>IF([2]道具信息!M531="","",[2]道具信息!M531)</f>
        <v/>
      </c>
      <c r="N531" s="8" t="str">
        <f>IF([2]道具信息!N531="","",[2]道具信息!N531)</f>
        <v/>
      </c>
      <c r="O531" s="8" t="str">
        <f>IF([2]道具信息!O531="","",[2]道具信息!O531)</f>
        <v/>
      </c>
      <c r="P531" s="8" t="str">
        <f>IF([2]道具信息!P531="","",[2]道具信息!P531)</f>
        <v/>
      </c>
      <c r="Q531" s="8" t="str">
        <f>IF([2]道具信息!Q531="","",[2]道具信息!Q531)</f>
        <v/>
      </c>
      <c r="R531" s="8" t="str">
        <f>IF([2]道具信息!R531="","",[2]道具信息!R531)</f>
        <v/>
      </c>
    </row>
    <row r="532" spans="3:18" x14ac:dyDescent="0.2">
      <c r="C532" s="8" t="str">
        <f>IF([2]道具信息!C532="","",[2]道具信息!C532)</f>
        <v/>
      </c>
      <c r="D532" s="8" t="str">
        <f>IF([2]道具信息!D532="","",[2]道具信息!D532)</f>
        <v/>
      </c>
      <c r="E532" s="8" t="str">
        <f>IF([2]道具信息!E532="","",[2]道具信息!E532)</f>
        <v/>
      </c>
      <c r="F532" s="8" t="str">
        <f>IF([2]道具信息!F532="","",[2]道具信息!F532)</f>
        <v/>
      </c>
      <c r="G532" s="8" t="str">
        <f>IF([2]道具信息!G532="","",[2]道具信息!G532)</f>
        <v/>
      </c>
      <c r="H532" s="8" t="str">
        <f>IF([2]道具信息!H532="","",[2]道具信息!H532)</f>
        <v/>
      </c>
      <c r="I532" s="8" t="str">
        <f>IF([2]道具信息!I532="","",[2]道具信息!I532)</f>
        <v/>
      </c>
      <c r="J532" s="8" t="str">
        <f>IF([2]道具信息!J532="","",[2]道具信息!J532)</f>
        <v/>
      </c>
      <c r="K532" s="8" t="str">
        <f>IF([2]道具信息!K532="","",[2]道具信息!K532)</f>
        <v/>
      </c>
      <c r="L532" s="8" t="str">
        <f>IF([2]道具信息!L532="","",[2]道具信息!L532)</f>
        <v/>
      </c>
      <c r="M532" s="8" t="str">
        <f>IF([2]道具信息!M532="","",[2]道具信息!M532)</f>
        <v/>
      </c>
      <c r="N532" s="8" t="str">
        <f>IF([2]道具信息!N532="","",[2]道具信息!N532)</f>
        <v/>
      </c>
      <c r="O532" s="8" t="str">
        <f>IF([2]道具信息!O532="","",[2]道具信息!O532)</f>
        <v/>
      </c>
      <c r="P532" s="8" t="str">
        <f>IF([2]道具信息!P532="","",[2]道具信息!P532)</f>
        <v/>
      </c>
      <c r="Q532" s="8" t="str">
        <f>IF([2]道具信息!Q532="","",[2]道具信息!Q532)</f>
        <v/>
      </c>
      <c r="R532" s="8" t="str">
        <f>IF([2]道具信息!R532="","",[2]道具信息!R532)</f>
        <v/>
      </c>
    </row>
    <row r="533" spans="3:18" x14ac:dyDescent="0.2">
      <c r="C533" s="8" t="str">
        <f>IF([2]道具信息!C533="","",[2]道具信息!C533)</f>
        <v/>
      </c>
      <c r="D533" s="8" t="str">
        <f>IF([2]道具信息!D533="","",[2]道具信息!D533)</f>
        <v/>
      </c>
      <c r="E533" s="8" t="str">
        <f>IF([2]道具信息!E533="","",[2]道具信息!E533)</f>
        <v/>
      </c>
      <c r="F533" s="8" t="str">
        <f>IF([2]道具信息!F533="","",[2]道具信息!F533)</f>
        <v/>
      </c>
      <c r="G533" s="8" t="str">
        <f>IF([2]道具信息!G533="","",[2]道具信息!G533)</f>
        <v/>
      </c>
      <c r="H533" s="8" t="str">
        <f>IF([2]道具信息!H533="","",[2]道具信息!H533)</f>
        <v/>
      </c>
      <c r="I533" s="8" t="str">
        <f>IF([2]道具信息!I533="","",[2]道具信息!I533)</f>
        <v/>
      </c>
      <c r="J533" s="8" t="str">
        <f>IF([2]道具信息!J533="","",[2]道具信息!J533)</f>
        <v/>
      </c>
      <c r="K533" s="8" t="str">
        <f>IF([2]道具信息!K533="","",[2]道具信息!K533)</f>
        <v/>
      </c>
      <c r="L533" s="8" t="str">
        <f>IF([2]道具信息!L533="","",[2]道具信息!L533)</f>
        <v/>
      </c>
      <c r="M533" s="8" t="str">
        <f>IF([2]道具信息!M533="","",[2]道具信息!M533)</f>
        <v/>
      </c>
      <c r="N533" s="8" t="str">
        <f>IF([2]道具信息!N533="","",[2]道具信息!N533)</f>
        <v/>
      </c>
      <c r="O533" s="8" t="str">
        <f>IF([2]道具信息!O533="","",[2]道具信息!O533)</f>
        <v/>
      </c>
      <c r="P533" s="8" t="str">
        <f>IF([2]道具信息!P533="","",[2]道具信息!P533)</f>
        <v/>
      </c>
      <c r="Q533" s="8" t="str">
        <f>IF([2]道具信息!Q533="","",[2]道具信息!Q533)</f>
        <v/>
      </c>
      <c r="R533" s="8" t="str">
        <f>IF([2]道具信息!R533="","",[2]道具信息!R533)</f>
        <v/>
      </c>
    </row>
    <row r="534" spans="3:18" x14ac:dyDescent="0.2">
      <c r="C534" s="8" t="str">
        <f>IF([2]道具信息!C534="","",[2]道具信息!C534)</f>
        <v/>
      </c>
      <c r="D534" s="8" t="str">
        <f>IF([2]道具信息!D534="","",[2]道具信息!D534)</f>
        <v/>
      </c>
      <c r="E534" s="8" t="str">
        <f>IF([2]道具信息!E534="","",[2]道具信息!E534)</f>
        <v/>
      </c>
      <c r="F534" s="8" t="str">
        <f>IF([2]道具信息!F534="","",[2]道具信息!F534)</f>
        <v/>
      </c>
      <c r="G534" s="8" t="str">
        <f>IF([2]道具信息!G534="","",[2]道具信息!G534)</f>
        <v/>
      </c>
      <c r="H534" s="8" t="str">
        <f>IF([2]道具信息!H534="","",[2]道具信息!H534)</f>
        <v/>
      </c>
      <c r="I534" s="8" t="str">
        <f>IF([2]道具信息!I534="","",[2]道具信息!I534)</f>
        <v/>
      </c>
      <c r="J534" s="8" t="str">
        <f>IF([2]道具信息!J534="","",[2]道具信息!J534)</f>
        <v/>
      </c>
      <c r="K534" s="8" t="str">
        <f>IF([2]道具信息!K534="","",[2]道具信息!K534)</f>
        <v/>
      </c>
      <c r="L534" s="8" t="str">
        <f>IF([2]道具信息!L534="","",[2]道具信息!L534)</f>
        <v/>
      </c>
      <c r="M534" s="8" t="str">
        <f>IF([2]道具信息!M534="","",[2]道具信息!M534)</f>
        <v/>
      </c>
      <c r="N534" s="8" t="str">
        <f>IF([2]道具信息!N534="","",[2]道具信息!N534)</f>
        <v/>
      </c>
      <c r="O534" s="8" t="str">
        <f>IF([2]道具信息!O534="","",[2]道具信息!O534)</f>
        <v/>
      </c>
      <c r="P534" s="8" t="str">
        <f>IF([2]道具信息!P534="","",[2]道具信息!P534)</f>
        <v/>
      </c>
      <c r="Q534" s="8" t="str">
        <f>IF([2]道具信息!Q534="","",[2]道具信息!Q534)</f>
        <v/>
      </c>
      <c r="R534" s="8" t="str">
        <f>IF([2]道具信息!R534="","",[2]道具信息!R534)</f>
        <v/>
      </c>
    </row>
    <row r="535" spans="3:18" x14ac:dyDescent="0.2">
      <c r="C535" s="8" t="str">
        <f>IF([2]道具信息!C535="","",[2]道具信息!C535)</f>
        <v/>
      </c>
      <c r="D535" s="8" t="str">
        <f>IF([2]道具信息!D535="","",[2]道具信息!D535)</f>
        <v/>
      </c>
      <c r="E535" s="8" t="str">
        <f>IF([2]道具信息!E535="","",[2]道具信息!E535)</f>
        <v/>
      </c>
      <c r="F535" s="8" t="str">
        <f>IF([2]道具信息!F535="","",[2]道具信息!F535)</f>
        <v/>
      </c>
      <c r="G535" s="8" t="str">
        <f>IF([2]道具信息!G535="","",[2]道具信息!G535)</f>
        <v/>
      </c>
      <c r="H535" s="8" t="str">
        <f>IF([2]道具信息!H535="","",[2]道具信息!H535)</f>
        <v/>
      </c>
      <c r="I535" s="8" t="str">
        <f>IF([2]道具信息!I535="","",[2]道具信息!I535)</f>
        <v/>
      </c>
      <c r="J535" s="8" t="str">
        <f>IF([2]道具信息!J535="","",[2]道具信息!J535)</f>
        <v/>
      </c>
      <c r="K535" s="8" t="str">
        <f>IF([2]道具信息!K535="","",[2]道具信息!K535)</f>
        <v/>
      </c>
      <c r="L535" s="8" t="str">
        <f>IF([2]道具信息!L535="","",[2]道具信息!L535)</f>
        <v/>
      </c>
      <c r="M535" s="8" t="str">
        <f>IF([2]道具信息!M535="","",[2]道具信息!M535)</f>
        <v/>
      </c>
      <c r="N535" s="8" t="str">
        <f>IF([2]道具信息!N535="","",[2]道具信息!N535)</f>
        <v/>
      </c>
      <c r="O535" s="8" t="str">
        <f>IF([2]道具信息!O535="","",[2]道具信息!O535)</f>
        <v/>
      </c>
      <c r="P535" s="8" t="str">
        <f>IF([2]道具信息!P535="","",[2]道具信息!P535)</f>
        <v/>
      </c>
      <c r="Q535" s="8" t="str">
        <f>IF([2]道具信息!Q535="","",[2]道具信息!Q535)</f>
        <v/>
      </c>
      <c r="R535" s="8" t="str">
        <f>IF([2]道具信息!R535="","",[2]道具信息!R535)</f>
        <v/>
      </c>
    </row>
    <row r="536" spans="3:18" x14ac:dyDescent="0.2">
      <c r="C536" s="8" t="str">
        <f>IF([2]道具信息!C536="","",[2]道具信息!C536)</f>
        <v/>
      </c>
      <c r="D536" s="8" t="str">
        <f>IF([2]道具信息!D536="","",[2]道具信息!D536)</f>
        <v/>
      </c>
      <c r="E536" s="8" t="str">
        <f>IF([2]道具信息!E536="","",[2]道具信息!E536)</f>
        <v/>
      </c>
      <c r="F536" s="8" t="str">
        <f>IF([2]道具信息!F536="","",[2]道具信息!F536)</f>
        <v/>
      </c>
      <c r="G536" s="8" t="str">
        <f>IF([2]道具信息!G536="","",[2]道具信息!G536)</f>
        <v/>
      </c>
      <c r="H536" s="8" t="str">
        <f>IF([2]道具信息!H536="","",[2]道具信息!H536)</f>
        <v/>
      </c>
      <c r="I536" s="8" t="str">
        <f>IF([2]道具信息!I536="","",[2]道具信息!I536)</f>
        <v/>
      </c>
      <c r="J536" s="8" t="str">
        <f>IF([2]道具信息!J536="","",[2]道具信息!J536)</f>
        <v/>
      </c>
      <c r="K536" s="8" t="str">
        <f>IF([2]道具信息!K536="","",[2]道具信息!K536)</f>
        <v/>
      </c>
      <c r="L536" s="8" t="str">
        <f>IF([2]道具信息!L536="","",[2]道具信息!L536)</f>
        <v/>
      </c>
      <c r="M536" s="8" t="str">
        <f>IF([2]道具信息!M536="","",[2]道具信息!M536)</f>
        <v/>
      </c>
      <c r="N536" s="8" t="str">
        <f>IF([2]道具信息!N536="","",[2]道具信息!N536)</f>
        <v/>
      </c>
      <c r="O536" s="8" t="str">
        <f>IF([2]道具信息!O536="","",[2]道具信息!O536)</f>
        <v/>
      </c>
      <c r="P536" s="8" t="str">
        <f>IF([2]道具信息!P536="","",[2]道具信息!P536)</f>
        <v/>
      </c>
      <c r="Q536" s="8" t="str">
        <f>IF([2]道具信息!Q536="","",[2]道具信息!Q536)</f>
        <v/>
      </c>
      <c r="R536" s="8" t="str">
        <f>IF([2]道具信息!R536="","",[2]道具信息!R536)</f>
        <v/>
      </c>
    </row>
    <row r="537" spans="3:18" x14ac:dyDescent="0.2">
      <c r="C537" s="8" t="str">
        <f>IF([2]道具信息!C537="","",[2]道具信息!C537)</f>
        <v/>
      </c>
      <c r="D537" s="8" t="str">
        <f>IF([2]道具信息!D537="","",[2]道具信息!D537)</f>
        <v/>
      </c>
      <c r="E537" s="8" t="str">
        <f>IF([2]道具信息!E537="","",[2]道具信息!E537)</f>
        <v/>
      </c>
      <c r="F537" s="8" t="str">
        <f>IF([2]道具信息!F537="","",[2]道具信息!F537)</f>
        <v/>
      </c>
      <c r="G537" s="8" t="str">
        <f>IF([2]道具信息!G537="","",[2]道具信息!G537)</f>
        <v/>
      </c>
      <c r="H537" s="8" t="str">
        <f>IF([2]道具信息!H537="","",[2]道具信息!H537)</f>
        <v/>
      </c>
      <c r="I537" s="8" t="str">
        <f>IF([2]道具信息!I537="","",[2]道具信息!I537)</f>
        <v/>
      </c>
      <c r="J537" s="8" t="str">
        <f>IF([2]道具信息!J537="","",[2]道具信息!J537)</f>
        <v/>
      </c>
      <c r="K537" s="8" t="str">
        <f>IF([2]道具信息!K537="","",[2]道具信息!K537)</f>
        <v/>
      </c>
      <c r="L537" s="8" t="str">
        <f>IF([2]道具信息!L537="","",[2]道具信息!L537)</f>
        <v/>
      </c>
      <c r="M537" s="8" t="str">
        <f>IF([2]道具信息!M537="","",[2]道具信息!M537)</f>
        <v/>
      </c>
      <c r="N537" s="8" t="str">
        <f>IF([2]道具信息!N537="","",[2]道具信息!N537)</f>
        <v/>
      </c>
      <c r="O537" s="8" t="str">
        <f>IF([2]道具信息!O537="","",[2]道具信息!O537)</f>
        <v/>
      </c>
      <c r="P537" s="8" t="str">
        <f>IF([2]道具信息!P537="","",[2]道具信息!P537)</f>
        <v/>
      </c>
      <c r="Q537" s="8" t="str">
        <f>IF([2]道具信息!Q537="","",[2]道具信息!Q537)</f>
        <v/>
      </c>
      <c r="R537" s="8" t="str">
        <f>IF([2]道具信息!R537="","",[2]道具信息!R537)</f>
        <v/>
      </c>
    </row>
    <row r="538" spans="3:18" x14ac:dyDescent="0.2">
      <c r="C538" s="8" t="str">
        <f>IF([2]道具信息!C538="","",[2]道具信息!C538)</f>
        <v/>
      </c>
      <c r="D538" s="8" t="str">
        <f>IF([2]道具信息!D538="","",[2]道具信息!D538)</f>
        <v/>
      </c>
      <c r="E538" s="8" t="str">
        <f>IF([2]道具信息!E538="","",[2]道具信息!E538)</f>
        <v/>
      </c>
      <c r="F538" s="8" t="str">
        <f>IF([2]道具信息!F538="","",[2]道具信息!F538)</f>
        <v/>
      </c>
      <c r="G538" s="8" t="str">
        <f>IF([2]道具信息!G538="","",[2]道具信息!G538)</f>
        <v/>
      </c>
      <c r="H538" s="8" t="str">
        <f>IF([2]道具信息!H538="","",[2]道具信息!H538)</f>
        <v/>
      </c>
      <c r="I538" s="8" t="str">
        <f>IF([2]道具信息!I538="","",[2]道具信息!I538)</f>
        <v/>
      </c>
      <c r="J538" s="8" t="str">
        <f>IF([2]道具信息!J538="","",[2]道具信息!J538)</f>
        <v/>
      </c>
      <c r="K538" s="8" t="str">
        <f>IF([2]道具信息!K538="","",[2]道具信息!K538)</f>
        <v/>
      </c>
      <c r="L538" s="8" t="str">
        <f>IF([2]道具信息!L538="","",[2]道具信息!L538)</f>
        <v/>
      </c>
      <c r="M538" s="8" t="str">
        <f>IF([2]道具信息!M538="","",[2]道具信息!M538)</f>
        <v/>
      </c>
      <c r="N538" s="8" t="str">
        <f>IF([2]道具信息!N538="","",[2]道具信息!N538)</f>
        <v/>
      </c>
      <c r="O538" s="8" t="str">
        <f>IF([2]道具信息!O538="","",[2]道具信息!O538)</f>
        <v/>
      </c>
      <c r="P538" s="8" t="str">
        <f>IF([2]道具信息!P538="","",[2]道具信息!P538)</f>
        <v/>
      </c>
      <c r="Q538" s="8" t="str">
        <f>IF([2]道具信息!Q538="","",[2]道具信息!Q538)</f>
        <v/>
      </c>
      <c r="R538" s="8" t="str">
        <f>IF([2]道具信息!R538="","",[2]道具信息!R538)</f>
        <v/>
      </c>
    </row>
    <row r="539" spans="3:18" x14ac:dyDescent="0.2">
      <c r="C539" s="8" t="str">
        <f>IF([2]道具信息!C539="","",[2]道具信息!C539)</f>
        <v/>
      </c>
      <c r="D539" s="8" t="str">
        <f>IF([2]道具信息!D539="","",[2]道具信息!D539)</f>
        <v/>
      </c>
      <c r="E539" s="8" t="str">
        <f>IF([2]道具信息!E539="","",[2]道具信息!E539)</f>
        <v/>
      </c>
      <c r="F539" s="8" t="str">
        <f>IF([2]道具信息!F539="","",[2]道具信息!F539)</f>
        <v/>
      </c>
      <c r="G539" s="8" t="str">
        <f>IF([2]道具信息!G539="","",[2]道具信息!G539)</f>
        <v/>
      </c>
      <c r="H539" s="8" t="str">
        <f>IF([2]道具信息!H539="","",[2]道具信息!H539)</f>
        <v/>
      </c>
      <c r="I539" s="8" t="str">
        <f>IF([2]道具信息!I539="","",[2]道具信息!I539)</f>
        <v/>
      </c>
      <c r="J539" s="8" t="str">
        <f>IF([2]道具信息!J539="","",[2]道具信息!J539)</f>
        <v/>
      </c>
      <c r="K539" s="8" t="str">
        <f>IF([2]道具信息!K539="","",[2]道具信息!K539)</f>
        <v/>
      </c>
      <c r="L539" s="8" t="str">
        <f>IF([2]道具信息!L539="","",[2]道具信息!L539)</f>
        <v/>
      </c>
      <c r="M539" s="8" t="str">
        <f>IF([2]道具信息!M539="","",[2]道具信息!M539)</f>
        <v/>
      </c>
      <c r="N539" s="8" t="str">
        <f>IF([2]道具信息!N539="","",[2]道具信息!N539)</f>
        <v/>
      </c>
      <c r="O539" s="8" t="str">
        <f>IF([2]道具信息!O539="","",[2]道具信息!O539)</f>
        <v/>
      </c>
      <c r="P539" s="8" t="str">
        <f>IF([2]道具信息!P539="","",[2]道具信息!P539)</f>
        <v/>
      </c>
      <c r="Q539" s="8" t="str">
        <f>IF([2]道具信息!Q539="","",[2]道具信息!Q539)</f>
        <v/>
      </c>
      <c r="R539" s="8" t="str">
        <f>IF([2]道具信息!R539="","",[2]道具信息!R539)</f>
        <v/>
      </c>
    </row>
    <row r="540" spans="3:18" x14ac:dyDescent="0.2">
      <c r="C540" s="8" t="str">
        <f>IF([2]道具信息!C540="","",[2]道具信息!C540)</f>
        <v/>
      </c>
      <c r="D540" s="8" t="str">
        <f>IF([2]道具信息!D540="","",[2]道具信息!D540)</f>
        <v/>
      </c>
      <c r="E540" s="8" t="str">
        <f>IF([2]道具信息!E540="","",[2]道具信息!E540)</f>
        <v/>
      </c>
      <c r="F540" s="8" t="str">
        <f>IF([2]道具信息!F540="","",[2]道具信息!F540)</f>
        <v/>
      </c>
      <c r="G540" s="8" t="str">
        <f>IF([2]道具信息!G540="","",[2]道具信息!G540)</f>
        <v/>
      </c>
      <c r="H540" s="8" t="str">
        <f>IF([2]道具信息!H540="","",[2]道具信息!H540)</f>
        <v/>
      </c>
      <c r="I540" s="8" t="str">
        <f>IF([2]道具信息!I540="","",[2]道具信息!I540)</f>
        <v/>
      </c>
      <c r="J540" s="8" t="str">
        <f>IF([2]道具信息!J540="","",[2]道具信息!J540)</f>
        <v/>
      </c>
      <c r="K540" s="8" t="str">
        <f>IF([2]道具信息!K540="","",[2]道具信息!K540)</f>
        <v/>
      </c>
      <c r="L540" s="8" t="str">
        <f>IF([2]道具信息!L540="","",[2]道具信息!L540)</f>
        <v/>
      </c>
      <c r="M540" s="8" t="str">
        <f>IF([2]道具信息!M540="","",[2]道具信息!M540)</f>
        <v/>
      </c>
      <c r="N540" s="8" t="str">
        <f>IF([2]道具信息!N540="","",[2]道具信息!N540)</f>
        <v/>
      </c>
      <c r="O540" s="8" t="str">
        <f>IF([2]道具信息!O540="","",[2]道具信息!O540)</f>
        <v/>
      </c>
      <c r="P540" s="8" t="str">
        <f>IF([2]道具信息!P540="","",[2]道具信息!P540)</f>
        <v/>
      </c>
      <c r="Q540" s="8" t="str">
        <f>IF([2]道具信息!Q540="","",[2]道具信息!Q540)</f>
        <v/>
      </c>
      <c r="R540" s="8" t="str">
        <f>IF([2]道具信息!R540="","",[2]道具信息!R540)</f>
        <v/>
      </c>
    </row>
    <row r="541" spans="3:18" x14ac:dyDescent="0.2">
      <c r="C541" s="8" t="str">
        <f>IF([2]道具信息!C541="","",[2]道具信息!C541)</f>
        <v/>
      </c>
      <c r="D541" s="8" t="str">
        <f>IF([2]道具信息!D541="","",[2]道具信息!D541)</f>
        <v/>
      </c>
      <c r="E541" s="8" t="str">
        <f>IF([2]道具信息!E541="","",[2]道具信息!E541)</f>
        <v/>
      </c>
      <c r="F541" s="8" t="str">
        <f>IF([2]道具信息!F541="","",[2]道具信息!F541)</f>
        <v/>
      </c>
      <c r="G541" s="8" t="str">
        <f>IF([2]道具信息!G541="","",[2]道具信息!G541)</f>
        <v/>
      </c>
      <c r="H541" s="8" t="str">
        <f>IF([2]道具信息!H541="","",[2]道具信息!H541)</f>
        <v/>
      </c>
      <c r="I541" s="8" t="str">
        <f>IF([2]道具信息!I541="","",[2]道具信息!I541)</f>
        <v/>
      </c>
      <c r="J541" s="8" t="str">
        <f>IF([2]道具信息!J541="","",[2]道具信息!J541)</f>
        <v/>
      </c>
      <c r="K541" s="8" t="str">
        <f>IF([2]道具信息!K541="","",[2]道具信息!K541)</f>
        <v/>
      </c>
      <c r="L541" s="8" t="str">
        <f>IF([2]道具信息!L541="","",[2]道具信息!L541)</f>
        <v/>
      </c>
      <c r="M541" s="8" t="str">
        <f>IF([2]道具信息!M541="","",[2]道具信息!M541)</f>
        <v/>
      </c>
      <c r="N541" s="8" t="str">
        <f>IF([2]道具信息!N541="","",[2]道具信息!N541)</f>
        <v/>
      </c>
      <c r="O541" s="8" t="str">
        <f>IF([2]道具信息!O541="","",[2]道具信息!O541)</f>
        <v/>
      </c>
      <c r="P541" s="8" t="str">
        <f>IF([2]道具信息!P541="","",[2]道具信息!P541)</f>
        <v/>
      </c>
      <c r="Q541" s="8" t="str">
        <f>IF([2]道具信息!Q541="","",[2]道具信息!Q541)</f>
        <v/>
      </c>
      <c r="R541" s="8" t="str">
        <f>IF([2]道具信息!R541="","",[2]道具信息!R541)</f>
        <v/>
      </c>
    </row>
    <row r="542" spans="3:18" x14ac:dyDescent="0.2">
      <c r="C542" s="8" t="str">
        <f>IF([2]道具信息!C542="","",[2]道具信息!C542)</f>
        <v/>
      </c>
      <c r="D542" s="8" t="str">
        <f>IF([2]道具信息!D542="","",[2]道具信息!D542)</f>
        <v/>
      </c>
      <c r="E542" s="8" t="str">
        <f>IF([2]道具信息!E542="","",[2]道具信息!E542)</f>
        <v/>
      </c>
      <c r="F542" s="8" t="str">
        <f>IF([2]道具信息!F542="","",[2]道具信息!F542)</f>
        <v/>
      </c>
      <c r="G542" s="8" t="str">
        <f>IF([2]道具信息!G542="","",[2]道具信息!G542)</f>
        <v/>
      </c>
      <c r="H542" s="8" t="str">
        <f>IF([2]道具信息!H542="","",[2]道具信息!H542)</f>
        <v/>
      </c>
      <c r="I542" s="8" t="str">
        <f>IF([2]道具信息!I542="","",[2]道具信息!I542)</f>
        <v/>
      </c>
      <c r="J542" s="8" t="str">
        <f>IF([2]道具信息!J542="","",[2]道具信息!J542)</f>
        <v/>
      </c>
      <c r="K542" s="8" t="str">
        <f>IF([2]道具信息!K542="","",[2]道具信息!K542)</f>
        <v/>
      </c>
      <c r="L542" s="8" t="str">
        <f>IF([2]道具信息!L542="","",[2]道具信息!L542)</f>
        <v/>
      </c>
      <c r="M542" s="8" t="str">
        <f>IF([2]道具信息!M542="","",[2]道具信息!M542)</f>
        <v/>
      </c>
      <c r="N542" s="8" t="str">
        <f>IF([2]道具信息!N542="","",[2]道具信息!N542)</f>
        <v/>
      </c>
      <c r="O542" s="8" t="str">
        <f>IF([2]道具信息!O542="","",[2]道具信息!O542)</f>
        <v/>
      </c>
      <c r="P542" s="8" t="str">
        <f>IF([2]道具信息!P542="","",[2]道具信息!P542)</f>
        <v/>
      </c>
      <c r="Q542" s="8" t="str">
        <f>IF([2]道具信息!Q542="","",[2]道具信息!Q542)</f>
        <v/>
      </c>
      <c r="R542" s="8" t="str">
        <f>IF([2]道具信息!R542="","",[2]道具信息!R542)</f>
        <v/>
      </c>
    </row>
    <row r="543" spans="3:18" x14ac:dyDescent="0.2">
      <c r="C543" s="8" t="str">
        <f>IF([2]道具信息!C543="","",[2]道具信息!C543)</f>
        <v/>
      </c>
      <c r="D543" s="8" t="str">
        <f>IF([2]道具信息!D543="","",[2]道具信息!D543)</f>
        <v/>
      </c>
      <c r="E543" s="8" t="str">
        <f>IF([2]道具信息!E543="","",[2]道具信息!E543)</f>
        <v/>
      </c>
      <c r="F543" s="8" t="str">
        <f>IF([2]道具信息!F543="","",[2]道具信息!F543)</f>
        <v/>
      </c>
      <c r="G543" s="8" t="str">
        <f>IF([2]道具信息!G543="","",[2]道具信息!G543)</f>
        <v/>
      </c>
      <c r="H543" s="8" t="str">
        <f>IF([2]道具信息!H543="","",[2]道具信息!H543)</f>
        <v/>
      </c>
      <c r="I543" s="8" t="str">
        <f>IF([2]道具信息!I543="","",[2]道具信息!I543)</f>
        <v/>
      </c>
      <c r="J543" s="8" t="str">
        <f>IF([2]道具信息!J543="","",[2]道具信息!J543)</f>
        <v/>
      </c>
      <c r="K543" s="8" t="str">
        <f>IF([2]道具信息!K543="","",[2]道具信息!K543)</f>
        <v/>
      </c>
      <c r="L543" s="8" t="str">
        <f>IF([2]道具信息!L543="","",[2]道具信息!L543)</f>
        <v/>
      </c>
      <c r="M543" s="8" t="str">
        <f>IF([2]道具信息!M543="","",[2]道具信息!M543)</f>
        <v/>
      </c>
      <c r="N543" s="8" t="str">
        <f>IF([2]道具信息!N543="","",[2]道具信息!N543)</f>
        <v/>
      </c>
      <c r="O543" s="8" t="str">
        <f>IF([2]道具信息!O543="","",[2]道具信息!O543)</f>
        <v/>
      </c>
      <c r="P543" s="8" t="str">
        <f>IF([2]道具信息!P543="","",[2]道具信息!P543)</f>
        <v/>
      </c>
      <c r="Q543" s="8" t="str">
        <f>IF([2]道具信息!Q543="","",[2]道具信息!Q543)</f>
        <v/>
      </c>
      <c r="R543" s="8" t="str">
        <f>IF([2]道具信息!R543="","",[2]道具信息!R543)</f>
        <v/>
      </c>
    </row>
    <row r="544" spans="3:18" x14ac:dyDescent="0.2">
      <c r="C544" s="8" t="str">
        <f>IF([2]道具信息!C544="","",[2]道具信息!C544)</f>
        <v/>
      </c>
      <c r="D544" s="8" t="str">
        <f>IF([2]道具信息!D544="","",[2]道具信息!D544)</f>
        <v/>
      </c>
      <c r="E544" s="8" t="str">
        <f>IF([2]道具信息!E544="","",[2]道具信息!E544)</f>
        <v/>
      </c>
      <c r="F544" s="8" t="str">
        <f>IF([2]道具信息!F544="","",[2]道具信息!F544)</f>
        <v/>
      </c>
      <c r="G544" s="8" t="str">
        <f>IF([2]道具信息!G544="","",[2]道具信息!G544)</f>
        <v/>
      </c>
      <c r="H544" s="8" t="str">
        <f>IF([2]道具信息!H544="","",[2]道具信息!H544)</f>
        <v/>
      </c>
      <c r="I544" s="8" t="str">
        <f>IF([2]道具信息!I544="","",[2]道具信息!I544)</f>
        <v/>
      </c>
      <c r="J544" s="8" t="str">
        <f>IF([2]道具信息!J544="","",[2]道具信息!J544)</f>
        <v/>
      </c>
      <c r="K544" s="8" t="str">
        <f>IF([2]道具信息!K544="","",[2]道具信息!K544)</f>
        <v/>
      </c>
      <c r="L544" s="8" t="str">
        <f>IF([2]道具信息!L544="","",[2]道具信息!L544)</f>
        <v/>
      </c>
      <c r="M544" s="8" t="str">
        <f>IF([2]道具信息!M544="","",[2]道具信息!M544)</f>
        <v/>
      </c>
      <c r="N544" s="8" t="str">
        <f>IF([2]道具信息!N544="","",[2]道具信息!N544)</f>
        <v/>
      </c>
      <c r="O544" s="8" t="str">
        <f>IF([2]道具信息!O544="","",[2]道具信息!O544)</f>
        <v/>
      </c>
      <c r="P544" s="8" t="str">
        <f>IF([2]道具信息!P544="","",[2]道具信息!P544)</f>
        <v/>
      </c>
      <c r="Q544" s="8" t="str">
        <f>IF([2]道具信息!Q544="","",[2]道具信息!Q544)</f>
        <v/>
      </c>
      <c r="R544" s="8" t="str">
        <f>IF([2]道具信息!R544="","",[2]道具信息!R544)</f>
        <v/>
      </c>
    </row>
    <row r="545" spans="3:18" x14ac:dyDescent="0.2">
      <c r="C545" s="8" t="str">
        <f>IF([2]道具信息!C545="","",[2]道具信息!C545)</f>
        <v/>
      </c>
      <c r="D545" s="8" t="str">
        <f>IF([2]道具信息!D545="","",[2]道具信息!D545)</f>
        <v/>
      </c>
      <c r="E545" s="8" t="str">
        <f>IF([2]道具信息!E545="","",[2]道具信息!E545)</f>
        <v/>
      </c>
      <c r="F545" s="8" t="str">
        <f>IF([2]道具信息!F545="","",[2]道具信息!F545)</f>
        <v/>
      </c>
      <c r="G545" s="8" t="str">
        <f>IF([2]道具信息!G545="","",[2]道具信息!G545)</f>
        <v/>
      </c>
      <c r="H545" s="8" t="str">
        <f>IF([2]道具信息!H545="","",[2]道具信息!H545)</f>
        <v/>
      </c>
      <c r="I545" s="8" t="str">
        <f>IF([2]道具信息!I545="","",[2]道具信息!I545)</f>
        <v/>
      </c>
      <c r="J545" s="8" t="str">
        <f>IF([2]道具信息!J545="","",[2]道具信息!J545)</f>
        <v/>
      </c>
      <c r="K545" s="8" t="str">
        <f>IF([2]道具信息!K545="","",[2]道具信息!K545)</f>
        <v/>
      </c>
      <c r="L545" s="8" t="str">
        <f>IF([2]道具信息!L545="","",[2]道具信息!L545)</f>
        <v/>
      </c>
      <c r="M545" s="8" t="str">
        <f>IF([2]道具信息!M545="","",[2]道具信息!M545)</f>
        <v/>
      </c>
      <c r="N545" s="8" t="str">
        <f>IF([2]道具信息!N545="","",[2]道具信息!N545)</f>
        <v/>
      </c>
      <c r="O545" s="8" t="str">
        <f>IF([2]道具信息!O545="","",[2]道具信息!O545)</f>
        <v/>
      </c>
      <c r="P545" s="8" t="str">
        <f>IF([2]道具信息!P545="","",[2]道具信息!P545)</f>
        <v/>
      </c>
      <c r="Q545" s="8" t="str">
        <f>IF([2]道具信息!Q545="","",[2]道具信息!Q545)</f>
        <v/>
      </c>
      <c r="R545" s="8" t="str">
        <f>IF([2]道具信息!R545="","",[2]道具信息!R545)</f>
        <v/>
      </c>
    </row>
    <row r="546" spans="3:18" x14ac:dyDescent="0.2">
      <c r="C546" s="8" t="str">
        <f>IF([2]道具信息!C546="","",[2]道具信息!C546)</f>
        <v/>
      </c>
      <c r="D546" s="8" t="str">
        <f>IF([2]道具信息!D546="","",[2]道具信息!D546)</f>
        <v/>
      </c>
      <c r="E546" s="8" t="str">
        <f>IF([2]道具信息!E546="","",[2]道具信息!E546)</f>
        <v/>
      </c>
      <c r="F546" s="8" t="str">
        <f>IF([2]道具信息!F546="","",[2]道具信息!F546)</f>
        <v/>
      </c>
      <c r="G546" s="8" t="str">
        <f>IF([2]道具信息!G546="","",[2]道具信息!G546)</f>
        <v/>
      </c>
      <c r="H546" s="8" t="str">
        <f>IF([2]道具信息!H546="","",[2]道具信息!H546)</f>
        <v/>
      </c>
      <c r="I546" s="8" t="str">
        <f>IF([2]道具信息!I546="","",[2]道具信息!I546)</f>
        <v/>
      </c>
      <c r="J546" s="8" t="str">
        <f>IF([2]道具信息!J546="","",[2]道具信息!J546)</f>
        <v/>
      </c>
      <c r="K546" s="8" t="str">
        <f>IF([2]道具信息!K546="","",[2]道具信息!K546)</f>
        <v/>
      </c>
      <c r="L546" s="8" t="str">
        <f>IF([2]道具信息!L546="","",[2]道具信息!L546)</f>
        <v/>
      </c>
      <c r="M546" s="8" t="str">
        <f>IF([2]道具信息!M546="","",[2]道具信息!M546)</f>
        <v/>
      </c>
      <c r="N546" s="8" t="str">
        <f>IF([2]道具信息!N546="","",[2]道具信息!N546)</f>
        <v/>
      </c>
      <c r="O546" s="8" t="str">
        <f>IF([2]道具信息!O546="","",[2]道具信息!O546)</f>
        <v/>
      </c>
      <c r="P546" s="8" t="str">
        <f>IF([2]道具信息!P546="","",[2]道具信息!P546)</f>
        <v/>
      </c>
      <c r="Q546" s="8" t="str">
        <f>IF([2]道具信息!Q546="","",[2]道具信息!Q546)</f>
        <v/>
      </c>
      <c r="R546" s="8" t="str">
        <f>IF([2]道具信息!R546="","",[2]道具信息!R546)</f>
        <v/>
      </c>
    </row>
    <row r="547" spans="3:18" x14ac:dyDescent="0.2">
      <c r="C547" s="8" t="str">
        <f>IF([2]道具信息!C547="","",[2]道具信息!C547)</f>
        <v/>
      </c>
      <c r="D547" s="8" t="str">
        <f>IF([2]道具信息!D547="","",[2]道具信息!D547)</f>
        <v/>
      </c>
      <c r="E547" s="8" t="str">
        <f>IF([2]道具信息!E547="","",[2]道具信息!E547)</f>
        <v/>
      </c>
      <c r="F547" s="8" t="str">
        <f>IF([2]道具信息!F547="","",[2]道具信息!F547)</f>
        <v/>
      </c>
      <c r="G547" s="8" t="str">
        <f>IF([2]道具信息!G547="","",[2]道具信息!G547)</f>
        <v/>
      </c>
      <c r="H547" s="8" t="str">
        <f>IF([2]道具信息!H547="","",[2]道具信息!H547)</f>
        <v/>
      </c>
      <c r="I547" s="8" t="str">
        <f>IF([2]道具信息!I547="","",[2]道具信息!I547)</f>
        <v/>
      </c>
      <c r="J547" s="8" t="str">
        <f>IF([2]道具信息!J547="","",[2]道具信息!J547)</f>
        <v/>
      </c>
      <c r="K547" s="8" t="str">
        <f>IF([2]道具信息!K547="","",[2]道具信息!K547)</f>
        <v/>
      </c>
      <c r="L547" s="8" t="str">
        <f>IF([2]道具信息!L547="","",[2]道具信息!L547)</f>
        <v/>
      </c>
      <c r="M547" s="8" t="str">
        <f>IF([2]道具信息!M547="","",[2]道具信息!M547)</f>
        <v/>
      </c>
      <c r="N547" s="8" t="str">
        <f>IF([2]道具信息!N547="","",[2]道具信息!N547)</f>
        <v/>
      </c>
      <c r="O547" s="8" t="str">
        <f>IF([2]道具信息!O547="","",[2]道具信息!O547)</f>
        <v/>
      </c>
      <c r="P547" s="8" t="str">
        <f>IF([2]道具信息!P547="","",[2]道具信息!P547)</f>
        <v/>
      </c>
      <c r="Q547" s="8" t="str">
        <f>IF([2]道具信息!Q547="","",[2]道具信息!Q547)</f>
        <v/>
      </c>
      <c r="R547" s="8" t="str">
        <f>IF([2]道具信息!R547="","",[2]道具信息!R547)</f>
        <v/>
      </c>
    </row>
    <row r="548" spans="3:18" x14ac:dyDescent="0.2">
      <c r="C548" s="8" t="str">
        <f>IF([2]道具信息!C548="","",[2]道具信息!C548)</f>
        <v/>
      </c>
      <c r="D548" s="8" t="str">
        <f>IF([2]道具信息!D548="","",[2]道具信息!D548)</f>
        <v/>
      </c>
      <c r="E548" s="8" t="str">
        <f>IF([2]道具信息!E548="","",[2]道具信息!E548)</f>
        <v/>
      </c>
      <c r="F548" s="8" t="str">
        <f>IF([2]道具信息!F548="","",[2]道具信息!F548)</f>
        <v/>
      </c>
      <c r="G548" s="8" t="str">
        <f>IF([2]道具信息!G548="","",[2]道具信息!G548)</f>
        <v/>
      </c>
      <c r="H548" s="8" t="str">
        <f>IF([2]道具信息!H548="","",[2]道具信息!H548)</f>
        <v/>
      </c>
      <c r="I548" s="8" t="str">
        <f>IF([2]道具信息!I548="","",[2]道具信息!I548)</f>
        <v/>
      </c>
      <c r="J548" s="8" t="str">
        <f>IF([2]道具信息!J548="","",[2]道具信息!J548)</f>
        <v/>
      </c>
      <c r="K548" s="8" t="str">
        <f>IF([2]道具信息!K548="","",[2]道具信息!K548)</f>
        <v/>
      </c>
      <c r="L548" s="8" t="str">
        <f>IF([2]道具信息!L548="","",[2]道具信息!L548)</f>
        <v/>
      </c>
      <c r="M548" s="8" t="str">
        <f>IF([2]道具信息!M548="","",[2]道具信息!M548)</f>
        <v/>
      </c>
      <c r="N548" s="8" t="str">
        <f>IF([2]道具信息!N548="","",[2]道具信息!N548)</f>
        <v/>
      </c>
      <c r="O548" s="8" t="str">
        <f>IF([2]道具信息!O548="","",[2]道具信息!O548)</f>
        <v/>
      </c>
      <c r="P548" s="8" t="str">
        <f>IF([2]道具信息!P548="","",[2]道具信息!P548)</f>
        <v/>
      </c>
      <c r="Q548" s="8" t="str">
        <f>IF([2]道具信息!Q548="","",[2]道具信息!Q548)</f>
        <v/>
      </c>
      <c r="R548" s="8" t="str">
        <f>IF([2]道具信息!R548="","",[2]道具信息!R548)</f>
        <v/>
      </c>
    </row>
    <row r="549" spans="3:18" x14ac:dyDescent="0.2">
      <c r="C549" s="8" t="str">
        <f>IF([2]道具信息!C549="","",[2]道具信息!C549)</f>
        <v/>
      </c>
      <c r="D549" s="8" t="str">
        <f>IF([2]道具信息!D549="","",[2]道具信息!D549)</f>
        <v/>
      </c>
      <c r="E549" s="8" t="str">
        <f>IF([2]道具信息!E549="","",[2]道具信息!E549)</f>
        <v/>
      </c>
      <c r="F549" s="8" t="str">
        <f>IF([2]道具信息!F549="","",[2]道具信息!F549)</f>
        <v/>
      </c>
      <c r="G549" s="8" t="str">
        <f>IF([2]道具信息!G549="","",[2]道具信息!G549)</f>
        <v/>
      </c>
      <c r="H549" s="8" t="str">
        <f>IF([2]道具信息!H549="","",[2]道具信息!H549)</f>
        <v/>
      </c>
      <c r="I549" s="8" t="str">
        <f>IF([2]道具信息!I549="","",[2]道具信息!I549)</f>
        <v/>
      </c>
      <c r="J549" s="8" t="str">
        <f>IF([2]道具信息!J549="","",[2]道具信息!J549)</f>
        <v/>
      </c>
      <c r="K549" s="8" t="str">
        <f>IF([2]道具信息!K549="","",[2]道具信息!K549)</f>
        <v/>
      </c>
      <c r="L549" s="8" t="str">
        <f>IF([2]道具信息!L549="","",[2]道具信息!L549)</f>
        <v/>
      </c>
      <c r="M549" s="8" t="str">
        <f>IF([2]道具信息!M549="","",[2]道具信息!M549)</f>
        <v/>
      </c>
      <c r="N549" s="8" t="str">
        <f>IF([2]道具信息!N549="","",[2]道具信息!N549)</f>
        <v/>
      </c>
      <c r="O549" s="8" t="str">
        <f>IF([2]道具信息!O549="","",[2]道具信息!O549)</f>
        <v/>
      </c>
      <c r="P549" s="8" t="str">
        <f>IF([2]道具信息!P549="","",[2]道具信息!P549)</f>
        <v/>
      </c>
      <c r="Q549" s="8" t="str">
        <f>IF([2]道具信息!Q549="","",[2]道具信息!Q549)</f>
        <v/>
      </c>
      <c r="R549" s="8" t="str">
        <f>IF([2]道具信息!R549="","",[2]道具信息!R549)</f>
        <v/>
      </c>
    </row>
    <row r="550" spans="3:18" x14ac:dyDescent="0.2">
      <c r="C550" s="8" t="str">
        <f>IF([2]道具信息!C550="","",[2]道具信息!C550)</f>
        <v/>
      </c>
      <c r="D550" s="8" t="str">
        <f>IF([2]道具信息!D550="","",[2]道具信息!D550)</f>
        <v/>
      </c>
      <c r="E550" s="8" t="str">
        <f>IF([2]道具信息!E550="","",[2]道具信息!E550)</f>
        <v/>
      </c>
      <c r="F550" s="8" t="str">
        <f>IF([2]道具信息!F550="","",[2]道具信息!F550)</f>
        <v/>
      </c>
      <c r="G550" s="8" t="str">
        <f>IF([2]道具信息!G550="","",[2]道具信息!G550)</f>
        <v/>
      </c>
      <c r="H550" s="8" t="str">
        <f>IF([2]道具信息!H550="","",[2]道具信息!H550)</f>
        <v/>
      </c>
      <c r="I550" s="8" t="str">
        <f>IF([2]道具信息!I550="","",[2]道具信息!I550)</f>
        <v/>
      </c>
      <c r="J550" s="8" t="str">
        <f>IF([2]道具信息!J550="","",[2]道具信息!J550)</f>
        <v/>
      </c>
      <c r="K550" s="8" t="str">
        <f>IF([2]道具信息!K550="","",[2]道具信息!K550)</f>
        <v/>
      </c>
      <c r="L550" s="8" t="str">
        <f>IF([2]道具信息!L550="","",[2]道具信息!L550)</f>
        <v/>
      </c>
      <c r="M550" s="8" t="str">
        <f>IF([2]道具信息!M550="","",[2]道具信息!M550)</f>
        <v/>
      </c>
      <c r="N550" s="8" t="str">
        <f>IF([2]道具信息!N550="","",[2]道具信息!N550)</f>
        <v/>
      </c>
      <c r="O550" s="8" t="str">
        <f>IF([2]道具信息!O550="","",[2]道具信息!O550)</f>
        <v/>
      </c>
      <c r="P550" s="8" t="str">
        <f>IF([2]道具信息!P550="","",[2]道具信息!P550)</f>
        <v/>
      </c>
      <c r="Q550" s="8" t="str">
        <f>IF([2]道具信息!Q550="","",[2]道具信息!Q550)</f>
        <v/>
      </c>
      <c r="R550" s="8" t="str">
        <f>IF([2]道具信息!R550="","",[2]道具信息!R550)</f>
        <v/>
      </c>
    </row>
    <row r="551" spans="3:18" x14ac:dyDescent="0.2">
      <c r="C551" s="8" t="str">
        <f>IF([2]道具信息!C551="","",[2]道具信息!C551)</f>
        <v/>
      </c>
      <c r="D551" s="8" t="str">
        <f>IF([2]道具信息!D551="","",[2]道具信息!D551)</f>
        <v/>
      </c>
      <c r="E551" s="8" t="str">
        <f>IF([2]道具信息!E551="","",[2]道具信息!E551)</f>
        <v/>
      </c>
      <c r="F551" s="8" t="str">
        <f>IF([2]道具信息!F551="","",[2]道具信息!F551)</f>
        <v/>
      </c>
      <c r="G551" s="8" t="str">
        <f>IF([2]道具信息!G551="","",[2]道具信息!G551)</f>
        <v/>
      </c>
      <c r="H551" s="8" t="str">
        <f>IF([2]道具信息!H551="","",[2]道具信息!H551)</f>
        <v/>
      </c>
      <c r="I551" s="8" t="str">
        <f>IF([2]道具信息!I551="","",[2]道具信息!I551)</f>
        <v/>
      </c>
      <c r="J551" s="8" t="str">
        <f>IF([2]道具信息!J551="","",[2]道具信息!J551)</f>
        <v/>
      </c>
      <c r="K551" s="8" t="str">
        <f>IF([2]道具信息!K551="","",[2]道具信息!K551)</f>
        <v/>
      </c>
      <c r="L551" s="8" t="str">
        <f>IF([2]道具信息!L551="","",[2]道具信息!L551)</f>
        <v/>
      </c>
      <c r="M551" s="8" t="str">
        <f>IF([2]道具信息!M551="","",[2]道具信息!M551)</f>
        <v/>
      </c>
      <c r="N551" s="8" t="str">
        <f>IF([2]道具信息!N551="","",[2]道具信息!N551)</f>
        <v/>
      </c>
      <c r="O551" s="8" t="str">
        <f>IF([2]道具信息!O551="","",[2]道具信息!O551)</f>
        <v/>
      </c>
      <c r="P551" s="8" t="str">
        <f>IF([2]道具信息!P551="","",[2]道具信息!P551)</f>
        <v/>
      </c>
      <c r="Q551" s="8" t="str">
        <f>IF([2]道具信息!Q551="","",[2]道具信息!Q551)</f>
        <v/>
      </c>
      <c r="R551" s="8" t="str">
        <f>IF([2]道具信息!R551="","",[2]道具信息!R551)</f>
        <v/>
      </c>
    </row>
    <row r="552" spans="3:18" x14ac:dyDescent="0.2">
      <c r="C552" s="8" t="str">
        <f>IF([2]道具信息!C552="","",[2]道具信息!C552)</f>
        <v/>
      </c>
      <c r="D552" s="8" t="str">
        <f>IF([2]道具信息!D552="","",[2]道具信息!D552)</f>
        <v/>
      </c>
      <c r="E552" s="8" t="str">
        <f>IF([2]道具信息!E552="","",[2]道具信息!E552)</f>
        <v/>
      </c>
      <c r="F552" s="8" t="str">
        <f>IF([2]道具信息!F552="","",[2]道具信息!F552)</f>
        <v/>
      </c>
      <c r="G552" s="8" t="str">
        <f>IF([2]道具信息!G552="","",[2]道具信息!G552)</f>
        <v/>
      </c>
      <c r="H552" s="8" t="str">
        <f>IF([2]道具信息!H552="","",[2]道具信息!H552)</f>
        <v/>
      </c>
      <c r="I552" s="8" t="str">
        <f>IF([2]道具信息!I552="","",[2]道具信息!I552)</f>
        <v/>
      </c>
      <c r="J552" s="8" t="str">
        <f>IF([2]道具信息!J552="","",[2]道具信息!J552)</f>
        <v/>
      </c>
      <c r="K552" s="8" t="str">
        <f>IF([2]道具信息!K552="","",[2]道具信息!K552)</f>
        <v/>
      </c>
      <c r="L552" s="8" t="str">
        <f>IF([2]道具信息!L552="","",[2]道具信息!L552)</f>
        <v/>
      </c>
      <c r="M552" s="8" t="str">
        <f>IF([2]道具信息!M552="","",[2]道具信息!M552)</f>
        <v/>
      </c>
      <c r="N552" s="8" t="str">
        <f>IF([2]道具信息!N552="","",[2]道具信息!N552)</f>
        <v/>
      </c>
      <c r="O552" s="8" t="str">
        <f>IF([2]道具信息!O552="","",[2]道具信息!O552)</f>
        <v/>
      </c>
      <c r="P552" s="8" t="str">
        <f>IF([2]道具信息!P552="","",[2]道具信息!P552)</f>
        <v/>
      </c>
      <c r="Q552" s="8" t="str">
        <f>IF([2]道具信息!Q552="","",[2]道具信息!Q552)</f>
        <v/>
      </c>
      <c r="R552" s="8" t="str">
        <f>IF([2]道具信息!R552="","",[2]道具信息!R552)</f>
        <v/>
      </c>
    </row>
    <row r="553" spans="3:18" x14ac:dyDescent="0.2">
      <c r="C553" s="8" t="str">
        <f>IF([2]道具信息!C553="","",[2]道具信息!C553)</f>
        <v/>
      </c>
      <c r="D553" s="8" t="str">
        <f>IF([2]道具信息!D553="","",[2]道具信息!D553)</f>
        <v/>
      </c>
      <c r="E553" s="8" t="str">
        <f>IF([2]道具信息!E553="","",[2]道具信息!E553)</f>
        <v/>
      </c>
      <c r="F553" s="8" t="str">
        <f>IF([2]道具信息!F553="","",[2]道具信息!F553)</f>
        <v/>
      </c>
      <c r="G553" s="8" t="str">
        <f>IF([2]道具信息!G553="","",[2]道具信息!G553)</f>
        <v/>
      </c>
      <c r="H553" s="8" t="str">
        <f>IF([2]道具信息!H553="","",[2]道具信息!H553)</f>
        <v/>
      </c>
      <c r="I553" s="8" t="str">
        <f>IF([2]道具信息!I553="","",[2]道具信息!I553)</f>
        <v/>
      </c>
      <c r="J553" s="8" t="str">
        <f>IF([2]道具信息!J553="","",[2]道具信息!J553)</f>
        <v/>
      </c>
      <c r="K553" s="8" t="str">
        <f>IF([2]道具信息!K553="","",[2]道具信息!K553)</f>
        <v/>
      </c>
      <c r="L553" s="8" t="str">
        <f>IF([2]道具信息!L553="","",[2]道具信息!L553)</f>
        <v/>
      </c>
      <c r="M553" s="8" t="str">
        <f>IF([2]道具信息!M553="","",[2]道具信息!M553)</f>
        <v/>
      </c>
      <c r="N553" s="8" t="str">
        <f>IF([2]道具信息!N553="","",[2]道具信息!N553)</f>
        <v/>
      </c>
      <c r="O553" s="8" t="str">
        <f>IF([2]道具信息!O553="","",[2]道具信息!O553)</f>
        <v/>
      </c>
      <c r="P553" s="8" t="str">
        <f>IF([2]道具信息!P553="","",[2]道具信息!P553)</f>
        <v/>
      </c>
      <c r="Q553" s="8" t="str">
        <f>IF([2]道具信息!Q553="","",[2]道具信息!Q553)</f>
        <v/>
      </c>
      <c r="R553" s="8" t="str">
        <f>IF([2]道具信息!R553="","",[2]道具信息!R553)</f>
        <v/>
      </c>
    </row>
    <row r="554" spans="3:18" x14ac:dyDescent="0.2">
      <c r="C554" s="8" t="str">
        <f>IF([2]道具信息!C554="","",[2]道具信息!C554)</f>
        <v/>
      </c>
      <c r="D554" s="8" t="str">
        <f>IF([2]道具信息!D554="","",[2]道具信息!D554)</f>
        <v/>
      </c>
      <c r="E554" s="8" t="str">
        <f>IF([2]道具信息!E554="","",[2]道具信息!E554)</f>
        <v/>
      </c>
      <c r="F554" s="8" t="str">
        <f>IF([2]道具信息!F554="","",[2]道具信息!F554)</f>
        <v/>
      </c>
      <c r="G554" s="8" t="str">
        <f>IF([2]道具信息!G554="","",[2]道具信息!G554)</f>
        <v/>
      </c>
      <c r="H554" s="8" t="str">
        <f>IF([2]道具信息!H554="","",[2]道具信息!H554)</f>
        <v/>
      </c>
      <c r="I554" s="8" t="str">
        <f>IF([2]道具信息!I554="","",[2]道具信息!I554)</f>
        <v/>
      </c>
      <c r="J554" s="8" t="str">
        <f>IF([2]道具信息!J554="","",[2]道具信息!J554)</f>
        <v/>
      </c>
      <c r="K554" s="8" t="str">
        <f>IF([2]道具信息!K554="","",[2]道具信息!K554)</f>
        <v/>
      </c>
      <c r="L554" s="8" t="str">
        <f>IF([2]道具信息!L554="","",[2]道具信息!L554)</f>
        <v/>
      </c>
      <c r="M554" s="8" t="str">
        <f>IF([2]道具信息!M554="","",[2]道具信息!M554)</f>
        <v/>
      </c>
      <c r="N554" s="8" t="str">
        <f>IF([2]道具信息!N554="","",[2]道具信息!N554)</f>
        <v/>
      </c>
      <c r="O554" s="8" t="str">
        <f>IF([2]道具信息!O554="","",[2]道具信息!O554)</f>
        <v/>
      </c>
      <c r="P554" s="8" t="str">
        <f>IF([2]道具信息!P554="","",[2]道具信息!P554)</f>
        <v/>
      </c>
      <c r="Q554" s="8" t="str">
        <f>IF([2]道具信息!Q554="","",[2]道具信息!Q554)</f>
        <v/>
      </c>
      <c r="R554" s="8" t="str">
        <f>IF([2]道具信息!R554="","",[2]道具信息!R554)</f>
        <v/>
      </c>
    </row>
    <row r="555" spans="3:18" x14ac:dyDescent="0.2">
      <c r="C555" s="8" t="str">
        <f>IF([2]道具信息!C555="","",[2]道具信息!C555)</f>
        <v/>
      </c>
      <c r="D555" s="8" t="str">
        <f>IF([2]道具信息!D555="","",[2]道具信息!D555)</f>
        <v/>
      </c>
      <c r="E555" s="8" t="str">
        <f>IF([2]道具信息!E555="","",[2]道具信息!E555)</f>
        <v/>
      </c>
      <c r="F555" s="8" t="str">
        <f>IF([2]道具信息!F555="","",[2]道具信息!F555)</f>
        <v/>
      </c>
      <c r="G555" s="8" t="str">
        <f>IF([2]道具信息!G555="","",[2]道具信息!G555)</f>
        <v/>
      </c>
      <c r="H555" s="8" t="str">
        <f>IF([2]道具信息!H555="","",[2]道具信息!H555)</f>
        <v/>
      </c>
      <c r="I555" s="8" t="str">
        <f>IF([2]道具信息!I555="","",[2]道具信息!I555)</f>
        <v/>
      </c>
      <c r="J555" s="8" t="str">
        <f>IF([2]道具信息!J555="","",[2]道具信息!J555)</f>
        <v/>
      </c>
      <c r="K555" s="8" t="str">
        <f>IF([2]道具信息!K555="","",[2]道具信息!K555)</f>
        <v/>
      </c>
      <c r="L555" s="8" t="str">
        <f>IF([2]道具信息!L555="","",[2]道具信息!L555)</f>
        <v/>
      </c>
      <c r="M555" s="8" t="str">
        <f>IF([2]道具信息!M555="","",[2]道具信息!M555)</f>
        <v/>
      </c>
      <c r="N555" s="8" t="str">
        <f>IF([2]道具信息!N555="","",[2]道具信息!N555)</f>
        <v/>
      </c>
      <c r="O555" s="8" t="str">
        <f>IF([2]道具信息!O555="","",[2]道具信息!O555)</f>
        <v/>
      </c>
      <c r="P555" s="8" t="str">
        <f>IF([2]道具信息!P555="","",[2]道具信息!P555)</f>
        <v/>
      </c>
      <c r="Q555" s="8" t="str">
        <f>IF([2]道具信息!Q555="","",[2]道具信息!Q555)</f>
        <v/>
      </c>
      <c r="R555" s="8" t="str">
        <f>IF([2]道具信息!R555="","",[2]道具信息!R555)</f>
        <v/>
      </c>
    </row>
    <row r="556" spans="3:18" x14ac:dyDescent="0.2">
      <c r="C556" s="8" t="str">
        <f>IF([2]道具信息!C556="","",[2]道具信息!C556)</f>
        <v/>
      </c>
      <c r="D556" s="8" t="str">
        <f>IF([2]道具信息!D556="","",[2]道具信息!D556)</f>
        <v/>
      </c>
      <c r="E556" s="8" t="str">
        <f>IF([2]道具信息!E556="","",[2]道具信息!E556)</f>
        <v/>
      </c>
      <c r="F556" s="8" t="str">
        <f>IF([2]道具信息!F556="","",[2]道具信息!F556)</f>
        <v/>
      </c>
      <c r="G556" s="8" t="str">
        <f>IF([2]道具信息!G556="","",[2]道具信息!G556)</f>
        <v/>
      </c>
      <c r="H556" s="8" t="str">
        <f>IF([2]道具信息!H556="","",[2]道具信息!H556)</f>
        <v/>
      </c>
      <c r="I556" s="8" t="str">
        <f>IF([2]道具信息!I556="","",[2]道具信息!I556)</f>
        <v/>
      </c>
      <c r="J556" s="8" t="str">
        <f>IF([2]道具信息!J556="","",[2]道具信息!J556)</f>
        <v/>
      </c>
      <c r="K556" s="8" t="str">
        <f>IF([2]道具信息!K556="","",[2]道具信息!K556)</f>
        <v/>
      </c>
      <c r="L556" s="8" t="str">
        <f>IF([2]道具信息!L556="","",[2]道具信息!L556)</f>
        <v/>
      </c>
      <c r="M556" s="8" t="str">
        <f>IF([2]道具信息!M556="","",[2]道具信息!M556)</f>
        <v/>
      </c>
      <c r="N556" s="8" t="str">
        <f>IF([2]道具信息!N556="","",[2]道具信息!N556)</f>
        <v/>
      </c>
      <c r="O556" s="8" t="str">
        <f>IF([2]道具信息!O556="","",[2]道具信息!O556)</f>
        <v/>
      </c>
      <c r="P556" s="8" t="str">
        <f>IF([2]道具信息!P556="","",[2]道具信息!P556)</f>
        <v/>
      </c>
      <c r="Q556" s="8" t="str">
        <f>IF([2]道具信息!Q556="","",[2]道具信息!Q556)</f>
        <v/>
      </c>
      <c r="R556" s="8" t="str">
        <f>IF([2]道具信息!R556="","",[2]道具信息!R556)</f>
        <v/>
      </c>
    </row>
    <row r="557" spans="3:18" x14ac:dyDescent="0.2">
      <c r="C557" s="8" t="str">
        <f>IF([2]道具信息!C557="","",[2]道具信息!C557)</f>
        <v/>
      </c>
      <c r="D557" s="8" t="str">
        <f>IF([2]道具信息!D557="","",[2]道具信息!D557)</f>
        <v/>
      </c>
      <c r="E557" s="8" t="str">
        <f>IF([2]道具信息!E557="","",[2]道具信息!E557)</f>
        <v/>
      </c>
      <c r="F557" s="8" t="str">
        <f>IF([2]道具信息!F557="","",[2]道具信息!F557)</f>
        <v/>
      </c>
      <c r="G557" s="8" t="str">
        <f>IF([2]道具信息!G557="","",[2]道具信息!G557)</f>
        <v/>
      </c>
      <c r="H557" s="8" t="str">
        <f>IF([2]道具信息!H557="","",[2]道具信息!H557)</f>
        <v/>
      </c>
      <c r="I557" s="8" t="str">
        <f>IF([2]道具信息!I557="","",[2]道具信息!I557)</f>
        <v/>
      </c>
      <c r="J557" s="8" t="str">
        <f>IF([2]道具信息!J557="","",[2]道具信息!J557)</f>
        <v/>
      </c>
      <c r="K557" s="8" t="str">
        <f>IF([2]道具信息!K557="","",[2]道具信息!K557)</f>
        <v/>
      </c>
      <c r="L557" s="8" t="str">
        <f>IF([2]道具信息!L557="","",[2]道具信息!L557)</f>
        <v/>
      </c>
      <c r="M557" s="8" t="str">
        <f>IF([2]道具信息!M557="","",[2]道具信息!M557)</f>
        <v/>
      </c>
      <c r="N557" s="8" t="str">
        <f>IF([2]道具信息!N557="","",[2]道具信息!N557)</f>
        <v/>
      </c>
      <c r="O557" s="8" t="str">
        <f>IF([2]道具信息!O557="","",[2]道具信息!O557)</f>
        <v/>
      </c>
      <c r="P557" s="8" t="str">
        <f>IF([2]道具信息!P557="","",[2]道具信息!P557)</f>
        <v/>
      </c>
      <c r="Q557" s="8" t="str">
        <f>IF([2]道具信息!Q557="","",[2]道具信息!Q557)</f>
        <v/>
      </c>
      <c r="R557" s="8" t="str">
        <f>IF([2]道具信息!R557="","",[2]道具信息!R557)</f>
        <v/>
      </c>
    </row>
    <row r="558" spans="3:18" x14ac:dyDescent="0.2">
      <c r="C558" s="8" t="str">
        <f>IF([2]道具信息!C558="","",[2]道具信息!C558)</f>
        <v/>
      </c>
      <c r="D558" s="8" t="str">
        <f>IF([2]道具信息!D558="","",[2]道具信息!D558)</f>
        <v/>
      </c>
      <c r="E558" s="8" t="str">
        <f>IF([2]道具信息!E558="","",[2]道具信息!E558)</f>
        <v/>
      </c>
      <c r="F558" s="8" t="str">
        <f>IF([2]道具信息!F558="","",[2]道具信息!F558)</f>
        <v/>
      </c>
      <c r="G558" s="8" t="str">
        <f>IF([2]道具信息!G558="","",[2]道具信息!G558)</f>
        <v/>
      </c>
      <c r="H558" s="8" t="str">
        <f>IF([2]道具信息!H558="","",[2]道具信息!H558)</f>
        <v/>
      </c>
      <c r="I558" s="8" t="str">
        <f>IF([2]道具信息!I558="","",[2]道具信息!I558)</f>
        <v/>
      </c>
      <c r="J558" s="8" t="str">
        <f>IF([2]道具信息!J558="","",[2]道具信息!J558)</f>
        <v/>
      </c>
      <c r="K558" s="8" t="str">
        <f>IF([2]道具信息!K558="","",[2]道具信息!K558)</f>
        <v/>
      </c>
      <c r="L558" s="8" t="str">
        <f>IF([2]道具信息!L558="","",[2]道具信息!L558)</f>
        <v/>
      </c>
      <c r="M558" s="8" t="str">
        <f>IF([2]道具信息!M558="","",[2]道具信息!M558)</f>
        <v/>
      </c>
      <c r="N558" s="8" t="str">
        <f>IF([2]道具信息!N558="","",[2]道具信息!N558)</f>
        <v/>
      </c>
      <c r="O558" s="8" t="str">
        <f>IF([2]道具信息!O558="","",[2]道具信息!O558)</f>
        <v/>
      </c>
      <c r="P558" s="8" t="str">
        <f>IF([2]道具信息!P558="","",[2]道具信息!P558)</f>
        <v/>
      </c>
      <c r="Q558" s="8" t="str">
        <f>IF([2]道具信息!Q558="","",[2]道具信息!Q558)</f>
        <v/>
      </c>
      <c r="R558" s="8" t="str">
        <f>IF([2]道具信息!R558="","",[2]道具信息!R558)</f>
        <v/>
      </c>
    </row>
    <row r="559" spans="3:18" x14ac:dyDescent="0.2">
      <c r="C559" s="8" t="str">
        <f>IF([2]道具信息!C559="","",[2]道具信息!C559)</f>
        <v/>
      </c>
      <c r="D559" s="8" t="str">
        <f>IF([2]道具信息!D559="","",[2]道具信息!D559)</f>
        <v/>
      </c>
      <c r="E559" s="8" t="str">
        <f>IF([2]道具信息!E559="","",[2]道具信息!E559)</f>
        <v/>
      </c>
      <c r="F559" s="8" t="str">
        <f>IF([2]道具信息!F559="","",[2]道具信息!F559)</f>
        <v/>
      </c>
      <c r="G559" s="8" t="str">
        <f>IF([2]道具信息!G559="","",[2]道具信息!G559)</f>
        <v/>
      </c>
      <c r="H559" s="8" t="str">
        <f>IF([2]道具信息!H559="","",[2]道具信息!H559)</f>
        <v/>
      </c>
      <c r="I559" s="8" t="str">
        <f>IF([2]道具信息!I559="","",[2]道具信息!I559)</f>
        <v/>
      </c>
      <c r="J559" s="8" t="str">
        <f>IF([2]道具信息!J559="","",[2]道具信息!J559)</f>
        <v/>
      </c>
      <c r="K559" s="8" t="str">
        <f>IF([2]道具信息!K559="","",[2]道具信息!K559)</f>
        <v/>
      </c>
      <c r="L559" s="8" t="str">
        <f>IF([2]道具信息!L559="","",[2]道具信息!L559)</f>
        <v/>
      </c>
      <c r="M559" s="8" t="str">
        <f>IF([2]道具信息!M559="","",[2]道具信息!M559)</f>
        <v/>
      </c>
      <c r="N559" s="8" t="str">
        <f>IF([2]道具信息!N559="","",[2]道具信息!N559)</f>
        <v/>
      </c>
      <c r="O559" s="8" t="str">
        <f>IF([2]道具信息!O559="","",[2]道具信息!O559)</f>
        <v/>
      </c>
      <c r="P559" s="8" t="str">
        <f>IF([2]道具信息!P559="","",[2]道具信息!P559)</f>
        <v/>
      </c>
      <c r="Q559" s="8" t="str">
        <f>IF([2]道具信息!Q559="","",[2]道具信息!Q559)</f>
        <v/>
      </c>
      <c r="R559" s="8" t="str">
        <f>IF([2]道具信息!R559="","",[2]道具信息!R559)</f>
        <v/>
      </c>
    </row>
    <row r="560" spans="3:18" x14ac:dyDescent="0.2">
      <c r="C560" s="8" t="str">
        <f>IF([2]道具信息!C560="","",[2]道具信息!C560)</f>
        <v/>
      </c>
      <c r="D560" s="8" t="str">
        <f>IF([2]道具信息!D560="","",[2]道具信息!D560)</f>
        <v/>
      </c>
      <c r="E560" s="8" t="str">
        <f>IF([2]道具信息!E560="","",[2]道具信息!E560)</f>
        <v/>
      </c>
      <c r="F560" s="8" t="str">
        <f>IF([2]道具信息!F560="","",[2]道具信息!F560)</f>
        <v/>
      </c>
      <c r="G560" s="8" t="str">
        <f>IF([2]道具信息!G560="","",[2]道具信息!G560)</f>
        <v/>
      </c>
      <c r="H560" s="8" t="str">
        <f>IF([2]道具信息!H560="","",[2]道具信息!H560)</f>
        <v/>
      </c>
      <c r="I560" s="8" t="str">
        <f>IF([2]道具信息!I560="","",[2]道具信息!I560)</f>
        <v/>
      </c>
      <c r="J560" s="8" t="str">
        <f>IF([2]道具信息!J560="","",[2]道具信息!J560)</f>
        <v/>
      </c>
      <c r="K560" s="8" t="str">
        <f>IF([2]道具信息!K560="","",[2]道具信息!K560)</f>
        <v/>
      </c>
      <c r="L560" s="8" t="str">
        <f>IF([2]道具信息!L560="","",[2]道具信息!L560)</f>
        <v/>
      </c>
      <c r="M560" s="8" t="str">
        <f>IF([2]道具信息!M560="","",[2]道具信息!M560)</f>
        <v/>
      </c>
      <c r="N560" s="8" t="str">
        <f>IF([2]道具信息!N560="","",[2]道具信息!N560)</f>
        <v/>
      </c>
      <c r="O560" s="8" t="str">
        <f>IF([2]道具信息!O560="","",[2]道具信息!O560)</f>
        <v/>
      </c>
      <c r="P560" s="8" t="str">
        <f>IF([2]道具信息!P560="","",[2]道具信息!P560)</f>
        <v/>
      </c>
      <c r="Q560" s="8" t="str">
        <f>IF([2]道具信息!Q560="","",[2]道具信息!Q560)</f>
        <v/>
      </c>
      <c r="R560" s="8" t="str">
        <f>IF([2]道具信息!R560="","",[2]道具信息!R560)</f>
        <v/>
      </c>
    </row>
    <row r="561" spans="3:18" x14ac:dyDescent="0.2">
      <c r="C561" s="8" t="str">
        <f>IF([2]道具信息!C561="","",[2]道具信息!C561)</f>
        <v/>
      </c>
      <c r="D561" s="8" t="str">
        <f>IF([2]道具信息!D561="","",[2]道具信息!D561)</f>
        <v/>
      </c>
      <c r="E561" s="8" t="str">
        <f>IF([2]道具信息!E561="","",[2]道具信息!E561)</f>
        <v/>
      </c>
      <c r="F561" s="8" t="str">
        <f>IF([2]道具信息!F561="","",[2]道具信息!F561)</f>
        <v/>
      </c>
      <c r="G561" s="8" t="str">
        <f>IF([2]道具信息!G561="","",[2]道具信息!G561)</f>
        <v/>
      </c>
      <c r="H561" s="8" t="str">
        <f>IF([2]道具信息!H561="","",[2]道具信息!H561)</f>
        <v/>
      </c>
      <c r="I561" s="8" t="str">
        <f>IF([2]道具信息!I561="","",[2]道具信息!I561)</f>
        <v/>
      </c>
      <c r="J561" s="8" t="str">
        <f>IF([2]道具信息!J561="","",[2]道具信息!J561)</f>
        <v/>
      </c>
      <c r="K561" s="8" t="str">
        <f>IF([2]道具信息!K561="","",[2]道具信息!K561)</f>
        <v/>
      </c>
      <c r="L561" s="8" t="str">
        <f>IF([2]道具信息!L561="","",[2]道具信息!L561)</f>
        <v/>
      </c>
      <c r="M561" s="8" t="str">
        <f>IF([2]道具信息!M561="","",[2]道具信息!M561)</f>
        <v/>
      </c>
      <c r="N561" s="8" t="str">
        <f>IF([2]道具信息!N561="","",[2]道具信息!N561)</f>
        <v/>
      </c>
      <c r="O561" s="8" t="str">
        <f>IF([2]道具信息!O561="","",[2]道具信息!O561)</f>
        <v/>
      </c>
      <c r="P561" s="8" t="str">
        <f>IF([2]道具信息!P561="","",[2]道具信息!P561)</f>
        <v/>
      </c>
      <c r="Q561" s="8" t="str">
        <f>IF([2]道具信息!Q561="","",[2]道具信息!Q561)</f>
        <v/>
      </c>
      <c r="R561" s="8" t="str">
        <f>IF([2]道具信息!R561="","",[2]道具信息!R561)</f>
        <v/>
      </c>
    </row>
    <row r="562" spans="3:18" x14ac:dyDescent="0.2">
      <c r="C562" s="8" t="str">
        <f>IF([2]道具信息!C562="","",[2]道具信息!C562)</f>
        <v/>
      </c>
      <c r="D562" s="8" t="str">
        <f>IF([2]道具信息!D562="","",[2]道具信息!D562)</f>
        <v/>
      </c>
      <c r="E562" s="8" t="str">
        <f>IF([2]道具信息!E562="","",[2]道具信息!E562)</f>
        <v/>
      </c>
      <c r="F562" s="8" t="str">
        <f>IF([2]道具信息!F562="","",[2]道具信息!F562)</f>
        <v/>
      </c>
      <c r="G562" s="8" t="str">
        <f>IF([2]道具信息!G562="","",[2]道具信息!G562)</f>
        <v/>
      </c>
      <c r="H562" s="8" t="str">
        <f>IF([2]道具信息!H562="","",[2]道具信息!H562)</f>
        <v/>
      </c>
      <c r="I562" s="8" t="str">
        <f>IF([2]道具信息!I562="","",[2]道具信息!I562)</f>
        <v/>
      </c>
      <c r="J562" s="8" t="str">
        <f>IF([2]道具信息!J562="","",[2]道具信息!J562)</f>
        <v/>
      </c>
      <c r="K562" s="8" t="str">
        <f>IF([2]道具信息!K562="","",[2]道具信息!K562)</f>
        <v/>
      </c>
      <c r="L562" s="8" t="str">
        <f>IF([2]道具信息!L562="","",[2]道具信息!L562)</f>
        <v/>
      </c>
      <c r="M562" s="8" t="str">
        <f>IF([2]道具信息!M562="","",[2]道具信息!M562)</f>
        <v/>
      </c>
      <c r="N562" s="8" t="str">
        <f>IF([2]道具信息!N562="","",[2]道具信息!N562)</f>
        <v/>
      </c>
      <c r="O562" s="8" t="str">
        <f>IF([2]道具信息!O562="","",[2]道具信息!O562)</f>
        <v/>
      </c>
      <c r="P562" s="8" t="str">
        <f>IF([2]道具信息!P562="","",[2]道具信息!P562)</f>
        <v/>
      </c>
      <c r="Q562" s="8" t="str">
        <f>IF([2]道具信息!Q562="","",[2]道具信息!Q562)</f>
        <v/>
      </c>
      <c r="R562" s="8" t="str">
        <f>IF([2]道具信息!R562="","",[2]道具信息!R562)</f>
        <v/>
      </c>
    </row>
    <row r="563" spans="3:18" x14ac:dyDescent="0.2">
      <c r="C563" s="8" t="str">
        <f>IF([2]道具信息!C563="","",[2]道具信息!C563)</f>
        <v/>
      </c>
      <c r="D563" s="8" t="str">
        <f>IF([2]道具信息!D563="","",[2]道具信息!D563)</f>
        <v/>
      </c>
      <c r="E563" s="8" t="str">
        <f>IF([2]道具信息!E563="","",[2]道具信息!E563)</f>
        <v/>
      </c>
      <c r="F563" s="8" t="str">
        <f>IF([2]道具信息!F563="","",[2]道具信息!F563)</f>
        <v/>
      </c>
      <c r="G563" s="8" t="str">
        <f>IF([2]道具信息!G563="","",[2]道具信息!G563)</f>
        <v/>
      </c>
      <c r="H563" s="8" t="str">
        <f>IF([2]道具信息!H563="","",[2]道具信息!H563)</f>
        <v/>
      </c>
      <c r="I563" s="8" t="str">
        <f>IF([2]道具信息!I563="","",[2]道具信息!I563)</f>
        <v/>
      </c>
      <c r="J563" s="8" t="str">
        <f>IF([2]道具信息!J563="","",[2]道具信息!J563)</f>
        <v/>
      </c>
      <c r="K563" s="8" t="str">
        <f>IF([2]道具信息!K563="","",[2]道具信息!K563)</f>
        <v/>
      </c>
      <c r="L563" s="8" t="str">
        <f>IF([2]道具信息!L563="","",[2]道具信息!L563)</f>
        <v/>
      </c>
      <c r="M563" s="8" t="str">
        <f>IF([2]道具信息!M563="","",[2]道具信息!M563)</f>
        <v/>
      </c>
      <c r="N563" s="8" t="str">
        <f>IF([2]道具信息!N563="","",[2]道具信息!N563)</f>
        <v/>
      </c>
      <c r="O563" s="8" t="str">
        <f>IF([2]道具信息!O563="","",[2]道具信息!O563)</f>
        <v/>
      </c>
      <c r="P563" s="8" t="str">
        <f>IF([2]道具信息!P563="","",[2]道具信息!P563)</f>
        <v/>
      </c>
      <c r="Q563" s="8" t="str">
        <f>IF([2]道具信息!Q563="","",[2]道具信息!Q563)</f>
        <v/>
      </c>
      <c r="R563" s="8" t="str">
        <f>IF([2]道具信息!R563="","",[2]道具信息!R563)</f>
        <v/>
      </c>
    </row>
    <row r="564" spans="3:18" x14ac:dyDescent="0.2">
      <c r="C564" s="8" t="str">
        <f>IF([2]道具信息!C564="","",[2]道具信息!C564)</f>
        <v/>
      </c>
      <c r="D564" s="8" t="str">
        <f>IF([2]道具信息!D564="","",[2]道具信息!D564)</f>
        <v/>
      </c>
      <c r="E564" s="8" t="str">
        <f>IF([2]道具信息!E564="","",[2]道具信息!E564)</f>
        <v/>
      </c>
      <c r="F564" s="8" t="str">
        <f>IF([2]道具信息!F564="","",[2]道具信息!F564)</f>
        <v/>
      </c>
      <c r="G564" s="8" t="str">
        <f>IF([2]道具信息!G564="","",[2]道具信息!G564)</f>
        <v/>
      </c>
      <c r="H564" s="8" t="str">
        <f>IF([2]道具信息!H564="","",[2]道具信息!H564)</f>
        <v/>
      </c>
      <c r="I564" s="8" t="str">
        <f>IF([2]道具信息!I564="","",[2]道具信息!I564)</f>
        <v/>
      </c>
      <c r="J564" s="8" t="str">
        <f>IF([2]道具信息!J564="","",[2]道具信息!J564)</f>
        <v/>
      </c>
      <c r="K564" s="8" t="str">
        <f>IF([2]道具信息!K564="","",[2]道具信息!K564)</f>
        <v/>
      </c>
      <c r="L564" s="8" t="str">
        <f>IF([2]道具信息!L564="","",[2]道具信息!L564)</f>
        <v/>
      </c>
      <c r="M564" s="8" t="str">
        <f>IF([2]道具信息!M564="","",[2]道具信息!M564)</f>
        <v/>
      </c>
      <c r="N564" s="8" t="str">
        <f>IF([2]道具信息!N564="","",[2]道具信息!N564)</f>
        <v/>
      </c>
      <c r="O564" s="8" t="str">
        <f>IF([2]道具信息!O564="","",[2]道具信息!O564)</f>
        <v/>
      </c>
      <c r="P564" s="8" t="str">
        <f>IF([2]道具信息!P564="","",[2]道具信息!P564)</f>
        <v/>
      </c>
      <c r="Q564" s="8" t="str">
        <f>IF([2]道具信息!Q564="","",[2]道具信息!Q564)</f>
        <v/>
      </c>
      <c r="R564" s="8" t="str">
        <f>IF([2]道具信息!R564="","",[2]道具信息!R564)</f>
        <v/>
      </c>
    </row>
    <row r="565" spans="3:18" x14ac:dyDescent="0.2">
      <c r="C565" s="8" t="str">
        <f>IF([2]道具信息!C565="","",[2]道具信息!C565)</f>
        <v/>
      </c>
      <c r="D565" s="8" t="str">
        <f>IF([2]道具信息!D565="","",[2]道具信息!D565)</f>
        <v/>
      </c>
      <c r="E565" s="8" t="str">
        <f>IF([2]道具信息!E565="","",[2]道具信息!E565)</f>
        <v/>
      </c>
      <c r="F565" s="8" t="str">
        <f>IF([2]道具信息!F565="","",[2]道具信息!F565)</f>
        <v/>
      </c>
      <c r="G565" s="8" t="str">
        <f>IF([2]道具信息!G565="","",[2]道具信息!G565)</f>
        <v/>
      </c>
      <c r="H565" s="8" t="str">
        <f>IF([2]道具信息!H565="","",[2]道具信息!H565)</f>
        <v/>
      </c>
      <c r="I565" s="8" t="str">
        <f>IF([2]道具信息!I565="","",[2]道具信息!I565)</f>
        <v/>
      </c>
      <c r="J565" s="8" t="str">
        <f>IF([2]道具信息!J565="","",[2]道具信息!J565)</f>
        <v/>
      </c>
      <c r="K565" s="8" t="str">
        <f>IF([2]道具信息!K565="","",[2]道具信息!K565)</f>
        <v/>
      </c>
      <c r="L565" s="8" t="str">
        <f>IF([2]道具信息!L565="","",[2]道具信息!L565)</f>
        <v/>
      </c>
      <c r="M565" s="8" t="str">
        <f>IF([2]道具信息!M565="","",[2]道具信息!M565)</f>
        <v/>
      </c>
      <c r="N565" s="8" t="str">
        <f>IF([2]道具信息!N565="","",[2]道具信息!N565)</f>
        <v/>
      </c>
      <c r="O565" s="8" t="str">
        <f>IF([2]道具信息!O565="","",[2]道具信息!O565)</f>
        <v/>
      </c>
      <c r="P565" s="8" t="str">
        <f>IF([2]道具信息!P565="","",[2]道具信息!P565)</f>
        <v/>
      </c>
      <c r="Q565" s="8" t="str">
        <f>IF([2]道具信息!Q565="","",[2]道具信息!Q565)</f>
        <v/>
      </c>
      <c r="R565" s="8" t="str">
        <f>IF([2]道具信息!R565="","",[2]道具信息!R565)</f>
        <v/>
      </c>
    </row>
    <row r="566" spans="3:18" x14ac:dyDescent="0.2">
      <c r="C566" s="8" t="str">
        <f>IF([2]道具信息!C566="","",[2]道具信息!C566)</f>
        <v/>
      </c>
      <c r="D566" s="8" t="str">
        <f>IF([2]道具信息!D566="","",[2]道具信息!D566)</f>
        <v/>
      </c>
      <c r="E566" s="8" t="str">
        <f>IF([2]道具信息!E566="","",[2]道具信息!E566)</f>
        <v/>
      </c>
      <c r="F566" s="8" t="str">
        <f>IF([2]道具信息!F566="","",[2]道具信息!F566)</f>
        <v/>
      </c>
      <c r="G566" s="8" t="str">
        <f>IF([2]道具信息!G566="","",[2]道具信息!G566)</f>
        <v/>
      </c>
      <c r="H566" s="8" t="str">
        <f>IF([2]道具信息!H566="","",[2]道具信息!H566)</f>
        <v/>
      </c>
      <c r="I566" s="8" t="str">
        <f>IF([2]道具信息!I566="","",[2]道具信息!I566)</f>
        <v/>
      </c>
      <c r="J566" s="8" t="str">
        <f>IF([2]道具信息!J566="","",[2]道具信息!J566)</f>
        <v/>
      </c>
      <c r="K566" s="8" t="str">
        <f>IF([2]道具信息!K566="","",[2]道具信息!K566)</f>
        <v/>
      </c>
      <c r="L566" s="8" t="str">
        <f>IF([2]道具信息!L566="","",[2]道具信息!L566)</f>
        <v/>
      </c>
      <c r="M566" s="8" t="str">
        <f>IF([2]道具信息!M566="","",[2]道具信息!M566)</f>
        <v/>
      </c>
      <c r="N566" s="8" t="str">
        <f>IF([2]道具信息!N566="","",[2]道具信息!N566)</f>
        <v/>
      </c>
      <c r="O566" s="8" t="str">
        <f>IF([2]道具信息!O566="","",[2]道具信息!O566)</f>
        <v/>
      </c>
      <c r="P566" s="8" t="str">
        <f>IF([2]道具信息!P566="","",[2]道具信息!P566)</f>
        <v/>
      </c>
      <c r="Q566" s="8" t="str">
        <f>IF([2]道具信息!Q566="","",[2]道具信息!Q566)</f>
        <v/>
      </c>
      <c r="R566" s="8" t="str">
        <f>IF([2]道具信息!R566="","",[2]道具信息!R566)</f>
        <v/>
      </c>
    </row>
    <row r="567" spans="3:18" x14ac:dyDescent="0.2">
      <c r="C567" s="8" t="str">
        <f>IF([2]道具信息!C567="","",[2]道具信息!C567)</f>
        <v/>
      </c>
      <c r="D567" s="8" t="str">
        <f>IF([2]道具信息!D567="","",[2]道具信息!D567)</f>
        <v/>
      </c>
      <c r="E567" s="8" t="str">
        <f>IF([2]道具信息!E567="","",[2]道具信息!E567)</f>
        <v/>
      </c>
      <c r="F567" s="8" t="str">
        <f>IF([2]道具信息!F567="","",[2]道具信息!F567)</f>
        <v/>
      </c>
      <c r="G567" s="8" t="str">
        <f>IF([2]道具信息!G567="","",[2]道具信息!G567)</f>
        <v/>
      </c>
      <c r="H567" s="8" t="str">
        <f>IF([2]道具信息!H567="","",[2]道具信息!H567)</f>
        <v/>
      </c>
      <c r="I567" s="8" t="str">
        <f>IF([2]道具信息!I567="","",[2]道具信息!I567)</f>
        <v/>
      </c>
      <c r="J567" s="8" t="str">
        <f>IF([2]道具信息!J567="","",[2]道具信息!J567)</f>
        <v/>
      </c>
      <c r="K567" s="8" t="str">
        <f>IF([2]道具信息!K567="","",[2]道具信息!K567)</f>
        <v/>
      </c>
      <c r="L567" s="8" t="str">
        <f>IF([2]道具信息!L567="","",[2]道具信息!L567)</f>
        <v/>
      </c>
      <c r="M567" s="8" t="str">
        <f>IF([2]道具信息!M567="","",[2]道具信息!M567)</f>
        <v/>
      </c>
      <c r="N567" s="8" t="str">
        <f>IF([2]道具信息!N567="","",[2]道具信息!N567)</f>
        <v/>
      </c>
      <c r="O567" s="8" t="str">
        <f>IF([2]道具信息!O567="","",[2]道具信息!O567)</f>
        <v/>
      </c>
      <c r="P567" s="8" t="str">
        <f>IF([2]道具信息!P567="","",[2]道具信息!P567)</f>
        <v/>
      </c>
      <c r="Q567" s="8" t="str">
        <f>IF([2]道具信息!Q567="","",[2]道具信息!Q567)</f>
        <v/>
      </c>
      <c r="R567" s="8" t="str">
        <f>IF([2]道具信息!R567="","",[2]道具信息!R567)</f>
        <v/>
      </c>
    </row>
    <row r="568" spans="3:18" x14ac:dyDescent="0.2">
      <c r="C568" s="8" t="str">
        <f>IF([2]道具信息!C568="","",[2]道具信息!C568)</f>
        <v/>
      </c>
      <c r="D568" s="8" t="str">
        <f>IF([2]道具信息!D568="","",[2]道具信息!D568)</f>
        <v/>
      </c>
      <c r="E568" s="8" t="str">
        <f>IF([2]道具信息!E568="","",[2]道具信息!E568)</f>
        <v/>
      </c>
      <c r="F568" s="8" t="str">
        <f>IF([2]道具信息!F568="","",[2]道具信息!F568)</f>
        <v/>
      </c>
      <c r="G568" s="8" t="str">
        <f>IF([2]道具信息!G568="","",[2]道具信息!G568)</f>
        <v/>
      </c>
      <c r="H568" s="8" t="str">
        <f>IF([2]道具信息!H568="","",[2]道具信息!H568)</f>
        <v/>
      </c>
      <c r="I568" s="8" t="str">
        <f>IF([2]道具信息!I568="","",[2]道具信息!I568)</f>
        <v/>
      </c>
      <c r="J568" s="8" t="str">
        <f>IF([2]道具信息!J568="","",[2]道具信息!J568)</f>
        <v/>
      </c>
      <c r="K568" s="8" t="str">
        <f>IF([2]道具信息!K568="","",[2]道具信息!K568)</f>
        <v/>
      </c>
      <c r="L568" s="8" t="str">
        <f>IF([2]道具信息!L568="","",[2]道具信息!L568)</f>
        <v/>
      </c>
      <c r="M568" s="8" t="str">
        <f>IF([2]道具信息!M568="","",[2]道具信息!M568)</f>
        <v/>
      </c>
      <c r="N568" s="8" t="str">
        <f>IF([2]道具信息!N568="","",[2]道具信息!N568)</f>
        <v/>
      </c>
      <c r="O568" s="8" t="str">
        <f>IF([2]道具信息!O568="","",[2]道具信息!O568)</f>
        <v/>
      </c>
      <c r="P568" s="8" t="str">
        <f>IF([2]道具信息!P568="","",[2]道具信息!P568)</f>
        <v/>
      </c>
      <c r="Q568" s="8" t="str">
        <f>IF([2]道具信息!Q568="","",[2]道具信息!Q568)</f>
        <v/>
      </c>
      <c r="R568" s="8" t="str">
        <f>IF([2]道具信息!R568="","",[2]道具信息!R568)</f>
        <v/>
      </c>
    </row>
    <row r="569" spans="3:18" x14ac:dyDescent="0.2">
      <c r="C569" s="8" t="str">
        <f>IF([2]道具信息!C569="","",[2]道具信息!C569)</f>
        <v/>
      </c>
      <c r="D569" s="8" t="str">
        <f>IF([2]道具信息!D569="","",[2]道具信息!D569)</f>
        <v/>
      </c>
      <c r="E569" s="8" t="str">
        <f>IF([2]道具信息!E569="","",[2]道具信息!E569)</f>
        <v/>
      </c>
      <c r="F569" s="8" t="str">
        <f>IF([2]道具信息!F569="","",[2]道具信息!F569)</f>
        <v/>
      </c>
      <c r="G569" s="8" t="str">
        <f>IF([2]道具信息!G569="","",[2]道具信息!G569)</f>
        <v/>
      </c>
      <c r="H569" s="8" t="str">
        <f>IF([2]道具信息!H569="","",[2]道具信息!H569)</f>
        <v/>
      </c>
      <c r="I569" s="8" t="str">
        <f>IF([2]道具信息!I569="","",[2]道具信息!I569)</f>
        <v/>
      </c>
      <c r="J569" s="8" t="str">
        <f>IF([2]道具信息!J569="","",[2]道具信息!J569)</f>
        <v/>
      </c>
      <c r="K569" s="8" t="str">
        <f>IF([2]道具信息!K569="","",[2]道具信息!K569)</f>
        <v/>
      </c>
      <c r="L569" s="8" t="str">
        <f>IF([2]道具信息!L569="","",[2]道具信息!L569)</f>
        <v/>
      </c>
      <c r="M569" s="8" t="str">
        <f>IF([2]道具信息!M569="","",[2]道具信息!M569)</f>
        <v/>
      </c>
      <c r="N569" s="8" t="str">
        <f>IF([2]道具信息!N569="","",[2]道具信息!N569)</f>
        <v/>
      </c>
      <c r="O569" s="8" t="str">
        <f>IF([2]道具信息!O569="","",[2]道具信息!O569)</f>
        <v/>
      </c>
      <c r="P569" s="8" t="str">
        <f>IF([2]道具信息!P569="","",[2]道具信息!P569)</f>
        <v/>
      </c>
      <c r="Q569" s="8" t="str">
        <f>IF([2]道具信息!Q569="","",[2]道具信息!Q569)</f>
        <v/>
      </c>
      <c r="R569" s="8" t="str">
        <f>IF([2]道具信息!R569="","",[2]道具信息!R569)</f>
        <v/>
      </c>
    </row>
    <row r="570" spans="3:18" x14ac:dyDescent="0.2">
      <c r="C570" s="8" t="str">
        <f>IF([2]道具信息!C570="","",[2]道具信息!C570)</f>
        <v/>
      </c>
      <c r="D570" s="8" t="str">
        <f>IF([2]道具信息!D570="","",[2]道具信息!D570)</f>
        <v/>
      </c>
      <c r="E570" s="8" t="str">
        <f>IF([2]道具信息!E570="","",[2]道具信息!E570)</f>
        <v/>
      </c>
      <c r="F570" s="8" t="str">
        <f>IF([2]道具信息!F570="","",[2]道具信息!F570)</f>
        <v/>
      </c>
      <c r="G570" s="8" t="str">
        <f>IF([2]道具信息!G570="","",[2]道具信息!G570)</f>
        <v/>
      </c>
      <c r="H570" s="8" t="str">
        <f>IF([2]道具信息!H570="","",[2]道具信息!H570)</f>
        <v/>
      </c>
      <c r="I570" s="8" t="str">
        <f>IF([2]道具信息!I570="","",[2]道具信息!I570)</f>
        <v/>
      </c>
      <c r="J570" s="8" t="str">
        <f>IF([2]道具信息!J570="","",[2]道具信息!J570)</f>
        <v/>
      </c>
      <c r="K570" s="8" t="str">
        <f>IF([2]道具信息!K570="","",[2]道具信息!K570)</f>
        <v/>
      </c>
      <c r="L570" s="8" t="str">
        <f>IF([2]道具信息!L570="","",[2]道具信息!L570)</f>
        <v/>
      </c>
      <c r="M570" s="8" t="str">
        <f>IF([2]道具信息!M570="","",[2]道具信息!M570)</f>
        <v/>
      </c>
      <c r="N570" s="8" t="str">
        <f>IF([2]道具信息!N570="","",[2]道具信息!N570)</f>
        <v/>
      </c>
      <c r="O570" s="8" t="str">
        <f>IF([2]道具信息!O570="","",[2]道具信息!O570)</f>
        <v/>
      </c>
      <c r="P570" s="8" t="str">
        <f>IF([2]道具信息!P570="","",[2]道具信息!P570)</f>
        <v/>
      </c>
      <c r="Q570" s="8" t="str">
        <f>IF([2]道具信息!Q570="","",[2]道具信息!Q570)</f>
        <v/>
      </c>
      <c r="R570" s="8" t="str">
        <f>IF([2]道具信息!R570="","",[2]道具信息!R570)</f>
        <v/>
      </c>
    </row>
    <row r="571" spans="3:18" x14ac:dyDescent="0.2">
      <c r="C571" s="8" t="str">
        <f>IF([2]道具信息!C571="","",[2]道具信息!C571)</f>
        <v/>
      </c>
      <c r="D571" s="8" t="str">
        <f>IF([2]道具信息!D571="","",[2]道具信息!D571)</f>
        <v/>
      </c>
      <c r="E571" s="8" t="str">
        <f>IF([2]道具信息!E571="","",[2]道具信息!E571)</f>
        <v/>
      </c>
      <c r="F571" s="8" t="str">
        <f>IF([2]道具信息!F571="","",[2]道具信息!F571)</f>
        <v/>
      </c>
      <c r="G571" s="8" t="str">
        <f>IF([2]道具信息!G571="","",[2]道具信息!G571)</f>
        <v/>
      </c>
      <c r="H571" s="8" t="str">
        <f>IF([2]道具信息!H571="","",[2]道具信息!H571)</f>
        <v/>
      </c>
      <c r="I571" s="8" t="str">
        <f>IF([2]道具信息!I571="","",[2]道具信息!I571)</f>
        <v/>
      </c>
      <c r="J571" s="8" t="str">
        <f>IF([2]道具信息!J571="","",[2]道具信息!J571)</f>
        <v/>
      </c>
      <c r="K571" s="8" t="str">
        <f>IF([2]道具信息!K571="","",[2]道具信息!K571)</f>
        <v/>
      </c>
      <c r="L571" s="8" t="str">
        <f>IF([2]道具信息!L571="","",[2]道具信息!L571)</f>
        <v/>
      </c>
      <c r="M571" s="8" t="str">
        <f>IF([2]道具信息!M571="","",[2]道具信息!M571)</f>
        <v/>
      </c>
      <c r="N571" s="8" t="str">
        <f>IF([2]道具信息!N571="","",[2]道具信息!N571)</f>
        <v/>
      </c>
      <c r="O571" s="8" t="str">
        <f>IF([2]道具信息!O571="","",[2]道具信息!O571)</f>
        <v/>
      </c>
      <c r="P571" s="8" t="str">
        <f>IF([2]道具信息!P571="","",[2]道具信息!P571)</f>
        <v/>
      </c>
      <c r="Q571" s="8" t="str">
        <f>IF([2]道具信息!Q571="","",[2]道具信息!Q571)</f>
        <v/>
      </c>
      <c r="R571" s="8" t="str">
        <f>IF([2]道具信息!R571="","",[2]道具信息!R571)</f>
        <v/>
      </c>
    </row>
    <row r="572" spans="3:18" x14ac:dyDescent="0.2">
      <c r="C572" s="8" t="str">
        <f>IF([2]道具信息!C572="","",[2]道具信息!C572)</f>
        <v/>
      </c>
      <c r="D572" s="8" t="str">
        <f>IF([2]道具信息!D572="","",[2]道具信息!D572)</f>
        <v/>
      </c>
      <c r="E572" s="8" t="str">
        <f>IF([2]道具信息!E572="","",[2]道具信息!E572)</f>
        <v/>
      </c>
      <c r="F572" s="8" t="str">
        <f>IF([2]道具信息!F572="","",[2]道具信息!F572)</f>
        <v/>
      </c>
      <c r="G572" s="8" t="str">
        <f>IF([2]道具信息!G572="","",[2]道具信息!G572)</f>
        <v/>
      </c>
      <c r="H572" s="8" t="str">
        <f>IF([2]道具信息!H572="","",[2]道具信息!H572)</f>
        <v/>
      </c>
      <c r="I572" s="8" t="str">
        <f>IF([2]道具信息!I572="","",[2]道具信息!I572)</f>
        <v/>
      </c>
      <c r="J572" s="8" t="str">
        <f>IF([2]道具信息!J572="","",[2]道具信息!J572)</f>
        <v/>
      </c>
      <c r="K572" s="8" t="str">
        <f>IF([2]道具信息!K572="","",[2]道具信息!K572)</f>
        <v/>
      </c>
      <c r="L572" s="8" t="str">
        <f>IF([2]道具信息!L572="","",[2]道具信息!L572)</f>
        <v/>
      </c>
      <c r="M572" s="8" t="str">
        <f>IF([2]道具信息!M572="","",[2]道具信息!M572)</f>
        <v/>
      </c>
      <c r="N572" s="8" t="str">
        <f>IF([2]道具信息!N572="","",[2]道具信息!N572)</f>
        <v/>
      </c>
      <c r="O572" s="8" t="str">
        <f>IF([2]道具信息!O572="","",[2]道具信息!O572)</f>
        <v/>
      </c>
      <c r="P572" s="8" t="str">
        <f>IF([2]道具信息!P572="","",[2]道具信息!P572)</f>
        <v/>
      </c>
      <c r="Q572" s="8" t="str">
        <f>IF([2]道具信息!Q572="","",[2]道具信息!Q572)</f>
        <v/>
      </c>
      <c r="R572" s="8" t="str">
        <f>IF([2]道具信息!R572="","",[2]道具信息!R572)</f>
        <v/>
      </c>
    </row>
    <row r="573" spans="3:18" x14ac:dyDescent="0.2">
      <c r="C573" s="8" t="str">
        <f>IF([2]道具信息!C573="","",[2]道具信息!C573)</f>
        <v/>
      </c>
      <c r="D573" s="8" t="str">
        <f>IF([2]道具信息!D573="","",[2]道具信息!D573)</f>
        <v/>
      </c>
      <c r="E573" s="8" t="str">
        <f>IF([2]道具信息!E573="","",[2]道具信息!E573)</f>
        <v/>
      </c>
      <c r="F573" s="8" t="str">
        <f>IF([2]道具信息!F573="","",[2]道具信息!F573)</f>
        <v/>
      </c>
      <c r="G573" s="8" t="str">
        <f>IF([2]道具信息!G573="","",[2]道具信息!G573)</f>
        <v/>
      </c>
      <c r="H573" s="8" t="str">
        <f>IF([2]道具信息!H573="","",[2]道具信息!H573)</f>
        <v/>
      </c>
      <c r="I573" s="8" t="str">
        <f>IF([2]道具信息!I573="","",[2]道具信息!I573)</f>
        <v/>
      </c>
      <c r="J573" s="8" t="str">
        <f>IF([2]道具信息!J573="","",[2]道具信息!J573)</f>
        <v/>
      </c>
      <c r="K573" s="8" t="str">
        <f>IF([2]道具信息!K573="","",[2]道具信息!K573)</f>
        <v/>
      </c>
      <c r="L573" s="8" t="str">
        <f>IF([2]道具信息!L573="","",[2]道具信息!L573)</f>
        <v/>
      </c>
      <c r="M573" s="8" t="str">
        <f>IF([2]道具信息!M573="","",[2]道具信息!M573)</f>
        <v/>
      </c>
      <c r="N573" s="8" t="str">
        <f>IF([2]道具信息!N573="","",[2]道具信息!N573)</f>
        <v/>
      </c>
      <c r="O573" s="8" t="str">
        <f>IF([2]道具信息!O573="","",[2]道具信息!O573)</f>
        <v/>
      </c>
      <c r="P573" s="8" t="str">
        <f>IF([2]道具信息!P573="","",[2]道具信息!P573)</f>
        <v/>
      </c>
      <c r="Q573" s="8" t="str">
        <f>IF([2]道具信息!Q573="","",[2]道具信息!Q573)</f>
        <v/>
      </c>
      <c r="R573" s="8" t="str">
        <f>IF([2]道具信息!R573="","",[2]道具信息!R573)</f>
        <v/>
      </c>
    </row>
    <row r="574" spans="3:18" x14ac:dyDescent="0.2">
      <c r="C574" s="8" t="str">
        <f>IF([2]道具信息!C574="","",[2]道具信息!C574)</f>
        <v/>
      </c>
      <c r="D574" s="8" t="str">
        <f>IF([2]道具信息!D574="","",[2]道具信息!D574)</f>
        <v/>
      </c>
      <c r="E574" s="8" t="str">
        <f>IF([2]道具信息!E574="","",[2]道具信息!E574)</f>
        <v/>
      </c>
      <c r="F574" s="8" t="str">
        <f>IF([2]道具信息!F574="","",[2]道具信息!F574)</f>
        <v/>
      </c>
      <c r="G574" s="8" t="str">
        <f>IF([2]道具信息!G574="","",[2]道具信息!G574)</f>
        <v/>
      </c>
      <c r="H574" s="8" t="str">
        <f>IF([2]道具信息!H574="","",[2]道具信息!H574)</f>
        <v/>
      </c>
      <c r="I574" s="8" t="str">
        <f>IF([2]道具信息!I574="","",[2]道具信息!I574)</f>
        <v/>
      </c>
      <c r="J574" s="8" t="str">
        <f>IF([2]道具信息!J574="","",[2]道具信息!J574)</f>
        <v/>
      </c>
      <c r="K574" s="8" t="str">
        <f>IF([2]道具信息!K574="","",[2]道具信息!K574)</f>
        <v/>
      </c>
      <c r="L574" s="8" t="str">
        <f>IF([2]道具信息!L574="","",[2]道具信息!L574)</f>
        <v/>
      </c>
      <c r="M574" s="8" t="str">
        <f>IF([2]道具信息!M574="","",[2]道具信息!M574)</f>
        <v/>
      </c>
      <c r="N574" s="8" t="str">
        <f>IF([2]道具信息!N574="","",[2]道具信息!N574)</f>
        <v/>
      </c>
      <c r="O574" s="8" t="str">
        <f>IF([2]道具信息!O574="","",[2]道具信息!O574)</f>
        <v/>
      </c>
      <c r="P574" s="8" t="str">
        <f>IF([2]道具信息!P574="","",[2]道具信息!P574)</f>
        <v/>
      </c>
      <c r="Q574" s="8" t="str">
        <f>IF([2]道具信息!Q574="","",[2]道具信息!Q574)</f>
        <v/>
      </c>
      <c r="R574" s="8" t="str">
        <f>IF([2]道具信息!R574="","",[2]道具信息!R574)</f>
        <v/>
      </c>
    </row>
    <row r="575" spans="3:18" x14ac:dyDescent="0.2">
      <c r="C575" s="8" t="str">
        <f>IF([2]道具信息!C575="","",[2]道具信息!C575)</f>
        <v/>
      </c>
      <c r="D575" s="8" t="str">
        <f>IF([2]道具信息!D575="","",[2]道具信息!D575)</f>
        <v/>
      </c>
      <c r="E575" s="8" t="str">
        <f>IF([2]道具信息!E575="","",[2]道具信息!E575)</f>
        <v/>
      </c>
      <c r="F575" s="8" t="str">
        <f>IF([2]道具信息!F575="","",[2]道具信息!F575)</f>
        <v/>
      </c>
      <c r="G575" s="8" t="str">
        <f>IF([2]道具信息!G575="","",[2]道具信息!G575)</f>
        <v/>
      </c>
      <c r="H575" s="8" t="str">
        <f>IF([2]道具信息!H575="","",[2]道具信息!H575)</f>
        <v/>
      </c>
      <c r="I575" s="8" t="str">
        <f>IF([2]道具信息!I575="","",[2]道具信息!I575)</f>
        <v/>
      </c>
      <c r="J575" s="8" t="str">
        <f>IF([2]道具信息!J575="","",[2]道具信息!J575)</f>
        <v/>
      </c>
      <c r="K575" s="8" t="str">
        <f>IF([2]道具信息!K575="","",[2]道具信息!K575)</f>
        <v/>
      </c>
      <c r="L575" s="8" t="str">
        <f>IF([2]道具信息!L575="","",[2]道具信息!L575)</f>
        <v/>
      </c>
      <c r="M575" s="8" t="str">
        <f>IF([2]道具信息!M575="","",[2]道具信息!M575)</f>
        <v/>
      </c>
      <c r="N575" s="8" t="str">
        <f>IF([2]道具信息!N575="","",[2]道具信息!N575)</f>
        <v/>
      </c>
      <c r="O575" s="8" t="str">
        <f>IF([2]道具信息!O575="","",[2]道具信息!O575)</f>
        <v/>
      </c>
      <c r="P575" s="8" t="str">
        <f>IF([2]道具信息!P575="","",[2]道具信息!P575)</f>
        <v/>
      </c>
      <c r="Q575" s="8" t="str">
        <f>IF([2]道具信息!Q575="","",[2]道具信息!Q575)</f>
        <v/>
      </c>
      <c r="R575" s="8" t="str">
        <f>IF([2]道具信息!R575="","",[2]道具信息!R575)</f>
        <v/>
      </c>
    </row>
    <row r="576" spans="3:18" x14ac:dyDescent="0.2">
      <c r="C576" s="8" t="str">
        <f>IF([2]道具信息!C576="","",[2]道具信息!C576)</f>
        <v/>
      </c>
      <c r="D576" s="8" t="str">
        <f>IF([2]道具信息!D576="","",[2]道具信息!D576)</f>
        <v/>
      </c>
      <c r="E576" s="8" t="str">
        <f>IF([2]道具信息!E576="","",[2]道具信息!E576)</f>
        <v/>
      </c>
      <c r="F576" s="8" t="str">
        <f>IF([2]道具信息!F576="","",[2]道具信息!F576)</f>
        <v/>
      </c>
      <c r="G576" s="8" t="str">
        <f>IF([2]道具信息!G576="","",[2]道具信息!G576)</f>
        <v/>
      </c>
      <c r="H576" s="8" t="str">
        <f>IF([2]道具信息!H576="","",[2]道具信息!H576)</f>
        <v/>
      </c>
      <c r="I576" s="8" t="str">
        <f>IF([2]道具信息!I576="","",[2]道具信息!I576)</f>
        <v/>
      </c>
      <c r="J576" s="8" t="str">
        <f>IF([2]道具信息!J576="","",[2]道具信息!J576)</f>
        <v/>
      </c>
      <c r="K576" s="8" t="str">
        <f>IF([2]道具信息!K576="","",[2]道具信息!K576)</f>
        <v/>
      </c>
      <c r="L576" s="8" t="str">
        <f>IF([2]道具信息!L576="","",[2]道具信息!L576)</f>
        <v/>
      </c>
      <c r="M576" s="8" t="str">
        <f>IF([2]道具信息!M576="","",[2]道具信息!M576)</f>
        <v/>
      </c>
      <c r="N576" s="8" t="str">
        <f>IF([2]道具信息!N576="","",[2]道具信息!N576)</f>
        <v/>
      </c>
      <c r="O576" s="8" t="str">
        <f>IF([2]道具信息!O576="","",[2]道具信息!O576)</f>
        <v/>
      </c>
      <c r="P576" s="8" t="str">
        <f>IF([2]道具信息!P576="","",[2]道具信息!P576)</f>
        <v/>
      </c>
      <c r="Q576" s="8" t="str">
        <f>IF([2]道具信息!Q576="","",[2]道具信息!Q576)</f>
        <v/>
      </c>
      <c r="R576" s="8" t="str">
        <f>IF([2]道具信息!R576="","",[2]道具信息!R576)</f>
        <v/>
      </c>
    </row>
    <row r="577" spans="3:18" x14ac:dyDescent="0.2">
      <c r="C577" s="8" t="str">
        <f>IF([2]道具信息!C577="","",[2]道具信息!C577)</f>
        <v/>
      </c>
      <c r="D577" s="8" t="str">
        <f>IF([2]道具信息!D577="","",[2]道具信息!D577)</f>
        <v/>
      </c>
      <c r="E577" s="8" t="str">
        <f>IF([2]道具信息!E577="","",[2]道具信息!E577)</f>
        <v/>
      </c>
      <c r="F577" s="8" t="str">
        <f>IF([2]道具信息!F577="","",[2]道具信息!F577)</f>
        <v/>
      </c>
      <c r="G577" s="8" t="str">
        <f>IF([2]道具信息!G577="","",[2]道具信息!G577)</f>
        <v/>
      </c>
      <c r="H577" s="8" t="str">
        <f>IF([2]道具信息!H577="","",[2]道具信息!H577)</f>
        <v/>
      </c>
      <c r="I577" s="8" t="str">
        <f>IF([2]道具信息!I577="","",[2]道具信息!I577)</f>
        <v/>
      </c>
      <c r="J577" s="8" t="str">
        <f>IF([2]道具信息!J577="","",[2]道具信息!J577)</f>
        <v/>
      </c>
      <c r="K577" s="8" t="str">
        <f>IF([2]道具信息!K577="","",[2]道具信息!K577)</f>
        <v/>
      </c>
      <c r="L577" s="8" t="str">
        <f>IF([2]道具信息!L577="","",[2]道具信息!L577)</f>
        <v/>
      </c>
      <c r="M577" s="8" t="str">
        <f>IF([2]道具信息!M577="","",[2]道具信息!M577)</f>
        <v/>
      </c>
      <c r="N577" s="8" t="str">
        <f>IF([2]道具信息!N577="","",[2]道具信息!N577)</f>
        <v/>
      </c>
      <c r="O577" s="8" t="str">
        <f>IF([2]道具信息!O577="","",[2]道具信息!O577)</f>
        <v/>
      </c>
      <c r="P577" s="8" t="str">
        <f>IF([2]道具信息!P577="","",[2]道具信息!P577)</f>
        <v/>
      </c>
      <c r="Q577" s="8" t="str">
        <f>IF([2]道具信息!Q577="","",[2]道具信息!Q577)</f>
        <v/>
      </c>
      <c r="R577" s="8" t="str">
        <f>IF([2]道具信息!R577="","",[2]道具信息!R577)</f>
        <v/>
      </c>
    </row>
    <row r="578" spans="3:18" x14ac:dyDescent="0.2">
      <c r="C578" s="8" t="str">
        <f>IF([2]道具信息!C578="","",[2]道具信息!C578)</f>
        <v/>
      </c>
      <c r="D578" s="8" t="str">
        <f>IF([2]道具信息!D578="","",[2]道具信息!D578)</f>
        <v/>
      </c>
      <c r="E578" s="8" t="str">
        <f>IF([2]道具信息!E578="","",[2]道具信息!E578)</f>
        <v/>
      </c>
      <c r="F578" s="8" t="str">
        <f>IF([2]道具信息!F578="","",[2]道具信息!F578)</f>
        <v/>
      </c>
      <c r="G578" s="8" t="str">
        <f>IF([2]道具信息!G578="","",[2]道具信息!G578)</f>
        <v/>
      </c>
      <c r="H578" s="8" t="str">
        <f>IF([2]道具信息!H578="","",[2]道具信息!H578)</f>
        <v/>
      </c>
      <c r="I578" s="8" t="str">
        <f>IF([2]道具信息!I578="","",[2]道具信息!I578)</f>
        <v/>
      </c>
      <c r="J578" s="8" t="str">
        <f>IF([2]道具信息!J578="","",[2]道具信息!J578)</f>
        <v/>
      </c>
      <c r="K578" s="8" t="str">
        <f>IF([2]道具信息!K578="","",[2]道具信息!K578)</f>
        <v/>
      </c>
      <c r="L578" s="8" t="str">
        <f>IF([2]道具信息!L578="","",[2]道具信息!L578)</f>
        <v/>
      </c>
      <c r="M578" s="8" t="str">
        <f>IF([2]道具信息!M578="","",[2]道具信息!M578)</f>
        <v/>
      </c>
      <c r="N578" s="8" t="str">
        <f>IF([2]道具信息!N578="","",[2]道具信息!N578)</f>
        <v/>
      </c>
      <c r="O578" s="8" t="str">
        <f>IF([2]道具信息!O578="","",[2]道具信息!O578)</f>
        <v/>
      </c>
      <c r="P578" s="8" t="str">
        <f>IF([2]道具信息!P578="","",[2]道具信息!P578)</f>
        <v/>
      </c>
      <c r="Q578" s="8" t="str">
        <f>IF([2]道具信息!Q578="","",[2]道具信息!Q578)</f>
        <v/>
      </c>
      <c r="R578" s="8" t="str">
        <f>IF([2]道具信息!R578="","",[2]道具信息!R578)</f>
        <v/>
      </c>
    </row>
    <row r="579" spans="3:18" x14ac:dyDescent="0.2">
      <c r="C579" s="8" t="str">
        <f>IF([2]道具信息!C579="","",[2]道具信息!C579)</f>
        <v/>
      </c>
      <c r="D579" s="8" t="str">
        <f>IF([2]道具信息!D579="","",[2]道具信息!D579)</f>
        <v/>
      </c>
      <c r="E579" s="8" t="str">
        <f>IF([2]道具信息!E579="","",[2]道具信息!E579)</f>
        <v/>
      </c>
      <c r="F579" s="8" t="str">
        <f>IF([2]道具信息!F579="","",[2]道具信息!F579)</f>
        <v/>
      </c>
      <c r="G579" s="8" t="str">
        <f>IF([2]道具信息!G579="","",[2]道具信息!G579)</f>
        <v/>
      </c>
      <c r="H579" s="8" t="str">
        <f>IF([2]道具信息!H579="","",[2]道具信息!H579)</f>
        <v/>
      </c>
      <c r="I579" s="8" t="str">
        <f>IF([2]道具信息!I579="","",[2]道具信息!I579)</f>
        <v/>
      </c>
      <c r="J579" s="8" t="str">
        <f>IF([2]道具信息!J579="","",[2]道具信息!J579)</f>
        <v/>
      </c>
      <c r="K579" s="8" t="str">
        <f>IF([2]道具信息!K579="","",[2]道具信息!K579)</f>
        <v/>
      </c>
      <c r="L579" s="8" t="str">
        <f>IF([2]道具信息!L579="","",[2]道具信息!L579)</f>
        <v/>
      </c>
      <c r="M579" s="8" t="str">
        <f>IF([2]道具信息!M579="","",[2]道具信息!M579)</f>
        <v/>
      </c>
      <c r="N579" s="8" t="str">
        <f>IF([2]道具信息!N579="","",[2]道具信息!N579)</f>
        <v/>
      </c>
      <c r="O579" s="8" t="str">
        <f>IF([2]道具信息!O579="","",[2]道具信息!O579)</f>
        <v/>
      </c>
      <c r="P579" s="8" t="str">
        <f>IF([2]道具信息!P579="","",[2]道具信息!P579)</f>
        <v/>
      </c>
      <c r="Q579" s="8" t="str">
        <f>IF([2]道具信息!Q579="","",[2]道具信息!Q579)</f>
        <v/>
      </c>
      <c r="R579" s="8" t="str">
        <f>IF([2]道具信息!R579="","",[2]道具信息!R579)</f>
        <v/>
      </c>
    </row>
    <row r="580" spans="3:18" x14ac:dyDescent="0.2">
      <c r="C580" s="8" t="str">
        <f>IF([2]道具信息!C580="","",[2]道具信息!C580)</f>
        <v/>
      </c>
      <c r="D580" s="8" t="str">
        <f>IF([2]道具信息!D580="","",[2]道具信息!D580)</f>
        <v/>
      </c>
      <c r="E580" s="8" t="str">
        <f>IF([2]道具信息!E580="","",[2]道具信息!E580)</f>
        <v/>
      </c>
      <c r="F580" s="8" t="str">
        <f>IF([2]道具信息!F580="","",[2]道具信息!F580)</f>
        <v/>
      </c>
      <c r="G580" s="8" t="str">
        <f>IF([2]道具信息!G580="","",[2]道具信息!G580)</f>
        <v/>
      </c>
      <c r="H580" s="8" t="str">
        <f>IF([2]道具信息!H580="","",[2]道具信息!H580)</f>
        <v/>
      </c>
      <c r="I580" s="8" t="str">
        <f>IF([2]道具信息!I580="","",[2]道具信息!I580)</f>
        <v/>
      </c>
      <c r="J580" s="8" t="str">
        <f>IF([2]道具信息!J580="","",[2]道具信息!J580)</f>
        <v/>
      </c>
      <c r="K580" s="8" t="str">
        <f>IF([2]道具信息!K580="","",[2]道具信息!K580)</f>
        <v/>
      </c>
      <c r="L580" s="8" t="str">
        <f>IF([2]道具信息!L580="","",[2]道具信息!L580)</f>
        <v/>
      </c>
      <c r="M580" s="8" t="str">
        <f>IF([2]道具信息!M580="","",[2]道具信息!M580)</f>
        <v/>
      </c>
      <c r="N580" s="8" t="str">
        <f>IF([2]道具信息!N580="","",[2]道具信息!N580)</f>
        <v/>
      </c>
      <c r="O580" s="8" t="str">
        <f>IF([2]道具信息!O580="","",[2]道具信息!O580)</f>
        <v/>
      </c>
      <c r="P580" s="8" t="str">
        <f>IF([2]道具信息!P580="","",[2]道具信息!P580)</f>
        <v/>
      </c>
      <c r="Q580" s="8" t="str">
        <f>IF([2]道具信息!Q580="","",[2]道具信息!Q580)</f>
        <v/>
      </c>
      <c r="R580" s="8" t="str">
        <f>IF([2]道具信息!R580="","",[2]道具信息!R580)</f>
        <v/>
      </c>
    </row>
    <row r="581" spans="3:18" x14ac:dyDescent="0.2">
      <c r="C581" s="8" t="str">
        <f>IF([2]道具信息!C581="","",[2]道具信息!C581)</f>
        <v/>
      </c>
      <c r="D581" s="8" t="str">
        <f>IF([2]道具信息!D581="","",[2]道具信息!D581)</f>
        <v/>
      </c>
      <c r="E581" s="8" t="str">
        <f>IF([2]道具信息!E581="","",[2]道具信息!E581)</f>
        <v/>
      </c>
      <c r="F581" s="8" t="str">
        <f>IF([2]道具信息!F581="","",[2]道具信息!F581)</f>
        <v/>
      </c>
      <c r="G581" s="8" t="str">
        <f>IF([2]道具信息!G581="","",[2]道具信息!G581)</f>
        <v/>
      </c>
      <c r="H581" s="8" t="str">
        <f>IF([2]道具信息!H581="","",[2]道具信息!H581)</f>
        <v/>
      </c>
      <c r="I581" s="8" t="str">
        <f>IF([2]道具信息!I581="","",[2]道具信息!I581)</f>
        <v/>
      </c>
      <c r="J581" s="8" t="str">
        <f>IF([2]道具信息!J581="","",[2]道具信息!J581)</f>
        <v/>
      </c>
      <c r="K581" s="8" t="str">
        <f>IF([2]道具信息!K581="","",[2]道具信息!K581)</f>
        <v/>
      </c>
      <c r="L581" s="8" t="str">
        <f>IF([2]道具信息!L581="","",[2]道具信息!L581)</f>
        <v/>
      </c>
      <c r="M581" s="8" t="str">
        <f>IF([2]道具信息!M581="","",[2]道具信息!M581)</f>
        <v/>
      </c>
      <c r="N581" s="8" t="str">
        <f>IF([2]道具信息!N581="","",[2]道具信息!N581)</f>
        <v/>
      </c>
      <c r="O581" s="8" t="str">
        <f>IF([2]道具信息!O581="","",[2]道具信息!O581)</f>
        <v/>
      </c>
      <c r="P581" s="8" t="str">
        <f>IF([2]道具信息!P581="","",[2]道具信息!P581)</f>
        <v/>
      </c>
      <c r="Q581" s="8" t="str">
        <f>IF([2]道具信息!Q581="","",[2]道具信息!Q581)</f>
        <v/>
      </c>
      <c r="R581" s="8" t="str">
        <f>IF([2]道具信息!R581="","",[2]道具信息!R581)</f>
        <v/>
      </c>
    </row>
    <row r="582" spans="3:18" x14ac:dyDescent="0.2">
      <c r="C582" s="8" t="str">
        <f>IF([2]道具信息!C582="","",[2]道具信息!C582)</f>
        <v/>
      </c>
      <c r="D582" s="8" t="str">
        <f>IF([2]道具信息!D582="","",[2]道具信息!D582)</f>
        <v/>
      </c>
      <c r="E582" s="8" t="str">
        <f>IF([2]道具信息!E582="","",[2]道具信息!E582)</f>
        <v/>
      </c>
      <c r="F582" s="8" t="str">
        <f>IF([2]道具信息!F582="","",[2]道具信息!F582)</f>
        <v/>
      </c>
      <c r="G582" s="8" t="str">
        <f>IF([2]道具信息!G582="","",[2]道具信息!G582)</f>
        <v/>
      </c>
      <c r="H582" s="8" t="str">
        <f>IF([2]道具信息!H582="","",[2]道具信息!H582)</f>
        <v/>
      </c>
      <c r="I582" s="8" t="str">
        <f>IF([2]道具信息!I582="","",[2]道具信息!I582)</f>
        <v/>
      </c>
      <c r="J582" s="8" t="str">
        <f>IF([2]道具信息!J582="","",[2]道具信息!J582)</f>
        <v/>
      </c>
      <c r="K582" s="8" t="str">
        <f>IF([2]道具信息!K582="","",[2]道具信息!K582)</f>
        <v/>
      </c>
      <c r="L582" s="8" t="str">
        <f>IF([2]道具信息!L582="","",[2]道具信息!L582)</f>
        <v/>
      </c>
      <c r="M582" s="8" t="str">
        <f>IF([2]道具信息!M582="","",[2]道具信息!M582)</f>
        <v/>
      </c>
      <c r="N582" s="8" t="str">
        <f>IF([2]道具信息!N582="","",[2]道具信息!N582)</f>
        <v/>
      </c>
      <c r="O582" s="8" t="str">
        <f>IF([2]道具信息!O582="","",[2]道具信息!O582)</f>
        <v/>
      </c>
      <c r="P582" s="8" t="str">
        <f>IF([2]道具信息!P582="","",[2]道具信息!P582)</f>
        <v/>
      </c>
      <c r="Q582" s="8" t="str">
        <f>IF([2]道具信息!Q582="","",[2]道具信息!Q582)</f>
        <v/>
      </c>
      <c r="R582" s="8" t="str">
        <f>IF([2]道具信息!R582="","",[2]道具信息!R582)</f>
        <v/>
      </c>
    </row>
    <row r="583" spans="3:18" x14ac:dyDescent="0.2">
      <c r="C583" s="8" t="str">
        <f>IF([2]道具信息!C583="","",[2]道具信息!C583)</f>
        <v/>
      </c>
      <c r="D583" s="8" t="str">
        <f>IF([2]道具信息!D583="","",[2]道具信息!D583)</f>
        <v/>
      </c>
      <c r="E583" s="8" t="str">
        <f>IF([2]道具信息!E583="","",[2]道具信息!E583)</f>
        <v/>
      </c>
      <c r="F583" s="8" t="str">
        <f>IF([2]道具信息!F583="","",[2]道具信息!F583)</f>
        <v/>
      </c>
      <c r="G583" s="8" t="str">
        <f>IF([2]道具信息!G583="","",[2]道具信息!G583)</f>
        <v/>
      </c>
      <c r="H583" s="8" t="str">
        <f>IF([2]道具信息!H583="","",[2]道具信息!H583)</f>
        <v/>
      </c>
      <c r="I583" s="8" t="str">
        <f>IF([2]道具信息!I583="","",[2]道具信息!I583)</f>
        <v/>
      </c>
      <c r="J583" s="8" t="str">
        <f>IF([2]道具信息!J583="","",[2]道具信息!J583)</f>
        <v/>
      </c>
      <c r="K583" s="8" t="str">
        <f>IF([2]道具信息!K583="","",[2]道具信息!K583)</f>
        <v/>
      </c>
      <c r="L583" s="8" t="str">
        <f>IF([2]道具信息!L583="","",[2]道具信息!L583)</f>
        <v/>
      </c>
      <c r="M583" s="8" t="str">
        <f>IF([2]道具信息!M583="","",[2]道具信息!M583)</f>
        <v/>
      </c>
      <c r="N583" s="8" t="str">
        <f>IF([2]道具信息!N583="","",[2]道具信息!N583)</f>
        <v/>
      </c>
      <c r="O583" s="8" t="str">
        <f>IF([2]道具信息!O583="","",[2]道具信息!O583)</f>
        <v/>
      </c>
      <c r="P583" s="8" t="str">
        <f>IF([2]道具信息!P583="","",[2]道具信息!P583)</f>
        <v/>
      </c>
      <c r="Q583" s="8" t="str">
        <f>IF([2]道具信息!Q583="","",[2]道具信息!Q583)</f>
        <v/>
      </c>
      <c r="R583" s="8" t="str">
        <f>IF([2]道具信息!R583="","",[2]道具信息!R583)</f>
        <v/>
      </c>
    </row>
    <row r="584" spans="3:18" x14ac:dyDescent="0.2">
      <c r="C584" s="8" t="str">
        <f>IF([2]道具信息!C584="","",[2]道具信息!C584)</f>
        <v/>
      </c>
      <c r="D584" s="8" t="str">
        <f>IF([2]道具信息!D584="","",[2]道具信息!D584)</f>
        <v/>
      </c>
      <c r="E584" s="8" t="str">
        <f>IF([2]道具信息!E584="","",[2]道具信息!E584)</f>
        <v/>
      </c>
      <c r="F584" s="8" t="str">
        <f>IF([2]道具信息!F584="","",[2]道具信息!F584)</f>
        <v/>
      </c>
      <c r="G584" s="8" t="str">
        <f>IF([2]道具信息!G584="","",[2]道具信息!G584)</f>
        <v/>
      </c>
      <c r="H584" s="8" t="str">
        <f>IF([2]道具信息!H584="","",[2]道具信息!H584)</f>
        <v/>
      </c>
      <c r="I584" s="8" t="str">
        <f>IF([2]道具信息!I584="","",[2]道具信息!I584)</f>
        <v/>
      </c>
      <c r="J584" s="8" t="str">
        <f>IF([2]道具信息!J584="","",[2]道具信息!J584)</f>
        <v/>
      </c>
      <c r="K584" s="8" t="str">
        <f>IF([2]道具信息!K584="","",[2]道具信息!K584)</f>
        <v/>
      </c>
      <c r="L584" s="8" t="str">
        <f>IF([2]道具信息!L584="","",[2]道具信息!L584)</f>
        <v/>
      </c>
      <c r="M584" s="8" t="str">
        <f>IF([2]道具信息!M584="","",[2]道具信息!M584)</f>
        <v/>
      </c>
      <c r="N584" s="8" t="str">
        <f>IF([2]道具信息!N584="","",[2]道具信息!N584)</f>
        <v/>
      </c>
      <c r="O584" s="8" t="str">
        <f>IF([2]道具信息!O584="","",[2]道具信息!O584)</f>
        <v/>
      </c>
      <c r="P584" s="8" t="str">
        <f>IF([2]道具信息!P584="","",[2]道具信息!P584)</f>
        <v/>
      </c>
      <c r="Q584" s="8" t="str">
        <f>IF([2]道具信息!Q584="","",[2]道具信息!Q584)</f>
        <v/>
      </c>
      <c r="R584" s="8" t="str">
        <f>IF([2]道具信息!R584="","",[2]道具信息!R584)</f>
        <v/>
      </c>
    </row>
    <row r="585" spans="3:18" x14ac:dyDescent="0.2">
      <c r="C585" s="8" t="str">
        <f>IF([2]道具信息!C585="","",[2]道具信息!C585)</f>
        <v/>
      </c>
      <c r="D585" s="8" t="str">
        <f>IF([2]道具信息!D585="","",[2]道具信息!D585)</f>
        <v/>
      </c>
      <c r="E585" s="8" t="str">
        <f>IF([2]道具信息!E585="","",[2]道具信息!E585)</f>
        <v/>
      </c>
      <c r="F585" s="8" t="str">
        <f>IF([2]道具信息!F585="","",[2]道具信息!F585)</f>
        <v/>
      </c>
      <c r="G585" s="8" t="str">
        <f>IF([2]道具信息!G585="","",[2]道具信息!G585)</f>
        <v/>
      </c>
      <c r="H585" s="8" t="str">
        <f>IF([2]道具信息!H585="","",[2]道具信息!H585)</f>
        <v/>
      </c>
      <c r="I585" s="8" t="str">
        <f>IF([2]道具信息!I585="","",[2]道具信息!I585)</f>
        <v/>
      </c>
      <c r="J585" s="8" t="str">
        <f>IF([2]道具信息!J585="","",[2]道具信息!J585)</f>
        <v/>
      </c>
      <c r="K585" s="8" t="str">
        <f>IF([2]道具信息!K585="","",[2]道具信息!K585)</f>
        <v/>
      </c>
      <c r="L585" s="8" t="str">
        <f>IF([2]道具信息!L585="","",[2]道具信息!L585)</f>
        <v/>
      </c>
      <c r="M585" s="8" t="str">
        <f>IF([2]道具信息!M585="","",[2]道具信息!M585)</f>
        <v/>
      </c>
      <c r="N585" s="8" t="str">
        <f>IF([2]道具信息!N585="","",[2]道具信息!N585)</f>
        <v/>
      </c>
      <c r="O585" s="8" t="str">
        <f>IF([2]道具信息!O585="","",[2]道具信息!O585)</f>
        <v/>
      </c>
      <c r="P585" s="8" t="str">
        <f>IF([2]道具信息!P585="","",[2]道具信息!P585)</f>
        <v/>
      </c>
      <c r="Q585" s="8" t="str">
        <f>IF([2]道具信息!Q585="","",[2]道具信息!Q585)</f>
        <v/>
      </c>
      <c r="R585" s="8" t="str">
        <f>IF([2]道具信息!R585="","",[2]道具信息!R585)</f>
        <v/>
      </c>
    </row>
    <row r="586" spans="3:18" x14ac:dyDescent="0.2">
      <c r="C586" s="8" t="str">
        <f>IF([2]道具信息!C586="","",[2]道具信息!C586)</f>
        <v/>
      </c>
      <c r="D586" s="8" t="str">
        <f>IF([2]道具信息!D586="","",[2]道具信息!D586)</f>
        <v/>
      </c>
      <c r="E586" s="8" t="str">
        <f>IF([2]道具信息!E586="","",[2]道具信息!E586)</f>
        <v/>
      </c>
      <c r="F586" s="8" t="str">
        <f>IF([2]道具信息!F586="","",[2]道具信息!F586)</f>
        <v/>
      </c>
      <c r="G586" s="8" t="str">
        <f>IF([2]道具信息!G586="","",[2]道具信息!G586)</f>
        <v/>
      </c>
      <c r="H586" s="8" t="str">
        <f>IF([2]道具信息!H586="","",[2]道具信息!H586)</f>
        <v/>
      </c>
      <c r="I586" s="8" t="str">
        <f>IF([2]道具信息!I586="","",[2]道具信息!I586)</f>
        <v/>
      </c>
      <c r="J586" s="8" t="str">
        <f>IF([2]道具信息!J586="","",[2]道具信息!J586)</f>
        <v/>
      </c>
      <c r="K586" s="8" t="str">
        <f>IF([2]道具信息!K586="","",[2]道具信息!K586)</f>
        <v/>
      </c>
      <c r="L586" s="8" t="str">
        <f>IF([2]道具信息!L586="","",[2]道具信息!L586)</f>
        <v/>
      </c>
      <c r="M586" s="8" t="str">
        <f>IF([2]道具信息!M586="","",[2]道具信息!M586)</f>
        <v/>
      </c>
      <c r="N586" s="8" t="str">
        <f>IF([2]道具信息!N586="","",[2]道具信息!N586)</f>
        <v/>
      </c>
      <c r="O586" s="8" t="str">
        <f>IF([2]道具信息!O586="","",[2]道具信息!O586)</f>
        <v/>
      </c>
      <c r="P586" s="8" t="str">
        <f>IF([2]道具信息!P586="","",[2]道具信息!P586)</f>
        <v/>
      </c>
      <c r="Q586" s="8" t="str">
        <f>IF([2]道具信息!Q586="","",[2]道具信息!Q586)</f>
        <v/>
      </c>
      <c r="R586" s="8" t="str">
        <f>IF([2]道具信息!R586="","",[2]道具信息!R586)</f>
        <v/>
      </c>
    </row>
    <row r="587" spans="3:18" x14ac:dyDescent="0.2">
      <c r="C587" s="8" t="str">
        <f>IF([2]道具信息!C587="","",[2]道具信息!C587)</f>
        <v/>
      </c>
      <c r="D587" s="8" t="str">
        <f>IF([2]道具信息!D587="","",[2]道具信息!D587)</f>
        <v/>
      </c>
      <c r="E587" s="8" t="str">
        <f>IF([2]道具信息!E587="","",[2]道具信息!E587)</f>
        <v/>
      </c>
      <c r="F587" s="8" t="str">
        <f>IF([2]道具信息!F587="","",[2]道具信息!F587)</f>
        <v/>
      </c>
      <c r="G587" s="8" t="str">
        <f>IF([2]道具信息!G587="","",[2]道具信息!G587)</f>
        <v/>
      </c>
      <c r="H587" s="8" t="str">
        <f>IF([2]道具信息!H587="","",[2]道具信息!H587)</f>
        <v/>
      </c>
      <c r="I587" s="8" t="str">
        <f>IF([2]道具信息!I587="","",[2]道具信息!I587)</f>
        <v/>
      </c>
      <c r="J587" s="8" t="str">
        <f>IF([2]道具信息!J587="","",[2]道具信息!J587)</f>
        <v/>
      </c>
      <c r="K587" s="8" t="str">
        <f>IF([2]道具信息!K587="","",[2]道具信息!K587)</f>
        <v/>
      </c>
      <c r="L587" s="8" t="str">
        <f>IF([2]道具信息!L587="","",[2]道具信息!L587)</f>
        <v/>
      </c>
      <c r="M587" s="8" t="str">
        <f>IF([2]道具信息!M587="","",[2]道具信息!M587)</f>
        <v/>
      </c>
      <c r="N587" s="8" t="str">
        <f>IF([2]道具信息!N587="","",[2]道具信息!N587)</f>
        <v/>
      </c>
      <c r="O587" s="8" t="str">
        <f>IF([2]道具信息!O587="","",[2]道具信息!O587)</f>
        <v/>
      </c>
      <c r="P587" s="8" t="str">
        <f>IF([2]道具信息!P587="","",[2]道具信息!P587)</f>
        <v/>
      </c>
      <c r="Q587" s="8" t="str">
        <f>IF([2]道具信息!Q587="","",[2]道具信息!Q587)</f>
        <v/>
      </c>
      <c r="R587" s="8" t="str">
        <f>IF([2]道具信息!R587="","",[2]道具信息!R587)</f>
        <v/>
      </c>
    </row>
    <row r="588" spans="3:18" x14ac:dyDescent="0.2">
      <c r="C588" s="8" t="str">
        <f>IF([2]道具信息!C588="","",[2]道具信息!C588)</f>
        <v/>
      </c>
      <c r="D588" s="8" t="str">
        <f>IF([2]道具信息!D588="","",[2]道具信息!D588)</f>
        <v/>
      </c>
      <c r="E588" s="8" t="str">
        <f>IF([2]道具信息!E588="","",[2]道具信息!E588)</f>
        <v/>
      </c>
      <c r="F588" s="8" t="str">
        <f>IF([2]道具信息!F588="","",[2]道具信息!F588)</f>
        <v/>
      </c>
      <c r="G588" s="8" t="str">
        <f>IF([2]道具信息!G588="","",[2]道具信息!G588)</f>
        <v/>
      </c>
      <c r="H588" s="8" t="str">
        <f>IF([2]道具信息!H588="","",[2]道具信息!H588)</f>
        <v/>
      </c>
      <c r="I588" s="8" t="str">
        <f>IF([2]道具信息!I588="","",[2]道具信息!I588)</f>
        <v/>
      </c>
      <c r="J588" s="8" t="str">
        <f>IF([2]道具信息!J588="","",[2]道具信息!J588)</f>
        <v/>
      </c>
      <c r="K588" s="8" t="str">
        <f>IF([2]道具信息!K588="","",[2]道具信息!K588)</f>
        <v/>
      </c>
      <c r="L588" s="8" t="str">
        <f>IF([2]道具信息!L588="","",[2]道具信息!L588)</f>
        <v/>
      </c>
      <c r="M588" s="8" t="str">
        <f>IF([2]道具信息!M588="","",[2]道具信息!M588)</f>
        <v/>
      </c>
      <c r="N588" s="8" t="str">
        <f>IF([2]道具信息!N588="","",[2]道具信息!N588)</f>
        <v/>
      </c>
      <c r="O588" s="8" t="str">
        <f>IF([2]道具信息!O588="","",[2]道具信息!O588)</f>
        <v/>
      </c>
      <c r="P588" s="8" t="str">
        <f>IF([2]道具信息!P588="","",[2]道具信息!P588)</f>
        <v/>
      </c>
      <c r="Q588" s="8" t="str">
        <f>IF([2]道具信息!Q588="","",[2]道具信息!Q588)</f>
        <v/>
      </c>
      <c r="R588" s="8" t="str">
        <f>IF([2]道具信息!R588="","",[2]道具信息!R588)</f>
        <v/>
      </c>
    </row>
    <row r="589" spans="3:18" x14ac:dyDescent="0.2">
      <c r="C589" s="8" t="str">
        <f>IF([2]道具信息!C589="","",[2]道具信息!C589)</f>
        <v/>
      </c>
      <c r="D589" s="8" t="str">
        <f>IF([2]道具信息!D589="","",[2]道具信息!D589)</f>
        <v/>
      </c>
      <c r="E589" s="8" t="str">
        <f>IF([2]道具信息!E589="","",[2]道具信息!E589)</f>
        <v/>
      </c>
      <c r="F589" s="8" t="str">
        <f>IF([2]道具信息!F589="","",[2]道具信息!F589)</f>
        <v/>
      </c>
      <c r="G589" s="8" t="str">
        <f>IF([2]道具信息!G589="","",[2]道具信息!G589)</f>
        <v/>
      </c>
      <c r="H589" s="8" t="str">
        <f>IF([2]道具信息!H589="","",[2]道具信息!H589)</f>
        <v/>
      </c>
      <c r="I589" s="8" t="str">
        <f>IF([2]道具信息!I589="","",[2]道具信息!I589)</f>
        <v/>
      </c>
      <c r="J589" s="8" t="str">
        <f>IF([2]道具信息!J589="","",[2]道具信息!J589)</f>
        <v/>
      </c>
      <c r="K589" s="8" t="str">
        <f>IF([2]道具信息!K589="","",[2]道具信息!K589)</f>
        <v/>
      </c>
      <c r="L589" s="8" t="str">
        <f>IF([2]道具信息!L589="","",[2]道具信息!L589)</f>
        <v/>
      </c>
      <c r="M589" s="8" t="str">
        <f>IF([2]道具信息!M589="","",[2]道具信息!M589)</f>
        <v/>
      </c>
      <c r="N589" s="8" t="str">
        <f>IF([2]道具信息!N589="","",[2]道具信息!N589)</f>
        <v/>
      </c>
      <c r="O589" s="8" t="str">
        <f>IF([2]道具信息!O589="","",[2]道具信息!O589)</f>
        <v/>
      </c>
      <c r="P589" s="8" t="str">
        <f>IF([2]道具信息!P589="","",[2]道具信息!P589)</f>
        <v/>
      </c>
      <c r="Q589" s="8" t="str">
        <f>IF([2]道具信息!Q589="","",[2]道具信息!Q589)</f>
        <v/>
      </c>
      <c r="R589" s="8" t="str">
        <f>IF([2]道具信息!R589="","",[2]道具信息!R589)</f>
        <v/>
      </c>
    </row>
    <row r="590" spans="3:18" x14ac:dyDescent="0.2">
      <c r="C590" s="8" t="str">
        <f>IF([2]道具信息!C590="","",[2]道具信息!C590)</f>
        <v/>
      </c>
      <c r="D590" s="8" t="str">
        <f>IF([2]道具信息!D590="","",[2]道具信息!D590)</f>
        <v/>
      </c>
      <c r="E590" s="8" t="str">
        <f>IF([2]道具信息!E590="","",[2]道具信息!E590)</f>
        <v/>
      </c>
      <c r="F590" s="8" t="str">
        <f>IF([2]道具信息!F590="","",[2]道具信息!F590)</f>
        <v/>
      </c>
      <c r="G590" s="8" t="str">
        <f>IF([2]道具信息!G590="","",[2]道具信息!G590)</f>
        <v/>
      </c>
      <c r="H590" s="8" t="str">
        <f>IF([2]道具信息!H590="","",[2]道具信息!H590)</f>
        <v/>
      </c>
      <c r="I590" s="8" t="str">
        <f>IF([2]道具信息!I590="","",[2]道具信息!I590)</f>
        <v/>
      </c>
      <c r="J590" s="8" t="str">
        <f>IF([2]道具信息!J590="","",[2]道具信息!J590)</f>
        <v/>
      </c>
      <c r="K590" s="8" t="str">
        <f>IF([2]道具信息!K590="","",[2]道具信息!K590)</f>
        <v/>
      </c>
      <c r="L590" s="8" t="str">
        <f>IF([2]道具信息!L590="","",[2]道具信息!L590)</f>
        <v/>
      </c>
      <c r="M590" s="8" t="str">
        <f>IF([2]道具信息!M590="","",[2]道具信息!M590)</f>
        <v/>
      </c>
      <c r="N590" s="8" t="str">
        <f>IF([2]道具信息!N590="","",[2]道具信息!N590)</f>
        <v/>
      </c>
      <c r="O590" s="8" t="str">
        <f>IF([2]道具信息!O590="","",[2]道具信息!O590)</f>
        <v/>
      </c>
      <c r="P590" s="8" t="str">
        <f>IF([2]道具信息!P590="","",[2]道具信息!P590)</f>
        <v/>
      </c>
      <c r="Q590" s="8" t="str">
        <f>IF([2]道具信息!Q590="","",[2]道具信息!Q590)</f>
        <v/>
      </c>
      <c r="R590" s="8" t="str">
        <f>IF([2]道具信息!R590="","",[2]道具信息!R590)</f>
        <v/>
      </c>
    </row>
    <row r="591" spans="3:18" x14ac:dyDescent="0.2">
      <c r="C591" s="8" t="str">
        <f>IF([2]道具信息!C591="","",[2]道具信息!C591)</f>
        <v/>
      </c>
      <c r="D591" s="8" t="str">
        <f>IF([2]道具信息!D591="","",[2]道具信息!D591)</f>
        <v/>
      </c>
      <c r="E591" s="8" t="str">
        <f>IF([2]道具信息!E591="","",[2]道具信息!E591)</f>
        <v/>
      </c>
      <c r="F591" s="8" t="str">
        <f>IF([2]道具信息!F591="","",[2]道具信息!F591)</f>
        <v/>
      </c>
      <c r="G591" s="8" t="str">
        <f>IF([2]道具信息!G591="","",[2]道具信息!G591)</f>
        <v/>
      </c>
      <c r="H591" s="8" t="str">
        <f>IF([2]道具信息!H591="","",[2]道具信息!H591)</f>
        <v/>
      </c>
      <c r="I591" s="8" t="str">
        <f>IF([2]道具信息!I591="","",[2]道具信息!I591)</f>
        <v/>
      </c>
      <c r="J591" s="8" t="str">
        <f>IF([2]道具信息!J591="","",[2]道具信息!J591)</f>
        <v/>
      </c>
      <c r="K591" s="8" t="str">
        <f>IF([2]道具信息!K591="","",[2]道具信息!K591)</f>
        <v/>
      </c>
      <c r="L591" s="8" t="str">
        <f>IF([2]道具信息!L591="","",[2]道具信息!L591)</f>
        <v/>
      </c>
      <c r="M591" s="8" t="str">
        <f>IF([2]道具信息!M591="","",[2]道具信息!M591)</f>
        <v/>
      </c>
      <c r="N591" s="8" t="str">
        <f>IF([2]道具信息!N591="","",[2]道具信息!N591)</f>
        <v/>
      </c>
      <c r="O591" s="8" t="str">
        <f>IF([2]道具信息!O591="","",[2]道具信息!O591)</f>
        <v/>
      </c>
      <c r="P591" s="8" t="str">
        <f>IF([2]道具信息!P591="","",[2]道具信息!P591)</f>
        <v/>
      </c>
      <c r="Q591" s="8" t="str">
        <f>IF([2]道具信息!Q591="","",[2]道具信息!Q591)</f>
        <v/>
      </c>
      <c r="R591" s="8" t="str">
        <f>IF([2]道具信息!R591="","",[2]道具信息!R591)</f>
        <v/>
      </c>
    </row>
    <row r="592" spans="3:18" x14ac:dyDescent="0.2">
      <c r="C592" s="8" t="str">
        <f>IF([2]道具信息!C592="","",[2]道具信息!C592)</f>
        <v/>
      </c>
      <c r="D592" s="8" t="str">
        <f>IF([2]道具信息!D592="","",[2]道具信息!D592)</f>
        <v/>
      </c>
      <c r="E592" s="8" t="str">
        <f>IF([2]道具信息!E592="","",[2]道具信息!E592)</f>
        <v/>
      </c>
      <c r="F592" s="8" t="str">
        <f>IF([2]道具信息!F592="","",[2]道具信息!F592)</f>
        <v/>
      </c>
      <c r="G592" s="8" t="str">
        <f>IF([2]道具信息!G592="","",[2]道具信息!G592)</f>
        <v/>
      </c>
      <c r="H592" s="8" t="str">
        <f>IF([2]道具信息!H592="","",[2]道具信息!H592)</f>
        <v/>
      </c>
      <c r="I592" s="8" t="str">
        <f>IF([2]道具信息!I592="","",[2]道具信息!I592)</f>
        <v/>
      </c>
      <c r="J592" s="8" t="str">
        <f>IF([2]道具信息!J592="","",[2]道具信息!J592)</f>
        <v/>
      </c>
      <c r="K592" s="8" t="str">
        <f>IF([2]道具信息!K592="","",[2]道具信息!K592)</f>
        <v/>
      </c>
      <c r="L592" s="8" t="str">
        <f>IF([2]道具信息!L592="","",[2]道具信息!L592)</f>
        <v/>
      </c>
      <c r="M592" s="8" t="str">
        <f>IF([2]道具信息!M592="","",[2]道具信息!M592)</f>
        <v/>
      </c>
      <c r="N592" s="8" t="str">
        <f>IF([2]道具信息!N592="","",[2]道具信息!N592)</f>
        <v/>
      </c>
      <c r="O592" s="8" t="str">
        <f>IF([2]道具信息!O592="","",[2]道具信息!O592)</f>
        <v/>
      </c>
      <c r="P592" s="8" t="str">
        <f>IF([2]道具信息!P592="","",[2]道具信息!P592)</f>
        <v/>
      </c>
      <c r="Q592" s="8" t="str">
        <f>IF([2]道具信息!Q592="","",[2]道具信息!Q592)</f>
        <v/>
      </c>
      <c r="R592" s="8" t="str">
        <f>IF([2]道具信息!R592="","",[2]道具信息!R592)</f>
        <v/>
      </c>
    </row>
    <row r="593" spans="3:18" x14ac:dyDescent="0.2">
      <c r="C593" s="8" t="str">
        <f>IF([2]道具信息!C593="","",[2]道具信息!C593)</f>
        <v/>
      </c>
      <c r="D593" s="8" t="str">
        <f>IF([2]道具信息!D593="","",[2]道具信息!D593)</f>
        <v/>
      </c>
      <c r="E593" s="8" t="str">
        <f>IF([2]道具信息!E593="","",[2]道具信息!E593)</f>
        <v/>
      </c>
      <c r="F593" s="8" t="str">
        <f>IF([2]道具信息!F593="","",[2]道具信息!F593)</f>
        <v/>
      </c>
      <c r="G593" s="8" t="str">
        <f>IF([2]道具信息!G593="","",[2]道具信息!G593)</f>
        <v/>
      </c>
      <c r="H593" s="8" t="str">
        <f>IF([2]道具信息!H593="","",[2]道具信息!H593)</f>
        <v/>
      </c>
      <c r="I593" s="8" t="str">
        <f>IF([2]道具信息!I593="","",[2]道具信息!I593)</f>
        <v/>
      </c>
      <c r="J593" s="8" t="str">
        <f>IF([2]道具信息!J593="","",[2]道具信息!J593)</f>
        <v/>
      </c>
      <c r="K593" s="8" t="str">
        <f>IF([2]道具信息!K593="","",[2]道具信息!K593)</f>
        <v/>
      </c>
      <c r="L593" s="8" t="str">
        <f>IF([2]道具信息!L593="","",[2]道具信息!L593)</f>
        <v/>
      </c>
      <c r="M593" s="8" t="str">
        <f>IF([2]道具信息!M593="","",[2]道具信息!M593)</f>
        <v/>
      </c>
      <c r="N593" s="8" t="str">
        <f>IF([2]道具信息!N593="","",[2]道具信息!N593)</f>
        <v/>
      </c>
      <c r="O593" s="8" t="str">
        <f>IF([2]道具信息!O593="","",[2]道具信息!O593)</f>
        <v/>
      </c>
      <c r="P593" s="8" t="str">
        <f>IF([2]道具信息!P593="","",[2]道具信息!P593)</f>
        <v/>
      </c>
      <c r="Q593" s="8" t="str">
        <f>IF([2]道具信息!Q593="","",[2]道具信息!Q593)</f>
        <v/>
      </c>
      <c r="R593" s="8" t="str">
        <f>IF([2]道具信息!R593="","",[2]道具信息!R593)</f>
        <v/>
      </c>
    </row>
    <row r="594" spans="3:18" x14ac:dyDescent="0.2">
      <c r="C594" s="8" t="str">
        <f>IF([2]道具信息!C594="","",[2]道具信息!C594)</f>
        <v/>
      </c>
      <c r="D594" s="8" t="str">
        <f>IF([2]道具信息!D594="","",[2]道具信息!D594)</f>
        <v/>
      </c>
      <c r="E594" s="8" t="str">
        <f>IF([2]道具信息!E594="","",[2]道具信息!E594)</f>
        <v/>
      </c>
      <c r="F594" s="8" t="str">
        <f>IF([2]道具信息!F594="","",[2]道具信息!F594)</f>
        <v/>
      </c>
      <c r="G594" s="8" t="str">
        <f>IF([2]道具信息!G594="","",[2]道具信息!G594)</f>
        <v/>
      </c>
      <c r="H594" s="8" t="str">
        <f>IF([2]道具信息!H594="","",[2]道具信息!H594)</f>
        <v/>
      </c>
      <c r="I594" s="8" t="str">
        <f>IF([2]道具信息!I594="","",[2]道具信息!I594)</f>
        <v/>
      </c>
      <c r="J594" s="8" t="str">
        <f>IF([2]道具信息!J594="","",[2]道具信息!J594)</f>
        <v/>
      </c>
      <c r="K594" s="8" t="str">
        <f>IF([2]道具信息!K594="","",[2]道具信息!K594)</f>
        <v/>
      </c>
      <c r="L594" s="8" t="str">
        <f>IF([2]道具信息!L594="","",[2]道具信息!L594)</f>
        <v/>
      </c>
      <c r="M594" s="8" t="str">
        <f>IF([2]道具信息!M594="","",[2]道具信息!M594)</f>
        <v/>
      </c>
      <c r="N594" s="8" t="str">
        <f>IF([2]道具信息!N594="","",[2]道具信息!N594)</f>
        <v/>
      </c>
      <c r="O594" s="8" t="str">
        <f>IF([2]道具信息!O594="","",[2]道具信息!O594)</f>
        <v/>
      </c>
      <c r="P594" s="8" t="str">
        <f>IF([2]道具信息!P594="","",[2]道具信息!P594)</f>
        <v/>
      </c>
      <c r="Q594" s="8" t="str">
        <f>IF([2]道具信息!Q594="","",[2]道具信息!Q594)</f>
        <v/>
      </c>
      <c r="R594" s="8" t="str">
        <f>IF([2]道具信息!R594="","",[2]道具信息!R594)</f>
        <v/>
      </c>
    </row>
    <row r="595" spans="3:18" x14ac:dyDescent="0.2">
      <c r="C595" s="8" t="str">
        <f>IF([2]道具信息!C595="","",[2]道具信息!C595)</f>
        <v/>
      </c>
      <c r="D595" s="8" t="str">
        <f>IF([2]道具信息!D595="","",[2]道具信息!D595)</f>
        <v/>
      </c>
      <c r="E595" s="8" t="str">
        <f>IF([2]道具信息!E595="","",[2]道具信息!E595)</f>
        <v/>
      </c>
      <c r="F595" s="8" t="str">
        <f>IF([2]道具信息!F595="","",[2]道具信息!F595)</f>
        <v/>
      </c>
      <c r="G595" s="8" t="str">
        <f>IF([2]道具信息!G595="","",[2]道具信息!G595)</f>
        <v/>
      </c>
      <c r="H595" s="8" t="str">
        <f>IF([2]道具信息!H595="","",[2]道具信息!H595)</f>
        <v/>
      </c>
      <c r="I595" s="8" t="str">
        <f>IF([2]道具信息!I595="","",[2]道具信息!I595)</f>
        <v/>
      </c>
      <c r="J595" s="8" t="str">
        <f>IF([2]道具信息!J595="","",[2]道具信息!J595)</f>
        <v/>
      </c>
      <c r="K595" s="8" t="str">
        <f>IF([2]道具信息!K595="","",[2]道具信息!K595)</f>
        <v/>
      </c>
      <c r="L595" s="8" t="str">
        <f>IF([2]道具信息!L595="","",[2]道具信息!L595)</f>
        <v/>
      </c>
      <c r="M595" s="8" t="str">
        <f>IF([2]道具信息!M595="","",[2]道具信息!M595)</f>
        <v/>
      </c>
      <c r="N595" s="8" t="str">
        <f>IF([2]道具信息!N595="","",[2]道具信息!N595)</f>
        <v/>
      </c>
      <c r="O595" s="8" t="str">
        <f>IF([2]道具信息!O595="","",[2]道具信息!O595)</f>
        <v/>
      </c>
      <c r="P595" s="8" t="str">
        <f>IF([2]道具信息!P595="","",[2]道具信息!P595)</f>
        <v/>
      </c>
      <c r="Q595" s="8" t="str">
        <f>IF([2]道具信息!Q595="","",[2]道具信息!Q595)</f>
        <v/>
      </c>
      <c r="R595" s="8" t="str">
        <f>IF([2]道具信息!R595="","",[2]道具信息!R595)</f>
        <v/>
      </c>
    </row>
    <row r="596" spans="3:18" x14ac:dyDescent="0.2">
      <c r="C596" s="8" t="str">
        <f>IF([2]道具信息!C596="","",[2]道具信息!C596)</f>
        <v/>
      </c>
      <c r="D596" s="8" t="str">
        <f>IF([2]道具信息!D596="","",[2]道具信息!D596)</f>
        <v/>
      </c>
      <c r="E596" s="8" t="str">
        <f>IF([2]道具信息!E596="","",[2]道具信息!E596)</f>
        <v/>
      </c>
      <c r="F596" s="8" t="str">
        <f>IF([2]道具信息!F596="","",[2]道具信息!F596)</f>
        <v/>
      </c>
      <c r="G596" s="8" t="str">
        <f>IF([2]道具信息!G596="","",[2]道具信息!G596)</f>
        <v/>
      </c>
      <c r="H596" s="8" t="str">
        <f>IF([2]道具信息!H596="","",[2]道具信息!H596)</f>
        <v/>
      </c>
      <c r="I596" s="8" t="str">
        <f>IF([2]道具信息!I596="","",[2]道具信息!I596)</f>
        <v/>
      </c>
      <c r="J596" s="8" t="str">
        <f>IF([2]道具信息!J596="","",[2]道具信息!J596)</f>
        <v/>
      </c>
      <c r="K596" s="8" t="str">
        <f>IF([2]道具信息!K596="","",[2]道具信息!K596)</f>
        <v/>
      </c>
      <c r="L596" s="8" t="str">
        <f>IF([2]道具信息!L596="","",[2]道具信息!L596)</f>
        <v/>
      </c>
      <c r="M596" s="8" t="str">
        <f>IF([2]道具信息!M596="","",[2]道具信息!M596)</f>
        <v/>
      </c>
      <c r="N596" s="8" t="str">
        <f>IF([2]道具信息!N596="","",[2]道具信息!N596)</f>
        <v/>
      </c>
      <c r="O596" s="8" t="str">
        <f>IF([2]道具信息!O596="","",[2]道具信息!O596)</f>
        <v/>
      </c>
      <c r="P596" s="8" t="str">
        <f>IF([2]道具信息!P596="","",[2]道具信息!P596)</f>
        <v/>
      </c>
      <c r="Q596" s="8" t="str">
        <f>IF([2]道具信息!Q596="","",[2]道具信息!Q596)</f>
        <v/>
      </c>
      <c r="R596" s="8" t="str">
        <f>IF([2]道具信息!R596="","",[2]道具信息!R596)</f>
        <v/>
      </c>
    </row>
    <row r="597" spans="3:18" x14ac:dyDescent="0.2">
      <c r="C597" s="8" t="str">
        <f>IF([2]道具信息!C597="","",[2]道具信息!C597)</f>
        <v/>
      </c>
      <c r="D597" s="8" t="str">
        <f>IF([2]道具信息!D597="","",[2]道具信息!D597)</f>
        <v/>
      </c>
      <c r="E597" s="8" t="str">
        <f>IF([2]道具信息!E597="","",[2]道具信息!E597)</f>
        <v/>
      </c>
      <c r="F597" s="8" t="str">
        <f>IF([2]道具信息!F597="","",[2]道具信息!F597)</f>
        <v/>
      </c>
      <c r="G597" s="8" t="str">
        <f>IF([2]道具信息!G597="","",[2]道具信息!G597)</f>
        <v/>
      </c>
      <c r="H597" s="8" t="str">
        <f>IF([2]道具信息!H597="","",[2]道具信息!H597)</f>
        <v/>
      </c>
      <c r="I597" s="8" t="str">
        <f>IF([2]道具信息!I597="","",[2]道具信息!I597)</f>
        <v/>
      </c>
      <c r="J597" s="8" t="str">
        <f>IF([2]道具信息!J597="","",[2]道具信息!J597)</f>
        <v/>
      </c>
      <c r="K597" s="8" t="str">
        <f>IF([2]道具信息!K597="","",[2]道具信息!K597)</f>
        <v/>
      </c>
      <c r="L597" s="8" t="str">
        <f>IF([2]道具信息!L597="","",[2]道具信息!L597)</f>
        <v/>
      </c>
      <c r="M597" s="8" t="str">
        <f>IF([2]道具信息!M597="","",[2]道具信息!M597)</f>
        <v/>
      </c>
      <c r="N597" s="8" t="str">
        <f>IF([2]道具信息!N597="","",[2]道具信息!N597)</f>
        <v/>
      </c>
      <c r="O597" s="8" t="str">
        <f>IF([2]道具信息!O597="","",[2]道具信息!O597)</f>
        <v/>
      </c>
      <c r="P597" s="8" t="str">
        <f>IF([2]道具信息!P597="","",[2]道具信息!P597)</f>
        <v/>
      </c>
      <c r="Q597" s="8" t="str">
        <f>IF([2]道具信息!Q597="","",[2]道具信息!Q597)</f>
        <v/>
      </c>
      <c r="R597" s="8" t="str">
        <f>IF([2]道具信息!R597="","",[2]道具信息!R597)</f>
        <v/>
      </c>
    </row>
    <row r="598" spans="3:18" x14ac:dyDescent="0.2">
      <c r="C598" s="8" t="str">
        <f>IF([2]道具信息!C598="","",[2]道具信息!C598)</f>
        <v/>
      </c>
      <c r="D598" s="8" t="str">
        <f>IF([2]道具信息!D598="","",[2]道具信息!D598)</f>
        <v/>
      </c>
      <c r="E598" s="8" t="str">
        <f>IF([2]道具信息!E598="","",[2]道具信息!E598)</f>
        <v/>
      </c>
      <c r="F598" s="8" t="str">
        <f>IF([2]道具信息!F598="","",[2]道具信息!F598)</f>
        <v/>
      </c>
      <c r="G598" s="8" t="str">
        <f>IF([2]道具信息!G598="","",[2]道具信息!G598)</f>
        <v/>
      </c>
      <c r="H598" s="8" t="str">
        <f>IF([2]道具信息!H598="","",[2]道具信息!H598)</f>
        <v/>
      </c>
      <c r="I598" s="8" t="str">
        <f>IF([2]道具信息!I598="","",[2]道具信息!I598)</f>
        <v/>
      </c>
      <c r="J598" s="8" t="str">
        <f>IF([2]道具信息!J598="","",[2]道具信息!J598)</f>
        <v/>
      </c>
      <c r="K598" s="8" t="str">
        <f>IF([2]道具信息!K598="","",[2]道具信息!K598)</f>
        <v/>
      </c>
      <c r="L598" s="8" t="str">
        <f>IF([2]道具信息!L598="","",[2]道具信息!L598)</f>
        <v/>
      </c>
      <c r="M598" s="8" t="str">
        <f>IF([2]道具信息!M598="","",[2]道具信息!M598)</f>
        <v/>
      </c>
      <c r="N598" s="8" t="str">
        <f>IF([2]道具信息!N598="","",[2]道具信息!N598)</f>
        <v/>
      </c>
      <c r="O598" s="8" t="str">
        <f>IF([2]道具信息!O598="","",[2]道具信息!O598)</f>
        <v/>
      </c>
      <c r="P598" s="8" t="str">
        <f>IF([2]道具信息!P598="","",[2]道具信息!P598)</f>
        <v/>
      </c>
      <c r="Q598" s="8" t="str">
        <f>IF([2]道具信息!Q598="","",[2]道具信息!Q598)</f>
        <v/>
      </c>
      <c r="R598" s="8" t="str">
        <f>IF([2]道具信息!R598="","",[2]道具信息!R598)</f>
        <v/>
      </c>
    </row>
    <row r="599" spans="3:18" x14ac:dyDescent="0.2">
      <c r="C599" s="8" t="str">
        <f>IF([2]道具信息!C599="","",[2]道具信息!C599)</f>
        <v/>
      </c>
      <c r="D599" s="8" t="str">
        <f>IF([2]道具信息!D599="","",[2]道具信息!D599)</f>
        <v/>
      </c>
      <c r="E599" s="8" t="str">
        <f>IF([2]道具信息!E599="","",[2]道具信息!E599)</f>
        <v/>
      </c>
      <c r="F599" s="8" t="str">
        <f>IF([2]道具信息!F599="","",[2]道具信息!F599)</f>
        <v/>
      </c>
      <c r="G599" s="8" t="str">
        <f>IF([2]道具信息!G599="","",[2]道具信息!G599)</f>
        <v/>
      </c>
      <c r="H599" s="8" t="str">
        <f>IF([2]道具信息!H599="","",[2]道具信息!H599)</f>
        <v/>
      </c>
      <c r="I599" s="8" t="str">
        <f>IF([2]道具信息!I599="","",[2]道具信息!I599)</f>
        <v/>
      </c>
      <c r="J599" s="8" t="str">
        <f>IF([2]道具信息!J599="","",[2]道具信息!J599)</f>
        <v/>
      </c>
      <c r="K599" s="8" t="str">
        <f>IF([2]道具信息!K599="","",[2]道具信息!K599)</f>
        <v/>
      </c>
      <c r="L599" s="8" t="str">
        <f>IF([2]道具信息!L599="","",[2]道具信息!L599)</f>
        <v/>
      </c>
      <c r="M599" s="8" t="str">
        <f>IF([2]道具信息!M599="","",[2]道具信息!M599)</f>
        <v/>
      </c>
      <c r="N599" s="8" t="str">
        <f>IF([2]道具信息!N599="","",[2]道具信息!N599)</f>
        <v/>
      </c>
      <c r="O599" s="8" t="str">
        <f>IF([2]道具信息!O599="","",[2]道具信息!O599)</f>
        <v/>
      </c>
      <c r="P599" s="8" t="str">
        <f>IF([2]道具信息!P599="","",[2]道具信息!P599)</f>
        <v/>
      </c>
      <c r="Q599" s="8" t="str">
        <f>IF([2]道具信息!Q599="","",[2]道具信息!Q599)</f>
        <v/>
      </c>
      <c r="R599" s="8" t="str">
        <f>IF([2]道具信息!R599="","",[2]道具信息!R599)</f>
        <v/>
      </c>
    </row>
    <row r="600" spans="3:18" x14ac:dyDescent="0.2">
      <c r="C600" s="8" t="str">
        <f>IF([2]道具信息!C600="","",[2]道具信息!C600)</f>
        <v/>
      </c>
      <c r="D600" s="8" t="str">
        <f>IF([2]道具信息!D600="","",[2]道具信息!D600)</f>
        <v/>
      </c>
      <c r="E600" s="8" t="str">
        <f>IF([2]道具信息!E600="","",[2]道具信息!E600)</f>
        <v/>
      </c>
      <c r="F600" s="8" t="str">
        <f>IF([2]道具信息!F600="","",[2]道具信息!F600)</f>
        <v/>
      </c>
      <c r="G600" s="8" t="str">
        <f>IF([2]道具信息!G600="","",[2]道具信息!G600)</f>
        <v/>
      </c>
      <c r="H600" s="8" t="str">
        <f>IF([2]道具信息!H600="","",[2]道具信息!H600)</f>
        <v/>
      </c>
      <c r="I600" s="8" t="str">
        <f>IF([2]道具信息!I600="","",[2]道具信息!I600)</f>
        <v/>
      </c>
      <c r="J600" s="8" t="str">
        <f>IF([2]道具信息!J600="","",[2]道具信息!J600)</f>
        <v/>
      </c>
      <c r="K600" s="8" t="str">
        <f>IF([2]道具信息!K600="","",[2]道具信息!K600)</f>
        <v/>
      </c>
      <c r="L600" s="8" t="str">
        <f>IF([2]道具信息!L600="","",[2]道具信息!L600)</f>
        <v/>
      </c>
      <c r="M600" s="8" t="str">
        <f>IF([2]道具信息!M600="","",[2]道具信息!M600)</f>
        <v/>
      </c>
      <c r="N600" s="8" t="str">
        <f>IF([2]道具信息!N600="","",[2]道具信息!N600)</f>
        <v/>
      </c>
      <c r="O600" s="8" t="str">
        <f>IF([2]道具信息!O600="","",[2]道具信息!O600)</f>
        <v/>
      </c>
      <c r="P600" s="8" t="str">
        <f>IF([2]道具信息!P600="","",[2]道具信息!P600)</f>
        <v/>
      </c>
      <c r="Q600" s="8" t="str">
        <f>IF([2]道具信息!Q600="","",[2]道具信息!Q600)</f>
        <v/>
      </c>
      <c r="R600" s="8" t="str">
        <f>IF([2]道具信息!R600="","",[2]道具信息!R600)</f>
        <v/>
      </c>
    </row>
    <row r="601" spans="3:18" x14ac:dyDescent="0.2">
      <c r="C601" s="8" t="str">
        <f>IF([2]道具信息!C601="","",[2]道具信息!C601)</f>
        <v/>
      </c>
      <c r="D601" s="8" t="str">
        <f>IF([2]道具信息!D601="","",[2]道具信息!D601)</f>
        <v/>
      </c>
      <c r="E601" s="8" t="str">
        <f>IF([2]道具信息!E601="","",[2]道具信息!E601)</f>
        <v/>
      </c>
      <c r="F601" s="8" t="str">
        <f>IF([2]道具信息!F601="","",[2]道具信息!F601)</f>
        <v/>
      </c>
      <c r="G601" s="8" t="str">
        <f>IF([2]道具信息!G601="","",[2]道具信息!G601)</f>
        <v/>
      </c>
      <c r="H601" s="8" t="str">
        <f>IF([2]道具信息!H601="","",[2]道具信息!H601)</f>
        <v/>
      </c>
      <c r="I601" s="8" t="str">
        <f>IF([2]道具信息!I601="","",[2]道具信息!I601)</f>
        <v/>
      </c>
      <c r="J601" s="8" t="str">
        <f>IF([2]道具信息!J601="","",[2]道具信息!J601)</f>
        <v/>
      </c>
      <c r="K601" s="8" t="str">
        <f>IF([2]道具信息!K601="","",[2]道具信息!K601)</f>
        <v/>
      </c>
      <c r="L601" s="8" t="str">
        <f>IF([2]道具信息!L601="","",[2]道具信息!L601)</f>
        <v/>
      </c>
      <c r="M601" s="8" t="str">
        <f>IF([2]道具信息!M601="","",[2]道具信息!M601)</f>
        <v/>
      </c>
      <c r="N601" s="8" t="str">
        <f>IF([2]道具信息!N601="","",[2]道具信息!N601)</f>
        <v/>
      </c>
      <c r="O601" s="8" t="str">
        <f>IF([2]道具信息!O601="","",[2]道具信息!O601)</f>
        <v/>
      </c>
      <c r="P601" s="8" t="str">
        <f>IF([2]道具信息!P601="","",[2]道具信息!P601)</f>
        <v/>
      </c>
      <c r="Q601" s="8" t="str">
        <f>IF([2]道具信息!Q601="","",[2]道具信息!Q601)</f>
        <v/>
      </c>
      <c r="R601" s="8" t="str">
        <f>IF([2]道具信息!R601="","",[2]道具信息!R601)</f>
        <v/>
      </c>
    </row>
    <row r="602" spans="3:18" x14ac:dyDescent="0.2">
      <c r="C602" s="8" t="str">
        <f>IF([2]道具信息!C602="","",[2]道具信息!C602)</f>
        <v/>
      </c>
      <c r="D602" s="8" t="str">
        <f>IF([2]道具信息!D602="","",[2]道具信息!D602)</f>
        <v/>
      </c>
      <c r="E602" s="8" t="str">
        <f>IF([2]道具信息!E602="","",[2]道具信息!E602)</f>
        <v/>
      </c>
      <c r="F602" s="8" t="str">
        <f>IF([2]道具信息!F602="","",[2]道具信息!F602)</f>
        <v/>
      </c>
      <c r="G602" s="8" t="str">
        <f>IF([2]道具信息!G602="","",[2]道具信息!G602)</f>
        <v/>
      </c>
      <c r="H602" s="8" t="str">
        <f>IF([2]道具信息!H602="","",[2]道具信息!H602)</f>
        <v/>
      </c>
      <c r="I602" s="8" t="str">
        <f>IF([2]道具信息!I602="","",[2]道具信息!I602)</f>
        <v/>
      </c>
      <c r="J602" s="8" t="str">
        <f>IF([2]道具信息!J602="","",[2]道具信息!J602)</f>
        <v/>
      </c>
      <c r="K602" s="8" t="str">
        <f>IF([2]道具信息!K602="","",[2]道具信息!K602)</f>
        <v/>
      </c>
      <c r="L602" s="8" t="str">
        <f>IF([2]道具信息!L602="","",[2]道具信息!L602)</f>
        <v/>
      </c>
      <c r="M602" s="8" t="str">
        <f>IF([2]道具信息!M602="","",[2]道具信息!M602)</f>
        <v/>
      </c>
      <c r="N602" s="8" t="str">
        <f>IF([2]道具信息!N602="","",[2]道具信息!N602)</f>
        <v/>
      </c>
      <c r="O602" s="8" t="str">
        <f>IF([2]道具信息!O602="","",[2]道具信息!O602)</f>
        <v/>
      </c>
      <c r="P602" s="8" t="str">
        <f>IF([2]道具信息!P602="","",[2]道具信息!P602)</f>
        <v/>
      </c>
      <c r="Q602" s="8" t="str">
        <f>IF([2]道具信息!Q602="","",[2]道具信息!Q602)</f>
        <v/>
      </c>
      <c r="R602" s="8" t="str">
        <f>IF([2]道具信息!R602="","",[2]道具信息!R602)</f>
        <v/>
      </c>
    </row>
    <row r="603" spans="3:18" x14ac:dyDescent="0.2">
      <c r="C603" s="8" t="str">
        <f>IF([2]道具信息!C603="","",[2]道具信息!C603)</f>
        <v/>
      </c>
      <c r="D603" s="8" t="str">
        <f>IF([2]道具信息!D603="","",[2]道具信息!D603)</f>
        <v/>
      </c>
      <c r="E603" s="8" t="str">
        <f>IF([2]道具信息!E603="","",[2]道具信息!E603)</f>
        <v/>
      </c>
      <c r="F603" s="8" t="str">
        <f>IF([2]道具信息!F603="","",[2]道具信息!F603)</f>
        <v/>
      </c>
      <c r="G603" s="8" t="str">
        <f>IF([2]道具信息!G603="","",[2]道具信息!G603)</f>
        <v/>
      </c>
      <c r="H603" s="8" t="str">
        <f>IF([2]道具信息!H603="","",[2]道具信息!H603)</f>
        <v/>
      </c>
      <c r="I603" s="8" t="str">
        <f>IF([2]道具信息!I603="","",[2]道具信息!I603)</f>
        <v/>
      </c>
      <c r="J603" s="8" t="str">
        <f>IF([2]道具信息!J603="","",[2]道具信息!J603)</f>
        <v/>
      </c>
      <c r="K603" s="8" t="str">
        <f>IF([2]道具信息!K603="","",[2]道具信息!K603)</f>
        <v/>
      </c>
      <c r="L603" s="8" t="str">
        <f>IF([2]道具信息!L603="","",[2]道具信息!L603)</f>
        <v/>
      </c>
      <c r="M603" s="8" t="str">
        <f>IF([2]道具信息!M603="","",[2]道具信息!M603)</f>
        <v/>
      </c>
      <c r="N603" s="8" t="str">
        <f>IF([2]道具信息!N603="","",[2]道具信息!N603)</f>
        <v/>
      </c>
      <c r="O603" s="8" t="str">
        <f>IF([2]道具信息!O603="","",[2]道具信息!O603)</f>
        <v/>
      </c>
      <c r="P603" s="8" t="str">
        <f>IF([2]道具信息!P603="","",[2]道具信息!P603)</f>
        <v/>
      </c>
      <c r="Q603" s="8" t="str">
        <f>IF([2]道具信息!Q603="","",[2]道具信息!Q603)</f>
        <v/>
      </c>
      <c r="R603" s="8" t="str">
        <f>IF([2]道具信息!R603="","",[2]道具信息!R603)</f>
        <v/>
      </c>
    </row>
    <row r="604" spans="3:18" x14ac:dyDescent="0.2">
      <c r="C604" s="8" t="str">
        <f>IF([2]道具信息!C604="","",[2]道具信息!C604)</f>
        <v/>
      </c>
      <c r="D604" s="8" t="str">
        <f>IF([2]道具信息!D604="","",[2]道具信息!D604)</f>
        <v/>
      </c>
      <c r="E604" s="8" t="str">
        <f>IF([2]道具信息!E604="","",[2]道具信息!E604)</f>
        <v/>
      </c>
      <c r="F604" s="8" t="str">
        <f>IF([2]道具信息!F604="","",[2]道具信息!F604)</f>
        <v/>
      </c>
      <c r="G604" s="8" t="str">
        <f>IF([2]道具信息!G604="","",[2]道具信息!G604)</f>
        <v/>
      </c>
      <c r="H604" s="8" t="str">
        <f>IF([2]道具信息!H604="","",[2]道具信息!H604)</f>
        <v/>
      </c>
      <c r="I604" s="8" t="str">
        <f>IF([2]道具信息!I604="","",[2]道具信息!I604)</f>
        <v/>
      </c>
      <c r="J604" s="8" t="str">
        <f>IF([2]道具信息!J604="","",[2]道具信息!J604)</f>
        <v/>
      </c>
      <c r="K604" s="8" t="str">
        <f>IF([2]道具信息!K604="","",[2]道具信息!K604)</f>
        <v/>
      </c>
      <c r="L604" s="8" t="str">
        <f>IF([2]道具信息!L604="","",[2]道具信息!L604)</f>
        <v/>
      </c>
      <c r="M604" s="8" t="str">
        <f>IF([2]道具信息!M604="","",[2]道具信息!M604)</f>
        <v/>
      </c>
      <c r="N604" s="8" t="str">
        <f>IF([2]道具信息!N604="","",[2]道具信息!N604)</f>
        <v/>
      </c>
      <c r="O604" s="8" t="str">
        <f>IF([2]道具信息!O604="","",[2]道具信息!O604)</f>
        <v/>
      </c>
      <c r="P604" s="8" t="str">
        <f>IF([2]道具信息!P604="","",[2]道具信息!P604)</f>
        <v/>
      </c>
      <c r="Q604" s="8" t="str">
        <f>IF([2]道具信息!Q604="","",[2]道具信息!Q604)</f>
        <v/>
      </c>
      <c r="R604" s="8" t="str">
        <f>IF([2]道具信息!R604="","",[2]道具信息!R604)</f>
        <v/>
      </c>
    </row>
    <row r="605" spans="3:18" x14ac:dyDescent="0.2">
      <c r="C605" s="8" t="str">
        <f>IF([2]道具信息!C605="","",[2]道具信息!C605)</f>
        <v/>
      </c>
      <c r="D605" s="8" t="str">
        <f>IF([2]道具信息!D605="","",[2]道具信息!D605)</f>
        <v/>
      </c>
      <c r="E605" s="8" t="str">
        <f>IF([2]道具信息!E605="","",[2]道具信息!E605)</f>
        <v/>
      </c>
      <c r="F605" s="8" t="str">
        <f>IF([2]道具信息!F605="","",[2]道具信息!F605)</f>
        <v/>
      </c>
      <c r="G605" s="8" t="str">
        <f>IF([2]道具信息!G605="","",[2]道具信息!G605)</f>
        <v/>
      </c>
      <c r="H605" s="8" t="str">
        <f>IF([2]道具信息!H605="","",[2]道具信息!H605)</f>
        <v/>
      </c>
      <c r="I605" s="8" t="str">
        <f>IF([2]道具信息!I605="","",[2]道具信息!I605)</f>
        <v/>
      </c>
      <c r="J605" s="8" t="str">
        <f>IF([2]道具信息!J605="","",[2]道具信息!J605)</f>
        <v/>
      </c>
      <c r="K605" s="8" t="str">
        <f>IF([2]道具信息!K605="","",[2]道具信息!K605)</f>
        <v/>
      </c>
      <c r="L605" s="8" t="str">
        <f>IF([2]道具信息!L605="","",[2]道具信息!L605)</f>
        <v/>
      </c>
      <c r="M605" s="8" t="str">
        <f>IF([2]道具信息!M605="","",[2]道具信息!M605)</f>
        <v/>
      </c>
      <c r="N605" s="8" t="str">
        <f>IF([2]道具信息!N605="","",[2]道具信息!N605)</f>
        <v/>
      </c>
      <c r="O605" s="8" t="str">
        <f>IF([2]道具信息!O605="","",[2]道具信息!O605)</f>
        <v/>
      </c>
      <c r="P605" s="8" t="str">
        <f>IF([2]道具信息!P605="","",[2]道具信息!P605)</f>
        <v/>
      </c>
      <c r="Q605" s="8" t="str">
        <f>IF([2]道具信息!Q605="","",[2]道具信息!Q605)</f>
        <v/>
      </c>
      <c r="R605" s="8" t="str">
        <f>IF([2]道具信息!R605="","",[2]道具信息!R605)</f>
        <v/>
      </c>
    </row>
    <row r="606" spans="3:18" x14ac:dyDescent="0.2">
      <c r="C606" s="8" t="str">
        <f>IF([2]道具信息!C606="","",[2]道具信息!C606)</f>
        <v/>
      </c>
      <c r="D606" s="8" t="str">
        <f>IF([2]道具信息!D606="","",[2]道具信息!D606)</f>
        <v/>
      </c>
      <c r="E606" s="8" t="str">
        <f>IF([2]道具信息!E606="","",[2]道具信息!E606)</f>
        <v/>
      </c>
      <c r="F606" s="8" t="str">
        <f>IF([2]道具信息!F606="","",[2]道具信息!F606)</f>
        <v/>
      </c>
      <c r="G606" s="8" t="str">
        <f>IF([2]道具信息!G606="","",[2]道具信息!G606)</f>
        <v/>
      </c>
      <c r="H606" s="8" t="str">
        <f>IF([2]道具信息!H606="","",[2]道具信息!H606)</f>
        <v/>
      </c>
      <c r="I606" s="8" t="str">
        <f>IF([2]道具信息!I606="","",[2]道具信息!I606)</f>
        <v/>
      </c>
      <c r="J606" s="8" t="str">
        <f>IF([2]道具信息!J606="","",[2]道具信息!J606)</f>
        <v/>
      </c>
      <c r="K606" s="8" t="str">
        <f>IF([2]道具信息!K606="","",[2]道具信息!K606)</f>
        <v/>
      </c>
      <c r="L606" s="8" t="str">
        <f>IF([2]道具信息!L606="","",[2]道具信息!L606)</f>
        <v/>
      </c>
      <c r="M606" s="8" t="str">
        <f>IF([2]道具信息!M606="","",[2]道具信息!M606)</f>
        <v/>
      </c>
      <c r="N606" s="8" t="str">
        <f>IF([2]道具信息!N606="","",[2]道具信息!N606)</f>
        <v/>
      </c>
      <c r="O606" s="8" t="str">
        <f>IF([2]道具信息!O606="","",[2]道具信息!O606)</f>
        <v/>
      </c>
      <c r="P606" s="8" t="str">
        <f>IF([2]道具信息!P606="","",[2]道具信息!P606)</f>
        <v/>
      </c>
      <c r="Q606" s="8" t="str">
        <f>IF([2]道具信息!Q606="","",[2]道具信息!Q606)</f>
        <v/>
      </c>
      <c r="R606" s="8" t="str">
        <f>IF([2]道具信息!R606="","",[2]道具信息!R606)</f>
        <v/>
      </c>
    </row>
    <row r="607" spans="3:18" x14ac:dyDescent="0.2">
      <c r="C607" s="8" t="str">
        <f>IF([2]道具信息!C607="","",[2]道具信息!C607)</f>
        <v/>
      </c>
      <c r="D607" s="8" t="str">
        <f>IF([2]道具信息!D607="","",[2]道具信息!D607)</f>
        <v/>
      </c>
      <c r="E607" s="8" t="str">
        <f>IF([2]道具信息!E607="","",[2]道具信息!E607)</f>
        <v/>
      </c>
      <c r="F607" s="8" t="str">
        <f>IF([2]道具信息!F607="","",[2]道具信息!F607)</f>
        <v/>
      </c>
      <c r="G607" s="8" t="str">
        <f>IF([2]道具信息!G607="","",[2]道具信息!G607)</f>
        <v/>
      </c>
      <c r="H607" s="8" t="str">
        <f>IF([2]道具信息!H607="","",[2]道具信息!H607)</f>
        <v/>
      </c>
      <c r="I607" s="8" t="str">
        <f>IF([2]道具信息!I607="","",[2]道具信息!I607)</f>
        <v/>
      </c>
      <c r="J607" s="8" t="str">
        <f>IF([2]道具信息!J607="","",[2]道具信息!J607)</f>
        <v/>
      </c>
      <c r="K607" s="8" t="str">
        <f>IF([2]道具信息!K607="","",[2]道具信息!K607)</f>
        <v/>
      </c>
      <c r="L607" s="8" t="str">
        <f>IF([2]道具信息!L607="","",[2]道具信息!L607)</f>
        <v/>
      </c>
      <c r="M607" s="8" t="str">
        <f>IF([2]道具信息!M607="","",[2]道具信息!M607)</f>
        <v/>
      </c>
      <c r="N607" s="8" t="str">
        <f>IF([2]道具信息!N607="","",[2]道具信息!N607)</f>
        <v/>
      </c>
      <c r="O607" s="8" t="str">
        <f>IF([2]道具信息!O607="","",[2]道具信息!O607)</f>
        <v/>
      </c>
      <c r="P607" s="8" t="str">
        <f>IF([2]道具信息!P607="","",[2]道具信息!P607)</f>
        <v/>
      </c>
      <c r="Q607" s="8" t="str">
        <f>IF([2]道具信息!Q607="","",[2]道具信息!Q607)</f>
        <v/>
      </c>
      <c r="R607" s="8" t="str">
        <f>IF([2]道具信息!R607="","",[2]道具信息!R607)</f>
        <v/>
      </c>
    </row>
    <row r="608" spans="3:18" x14ac:dyDescent="0.2">
      <c r="C608" s="8" t="str">
        <f>IF([2]道具信息!C608="","",[2]道具信息!C608)</f>
        <v/>
      </c>
      <c r="D608" s="8" t="str">
        <f>IF([2]道具信息!D608="","",[2]道具信息!D608)</f>
        <v/>
      </c>
      <c r="E608" s="8" t="str">
        <f>IF([2]道具信息!E608="","",[2]道具信息!E608)</f>
        <v/>
      </c>
      <c r="F608" s="8" t="str">
        <f>IF([2]道具信息!F608="","",[2]道具信息!F608)</f>
        <v/>
      </c>
      <c r="G608" s="8" t="str">
        <f>IF([2]道具信息!G608="","",[2]道具信息!G608)</f>
        <v/>
      </c>
      <c r="H608" s="8" t="str">
        <f>IF([2]道具信息!H608="","",[2]道具信息!H608)</f>
        <v/>
      </c>
      <c r="I608" s="8" t="str">
        <f>IF([2]道具信息!I608="","",[2]道具信息!I608)</f>
        <v/>
      </c>
      <c r="J608" s="8" t="str">
        <f>IF([2]道具信息!J608="","",[2]道具信息!J608)</f>
        <v/>
      </c>
      <c r="K608" s="8" t="str">
        <f>IF([2]道具信息!K608="","",[2]道具信息!K608)</f>
        <v/>
      </c>
      <c r="L608" s="8" t="str">
        <f>IF([2]道具信息!L608="","",[2]道具信息!L608)</f>
        <v/>
      </c>
      <c r="M608" s="8" t="str">
        <f>IF([2]道具信息!M608="","",[2]道具信息!M608)</f>
        <v/>
      </c>
      <c r="N608" s="8" t="str">
        <f>IF([2]道具信息!N608="","",[2]道具信息!N608)</f>
        <v/>
      </c>
      <c r="O608" s="8" t="str">
        <f>IF([2]道具信息!O608="","",[2]道具信息!O608)</f>
        <v/>
      </c>
      <c r="P608" s="8" t="str">
        <f>IF([2]道具信息!P608="","",[2]道具信息!P608)</f>
        <v/>
      </c>
      <c r="Q608" s="8" t="str">
        <f>IF([2]道具信息!Q608="","",[2]道具信息!Q608)</f>
        <v/>
      </c>
      <c r="R608" s="8" t="str">
        <f>IF([2]道具信息!R608="","",[2]道具信息!R608)</f>
        <v/>
      </c>
    </row>
    <row r="609" spans="3:18" x14ac:dyDescent="0.2">
      <c r="C609" s="8" t="str">
        <f>IF([2]道具信息!C609="","",[2]道具信息!C609)</f>
        <v/>
      </c>
      <c r="D609" s="8" t="str">
        <f>IF([2]道具信息!D609="","",[2]道具信息!D609)</f>
        <v/>
      </c>
      <c r="E609" s="8" t="str">
        <f>IF([2]道具信息!E609="","",[2]道具信息!E609)</f>
        <v/>
      </c>
      <c r="F609" s="8" t="str">
        <f>IF([2]道具信息!F609="","",[2]道具信息!F609)</f>
        <v/>
      </c>
      <c r="G609" s="8" t="str">
        <f>IF([2]道具信息!G609="","",[2]道具信息!G609)</f>
        <v/>
      </c>
      <c r="H609" s="8" t="str">
        <f>IF([2]道具信息!H609="","",[2]道具信息!H609)</f>
        <v/>
      </c>
      <c r="I609" s="8" t="str">
        <f>IF([2]道具信息!I609="","",[2]道具信息!I609)</f>
        <v/>
      </c>
      <c r="J609" s="8" t="str">
        <f>IF([2]道具信息!J609="","",[2]道具信息!J609)</f>
        <v/>
      </c>
      <c r="K609" s="8" t="str">
        <f>IF([2]道具信息!K609="","",[2]道具信息!K609)</f>
        <v/>
      </c>
      <c r="L609" s="8" t="str">
        <f>IF([2]道具信息!L609="","",[2]道具信息!L609)</f>
        <v/>
      </c>
      <c r="M609" s="8" t="str">
        <f>IF([2]道具信息!M609="","",[2]道具信息!M609)</f>
        <v/>
      </c>
      <c r="N609" s="8" t="str">
        <f>IF([2]道具信息!N609="","",[2]道具信息!N609)</f>
        <v/>
      </c>
      <c r="O609" s="8" t="str">
        <f>IF([2]道具信息!O609="","",[2]道具信息!O609)</f>
        <v/>
      </c>
      <c r="P609" s="8" t="str">
        <f>IF([2]道具信息!P609="","",[2]道具信息!P609)</f>
        <v/>
      </c>
      <c r="Q609" s="8" t="str">
        <f>IF([2]道具信息!Q609="","",[2]道具信息!Q609)</f>
        <v/>
      </c>
      <c r="R609" s="8" t="str">
        <f>IF([2]道具信息!R609="","",[2]道具信息!R609)</f>
        <v/>
      </c>
    </row>
    <row r="610" spans="3:18" x14ac:dyDescent="0.2">
      <c r="C610" s="8" t="str">
        <f>IF([2]道具信息!C610="","",[2]道具信息!C610)</f>
        <v/>
      </c>
      <c r="D610" s="8" t="str">
        <f>IF([2]道具信息!D610="","",[2]道具信息!D610)</f>
        <v/>
      </c>
      <c r="E610" s="8" t="str">
        <f>IF([2]道具信息!E610="","",[2]道具信息!E610)</f>
        <v/>
      </c>
      <c r="F610" s="8" t="str">
        <f>IF([2]道具信息!F610="","",[2]道具信息!F610)</f>
        <v/>
      </c>
      <c r="G610" s="8" t="str">
        <f>IF([2]道具信息!G610="","",[2]道具信息!G610)</f>
        <v/>
      </c>
      <c r="H610" s="8" t="str">
        <f>IF([2]道具信息!H610="","",[2]道具信息!H610)</f>
        <v/>
      </c>
      <c r="I610" s="8" t="str">
        <f>IF([2]道具信息!I610="","",[2]道具信息!I610)</f>
        <v/>
      </c>
      <c r="J610" s="8" t="str">
        <f>IF([2]道具信息!J610="","",[2]道具信息!J610)</f>
        <v/>
      </c>
      <c r="K610" s="8" t="str">
        <f>IF([2]道具信息!K610="","",[2]道具信息!K610)</f>
        <v/>
      </c>
      <c r="L610" s="8" t="str">
        <f>IF([2]道具信息!L610="","",[2]道具信息!L610)</f>
        <v/>
      </c>
      <c r="M610" s="8" t="str">
        <f>IF([2]道具信息!M610="","",[2]道具信息!M610)</f>
        <v/>
      </c>
      <c r="N610" s="8" t="str">
        <f>IF([2]道具信息!N610="","",[2]道具信息!N610)</f>
        <v/>
      </c>
      <c r="O610" s="8" t="str">
        <f>IF([2]道具信息!O610="","",[2]道具信息!O610)</f>
        <v/>
      </c>
      <c r="P610" s="8" t="str">
        <f>IF([2]道具信息!P610="","",[2]道具信息!P610)</f>
        <v/>
      </c>
      <c r="Q610" s="8" t="str">
        <f>IF([2]道具信息!Q610="","",[2]道具信息!Q610)</f>
        <v/>
      </c>
      <c r="R610" s="8" t="str">
        <f>IF([2]道具信息!R610="","",[2]道具信息!R610)</f>
        <v/>
      </c>
    </row>
    <row r="611" spans="3:18" x14ac:dyDescent="0.2">
      <c r="C611" s="8" t="str">
        <f>IF([2]道具信息!C611="","",[2]道具信息!C611)</f>
        <v/>
      </c>
      <c r="D611" s="8" t="str">
        <f>IF([2]道具信息!D611="","",[2]道具信息!D611)</f>
        <v/>
      </c>
      <c r="E611" s="8" t="str">
        <f>IF([2]道具信息!E611="","",[2]道具信息!E611)</f>
        <v/>
      </c>
      <c r="F611" s="8" t="str">
        <f>IF([2]道具信息!F611="","",[2]道具信息!F611)</f>
        <v/>
      </c>
      <c r="G611" s="8" t="str">
        <f>IF([2]道具信息!G611="","",[2]道具信息!G611)</f>
        <v/>
      </c>
      <c r="H611" s="8" t="str">
        <f>IF([2]道具信息!H611="","",[2]道具信息!H611)</f>
        <v/>
      </c>
      <c r="I611" s="8" t="str">
        <f>IF([2]道具信息!I611="","",[2]道具信息!I611)</f>
        <v/>
      </c>
      <c r="J611" s="8" t="str">
        <f>IF([2]道具信息!J611="","",[2]道具信息!J611)</f>
        <v/>
      </c>
      <c r="K611" s="8" t="str">
        <f>IF([2]道具信息!K611="","",[2]道具信息!K611)</f>
        <v/>
      </c>
      <c r="L611" s="8" t="str">
        <f>IF([2]道具信息!L611="","",[2]道具信息!L611)</f>
        <v/>
      </c>
      <c r="M611" s="8" t="str">
        <f>IF([2]道具信息!M611="","",[2]道具信息!M611)</f>
        <v/>
      </c>
      <c r="N611" s="8" t="str">
        <f>IF([2]道具信息!N611="","",[2]道具信息!N611)</f>
        <v/>
      </c>
      <c r="O611" s="8" t="str">
        <f>IF([2]道具信息!O611="","",[2]道具信息!O611)</f>
        <v/>
      </c>
      <c r="P611" s="8" t="str">
        <f>IF([2]道具信息!P611="","",[2]道具信息!P611)</f>
        <v/>
      </c>
      <c r="Q611" s="8" t="str">
        <f>IF([2]道具信息!Q611="","",[2]道具信息!Q611)</f>
        <v/>
      </c>
      <c r="R611" s="8" t="str">
        <f>IF([2]道具信息!R611="","",[2]道具信息!R611)</f>
        <v/>
      </c>
    </row>
    <row r="612" spans="3:18" x14ac:dyDescent="0.2">
      <c r="C612" s="8" t="str">
        <f>IF([2]道具信息!C612="","",[2]道具信息!C612)</f>
        <v/>
      </c>
      <c r="D612" s="8" t="str">
        <f>IF([2]道具信息!D612="","",[2]道具信息!D612)</f>
        <v/>
      </c>
      <c r="E612" s="8" t="str">
        <f>IF([2]道具信息!E612="","",[2]道具信息!E612)</f>
        <v/>
      </c>
      <c r="F612" s="8" t="str">
        <f>IF([2]道具信息!F612="","",[2]道具信息!F612)</f>
        <v/>
      </c>
      <c r="G612" s="8" t="str">
        <f>IF([2]道具信息!G612="","",[2]道具信息!G612)</f>
        <v/>
      </c>
      <c r="H612" s="8" t="str">
        <f>IF([2]道具信息!H612="","",[2]道具信息!H612)</f>
        <v/>
      </c>
      <c r="I612" s="8" t="str">
        <f>IF([2]道具信息!I612="","",[2]道具信息!I612)</f>
        <v/>
      </c>
      <c r="J612" s="8" t="str">
        <f>IF([2]道具信息!J612="","",[2]道具信息!J612)</f>
        <v/>
      </c>
      <c r="K612" s="8" t="str">
        <f>IF([2]道具信息!K612="","",[2]道具信息!K612)</f>
        <v/>
      </c>
      <c r="L612" s="8" t="str">
        <f>IF([2]道具信息!L612="","",[2]道具信息!L612)</f>
        <v/>
      </c>
      <c r="M612" s="8" t="str">
        <f>IF([2]道具信息!M612="","",[2]道具信息!M612)</f>
        <v/>
      </c>
      <c r="N612" s="8" t="str">
        <f>IF([2]道具信息!N612="","",[2]道具信息!N612)</f>
        <v/>
      </c>
      <c r="O612" s="8" t="str">
        <f>IF([2]道具信息!O612="","",[2]道具信息!O612)</f>
        <v/>
      </c>
      <c r="P612" s="8" t="str">
        <f>IF([2]道具信息!P612="","",[2]道具信息!P612)</f>
        <v/>
      </c>
      <c r="Q612" s="8" t="str">
        <f>IF([2]道具信息!Q612="","",[2]道具信息!Q612)</f>
        <v/>
      </c>
      <c r="R612" s="8" t="str">
        <f>IF([2]道具信息!R612="","",[2]道具信息!R612)</f>
        <v/>
      </c>
    </row>
    <row r="613" spans="3:18" x14ac:dyDescent="0.2">
      <c r="C613" s="8" t="str">
        <f>IF([2]道具信息!C613="","",[2]道具信息!C613)</f>
        <v/>
      </c>
      <c r="D613" s="8" t="str">
        <f>IF([2]道具信息!D613="","",[2]道具信息!D613)</f>
        <v/>
      </c>
      <c r="E613" s="8" t="str">
        <f>IF([2]道具信息!E613="","",[2]道具信息!E613)</f>
        <v/>
      </c>
      <c r="F613" s="8" t="str">
        <f>IF([2]道具信息!F613="","",[2]道具信息!F613)</f>
        <v/>
      </c>
      <c r="G613" s="8" t="str">
        <f>IF([2]道具信息!G613="","",[2]道具信息!G613)</f>
        <v/>
      </c>
      <c r="H613" s="8" t="str">
        <f>IF([2]道具信息!H613="","",[2]道具信息!H613)</f>
        <v/>
      </c>
      <c r="I613" s="8" t="str">
        <f>IF([2]道具信息!I613="","",[2]道具信息!I613)</f>
        <v/>
      </c>
      <c r="J613" s="8" t="str">
        <f>IF([2]道具信息!J613="","",[2]道具信息!J613)</f>
        <v/>
      </c>
      <c r="K613" s="8" t="str">
        <f>IF([2]道具信息!K613="","",[2]道具信息!K613)</f>
        <v/>
      </c>
      <c r="L613" s="8" t="str">
        <f>IF([2]道具信息!L613="","",[2]道具信息!L613)</f>
        <v/>
      </c>
      <c r="M613" s="8" t="str">
        <f>IF([2]道具信息!M613="","",[2]道具信息!M613)</f>
        <v/>
      </c>
      <c r="N613" s="8" t="str">
        <f>IF([2]道具信息!N613="","",[2]道具信息!N613)</f>
        <v/>
      </c>
      <c r="O613" s="8" t="str">
        <f>IF([2]道具信息!O613="","",[2]道具信息!O613)</f>
        <v/>
      </c>
      <c r="P613" s="8" t="str">
        <f>IF([2]道具信息!P613="","",[2]道具信息!P613)</f>
        <v/>
      </c>
      <c r="Q613" s="8" t="str">
        <f>IF([2]道具信息!Q613="","",[2]道具信息!Q613)</f>
        <v/>
      </c>
      <c r="R613" s="8" t="str">
        <f>IF([2]道具信息!R613="","",[2]道具信息!R613)</f>
        <v/>
      </c>
    </row>
    <row r="614" spans="3:18" x14ac:dyDescent="0.2">
      <c r="C614" s="8" t="str">
        <f>IF([2]道具信息!C614="","",[2]道具信息!C614)</f>
        <v/>
      </c>
      <c r="D614" s="8" t="str">
        <f>IF([2]道具信息!D614="","",[2]道具信息!D614)</f>
        <v/>
      </c>
      <c r="E614" s="8" t="str">
        <f>IF([2]道具信息!E614="","",[2]道具信息!E614)</f>
        <v/>
      </c>
      <c r="F614" s="8" t="str">
        <f>IF([2]道具信息!F614="","",[2]道具信息!F614)</f>
        <v/>
      </c>
      <c r="G614" s="8" t="str">
        <f>IF([2]道具信息!G614="","",[2]道具信息!G614)</f>
        <v/>
      </c>
      <c r="H614" s="8" t="str">
        <f>IF([2]道具信息!H614="","",[2]道具信息!H614)</f>
        <v/>
      </c>
      <c r="I614" s="8" t="str">
        <f>IF([2]道具信息!I614="","",[2]道具信息!I614)</f>
        <v/>
      </c>
      <c r="J614" s="8" t="str">
        <f>IF([2]道具信息!J614="","",[2]道具信息!J614)</f>
        <v/>
      </c>
      <c r="K614" s="8" t="str">
        <f>IF([2]道具信息!K614="","",[2]道具信息!K614)</f>
        <v/>
      </c>
      <c r="L614" s="8" t="str">
        <f>IF([2]道具信息!L614="","",[2]道具信息!L614)</f>
        <v/>
      </c>
      <c r="M614" s="8" t="str">
        <f>IF([2]道具信息!M614="","",[2]道具信息!M614)</f>
        <v/>
      </c>
      <c r="N614" s="8" t="str">
        <f>IF([2]道具信息!N614="","",[2]道具信息!N614)</f>
        <v/>
      </c>
      <c r="O614" s="8" t="str">
        <f>IF([2]道具信息!O614="","",[2]道具信息!O614)</f>
        <v/>
      </c>
      <c r="P614" s="8" t="str">
        <f>IF([2]道具信息!P614="","",[2]道具信息!P614)</f>
        <v/>
      </c>
      <c r="Q614" s="8" t="str">
        <f>IF([2]道具信息!Q614="","",[2]道具信息!Q614)</f>
        <v/>
      </c>
      <c r="R614" s="8" t="str">
        <f>IF([2]道具信息!R614="","",[2]道具信息!R614)</f>
        <v/>
      </c>
    </row>
    <row r="615" spans="3:18" x14ac:dyDescent="0.2">
      <c r="C615" s="8" t="str">
        <f>IF([2]道具信息!C615="","",[2]道具信息!C615)</f>
        <v/>
      </c>
      <c r="D615" s="8" t="str">
        <f>IF([2]道具信息!D615="","",[2]道具信息!D615)</f>
        <v/>
      </c>
      <c r="E615" s="8" t="str">
        <f>IF([2]道具信息!E615="","",[2]道具信息!E615)</f>
        <v/>
      </c>
      <c r="F615" s="8" t="str">
        <f>IF([2]道具信息!F615="","",[2]道具信息!F615)</f>
        <v/>
      </c>
      <c r="G615" s="8" t="str">
        <f>IF([2]道具信息!G615="","",[2]道具信息!G615)</f>
        <v/>
      </c>
      <c r="H615" s="8" t="str">
        <f>IF([2]道具信息!H615="","",[2]道具信息!H615)</f>
        <v/>
      </c>
      <c r="I615" s="8" t="str">
        <f>IF([2]道具信息!I615="","",[2]道具信息!I615)</f>
        <v/>
      </c>
      <c r="J615" s="8" t="str">
        <f>IF([2]道具信息!J615="","",[2]道具信息!J615)</f>
        <v/>
      </c>
      <c r="K615" s="8" t="str">
        <f>IF([2]道具信息!K615="","",[2]道具信息!K615)</f>
        <v/>
      </c>
      <c r="L615" s="8" t="str">
        <f>IF([2]道具信息!L615="","",[2]道具信息!L615)</f>
        <v/>
      </c>
      <c r="M615" s="8" t="str">
        <f>IF([2]道具信息!M615="","",[2]道具信息!M615)</f>
        <v/>
      </c>
      <c r="N615" s="8" t="str">
        <f>IF([2]道具信息!N615="","",[2]道具信息!N615)</f>
        <v/>
      </c>
      <c r="O615" s="8" t="str">
        <f>IF([2]道具信息!O615="","",[2]道具信息!O615)</f>
        <v/>
      </c>
      <c r="P615" s="8" t="str">
        <f>IF([2]道具信息!P615="","",[2]道具信息!P615)</f>
        <v/>
      </c>
      <c r="Q615" s="8" t="str">
        <f>IF([2]道具信息!Q615="","",[2]道具信息!Q615)</f>
        <v/>
      </c>
      <c r="R615" s="8" t="str">
        <f>IF([2]道具信息!R615="","",[2]道具信息!R615)</f>
        <v/>
      </c>
    </row>
    <row r="616" spans="3:18" x14ac:dyDescent="0.2">
      <c r="C616" s="8" t="str">
        <f>IF([2]道具信息!C616="","",[2]道具信息!C616)</f>
        <v/>
      </c>
      <c r="D616" s="8" t="str">
        <f>IF([2]道具信息!D616="","",[2]道具信息!D616)</f>
        <v/>
      </c>
      <c r="E616" s="8" t="str">
        <f>IF([2]道具信息!E616="","",[2]道具信息!E616)</f>
        <v/>
      </c>
      <c r="F616" s="8" t="str">
        <f>IF([2]道具信息!F616="","",[2]道具信息!F616)</f>
        <v/>
      </c>
      <c r="G616" s="8" t="str">
        <f>IF([2]道具信息!G616="","",[2]道具信息!G616)</f>
        <v/>
      </c>
      <c r="H616" s="8" t="str">
        <f>IF([2]道具信息!H616="","",[2]道具信息!H616)</f>
        <v/>
      </c>
      <c r="I616" s="8" t="str">
        <f>IF([2]道具信息!I616="","",[2]道具信息!I616)</f>
        <v/>
      </c>
      <c r="J616" s="8" t="str">
        <f>IF([2]道具信息!J616="","",[2]道具信息!J616)</f>
        <v/>
      </c>
      <c r="K616" s="8" t="str">
        <f>IF([2]道具信息!K616="","",[2]道具信息!K616)</f>
        <v/>
      </c>
      <c r="L616" s="8" t="str">
        <f>IF([2]道具信息!L616="","",[2]道具信息!L616)</f>
        <v/>
      </c>
      <c r="M616" s="8" t="str">
        <f>IF([2]道具信息!M616="","",[2]道具信息!M616)</f>
        <v/>
      </c>
      <c r="N616" s="8" t="str">
        <f>IF([2]道具信息!N616="","",[2]道具信息!N616)</f>
        <v/>
      </c>
      <c r="O616" s="8" t="str">
        <f>IF([2]道具信息!O616="","",[2]道具信息!O616)</f>
        <v/>
      </c>
      <c r="P616" s="8" t="str">
        <f>IF([2]道具信息!P616="","",[2]道具信息!P616)</f>
        <v/>
      </c>
      <c r="Q616" s="8" t="str">
        <f>IF([2]道具信息!Q616="","",[2]道具信息!Q616)</f>
        <v/>
      </c>
      <c r="R616" s="8" t="str">
        <f>IF([2]道具信息!R616="","",[2]道具信息!R616)</f>
        <v/>
      </c>
    </row>
    <row r="617" spans="3:18" x14ac:dyDescent="0.2">
      <c r="C617" s="8" t="str">
        <f>IF([2]道具信息!C617="","",[2]道具信息!C617)</f>
        <v/>
      </c>
      <c r="D617" s="8" t="str">
        <f>IF([2]道具信息!D617="","",[2]道具信息!D617)</f>
        <v/>
      </c>
      <c r="E617" s="8" t="str">
        <f>IF([2]道具信息!E617="","",[2]道具信息!E617)</f>
        <v/>
      </c>
      <c r="F617" s="8" t="str">
        <f>IF([2]道具信息!F617="","",[2]道具信息!F617)</f>
        <v/>
      </c>
      <c r="G617" s="8" t="str">
        <f>IF([2]道具信息!G617="","",[2]道具信息!G617)</f>
        <v/>
      </c>
      <c r="H617" s="8" t="str">
        <f>IF([2]道具信息!H617="","",[2]道具信息!H617)</f>
        <v/>
      </c>
      <c r="I617" s="8" t="str">
        <f>IF([2]道具信息!I617="","",[2]道具信息!I617)</f>
        <v/>
      </c>
      <c r="J617" s="8" t="str">
        <f>IF([2]道具信息!J617="","",[2]道具信息!J617)</f>
        <v/>
      </c>
      <c r="K617" s="8" t="str">
        <f>IF([2]道具信息!K617="","",[2]道具信息!K617)</f>
        <v/>
      </c>
      <c r="L617" s="8" t="str">
        <f>IF([2]道具信息!L617="","",[2]道具信息!L617)</f>
        <v/>
      </c>
      <c r="M617" s="8" t="str">
        <f>IF([2]道具信息!M617="","",[2]道具信息!M617)</f>
        <v/>
      </c>
      <c r="N617" s="8" t="str">
        <f>IF([2]道具信息!N617="","",[2]道具信息!N617)</f>
        <v/>
      </c>
      <c r="O617" s="8" t="str">
        <f>IF([2]道具信息!O617="","",[2]道具信息!O617)</f>
        <v/>
      </c>
      <c r="P617" s="8" t="str">
        <f>IF([2]道具信息!P617="","",[2]道具信息!P617)</f>
        <v/>
      </c>
      <c r="Q617" s="8" t="str">
        <f>IF([2]道具信息!Q617="","",[2]道具信息!Q617)</f>
        <v/>
      </c>
      <c r="R617" s="8" t="str">
        <f>IF([2]道具信息!R617="","",[2]道具信息!R617)</f>
        <v/>
      </c>
    </row>
    <row r="618" spans="3:18" x14ac:dyDescent="0.2">
      <c r="C618" s="8" t="str">
        <f>IF([2]道具信息!C618="","",[2]道具信息!C618)</f>
        <v/>
      </c>
      <c r="D618" s="8" t="str">
        <f>IF([2]道具信息!D618="","",[2]道具信息!D618)</f>
        <v/>
      </c>
      <c r="E618" s="8" t="str">
        <f>IF([2]道具信息!E618="","",[2]道具信息!E618)</f>
        <v/>
      </c>
      <c r="F618" s="8" t="str">
        <f>IF([2]道具信息!F618="","",[2]道具信息!F618)</f>
        <v/>
      </c>
      <c r="G618" s="8" t="str">
        <f>IF([2]道具信息!G618="","",[2]道具信息!G618)</f>
        <v/>
      </c>
      <c r="H618" s="8" t="str">
        <f>IF([2]道具信息!H618="","",[2]道具信息!H618)</f>
        <v/>
      </c>
      <c r="I618" s="8" t="str">
        <f>IF([2]道具信息!I618="","",[2]道具信息!I618)</f>
        <v/>
      </c>
      <c r="J618" s="8" t="str">
        <f>IF([2]道具信息!J618="","",[2]道具信息!J618)</f>
        <v/>
      </c>
      <c r="K618" s="8" t="str">
        <f>IF([2]道具信息!K618="","",[2]道具信息!K618)</f>
        <v/>
      </c>
      <c r="L618" s="8" t="str">
        <f>IF([2]道具信息!L618="","",[2]道具信息!L618)</f>
        <v/>
      </c>
      <c r="M618" s="8" t="str">
        <f>IF([2]道具信息!M618="","",[2]道具信息!M618)</f>
        <v/>
      </c>
      <c r="N618" s="8" t="str">
        <f>IF([2]道具信息!N618="","",[2]道具信息!N618)</f>
        <v/>
      </c>
      <c r="O618" s="8" t="str">
        <f>IF([2]道具信息!O618="","",[2]道具信息!O618)</f>
        <v/>
      </c>
      <c r="P618" s="8" t="str">
        <f>IF([2]道具信息!P618="","",[2]道具信息!P618)</f>
        <v/>
      </c>
      <c r="Q618" s="8" t="str">
        <f>IF([2]道具信息!Q618="","",[2]道具信息!Q618)</f>
        <v/>
      </c>
      <c r="R618" s="8" t="str">
        <f>IF([2]道具信息!R618="","",[2]道具信息!R618)</f>
        <v/>
      </c>
    </row>
    <row r="619" spans="3:18" x14ac:dyDescent="0.2">
      <c r="C619" s="8" t="str">
        <f>IF([2]道具信息!C619="","",[2]道具信息!C619)</f>
        <v/>
      </c>
      <c r="D619" s="8" t="str">
        <f>IF([2]道具信息!D619="","",[2]道具信息!D619)</f>
        <v/>
      </c>
      <c r="E619" s="8" t="str">
        <f>IF([2]道具信息!E619="","",[2]道具信息!E619)</f>
        <v/>
      </c>
      <c r="F619" s="8" t="str">
        <f>IF([2]道具信息!F619="","",[2]道具信息!F619)</f>
        <v/>
      </c>
      <c r="G619" s="8" t="str">
        <f>IF([2]道具信息!G619="","",[2]道具信息!G619)</f>
        <v/>
      </c>
      <c r="H619" s="8" t="str">
        <f>IF([2]道具信息!H619="","",[2]道具信息!H619)</f>
        <v/>
      </c>
      <c r="I619" s="8" t="str">
        <f>IF([2]道具信息!I619="","",[2]道具信息!I619)</f>
        <v/>
      </c>
      <c r="J619" s="8" t="str">
        <f>IF([2]道具信息!J619="","",[2]道具信息!J619)</f>
        <v/>
      </c>
      <c r="K619" s="8" t="str">
        <f>IF([2]道具信息!K619="","",[2]道具信息!K619)</f>
        <v/>
      </c>
      <c r="L619" s="8" t="str">
        <f>IF([2]道具信息!L619="","",[2]道具信息!L619)</f>
        <v/>
      </c>
      <c r="M619" s="8" t="str">
        <f>IF([2]道具信息!M619="","",[2]道具信息!M619)</f>
        <v/>
      </c>
      <c r="N619" s="8" t="str">
        <f>IF([2]道具信息!N619="","",[2]道具信息!N619)</f>
        <v/>
      </c>
      <c r="O619" s="8" t="str">
        <f>IF([2]道具信息!O619="","",[2]道具信息!O619)</f>
        <v/>
      </c>
      <c r="P619" s="8" t="str">
        <f>IF([2]道具信息!P619="","",[2]道具信息!P619)</f>
        <v/>
      </c>
      <c r="Q619" s="8" t="str">
        <f>IF([2]道具信息!Q619="","",[2]道具信息!Q619)</f>
        <v/>
      </c>
      <c r="R619" s="8" t="str">
        <f>IF([2]道具信息!R619="","",[2]道具信息!R619)</f>
        <v/>
      </c>
    </row>
    <row r="620" spans="3:18" x14ac:dyDescent="0.2">
      <c r="C620" s="8" t="str">
        <f>IF([2]道具信息!C620="","",[2]道具信息!C620)</f>
        <v/>
      </c>
      <c r="D620" s="8" t="str">
        <f>IF([2]道具信息!D620="","",[2]道具信息!D620)</f>
        <v/>
      </c>
      <c r="E620" s="8" t="str">
        <f>IF([2]道具信息!E620="","",[2]道具信息!E620)</f>
        <v/>
      </c>
      <c r="F620" s="8" t="str">
        <f>IF([2]道具信息!F620="","",[2]道具信息!F620)</f>
        <v/>
      </c>
      <c r="G620" s="8" t="str">
        <f>IF([2]道具信息!G620="","",[2]道具信息!G620)</f>
        <v/>
      </c>
      <c r="H620" s="8" t="str">
        <f>IF([2]道具信息!H620="","",[2]道具信息!H620)</f>
        <v/>
      </c>
      <c r="I620" s="8" t="str">
        <f>IF([2]道具信息!I620="","",[2]道具信息!I620)</f>
        <v/>
      </c>
      <c r="J620" s="8" t="str">
        <f>IF([2]道具信息!J620="","",[2]道具信息!J620)</f>
        <v/>
      </c>
      <c r="K620" s="8" t="str">
        <f>IF([2]道具信息!K620="","",[2]道具信息!K620)</f>
        <v/>
      </c>
      <c r="L620" s="8" t="str">
        <f>IF([2]道具信息!L620="","",[2]道具信息!L620)</f>
        <v/>
      </c>
      <c r="M620" s="8" t="str">
        <f>IF([2]道具信息!M620="","",[2]道具信息!M620)</f>
        <v/>
      </c>
      <c r="N620" s="8" t="str">
        <f>IF([2]道具信息!N620="","",[2]道具信息!N620)</f>
        <v/>
      </c>
      <c r="O620" s="8" t="str">
        <f>IF([2]道具信息!O620="","",[2]道具信息!O620)</f>
        <v/>
      </c>
      <c r="P620" s="8" t="str">
        <f>IF([2]道具信息!P620="","",[2]道具信息!P620)</f>
        <v/>
      </c>
      <c r="Q620" s="8" t="str">
        <f>IF([2]道具信息!Q620="","",[2]道具信息!Q620)</f>
        <v/>
      </c>
      <c r="R620" s="8" t="str">
        <f>IF([2]道具信息!R620="","",[2]道具信息!R620)</f>
        <v/>
      </c>
    </row>
    <row r="621" spans="3:18" x14ac:dyDescent="0.2">
      <c r="C621" s="8" t="str">
        <f>IF([2]道具信息!C621="","",[2]道具信息!C621)</f>
        <v/>
      </c>
      <c r="D621" s="8" t="str">
        <f>IF([2]道具信息!D621="","",[2]道具信息!D621)</f>
        <v/>
      </c>
      <c r="E621" s="8" t="str">
        <f>IF([2]道具信息!E621="","",[2]道具信息!E621)</f>
        <v/>
      </c>
      <c r="F621" s="8" t="str">
        <f>IF([2]道具信息!F621="","",[2]道具信息!F621)</f>
        <v/>
      </c>
      <c r="G621" s="8" t="str">
        <f>IF([2]道具信息!G621="","",[2]道具信息!G621)</f>
        <v/>
      </c>
      <c r="H621" s="8" t="str">
        <f>IF([2]道具信息!H621="","",[2]道具信息!H621)</f>
        <v/>
      </c>
      <c r="I621" s="8" t="str">
        <f>IF([2]道具信息!I621="","",[2]道具信息!I621)</f>
        <v/>
      </c>
      <c r="J621" s="8" t="str">
        <f>IF([2]道具信息!J621="","",[2]道具信息!J621)</f>
        <v/>
      </c>
      <c r="K621" s="8" t="str">
        <f>IF([2]道具信息!K621="","",[2]道具信息!K621)</f>
        <v/>
      </c>
      <c r="L621" s="8" t="str">
        <f>IF([2]道具信息!L621="","",[2]道具信息!L621)</f>
        <v/>
      </c>
      <c r="M621" s="8" t="str">
        <f>IF([2]道具信息!M621="","",[2]道具信息!M621)</f>
        <v/>
      </c>
      <c r="N621" s="8" t="str">
        <f>IF([2]道具信息!N621="","",[2]道具信息!N621)</f>
        <v/>
      </c>
      <c r="O621" s="8" t="str">
        <f>IF([2]道具信息!O621="","",[2]道具信息!O621)</f>
        <v/>
      </c>
      <c r="P621" s="8" t="str">
        <f>IF([2]道具信息!P621="","",[2]道具信息!P621)</f>
        <v/>
      </c>
      <c r="Q621" s="8" t="str">
        <f>IF([2]道具信息!Q621="","",[2]道具信息!Q621)</f>
        <v/>
      </c>
      <c r="R621" s="8" t="str">
        <f>IF([2]道具信息!R621="","",[2]道具信息!R621)</f>
        <v/>
      </c>
    </row>
    <row r="622" spans="3:18" x14ac:dyDescent="0.2">
      <c r="C622" s="8" t="str">
        <f>IF([2]道具信息!C622="","",[2]道具信息!C622)</f>
        <v/>
      </c>
      <c r="D622" s="8" t="str">
        <f>IF([2]道具信息!D622="","",[2]道具信息!D622)</f>
        <v/>
      </c>
      <c r="E622" s="8" t="str">
        <f>IF([2]道具信息!E622="","",[2]道具信息!E622)</f>
        <v/>
      </c>
      <c r="F622" s="8" t="str">
        <f>IF([2]道具信息!F622="","",[2]道具信息!F622)</f>
        <v/>
      </c>
      <c r="G622" s="8" t="str">
        <f>IF([2]道具信息!G622="","",[2]道具信息!G622)</f>
        <v/>
      </c>
      <c r="H622" s="8" t="str">
        <f>IF([2]道具信息!H622="","",[2]道具信息!H622)</f>
        <v/>
      </c>
      <c r="I622" s="8" t="str">
        <f>IF([2]道具信息!I622="","",[2]道具信息!I622)</f>
        <v/>
      </c>
      <c r="J622" s="8" t="str">
        <f>IF([2]道具信息!J622="","",[2]道具信息!J622)</f>
        <v/>
      </c>
      <c r="K622" s="8" t="str">
        <f>IF([2]道具信息!K622="","",[2]道具信息!K622)</f>
        <v/>
      </c>
      <c r="L622" s="8" t="str">
        <f>IF([2]道具信息!L622="","",[2]道具信息!L622)</f>
        <v/>
      </c>
      <c r="M622" s="8" t="str">
        <f>IF([2]道具信息!M622="","",[2]道具信息!M622)</f>
        <v/>
      </c>
      <c r="N622" s="8" t="str">
        <f>IF([2]道具信息!N622="","",[2]道具信息!N622)</f>
        <v/>
      </c>
      <c r="O622" s="8" t="str">
        <f>IF([2]道具信息!O622="","",[2]道具信息!O622)</f>
        <v/>
      </c>
      <c r="P622" s="8" t="str">
        <f>IF([2]道具信息!P622="","",[2]道具信息!P622)</f>
        <v/>
      </c>
      <c r="Q622" s="8" t="str">
        <f>IF([2]道具信息!Q622="","",[2]道具信息!Q622)</f>
        <v/>
      </c>
      <c r="R622" s="8" t="str">
        <f>IF([2]道具信息!R622="","",[2]道具信息!R622)</f>
        <v/>
      </c>
    </row>
    <row r="623" spans="3:18" x14ac:dyDescent="0.2">
      <c r="C623" s="8" t="str">
        <f>IF([2]道具信息!C623="","",[2]道具信息!C623)</f>
        <v/>
      </c>
      <c r="D623" s="8" t="str">
        <f>IF([2]道具信息!D623="","",[2]道具信息!D623)</f>
        <v/>
      </c>
      <c r="E623" s="8" t="str">
        <f>IF([2]道具信息!E623="","",[2]道具信息!E623)</f>
        <v/>
      </c>
      <c r="F623" s="8" t="str">
        <f>IF([2]道具信息!F623="","",[2]道具信息!F623)</f>
        <v/>
      </c>
      <c r="G623" s="8" t="str">
        <f>IF([2]道具信息!G623="","",[2]道具信息!G623)</f>
        <v/>
      </c>
      <c r="H623" s="8" t="str">
        <f>IF([2]道具信息!H623="","",[2]道具信息!H623)</f>
        <v/>
      </c>
      <c r="I623" s="8" t="str">
        <f>IF([2]道具信息!I623="","",[2]道具信息!I623)</f>
        <v/>
      </c>
      <c r="J623" s="8" t="str">
        <f>IF([2]道具信息!J623="","",[2]道具信息!J623)</f>
        <v/>
      </c>
      <c r="K623" s="8" t="str">
        <f>IF([2]道具信息!K623="","",[2]道具信息!K623)</f>
        <v/>
      </c>
      <c r="L623" s="8" t="str">
        <f>IF([2]道具信息!L623="","",[2]道具信息!L623)</f>
        <v/>
      </c>
      <c r="M623" s="8" t="str">
        <f>IF([2]道具信息!M623="","",[2]道具信息!M623)</f>
        <v/>
      </c>
      <c r="N623" s="8" t="str">
        <f>IF([2]道具信息!N623="","",[2]道具信息!N623)</f>
        <v/>
      </c>
      <c r="O623" s="8" t="str">
        <f>IF([2]道具信息!O623="","",[2]道具信息!O623)</f>
        <v/>
      </c>
      <c r="P623" s="8" t="str">
        <f>IF([2]道具信息!P623="","",[2]道具信息!P623)</f>
        <v/>
      </c>
      <c r="Q623" s="8" t="str">
        <f>IF([2]道具信息!Q623="","",[2]道具信息!Q623)</f>
        <v/>
      </c>
      <c r="R623" s="8" t="str">
        <f>IF([2]道具信息!R623="","",[2]道具信息!R623)</f>
        <v/>
      </c>
    </row>
    <row r="624" spans="3:18" x14ac:dyDescent="0.2">
      <c r="C624" s="8" t="str">
        <f>IF([2]道具信息!C624="","",[2]道具信息!C624)</f>
        <v/>
      </c>
      <c r="D624" s="8" t="str">
        <f>IF([2]道具信息!D624="","",[2]道具信息!D624)</f>
        <v/>
      </c>
      <c r="E624" s="8" t="str">
        <f>IF([2]道具信息!E624="","",[2]道具信息!E624)</f>
        <v/>
      </c>
      <c r="F624" s="8" t="str">
        <f>IF([2]道具信息!F624="","",[2]道具信息!F624)</f>
        <v/>
      </c>
      <c r="G624" s="8" t="str">
        <f>IF([2]道具信息!G624="","",[2]道具信息!G624)</f>
        <v/>
      </c>
      <c r="H624" s="8" t="str">
        <f>IF([2]道具信息!H624="","",[2]道具信息!H624)</f>
        <v/>
      </c>
      <c r="I624" s="8" t="str">
        <f>IF([2]道具信息!I624="","",[2]道具信息!I624)</f>
        <v/>
      </c>
      <c r="J624" s="8" t="str">
        <f>IF([2]道具信息!J624="","",[2]道具信息!J624)</f>
        <v/>
      </c>
      <c r="K624" s="8" t="str">
        <f>IF([2]道具信息!K624="","",[2]道具信息!K624)</f>
        <v/>
      </c>
      <c r="L624" s="8" t="str">
        <f>IF([2]道具信息!L624="","",[2]道具信息!L624)</f>
        <v/>
      </c>
      <c r="M624" s="8" t="str">
        <f>IF([2]道具信息!M624="","",[2]道具信息!M624)</f>
        <v/>
      </c>
      <c r="N624" s="8" t="str">
        <f>IF([2]道具信息!N624="","",[2]道具信息!N624)</f>
        <v/>
      </c>
      <c r="O624" s="8" t="str">
        <f>IF([2]道具信息!O624="","",[2]道具信息!O624)</f>
        <v/>
      </c>
      <c r="P624" s="8" t="str">
        <f>IF([2]道具信息!P624="","",[2]道具信息!P624)</f>
        <v/>
      </c>
      <c r="Q624" s="8" t="str">
        <f>IF([2]道具信息!Q624="","",[2]道具信息!Q624)</f>
        <v/>
      </c>
      <c r="R624" s="8" t="str">
        <f>IF([2]道具信息!R624="","",[2]道具信息!R624)</f>
        <v/>
      </c>
    </row>
    <row r="625" spans="3:18" x14ac:dyDescent="0.2">
      <c r="C625" s="8" t="str">
        <f>IF([2]道具信息!C625="","",[2]道具信息!C625)</f>
        <v/>
      </c>
      <c r="D625" s="8" t="str">
        <f>IF([2]道具信息!D625="","",[2]道具信息!D625)</f>
        <v/>
      </c>
      <c r="E625" s="8" t="str">
        <f>IF([2]道具信息!E625="","",[2]道具信息!E625)</f>
        <v/>
      </c>
      <c r="F625" s="8" t="str">
        <f>IF([2]道具信息!F625="","",[2]道具信息!F625)</f>
        <v/>
      </c>
      <c r="G625" s="8" t="str">
        <f>IF([2]道具信息!G625="","",[2]道具信息!G625)</f>
        <v/>
      </c>
      <c r="H625" s="8" t="str">
        <f>IF([2]道具信息!H625="","",[2]道具信息!H625)</f>
        <v/>
      </c>
      <c r="I625" s="8" t="str">
        <f>IF([2]道具信息!I625="","",[2]道具信息!I625)</f>
        <v/>
      </c>
      <c r="J625" s="8" t="str">
        <f>IF([2]道具信息!J625="","",[2]道具信息!J625)</f>
        <v/>
      </c>
      <c r="K625" s="8" t="str">
        <f>IF([2]道具信息!K625="","",[2]道具信息!K625)</f>
        <v/>
      </c>
      <c r="L625" s="8" t="str">
        <f>IF([2]道具信息!L625="","",[2]道具信息!L625)</f>
        <v/>
      </c>
      <c r="M625" s="8" t="str">
        <f>IF([2]道具信息!M625="","",[2]道具信息!M625)</f>
        <v/>
      </c>
      <c r="N625" s="8" t="str">
        <f>IF([2]道具信息!N625="","",[2]道具信息!N625)</f>
        <v/>
      </c>
      <c r="O625" s="8" t="str">
        <f>IF([2]道具信息!O625="","",[2]道具信息!O625)</f>
        <v/>
      </c>
      <c r="P625" s="8" t="str">
        <f>IF([2]道具信息!P625="","",[2]道具信息!P625)</f>
        <v/>
      </c>
      <c r="Q625" s="8" t="str">
        <f>IF([2]道具信息!Q625="","",[2]道具信息!Q625)</f>
        <v/>
      </c>
      <c r="R625" s="8" t="str">
        <f>IF([2]道具信息!R625="","",[2]道具信息!R625)</f>
        <v/>
      </c>
    </row>
    <row r="626" spans="3:18" x14ac:dyDescent="0.2">
      <c r="C626" s="8" t="str">
        <f>IF([2]道具信息!C626="","",[2]道具信息!C626)</f>
        <v/>
      </c>
      <c r="D626" s="8" t="str">
        <f>IF([2]道具信息!D626="","",[2]道具信息!D626)</f>
        <v/>
      </c>
      <c r="E626" s="8" t="str">
        <f>IF([2]道具信息!E626="","",[2]道具信息!E626)</f>
        <v/>
      </c>
      <c r="F626" s="8" t="str">
        <f>IF([2]道具信息!F626="","",[2]道具信息!F626)</f>
        <v/>
      </c>
      <c r="G626" s="8" t="str">
        <f>IF([2]道具信息!G626="","",[2]道具信息!G626)</f>
        <v/>
      </c>
      <c r="H626" s="8" t="str">
        <f>IF([2]道具信息!H626="","",[2]道具信息!H626)</f>
        <v/>
      </c>
      <c r="I626" s="8" t="str">
        <f>IF([2]道具信息!I626="","",[2]道具信息!I626)</f>
        <v/>
      </c>
      <c r="J626" s="8" t="str">
        <f>IF([2]道具信息!J626="","",[2]道具信息!J626)</f>
        <v/>
      </c>
      <c r="K626" s="8" t="str">
        <f>IF([2]道具信息!K626="","",[2]道具信息!K626)</f>
        <v/>
      </c>
      <c r="L626" s="8" t="str">
        <f>IF([2]道具信息!L626="","",[2]道具信息!L626)</f>
        <v/>
      </c>
      <c r="M626" s="8" t="str">
        <f>IF([2]道具信息!M626="","",[2]道具信息!M626)</f>
        <v/>
      </c>
      <c r="N626" s="8" t="str">
        <f>IF([2]道具信息!N626="","",[2]道具信息!N626)</f>
        <v/>
      </c>
      <c r="O626" s="8" t="str">
        <f>IF([2]道具信息!O626="","",[2]道具信息!O626)</f>
        <v/>
      </c>
      <c r="P626" s="8" t="str">
        <f>IF([2]道具信息!P626="","",[2]道具信息!P626)</f>
        <v/>
      </c>
      <c r="Q626" s="8" t="str">
        <f>IF([2]道具信息!Q626="","",[2]道具信息!Q626)</f>
        <v/>
      </c>
      <c r="R626" s="8" t="str">
        <f>IF([2]道具信息!R626="","",[2]道具信息!R626)</f>
        <v/>
      </c>
    </row>
    <row r="627" spans="3:18" x14ac:dyDescent="0.2">
      <c r="C627" s="8" t="str">
        <f>IF([2]道具信息!C627="","",[2]道具信息!C627)</f>
        <v/>
      </c>
      <c r="D627" s="8" t="str">
        <f>IF([2]道具信息!D627="","",[2]道具信息!D627)</f>
        <v/>
      </c>
      <c r="E627" s="8" t="str">
        <f>IF([2]道具信息!E627="","",[2]道具信息!E627)</f>
        <v/>
      </c>
      <c r="F627" s="8" t="str">
        <f>IF([2]道具信息!F627="","",[2]道具信息!F627)</f>
        <v/>
      </c>
      <c r="G627" s="8" t="str">
        <f>IF([2]道具信息!G627="","",[2]道具信息!G627)</f>
        <v/>
      </c>
      <c r="H627" s="8" t="str">
        <f>IF([2]道具信息!H627="","",[2]道具信息!H627)</f>
        <v/>
      </c>
      <c r="I627" s="8" t="str">
        <f>IF([2]道具信息!I627="","",[2]道具信息!I627)</f>
        <v/>
      </c>
      <c r="J627" s="8" t="str">
        <f>IF([2]道具信息!J627="","",[2]道具信息!J627)</f>
        <v/>
      </c>
      <c r="K627" s="8" t="str">
        <f>IF([2]道具信息!K627="","",[2]道具信息!K627)</f>
        <v/>
      </c>
      <c r="L627" s="8" t="str">
        <f>IF([2]道具信息!L627="","",[2]道具信息!L627)</f>
        <v/>
      </c>
      <c r="M627" s="8" t="str">
        <f>IF([2]道具信息!M627="","",[2]道具信息!M627)</f>
        <v/>
      </c>
      <c r="N627" s="8" t="str">
        <f>IF([2]道具信息!N627="","",[2]道具信息!N627)</f>
        <v/>
      </c>
      <c r="O627" s="8" t="str">
        <f>IF([2]道具信息!O627="","",[2]道具信息!O627)</f>
        <v/>
      </c>
      <c r="P627" s="8" t="str">
        <f>IF([2]道具信息!P627="","",[2]道具信息!P627)</f>
        <v/>
      </c>
      <c r="Q627" s="8" t="str">
        <f>IF([2]道具信息!Q627="","",[2]道具信息!Q627)</f>
        <v/>
      </c>
      <c r="R627" s="8" t="str">
        <f>IF([2]道具信息!R627="","",[2]道具信息!R627)</f>
        <v/>
      </c>
    </row>
    <row r="628" spans="3:18" x14ac:dyDescent="0.2">
      <c r="C628" s="8" t="str">
        <f>IF([2]道具信息!C628="","",[2]道具信息!C628)</f>
        <v/>
      </c>
      <c r="D628" s="8" t="str">
        <f>IF([2]道具信息!D628="","",[2]道具信息!D628)</f>
        <v/>
      </c>
      <c r="E628" s="8" t="str">
        <f>IF([2]道具信息!E628="","",[2]道具信息!E628)</f>
        <v/>
      </c>
      <c r="F628" s="8" t="str">
        <f>IF([2]道具信息!F628="","",[2]道具信息!F628)</f>
        <v/>
      </c>
      <c r="G628" s="8" t="str">
        <f>IF([2]道具信息!G628="","",[2]道具信息!G628)</f>
        <v/>
      </c>
      <c r="H628" s="8" t="str">
        <f>IF([2]道具信息!H628="","",[2]道具信息!H628)</f>
        <v/>
      </c>
      <c r="I628" s="8" t="str">
        <f>IF([2]道具信息!I628="","",[2]道具信息!I628)</f>
        <v/>
      </c>
      <c r="J628" s="8" t="str">
        <f>IF([2]道具信息!J628="","",[2]道具信息!J628)</f>
        <v/>
      </c>
      <c r="K628" s="8" t="str">
        <f>IF([2]道具信息!K628="","",[2]道具信息!K628)</f>
        <v/>
      </c>
      <c r="L628" s="8" t="str">
        <f>IF([2]道具信息!L628="","",[2]道具信息!L628)</f>
        <v/>
      </c>
      <c r="M628" s="8" t="str">
        <f>IF([2]道具信息!M628="","",[2]道具信息!M628)</f>
        <v/>
      </c>
      <c r="N628" s="8" t="str">
        <f>IF([2]道具信息!N628="","",[2]道具信息!N628)</f>
        <v/>
      </c>
      <c r="O628" s="8" t="str">
        <f>IF([2]道具信息!O628="","",[2]道具信息!O628)</f>
        <v/>
      </c>
      <c r="P628" s="8" t="str">
        <f>IF([2]道具信息!P628="","",[2]道具信息!P628)</f>
        <v/>
      </c>
      <c r="Q628" s="8" t="str">
        <f>IF([2]道具信息!Q628="","",[2]道具信息!Q628)</f>
        <v/>
      </c>
      <c r="R628" s="8" t="str">
        <f>IF([2]道具信息!R628="","",[2]道具信息!R628)</f>
        <v/>
      </c>
    </row>
    <row r="629" spans="3:18" x14ac:dyDescent="0.2">
      <c r="C629" s="8" t="str">
        <f>IF([2]道具信息!C629="","",[2]道具信息!C629)</f>
        <v/>
      </c>
      <c r="D629" s="8" t="str">
        <f>IF([2]道具信息!D629="","",[2]道具信息!D629)</f>
        <v/>
      </c>
      <c r="E629" s="8" t="str">
        <f>IF([2]道具信息!E629="","",[2]道具信息!E629)</f>
        <v/>
      </c>
      <c r="F629" s="8" t="str">
        <f>IF([2]道具信息!F629="","",[2]道具信息!F629)</f>
        <v/>
      </c>
      <c r="G629" s="8" t="str">
        <f>IF([2]道具信息!G629="","",[2]道具信息!G629)</f>
        <v/>
      </c>
      <c r="H629" s="8" t="str">
        <f>IF([2]道具信息!H629="","",[2]道具信息!H629)</f>
        <v/>
      </c>
      <c r="I629" s="8" t="str">
        <f>IF([2]道具信息!I629="","",[2]道具信息!I629)</f>
        <v/>
      </c>
      <c r="J629" s="8" t="str">
        <f>IF([2]道具信息!J629="","",[2]道具信息!J629)</f>
        <v/>
      </c>
      <c r="K629" s="8" t="str">
        <f>IF([2]道具信息!K629="","",[2]道具信息!K629)</f>
        <v/>
      </c>
      <c r="L629" s="8" t="str">
        <f>IF([2]道具信息!L629="","",[2]道具信息!L629)</f>
        <v/>
      </c>
      <c r="M629" s="8" t="str">
        <f>IF([2]道具信息!M629="","",[2]道具信息!M629)</f>
        <v/>
      </c>
      <c r="N629" s="8" t="str">
        <f>IF([2]道具信息!N629="","",[2]道具信息!N629)</f>
        <v/>
      </c>
      <c r="O629" s="8" t="str">
        <f>IF([2]道具信息!O629="","",[2]道具信息!O629)</f>
        <v/>
      </c>
      <c r="P629" s="8" t="str">
        <f>IF([2]道具信息!P629="","",[2]道具信息!P629)</f>
        <v/>
      </c>
      <c r="Q629" s="8" t="str">
        <f>IF([2]道具信息!Q629="","",[2]道具信息!Q629)</f>
        <v/>
      </c>
      <c r="R629" s="8" t="str">
        <f>IF([2]道具信息!R629="","",[2]道具信息!R629)</f>
        <v/>
      </c>
    </row>
    <row r="630" spans="3:18" x14ac:dyDescent="0.2">
      <c r="C630" s="8" t="str">
        <f>IF([2]道具信息!C630="","",[2]道具信息!C630)</f>
        <v/>
      </c>
      <c r="D630" s="8" t="str">
        <f>IF([2]道具信息!D630="","",[2]道具信息!D630)</f>
        <v/>
      </c>
      <c r="E630" s="8" t="str">
        <f>IF([2]道具信息!E630="","",[2]道具信息!E630)</f>
        <v/>
      </c>
      <c r="F630" s="8" t="str">
        <f>IF([2]道具信息!F630="","",[2]道具信息!F630)</f>
        <v/>
      </c>
      <c r="G630" s="8" t="str">
        <f>IF([2]道具信息!G630="","",[2]道具信息!G630)</f>
        <v/>
      </c>
      <c r="H630" s="8" t="str">
        <f>IF([2]道具信息!H630="","",[2]道具信息!H630)</f>
        <v/>
      </c>
      <c r="I630" s="8" t="str">
        <f>IF([2]道具信息!I630="","",[2]道具信息!I630)</f>
        <v/>
      </c>
      <c r="J630" s="8" t="str">
        <f>IF([2]道具信息!J630="","",[2]道具信息!J630)</f>
        <v/>
      </c>
      <c r="K630" s="8" t="str">
        <f>IF([2]道具信息!K630="","",[2]道具信息!K630)</f>
        <v/>
      </c>
      <c r="L630" s="8" t="str">
        <f>IF([2]道具信息!L630="","",[2]道具信息!L630)</f>
        <v/>
      </c>
      <c r="M630" s="8" t="str">
        <f>IF([2]道具信息!M630="","",[2]道具信息!M630)</f>
        <v/>
      </c>
      <c r="N630" s="8" t="str">
        <f>IF([2]道具信息!N630="","",[2]道具信息!N630)</f>
        <v/>
      </c>
      <c r="O630" s="8" t="str">
        <f>IF([2]道具信息!O630="","",[2]道具信息!O630)</f>
        <v/>
      </c>
      <c r="P630" s="8" t="str">
        <f>IF([2]道具信息!P630="","",[2]道具信息!P630)</f>
        <v/>
      </c>
      <c r="Q630" s="8" t="str">
        <f>IF([2]道具信息!Q630="","",[2]道具信息!Q630)</f>
        <v/>
      </c>
      <c r="R630" s="8" t="str">
        <f>IF([2]道具信息!R630="","",[2]道具信息!R630)</f>
        <v/>
      </c>
    </row>
    <row r="631" spans="3:18" x14ac:dyDescent="0.2">
      <c r="C631" s="8" t="str">
        <f>IF([2]道具信息!C631="","",[2]道具信息!C631)</f>
        <v/>
      </c>
      <c r="D631" s="8" t="str">
        <f>IF([2]道具信息!D631="","",[2]道具信息!D631)</f>
        <v/>
      </c>
      <c r="E631" s="8" t="str">
        <f>IF([2]道具信息!E631="","",[2]道具信息!E631)</f>
        <v/>
      </c>
      <c r="F631" s="8" t="str">
        <f>IF([2]道具信息!F631="","",[2]道具信息!F631)</f>
        <v/>
      </c>
      <c r="G631" s="8" t="str">
        <f>IF([2]道具信息!G631="","",[2]道具信息!G631)</f>
        <v/>
      </c>
      <c r="H631" s="8" t="str">
        <f>IF([2]道具信息!H631="","",[2]道具信息!H631)</f>
        <v/>
      </c>
      <c r="I631" s="8" t="str">
        <f>IF([2]道具信息!I631="","",[2]道具信息!I631)</f>
        <v/>
      </c>
      <c r="J631" s="8" t="str">
        <f>IF([2]道具信息!J631="","",[2]道具信息!J631)</f>
        <v/>
      </c>
      <c r="K631" s="8" t="str">
        <f>IF([2]道具信息!K631="","",[2]道具信息!K631)</f>
        <v/>
      </c>
      <c r="L631" s="8" t="str">
        <f>IF([2]道具信息!L631="","",[2]道具信息!L631)</f>
        <v/>
      </c>
      <c r="M631" s="8" t="str">
        <f>IF([2]道具信息!M631="","",[2]道具信息!M631)</f>
        <v/>
      </c>
      <c r="N631" s="8" t="str">
        <f>IF([2]道具信息!N631="","",[2]道具信息!N631)</f>
        <v/>
      </c>
      <c r="O631" s="8" t="str">
        <f>IF([2]道具信息!O631="","",[2]道具信息!O631)</f>
        <v/>
      </c>
      <c r="P631" s="8" t="str">
        <f>IF([2]道具信息!P631="","",[2]道具信息!P631)</f>
        <v/>
      </c>
      <c r="Q631" s="8" t="str">
        <f>IF([2]道具信息!Q631="","",[2]道具信息!Q631)</f>
        <v/>
      </c>
      <c r="R631" s="8" t="str">
        <f>IF([2]道具信息!R631="","",[2]道具信息!R631)</f>
        <v/>
      </c>
    </row>
    <row r="632" spans="3:18" x14ac:dyDescent="0.2">
      <c r="C632" s="8" t="str">
        <f>IF([2]道具信息!C632="","",[2]道具信息!C632)</f>
        <v/>
      </c>
      <c r="D632" s="8" t="str">
        <f>IF([2]道具信息!D632="","",[2]道具信息!D632)</f>
        <v/>
      </c>
      <c r="E632" s="8" t="str">
        <f>IF([2]道具信息!E632="","",[2]道具信息!E632)</f>
        <v/>
      </c>
      <c r="F632" s="8" t="str">
        <f>IF([2]道具信息!F632="","",[2]道具信息!F632)</f>
        <v/>
      </c>
      <c r="G632" s="8" t="str">
        <f>IF([2]道具信息!G632="","",[2]道具信息!G632)</f>
        <v/>
      </c>
      <c r="H632" s="8" t="str">
        <f>IF([2]道具信息!H632="","",[2]道具信息!H632)</f>
        <v/>
      </c>
      <c r="I632" s="8" t="str">
        <f>IF([2]道具信息!I632="","",[2]道具信息!I632)</f>
        <v/>
      </c>
      <c r="J632" s="8" t="str">
        <f>IF([2]道具信息!J632="","",[2]道具信息!J632)</f>
        <v/>
      </c>
      <c r="K632" s="8" t="str">
        <f>IF([2]道具信息!K632="","",[2]道具信息!K632)</f>
        <v/>
      </c>
      <c r="L632" s="8" t="str">
        <f>IF([2]道具信息!L632="","",[2]道具信息!L632)</f>
        <v/>
      </c>
      <c r="M632" s="8" t="str">
        <f>IF([2]道具信息!M632="","",[2]道具信息!M632)</f>
        <v/>
      </c>
      <c r="N632" s="8" t="str">
        <f>IF([2]道具信息!N632="","",[2]道具信息!N632)</f>
        <v/>
      </c>
      <c r="O632" s="8" t="str">
        <f>IF([2]道具信息!O632="","",[2]道具信息!O632)</f>
        <v/>
      </c>
      <c r="P632" s="8" t="str">
        <f>IF([2]道具信息!P632="","",[2]道具信息!P632)</f>
        <v/>
      </c>
      <c r="Q632" s="8" t="str">
        <f>IF([2]道具信息!Q632="","",[2]道具信息!Q632)</f>
        <v/>
      </c>
      <c r="R632" s="8" t="str">
        <f>IF([2]道具信息!R632="","",[2]道具信息!R632)</f>
        <v/>
      </c>
    </row>
    <row r="633" spans="3:18" x14ac:dyDescent="0.2">
      <c r="C633" s="8" t="str">
        <f>IF([2]道具信息!C633="","",[2]道具信息!C633)</f>
        <v/>
      </c>
      <c r="D633" s="8" t="str">
        <f>IF([2]道具信息!D633="","",[2]道具信息!D633)</f>
        <v/>
      </c>
      <c r="E633" s="8" t="str">
        <f>IF([2]道具信息!E633="","",[2]道具信息!E633)</f>
        <v/>
      </c>
      <c r="F633" s="8" t="str">
        <f>IF([2]道具信息!F633="","",[2]道具信息!F633)</f>
        <v/>
      </c>
      <c r="G633" s="8" t="str">
        <f>IF([2]道具信息!G633="","",[2]道具信息!G633)</f>
        <v/>
      </c>
      <c r="H633" s="8" t="str">
        <f>IF([2]道具信息!H633="","",[2]道具信息!H633)</f>
        <v/>
      </c>
      <c r="I633" s="8" t="str">
        <f>IF([2]道具信息!I633="","",[2]道具信息!I633)</f>
        <v/>
      </c>
      <c r="J633" s="8" t="str">
        <f>IF([2]道具信息!J633="","",[2]道具信息!J633)</f>
        <v/>
      </c>
      <c r="K633" s="8" t="str">
        <f>IF([2]道具信息!K633="","",[2]道具信息!K633)</f>
        <v/>
      </c>
      <c r="L633" s="8" t="str">
        <f>IF([2]道具信息!L633="","",[2]道具信息!L633)</f>
        <v/>
      </c>
      <c r="M633" s="8" t="str">
        <f>IF([2]道具信息!M633="","",[2]道具信息!M633)</f>
        <v/>
      </c>
      <c r="N633" s="8" t="str">
        <f>IF([2]道具信息!N633="","",[2]道具信息!N633)</f>
        <v/>
      </c>
      <c r="O633" s="8" t="str">
        <f>IF([2]道具信息!O633="","",[2]道具信息!O633)</f>
        <v/>
      </c>
      <c r="P633" s="8" t="str">
        <f>IF([2]道具信息!P633="","",[2]道具信息!P633)</f>
        <v/>
      </c>
      <c r="Q633" s="8" t="str">
        <f>IF([2]道具信息!Q633="","",[2]道具信息!Q633)</f>
        <v/>
      </c>
      <c r="R633" s="8" t="str">
        <f>IF([2]道具信息!R633="","",[2]道具信息!R633)</f>
        <v/>
      </c>
    </row>
    <row r="634" spans="3:18" x14ac:dyDescent="0.2">
      <c r="C634" s="8" t="str">
        <f>IF([2]道具信息!C634="","",[2]道具信息!C634)</f>
        <v/>
      </c>
      <c r="D634" s="8" t="str">
        <f>IF([2]道具信息!D634="","",[2]道具信息!D634)</f>
        <v/>
      </c>
      <c r="E634" s="8" t="str">
        <f>IF([2]道具信息!E634="","",[2]道具信息!E634)</f>
        <v/>
      </c>
      <c r="F634" s="8" t="str">
        <f>IF([2]道具信息!F634="","",[2]道具信息!F634)</f>
        <v/>
      </c>
      <c r="G634" s="8" t="str">
        <f>IF([2]道具信息!G634="","",[2]道具信息!G634)</f>
        <v/>
      </c>
      <c r="H634" s="8" t="str">
        <f>IF([2]道具信息!H634="","",[2]道具信息!H634)</f>
        <v/>
      </c>
      <c r="I634" s="8" t="str">
        <f>IF([2]道具信息!I634="","",[2]道具信息!I634)</f>
        <v/>
      </c>
      <c r="J634" s="8" t="str">
        <f>IF([2]道具信息!J634="","",[2]道具信息!J634)</f>
        <v/>
      </c>
      <c r="K634" s="8" t="str">
        <f>IF([2]道具信息!K634="","",[2]道具信息!K634)</f>
        <v/>
      </c>
      <c r="L634" s="8" t="str">
        <f>IF([2]道具信息!L634="","",[2]道具信息!L634)</f>
        <v/>
      </c>
      <c r="M634" s="8" t="str">
        <f>IF([2]道具信息!M634="","",[2]道具信息!M634)</f>
        <v/>
      </c>
      <c r="N634" s="8" t="str">
        <f>IF([2]道具信息!N634="","",[2]道具信息!N634)</f>
        <v/>
      </c>
      <c r="O634" s="8" t="str">
        <f>IF([2]道具信息!O634="","",[2]道具信息!O634)</f>
        <v/>
      </c>
      <c r="P634" s="8" t="str">
        <f>IF([2]道具信息!P634="","",[2]道具信息!P634)</f>
        <v/>
      </c>
      <c r="Q634" s="8" t="str">
        <f>IF([2]道具信息!Q634="","",[2]道具信息!Q634)</f>
        <v/>
      </c>
      <c r="R634" s="8" t="str">
        <f>IF([2]道具信息!R634="","",[2]道具信息!R634)</f>
        <v/>
      </c>
    </row>
    <row r="635" spans="3:18" x14ac:dyDescent="0.2">
      <c r="C635" s="8" t="str">
        <f>IF([2]道具信息!C635="","",[2]道具信息!C635)</f>
        <v/>
      </c>
      <c r="D635" s="8" t="str">
        <f>IF([2]道具信息!D635="","",[2]道具信息!D635)</f>
        <v/>
      </c>
      <c r="E635" s="8" t="str">
        <f>IF([2]道具信息!E635="","",[2]道具信息!E635)</f>
        <v/>
      </c>
      <c r="F635" s="8" t="str">
        <f>IF([2]道具信息!F635="","",[2]道具信息!F635)</f>
        <v/>
      </c>
      <c r="G635" s="8" t="str">
        <f>IF([2]道具信息!G635="","",[2]道具信息!G635)</f>
        <v/>
      </c>
      <c r="H635" s="8" t="str">
        <f>IF([2]道具信息!H635="","",[2]道具信息!H635)</f>
        <v/>
      </c>
      <c r="I635" s="8" t="str">
        <f>IF([2]道具信息!I635="","",[2]道具信息!I635)</f>
        <v/>
      </c>
      <c r="J635" s="8" t="str">
        <f>IF([2]道具信息!J635="","",[2]道具信息!J635)</f>
        <v/>
      </c>
      <c r="K635" s="8" t="str">
        <f>IF([2]道具信息!K635="","",[2]道具信息!K635)</f>
        <v/>
      </c>
      <c r="L635" s="8" t="str">
        <f>IF([2]道具信息!L635="","",[2]道具信息!L635)</f>
        <v/>
      </c>
      <c r="M635" s="8" t="str">
        <f>IF([2]道具信息!M635="","",[2]道具信息!M635)</f>
        <v/>
      </c>
      <c r="N635" s="8" t="str">
        <f>IF([2]道具信息!N635="","",[2]道具信息!N635)</f>
        <v/>
      </c>
      <c r="O635" s="8" t="str">
        <f>IF([2]道具信息!O635="","",[2]道具信息!O635)</f>
        <v/>
      </c>
      <c r="P635" s="8" t="str">
        <f>IF([2]道具信息!P635="","",[2]道具信息!P635)</f>
        <v/>
      </c>
      <c r="Q635" s="8" t="str">
        <f>IF([2]道具信息!Q635="","",[2]道具信息!Q635)</f>
        <v/>
      </c>
      <c r="R635" s="8" t="str">
        <f>IF([2]道具信息!R635="","",[2]道具信息!R635)</f>
        <v/>
      </c>
    </row>
    <row r="636" spans="3:18" x14ac:dyDescent="0.2">
      <c r="C636" s="8" t="str">
        <f>IF([2]道具信息!C636="","",[2]道具信息!C636)</f>
        <v/>
      </c>
      <c r="D636" s="8" t="str">
        <f>IF([2]道具信息!D636="","",[2]道具信息!D636)</f>
        <v/>
      </c>
      <c r="E636" s="8" t="str">
        <f>IF([2]道具信息!E636="","",[2]道具信息!E636)</f>
        <v/>
      </c>
      <c r="F636" s="8" t="str">
        <f>IF([2]道具信息!F636="","",[2]道具信息!F636)</f>
        <v/>
      </c>
      <c r="G636" s="8" t="str">
        <f>IF([2]道具信息!G636="","",[2]道具信息!G636)</f>
        <v/>
      </c>
      <c r="H636" s="8" t="str">
        <f>IF([2]道具信息!H636="","",[2]道具信息!H636)</f>
        <v/>
      </c>
      <c r="I636" s="8" t="str">
        <f>IF([2]道具信息!I636="","",[2]道具信息!I636)</f>
        <v/>
      </c>
      <c r="J636" s="8" t="str">
        <f>IF([2]道具信息!J636="","",[2]道具信息!J636)</f>
        <v/>
      </c>
      <c r="K636" s="8" t="str">
        <f>IF([2]道具信息!K636="","",[2]道具信息!K636)</f>
        <v/>
      </c>
      <c r="L636" s="8" t="str">
        <f>IF([2]道具信息!L636="","",[2]道具信息!L636)</f>
        <v/>
      </c>
      <c r="M636" s="8" t="str">
        <f>IF([2]道具信息!M636="","",[2]道具信息!M636)</f>
        <v/>
      </c>
      <c r="N636" s="8" t="str">
        <f>IF([2]道具信息!N636="","",[2]道具信息!N636)</f>
        <v/>
      </c>
      <c r="O636" s="8" t="str">
        <f>IF([2]道具信息!O636="","",[2]道具信息!O636)</f>
        <v/>
      </c>
      <c r="P636" s="8" t="str">
        <f>IF([2]道具信息!P636="","",[2]道具信息!P636)</f>
        <v/>
      </c>
      <c r="Q636" s="8" t="str">
        <f>IF([2]道具信息!Q636="","",[2]道具信息!Q636)</f>
        <v/>
      </c>
      <c r="R636" s="8" t="str">
        <f>IF([2]道具信息!R636="","",[2]道具信息!R636)</f>
        <v/>
      </c>
    </row>
    <row r="637" spans="3:18" x14ac:dyDescent="0.2">
      <c r="C637" s="8" t="str">
        <f>IF([2]道具信息!C637="","",[2]道具信息!C637)</f>
        <v/>
      </c>
      <c r="D637" s="8" t="str">
        <f>IF([2]道具信息!D637="","",[2]道具信息!D637)</f>
        <v/>
      </c>
      <c r="E637" s="8" t="str">
        <f>IF([2]道具信息!E637="","",[2]道具信息!E637)</f>
        <v/>
      </c>
      <c r="F637" s="8" t="str">
        <f>IF([2]道具信息!F637="","",[2]道具信息!F637)</f>
        <v/>
      </c>
      <c r="G637" s="8" t="str">
        <f>IF([2]道具信息!G637="","",[2]道具信息!G637)</f>
        <v/>
      </c>
      <c r="H637" s="8" t="str">
        <f>IF([2]道具信息!H637="","",[2]道具信息!H637)</f>
        <v/>
      </c>
      <c r="I637" s="8" t="str">
        <f>IF([2]道具信息!I637="","",[2]道具信息!I637)</f>
        <v/>
      </c>
      <c r="J637" s="8" t="str">
        <f>IF([2]道具信息!J637="","",[2]道具信息!J637)</f>
        <v/>
      </c>
      <c r="K637" s="8" t="str">
        <f>IF([2]道具信息!K637="","",[2]道具信息!K637)</f>
        <v/>
      </c>
      <c r="L637" s="8" t="str">
        <f>IF([2]道具信息!L637="","",[2]道具信息!L637)</f>
        <v/>
      </c>
      <c r="M637" s="8" t="str">
        <f>IF([2]道具信息!M637="","",[2]道具信息!M637)</f>
        <v/>
      </c>
      <c r="N637" s="8" t="str">
        <f>IF([2]道具信息!N637="","",[2]道具信息!N637)</f>
        <v/>
      </c>
      <c r="O637" s="8" t="str">
        <f>IF([2]道具信息!O637="","",[2]道具信息!O637)</f>
        <v/>
      </c>
      <c r="P637" s="8" t="str">
        <f>IF([2]道具信息!P637="","",[2]道具信息!P637)</f>
        <v/>
      </c>
      <c r="Q637" s="8" t="str">
        <f>IF([2]道具信息!Q637="","",[2]道具信息!Q637)</f>
        <v/>
      </c>
      <c r="R637" s="8" t="str">
        <f>IF([2]道具信息!R637="","",[2]道具信息!R637)</f>
        <v/>
      </c>
    </row>
    <row r="638" spans="3:18" x14ac:dyDescent="0.2">
      <c r="C638" s="8" t="str">
        <f>IF([2]道具信息!C638="","",[2]道具信息!C638)</f>
        <v/>
      </c>
      <c r="D638" s="8" t="str">
        <f>IF([2]道具信息!D638="","",[2]道具信息!D638)</f>
        <v/>
      </c>
      <c r="E638" s="8" t="str">
        <f>IF([2]道具信息!E638="","",[2]道具信息!E638)</f>
        <v/>
      </c>
      <c r="F638" s="8" t="str">
        <f>IF([2]道具信息!F638="","",[2]道具信息!F638)</f>
        <v/>
      </c>
      <c r="G638" s="8" t="str">
        <f>IF([2]道具信息!G638="","",[2]道具信息!G638)</f>
        <v/>
      </c>
      <c r="H638" s="8" t="str">
        <f>IF([2]道具信息!H638="","",[2]道具信息!H638)</f>
        <v/>
      </c>
      <c r="I638" s="8" t="str">
        <f>IF([2]道具信息!I638="","",[2]道具信息!I638)</f>
        <v/>
      </c>
      <c r="J638" s="8" t="str">
        <f>IF([2]道具信息!J638="","",[2]道具信息!J638)</f>
        <v/>
      </c>
      <c r="K638" s="8" t="str">
        <f>IF([2]道具信息!K638="","",[2]道具信息!K638)</f>
        <v/>
      </c>
      <c r="L638" s="8" t="str">
        <f>IF([2]道具信息!L638="","",[2]道具信息!L638)</f>
        <v/>
      </c>
      <c r="M638" s="8" t="str">
        <f>IF([2]道具信息!M638="","",[2]道具信息!M638)</f>
        <v/>
      </c>
      <c r="N638" s="8" t="str">
        <f>IF([2]道具信息!N638="","",[2]道具信息!N638)</f>
        <v/>
      </c>
      <c r="O638" s="8" t="str">
        <f>IF([2]道具信息!O638="","",[2]道具信息!O638)</f>
        <v/>
      </c>
      <c r="P638" s="8" t="str">
        <f>IF([2]道具信息!P638="","",[2]道具信息!P638)</f>
        <v/>
      </c>
      <c r="Q638" s="8" t="str">
        <f>IF([2]道具信息!Q638="","",[2]道具信息!Q638)</f>
        <v/>
      </c>
      <c r="R638" s="8" t="str">
        <f>IF([2]道具信息!R638="","",[2]道具信息!R638)</f>
        <v/>
      </c>
    </row>
    <row r="639" spans="3:18" x14ac:dyDescent="0.2">
      <c r="C639" s="8" t="str">
        <f>IF([2]道具信息!C639="","",[2]道具信息!C639)</f>
        <v/>
      </c>
      <c r="D639" s="8" t="str">
        <f>IF([2]道具信息!D639="","",[2]道具信息!D639)</f>
        <v/>
      </c>
      <c r="E639" s="8" t="str">
        <f>IF([2]道具信息!E639="","",[2]道具信息!E639)</f>
        <v/>
      </c>
      <c r="F639" s="8" t="str">
        <f>IF([2]道具信息!F639="","",[2]道具信息!F639)</f>
        <v/>
      </c>
      <c r="G639" s="8" t="str">
        <f>IF([2]道具信息!G639="","",[2]道具信息!G639)</f>
        <v/>
      </c>
      <c r="H639" s="8" t="str">
        <f>IF([2]道具信息!H639="","",[2]道具信息!H639)</f>
        <v/>
      </c>
      <c r="I639" s="8" t="str">
        <f>IF([2]道具信息!I639="","",[2]道具信息!I639)</f>
        <v/>
      </c>
      <c r="J639" s="8" t="str">
        <f>IF([2]道具信息!J639="","",[2]道具信息!J639)</f>
        <v/>
      </c>
      <c r="K639" s="8" t="str">
        <f>IF([2]道具信息!K639="","",[2]道具信息!K639)</f>
        <v/>
      </c>
      <c r="L639" s="8" t="str">
        <f>IF([2]道具信息!L639="","",[2]道具信息!L639)</f>
        <v/>
      </c>
      <c r="M639" s="8" t="str">
        <f>IF([2]道具信息!M639="","",[2]道具信息!M639)</f>
        <v/>
      </c>
      <c r="N639" s="8" t="str">
        <f>IF([2]道具信息!N639="","",[2]道具信息!N639)</f>
        <v/>
      </c>
      <c r="O639" s="8" t="str">
        <f>IF([2]道具信息!O639="","",[2]道具信息!O639)</f>
        <v/>
      </c>
      <c r="P639" s="8" t="str">
        <f>IF([2]道具信息!P639="","",[2]道具信息!P639)</f>
        <v/>
      </c>
      <c r="Q639" s="8" t="str">
        <f>IF([2]道具信息!Q639="","",[2]道具信息!Q639)</f>
        <v/>
      </c>
      <c r="R639" s="8" t="str">
        <f>IF([2]道具信息!R639="","",[2]道具信息!R639)</f>
        <v/>
      </c>
    </row>
    <row r="640" spans="3:18" x14ac:dyDescent="0.2">
      <c r="C640" s="8" t="str">
        <f>IF([2]道具信息!C640="","",[2]道具信息!C640)</f>
        <v/>
      </c>
      <c r="D640" s="8" t="str">
        <f>IF([2]道具信息!D640="","",[2]道具信息!D640)</f>
        <v/>
      </c>
      <c r="E640" s="8" t="str">
        <f>IF([2]道具信息!E640="","",[2]道具信息!E640)</f>
        <v/>
      </c>
      <c r="F640" s="8" t="str">
        <f>IF([2]道具信息!F640="","",[2]道具信息!F640)</f>
        <v/>
      </c>
      <c r="G640" s="8" t="str">
        <f>IF([2]道具信息!G640="","",[2]道具信息!G640)</f>
        <v/>
      </c>
      <c r="H640" s="8" t="str">
        <f>IF([2]道具信息!H640="","",[2]道具信息!H640)</f>
        <v/>
      </c>
      <c r="I640" s="8" t="str">
        <f>IF([2]道具信息!I640="","",[2]道具信息!I640)</f>
        <v/>
      </c>
      <c r="J640" s="8" t="str">
        <f>IF([2]道具信息!J640="","",[2]道具信息!J640)</f>
        <v/>
      </c>
      <c r="K640" s="8" t="str">
        <f>IF([2]道具信息!K640="","",[2]道具信息!K640)</f>
        <v/>
      </c>
      <c r="L640" s="8" t="str">
        <f>IF([2]道具信息!L640="","",[2]道具信息!L640)</f>
        <v/>
      </c>
      <c r="M640" s="8" t="str">
        <f>IF([2]道具信息!M640="","",[2]道具信息!M640)</f>
        <v/>
      </c>
      <c r="N640" s="8" t="str">
        <f>IF([2]道具信息!N640="","",[2]道具信息!N640)</f>
        <v/>
      </c>
      <c r="O640" s="8" t="str">
        <f>IF([2]道具信息!O640="","",[2]道具信息!O640)</f>
        <v/>
      </c>
      <c r="P640" s="8" t="str">
        <f>IF([2]道具信息!P640="","",[2]道具信息!P640)</f>
        <v/>
      </c>
      <c r="Q640" s="8" t="str">
        <f>IF([2]道具信息!Q640="","",[2]道具信息!Q640)</f>
        <v/>
      </c>
      <c r="R640" s="8" t="str">
        <f>IF([2]道具信息!R640="","",[2]道具信息!R640)</f>
        <v/>
      </c>
    </row>
    <row r="641" spans="3:18" x14ac:dyDescent="0.2">
      <c r="C641" s="8" t="str">
        <f>IF([2]道具信息!C641="","",[2]道具信息!C641)</f>
        <v/>
      </c>
      <c r="D641" s="8" t="str">
        <f>IF([2]道具信息!D641="","",[2]道具信息!D641)</f>
        <v/>
      </c>
      <c r="E641" s="8" t="str">
        <f>IF([2]道具信息!E641="","",[2]道具信息!E641)</f>
        <v/>
      </c>
      <c r="F641" s="8" t="str">
        <f>IF([2]道具信息!F641="","",[2]道具信息!F641)</f>
        <v/>
      </c>
      <c r="G641" s="8" t="str">
        <f>IF([2]道具信息!G641="","",[2]道具信息!G641)</f>
        <v/>
      </c>
      <c r="H641" s="8" t="str">
        <f>IF([2]道具信息!H641="","",[2]道具信息!H641)</f>
        <v/>
      </c>
      <c r="I641" s="8" t="str">
        <f>IF([2]道具信息!I641="","",[2]道具信息!I641)</f>
        <v/>
      </c>
      <c r="J641" s="8" t="str">
        <f>IF([2]道具信息!J641="","",[2]道具信息!J641)</f>
        <v/>
      </c>
      <c r="K641" s="8" t="str">
        <f>IF([2]道具信息!K641="","",[2]道具信息!K641)</f>
        <v/>
      </c>
      <c r="L641" s="8" t="str">
        <f>IF([2]道具信息!L641="","",[2]道具信息!L641)</f>
        <v/>
      </c>
      <c r="M641" s="8" t="str">
        <f>IF([2]道具信息!M641="","",[2]道具信息!M641)</f>
        <v/>
      </c>
      <c r="N641" s="8" t="str">
        <f>IF([2]道具信息!N641="","",[2]道具信息!N641)</f>
        <v/>
      </c>
      <c r="O641" s="8" t="str">
        <f>IF([2]道具信息!O641="","",[2]道具信息!O641)</f>
        <v/>
      </c>
      <c r="P641" s="8" t="str">
        <f>IF([2]道具信息!P641="","",[2]道具信息!P641)</f>
        <v/>
      </c>
      <c r="Q641" s="8" t="str">
        <f>IF([2]道具信息!Q641="","",[2]道具信息!Q641)</f>
        <v/>
      </c>
      <c r="R641" s="8" t="str">
        <f>IF([2]道具信息!R641="","",[2]道具信息!R641)</f>
        <v/>
      </c>
    </row>
    <row r="642" spans="3:18" x14ac:dyDescent="0.2">
      <c r="C642" s="8" t="str">
        <f>IF([2]道具信息!C642="","",[2]道具信息!C642)</f>
        <v/>
      </c>
      <c r="D642" s="8" t="str">
        <f>IF([2]道具信息!D642="","",[2]道具信息!D642)</f>
        <v/>
      </c>
      <c r="E642" s="8" t="str">
        <f>IF([2]道具信息!E642="","",[2]道具信息!E642)</f>
        <v/>
      </c>
      <c r="F642" s="8" t="str">
        <f>IF([2]道具信息!F642="","",[2]道具信息!F642)</f>
        <v/>
      </c>
      <c r="G642" s="8" t="str">
        <f>IF([2]道具信息!G642="","",[2]道具信息!G642)</f>
        <v/>
      </c>
      <c r="H642" s="8" t="str">
        <f>IF([2]道具信息!H642="","",[2]道具信息!H642)</f>
        <v/>
      </c>
      <c r="I642" s="8" t="str">
        <f>IF([2]道具信息!I642="","",[2]道具信息!I642)</f>
        <v/>
      </c>
      <c r="J642" s="8" t="str">
        <f>IF([2]道具信息!J642="","",[2]道具信息!J642)</f>
        <v/>
      </c>
      <c r="K642" s="8" t="str">
        <f>IF([2]道具信息!K642="","",[2]道具信息!K642)</f>
        <v/>
      </c>
      <c r="L642" s="8" t="str">
        <f>IF([2]道具信息!L642="","",[2]道具信息!L642)</f>
        <v/>
      </c>
      <c r="M642" s="8" t="str">
        <f>IF([2]道具信息!M642="","",[2]道具信息!M642)</f>
        <v/>
      </c>
      <c r="N642" s="8" t="str">
        <f>IF([2]道具信息!N642="","",[2]道具信息!N642)</f>
        <v/>
      </c>
      <c r="O642" s="8" t="str">
        <f>IF([2]道具信息!O642="","",[2]道具信息!O642)</f>
        <v/>
      </c>
      <c r="P642" s="8" t="str">
        <f>IF([2]道具信息!P642="","",[2]道具信息!P642)</f>
        <v/>
      </c>
      <c r="Q642" s="8" t="str">
        <f>IF([2]道具信息!Q642="","",[2]道具信息!Q642)</f>
        <v/>
      </c>
      <c r="R642" s="8" t="str">
        <f>IF([2]道具信息!R642="","",[2]道具信息!R642)</f>
        <v/>
      </c>
    </row>
    <row r="643" spans="3:18" x14ac:dyDescent="0.2">
      <c r="C643" s="8" t="str">
        <f>IF([2]道具信息!C643="","",[2]道具信息!C643)</f>
        <v/>
      </c>
      <c r="D643" s="8" t="str">
        <f>IF([2]道具信息!D643="","",[2]道具信息!D643)</f>
        <v/>
      </c>
      <c r="E643" s="8" t="str">
        <f>IF([2]道具信息!E643="","",[2]道具信息!E643)</f>
        <v/>
      </c>
      <c r="F643" s="8" t="str">
        <f>IF([2]道具信息!F643="","",[2]道具信息!F643)</f>
        <v/>
      </c>
      <c r="G643" s="8" t="str">
        <f>IF([2]道具信息!G643="","",[2]道具信息!G643)</f>
        <v/>
      </c>
      <c r="H643" s="8" t="str">
        <f>IF([2]道具信息!H643="","",[2]道具信息!H643)</f>
        <v/>
      </c>
      <c r="I643" s="8" t="str">
        <f>IF([2]道具信息!I643="","",[2]道具信息!I643)</f>
        <v/>
      </c>
      <c r="J643" s="8" t="str">
        <f>IF([2]道具信息!J643="","",[2]道具信息!J643)</f>
        <v/>
      </c>
      <c r="K643" s="8" t="str">
        <f>IF([2]道具信息!K643="","",[2]道具信息!K643)</f>
        <v/>
      </c>
      <c r="L643" s="8" t="str">
        <f>IF([2]道具信息!L643="","",[2]道具信息!L643)</f>
        <v/>
      </c>
      <c r="M643" s="8" t="str">
        <f>IF([2]道具信息!M643="","",[2]道具信息!M643)</f>
        <v/>
      </c>
      <c r="N643" s="8" t="str">
        <f>IF([2]道具信息!N643="","",[2]道具信息!N643)</f>
        <v/>
      </c>
      <c r="O643" s="8" t="str">
        <f>IF([2]道具信息!O643="","",[2]道具信息!O643)</f>
        <v/>
      </c>
      <c r="P643" s="8" t="str">
        <f>IF([2]道具信息!P643="","",[2]道具信息!P643)</f>
        <v/>
      </c>
      <c r="Q643" s="8" t="str">
        <f>IF([2]道具信息!Q643="","",[2]道具信息!Q643)</f>
        <v/>
      </c>
      <c r="R643" s="8" t="str">
        <f>IF([2]道具信息!R643="","",[2]道具信息!R643)</f>
        <v/>
      </c>
    </row>
    <row r="644" spans="3:18" x14ac:dyDescent="0.2">
      <c r="C644" s="8" t="str">
        <f>IF([2]道具信息!C644="","",[2]道具信息!C644)</f>
        <v/>
      </c>
      <c r="D644" s="8" t="str">
        <f>IF([2]道具信息!D644="","",[2]道具信息!D644)</f>
        <v/>
      </c>
      <c r="E644" s="8" t="str">
        <f>IF([2]道具信息!E644="","",[2]道具信息!E644)</f>
        <v/>
      </c>
      <c r="F644" s="8" t="str">
        <f>IF([2]道具信息!F644="","",[2]道具信息!F644)</f>
        <v/>
      </c>
      <c r="G644" s="8" t="str">
        <f>IF([2]道具信息!G644="","",[2]道具信息!G644)</f>
        <v/>
      </c>
      <c r="H644" s="8" t="str">
        <f>IF([2]道具信息!H644="","",[2]道具信息!H644)</f>
        <v/>
      </c>
      <c r="I644" s="8" t="str">
        <f>IF([2]道具信息!I644="","",[2]道具信息!I644)</f>
        <v/>
      </c>
      <c r="J644" s="8" t="str">
        <f>IF([2]道具信息!J644="","",[2]道具信息!J644)</f>
        <v/>
      </c>
      <c r="K644" s="8" t="str">
        <f>IF([2]道具信息!K644="","",[2]道具信息!K644)</f>
        <v/>
      </c>
      <c r="L644" s="8" t="str">
        <f>IF([2]道具信息!L644="","",[2]道具信息!L644)</f>
        <v/>
      </c>
      <c r="M644" s="8" t="str">
        <f>IF([2]道具信息!M644="","",[2]道具信息!M644)</f>
        <v/>
      </c>
      <c r="N644" s="8" t="str">
        <f>IF([2]道具信息!N644="","",[2]道具信息!N644)</f>
        <v/>
      </c>
      <c r="O644" s="8" t="str">
        <f>IF([2]道具信息!O644="","",[2]道具信息!O644)</f>
        <v/>
      </c>
      <c r="P644" s="8" t="str">
        <f>IF([2]道具信息!P644="","",[2]道具信息!P644)</f>
        <v/>
      </c>
      <c r="Q644" s="8" t="str">
        <f>IF([2]道具信息!Q644="","",[2]道具信息!Q644)</f>
        <v/>
      </c>
      <c r="R644" s="8" t="str">
        <f>IF([2]道具信息!R644="","",[2]道具信息!R644)</f>
        <v/>
      </c>
    </row>
    <row r="645" spans="3:18" x14ac:dyDescent="0.2">
      <c r="C645" s="8" t="str">
        <f>IF([2]道具信息!C645="","",[2]道具信息!C645)</f>
        <v/>
      </c>
      <c r="D645" s="8" t="str">
        <f>IF([2]道具信息!D645="","",[2]道具信息!D645)</f>
        <v/>
      </c>
      <c r="E645" s="8" t="str">
        <f>IF([2]道具信息!E645="","",[2]道具信息!E645)</f>
        <v/>
      </c>
      <c r="F645" s="8" t="str">
        <f>IF([2]道具信息!F645="","",[2]道具信息!F645)</f>
        <v/>
      </c>
      <c r="G645" s="8" t="str">
        <f>IF([2]道具信息!G645="","",[2]道具信息!G645)</f>
        <v/>
      </c>
      <c r="H645" s="8" t="str">
        <f>IF([2]道具信息!H645="","",[2]道具信息!H645)</f>
        <v/>
      </c>
      <c r="I645" s="8" t="str">
        <f>IF([2]道具信息!I645="","",[2]道具信息!I645)</f>
        <v/>
      </c>
      <c r="J645" s="8" t="str">
        <f>IF([2]道具信息!J645="","",[2]道具信息!J645)</f>
        <v/>
      </c>
      <c r="K645" s="8" t="str">
        <f>IF([2]道具信息!K645="","",[2]道具信息!K645)</f>
        <v/>
      </c>
      <c r="L645" s="8" t="str">
        <f>IF([2]道具信息!L645="","",[2]道具信息!L645)</f>
        <v/>
      </c>
      <c r="M645" s="8" t="str">
        <f>IF([2]道具信息!M645="","",[2]道具信息!M645)</f>
        <v/>
      </c>
      <c r="N645" s="8" t="str">
        <f>IF([2]道具信息!N645="","",[2]道具信息!N645)</f>
        <v/>
      </c>
      <c r="O645" s="8" t="str">
        <f>IF([2]道具信息!O645="","",[2]道具信息!O645)</f>
        <v/>
      </c>
      <c r="P645" s="8" t="str">
        <f>IF([2]道具信息!P645="","",[2]道具信息!P645)</f>
        <v/>
      </c>
      <c r="Q645" s="8" t="str">
        <f>IF([2]道具信息!Q645="","",[2]道具信息!Q645)</f>
        <v/>
      </c>
      <c r="R645" s="8" t="str">
        <f>IF([2]道具信息!R645="","",[2]道具信息!R645)</f>
        <v/>
      </c>
    </row>
    <row r="646" spans="3:18" x14ac:dyDescent="0.2">
      <c r="C646" s="8" t="str">
        <f>IF([2]道具信息!C646="","",[2]道具信息!C646)</f>
        <v/>
      </c>
      <c r="D646" s="8" t="str">
        <f>IF([2]道具信息!D646="","",[2]道具信息!D646)</f>
        <v/>
      </c>
      <c r="E646" s="8" t="str">
        <f>IF([2]道具信息!E646="","",[2]道具信息!E646)</f>
        <v/>
      </c>
      <c r="F646" s="8" t="str">
        <f>IF([2]道具信息!F646="","",[2]道具信息!F646)</f>
        <v/>
      </c>
      <c r="G646" s="8" t="str">
        <f>IF([2]道具信息!G646="","",[2]道具信息!G646)</f>
        <v/>
      </c>
      <c r="H646" s="8" t="str">
        <f>IF([2]道具信息!H646="","",[2]道具信息!H646)</f>
        <v/>
      </c>
      <c r="I646" s="8" t="str">
        <f>IF([2]道具信息!I646="","",[2]道具信息!I646)</f>
        <v/>
      </c>
      <c r="J646" s="8" t="str">
        <f>IF([2]道具信息!J646="","",[2]道具信息!J646)</f>
        <v/>
      </c>
      <c r="K646" s="8" t="str">
        <f>IF([2]道具信息!K646="","",[2]道具信息!K646)</f>
        <v/>
      </c>
      <c r="L646" s="8" t="str">
        <f>IF([2]道具信息!L646="","",[2]道具信息!L646)</f>
        <v/>
      </c>
      <c r="M646" s="8" t="str">
        <f>IF([2]道具信息!M646="","",[2]道具信息!M646)</f>
        <v/>
      </c>
      <c r="N646" s="8" t="str">
        <f>IF([2]道具信息!N646="","",[2]道具信息!N646)</f>
        <v/>
      </c>
      <c r="O646" s="8" t="str">
        <f>IF([2]道具信息!O646="","",[2]道具信息!O646)</f>
        <v/>
      </c>
      <c r="P646" s="8" t="str">
        <f>IF([2]道具信息!P646="","",[2]道具信息!P646)</f>
        <v/>
      </c>
      <c r="Q646" s="8" t="str">
        <f>IF([2]道具信息!Q646="","",[2]道具信息!Q646)</f>
        <v/>
      </c>
      <c r="R646" s="8" t="str">
        <f>IF([2]道具信息!R646="","",[2]道具信息!R646)</f>
        <v/>
      </c>
    </row>
    <row r="647" spans="3:18" x14ac:dyDescent="0.2">
      <c r="C647" s="8" t="str">
        <f>IF([2]道具信息!C647="","",[2]道具信息!C647)</f>
        <v/>
      </c>
      <c r="D647" s="8" t="str">
        <f>IF([2]道具信息!D647="","",[2]道具信息!D647)</f>
        <v/>
      </c>
      <c r="E647" s="8" t="str">
        <f>IF([2]道具信息!E647="","",[2]道具信息!E647)</f>
        <v/>
      </c>
      <c r="F647" s="8" t="str">
        <f>IF([2]道具信息!F647="","",[2]道具信息!F647)</f>
        <v/>
      </c>
      <c r="G647" s="8" t="str">
        <f>IF([2]道具信息!G647="","",[2]道具信息!G647)</f>
        <v/>
      </c>
      <c r="H647" s="8" t="str">
        <f>IF([2]道具信息!H647="","",[2]道具信息!H647)</f>
        <v/>
      </c>
      <c r="I647" s="8" t="str">
        <f>IF([2]道具信息!I647="","",[2]道具信息!I647)</f>
        <v/>
      </c>
      <c r="J647" s="8" t="str">
        <f>IF([2]道具信息!J647="","",[2]道具信息!J647)</f>
        <v/>
      </c>
      <c r="K647" s="8" t="str">
        <f>IF([2]道具信息!K647="","",[2]道具信息!K647)</f>
        <v/>
      </c>
      <c r="L647" s="8" t="str">
        <f>IF([2]道具信息!L647="","",[2]道具信息!L647)</f>
        <v/>
      </c>
      <c r="M647" s="8" t="str">
        <f>IF([2]道具信息!M647="","",[2]道具信息!M647)</f>
        <v/>
      </c>
      <c r="N647" s="8" t="str">
        <f>IF([2]道具信息!N647="","",[2]道具信息!N647)</f>
        <v/>
      </c>
      <c r="O647" s="8" t="str">
        <f>IF([2]道具信息!O647="","",[2]道具信息!O647)</f>
        <v/>
      </c>
      <c r="P647" s="8" t="str">
        <f>IF([2]道具信息!P647="","",[2]道具信息!P647)</f>
        <v/>
      </c>
      <c r="Q647" s="8" t="str">
        <f>IF([2]道具信息!Q647="","",[2]道具信息!Q647)</f>
        <v/>
      </c>
      <c r="R647" s="8" t="str">
        <f>IF([2]道具信息!R647="","",[2]道具信息!R647)</f>
        <v/>
      </c>
    </row>
    <row r="648" spans="3:18" x14ac:dyDescent="0.2">
      <c r="C648" s="8" t="str">
        <f>IF([2]道具信息!C648="","",[2]道具信息!C648)</f>
        <v/>
      </c>
      <c r="D648" s="8" t="str">
        <f>IF([2]道具信息!D648="","",[2]道具信息!D648)</f>
        <v/>
      </c>
      <c r="E648" s="8" t="str">
        <f>IF([2]道具信息!E648="","",[2]道具信息!E648)</f>
        <v/>
      </c>
      <c r="F648" s="8" t="str">
        <f>IF([2]道具信息!F648="","",[2]道具信息!F648)</f>
        <v/>
      </c>
      <c r="G648" s="8" t="str">
        <f>IF([2]道具信息!G648="","",[2]道具信息!G648)</f>
        <v/>
      </c>
      <c r="H648" s="8" t="str">
        <f>IF([2]道具信息!H648="","",[2]道具信息!H648)</f>
        <v/>
      </c>
      <c r="I648" s="8" t="str">
        <f>IF([2]道具信息!I648="","",[2]道具信息!I648)</f>
        <v/>
      </c>
      <c r="J648" s="8" t="str">
        <f>IF([2]道具信息!J648="","",[2]道具信息!J648)</f>
        <v/>
      </c>
      <c r="K648" s="8" t="str">
        <f>IF([2]道具信息!K648="","",[2]道具信息!K648)</f>
        <v/>
      </c>
      <c r="L648" s="8" t="str">
        <f>IF([2]道具信息!L648="","",[2]道具信息!L648)</f>
        <v/>
      </c>
      <c r="M648" s="8" t="str">
        <f>IF([2]道具信息!M648="","",[2]道具信息!M648)</f>
        <v/>
      </c>
      <c r="N648" s="8" t="str">
        <f>IF([2]道具信息!N648="","",[2]道具信息!N648)</f>
        <v/>
      </c>
      <c r="O648" s="8" t="str">
        <f>IF([2]道具信息!O648="","",[2]道具信息!O648)</f>
        <v/>
      </c>
      <c r="P648" s="8" t="str">
        <f>IF([2]道具信息!P648="","",[2]道具信息!P648)</f>
        <v/>
      </c>
      <c r="Q648" s="8" t="str">
        <f>IF([2]道具信息!Q648="","",[2]道具信息!Q648)</f>
        <v/>
      </c>
      <c r="R648" s="8" t="str">
        <f>IF([2]道具信息!R648="","",[2]道具信息!R648)</f>
        <v/>
      </c>
    </row>
    <row r="649" spans="3:18" x14ac:dyDescent="0.2">
      <c r="C649" s="8" t="str">
        <f>IF([2]道具信息!C649="","",[2]道具信息!C649)</f>
        <v/>
      </c>
      <c r="D649" s="8" t="str">
        <f>IF([2]道具信息!D649="","",[2]道具信息!D649)</f>
        <v/>
      </c>
      <c r="E649" s="8" t="str">
        <f>IF([2]道具信息!E649="","",[2]道具信息!E649)</f>
        <v/>
      </c>
      <c r="F649" s="8" t="str">
        <f>IF([2]道具信息!F649="","",[2]道具信息!F649)</f>
        <v/>
      </c>
      <c r="G649" s="8" t="str">
        <f>IF([2]道具信息!G649="","",[2]道具信息!G649)</f>
        <v/>
      </c>
      <c r="H649" s="8" t="str">
        <f>IF([2]道具信息!H649="","",[2]道具信息!H649)</f>
        <v/>
      </c>
      <c r="I649" s="8" t="str">
        <f>IF([2]道具信息!I649="","",[2]道具信息!I649)</f>
        <v/>
      </c>
      <c r="J649" s="8" t="str">
        <f>IF([2]道具信息!J649="","",[2]道具信息!J649)</f>
        <v/>
      </c>
      <c r="K649" s="8" t="str">
        <f>IF([2]道具信息!K649="","",[2]道具信息!K649)</f>
        <v/>
      </c>
      <c r="L649" s="8" t="str">
        <f>IF([2]道具信息!L649="","",[2]道具信息!L649)</f>
        <v/>
      </c>
      <c r="M649" s="8" t="str">
        <f>IF([2]道具信息!M649="","",[2]道具信息!M649)</f>
        <v/>
      </c>
      <c r="N649" s="8" t="str">
        <f>IF([2]道具信息!N649="","",[2]道具信息!N649)</f>
        <v/>
      </c>
      <c r="O649" s="8" t="str">
        <f>IF([2]道具信息!O649="","",[2]道具信息!O649)</f>
        <v/>
      </c>
      <c r="P649" s="8" t="str">
        <f>IF([2]道具信息!P649="","",[2]道具信息!P649)</f>
        <v/>
      </c>
      <c r="Q649" s="8" t="str">
        <f>IF([2]道具信息!Q649="","",[2]道具信息!Q649)</f>
        <v/>
      </c>
      <c r="R649" s="8" t="str">
        <f>IF([2]道具信息!R649="","",[2]道具信息!R649)</f>
        <v/>
      </c>
    </row>
    <row r="650" spans="3:18" x14ac:dyDescent="0.2">
      <c r="C650" s="8" t="str">
        <f>IF([2]道具信息!C650="","",[2]道具信息!C650)</f>
        <v/>
      </c>
      <c r="D650" s="8" t="str">
        <f>IF([2]道具信息!D650="","",[2]道具信息!D650)</f>
        <v/>
      </c>
      <c r="E650" s="8" t="str">
        <f>IF([2]道具信息!E650="","",[2]道具信息!E650)</f>
        <v/>
      </c>
      <c r="F650" s="8" t="str">
        <f>IF([2]道具信息!F650="","",[2]道具信息!F650)</f>
        <v/>
      </c>
      <c r="G650" s="8" t="str">
        <f>IF([2]道具信息!G650="","",[2]道具信息!G650)</f>
        <v/>
      </c>
      <c r="H650" s="8" t="str">
        <f>IF([2]道具信息!H650="","",[2]道具信息!H650)</f>
        <v/>
      </c>
      <c r="I650" s="8" t="str">
        <f>IF([2]道具信息!I650="","",[2]道具信息!I650)</f>
        <v/>
      </c>
      <c r="J650" s="8" t="str">
        <f>IF([2]道具信息!J650="","",[2]道具信息!J650)</f>
        <v/>
      </c>
      <c r="K650" s="8" t="str">
        <f>IF([2]道具信息!K650="","",[2]道具信息!K650)</f>
        <v/>
      </c>
      <c r="L650" s="8" t="str">
        <f>IF([2]道具信息!L650="","",[2]道具信息!L650)</f>
        <v/>
      </c>
      <c r="M650" s="8" t="str">
        <f>IF([2]道具信息!M650="","",[2]道具信息!M650)</f>
        <v/>
      </c>
      <c r="N650" s="8" t="str">
        <f>IF([2]道具信息!N650="","",[2]道具信息!N650)</f>
        <v/>
      </c>
      <c r="O650" s="8" t="str">
        <f>IF([2]道具信息!O650="","",[2]道具信息!O650)</f>
        <v/>
      </c>
      <c r="P650" s="8" t="str">
        <f>IF([2]道具信息!P650="","",[2]道具信息!P650)</f>
        <v/>
      </c>
      <c r="Q650" s="8" t="str">
        <f>IF([2]道具信息!Q650="","",[2]道具信息!Q650)</f>
        <v/>
      </c>
      <c r="R650" s="8" t="str">
        <f>IF([2]道具信息!R650="","",[2]道具信息!R650)</f>
        <v/>
      </c>
    </row>
    <row r="651" spans="3:18" x14ac:dyDescent="0.2">
      <c r="C651" s="8" t="str">
        <f>IF([2]道具信息!C651="","",[2]道具信息!C651)</f>
        <v/>
      </c>
      <c r="D651" s="8" t="str">
        <f>IF([2]道具信息!D651="","",[2]道具信息!D651)</f>
        <v/>
      </c>
      <c r="E651" s="8" t="str">
        <f>IF([2]道具信息!E651="","",[2]道具信息!E651)</f>
        <v/>
      </c>
      <c r="F651" s="8" t="str">
        <f>IF([2]道具信息!F651="","",[2]道具信息!F651)</f>
        <v/>
      </c>
      <c r="G651" s="8" t="str">
        <f>IF([2]道具信息!G651="","",[2]道具信息!G651)</f>
        <v/>
      </c>
      <c r="H651" s="8" t="str">
        <f>IF([2]道具信息!H651="","",[2]道具信息!H651)</f>
        <v/>
      </c>
      <c r="I651" s="8" t="str">
        <f>IF([2]道具信息!I651="","",[2]道具信息!I651)</f>
        <v/>
      </c>
      <c r="J651" s="8" t="str">
        <f>IF([2]道具信息!J651="","",[2]道具信息!J651)</f>
        <v/>
      </c>
      <c r="K651" s="8" t="str">
        <f>IF([2]道具信息!K651="","",[2]道具信息!K651)</f>
        <v/>
      </c>
      <c r="L651" s="8" t="str">
        <f>IF([2]道具信息!L651="","",[2]道具信息!L651)</f>
        <v/>
      </c>
      <c r="M651" s="8" t="str">
        <f>IF([2]道具信息!M651="","",[2]道具信息!M651)</f>
        <v/>
      </c>
      <c r="N651" s="8" t="str">
        <f>IF([2]道具信息!N651="","",[2]道具信息!N651)</f>
        <v/>
      </c>
      <c r="O651" s="8" t="str">
        <f>IF([2]道具信息!O651="","",[2]道具信息!O651)</f>
        <v/>
      </c>
      <c r="P651" s="8" t="str">
        <f>IF([2]道具信息!P651="","",[2]道具信息!P651)</f>
        <v/>
      </c>
      <c r="Q651" s="8" t="str">
        <f>IF([2]道具信息!Q651="","",[2]道具信息!Q651)</f>
        <v/>
      </c>
      <c r="R651" s="8" t="str">
        <f>IF([2]道具信息!R651="","",[2]道具信息!R651)</f>
        <v/>
      </c>
    </row>
    <row r="652" spans="3:18" x14ac:dyDescent="0.2">
      <c r="C652" s="8" t="str">
        <f>IF([2]道具信息!C652="","",[2]道具信息!C652)</f>
        <v/>
      </c>
      <c r="D652" s="8" t="str">
        <f>IF([2]道具信息!D652="","",[2]道具信息!D652)</f>
        <v/>
      </c>
      <c r="E652" s="8" t="str">
        <f>IF([2]道具信息!E652="","",[2]道具信息!E652)</f>
        <v/>
      </c>
      <c r="F652" s="8" t="str">
        <f>IF([2]道具信息!F652="","",[2]道具信息!F652)</f>
        <v/>
      </c>
      <c r="G652" s="8" t="str">
        <f>IF([2]道具信息!G652="","",[2]道具信息!G652)</f>
        <v/>
      </c>
      <c r="H652" s="8" t="str">
        <f>IF([2]道具信息!H652="","",[2]道具信息!H652)</f>
        <v/>
      </c>
      <c r="I652" s="8" t="str">
        <f>IF([2]道具信息!I652="","",[2]道具信息!I652)</f>
        <v/>
      </c>
      <c r="J652" s="8" t="str">
        <f>IF([2]道具信息!J652="","",[2]道具信息!J652)</f>
        <v/>
      </c>
      <c r="K652" s="8" t="str">
        <f>IF([2]道具信息!K652="","",[2]道具信息!K652)</f>
        <v/>
      </c>
      <c r="L652" s="8" t="str">
        <f>IF([2]道具信息!L652="","",[2]道具信息!L652)</f>
        <v/>
      </c>
      <c r="M652" s="8" t="str">
        <f>IF([2]道具信息!M652="","",[2]道具信息!M652)</f>
        <v/>
      </c>
      <c r="N652" s="8" t="str">
        <f>IF([2]道具信息!N652="","",[2]道具信息!N652)</f>
        <v/>
      </c>
      <c r="O652" s="8" t="str">
        <f>IF([2]道具信息!O652="","",[2]道具信息!O652)</f>
        <v/>
      </c>
      <c r="P652" s="8" t="str">
        <f>IF([2]道具信息!P652="","",[2]道具信息!P652)</f>
        <v/>
      </c>
      <c r="Q652" s="8" t="str">
        <f>IF([2]道具信息!Q652="","",[2]道具信息!Q652)</f>
        <v/>
      </c>
      <c r="R652" s="8" t="str">
        <f>IF([2]道具信息!R652="","",[2]道具信息!R652)</f>
        <v/>
      </c>
    </row>
    <row r="653" spans="3:18" x14ac:dyDescent="0.2">
      <c r="C653" s="8" t="str">
        <f>IF([2]道具信息!C653="","",[2]道具信息!C653)</f>
        <v/>
      </c>
      <c r="D653" s="8" t="str">
        <f>IF([2]道具信息!D653="","",[2]道具信息!D653)</f>
        <v/>
      </c>
      <c r="E653" s="8" t="str">
        <f>IF([2]道具信息!E653="","",[2]道具信息!E653)</f>
        <v/>
      </c>
      <c r="F653" s="8" t="str">
        <f>IF([2]道具信息!F653="","",[2]道具信息!F653)</f>
        <v/>
      </c>
      <c r="G653" s="8" t="str">
        <f>IF([2]道具信息!G653="","",[2]道具信息!G653)</f>
        <v/>
      </c>
      <c r="H653" s="8" t="str">
        <f>IF([2]道具信息!H653="","",[2]道具信息!H653)</f>
        <v/>
      </c>
      <c r="I653" s="8" t="str">
        <f>IF([2]道具信息!I653="","",[2]道具信息!I653)</f>
        <v/>
      </c>
      <c r="J653" s="8" t="str">
        <f>IF([2]道具信息!J653="","",[2]道具信息!J653)</f>
        <v/>
      </c>
      <c r="K653" s="8" t="str">
        <f>IF([2]道具信息!K653="","",[2]道具信息!K653)</f>
        <v/>
      </c>
      <c r="L653" s="8" t="str">
        <f>IF([2]道具信息!L653="","",[2]道具信息!L653)</f>
        <v/>
      </c>
      <c r="M653" s="8" t="str">
        <f>IF([2]道具信息!M653="","",[2]道具信息!M653)</f>
        <v/>
      </c>
      <c r="N653" s="8" t="str">
        <f>IF([2]道具信息!N653="","",[2]道具信息!N653)</f>
        <v/>
      </c>
      <c r="O653" s="8" t="str">
        <f>IF([2]道具信息!O653="","",[2]道具信息!O653)</f>
        <v/>
      </c>
      <c r="P653" s="8" t="str">
        <f>IF([2]道具信息!P653="","",[2]道具信息!P653)</f>
        <v/>
      </c>
      <c r="Q653" s="8" t="str">
        <f>IF([2]道具信息!Q653="","",[2]道具信息!Q653)</f>
        <v/>
      </c>
      <c r="R653" s="8" t="str">
        <f>IF([2]道具信息!R653="","",[2]道具信息!R653)</f>
        <v/>
      </c>
    </row>
    <row r="654" spans="3:18" x14ac:dyDescent="0.2">
      <c r="C654" s="8" t="str">
        <f>IF([2]道具信息!C654="","",[2]道具信息!C654)</f>
        <v/>
      </c>
      <c r="D654" s="8" t="str">
        <f>IF([2]道具信息!D654="","",[2]道具信息!D654)</f>
        <v/>
      </c>
      <c r="E654" s="8" t="str">
        <f>IF([2]道具信息!E654="","",[2]道具信息!E654)</f>
        <v/>
      </c>
      <c r="F654" s="8" t="str">
        <f>IF([2]道具信息!F654="","",[2]道具信息!F654)</f>
        <v/>
      </c>
      <c r="G654" s="8" t="str">
        <f>IF([2]道具信息!G654="","",[2]道具信息!G654)</f>
        <v/>
      </c>
      <c r="H654" s="8" t="str">
        <f>IF([2]道具信息!H654="","",[2]道具信息!H654)</f>
        <v/>
      </c>
      <c r="I654" s="8" t="str">
        <f>IF([2]道具信息!I654="","",[2]道具信息!I654)</f>
        <v/>
      </c>
      <c r="J654" s="8" t="str">
        <f>IF([2]道具信息!J654="","",[2]道具信息!J654)</f>
        <v/>
      </c>
      <c r="K654" s="8" t="str">
        <f>IF([2]道具信息!K654="","",[2]道具信息!K654)</f>
        <v/>
      </c>
      <c r="L654" s="8" t="str">
        <f>IF([2]道具信息!L654="","",[2]道具信息!L654)</f>
        <v/>
      </c>
      <c r="M654" s="8" t="str">
        <f>IF([2]道具信息!M654="","",[2]道具信息!M654)</f>
        <v/>
      </c>
      <c r="N654" s="8" t="str">
        <f>IF([2]道具信息!N654="","",[2]道具信息!N654)</f>
        <v/>
      </c>
      <c r="O654" s="8" t="str">
        <f>IF([2]道具信息!O654="","",[2]道具信息!O654)</f>
        <v/>
      </c>
      <c r="P654" s="8" t="str">
        <f>IF([2]道具信息!P654="","",[2]道具信息!P654)</f>
        <v/>
      </c>
      <c r="Q654" s="8" t="str">
        <f>IF([2]道具信息!Q654="","",[2]道具信息!Q654)</f>
        <v/>
      </c>
      <c r="R654" s="8" t="str">
        <f>IF([2]道具信息!R654="","",[2]道具信息!R654)</f>
        <v/>
      </c>
    </row>
    <row r="655" spans="3:18" x14ac:dyDescent="0.2">
      <c r="C655" s="8" t="str">
        <f>IF([2]道具信息!C655="","",[2]道具信息!C655)</f>
        <v/>
      </c>
      <c r="D655" s="8" t="str">
        <f>IF([2]道具信息!D655="","",[2]道具信息!D655)</f>
        <v/>
      </c>
      <c r="E655" s="8" t="str">
        <f>IF([2]道具信息!E655="","",[2]道具信息!E655)</f>
        <v/>
      </c>
      <c r="F655" s="8" t="str">
        <f>IF([2]道具信息!F655="","",[2]道具信息!F655)</f>
        <v/>
      </c>
      <c r="G655" s="8" t="str">
        <f>IF([2]道具信息!G655="","",[2]道具信息!G655)</f>
        <v/>
      </c>
      <c r="H655" s="8" t="str">
        <f>IF([2]道具信息!H655="","",[2]道具信息!H655)</f>
        <v/>
      </c>
      <c r="I655" s="8" t="str">
        <f>IF([2]道具信息!I655="","",[2]道具信息!I655)</f>
        <v/>
      </c>
      <c r="J655" s="8" t="str">
        <f>IF([2]道具信息!J655="","",[2]道具信息!J655)</f>
        <v/>
      </c>
      <c r="K655" s="8" t="str">
        <f>IF([2]道具信息!K655="","",[2]道具信息!K655)</f>
        <v/>
      </c>
      <c r="L655" s="8" t="str">
        <f>IF([2]道具信息!L655="","",[2]道具信息!L655)</f>
        <v/>
      </c>
      <c r="M655" s="8" t="str">
        <f>IF([2]道具信息!M655="","",[2]道具信息!M655)</f>
        <v/>
      </c>
      <c r="N655" s="8" t="str">
        <f>IF([2]道具信息!N655="","",[2]道具信息!N655)</f>
        <v/>
      </c>
      <c r="O655" s="8" t="str">
        <f>IF([2]道具信息!O655="","",[2]道具信息!O655)</f>
        <v/>
      </c>
      <c r="P655" s="8" t="str">
        <f>IF([2]道具信息!P655="","",[2]道具信息!P655)</f>
        <v/>
      </c>
      <c r="Q655" s="8" t="str">
        <f>IF([2]道具信息!Q655="","",[2]道具信息!Q655)</f>
        <v/>
      </c>
      <c r="R655" s="8" t="str">
        <f>IF([2]道具信息!R655="","",[2]道具信息!R655)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节奏总纲</vt:lpstr>
      <vt:lpstr>匹配规则</vt:lpstr>
      <vt:lpstr>玩法和奖励设计</vt:lpstr>
      <vt:lpstr>道具信息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2023-02-22T03:48:20Z</dcterms:modified>
</cp:coreProperties>
</file>